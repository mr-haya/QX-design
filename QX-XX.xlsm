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65" documentId="13_ncr:1_{41C4876C-9EBC-5145-9203-93A66146F9BE}" xr6:coauthVersionLast="47" xr6:coauthVersionMax="47" xr10:uidLastSave="{DC0C1E5F-B9E8-477E-9643-BE7708501BF7}"/>
  <bookViews>
    <workbookView xWindow="7950" yWindow="1170" windowWidth="24510" windowHeight="15450" tabRatio="1000" activeTab="9" xr2:uid="{BFAAB446-3423-2144-9A78-B75F1F696C9D}"/>
  </bookViews>
  <sheets>
    <sheet name="全機諸元" sheetId="11" r:id="rId1"/>
    <sheet name="フライトプラン" sheetId="17" r:id="rId2"/>
    <sheet name="重量分布" sheetId="1" r:id="rId3"/>
    <sheet name="荷重評価" sheetId="7" r:id="rId4"/>
    <sheet name="主翼" sheetId="6" r:id="rId5"/>
    <sheet name="水平尾翼" sheetId="8" r:id="rId6"/>
    <sheet name="垂直尾翼" sheetId="9" r:id="rId7"/>
    <sheet name="カウル" sheetId="10" r:id="rId8"/>
    <sheet name="胴接桁" sheetId="24" r:id="rId9"/>
    <sheet name="主桁" sheetId="21" r:id="rId10"/>
    <sheet name="積層構成" sheetId="15" r:id="rId11"/>
    <sheet name="翼型" sheetId="4" r:id="rId12"/>
    <sheet name="物性値" sheetId="2" r:id="rId13"/>
    <sheet name="簡易計算ツール" sheetId="3" r:id="rId14"/>
    <sheet name="歴代主要諸元" sheetId="5" r:id="rId15"/>
    <sheet name="垂直尾翼（通常配置）" sheetId="20" r:id="rId16"/>
  </sheets>
  <functionGroups builtInGroupCount="19"/>
  <externalReferences>
    <externalReference r:id="rId17"/>
    <externalReference r:id="rId1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Y9" i="21" l="1"/>
  <c r="AX9" i="21"/>
  <c r="AH9" i="21"/>
  <c r="AV9" i="21" s="1"/>
  <c r="AG9" i="21"/>
  <c r="AF9" i="21"/>
  <c r="AY8" i="21"/>
  <c r="AH8" i="21"/>
  <c r="AF8" i="21"/>
  <c r="BJ7" i="21"/>
  <c r="BN7" i="21" s="1"/>
  <c r="BI7" i="21"/>
  <c r="BM7" i="21" s="1"/>
  <c r="BH7" i="21"/>
  <c r="BL7" i="21" s="1"/>
  <c r="AY7" i="21"/>
  <c r="AX7" i="21"/>
  <c r="BD7" i="21"/>
  <c r="AV7" i="21"/>
  <c r="AU7" i="21"/>
  <c r="AH7" i="21"/>
  <c r="BG7" i="21" s="1"/>
  <c r="BK7" i="21" s="1"/>
  <c r="AG7" i="21"/>
  <c r="AF7" i="21"/>
  <c r="BF6" i="21"/>
  <c r="AY6" i="21"/>
  <c r="AH6" i="21"/>
  <c r="BH6" i="21" s="1"/>
  <c r="BL6" i="21" s="1"/>
  <c r="AF6" i="21"/>
  <c r="B7" i="21"/>
  <c r="B13" i="21"/>
  <c r="B11" i="21"/>
  <c r="B9" i="21"/>
  <c r="Z11" i="21"/>
  <c r="Y13" i="21"/>
  <c r="Z13" i="21" s="1"/>
  <c r="Y14" i="21"/>
  <c r="Z14" i="21" s="1"/>
  <c r="Y12" i="21"/>
  <c r="Z12" i="21" s="1"/>
  <c r="N6" i="21"/>
  <c r="R7" i="21"/>
  <c r="V9" i="21"/>
  <c r="U11" i="21"/>
  <c r="V11" i="21" s="1"/>
  <c r="U12" i="21"/>
  <c r="V12" i="21" s="1"/>
  <c r="U10" i="21"/>
  <c r="V10" i="21" s="1"/>
  <c r="I21" i="11"/>
  <c r="I17" i="11"/>
  <c r="I4" i="11" a="1"/>
  <c r="I4" i="11" s="1"/>
  <c r="Q10" i="21"/>
  <c r="R10" i="21" s="1"/>
  <c r="Q9" i="21"/>
  <c r="R9" i="21" s="1"/>
  <c r="Q8" i="21"/>
  <c r="R8" i="21" s="1"/>
  <c r="M8" i="21"/>
  <c r="M7" i="21"/>
  <c r="F7" i="21"/>
  <c r="G7" i="21"/>
  <c r="F8" i="21"/>
  <c r="S7" i="21" s="1"/>
  <c r="G8" i="21"/>
  <c r="F9" i="21"/>
  <c r="G9" i="21"/>
  <c r="F10" i="21"/>
  <c r="W11" i="21" s="1"/>
  <c r="K11" i="21" s="1"/>
  <c r="G10" i="21"/>
  <c r="F11" i="21"/>
  <c r="G11" i="21"/>
  <c r="F12" i="21"/>
  <c r="AA11" i="21" s="1"/>
  <c r="G12" i="21"/>
  <c r="F13" i="21"/>
  <c r="G13" i="21"/>
  <c r="G6" i="21"/>
  <c r="F6" i="21"/>
  <c r="O6" i="21" s="1"/>
  <c r="P6" i="6"/>
  <c r="P7" i="6"/>
  <c r="P8" i="6"/>
  <c r="P9" i="6"/>
  <c r="P10" i="6"/>
  <c r="P11" i="6"/>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Q46" i="21"/>
  <c r="R46" i="21" s="1"/>
  <c r="Q45" i="21"/>
  <c r="R45" i="21" s="1"/>
  <c r="Q44" i="21"/>
  <c r="R44" i="21" s="1"/>
  <c r="Q43" i="21"/>
  <c r="R43" i="21" s="1"/>
  <c r="G40" i="21"/>
  <c r="G41" i="21" s="1"/>
  <c r="G42" i="21" s="1"/>
  <c r="U75" i="1"/>
  <c r="T75" i="1"/>
  <c r="U74" i="1"/>
  <c r="T74" i="1"/>
  <c r="U73" i="1"/>
  <c r="T73" i="1"/>
  <c r="U72" i="1"/>
  <c r="T72" i="1"/>
  <c r="U71" i="1"/>
  <c r="T71" i="1"/>
  <c r="U70" i="1"/>
  <c r="T70" i="1"/>
  <c r="U69" i="1"/>
  <c r="T69" i="1"/>
  <c r="Q68" i="1"/>
  <c r="U68" i="1" s="1"/>
  <c r="U67" i="1"/>
  <c r="Q67" i="1"/>
  <c r="T67" i="1" s="1"/>
  <c r="Q66" i="1"/>
  <c r="U66" i="1" s="1"/>
  <c r="U65" i="1"/>
  <c r="T65" i="1"/>
  <c r="U64" i="1"/>
  <c r="T64" i="1"/>
  <c r="U63" i="1"/>
  <c r="T63" i="1"/>
  <c r="U62" i="1"/>
  <c r="T62" i="1"/>
  <c r="U61" i="1"/>
  <c r="T61" i="1"/>
  <c r="U60" i="1"/>
  <c r="T60" i="1"/>
  <c r="U59" i="1"/>
  <c r="T59" i="1"/>
  <c r="U58" i="1"/>
  <c r="T58" i="1"/>
  <c r="Q57" i="1"/>
  <c r="T57" i="1" s="1"/>
  <c r="Q56" i="1"/>
  <c r="U56" i="1" s="1"/>
  <c r="Q55" i="1"/>
  <c r="U55" i="1" s="1"/>
  <c r="R54" i="1"/>
  <c r="U54" i="1" s="1"/>
  <c r="Q54" i="1"/>
  <c r="T54" i="1" s="1"/>
  <c r="U53" i="1"/>
  <c r="T53" i="1"/>
  <c r="R53" i="1"/>
  <c r="Q53" i="1"/>
  <c r="U52" i="1"/>
  <c r="T52" i="1"/>
  <c r="V9" i="6"/>
  <c r="V6" i="6"/>
  <c r="V5" i="6"/>
  <c r="V4" i="6"/>
  <c r="BE7" i="21" l="1"/>
  <c r="BF7" i="21"/>
  <c r="BO7" i="21"/>
  <c r="BC7" i="21"/>
  <c r="AW9" i="21"/>
  <c r="BE8" i="21"/>
  <c r="AW7" i="21"/>
  <c r="AZ7" i="21"/>
  <c r="AZ9" i="21"/>
  <c r="BA9" i="21" s="1"/>
  <c r="BB9" i="21" s="1"/>
  <c r="BI6" i="21"/>
  <c r="BM6" i="21" s="1"/>
  <c r="BG8" i="21"/>
  <c r="BK8" i="21" s="1"/>
  <c r="BJ6" i="21"/>
  <c r="BN6" i="21" s="1"/>
  <c r="BH8" i="21"/>
  <c r="BL8" i="21" s="1"/>
  <c r="BI8" i="21"/>
  <c r="BM8" i="21" s="1"/>
  <c r="BJ8" i="21"/>
  <c r="BN8" i="21" s="1"/>
  <c r="AU6" i="21"/>
  <c r="AU8" i="21"/>
  <c r="AV6" i="21"/>
  <c r="AV8" i="21"/>
  <c r="BC9" i="21"/>
  <c r="BE9" i="21"/>
  <c r="AX6" i="21"/>
  <c r="BG9" i="21"/>
  <c r="BK9" i="21" s="1"/>
  <c r="AX8" i="21"/>
  <c r="BH9" i="21"/>
  <c r="BL9" i="21" s="1"/>
  <c r="BI9" i="21"/>
  <c r="BM9" i="21" s="1"/>
  <c r="BJ9" i="21"/>
  <c r="BN9" i="21" s="1"/>
  <c r="AU9" i="21"/>
  <c r="BG6" i="21"/>
  <c r="BK6" i="21" s="1"/>
  <c r="AG6" i="21"/>
  <c r="AG8" i="21"/>
  <c r="AB13" i="21"/>
  <c r="AB14" i="21"/>
  <c r="AA14" i="21"/>
  <c r="T9" i="21"/>
  <c r="L9" i="21" s="1"/>
  <c r="T10" i="21"/>
  <c r="L10" i="21" s="1"/>
  <c r="AA13" i="21"/>
  <c r="T7" i="21"/>
  <c r="AB12" i="21"/>
  <c r="AA12" i="21"/>
  <c r="W10" i="21"/>
  <c r="AB11" i="21"/>
  <c r="X12" i="21"/>
  <c r="L12" i="21" s="1"/>
  <c r="T8" i="21"/>
  <c r="X11" i="21"/>
  <c r="L11" i="21" s="1"/>
  <c r="S10" i="21"/>
  <c r="K10" i="21" s="1"/>
  <c r="X10" i="21"/>
  <c r="W9" i="21"/>
  <c r="S9" i="21"/>
  <c r="K9" i="21" s="1"/>
  <c r="X9" i="21"/>
  <c r="W12" i="21"/>
  <c r="K12" i="21" s="1"/>
  <c r="S8" i="21"/>
  <c r="P6" i="21"/>
  <c r="N8" i="21"/>
  <c r="P8" i="21" s="1"/>
  <c r="L8" i="21" s="1"/>
  <c r="N7" i="21"/>
  <c r="P7" i="21" s="1"/>
  <c r="L7" i="21" s="1"/>
  <c r="O7" i="21"/>
  <c r="K7" i="21" s="1"/>
  <c r="O8" i="21"/>
  <c r="K8" i="21" s="1"/>
  <c r="V35" i="9"/>
  <c r="H38" i="9"/>
  <c r="F7" i="24"/>
  <c r="I7" i="24"/>
  <c r="G7" i="24" s="1"/>
  <c r="C47" i="24" s="1"/>
  <c r="U10" i="24"/>
  <c r="S10" i="24" s="1"/>
  <c r="R10" i="24"/>
  <c r="U9" i="24"/>
  <c r="S9" i="24" s="1"/>
  <c r="Q8" i="24"/>
  <c r="O8" i="24" s="1"/>
  <c r="P9" i="24"/>
  <c r="R9" i="24"/>
  <c r="T55" i="1"/>
  <c r="T49" i="1" s="1"/>
  <c r="U57" i="1"/>
  <c r="T66" i="1"/>
  <c r="T56" i="1"/>
  <c r="T68" i="1"/>
  <c r="BO8" i="21" l="1"/>
  <c r="BA7" i="21"/>
  <c r="BB7" i="21" s="1"/>
  <c r="BO6" i="21"/>
  <c r="BD9" i="21"/>
  <c r="BD8" i="21"/>
  <c r="BO9" i="21"/>
  <c r="BF8" i="21"/>
  <c r="BE6" i="21"/>
  <c r="BD6" i="21"/>
  <c r="BF9" i="21"/>
  <c r="I36" i="9"/>
  <c r="H39" i="9"/>
  <c r="W35" i="9"/>
  <c r="V36" i="9"/>
  <c r="W36" i="9" s="1"/>
  <c r="C49" i="24"/>
  <c r="Q46" i="24"/>
  <c r="C48" i="24"/>
  <c r="Q9" i="24"/>
  <c r="O9" i="24" s="1"/>
  <c r="N9" i="24"/>
  <c r="BC8" i="21" l="1"/>
  <c r="BC6" i="21"/>
  <c r="I37" i="9"/>
  <c r="I38" i="9"/>
  <c r="Q47" i="24"/>
  <c r="R47" i="24" s="1"/>
  <c r="R46" i="24"/>
  <c r="D47" i="24"/>
  <c r="C50" i="24"/>
  <c r="AW6" i="21" l="1"/>
  <c r="AZ6" i="21"/>
  <c r="BA6" i="21" s="1"/>
  <c r="BB6" i="21" s="1"/>
  <c r="AZ8" i="21"/>
  <c r="BA8" i="21" s="1"/>
  <c r="BB8" i="21" s="1"/>
  <c r="AW8" i="21"/>
  <c r="I39" i="9"/>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O6" i="6" l="1"/>
  <c r="C47" i="21" l="1"/>
  <c r="E10" i="3"/>
  <c r="D10" i="3"/>
  <c r="C49" i="21" l="1"/>
  <c r="C48" i="21"/>
  <c r="Q47" i="21"/>
  <c r="Q48" i="21" l="1"/>
  <c r="R48" i="21" s="1"/>
  <c r="R47" i="21"/>
  <c r="D47" i="21"/>
  <c r="C50" i="21"/>
  <c r="D49" i="21" l="1"/>
  <c r="D48" i="21"/>
  <c r="D50" i="21" l="1"/>
  <c r="E47" i="21"/>
  <c r="E48" i="21" l="1"/>
  <c r="E49" i="21"/>
  <c r="E50" i="21" l="1"/>
  <c r="F47" i="21"/>
  <c r="F48" i="21" l="1"/>
  <c r="F49" i="21"/>
  <c r="F50" i="21" l="1"/>
  <c r="G47" i="21"/>
  <c r="G48" i="21" l="1"/>
  <c r="G49" i="21"/>
  <c r="G50" i="21" l="1"/>
  <c r="H47" i="21"/>
  <c r="H49" i="21" l="1"/>
  <c r="H48" i="21"/>
  <c r="I47" i="21" l="1"/>
  <c r="H50" i="21"/>
  <c r="Q11" i="6"/>
  <c r="O11" i="6"/>
  <c r="Q10" i="6"/>
  <c r="O10" i="6"/>
  <c r="Q9" i="6"/>
  <c r="O9" i="6"/>
  <c r="Q8" i="6"/>
  <c r="O8" i="6"/>
  <c r="Q7" i="6"/>
  <c r="O7" i="6"/>
  <c r="Q6" i="6"/>
  <c r="AH19" i="11"/>
  <c r="AH7" i="11"/>
  <c r="AH6" i="11"/>
  <c r="AH4" i="11"/>
  <c r="AC20" i="11"/>
  <c r="AC13" i="11"/>
  <c r="AC12" i="11"/>
  <c r="AC11" i="11"/>
  <c r="AC10" i="11"/>
  <c r="AC9" i="11"/>
  <c r="AC5" i="11"/>
  <c r="AC4" i="11"/>
  <c r="AC8" i="11" s="1"/>
  <c r="N5" i="11"/>
  <c r="N4" i="11"/>
  <c r="D17" i="11"/>
  <c r="U40" i="1"/>
  <c r="U39" i="1"/>
  <c r="U38" i="1"/>
  <c r="U37" i="1"/>
  <c r="U34" i="1"/>
  <c r="U33" i="1"/>
  <c r="U32" i="1"/>
  <c r="U31" i="1"/>
  <c r="U28" i="1"/>
  <c r="U27" i="1"/>
  <c r="U26" i="1"/>
  <c r="U25" i="1"/>
  <c r="AH23" i="1"/>
  <c r="S30" i="1" s="1"/>
  <c r="U30" i="1" s="1"/>
  <c r="AF23" i="1"/>
  <c r="AD23" i="1"/>
  <c r="S36" i="1" s="1"/>
  <c r="U36" i="1" s="1"/>
  <c r="AB23" i="1"/>
  <c r="S29" i="1" s="1"/>
  <c r="U29" i="1" s="1"/>
  <c r="U22" i="1"/>
  <c r="U21" i="1"/>
  <c r="U20" i="1"/>
  <c r="U18" i="1"/>
  <c r="U17" i="1"/>
  <c r="U16" i="1"/>
  <c r="U15" i="1"/>
  <c r="U14" i="1"/>
  <c r="X6" i="1"/>
  <c r="W6" i="1"/>
  <c r="D7" i="1" s="1" a="1"/>
  <c r="D7" i="1" s="1"/>
  <c r="AN3" i="1"/>
  <c r="S24" i="1" s="1"/>
  <c r="U24" i="1" s="1"/>
  <c r="AL3" i="1"/>
  <c r="S23" i="1" s="1"/>
  <c r="U23" i="1" s="1"/>
  <c r="AJ3" i="1"/>
  <c r="S19" i="1" s="1"/>
  <c r="U19" i="1" s="1"/>
  <c r="AH3" i="1"/>
  <c r="S13" i="1" s="1"/>
  <c r="U13" i="1" s="1"/>
  <c r="AF3" i="1"/>
  <c r="S11" i="1" s="1"/>
  <c r="U11" i="1" s="1"/>
  <c r="AD3" i="1"/>
  <c r="S9" i="1" s="1"/>
  <c r="U9" i="1" s="1"/>
  <c r="AB3" i="1"/>
  <c r="S7" i="1" s="1"/>
  <c r="U7" i="1" s="1"/>
  <c r="I49" i="21" l="1"/>
  <c r="I48" i="21"/>
  <c r="S8" i="1"/>
  <c r="AC6" i="11"/>
  <c r="AC7" i="11"/>
  <c r="X18" i="11"/>
  <c r="S12" i="1"/>
  <c r="U12" i="1" s="1"/>
  <c r="S35" i="1"/>
  <c r="U35" i="1" s="1"/>
  <c r="S10" i="1"/>
  <c r="F25" i="3"/>
  <c r="E25" i="3"/>
  <c r="D11" i="2"/>
  <c r="D9" i="2"/>
  <c r="D14" i="2" s="1"/>
  <c r="D6" i="2"/>
  <c r="D4" i="2"/>
  <c r="J47" i="21" l="1"/>
  <c r="I50" i="21"/>
  <c r="U8" i="1"/>
  <c r="T6" i="1"/>
  <c r="X16" i="11"/>
  <c r="X17" i="11"/>
  <c r="U10" i="1"/>
  <c r="U6" i="1" s="1"/>
  <c r="C7" i="1" s="1"/>
  <c r="D7" i="2"/>
  <c r="J49" i="21" l="1"/>
  <c r="J48" i="21"/>
  <c r="S6" i="1"/>
  <c r="F6" i="1"/>
  <c r="I16" i="1" s="1"/>
  <c r="E6" i="1"/>
  <c r="D6" i="1"/>
  <c r="C6" i="1"/>
  <c r="Q49" i="21" l="1"/>
  <c r="K47" i="21"/>
  <c r="J50" i="21"/>
  <c r="G19" i="1"/>
  <c r="G16" i="1"/>
  <c r="G15" i="1"/>
  <c r="G20" i="1"/>
  <c r="G18" i="1"/>
  <c r="G17" i="1"/>
  <c r="H18" i="1"/>
  <c r="H16" i="1"/>
  <c r="H15" i="1"/>
  <c r="H20" i="1"/>
  <c r="H19" i="1"/>
  <c r="H17" i="1"/>
  <c r="I20" i="1"/>
  <c r="I17" i="1"/>
  <c r="I15" i="1"/>
  <c r="I19" i="1"/>
  <c r="I18" i="1"/>
  <c r="K48" i="21" l="1"/>
  <c r="K49" i="21"/>
  <c r="K50" i="21" s="1"/>
  <c r="R49" i="21"/>
  <c r="Q50" i="21"/>
  <c r="R50" i="21" s="1"/>
  <c r="K7" i="1" a="1"/>
  <c r="K7" i="1" s="1"/>
  <c r="K6" i="1" s="1" a="1"/>
  <c r="K6" i="1" s="1"/>
  <c r="G7" i="1" a="1"/>
  <c r="G7" i="1" s="1"/>
  <c r="G6" i="1" s="1" a="1"/>
  <c r="G6" i="1" s="1"/>
  <c r="L7" i="1" a="1"/>
  <c r="L7" i="1" s="1"/>
  <c r="L6" i="1" s="1" a="1"/>
  <c r="L6" i="1" s="1"/>
  <c r="J7" i="1" a="1"/>
  <c r="J7" i="1" s="1"/>
  <c r="J6" i="1" s="1" a="1"/>
  <c r="J6" i="1" s="1"/>
  <c r="I7" i="1" a="1"/>
  <c r="I7" i="1" s="1"/>
  <c r="I6" i="1" s="1" a="1"/>
  <c r="I6" i="1" s="1"/>
  <c r="H7" i="1" a="1"/>
  <c r="H7" i="1" s="1"/>
  <c r="H6" i="1" s="1" a="1"/>
  <c r="H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indexed="81"/>
            <rFont val="MS P ゴシック"/>
            <family val="3"/>
            <charset val="128"/>
          </rPr>
          <t>沖本和貴:</t>
        </r>
        <r>
          <rPr>
            <sz val="9"/>
            <color indexed="81"/>
            <rFont val="MS P ゴシック"/>
            <family val="3"/>
            <charset val="128"/>
          </rPr>
          <t xml:space="preserve">
0番桁中心からの距離</t>
        </r>
      </text>
    </comment>
    <comment ref="D12" authorId="0" shapeId="0" xr:uid="{3BF1B8BE-A509-4007-8FA5-EE59E9A6C97F}">
      <text>
        <r>
          <rPr>
            <b/>
            <sz val="9"/>
            <color indexed="81"/>
            <rFont val="MS P ゴシック"/>
            <family val="3"/>
            <charset val="128"/>
          </rPr>
          <t>沖本和貴:</t>
        </r>
        <r>
          <rPr>
            <sz val="9"/>
            <color indexed="81"/>
            <rFont val="MS P ゴシック"/>
            <family val="3"/>
            <charset val="128"/>
          </rPr>
          <t xml:space="preserve">
0番桁中心からの距離</t>
        </r>
      </text>
    </comment>
    <comment ref="G12" authorId="0" shapeId="0" xr:uid="{8E6B23D9-E75C-4D9B-BB97-856647DBF79C}">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Z3" authorId="0" shapeId="0" xr:uid="{1E820009-CCEC-F748-A3CA-61D3DD05923C}">
      <text>
        <r>
          <rPr>
            <sz val="10"/>
            <color rgb="FF000000"/>
            <rFont val="Yu Gothic UI"/>
            <family val="3"/>
            <charset val="128"/>
          </rPr>
          <t>後縁から翼上面を通って前縁を回り、翼下面を通って再び後縁に戻る軌道を</t>
        </r>
        <r>
          <rPr>
            <sz val="10"/>
            <color rgb="FF000000"/>
            <rFont val="Yu Gothic UI"/>
            <family val="3"/>
            <charset val="128"/>
          </rPr>
          <t>-1~1</t>
        </r>
        <r>
          <rPr>
            <sz val="10"/>
            <color rgb="FF000000"/>
            <rFont val="Yu Gothic UI"/>
            <family val="3"/>
            <charset val="128"/>
          </rPr>
          <t>で表す。</t>
        </r>
        <r>
          <rPr>
            <sz val="10"/>
            <color rgb="FF000000"/>
            <rFont val="Yu Gothic UI"/>
            <family val="3"/>
            <charset val="128"/>
          </rPr>
          <t xml:space="preserve">
</t>
        </r>
        <r>
          <rPr>
            <sz val="10"/>
            <color rgb="FF000000"/>
            <rFont val="Yu Gothic UI"/>
            <family val="3"/>
            <charset val="128"/>
          </rPr>
          <t>例えば上面の</t>
        </r>
        <r>
          <rPr>
            <sz val="10"/>
            <color rgb="FF000000"/>
            <rFont val="Yu Gothic UI"/>
            <family val="3"/>
            <charset val="128"/>
          </rPr>
          <t>60%</t>
        </r>
        <r>
          <rPr>
            <sz val="10"/>
            <color rgb="FF000000"/>
            <rFont val="Yu Gothic UI"/>
            <family val="3"/>
            <charset val="128"/>
          </rPr>
          <t>位置は</t>
        </r>
        <r>
          <rPr>
            <sz val="10"/>
            <color rgb="FF000000"/>
            <rFont val="Yu Gothic UI"/>
            <family val="3"/>
            <charset val="128"/>
          </rPr>
          <t>-0.6</t>
        </r>
        <r>
          <rPr>
            <sz val="10"/>
            <color rgb="FF000000"/>
            <rFont val="Yu Gothic UI"/>
            <family val="3"/>
            <charset val="128"/>
          </rPr>
          <t>となる。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<sst xmlns="http://schemas.openxmlformats.org/spreadsheetml/2006/main" count="3217" uniqueCount="1202">
  <si>
    <t>誤差</t>
    <rPh sb="0" eb="2">
      <t>ゴサ</t>
    </rPh>
    <phoneticPr fontId="3"/>
  </si>
  <si>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</si>
  <si>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</si>
  <si>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</si>
  <si>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</si>
  <si>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</si>
  <si>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部材長さ</t>
    <rPh sb="0" eb="2">
      <t>ブザイ</t>
    </rPh>
    <rPh sb="2" eb="3">
      <t>ナガサ</t>
    </rPh>
    <phoneticPr fontId="3"/>
  </si>
  <si>
    <t>始点質量</t>
    <rPh sb="0" eb="2">
      <t>シテn</t>
    </rPh>
    <rPh sb="2" eb="4">
      <t>シツリョウ</t>
    </rPh>
    <phoneticPr fontId="3"/>
  </si>
  <si>
    <t>終点質量</t>
    <rPh sb="0" eb="2">
      <t>シュウテn</t>
    </rPh>
    <rPh sb="2" eb="4">
      <t>シツリョウ</t>
    </rPh>
    <phoneticPr fontId="3"/>
  </si>
  <si>
    <t>m</t>
    <phoneticPr fontId="3"/>
  </si>
  <si>
    <t>kg</t>
    <phoneticPr fontId="3"/>
  </si>
  <si>
    <t>重心位置</t>
    <rPh sb="0" eb="2">
      <t>ジュウシn</t>
    </rPh>
    <rPh sb="2" eb="4">
      <t>イティ</t>
    </rPh>
    <phoneticPr fontId="3"/>
  </si>
  <si>
    <t>合計質量</t>
    <rPh sb="0" eb="2">
      <t>ゴウケイ</t>
    </rPh>
    <rPh sb="2" eb="4">
      <t>シツリョウ</t>
    </rPh>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</si>
  <si>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</si>
  <si>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</si>
  <si>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</si>
  <si>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</si>
  <si>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</si>
  <si>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</si>
  <si>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</si>
  <si>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</si>
  <si>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</si>
  <si>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</si>
  <si>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</si>
  <si>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</si>
  <si>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</si>
  <si>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</si>
  <si>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</si>
  <si>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</si>
  <si>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</si>
  <si>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</si>
  <si>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</si>
  <si>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</si>
  <si>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</si>
  <si>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</si>
  <si>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</si>
  <si>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</si>
  <si>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</si>
  <si>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</si>
  <si>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</si>
  <si>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</si>
  <si>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</si>
  <si>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</si>
  <si>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</si>
  <si>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</si>
  <si>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</si>
  <si>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</si>
  <si>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</si>
  <si>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</si>
  <si>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</si>
  <si>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</si>
  <si>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</si>
  <si>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</si>
  <si>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</si>
  <si>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</si>
  <si>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</si>
  <si>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</si>
  <si>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</si>
  <si>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</si>
  <si>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</si>
  <si>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</si>
  <si>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</si>
  <si>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</si>
  <si>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</si>
  <si>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</si>
  <si>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</si>
  <si>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</si>
  <si>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</si>
  <si>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</si>
  <si>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</si>
  <si>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</si>
  <si>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</si>
  <si>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</si>
  <si>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</si>
  <si>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</si>
  <si>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</si>
  <si>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</si>
  <si>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</si>
  <si>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</si>
  <si>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</si>
  <si>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</si>
  <si>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</si>
  <si>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</si>
  <si>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</si>
  <si>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</si>
  <si>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</si>
  <si>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</si>
  <si>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</si>
  <si>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</si>
  <si>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</si>
  <si>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</si>
  <si>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</si>
  <si>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</si>
  <si>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</si>
  <si>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</si>
  <si>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</si>
  <si>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</si>
  <si>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</si>
  <si>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</si>
  <si>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</si>
  <si>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</si>
  <si>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</si>
  <si>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</si>
  <si>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</si>
  <si>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</si>
  <si>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</si>
  <si>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</si>
  <si>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</si>
  <si>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</si>
  <si>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</si>
  <si>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</si>
  <si>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</si>
  <si>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</si>
  <si>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</si>
  <si>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</si>
  <si>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</si>
  <si>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</si>
  <si>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</si>
  <si>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</si>
  <si>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</si>
  <si>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</si>
  <si>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</si>
  <si>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</si>
  <si>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</si>
  <si>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</si>
  <si>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</si>
  <si>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</si>
  <si>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</si>
  <si>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</si>
  <si>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</si>
  <si>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</si>
  <si>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</si>
  <si>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</si>
  <si>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</si>
  <si>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</si>
  <si>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</si>
  <si>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</si>
  <si>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</si>
  <si>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</si>
  <si>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</si>
  <si>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計算条件</t>
    <rPh sb="0" eb="2">
      <t>ケイサン</t>
    </rPh>
    <rPh sb="2" eb="4">
      <t>ジョウケン</t>
    </rPh>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</si>
  <si>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</si>
  <si>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</si>
  <si>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</si>
  <si>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</si>
  <si>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</si>
  <si>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</si>
  <si>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エスレン</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</si>
  <si>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</si>
  <si>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</si>
  <si>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</si>
  <si>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</si>
  <si>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</si>
  <si>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せん断強度</t>
    <rPh sb="2" eb="3">
      <t>ダン</t>
    </rPh>
    <rPh sb="3" eb="5">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</si>
  <si>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</si>
  <si>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</si>
  <si>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</si>
  <si>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</si>
  <si>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</si>
  <si>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</si>
  <si>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</si>
  <si>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</si>
  <si>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</si>
  <si>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</si>
  <si>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</si>
  <si>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</si>
  <si>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</si>
  <si>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</si>
  <si>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</si>
  <si>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</si>
  <si>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</si>
  <si>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</si>
  <si>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</si>
  <si>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</si>
  <si>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</si>
  <si>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</si>
  <si>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</si>
  <si>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</si>
  <si>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</si>
  <si>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</si>
  <si>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</si>
  <si>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</si>
  <si>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</si>
  <si>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</si>
  <si>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</si>
  <si>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</si>
  <si>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</si>
  <si>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</si>
  <si>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</si>
  <si>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</si>
  <si>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</si>
  <si>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</si>
  <si>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</si>
  <si>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</si>
  <si>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</si>
  <si>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11"/>
  </si>
  <si>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</si>
  <si>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</si>
  <si>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</si>
  <si>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</si>
  <si>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</si>
  <si>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</si>
  <si>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</si>
  <si>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</si>
  <si>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</si>
  <si>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</si>
  <si>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</si>
  <si>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</si>
  <si>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</si>
  <si>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</si>
  <si>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</si>
  <si>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</si>
  <si>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</si>
  <si>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</si>
  <si>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</si>
  <si>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</si>
  <si>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</si>
  <si>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</si>
  <si>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</si>
  <si>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</si>
  <si>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</si>
  <si>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</si>
  <si>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</si>
  <si>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</si>
  <si>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</si>
  <si>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</si>
  <si>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</si>
  <si>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</si>
  <si>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11"/>
  </si>
  <si>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</si>
  <si>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</si>
  <si>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</si>
  <si>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</si>
  <si>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</si>
  <si>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</si>
  <si>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</si>
  <si>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</si>
  <si>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</si>
  <si>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</si>
  <si>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</si>
  <si>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</si>
  <si>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</si>
  <si>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</si>
  <si>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</si>
  <si>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</si>
  <si>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</si>
  <si>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</si>
  <si>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</si>
  <si>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11"/>
  </si>
  <si>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</si>
  <si>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</si>
  <si>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</si>
  <si>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</si>
  <si>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</si>
  <si>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</si>
  <si>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</si>
  <si>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</si>
  <si>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</si>
  <si>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</si>
  <si>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</si>
  <si>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</si>
  <si>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</si>
  <si>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</si>
  <si>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</si>
  <si>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11"/>
  </si>
  <si>
    <t>エレベータ</t>
  </si>
  <si>
    <t>ladder</t>
    <phoneticPr fontId="3"/>
  </si>
  <si>
    <t>ラダー</t>
    <phoneticPr fontId="3"/>
  </si>
  <si>
    <t>ラダー</t>
  </si>
  <si>
    <t>ラダー</t>
    <phoneticPr fontId="11"/>
  </si>
  <si>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</si>
  <si>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</si>
  <si>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</si>
  <si>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</si>
  <si>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</si>
  <si>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</si>
  <si>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</si>
  <si>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</si>
  <si>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</si>
  <si>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</si>
  <si>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</si>
  <si>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</si>
  <si>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</si>
  <si>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</si>
  <si>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</si>
  <si>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</si>
  <si>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</si>
  <si>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</si>
  <si>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</si>
  <si>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</si>
  <si>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</si>
  <si>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</si>
  <si>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</si>
  <si>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</si>
  <si>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</si>
  <si>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</si>
  <si>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</si>
  <si>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</si>
  <si>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</si>
  <si>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</si>
  <si>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</si>
  <si>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</si>
  <si>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</si>
  <si>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</si>
  <si>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</si>
  <si>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</si>
  <si>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</si>
  <si>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</si>
  <si>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</si>
  <si>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</si>
  <si>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</si>
  <si>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</si>
  <si>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</si>
  <si>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</si>
  <si>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</si>
  <si>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</si>
  <si>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</si>
  <si>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</si>
  <si>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</si>
  <si>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</si>
  <si>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</si>
  <si>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</si>
  <si>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</si>
  <si>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</si>
  <si>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</si>
  <si>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</si>
  <si>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</si>
  <si>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</si>
  <si>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</si>
  <si>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</si>
  <si>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</si>
  <si>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</si>
  <si>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</si>
  <si>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</si>
  <si>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</si>
  <si>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</si>
  <si>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</si>
  <si>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</si>
  <si>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</si>
  <si>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</si>
  <si>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</si>
  <si>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</si>
  <si>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</si>
  <si>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</si>
  <si>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</si>
  <si>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</si>
  <si>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</si>
  <si>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</si>
  <si>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</si>
  <si>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</si>
  <si>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</si>
  <si>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</si>
  <si>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</si>
  <si>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</si>
  <si>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</si>
  <si>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</si>
  <si>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</si>
  <si>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</si>
  <si>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</si>
  <si>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</si>
  <si>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</si>
  <si>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</si>
  <si>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</si>
  <si>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</si>
  <si>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</si>
  <si>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</si>
  <si>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</si>
  <si>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</si>
  <si>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</si>
  <si>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</si>
  <si>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</si>
  <si>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</si>
  <si>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</si>
  <si>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</si>
  <si>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</si>
  <si>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</si>
  <si>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</si>
  <si>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</si>
  <si>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</si>
  <si>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</si>
  <si>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</si>
  <si>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</si>
  <si>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</si>
  <si>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</si>
  <si>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</si>
  <si>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</si>
  <si>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</si>
  <si>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</si>
  <si>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</si>
  <si>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</si>
  <si>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</si>
  <si>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</si>
  <si>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</si>
  <si>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</si>
  <si>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</si>
  <si>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</si>
  <si>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</si>
  <si>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</si>
  <si>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</si>
  <si>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</si>
  <si>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</si>
  <si>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</si>
  <si>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</si>
  <si>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</si>
  <si>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</si>
  <si>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</si>
  <si>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</si>
  <si>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</si>
  <si>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</si>
  <si>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</si>
  <si>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</si>
  <si>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</si>
  <si>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</si>
  <si>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</si>
  <si>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</si>
  <si>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</si>
  <si>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</si>
  <si>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</si>
  <si>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</si>
  <si>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</si>
  <si>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</si>
  <si>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</si>
  <si>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</si>
  <si>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</si>
  <si>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最大速度</t>
    <rPh sb="0" eb="2">
      <t>サイダイ</t>
    </rPh>
    <rPh sb="2" eb="4">
      <t>ソクド</t>
    </rPh>
    <phoneticPr fontId="3"/>
  </si>
  <si>
    <t>Vd</t>
    <phoneticPr fontId="3"/>
  </si>
  <si>
    <t>W</t>
    <phoneticPr fontId="3"/>
  </si>
  <si>
    <t>N</t>
    <phoneticPr fontId="3"/>
  </si>
  <si>
    <t>抗力最小速度</t>
    <rPh sb="0" eb="2">
      <t>コウリョク</t>
    </rPh>
    <rPh sb="2" eb="4">
      <t>サイショウ</t>
    </rPh>
    <rPh sb="4" eb="6">
      <t>ソクド</t>
    </rPh>
    <phoneticPr fontId="3"/>
  </si>
  <si>
    <t>V_Dmin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</si>
  <si>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</si>
  <si>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</si>
  <si>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</si>
  <si>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</si>
  <si>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</si>
  <si>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</si>
  <si>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</si>
  <si>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</si>
  <si>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</si>
  <si>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</si>
  <si>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</si>
  <si>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</si>
  <si>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</si>
  <si>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</si>
  <si>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</si>
  <si>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</si>
  <si>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</si>
  <si>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</si>
  <si>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</si>
  <si>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</si>
  <si>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</si>
  <si>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動圧</t>
    <rPh sb="0" eb="2">
      <t>ドウアツ</t>
    </rPh>
    <phoneticPr fontId="3"/>
  </si>
  <si>
    <t>Q</t>
    <phoneticPr fontId="3"/>
  </si>
  <si>
    <t>N/m^2</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</si>
  <si>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</si>
  <si>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</si>
  <si>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</si>
  <si>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</si>
  <si>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</si>
  <si>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</si>
  <si>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</si>
  <si>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</si>
  <si>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</si>
  <si>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</si>
  <si>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</si>
  <si>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</si>
  <si>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</si>
  <si>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</si>
  <si>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</si>
  <si>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</si>
  <si>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</si>
  <si>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</si>
  <si>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</si>
  <si>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</si>
  <si>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</si>
  <si>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</si>
  <si>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</si>
  <si>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</si>
  <si>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</si>
  <si>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</si>
  <si>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</si>
  <si>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</si>
  <si>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</si>
  <si>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</si>
  <si>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</si>
  <si>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</si>
  <si>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</si>
  <si>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</si>
  <si>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</si>
  <si>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</si>
  <si>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</si>
  <si>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L/D</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</si>
  <si>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</si>
  <si>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</si>
  <si>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</si>
  <si>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</si>
  <si>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</si>
  <si>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</si>
  <si>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</si>
  <si>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</si>
  <si>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</si>
  <si>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</si>
  <si>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</si>
  <si>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</si>
  <si>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</si>
  <si>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</si>
  <si>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</si>
  <si>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</si>
  <si>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</si>
  <si>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</si>
  <si>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</si>
  <si>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</si>
  <si>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</si>
  <si>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</si>
  <si>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</si>
  <si>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</si>
  <si>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</si>
  <si>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</si>
  <si>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</si>
  <si>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</si>
  <si>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</si>
  <si>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</si>
  <si>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</si>
  <si>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</si>
  <si>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</si>
  <si>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</si>
  <si>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</si>
  <si>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</si>
  <si>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</si>
  <si>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全組にて計測</t>
    <rPh sb="0" eb="2">
      <t>ゼングミ</t>
    </rPh>
    <rPh sb="4" eb="6">
      <t>ケイソク</t>
    </rPh>
    <phoneticPr fontId="3"/>
  </si>
  <si>
    <t>翼関係</t>
    <rPh sb="0" eb="1">
      <t>ヨク</t>
    </rPh>
    <rPh sb="1" eb="3">
      <t>カンケイ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</si>
  <si>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</si>
  <si>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</si>
  <si>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</si>
  <si>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</si>
  <si>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</si>
  <si>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</si>
  <si>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</si>
  <si>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</si>
  <si>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</si>
  <si>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</si>
  <si>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</si>
  <si>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</si>
  <si>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</si>
  <si>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</si>
  <si>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</si>
  <si>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</si>
  <si>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</si>
  <si>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</si>
  <si>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主翼ウイングレット (右)</t>
    <phoneticPr fontId="3"/>
  </si>
  <si>
    <t>主翼ウイングレット (左)</t>
    <rPh sb="11" eb="12">
      <t>ヒダリ</t>
    </rPh>
    <phoneticPr fontId="3"/>
  </si>
  <si>
    <t>フタサット</t>
    <phoneticPr fontId="3"/>
  </si>
  <si>
    <t>おもり</t>
    <phoneticPr fontId="3"/>
  </si>
  <si>
    <t>主翼蓋(窓)</t>
    <phoneticPr fontId="3"/>
  </si>
  <si>
    <t>ボルトナット(ねじり止め用)</t>
    <rPh sb="10" eb="11">
      <t>ド</t>
    </rPh>
    <rPh sb="12" eb="13">
      <t>ヨウ</t>
    </rPh>
    <phoneticPr fontId="3"/>
  </si>
  <si>
    <t>水平尾翼</t>
    <rPh sb="0" eb="4">
      <t>スイヘイビヨク</t>
    </rPh>
    <phoneticPr fontId="3"/>
  </si>
  <si>
    <t>尾翼ウイングレット(右)</t>
    <rPh sb="0" eb="2">
      <t>ビヨク</t>
    </rPh>
    <rPh sb="10" eb="11">
      <t>ミギ</t>
    </rPh>
    <phoneticPr fontId="3"/>
  </si>
  <si>
    <t>尾翼ウイングレット(左)</t>
    <rPh sb="0" eb="2">
      <t>ビヨク</t>
    </rPh>
    <rPh sb="10" eb="11">
      <t>ヒダリ</t>
    </rPh>
    <phoneticPr fontId="3"/>
  </si>
  <si>
    <t>ボルトナット</t>
    <phoneticPr fontId="3"/>
  </si>
  <si>
    <t>蓋</t>
    <rPh sb="0" eb="1">
      <t>フタ</t>
    </rPh>
    <phoneticPr fontId="3"/>
  </si>
  <si>
    <t>足置き</t>
    <rPh sb="0" eb="2">
      <t>アシオ</t>
    </rPh>
    <phoneticPr fontId="3"/>
  </si>
  <si>
    <t>垂直尾翼</t>
    <rPh sb="0" eb="4">
      <t>スイチョクビヨク</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</si>
  <si>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</si>
  <si>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</si>
  <si>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</si>
  <si>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</si>
  <si>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</si>
  <si>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</si>
  <si>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ピトー菅</t>
    <phoneticPr fontId="3"/>
  </si>
  <si>
    <t>機構</t>
    <rPh sb="0" eb="2">
      <t>キコウ</t>
    </rPh>
    <phoneticPr fontId="3"/>
  </si>
  <si>
    <t>車輪</t>
    <rPh sb="0" eb="2">
      <t>シャリン</t>
    </rPh>
    <phoneticPr fontId="3"/>
  </si>
  <si>
    <t>ピン</t>
    <phoneticPr fontId="3"/>
  </si>
  <si>
    <t>ボルトナット（ねじり止め用）</t>
    <rPh sb="10" eb="11">
      <t>ド</t>
    </rPh>
    <rPh sb="12" eb="13">
      <t>ヨウ</t>
    </rPh>
    <phoneticPr fontId="3"/>
  </si>
  <si>
    <t>胴体</t>
    <phoneticPr fontId="3"/>
  </si>
  <si>
    <t>胴体フィレット</t>
    <rPh sb="0" eb="2">
      <t>ドウタイ</t>
    </rPh>
    <phoneticPr fontId="3"/>
  </si>
  <si>
    <t>足おき</t>
    <rPh sb="0" eb="1">
      <t>アシオキ</t>
    </rPh>
    <phoneticPr fontId="3"/>
  </si>
  <si>
    <t>キャノピ</t>
  </si>
  <si>
    <t>フタ</t>
  </si>
  <si>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</si>
  <si>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</si>
  <si>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</si>
  <si>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</si>
  <si>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</si>
  <si>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</si>
  <si>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乗り込み部</t>
    <rPh sb="0" eb="1">
      <t>ノ</t>
    </rPh>
    <rPh sb="2" eb="3">
      <t>コ</t>
    </rPh>
    <rPh sb="4" eb="5">
      <t>ブ</t>
    </rPh>
    <phoneticPr fontId="3"/>
  </si>
  <si>
    <t>オンボードカメラ</t>
    <phoneticPr fontId="3"/>
  </si>
  <si>
    <t>重心距離</t>
    <rPh sb="0" eb="2">
      <t>ジュウシン</t>
    </rPh>
    <rPh sb="2" eb="4">
      <t>キョリ</t>
    </rPh>
    <phoneticPr fontId="3"/>
  </si>
  <si>
    <t>ΔXcg</t>
    <phoneticPr fontId="3"/>
  </si>
  <si>
    <t>Δycg</t>
    <phoneticPr fontId="3"/>
  </si>
  <si>
    <t>ΔZcg</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</si>
  <si>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</si>
  <si>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</si>
  <si>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</si>
  <si>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</si>
  <si>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</si>
  <si>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</si>
  <si>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</si>
  <si>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</si>
  <si>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</si>
  <si>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</si>
  <si>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</si>
  <si>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</si>
  <si>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</si>
  <si>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</si>
  <si>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</si>
  <si>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</si>
  <si>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</si>
  <si>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</si>
  <si>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</si>
  <si>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</si>
  <si>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</si>
  <si>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</si>
  <si>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</si>
  <si>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</si>
  <si>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</si>
  <si>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</si>
  <si>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</si>
  <si>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</si>
  <si>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</si>
  <si>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</si>
  <si>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最小沈下率</t>
    <rPh sb="0" eb="5">
      <t>サイショウチンカリツ</t>
    </rPh>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</si>
  <si>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</si>
  <si>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</si>
  <si>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</si>
  <si>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</si>
  <si>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D_wing</t>
    <phoneticPr fontId="3"/>
  </si>
  <si>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</si>
  <si>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</si>
  <si>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</si>
  <si>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</si>
  <si>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</si>
  <si>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</si>
  <si>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</si>
  <si>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</si>
  <si>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</si>
  <si>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</si>
  <si>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</si>
  <si>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</si>
  <si>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</si>
  <si>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</si>
  <si>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</si>
  <si>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</si>
  <si>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</si>
  <si>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</si>
  <si>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</si>
  <si>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</si>
  <si>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</si>
  <si>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</si>
  <si>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静安定性</t>
    <rPh sb="0" eb="4">
      <t>セイアンテイセイ</t>
    </rPh>
    <phoneticPr fontId="3"/>
  </si>
  <si>
    <t>主翼揚力</t>
    <rPh sb="0" eb="2">
      <t>シュヨク</t>
    </rPh>
    <rPh sb="2" eb="4">
      <t>ヨウリョク</t>
    </rPh>
    <phoneticPr fontId="2"/>
  </si>
  <si>
    <t>ラダー横力</t>
    <rPh sb="3" eb="5">
      <t>ヨコリョク</t>
    </rPh>
    <phoneticPr fontId="3"/>
  </si>
  <si>
    <t>エレベーター揚力</t>
    <rPh sb="6" eb="8">
      <t>ヨウリョク</t>
    </rPh>
    <phoneticPr fontId="2"/>
  </si>
  <si>
    <t>全備重量</t>
    <rPh sb="0" eb="2">
      <t>ゼンビ</t>
    </rPh>
    <rPh sb="2" eb="4">
      <t>ジュウリョウ</t>
    </rPh>
    <phoneticPr fontId="3"/>
  </si>
  <si>
    <t>重量・重心位置・慣性モーメント</t>
    <rPh sb="0" eb="2">
      <t>ジュウリョウ</t>
    </rPh>
    <phoneticPr fontId="3"/>
  </si>
  <si>
    <t>動安定</t>
    <rPh sb="0" eb="1">
      <t>ドウ</t>
    </rPh>
    <rPh sb="1" eb="3">
      <t>アンテイ</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</si>
  <si>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</si>
  <si>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</si>
  <si>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主翼揚抗比</t>
    <rPh sb="0" eb="2">
      <t>シュヨク</t>
    </rPh>
    <rPh sb="2" eb="5">
      <t>ヨウコウヒ</t>
    </rPh>
    <phoneticPr fontId="3"/>
  </si>
  <si>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</si>
  <si>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</si>
  <si>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</si>
  <si>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</si>
  <si>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</si>
  <si>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</si>
  <si>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</si>
  <si>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</si>
  <si>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</si>
  <si>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</si>
  <si>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</si>
  <si>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</si>
  <si>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</si>
  <si>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</si>
  <si>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</si>
  <si>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</si>
  <si>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</si>
  <si>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</si>
  <si>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</si>
  <si>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</si>
  <si>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</si>
  <si>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</si>
  <si>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</si>
  <si>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</si>
  <si>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</si>
  <si>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</si>
  <si>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</si>
  <si>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</si>
  <si>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</si>
  <si>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</si>
  <si>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</si>
  <si>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</si>
  <si>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</si>
  <si>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</si>
  <si>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</si>
  <si>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</si>
  <si>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</si>
  <si>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</si>
  <si>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積層数</t>
    <rPh sb="0" eb="3">
      <t>セキソウスウ</t>
    </rPh>
    <phoneticPr fontId="3"/>
  </si>
  <si>
    <t>Ex</t>
    <phoneticPr fontId="3"/>
  </si>
  <si>
    <t>Gxy</t>
    <phoneticPr fontId="3"/>
  </si>
  <si>
    <t>νxy</t>
    <phoneticPr fontId="3"/>
  </si>
  <si>
    <t>積層構成</t>
    <rPh sb="0" eb="4">
      <t>セキソウコウセイ</t>
    </rPh>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</si>
  <si>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</si>
  <si>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</si>
  <si>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</si>
  <si>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</si>
  <si>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各部詳細</t>
    <rPh sb="0" eb="2">
      <t>カクブ</t>
    </rPh>
    <rPh sb="2" eb="4">
      <t>ショウサイ</t>
    </rPh>
    <phoneticPr fontId="3"/>
  </si>
  <si>
    <t>リブ番号</t>
  </si>
  <si>
    <t>コード長</t>
  </si>
  <si>
    <t>cn</t>
  </si>
  <si>
    <t>←Fusion360等で推算</t>
    <rPh sb="10" eb="11">
      <t>トウ</t>
    </rPh>
    <rPh sb="12" eb="14">
      <t>スイサn</t>
    </rPh>
    <phoneticPr fontId="3"/>
  </si>
  <si>
    <t>尾翼諸元</t>
    <rPh sb="0" eb="4">
      <t>ビヨクス</t>
    </rPh>
    <phoneticPr fontId="3"/>
  </si>
  <si>
    <t>ポーラーカーブ</t>
    <phoneticPr fontId="3"/>
  </si>
  <si>
    <t>極配置</t>
    <rPh sb="0" eb="3">
      <t>キョクハイチ</t>
    </rPh>
    <phoneticPr fontId="3"/>
  </si>
  <si>
    <t>フライトプラン</t>
    <phoneticPr fontId="3"/>
  </si>
  <si>
    <t>飛行経路最適化</t>
    <rPh sb="0" eb="4">
      <t>ヒコウケイロ</t>
    </rPh>
    <rPh sb="4" eb="7">
      <t>サイテキカ</t>
    </rPh>
    <phoneticPr fontId="3"/>
  </si>
  <si>
    <t>3面図</t>
    <rPh sb="1" eb="3">
      <t>メンズ</t>
    </rPh>
    <phoneticPr fontId="3"/>
  </si>
  <si>
    <t>全機</t>
    <rPh sb="0" eb="2">
      <t>ゼンキ</t>
    </rPh>
    <phoneticPr fontId="3"/>
  </si>
  <si>
    <t>機速</t>
    <rPh sb="0" eb="1">
      <t>キ</t>
    </rPh>
    <rPh sb="1" eb="2">
      <t>ソク</t>
    </rPh>
    <phoneticPr fontId="3"/>
  </si>
  <si>
    <t>全機重量</t>
    <rPh sb="0" eb="2">
      <t>ゼンキ</t>
    </rPh>
    <rPh sb="2" eb="4">
      <t>ジュウリョウ</t>
    </rPh>
    <phoneticPr fontId="3"/>
  </si>
  <si>
    <t>揚力係数</t>
    <rPh sb="0" eb="4">
      <t>ヨウリョクケイスウ</t>
    </rPh>
    <phoneticPr fontId="3"/>
  </si>
  <si>
    <t>CFRP</t>
    <phoneticPr fontId="3"/>
  </si>
  <si>
    <t>剛性</t>
    <rPh sb="0" eb="2">
      <t>ゴウセイ</t>
    </rPh>
    <phoneticPr fontId="3"/>
  </si>
  <si>
    <t>NACA0009</t>
  </si>
  <si>
    <t>安定微係数</t>
    <rPh sb="0" eb="5">
      <t>アンテイビケイスウ</t>
    </rPh>
    <phoneticPr fontId="3"/>
  </si>
  <si>
    <t>条件</t>
    <rPh sb="0" eb="2">
      <t>ジョウケン</t>
    </rPh>
    <phoneticPr fontId="3"/>
  </si>
  <si>
    <t>片持ち</t>
    <rPh sb="0" eb="2">
      <t>カタモ</t>
    </rPh>
    <phoneticPr fontId="3"/>
  </si>
  <si>
    <t>最大曲げモーメント</t>
    <rPh sb="0" eb="2">
      <t>サイダイ</t>
    </rPh>
    <rPh sb="2" eb="3">
      <t>マ</t>
    </rPh>
    <phoneticPr fontId="3"/>
  </si>
  <si>
    <t>変形量</t>
    <rPh sb="0" eb="3">
      <t>ヘンケイリョウ</t>
    </rPh>
    <phoneticPr fontId="3"/>
  </si>
  <si>
    <t>荷重分布</t>
    <rPh sb="0" eb="2">
      <t>カジュウ</t>
    </rPh>
    <rPh sb="2" eb="4">
      <t>ブンプ</t>
    </rPh>
    <phoneticPr fontId="3"/>
  </si>
  <si>
    <t>荷重</t>
    <rPh sb="0" eb="2">
      <t>カジュウ</t>
    </rPh>
    <phoneticPr fontId="3"/>
  </si>
  <si>
    <t>自重たわみ</t>
    <rPh sb="0" eb="2">
      <t>ジジュウ</t>
    </rPh>
    <phoneticPr fontId="3"/>
  </si>
  <si>
    <t>←未知量を空欄にする</t>
  </si>
  <si>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</si>
  <si>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</si>
  <si>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</si>
  <si>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</si>
  <si>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</si>
  <si>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</si>
  <si>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</si>
  <si>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</si>
  <si>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</si>
  <si>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</si>
  <si>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</si>
  <si>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</si>
  <si>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</si>
  <si>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</si>
  <si>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</si>
  <si>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</si>
  <si>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</si>
  <si>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</si>
  <si>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</si>
  <si>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</si>
  <si>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</si>
  <si>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</si>
  <si>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</si>
  <si>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</si>
  <si>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</si>
  <si>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</si>
  <si>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</si>
  <si>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</si>
  <si>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</si>
  <si>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</si>
  <si>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</si>
  <si>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</si>
  <si>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</si>
  <si>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</si>
  <si>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</si>
  <si>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</si>
  <si>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</si>
  <si>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</si>
  <si>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</si>
  <si>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</si>
  <si>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</si>
  <si>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</si>
  <si>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</si>
  <si>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</si>
  <si>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</si>
  <si>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</si>
  <si>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</si>
  <si>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</si>
  <si>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</si>
  <si>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</si>
  <si>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</si>
  <si>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</si>
  <si>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</si>
  <si>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</si>
  <si>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</si>
  <si>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</si>
  <si>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</si>
  <si>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</si>
  <si>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</si>
  <si>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</si>
  <si>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</si>
  <si>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</si>
  <si>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</si>
  <si>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</si>
  <si>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</si>
  <si>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</si>
  <si>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</si>
  <si>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</si>
  <si>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</si>
  <si>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</si>
  <si>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</si>
  <si>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</si>
  <si>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</si>
  <si>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</si>
  <si>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</si>
  <si>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</si>
  <si>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</si>
  <si>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</si>
  <si>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</si>
  <si>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</si>
  <si>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</si>
  <si>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</si>
  <si>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</si>
  <si>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</si>
  <si>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</si>
  <si>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</si>
  <si>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</si>
  <si>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</si>
  <si>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</si>
  <si>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</si>
  <si>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</si>
  <si>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</si>
  <si>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</si>
  <si>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</si>
  <si>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</si>
  <si>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</si>
  <si>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</si>
  <si>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</si>
  <si>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</si>
  <si>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</si>
  <si>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</si>
  <si>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</si>
  <si>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</si>
  <si>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</si>
  <si>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</si>
  <si>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</si>
  <si>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</si>
  <si>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</si>
  <si>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</si>
  <si>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</si>
  <si>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</si>
  <si>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</si>
  <si>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</si>
  <si>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</si>
  <si>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</si>
  <si>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</si>
  <si>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</si>
  <si>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</si>
  <si>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</si>
  <si>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</si>
  <si>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</si>
  <si>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</si>
  <si>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</si>
  <si>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</si>
  <si>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</si>
  <si>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</si>
  <si>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</si>
  <si>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</si>
  <si>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</si>
  <si>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</si>
  <si>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</si>
  <si>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</si>
  <si>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</si>
  <si>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</si>
  <si>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</si>
  <si>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</si>
  <si>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</si>
  <si>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</si>
  <si>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</si>
  <si>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</si>
  <si>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</si>
  <si>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</si>
  <si>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</si>
  <si>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</si>
  <si>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</si>
  <si>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</si>
  <si>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</si>
  <si>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</si>
  <si>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</si>
  <si>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</si>
  <si>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</si>
  <si>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</si>
  <si>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</si>
  <si>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</si>
  <si>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</si>
  <si>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</si>
  <si>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</si>
  <si>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</si>
  <si>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</si>
  <si>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</si>
  <si>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</si>
  <si>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SFD</t>
  </si>
  <si>
    <t>BMD</t>
  </si>
  <si>
    <t>トルク</t>
  </si>
  <si>
    <t>荷重試験結果</t>
  </si>
  <si>
    <t>補正係数</t>
  </si>
  <si>
    <t>最大</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</si>
  <si>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</si>
  <si>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</si>
  <si>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</si>
  <si>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</si>
  <si>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</si>
  <si>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</si>
  <si>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</si>
  <si>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</si>
  <si>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</si>
  <si>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</si>
  <si>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</si>
  <si>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</si>
  <si>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</si>
  <si>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</si>
  <si>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</si>
  <si>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</si>
  <si>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</si>
  <si>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</si>
  <si>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</si>
  <si>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</si>
  <si>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</si>
  <si>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</si>
  <si>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</si>
  <si>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</si>
  <si>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</si>
  <si>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</si>
  <si>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</si>
  <si>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桁太い方</t>
    <rPh sb="0" eb="1">
      <t>ケタ</t>
    </rPh>
    <rPh sb="1" eb="2">
      <t>フトイ</t>
    </rPh>
    <phoneticPr fontId="2"/>
  </si>
  <si>
    <t>細い方</t>
    <rPh sb="0" eb="1">
      <t>ホソイ</t>
    </rPh>
    <phoneticPr fontId="2"/>
  </si>
  <si>
    <t>左</t>
    <rPh sb="0" eb="1">
      <t>ヒダリ</t>
    </rPh>
    <phoneticPr fontId="2"/>
  </si>
  <si>
    <t>右</t>
    <rPh sb="0" eb="1">
      <t>ミギ</t>
    </rPh>
    <phoneticPr fontId="2"/>
  </si>
  <si>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</si>
  <si>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</si>
  <si>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</si>
  <si>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</si>
  <si>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</si>
  <si>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</si>
  <si>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</si>
  <si>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胴体後ろ</t>
    <rPh sb="0" eb="2">
      <t>ドウタイ</t>
    </rPh>
    <rPh sb="2" eb="3">
      <t>ウシロ</t>
    </rPh>
    <phoneticPr fontId="2"/>
  </si>
  <si>
    <t>水平尾翼</t>
    <rPh sb="0" eb="2">
      <t>スイ</t>
    </rPh>
    <rPh sb="2" eb="4">
      <t>ビヨク</t>
    </rPh>
    <phoneticPr fontId="2"/>
  </si>
  <si>
    <t>0番</t>
    <rPh sb="1" eb="2">
      <t>バn</t>
    </rPh>
    <phoneticPr fontId="2"/>
  </si>
  <si>
    <t>3-R</t>
    <phoneticPr fontId="2"/>
  </si>
  <si>
    <t>3-L</t>
    <phoneticPr fontId="2"/>
  </si>
  <si>
    <t>1-L</t>
    <phoneticPr fontId="2"/>
  </si>
  <si>
    <t>カウル尻尾</t>
    <rPh sb="3" eb="5">
      <t>シッポ</t>
    </rPh>
    <phoneticPr fontId="2"/>
  </si>
  <si>
    <t>sutairo</t>
    <phoneticPr fontId="2"/>
  </si>
  <si>
    <t>norikomibu</t>
    <phoneticPr fontId="2"/>
  </si>
  <si>
    <t>asioki</t>
    <phoneticPr fontId="2"/>
  </si>
  <si>
    <t>doutaifiretto</t>
    <phoneticPr fontId="2"/>
  </si>
  <si>
    <t>doutaiatama</t>
    <phoneticPr fontId="2"/>
  </si>
  <si>
    <t>キャノピー</t>
    <phoneticPr fontId="2"/>
  </si>
  <si>
    <t>ふた</t>
    <phoneticPr fontId="2"/>
  </si>
  <si>
    <t>1-R</t>
    <phoneticPr fontId="2"/>
  </si>
  <si>
    <t>2-R</t>
    <phoneticPr fontId="2"/>
  </si>
  <si>
    <t>2-L</t>
    <phoneticPr fontId="2"/>
  </si>
  <si>
    <t>胴体前</t>
    <rPh sb="0" eb="1">
      <t>ドウタイム</t>
    </rPh>
    <phoneticPr fontId="2"/>
  </si>
  <si>
    <t>脚R</t>
    <rPh sb="0" eb="1">
      <t>🦶</t>
    </rPh>
    <phoneticPr fontId="2"/>
  </si>
  <si>
    <t>脚L</t>
    <rPh sb="0" eb="1">
      <t xml:space="preserve">アシ </t>
    </rPh>
    <phoneticPr fontId="2"/>
  </si>
  <si>
    <t>フィレット</t>
    <phoneticPr fontId="2"/>
  </si>
  <si>
    <t>ドーサルフィン</t>
    <phoneticPr fontId="2"/>
  </si>
  <si>
    <t>ウィングレット（尾翼）</t>
    <rPh sb="8" eb="10">
      <t>ビヨク</t>
    </rPh>
    <phoneticPr fontId="2"/>
  </si>
  <si>
    <t>ウィングレット（主翼）</t>
    <rPh sb="7" eb="8">
      <t>（</t>
    </rPh>
    <rPh sb="8" eb="10">
      <t>シュヨク)</t>
    </rPh>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</si>
  <si>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</si>
  <si>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</si>
  <si>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</si>
  <si>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</si>
  <si>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</si>
  <si>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</si>
  <si>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</si>
  <si>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</si>
  <si>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</si>
  <si>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</si>
  <si>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</si>
  <si>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</si>
  <si>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</si>
  <si>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</si>
  <si>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</si>
  <si>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</si>
  <si>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</si>
  <si>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</si>
  <si>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</si>
  <si>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</si>
  <si>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</si>
  <si>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</si>
  <si>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</si>
  <si>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</si>
  <si>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</si>
  <si>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</si>
  <si>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</si>
  <si>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</si>
  <si>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</si>
  <si>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</si>
  <si>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</si>
  <si>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</si>
  <si>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</si>
  <si>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</si>
  <si>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</si>
  <si>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</si>
  <si>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</si>
  <si>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</si>
  <si>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</si>
  <si>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</si>
  <si>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</si>
  <si>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</si>
  <si>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</si>
  <si>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</si>
  <si>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</si>
  <si>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</si>
  <si>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</si>
  <si>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</si>
  <si>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</si>
  <si>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</si>
  <si>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</si>
  <si>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厚さマージン</t>
  </si>
  <si>
    <t>始点</t>
  </si>
  <si>
    <t>終点</t>
  </si>
  <si>
    <t>荷重試験</t>
  </si>
  <si>
    <t>集中荷重</t>
  </si>
  <si>
    <t>断面二次モーメント</t>
  </si>
  <si>
    <t>安全率</t>
  </si>
  <si>
    <t>強度余裕</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</si>
  <si>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</si>
  <si>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</si>
  <si>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</si>
  <si>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</si>
  <si>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</si>
  <si>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</si>
  <si>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</si>
  <si>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</si>
  <si>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</si>
  <si>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</si>
  <si>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</si>
  <si>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</si>
  <si>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リンク機構</t>
  </si>
  <si>
    <t>舵面割合</t>
  </si>
  <si>
    <t>安定板詳細</t>
  </si>
  <si>
    <t>舵面詳細</t>
  </si>
  <si>
    <r>
      <t xml:space="preserve">強豪他チームに追いつき、追い越す
</t>
    </r>
    <r>
      <rPr>
        <sz val="12"/>
        <color theme="1"/>
        <rFont val="ＭＳ ゴシック"/>
        <family val="3"/>
        <charset val="128"/>
      </rPr>
      <t>・低翼</t>
    </r>
    <r>
      <rPr>
        <sz val="12"/>
        <color theme="1"/>
        <rFont val="Arial"/>
        <family val="2"/>
      </rPr>
      <t>T</t>
    </r>
    <r>
      <rPr>
        <sz val="12"/>
        <color theme="1"/>
        <rFont val="ＭＳ ゴシック"/>
        <family val="3"/>
        <charset val="128"/>
      </rPr>
      <t>字尾翼で</t>
    </r>
    <r>
      <rPr>
        <sz val="12"/>
        <color theme="1"/>
        <rFont val="Arial"/>
        <family val="2"/>
      </rPr>
      <t>450m</t>
    </r>
    <r>
      <rPr>
        <sz val="12"/>
        <color theme="1"/>
        <rFont val="ＭＳ 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
・たわみを抑えて翼型の再現性と発進時の落ち込みを減らす
・外注桁と自作桁による洗練された構造
・高揚力翼型による柔軟なフライトプラン
・短い胴体、十分な舵面積で機動性up</t>
    </r>
  </si>
  <si>
    <t>テーパー区間</t>
    <rPh sb="4" eb="6">
      <t>クカn</t>
    </rPh>
    <phoneticPr fontId="3"/>
  </si>
  <si>
    <t>桁区間</t>
    <rPh sb="0" eb="1">
      <t>ケタ</t>
    </rPh>
    <rPh sb="1" eb="3">
      <t>クカn</t>
    </rPh>
    <phoneticPr fontId="3"/>
  </si>
  <si>
    <t>flat</t>
  </si>
  <si>
    <t>基準</t>
  </si>
  <si>
    <t>端</t>
  </si>
  <si>
    <t>1st</t>
  </si>
  <si>
    <t>1番</t>
  </si>
  <si>
    <t>リブ間隔（一つ前のリブとの距離）</t>
    <phoneticPr fontId="3"/>
  </si>
  <si>
    <t>xLE</t>
    <phoneticPr fontId="1"/>
  </si>
  <si>
    <t>xTE</t>
    <phoneticPr fontId="1"/>
  </si>
  <si>
    <t>mm/m</t>
    <phoneticPr fontId="3"/>
  </si>
  <si>
    <t>幾何値</t>
    <rPh sb="0" eb="3">
      <t xml:space="preserve">キカ </t>
    </rPh>
    <phoneticPr fontId="3"/>
  </si>
  <si>
    <t>取り付け角（変形考慮）</t>
    <rPh sb="0" eb="1">
      <t>ト</t>
    </rPh>
    <rPh sb="2" eb="3">
      <t>ツ</t>
    </rPh>
    <rPh sb="4" eb="5">
      <t>カク</t>
    </rPh>
    <phoneticPr fontId="1"/>
  </si>
  <si>
    <t>上反角（変形考慮）</t>
    <rPh sb="0" eb="3">
      <t>ジョウハンカク</t>
    </rPh>
    <rPh sb="6" eb="8">
      <t>コウリョ</t>
    </rPh>
    <phoneticPr fontId="1"/>
  </si>
  <si>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</si>
  <si>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</si>
  <si>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</si>
  <si>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</si>
  <si>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</si>
  <si>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テーパー率</t>
    <rPh sb="4" eb="5">
      <t>リテゥ</t>
    </rPh>
    <phoneticPr fontId="3"/>
  </si>
  <si>
    <t>mm</t>
    <phoneticPr fontId="1"/>
  </si>
  <si>
    <t>g</t>
    <phoneticPr fontId="1"/>
  </si>
  <si>
    <t>3番翼端</t>
    <rPh sb="0" eb="3">
      <t>バn</t>
    </rPh>
    <phoneticPr fontId="3"/>
  </si>
  <si>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</si>
  <si>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</si>
  <si>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</si>
  <si>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</si>
  <si>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</si>
  <si>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</si>
  <si>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</si>
  <si>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</si>
  <si>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</si>
  <si>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フォーム</t>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</si>
  <si>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</si>
  <si>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</si>
  <si>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</si>
  <si>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</si>
  <si>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</si>
  <si>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</si>
  <si>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</si>
  <si>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</si>
  <si>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</si>
  <si>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</si>
  <si>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</si>
  <si>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</si>
  <si>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</si>
  <si>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</si>
  <si>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</si>
  <si>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</si>
  <si>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</si>
  <si>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</si>
  <si>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</si>
  <si>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</si>
  <si>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</si>
  <si>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</si>
  <si>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</si>
  <si>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</si>
  <si>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</si>
  <si>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</si>
  <si>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</si>
  <si>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</si>
  <si>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</si>
  <si>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</si>
  <si>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</si>
  <si>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</si>
  <si>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</si>
  <si>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</si>
  <si>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</si>
  <si>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</si>
  <si>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</si>
  <si>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</si>
  <si>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</si>
  <si>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</si>
  <si>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</si>
  <si>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</si>
  <si>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</si>
  <si>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</si>
  <si>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</si>
  <si>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</si>
  <si>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</si>
  <si>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</si>
  <si>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</si>
  <si>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</si>
  <si>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</si>
  <si>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</si>
  <si>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</si>
  <si>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</si>
  <si>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</si>
  <si>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</si>
  <si>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水平</t>
    <phoneticPr fontId="3"/>
  </si>
  <si>
    <t>垂直</t>
    <phoneticPr fontId="3"/>
  </si>
  <si>
    <t>上脚</t>
    <phoneticPr fontId="3"/>
  </si>
  <si>
    <t>下脚</t>
    <phoneticPr fontId="3"/>
  </si>
  <si>
    <t>胴接</t>
    <phoneticPr fontId="3"/>
  </si>
  <si>
    <t>横</t>
    <phoneticPr fontId="3"/>
  </si>
  <si>
    <t>T字</t>
    <phoneticPr fontId="3"/>
  </si>
  <si>
    <t>端リブ</t>
    <phoneticPr fontId="3"/>
  </si>
  <si>
    <t>mm</t>
    <phoneticPr fontId="3"/>
  </si>
  <si>
    <t>厚さ</t>
    <phoneticPr fontId="3"/>
  </si>
  <si>
    <t>x軸/z軸</t>
    <rPh sb="1" eb="2">
      <t>ジク</t>
    </rPh>
    <rPh sb="4" eb="5">
      <t>ジク</t>
    </rPh>
    <phoneticPr fontId="3"/>
  </si>
  <si>
    <t>強化積層</t>
    <rPh sb="0" eb="4">
      <t>キョウカセキソウ</t>
    </rPh>
    <phoneticPr fontId="3"/>
  </si>
  <si>
    <t>0,90,0</t>
    <phoneticPr fontId="3"/>
  </si>
  <si>
    <t>翼端</t>
    <rPh sb="0" eb="2">
      <t>ヨクタン</t>
    </rPh>
    <phoneticPr fontId="3"/>
  </si>
  <si>
    <t>t_z</t>
    <phoneticPr fontId="3"/>
  </si>
  <si>
    <t>t_x</t>
    <phoneticPr fontId="3"/>
  </si>
  <si>
    <t>全周厚さ</t>
    <rPh sb="0" eb="2">
      <t>ゼンシュウ</t>
    </rPh>
    <rPh sb="2" eb="3">
      <t>アツ</t>
    </rPh>
    <phoneticPr fontId="3"/>
  </si>
  <si>
    <t>全周厚さ</t>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</si>
  <si>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</si>
  <si>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</si>
  <si>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</si>
  <si>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</si>
  <si>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x断面二次モーメント</t>
    <rPh sb="1" eb="3">
      <t>ダンメン</t>
    </rPh>
    <rPh sb="3" eb="5">
      <t>ニジ</t>
    </rPh>
    <phoneticPr fontId="2"/>
  </si>
  <si>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</si>
  <si>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</si>
  <si>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</si>
  <si>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</si>
  <si>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</si>
  <si>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</si>
  <si>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</si>
  <si>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</si>
  <si>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外径長半軸</t>
    <rPh sb="0" eb="2">
      <t>ガイケイ</t>
    </rPh>
    <rPh sb="2" eb="3">
      <t>チョウ</t>
    </rPh>
    <rPh sb="3" eb="4">
      <t>ハン</t>
    </rPh>
    <rPh sb="4" eb="5">
      <t>ジク</t>
    </rPh>
    <phoneticPr fontId="3"/>
  </si>
  <si>
    <t>外径短半軸</t>
    <rPh sb="0" eb="2">
      <t>ガイケイ</t>
    </rPh>
    <rPh sb="2" eb="3">
      <t>タン</t>
    </rPh>
    <rPh sb="3" eb="4">
      <t>ハン</t>
    </rPh>
    <rPh sb="4" eb="5">
      <t>ジク</t>
    </rPh>
    <phoneticPr fontId="3"/>
  </si>
  <si>
    <t>内径長半軸</t>
    <rPh sb="0" eb="2">
      <t>ナイケイ</t>
    </rPh>
    <rPh sb="2" eb="3">
      <t>チョウ</t>
    </rPh>
    <rPh sb="3" eb="4">
      <t>ハン</t>
    </rPh>
    <rPh sb="4" eb="5">
      <t>ジク</t>
    </rPh>
    <phoneticPr fontId="3"/>
  </si>
  <si>
    <t>内径短半軸</t>
    <rPh sb="0" eb="2">
      <t>ナイケイ</t>
    </rPh>
    <rPh sb="2" eb="3">
      <t>タン</t>
    </rPh>
    <rPh sb="3" eb="4">
      <t>ハン</t>
    </rPh>
    <rPh sb="4" eb="5">
      <t>ジク</t>
    </rPh>
    <phoneticPr fontId="3"/>
  </si>
  <si>
    <t>断面二次モーメント</t>
    <rPh sb="0" eb="2">
      <t>ダンメン</t>
    </rPh>
    <rPh sb="2" eb="4">
      <t>ニジ</t>
    </rPh>
    <phoneticPr fontId="3"/>
  </si>
  <si>
    <t>ねじれ定数</t>
    <rPh sb="3" eb="5">
      <t>テイスウ</t>
    </rPh>
    <phoneticPr fontId="3"/>
  </si>
  <si>
    <t>断面積</t>
    <rPh sb="0" eb="3">
      <t>ダンメンセキ</t>
    </rPh>
    <phoneticPr fontId="3"/>
  </si>
  <si>
    <t>囲まれる面積</t>
    <rPh sb="0" eb="1">
      <t>カコ</t>
    </rPh>
    <rPh sb="4" eb="6">
      <t>メンセキ</t>
    </rPh>
    <phoneticPr fontId="3"/>
  </si>
  <si>
    <t>周長</t>
    <rPh sb="0" eb="1">
      <t>シュウ</t>
    </rPh>
    <rPh sb="1" eb="2">
      <t>チョウ</t>
    </rPh>
    <phoneticPr fontId="3"/>
  </si>
  <si>
    <t>横弾性係数</t>
    <rPh sb="0" eb="1">
      <t>ヨコ</t>
    </rPh>
    <rPh sb="1" eb="3">
      <t>ダンセイ</t>
    </rPh>
    <rPh sb="3" eb="5">
      <t>ケイスウ</t>
    </rPh>
    <phoneticPr fontId="3"/>
  </si>
  <si>
    <t>曲げ剛性</t>
    <rPh sb="0" eb="1">
      <t>マ</t>
    </rPh>
    <rPh sb="2" eb="4">
      <t>ゴウセイ</t>
    </rPh>
    <phoneticPr fontId="3"/>
  </si>
  <si>
    <t>ねじれ剛性</t>
    <rPh sb="3" eb="5">
      <t>ゴウセイ</t>
    </rPh>
    <phoneticPr fontId="3"/>
  </si>
  <si>
    <t>翼厚-長軸径</t>
    <rPh sb="0" eb="2">
      <t>ヨクアツ</t>
    </rPh>
    <rPh sb="3" eb="4">
      <t>チョウ</t>
    </rPh>
    <rPh sb="4" eb="6">
      <t>ジクケイ</t>
    </rPh>
    <phoneticPr fontId="3"/>
  </si>
  <si>
    <t>破断合力</t>
    <rPh sb="0" eb="2">
      <t>ハダン</t>
    </rPh>
    <rPh sb="2" eb="4">
      <t>ゴウリョク</t>
    </rPh>
    <phoneticPr fontId="3"/>
  </si>
  <si>
    <t>曲げ応力</t>
    <rPh sb="0" eb="1">
      <t>マ</t>
    </rPh>
    <rPh sb="2" eb="4">
      <t>オウリョク</t>
    </rPh>
    <phoneticPr fontId="3"/>
  </si>
  <si>
    <t>最大曲げ応力(圧縮)</t>
    <rPh sb="0" eb="2">
      <t>サイダイ</t>
    </rPh>
    <rPh sb="2" eb="3">
      <t>マ</t>
    </rPh>
    <rPh sb="4" eb="6">
      <t>オウリョク</t>
    </rPh>
    <rPh sb="7" eb="9">
      <t>アッシュク</t>
    </rPh>
    <phoneticPr fontId="3"/>
  </si>
  <si>
    <t>最大合力</t>
    <rPh sb="0" eb="2">
      <t>サイダイ</t>
    </rPh>
    <rPh sb="2" eb="4">
      <t>ゴウリョク</t>
    </rPh>
    <phoneticPr fontId="3"/>
  </si>
  <si>
    <t>比率</t>
    <rPh sb="0" eb="2">
      <t>ヒリツ</t>
    </rPh>
    <phoneticPr fontId="3"/>
  </si>
  <si>
    <t>bo</t>
    <phoneticPr fontId="3"/>
  </si>
  <si>
    <t>ao</t>
    <phoneticPr fontId="3"/>
  </si>
  <si>
    <t>bi</t>
    <phoneticPr fontId="3"/>
  </si>
  <si>
    <t>ai</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</si>
  <si>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</si>
  <si>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</si>
  <si>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</si>
  <si>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</si>
  <si>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</si>
  <si>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</si>
  <si>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</si>
  <si>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</si>
  <si>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</si>
  <si>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</si>
  <si>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</si>
  <si>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</si>
  <si>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</si>
  <si>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</si>
  <si>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</si>
  <si>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</si>
  <si>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</si>
  <si>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</si>
  <si>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mm^3</t>
  </si>
  <si>
    <t>mm^3</t>
    <phoneticPr fontId="3"/>
  </si>
  <si>
    <t>名</t>
    <rPh sb="0" eb="1">
      <t>ナ</t>
    </rPh>
    <phoneticPr fontId="3"/>
  </si>
  <si>
    <t>リブ番号</t>
    <rPh sb="2" eb="4">
      <t>バンゴウ</t>
    </rPh>
    <phoneticPr fontId="3"/>
  </si>
  <si>
    <t>リブ位置</t>
    <rPh sb="2" eb="4">
      <t>イチ</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</si>
</sst>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_ ;[Red]\-0.000\ "/>
    <numFmt numFmtId="177" formatCode="0.0.E+00"/>
    <numFmt numFmtId="178" formatCode="0_ ;[Red]\-0\ "/>
    <numFmt numFmtId="179" formatCode="0.00000_ ;[Red]\-0.00000\ "/>
    <numFmt numFmtId="180" formatCode="0.00_ "/>
    <numFmt numFmtId="181" formatCode="0.00_);[Red]\(0.00\)"/>
  </numFmts>
  <fonts count="32">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12"/>
      <color theme="1"/>
      <name val="ＭＳ ゴシック"/>
      <family val="3"/>
      <charset val="128"/>
    </font>
    <font>
      <sz val="12"/>
      <color theme="1"/>
      <name val="Arial"/>
      <family val="2"/>
    </font>
    <font>
      <sz val="10"/>
      <color rgb="FF000000"/>
      <name val="Yu Gothic UI"/>
      <family val="3"/>
      <charset val="128"/>
    </font>
    <font>
      <b/>
      <sz val="9"/>
      <color rgb="FF000000"/>
      <name val="游ゴシック"/>
      <family val="3"/>
      <charset val="128"/>
    </font>
    <font>
      <sz val="9"/>
      <color rgb="FF000000"/>
      <name val="游ゴシック"/>
      <family val="3"/>
      <charset val="128"/>
    </font>
    <font>
      <sz val="9"/>
      <color rgb="FF000000"/>
      <name val="MS P ゴシック"/>
      <charset val="128"/>
    </font>
  </fonts>
  <fills count="6">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double">
        <color indexed="64"/>
      </top>
      <bottom/>
      <diagonal/>
    </border>
    <border>
      <left/>
      <right/>
      <top style="thin">
        <color indexed="64"/>
      </top>
      <bottom/>
      <diagonal/>
    </border>
    <border>
      <left style="thin">
        <color indexed="64"/>
      </left>
      <right style="thin">
        <color indexed="64"/>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63">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8" fillId="0" borderId="4" xfId="1" applyNumberFormat="1" applyFont="1" applyBorder="1" applyAlignment="1">
      <alignment horizontal="left" vertical="center"/>
    </xf>
    <xf numFmtId="176" fontId="9" fillId="0" borderId="16" xfId="1" applyNumberFormat="1" applyFont="1" applyBorder="1" applyAlignment="1">
      <alignment horizontal="left" vertical="center"/>
    </xf>
    <xf numFmtId="176" fontId="9" fillId="0" borderId="13" xfId="1" applyNumberFormat="1" applyFont="1" applyBorder="1" applyAlignment="1">
      <alignment horizontal="left" vertical="center"/>
    </xf>
    <xf numFmtId="176" fontId="9" fillId="0" borderId="4" xfId="1" applyNumberFormat="1" applyFont="1" applyBorder="1" applyAlignment="1">
      <alignment horizontal="left" vertical="center"/>
    </xf>
    <xf numFmtId="176" fontId="0" fillId="0" borderId="0" xfId="0" applyNumberFormat="1" applyAlignment="1">
      <alignment vertical="center" wrapText="1"/>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10" fillId="0" borderId="0" xfId="0" applyNumberFormat="1" applyFont="1">
      <alignment vertical="center"/>
    </xf>
    <xf numFmtId="178" fontId="10" fillId="0" borderId="0" xfId="0" applyNumberFormat="1" applyFont="1" applyAlignment="1">
      <alignment horizontal="left" vertical="center"/>
    </xf>
    <xf numFmtId="178" fontId="10" fillId="0" borderId="1" xfId="0" applyNumberFormat="1" applyFont="1" applyBorder="1" applyAlignment="1">
      <alignment horizontal="left" vertical="center"/>
    </xf>
    <xf numFmtId="176" fontId="10" fillId="0" borderId="1" xfId="0" applyNumberFormat="1" applyFont="1" applyBorder="1">
      <alignment vertical="center"/>
    </xf>
    <xf numFmtId="178" fontId="10" fillId="0" borderId="1" xfId="0" applyNumberFormat="1" applyFont="1" applyBorder="1">
      <alignment vertical="center"/>
    </xf>
    <xf numFmtId="176" fontId="10" fillId="0" borderId="2" xfId="0" applyNumberFormat="1" applyFont="1" applyBorder="1">
      <alignment vertical="center"/>
    </xf>
    <xf numFmtId="176" fontId="10" fillId="0" borderId="1" xfId="0" applyNumberFormat="1" applyFont="1" applyBorder="1" applyAlignment="1">
      <alignment horizontal="left" vertical="center"/>
    </xf>
    <xf numFmtId="176" fontId="10" fillId="0" borderId="19" xfId="0" applyNumberFormat="1" applyFont="1" applyBorder="1">
      <alignment vertical="center"/>
    </xf>
    <xf numFmtId="176" fontId="10" fillId="0" borderId="19" xfId="0" applyNumberFormat="1" applyFont="1" applyBorder="1" applyAlignment="1">
      <alignment horizontal="right" vertical="center"/>
    </xf>
    <xf numFmtId="176" fontId="10" fillId="0" borderId="1" xfId="0" applyNumberFormat="1" applyFont="1" applyBorder="1" applyAlignment="1">
      <alignment horizontal="right" vertical="center"/>
    </xf>
    <xf numFmtId="176" fontId="10" fillId="0" borderId="2" xfId="0" applyNumberFormat="1" applyFont="1" applyBorder="1" applyAlignment="1">
      <alignment horizontal="right" vertical="center"/>
    </xf>
    <xf numFmtId="176" fontId="10"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8"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10" fillId="0" borderId="11" xfId="0" applyNumberFormat="1" applyFont="1" applyBorder="1">
      <alignment vertical="center"/>
    </xf>
    <xf numFmtId="176" fontId="10" fillId="2" borderId="1" xfId="0" applyNumberFormat="1" applyFont="1" applyFill="1" applyBorder="1">
      <alignment vertical="center"/>
    </xf>
    <xf numFmtId="176" fontId="10"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10" fillId="2" borderId="11" xfId="0" applyNumberFormat="1" applyFont="1" applyFill="1" applyBorder="1">
      <alignment vertical="center"/>
    </xf>
    <xf numFmtId="176" fontId="10"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6" fontId="10" fillId="0" borderId="41" xfId="0" applyNumberFormat="1" applyFont="1" applyBorder="1">
      <alignment vertical="center"/>
    </xf>
    <xf numFmtId="176" fontId="10" fillId="0" borderId="42" xfId="0" applyNumberFormat="1" applyFont="1" applyBorder="1">
      <alignment vertical="center"/>
    </xf>
    <xf numFmtId="176" fontId="10" fillId="0" borderId="43" xfId="0" applyNumberFormat="1" applyFont="1" applyBorder="1">
      <alignment vertical="center"/>
    </xf>
    <xf numFmtId="176" fontId="10" fillId="0" borderId="44" xfId="0" applyNumberFormat="1" applyFont="1" applyBorder="1">
      <alignment vertical="center"/>
    </xf>
    <xf numFmtId="176" fontId="10" fillId="0" borderId="45" xfId="0" applyNumberFormat="1" applyFont="1" applyBorder="1">
      <alignment vertical="center"/>
    </xf>
    <xf numFmtId="176" fontId="10" fillId="0" borderId="46" xfId="0" applyNumberFormat="1" applyFont="1" applyBorder="1">
      <alignment vertical="center"/>
    </xf>
    <xf numFmtId="176" fontId="10" fillId="0" borderId="39" xfId="0" applyNumberFormat="1" applyFont="1" applyBorder="1" applyAlignment="1">
      <alignment horizontal="left" vertical="center"/>
    </xf>
    <xf numFmtId="0" fontId="0" fillId="0" borderId="40" xfId="0" applyBorder="1">
      <alignment vertical="center"/>
    </xf>
    <xf numFmtId="176" fontId="10" fillId="0" borderId="47" xfId="0" applyNumberFormat="1" applyFont="1" applyBorder="1" applyAlignment="1">
      <alignment horizontal="left" vertical="center"/>
    </xf>
    <xf numFmtId="176" fontId="10" fillId="0" borderId="49" xfId="0" applyNumberFormat="1" applyFont="1" applyBorder="1">
      <alignment vertical="center"/>
    </xf>
    <xf numFmtId="176" fontId="10" fillId="0" borderId="50" xfId="0" applyNumberFormat="1" applyFont="1" applyBorder="1" applyAlignment="1">
      <alignment horizontal="left" vertical="center"/>
    </xf>
    <xf numFmtId="176" fontId="10" fillId="0" borderId="45" xfId="0" applyNumberFormat="1" applyFont="1" applyBorder="1" applyAlignment="1">
      <alignment horizontal="left" vertical="center"/>
    </xf>
    <xf numFmtId="0" fontId="0" fillId="0" borderId="46" xfId="0" applyBorder="1">
      <alignment vertical="center"/>
    </xf>
    <xf numFmtId="176" fontId="10"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10"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7" xfId="0"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0" borderId="35" xfId="0" applyBorder="1">
      <alignment vertical="center"/>
    </xf>
    <xf numFmtId="0" fontId="0" fillId="0" borderId="22" xfId="0"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6" xfId="0" applyBorder="1">
      <alignment vertical="center"/>
    </xf>
    <xf numFmtId="0" fontId="0" fillId="0" borderId="4"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6" fontId="0" fillId="3" borderId="1" xfId="0" quotePrefix="1" applyNumberFormat="1" applyFill="1" applyBorder="1">
      <alignment vertical="center"/>
    </xf>
    <xf numFmtId="0" fontId="0" fillId="3" borderId="1" xfId="0" quotePrefix="1" applyFill="1" applyBorder="1">
      <alignment vertical="center"/>
    </xf>
    <xf numFmtId="176" fontId="0" fillId="0" borderId="2" xfId="0" applyNumberFormat="1" applyBorder="1" applyAlignment="1"/>
    <xf numFmtId="0" fontId="24" fillId="2" borderId="1" xfId="0" applyFont="1" applyFill="1" applyBorder="1">
      <alignment vertical="center"/>
    </xf>
    <xf numFmtId="0" fontId="24" fillId="0" borderId="1" xfId="0" applyFont="1" applyBorder="1">
      <alignment vertical="center"/>
    </xf>
    <xf numFmtId="176" fontId="10"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3" fillId="0" borderId="1" xfId="0" applyNumberFormat="1" applyFont="1" applyBorder="1">
      <alignment vertical="center"/>
    </xf>
    <xf numFmtId="0" fontId="23" fillId="0" borderId="0" xfId="0" applyFont="1">
      <alignment vertical="center"/>
    </xf>
    <xf numFmtId="176" fontId="23" fillId="0" borderId="0" xfId="0" applyNumberFormat="1" applyFont="1">
      <alignment vertical="center"/>
    </xf>
    <xf numFmtId="176" fontId="23" fillId="3" borderId="2" xfId="0" applyNumberFormat="1" applyFont="1" applyFill="1" applyBorder="1">
      <alignment vertical="center"/>
    </xf>
    <xf numFmtId="176" fontId="23" fillId="3" borderId="1" xfId="0" applyNumberFormat="1" applyFont="1" applyFill="1" applyBorder="1">
      <alignment vertical="center"/>
    </xf>
    <xf numFmtId="0" fontId="23" fillId="0" borderId="1" xfId="0" applyFont="1" applyBorder="1">
      <alignment vertical="center"/>
    </xf>
    <xf numFmtId="176" fontId="23" fillId="0" borderId="1" xfId="0" applyNumberFormat="1" applyFont="1" applyBorder="1" applyAlignment="1">
      <alignment horizontal="left" vertical="center"/>
    </xf>
    <xf numFmtId="176" fontId="23" fillId="0" borderId="3" xfId="0" applyNumberFormat="1" applyFont="1" applyBorder="1">
      <alignment vertical="center"/>
    </xf>
    <xf numFmtId="176" fontId="23" fillId="2" borderId="3" xfId="0" applyNumberFormat="1" applyFont="1" applyFill="1" applyBorder="1">
      <alignment vertical="center"/>
    </xf>
    <xf numFmtId="176" fontId="23" fillId="0" borderId="2" xfId="0" applyNumberFormat="1" applyFont="1" applyBorder="1">
      <alignment vertical="center"/>
    </xf>
    <xf numFmtId="176" fontId="23" fillId="0" borderId="2" xfId="0" applyNumberFormat="1" applyFont="1" applyBorder="1" applyAlignment="1">
      <alignment horizontal="left" vertical="center"/>
    </xf>
    <xf numFmtId="176" fontId="23" fillId="2" borderId="1" xfId="0" applyNumberFormat="1" applyFont="1" applyFill="1" applyBorder="1">
      <alignment vertical="center"/>
    </xf>
    <xf numFmtId="176" fontId="23" fillId="3" borderId="3" xfId="0" applyNumberFormat="1" applyFont="1" applyFill="1" applyBorder="1">
      <alignment vertical="center"/>
    </xf>
    <xf numFmtId="178" fontId="23" fillId="0" borderId="3" xfId="0" applyNumberFormat="1" applyFont="1" applyBorder="1">
      <alignment vertical="center"/>
    </xf>
    <xf numFmtId="178" fontId="23" fillId="2" borderId="3" xfId="0" applyNumberFormat="1" applyFont="1" applyFill="1" applyBorder="1">
      <alignment vertical="center"/>
    </xf>
    <xf numFmtId="178" fontId="23" fillId="0" borderId="1" xfId="0" applyNumberFormat="1" applyFont="1" applyBorder="1">
      <alignment vertical="center"/>
    </xf>
    <xf numFmtId="176" fontId="23" fillId="0" borderId="17" xfId="0" applyNumberFormat="1" applyFont="1" applyBorder="1">
      <alignment vertical="center"/>
    </xf>
    <xf numFmtId="176" fontId="23" fillId="0" borderId="0" xfId="0" applyNumberFormat="1" applyFont="1" applyAlignment="1">
      <alignment vertical="center" wrapText="1"/>
    </xf>
    <xf numFmtId="176" fontId="23" fillId="4" borderId="1" xfId="0" applyNumberFormat="1" applyFont="1" applyFill="1" applyBorder="1">
      <alignment vertical="center"/>
    </xf>
    <xf numFmtId="0" fontId="23" fillId="3" borderId="1" xfId="0" applyFont="1" applyFill="1" applyBorder="1">
      <alignment vertical="center"/>
    </xf>
    <xf numFmtId="0" fontId="25" fillId="2" borderId="1" xfId="0" applyFont="1" applyFill="1" applyBorder="1">
      <alignment vertical="center"/>
    </xf>
    <xf numFmtId="0" fontId="25" fillId="0" borderId="1" xfId="0" applyFont="1" applyBorder="1">
      <alignment vertical="center"/>
    </xf>
    <xf numFmtId="176" fontId="23" fillId="3" borderId="4" xfId="0" applyNumberFormat="1" applyFont="1" applyFill="1" applyBorder="1">
      <alignment vertical="center"/>
    </xf>
    <xf numFmtId="176" fontId="23" fillId="3" borderId="13" xfId="0" applyNumberFormat="1" applyFont="1" applyFill="1" applyBorder="1">
      <alignment vertical="center"/>
    </xf>
    <xf numFmtId="176" fontId="23" fillId="0" borderId="4" xfId="0" applyNumberFormat="1" applyFont="1" applyBorder="1">
      <alignment vertical="center"/>
    </xf>
    <xf numFmtId="176" fontId="23" fillId="0" borderId="13" xfId="0" applyNumberFormat="1" applyFont="1" applyBorder="1">
      <alignment vertical="center"/>
    </xf>
    <xf numFmtId="176" fontId="23" fillId="0" borderId="17" xfId="0" applyNumberFormat="1" applyFont="1" applyBorder="1" applyAlignment="1">
      <alignment horizontal="left" vertical="center"/>
    </xf>
    <xf numFmtId="176" fontId="23" fillId="0" borderId="10" xfId="0" applyNumberFormat="1" applyFont="1" applyBorder="1">
      <alignment vertical="center"/>
    </xf>
    <xf numFmtId="176" fontId="23" fillId="0" borderId="57" xfId="0" applyNumberFormat="1" applyFont="1" applyBorder="1">
      <alignment vertical="center"/>
    </xf>
    <xf numFmtId="176" fontId="23" fillId="0" borderId="2" xfId="0" applyNumberFormat="1" applyFont="1" applyBorder="1" applyAlignment="1"/>
    <xf numFmtId="0" fontId="23" fillId="0" borderId="19" xfId="0" applyFont="1" applyBorder="1">
      <alignment vertical="center"/>
    </xf>
    <xf numFmtId="0" fontId="23" fillId="2" borderId="19" xfId="0" applyFont="1" applyFill="1" applyBorder="1">
      <alignment vertical="center"/>
    </xf>
    <xf numFmtId="0" fontId="23" fillId="0" borderId="3" xfId="0" applyFont="1" applyBorder="1">
      <alignment vertical="center"/>
    </xf>
    <xf numFmtId="0" fontId="23" fillId="2" borderId="1" xfId="0" applyFont="1" applyFill="1" applyBorder="1">
      <alignment vertical="center"/>
    </xf>
    <xf numFmtId="0" fontId="0" fillId="2" borderId="20" xfId="0" applyFill="1" applyBorder="1">
      <alignment vertical="center"/>
    </xf>
    <xf numFmtId="0" fontId="0" fillId="2" borderId="4" xfId="0" applyFill="1" applyBorder="1">
      <alignment vertical="center"/>
    </xf>
    <xf numFmtId="176" fontId="0" fillId="0" borderId="14" xfId="0" applyNumberFormat="1" applyBorder="1">
      <alignment vertical="center"/>
    </xf>
    <xf numFmtId="0" fontId="0" fillId="2" borderId="58" xfId="0" applyFill="1" applyBorder="1">
      <alignment vertical="center"/>
    </xf>
    <xf numFmtId="176" fontId="0" fillId="0" borderId="59" xfId="0" applyNumberFormat="1" applyBorder="1">
      <alignment vertical="center"/>
    </xf>
    <xf numFmtId="0" fontId="0" fillId="0" borderId="33" xfId="0" applyBorder="1">
      <alignment vertical="center"/>
    </xf>
    <xf numFmtId="0" fontId="0" fillId="0" borderId="58" xfId="0" applyBorder="1">
      <alignment vertical="center"/>
    </xf>
    <xf numFmtId="176" fontId="0" fillId="0" borderId="22" xfId="0" applyNumberFormat="1" applyBorder="1" applyAlignment="1">
      <alignment horizontal="left" vertical="center"/>
    </xf>
    <xf numFmtId="176" fontId="0" fillId="0" borderId="59" xfId="0" applyNumberFormat="1" applyBorder="1" applyAlignment="1">
      <alignment horizontal="left" vertical="center"/>
    </xf>
    <xf numFmtId="0" fontId="0" fillId="2" borderId="60" xfId="0" applyFill="1" applyBorder="1">
      <alignmen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1" xfId="0" applyNumberFormat="1" applyBorder="1">
      <alignment vertical="center"/>
    </xf>
    <xf numFmtId="176" fontId="0" fillId="0" borderId="5" xfId="0" applyNumberFormat="1" applyBorder="1">
      <alignment vertical="center"/>
    </xf>
    <xf numFmtId="0" fontId="0" fillId="0" borderId="62" xfId="0" applyBorder="1">
      <alignment vertical="center"/>
    </xf>
    <xf numFmtId="176" fontId="0" fillId="0" borderId="3" xfId="0" applyNumberFormat="1" applyFill="1" applyBorder="1">
      <alignment vertical="center"/>
    </xf>
    <xf numFmtId="0" fontId="0" fillId="0" borderId="1" xfId="0" applyFill="1" applyBorder="1">
      <alignment vertical="center"/>
    </xf>
    <xf numFmtId="176" fontId="0" fillId="0" borderId="1" xfId="0" applyNumberFormat="1" applyFill="1" applyBorder="1">
      <alignment vertical="center"/>
    </xf>
    <xf numFmtId="178" fontId="0" fillId="0" borderId="3" xfId="0" applyNumberFormat="1" applyFill="1" applyBorder="1">
      <alignment vertical="center"/>
    </xf>
    <xf numFmtId="178" fontId="0" fillId="0" borderId="1" xfId="0" applyNumberFormat="1" applyFill="1" applyBorder="1">
      <alignment vertical="center"/>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7" xfId="0" applyFont="1" applyBorder="1" applyAlignment="1">
      <alignment horizontal="left" vertical="top" wrapText="1"/>
    </xf>
    <xf numFmtId="0" fontId="22" fillId="0" borderId="28" xfId="0" applyFont="1" applyBorder="1" applyAlignment="1">
      <alignment horizontal="left" vertical="top" wrapText="1"/>
    </xf>
    <xf numFmtId="0" fontId="22" fillId="0" borderId="0" xfId="0" applyFont="1" applyAlignment="1">
      <alignment horizontal="left" vertical="top" wrapText="1"/>
    </xf>
    <xf numFmtId="0" fontId="22" fillId="0" borderId="29" xfId="0" applyFont="1" applyBorder="1" applyAlignment="1">
      <alignment horizontal="left" vertical="top" wrapText="1"/>
    </xf>
    <xf numFmtId="0" fontId="22" fillId="0" borderId="30" xfId="0" applyFont="1" applyBorder="1" applyAlignment="1">
      <alignment horizontal="left" vertical="top" wrapText="1"/>
    </xf>
    <xf numFmtId="0" fontId="22" fillId="0" borderId="31" xfId="0" applyFont="1" applyBorder="1" applyAlignment="1">
      <alignment horizontal="left" vertical="top" wrapText="1"/>
    </xf>
    <xf numFmtId="0" fontId="22"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0" xfId="0"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176" fontId="7" fillId="0" borderId="4" xfId="1" applyNumberFormat="1" applyFont="1" applyBorder="1" applyAlignment="1">
      <alignment horizontal="left" vertical="center"/>
    </xf>
    <xf numFmtId="176" fontId="7" fillId="0" borderId="16" xfId="1" applyNumberFormat="1" applyFont="1" applyBorder="1" applyAlignment="1">
      <alignment horizontal="left" vertical="center"/>
    </xf>
    <xf numFmtId="176" fontId="7"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5" fillId="0" borderId="4" xfId="1" applyNumberFormat="1" applyBorder="1" applyAlignment="1">
      <alignment horizontal="left" vertical="center"/>
    </xf>
    <xf numFmtId="176" fontId="10" fillId="0" borderId="1" xfId="0" applyNumberFormat="1" applyFont="1" applyBorder="1" applyAlignment="1">
      <alignment horizontal="left" vertical="center"/>
    </xf>
    <xf numFmtId="176" fontId="10" fillId="0" borderId="2" xfId="0" applyNumberFormat="1" applyFont="1" applyBorder="1" applyAlignment="1">
      <alignment horizontal="left" vertical="center"/>
    </xf>
    <xf numFmtId="178" fontId="10" fillId="0" borderId="1" xfId="0" applyNumberFormat="1" applyFont="1" applyBorder="1" applyAlignment="1">
      <alignment horizontal="center" vertical="center"/>
    </xf>
    <xf numFmtId="176" fontId="10" fillId="0" borderId="1" xfId="0" applyNumberFormat="1" applyFont="1" applyBorder="1" applyAlignment="1">
      <alignment horizontal="center" vertical="center"/>
    </xf>
    <xf numFmtId="176" fontId="10" fillId="0" borderId="19" xfId="0" applyNumberFormat="1" applyFont="1" applyBorder="1" applyAlignment="1">
      <alignment horizontal="left" vertical="center"/>
    </xf>
    <xf numFmtId="176" fontId="10" fillId="0" borderId="3" xfId="0" applyNumberFormat="1" applyFont="1" applyBorder="1" applyAlignment="1">
      <alignment horizontal="left" vertical="center"/>
    </xf>
    <xf numFmtId="176" fontId="0" fillId="0" borderId="19" xfId="0" applyNumberFormat="1" applyFill="1" applyBorder="1">
      <alignment vertical="center"/>
    </xf>
    <xf numFmtId="178" fontId="0" fillId="2" borderId="19" xfId="0" applyNumberFormat="1" applyFill="1" applyBorder="1">
      <alignment vertical="center"/>
    </xf>
    <xf numFmtId="176" fontId="0" fillId="0" borderId="2"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0" fontId="0" fillId="2" borderId="2" xfId="0" applyFill="1" applyBorder="1">
      <alignment vertical="center"/>
    </xf>
    <xf numFmtId="176" fontId="0" fillId="0" borderId="11" xfId="0" applyNumberFormat="1" applyBorder="1">
      <alignment vertical="center"/>
    </xf>
    <xf numFmtId="178" fontId="0" fillId="0" borderId="3" xfId="0" applyNumberFormat="1" applyBorder="1" applyAlignment="1">
      <alignment horizontal="righ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8" fontId="0" fillId="0" borderId="1" xfId="0" applyNumberFormat="1" applyBorder="1" applyAlignment="1">
      <alignment horizontal="right" vertical="center"/>
    </xf>
    <xf numFmtId="177" fontId="0" fillId="4" borderId="1" xfId="0" applyNumberFormat="1" applyFill="1" applyBorder="1">
      <alignment vertical="center"/>
    </xf>
    <xf numFmtId="178" fontId="0" fillId="4" borderId="1" xfId="0" applyNumberFormat="1" applyFill="1" applyBorder="1">
      <alignment vertical="center"/>
    </xf>
  </cellXfs>
  <cellStyles count="2">
    <cellStyle name="ハイパーリンク" xfId="1" builtinId="8"/>
    <cellStyle name="標準" xfId="0" builtinId="0"/>
  </cellStyles>
  <dxfs count="3">
    <dxf>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6747-374A-94B5-4049C31C14AE}"/>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'[1]スパー寸法(sht20)'!$R$43</c:f>
              <c:strCache>
                <c:ptCount val="1"/>
                <c:pt idx="0">
                  <c:v>Eix</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'[1]スパー寸法(sht20)'!$E$46:$E$108</c:f>
              <c:numCache>
                <c:formatCode>General</c:formatCode>
                <c:ptCount val="63"/>
                <c:pt idx="0">
                  <c:v>0.2</c:v>
                </c:pt>
                <c:pt idx="1">
                  <c:v>0.4</c:v>
                </c:pt>
                <c:pt idx="2">
                  <c:v>0.60000000000000009</c:v>
                </c:pt>
                <c:pt idx="3">
                  <c:v>0.8</c:v>
                </c:pt>
                <c:pt idx="4">
                  <c:v>1</c:v>
                </c:pt>
                <c:pt idx="5">
                  <c:v>1.2000000000000002</c:v>
                </c:pt>
                <c:pt idx="6">
                  <c:v>1.4000000000000001</c:v>
                </c:pt>
                <c:pt idx="7">
                  <c:v>1.6</c:v>
                </c:pt>
                <c:pt idx="8">
                  <c:v>1.8</c:v>
                </c:pt>
                <c:pt idx="9">
                  <c:v>2</c:v>
                </c:pt>
                <c:pt idx="10">
                  <c:v>2.2000000000000002</c:v>
                </c:pt>
                <c:pt idx="11">
                  <c:v>2.4000000000000004</c:v>
                </c:pt>
                <c:pt idx="12">
                  <c:v>2.6</c:v>
                </c:pt>
                <c:pt idx="13">
                  <c:v>2.8000000000000003</c:v>
                </c:pt>
                <c:pt idx="14">
                  <c:v>3</c:v>
                </c:pt>
                <c:pt idx="15">
                  <c:v>3.2</c:v>
                </c:pt>
                <c:pt idx="16">
                  <c:v>3.4000000000000004</c:v>
                </c:pt>
                <c:pt idx="17">
                  <c:v>3.6</c:v>
                </c:pt>
                <c:pt idx="18">
                  <c:v>3.8000000000000003</c:v>
                </c:pt>
                <c:pt idx="19">
                  <c:v>4</c:v>
                </c:pt>
                <c:pt idx="20">
                  <c:v>4.2</c:v>
                </c:pt>
                <c:pt idx="21">
                  <c:v>4.4000000000000004</c:v>
                </c:pt>
                <c:pt idx="22">
                  <c:v>4.6000000000000005</c:v>
                </c:pt>
                <c:pt idx="23">
                  <c:v>4.8000000000000007</c:v>
                </c:pt>
                <c:pt idx="24">
                  <c:v>5</c:v>
                </c:pt>
                <c:pt idx="25">
                  <c:v>5.2</c:v>
                </c:pt>
                <c:pt idx="26">
                  <c:v>5.4</c:v>
                </c:pt>
                <c:pt idx="27">
                  <c:v>5.6000000000000005</c:v>
                </c:pt>
                <c:pt idx="28">
                  <c:v>5.8000000000000007</c:v>
                </c:pt>
                <c:pt idx="29">
                  <c:v>6</c:v>
                </c:pt>
                <c:pt idx="30">
                  <c:v>6.2</c:v>
                </c:pt>
                <c:pt idx="31">
                  <c:v>6.4</c:v>
                </c:pt>
                <c:pt idx="32">
                  <c:v>6.6000000000000005</c:v>
                </c:pt>
                <c:pt idx="33">
                  <c:v>6.8000000000000007</c:v>
                </c:pt>
                <c:pt idx="34">
                  <c:v>7</c:v>
                </c:pt>
                <c:pt idx="35">
                  <c:v>7.2</c:v>
                </c:pt>
                <c:pt idx="36">
                  <c:v>7.4</c:v>
                </c:pt>
                <c:pt idx="37">
                  <c:v>7.6000000000000005</c:v>
                </c:pt>
                <c:pt idx="38">
                  <c:v>7.8000000000000007</c:v>
                </c:pt>
                <c:pt idx="39">
                  <c:v>8</c:v>
                </c:pt>
                <c:pt idx="40">
                  <c:v>8.2000000000000011</c:v>
                </c:pt>
                <c:pt idx="41">
                  <c:v>8.4</c:v>
                </c:pt>
                <c:pt idx="42">
                  <c:v>8.6</c:v>
                </c:pt>
                <c:pt idx="43">
                  <c:v>8.8000000000000007</c:v>
                </c:pt>
                <c:pt idx="44">
                  <c:v>9</c:v>
                </c:pt>
                <c:pt idx="45">
                  <c:v>9.2000000000000011</c:v>
                </c:pt>
                <c:pt idx="46">
                  <c:v>9.4</c:v>
                </c:pt>
                <c:pt idx="47">
                  <c:v>9.6000000000000014</c:v>
                </c:pt>
                <c:pt idx="48">
                  <c:v>9.8000000000000007</c:v>
                </c:pt>
                <c:pt idx="49">
                  <c:v>10</c:v>
                </c:pt>
                <c:pt idx="50">
                  <c:v>10.200000000000001</c:v>
                </c:pt>
                <c:pt idx="51">
                  <c:v>10.4</c:v>
                </c:pt>
                <c:pt idx="52">
                  <c:v>10.600000000000001</c:v>
                </c:pt>
                <c:pt idx="53">
                  <c:v>10.8</c:v>
                </c:pt>
                <c:pt idx="54">
                  <c:v>11</c:v>
                </c:pt>
                <c:pt idx="55">
                  <c:v>11.200000000000001</c:v>
                </c:pt>
                <c:pt idx="56">
                  <c:v>11.4</c:v>
                </c:pt>
                <c:pt idx="57">
                  <c:v>11.600000000000001</c:v>
                </c:pt>
                <c:pt idx="58">
                  <c:v>11.8</c:v>
                </c:pt>
                <c:pt idx="59">
                  <c:v>12</c:v>
                </c:pt>
                <c:pt idx="60">
                  <c:v>12.200000000000001</c:v>
                </c:pt>
                <c:pt idx="61">
                  <c:v>12.4</c:v>
                </c:pt>
              </c:numCache>
            </c:numRef>
          </c:xVal>
          <c:yVal>
            <c:numRef>
              <c:f>'[1]スパー寸法(sht20)'!$R$46:$R$108</c:f>
              <c:numCache>
                <c:formatCode>General</c:formatCode>
                <c:ptCount val="63"/>
                <c:pt idx="0">
                  <c:v>157252.52557154291</c:v>
                </c:pt>
                <c:pt idx="1">
                  <c:v>157252.52557154291</c:v>
                </c:pt>
                <c:pt idx="2">
                  <c:v>157252.52557154291</c:v>
                </c:pt>
                <c:pt idx="3">
                  <c:v>157252.52557154291</c:v>
                </c:pt>
                <c:pt idx="4">
                  <c:v>157252.52557154291</c:v>
                </c:pt>
                <c:pt idx="5">
                  <c:v>157252.52557154291</c:v>
                </c:pt>
                <c:pt idx="6">
                  <c:v>417047.45359311189</c:v>
                </c:pt>
                <c:pt idx="7">
                  <c:v>353770.2049672468</c:v>
                </c:pt>
                <c:pt idx="8">
                  <c:v>118947.17316938385</c:v>
                </c:pt>
                <c:pt idx="9">
                  <c:v>114111.32481015197</c:v>
                </c:pt>
                <c:pt idx="10">
                  <c:v>109408.35420152215</c:v>
                </c:pt>
                <c:pt idx="11">
                  <c:v>104836.41021226389</c:v>
                </c:pt>
                <c:pt idx="12">
                  <c:v>100393.64171114984</c:v>
                </c:pt>
                <c:pt idx="13">
                  <c:v>96078.197566948424</c:v>
                </c:pt>
                <c:pt idx="14">
                  <c:v>91888.226648431009</c:v>
                </c:pt>
                <c:pt idx="15">
                  <c:v>87821.877824366413</c:v>
                </c:pt>
                <c:pt idx="16">
                  <c:v>83877.299963525147</c:v>
                </c:pt>
                <c:pt idx="17">
                  <c:v>80052.641934676431</c:v>
                </c:pt>
                <c:pt idx="18">
                  <c:v>76346.052606588899</c:v>
                </c:pt>
                <c:pt idx="19">
                  <c:v>72755.680848032353</c:v>
                </c:pt>
                <c:pt idx="20">
                  <c:v>69279.675527775617</c:v>
                </c:pt>
                <c:pt idx="21">
                  <c:v>65916.185514586061</c:v>
                </c:pt>
                <c:pt idx="22">
                  <c:v>62663.359677233173</c:v>
                </c:pt>
                <c:pt idx="23">
                  <c:v>59519.346884484214</c:v>
                </c:pt>
                <c:pt idx="24">
                  <c:v>152220.09229710227</c:v>
                </c:pt>
                <c:pt idx="25">
                  <c:v>48140.846660076037</c:v>
                </c:pt>
                <c:pt idx="26">
                  <c:v>45769.489417668949</c:v>
                </c:pt>
                <c:pt idx="27">
                  <c:v>43477.312827152295</c:v>
                </c:pt>
                <c:pt idx="28">
                  <c:v>41262.972377632439</c:v>
                </c:pt>
                <c:pt idx="29">
                  <c:v>39125.123558215448</c:v>
                </c:pt>
                <c:pt idx="30">
                  <c:v>37062.421858005924</c:v>
                </c:pt>
                <c:pt idx="31">
                  <c:v>35073.522766110633</c:v>
                </c:pt>
                <c:pt idx="32">
                  <c:v>33157.081771634119</c:v>
                </c:pt>
                <c:pt idx="33">
                  <c:v>31311.754363682416</c:v>
                </c:pt>
                <c:pt idx="34">
                  <c:v>29536.196031360356</c:v>
                </c:pt>
                <c:pt idx="35">
                  <c:v>27829.062263773772</c:v>
                </c:pt>
                <c:pt idx="36">
                  <c:v>26189.008550026636</c:v>
                </c:pt>
                <c:pt idx="37">
                  <c:v>24614.690379224387</c:v>
                </c:pt>
                <c:pt idx="38">
                  <c:v>23104.763240470984</c:v>
                </c:pt>
                <c:pt idx="39">
                  <c:v>21657.882622871333</c:v>
                </c:pt>
                <c:pt idx="40">
                  <c:v>20272.70401552914</c:v>
                </c:pt>
                <c:pt idx="41">
                  <c:v>58468.440322835304</c:v>
                </c:pt>
                <c:pt idx="42">
                  <c:v>54023.488618743169</c:v>
                </c:pt>
                <c:pt idx="43">
                  <c:v>14740.77884647786</c:v>
                </c:pt>
                <c:pt idx="44">
                  <c:v>13545.204771141358</c:v>
                </c:pt>
                <c:pt idx="45">
                  <c:v>12422.882413388887</c:v>
                </c:pt>
                <c:pt idx="46">
                  <c:v>11370.811612208436</c:v>
                </c:pt>
                <c:pt idx="47">
                  <c:v>10386.053365267671</c:v>
                </c:pt>
                <c:pt idx="48">
                  <c:v>9465.7298289131613</c:v>
                </c:pt>
                <c:pt idx="49">
                  <c:v>8607.0243181712067</c:v>
                </c:pt>
                <c:pt idx="50">
                  <c:v>7807.1813067472931</c:v>
                </c:pt>
                <c:pt idx="51">
                  <c:v>7063.5064270257726</c:v>
                </c:pt>
                <c:pt idx="52">
                  <c:v>6373.3664700708432</c:v>
                </c:pt>
                <c:pt idx="53">
                  <c:v>5734.1893856255683</c:v>
                </c:pt>
                <c:pt idx="54">
                  <c:v>5143.4642821121824</c:v>
                </c:pt>
                <c:pt idx="55">
                  <c:v>4598.7414266321848</c:v>
                </c:pt>
                <c:pt idx="56">
                  <c:v>4097.6322449659183</c:v>
                </c:pt>
                <c:pt idx="57">
                  <c:v>3637.8093215728741</c:v>
                </c:pt>
                <c:pt idx="58">
                  <c:v>3217.0063995913674</c:v>
                </c:pt>
                <c:pt idx="59">
                  <c:v>2833.0183808385145</c:v>
                </c:pt>
                <c:pt idx="60">
                  <c:v>2659.3987350928619</c:v>
                </c:pt>
                <c:pt idx="61">
                  <c:v>2323.2356831890775</c:v>
                </c:pt>
              </c:numCache>
            </c:numRef>
          </c:yVal>
          <c:smooth val="0"/>
          <c:extLst>
            <c:ext xmlns:c16="http://schemas.microsoft.com/office/drawing/2014/chart" uri="{C3380CC4-5D6E-409C-BE32-E72D297353CC}">
              <c16:uniqueId val="{00000000-A920-444D-A4C9-750B0AC53871}"/>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5332-E843-BEFE-BFDB27DB39E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0</xdr:colOff>
      <xdr:row>18</xdr:row>
      <xdr:rowOff>0</xdr:rowOff>
    </xdr:from>
    <xdr:to>
      <xdr:col>7</xdr:col>
      <xdr:colOff>0</xdr:colOff>
      <xdr:row>19</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4800600" y="4660900"/>
          <a:ext cx="13589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単純解析</a:t>
          </a:r>
        </a:p>
      </xdr:txBody>
    </xdr:sp>
    <xdr:clientData/>
  </xdr:twoCellAnchor>
  <xdr:twoCellAnchor>
    <xdr:from>
      <xdr:col>7</xdr:col>
      <xdr:colOff>0</xdr:colOff>
      <xdr:row>18</xdr:row>
      <xdr:rowOff>0</xdr:rowOff>
    </xdr:from>
    <xdr:to>
      <xdr:col>9</xdr:col>
      <xdr:colOff>0</xdr:colOff>
      <xdr:row>19</xdr:row>
      <xdr:rowOff>0</xdr:rowOff>
    </xdr:to>
    <xdr:sp macro="" textlink="">
      <xdr:nvSpPr>
        <xdr:cNvPr id="4" name="正方形/長方形 1">
          <a:extLst>
            <a:ext uri="{FF2B5EF4-FFF2-40B4-BE49-F238E27FC236}">
              <a16:creationId xmlns:a16="http://schemas.microsoft.com/office/drawing/2014/main" id="{DF1998F1-1D7F-D94B-9EF5-4A26324FF780}"/>
            </a:ext>
          </a:extLst>
        </xdr:cNvPr>
        <xdr:cNvSpPr/>
      </xdr:nvSpPr>
      <xdr:spPr>
        <a:xfrm>
          <a:off x="6159500" y="4660900"/>
          <a:ext cx="14986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トリム解析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xdr:colOff>
      <xdr:row>15</xdr:row>
      <xdr:rowOff>0</xdr:rowOff>
    </xdr:from>
    <xdr:to>
      <xdr:col>26</xdr:col>
      <xdr:colOff>0</xdr:colOff>
      <xdr:row>27</xdr:row>
      <xdr:rowOff>0</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27</xdr:row>
      <xdr:rowOff>0</xdr:rowOff>
    </xdr:from>
    <xdr:to>
      <xdr:col>37</xdr:col>
      <xdr:colOff>0</xdr:colOff>
      <xdr:row>36</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15</xdr:row>
      <xdr:rowOff>0</xdr:rowOff>
    </xdr:from>
    <xdr:to>
      <xdr:col>16</xdr:col>
      <xdr:colOff>0</xdr:colOff>
      <xdr:row>27</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0</xdr:colOff>
      <xdr:row>36</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663864" y="7215909"/>
          <a:ext cx="1327727" cy="20204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27</xdr:row>
      <xdr:rowOff>0</xdr:rowOff>
    </xdr:from>
    <xdr:to>
      <xdr:col>26</xdr:col>
      <xdr:colOff>0</xdr:colOff>
      <xdr:row>36</xdr:row>
      <xdr:rowOff>0</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0</xdr:colOff>
      <xdr:row>15</xdr:row>
      <xdr:rowOff>0</xdr:rowOff>
    </xdr:from>
    <xdr:to>
      <xdr:col>37</xdr:col>
      <xdr:colOff>0</xdr:colOff>
      <xdr:row>27</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663864" y="202045"/>
          <a:ext cx="1327727" cy="20204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1</xdr:row>
      <xdr:rowOff>0</xdr:rowOff>
    </xdr:from>
    <xdr:to>
      <xdr:col>11</xdr:col>
      <xdr:colOff>431321</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0</xdr:colOff>
      <xdr:row>40</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7390086" y="9820603"/>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15</xdr:row>
      <xdr:rowOff>0</xdr:rowOff>
    </xdr:from>
    <xdr:to>
      <xdr:col>11</xdr:col>
      <xdr:colOff>0</xdr:colOff>
      <xdr:row>25</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494192</xdr:colOff>
      <xdr:row>15</xdr:row>
      <xdr:rowOff>0</xdr:rowOff>
    </xdr:from>
    <xdr:to>
      <xdr:col>23</xdr:col>
      <xdr:colOff>-1</xdr:colOff>
      <xdr:row>25</xdr:row>
      <xdr:rowOff>0</xdr:rowOff>
    </xdr:to>
    <xdr:graphicFrame macro="">
      <xdr:nvGraphicFramePr>
        <xdr:cNvPr id="15" name="グラフ 14">
          <a:extLst>
            <a:ext uri="{FF2B5EF4-FFF2-40B4-BE49-F238E27FC236}">
              <a16:creationId xmlns:a16="http://schemas.microsoft.com/office/drawing/2014/main" id="{472A6DA1-F580-C74C-968E-E2FD949A15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44</xdr:row>
      <xdr:rowOff>0</xdr:rowOff>
    </xdr:from>
    <xdr:to>
      <xdr:col>4</xdr:col>
      <xdr:colOff>0</xdr:colOff>
      <xdr:row>45</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8</xdr:col>
      <xdr:colOff>0</xdr:colOff>
      <xdr:row>1</xdr:row>
      <xdr:rowOff>0</xdr:rowOff>
    </xdr:from>
    <xdr:to>
      <xdr:col>9</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8</xdr:col>
      <xdr:colOff>0</xdr:colOff>
      <xdr:row>1</xdr:row>
      <xdr:rowOff>0</xdr:rowOff>
    </xdr:from>
    <xdr:to>
      <xdr:col>10</xdr:col>
      <xdr:colOff>0</xdr:colOff>
      <xdr:row>2</xdr:row>
      <xdr:rowOff>0</xdr:rowOff>
    </xdr:to>
    <xdr:sp macro="" textlink="">
      <xdr:nvSpPr>
        <xdr:cNvPr id="2" name="正方形/長方形 4">
          <a:extLst>
            <a:ext uri="{FF2B5EF4-FFF2-40B4-BE49-F238E27FC236}">
              <a16:creationId xmlns:a16="http://schemas.microsoft.com/office/drawing/2014/main" id="{C888D7C7-10F8-4A0E-AB80-40C3C6529D53}"/>
            </a:ext>
          </a:extLst>
        </xdr:cNvPr>
        <xdr:cNvSpPr/>
      </xdr:nvSpPr>
      <xdr:spPr>
        <a:xfrm>
          <a:off x="492672" y="251810"/>
          <a:ext cx="985345"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0</xdr:rowOff>
    </xdr:from>
    <xdr:to>
      <xdr:col>3</xdr:col>
      <xdr:colOff>0</xdr:colOff>
      <xdr:row>7</xdr:row>
      <xdr:rowOff>1</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62000" y="1469571"/>
          <a:ext cx="1524000" cy="244930"/>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63500</xdr:colOff>
      <xdr:row>12</xdr:row>
      <xdr:rowOff>88900</xdr:rowOff>
    </xdr:from>
    <xdr:to>
      <xdr:col>18</xdr:col>
      <xdr:colOff>7328422</xdr:colOff>
      <xdr:row>12</xdr:row>
      <xdr:rowOff>1332486</xdr:rowOff>
    </xdr:to>
    <xdr:pic>
      <xdr:nvPicPr>
        <xdr:cNvPr id="4" name="QX0023">
          <a:extLst>
            <a:ext uri="{FF2B5EF4-FFF2-40B4-BE49-F238E27FC236}">
              <a16:creationId xmlns:a16="http://schemas.microsoft.com/office/drawing/2014/main" id="{DF16F74F-EA92-2370-5D3A-AE95F072298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522325" y="3089275"/>
          <a:ext cx="7264922" cy="1243586"/>
        </a:xfrm>
        <a:prstGeom prst="rect">
          <a:avLst/>
        </a:prstGeom>
      </xdr:spPr>
    </xdr:pic>
    <xdr:clientData/>
  </xdr:twoCellAnchor>
  <xdr:twoCellAnchor editAs="oneCell">
    <xdr:from>
      <xdr:col>18</xdr:col>
      <xdr:colOff>63500</xdr:colOff>
      <xdr:row>13</xdr:row>
      <xdr:rowOff>88900</xdr:rowOff>
    </xdr:from>
    <xdr:to>
      <xdr:col>18</xdr:col>
      <xdr:colOff>7328422</xdr:colOff>
      <xdr:row>13</xdr:row>
      <xdr:rowOff>1236474</xdr:rowOff>
    </xdr:to>
    <xdr:pic>
      <xdr:nvPicPr>
        <xdr:cNvPr id="6" name="QX0123">
          <a:extLst>
            <a:ext uri="{FF2B5EF4-FFF2-40B4-BE49-F238E27FC236}">
              <a16:creationId xmlns:a16="http://schemas.microsoft.com/office/drawing/2014/main" id="{97B0F64C-B5BB-4C51-3F87-1E5E5D93C32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522325" y="4460875"/>
          <a:ext cx="7264922" cy="1147574"/>
        </a:xfrm>
        <a:prstGeom prst="rect">
          <a:avLst/>
        </a:prstGeom>
      </xdr:spPr>
    </xdr:pic>
    <xdr:clientData/>
  </xdr:twoCellAnchor>
  <xdr:twoCellAnchor editAs="oneCell">
    <xdr:from>
      <xdr:col>18</xdr:col>
      <xdr:colOff>63500</xdr:colOff>
      <xdr:row>14</xdr:row>
      <xdr:rowOff>331354</xdr:rowOff>
    </xdr:from>
    <xdr:to>
      <xdr:col>18</xdr:col>
      <xdr:colOff>7328422</xdr:colOff>
      <xdr:row>14</xdr:row>
      <xdr:rowOff>1149744</xdr:rowOff>
    </xdr:to>
    <xdr:pic>
      <xdr:nvPicPr>
        <xdr:cNvPr id="8" name="NACA 0009">
          <a:extLst>
            <a:ext uri="{FF2B5EF4-FFF2-40B4-BE49-F238E27FC236}">
              <a16:creationId xmlns:a16="http://schemas.microsoft.com/office/drawing/2014/main" id="{E4C3E148-6A26-9D67-99D9-C3BCF473799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522325" y="6074929"/>
          <a:ext cx="7264922" cy="818390"/>
        </a:xfrm>
        <a:prstGeom prst="rect">
          <a:avLst/>
        </a:prstGeom>
      </xdr:spPr>
    </xdr:pic>
    <xdr:clientData/>
  </xdr:twoCellAnchor>
  <xdr:twoCellAnchor editAs="oneCell">
    <xdr:from>
      <xdr:col>18</xdr:col>
      <xdr:colOff>28863</xdr:colOff>
      <xdr:row>15</xdr:row>
      <xdr:rowOff>175490</xdr:rowOff>
    </xdr:from>
    <xdr:to>
      <xdr:col>18</xdr:col>
      <xdr:colOff>7293785</xdr:colOff>
      <xdr:row>15</xdr:row>
      <xdr:rowOff>1208764</xdr:rowOff>
    </xdr:to>
    <xdr:pic>
      <xdr:nvPicPr>
        <xdr:cNvPr id="10" name="NACA 0012">
          <a:extLst>
            <a:ext uri="{FF2B5EF4-FFF2-40B4-BE49-F238E27FC236}">
              <a16:creationId xmlns:a16="http://schemas.microsoft.com/office/drawing/2014/main" id="{8EAC404D-9ECE-A9AF-C148-9A4929007D8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487688" y="7290665"/>
          <a:ext cx="7264922" cy="103327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740807</xdr:colOff>
      <xdr:row>2</xdr:row>
      <xdr:rowOff>248</xdr:rowOff>
    </xdr:to>
    <xdr:sp macro="" textlink="">
      <xdr:nvSpPr>
        <xdr:cNvPr id="8" name="正方形/長方形 7">
          <a:extLst>
            <a:ext uri="{FF2B5EF4-FFF2-40B4-BE49-F238E27FC236}">
              <a16:creationId xmlns:a16="http://schemas.microsoft.com/office/drawing/2014/main" id="{17DFAF45-AEBD-437D-AA87-09FF1FE9BEC8}"/>
            </a:ext>
          </a:extLst>
        </xdr:cNvPr>
        <xdr:cNvSpPr/>
      </xdr:nvSpPr>
      <xdr:spPr>
        <a:xfrm>
          <a:off x="1485900" y="2476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6</xdr:row>
      <xdr:rowOff>0</xdr:rowOff>
    </xdr:from>
    <xdr:to>
      <xdr:col>2</xdr:col>
      <xdr:colOff>740807</xdr:colOff>
      <xdr:row>7</xdr:row>
      <xdr:rowOff>248</xdr:rowOff>
    </xdr:to>
    <xdr:sp macro="" textlink="">
      <xdr:nvSpPr>
        <xdr:cNvPr id="9" name="正方形/長方形 8">
          <a:extLst>
            <a:ext uri="{FF2B5EF4-FFF2-40B4-BE49-F238E27FC236}">
              <a16:creationId xmlns:a16="http://schemas.microsoft.com/office/drawing/2014/main" id="{86C09FDD-E013-4AD7-9091-9B5B5D68F290}"/>
            </a:ext>
          </a:extLst>
        </xdr:cNvPr>
        <xdr:cNvSpPr/>
      </xdr:nvSpPr>
      <xdr:spPr>
        <a:xfrm>
          <a:off x="1485900" y="20002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11</xdr:row>
      <xdr:rowOff>0</xdr:rowOff>
    </xdr:from>
    <xdr:to>
      <xdr:col>3</xdr:col>
      <xdr:colOff>4207</xdr:colOff>
      <xdr:row>12</xdr:row>
      <xdr:rowOff>3969</xdr:rowOff>
    </xdr:to>
    <xdr:sp macro="" textlink="">
      <xdr:nvSpPr>
        <xdr:cNvPr id="3" name="正方形/長方形 1">
          <a:extLst>
            <a:ext uri="{FF2B5EF4-FFF2-40B4-BE49-F238E27FC236}">
              <a16:creationId xmlns:a16="http://schemas.microsoft.com/office/drawing/2014/main" id="{503A1CC4-77C4-0042-95A1-60606170525F}"/>
            </a:ext>
          </a:extLst>
        </xdr:cNvPr>
        <xdr:cNvSpPr/>
      </xdr:nvSpPr>
      <xdr:spPr>
        <a:xfrm>
          <a:off x="1320800" y="2275840"/>
          <a:ext cx="664607" cy="20716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mori_hayato_889_s_kyushu-u_ac_jp/Documents/AircraftDesign/QX-23/QX-23_ver202302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ersonal/mori_hayato_889_s_kyushu-u_ac_jp/Documents/AircraftDesign/QX-23/&#35373;&#35336;&#12471;&#12540;&#12488;&#26087;/QX-23_ver2023070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R43" t="str">
            <v>Eix</v>
          </cell>
          <cell r="S43" t="str">
            <v>GJ</v>
          </cell>
        </row>
        <row r="45">
          <cell r="E45">
            <v>0</v>
          </cell>
          <cell r="S45">
            <v>39886.577468579999</v>
          </cell>
        </row>
        <row r="46">
          <cell r="E46">
            <v>0.2</v>
          </cell>
          <cell r="R46">
            <v>157252.52557154291</v>
          </cell>
          <cell r="S46">
            <v>39886.577468579999</v>
          </cell>
        </row>
        <row r="47">
          <cell r="E47">
            <v>0.4</v>
          </cell>
          <cell r="R47">
            <v>157252.52557154291</v>
          </cell>
          <cell r="S47">
            <v>39886.577468579999</v>
          </cell>
        </row>
        <row r="48">
          <cell r="E48">
            <v>0.60000000000000009</v>
          </cell>
          <cell r="R48">
            <v>157252.52557154291</v>
          </cell>
          <cell r="S48">
            <v>39886.577468579999</v>
          </cell>
        </row>
        <row r="49">
          <cell r="E49">
            <v>0.8</v>
          </cell>
          <cell r="R49">
            <v>157252.52557154291</v>
          </cell>
          <cell r="S49">
            <v>39886.577468579999</v>
          </cell>
        </row>
        <row r="50">
          <cell r="E50">
            <v>1</v>
          </cell>
          <cell r="R50">
            <v>157252.52557154291</v>
          </cell>
          <cell r="S50">
            <v>39886.577468579999</v>
          </cell>
        </row>
        <row r="51">
          <cell r="E51">
            <v>1.2000000000000002</v>
          </cell>
          <cell r="R51">
            <v>157252.52557154291</v>
          </cell>
          <cell r="S51">
            <v>39886.577468579999</v>
          </cell>
        </row>
        <row r="52">
          <cell r="E52">
            <v>1.4000000000000001</v>
          </cell>
          <cell r="R52">
            <v>417047.45359311189</v>
          </cell>
          <cell r="S52">
            <v>109050.18707732446</v>
          </cell>
        </row>
        <row r="53">
          <cell r="E53">
            <v>1.6</v>
          </cell>
          <cell r="R53">
            <v>353770.2049672468</v>
          </cell>
          <cell r="S53">
            <v>92534.111291366906</v>
          </cell>
        </row>
        <row r="54">
          <cell r="E54">
            <v>1.8</v>
          </cell>
          <cell r="R54">
            <v>118947.17316938385</v>
          </cell>
          <cell r="S54">
            <v>26465.605508546225</v>
          </cell>
        </row>
        <row r="55">
          <cell r="E55">
            <v>2</v>
          </cell>
          <cell r="R55">
            <v>114111.32481015197</v>
          </cell>
          <cell r="S55">
            <v>25385.818911375416</v>
          </cell>
        </row>
        <row r="56">
          <cell r="E56">
            <v>2.2000000000000002</v>
          </cell>
          <cell r="R56">
            <v>109408.35420152215</v>
          </cell>
          <cell r="S56">
            <v>24335.808407058183</v>
          </cell>
        </row>
        <row r="57">
          <cell r="E57">
            <v>2.4000000000000004</v>
          </cell>
          <cell r="R57">
            <v>104836.41021226389</v>
          </cell>
          <cell r="S57">
            <v>23315.157686664203</v>
          </cell>
        </row>
        <row r="58">
          <cell r="E58">
            <v>2.6</v>
          </cell>
          <cell r="R58">
            <v>100393.64171114984</v>
          </cell>
          <cell r="S58">
            <v>22323.450441264253</v>
          </cell>
        </row>
        <row r="59">
          <cell r="E59">
            <v>2.8000000000000003</v>
          </cell>
          <cell r="R59">
            <v>96078.197566948424</v>
          </cell>
          <cell r="S59">
            <v>21360.270361928131</v>
          </cell>
        </row>
        <row r="60">
          <cell r="E60">
            <v>3</v>
          </cell>
          <cell r="R60">
            <v>91888.226648431009</v>
          </cell>
          <cell r="S60">
            <v>20425.201139726043</v>
          </cell>
        </row>
        <row r="61">
          <cell r="E61">
            <v>3.2</v>
          </cell>
          <cell r="R61">
            <v>87821.877824366413</v>
          </cell>
          <cell r="S61">
            <v>19517.826465728493</v>
          </cell>
        </row>
        <row r="62">
          <cell r="E62">
            <v>3.4000000000000004</v>
          </cell>
          <cell r="R62">
            <v>83877.299963525147</v>
          </cell>
          <cell r="S62">
            <v>18637.730031005369</v>
          </cell>
        </row>
        <row r="63">
          <cell r="E63">
            <v>3.6</v>
          </cell>
          <cell r="R63">
            <v>80052.641934676431</v>
          </cell>
          <cell r="S63">
            <v>17784.49552662719</v>
          </cell>
        </row>
        <row r="64">
          <cell r="E64">
            <v>3.8000000000000003</v>
          </cell>
          <cell r="R64">
            <v>76346.052606588899</v>
          </cell>
          <cell r="S64">
            <v>16957.706643663827</v>
          </cell>
        </row>
        <row r="65">
          <cell r="E65">
            <v>4</v>
          </cell>
          <cell r="R65">
            <v>72755.680848032353</v>
          </cell>
          <cell r="S65">
            <v>16156.947073185775</v>
          </cell>
        </row>
        <row r="66">
          <cell r="E66">
            <v>4.2</v>
          </cell>
          <cell r="R66">
            <v>69279.675527775617</v>
          </cell>
          <cell r="S66">
            <v>15381.800506262862</v>
          </cell>
        </row>
        <row r="67">
          <cell r="E67">
            <v>4.4000000000000004</v>
          </cell>
          <cell r="R67">
            <v>65916.185514586061</v>
          </cell>
          <cell r="S67">
            <v>14631.850633965598</v>
          </cell>
        </row>
        <row r="68">
          <cell r="E68">
            <v>4.6000000000000005</v>
          </cell>
          <cell r="R68">
            <v>62663.359677233173</v>
          </cell>
          <cell r="S68">
            <v>13906.68114736365</v>
          </cell>
        </row>
        <row r="69">
          <cell r="E69">
            <v>4.8000000000000007</v>
          </cell>
          <cell r="R69">
            <v>59519.346884484214</v>
          </cell>
          <cell r="S69">
            <v>13205.875737527811</v>
          </cell>
        </row>
        <row r="70">
          <cell r="E70">
            <v>5</v>
          </cell>
          <cell r="R70">
            <v>152220.09229710227</v>
          </cell>
          <cell r="S70">
            <v>45438.127640728606</v>
          </cell>
        </row>
        <row r="71">
          <cell r="E71">
            <v>5.2</v>
          </cell>
          <cell r="R71">
            <v>48140.846660076037</v>
          </cell>
          <cell r="S71">
            <v>15414.073763045697</v>
          </cell>
        </row>
        <row r="72">
          <cell r="E72">
            <v>5.4</v>
          </cell>
          <cell r="R72">
            <v>45769.489417668949</v>
          </cell>
          <cell r="S72">
            <v>14652.883790739243</v>
          </cell>
        </row>
        <row r="73">
          <cell r="E73">
            <v>5.6000000000000005</v>
          </cell>
          <cell r="R73">
            <v>43477.312827152295</v>
          </cell>
          <cell r="S73">
            <v>13917.175125948072</v>
          </cell>
        </row>
        <row r="74">
          <cell r="E74">
            <v>5.8000000000000007</v>
          </cell>
          <cell r="R74">
            <v>41262.972377632439</v>
          </cell>
          <cell r="S74">
            <v>13206.513970075668</v>
          </cell>
        </row>
        <row r="75">
          <cell r="E75">
            <v>6</v>
          </cell>
          <cell r="R75">
            <v>39125.123558215448</v>
          </cell>
          <cell r="S75">
            <v>12520.466524526146</v>
          </cell>
        </row>
        <row r="76">
          <cell r="E76">
            <v>6.2</v>
          </cell>
          <cell r="R76">
            <v>37062.421858005924</v>
          </cell>
          <cell r="S76">
            <v>11858.598990702674</v>
          </cell>
        </row>
        <row r="77">
          <cell r="E77">
            <v>6.4</v>
          </cell>
          <cell r="R77">
            <v>35073.522766110633</v>
          </cell>
          <cell r="S77">
            <v>11220.477570008994</v>
          </cell>
        </row>
        <row r="78">
          <cell r="E78">
            <v>6.6000000000000005</v>
          </cell>
          <cell r="R78">
            <v>33157.081771634119</v>
          </cell>
          <cell r="S78">
            <v>10605.668463849037</v>
          </cell>
        </row>
        <row r="79">
          <cell r="E79">
            <v>6.8000000000000007</v>
          </cell>
          <cell r="R79">
            <v>31311.754363682416</v>
          </cell>
          <cell r="S79">
            <v>10013.737873625985</v>
          </cell>
        </row>
        <row r="80">
          <cell r="E80">
            <v>7</v>
          </cell>
          <cell r="R80">
            <v>29536.196031360356</v>
          </cell>
          <cell r="S80">
            <v>9444.2520007437342</v>
          </cell>
        </row>
        <row r="81">
          <cell r="E81">
            <v>7.2</v>
          </cell>
          <cell r="R81">
            <v>27829.062263773772</v>
          </cell>
          <cell r="S81">
            <v>8896.777046605539</v>
          </cell>
        </row>
        <row r="82">
          <cell r="E82">
            <v>7.4</v>
          </cell>
          <cell r="R82">
            <v>26189.008550026636</v>
          </cell>
          <cell r="S82">
            <v>8370.8792126150893</v>
          </cell>
        </row>
        <row r="83">
          <cell r="E83">
            <v>7.6000000000000005</v>
          </cell>
          <cell r="R83">
            <v>24614.690379224387</v>
          </cell>
          <cell r="S83">
            <v>7866.124700175541</v>
          </cell>
        </row>
        <row r="84">
          <cell r="E84">
            <v>7.8000000000000007</v>
          </cell>
          <cell r="R84">
            <v>23104.763240470984</v>
          </cell>
          <cell r="S84">
            <v>7382.079710690432</v>
          </cell>
        </row>
        <row r="85">
          <cell r="E85">
            <v>8</v>
          </cell>
          <cell r="R85">
            <v>21657.882622871333</v>
          </cell>
          <cell r="S85">
            <v>6918.3104455630883</v>
          </cell>
        </row>
        <row r="86">
          <cell r="E86">
            <v>8.2000000000000011</v>
          </cell>
          <cell r="R86">
            <v>20272.70401552914</v>
          </cell>
          <cell r="S86">
            <v>6474.383106196844</v>
          </cell>
        </row>
        <row r="87">
          <cell r="E87">
            <v>8.4</v>
          </cell>
          <cell r="R87">
            <v>58468.440322835304</v>
          </cell>
          <cell r="S87">
            <v>17619.350926818279</v>
          </cell>
        </row>
        <row r="88">
          <cell r="E88">
            <v>8.6</v>
          </cell>
          <cell r="R88">
            <v>54023.488618743169</v>
          </cell>
          <cell r="S88">
            <v>16276.463865549023</v>
          </cell>
        </row>
        <row r="89">
          <cell r="E89">
            <v>8.8000000000000007</v>
          </cell>
          <cell r="R89">
            <v>14740.77884647786</v>
          </cell>
          <cell r="S89">
            <v>5369.852736781555</v>
          </cell>
        </row>
        <row r="90">
          <cell r="E90">
            <v>9</v>
          </cell>
          <cell r="R90">
            <v>13545.204771141358</v>
          </cell>
          <cell r="S90">
            <v>5000.8359593857849</v>
          </cell>
        </row>
        <row r="91">
          <cell r="E91">
            <v>9.2000000000000011</v>
          </cell>
          <cell r="R91">
            <v>12422.882413388887</v>
          </cell>
          <cell r="S91">
            <v>4649.1242975446103</v>
          </cell>
        </row>
        <row r="92">
          <cell r="E92">
            <v>9.4</v>
          </cell>
          <cell r="R92">
            <v>11370.811612208436</v>
          </cell>
          <cell r="S92">
            <v>4314.3021730397259</v>
          </cell>
        </row>
        <row r="93">
          <cell r="E93">
            <v>9.6000000000000014</v>
          </cell>
          <cell r="R93">
            <v>10386.053365267671</v>
          </cell>
          <cell r="S93">
            <v>3995.954007652766</v>
          </cell>
        </row>
        <row r="94">
          <cell r="E94">
            <v>9.8000000000000007</v>
          </cell>
          <cell r="R94">
            <v>9465.7298289131613</v>
          </cell>
          <cell r="S94">
            <v>3693.6642231653177</v>
          </cell>
        </row>
        <row r="95">
          <cell r="E95">
            <v>10</v>
          </cell>
          <cell r="R95">
            <v>8607.0243181712067</v>
          </cell>
          <cell r="S95">
            <v>3407.0172413589221</v>
          </cell>
        </row>
        <row r="96">
          <cell r="E96">
            <v>10.200000000000001</v>
          </cell>
          <cell r="R96">
            <v>7807.1813067472931</v>
          </cell>
          <cell r="S96">
            <v>3135.5974840148019</v>
          </cell>
        </row>
        <row r="97">
          <cell r="E97">
            <v>10.4</v>
          </cell>
          <cell r="R97">
            <v>7063.5064270257726</v>
          </cell>
          <cell r="S97">
            <v>2878.9893729142104</v>
          </cell>
        </row>
        <row r="98">
          <cell r="E98">
            <v>10.600000000000001</v>
          </cell>
          <cell r="R98">
            <v>6373.3664700708432</v>
          </cell>
          <cell r="S98">
            <v>2636.7773298381157</v>
          </cell>
        </row>
        <row r="99">
          <cell r="E99">
            <v>10.8</v>
          </cell>
          <cell r="R99">
            <v>5734.1893856255683</v>
          </cell>
          <cell r="S99">
            <v>2408.545776567295</v>
          </cell>
        </row>
        <row r="100">
          <cell r="E100">
            <v>11</v>
          </cell>
          <cell r="R100">
            <v>5143.4642821121824</v>
          </cell>
          <cell r="S100">
            <v>2193.8791348823111</v>
          </cell>
        </row>
        <row r="101">
          <cell r="E101">
            <v>11.200000000000001</v>
          </cell>
          <cell r="R101">
            <v>4598.7414266321848</v>
          </cell>
          <cell r="S101">
            <v>1992.3618265635157</v>
          </cell>
        </row>
        <row r="102">
          <cell r="E102">
            <v>11.4</v>
          </cell>
          <cell r="R102">
            <v>4097.6322449659183</v>
          </cell>
          <cell r="S102">
            <v>1803.5782733908536</v>
          </cell>
        </row>
        <row r="103">
          <cell r="E103">
            <v>11.600000000000001</v>
          </cell>
          <cell r="R103">
            <v>3637.8093215728741</v>
          </cell>
          <cell r="S103">
            <v>1627.1128971439553</v>
          </cell>
        </row>
        <row r="104">
          <cell r="E104">
            <v>11.8</v>
          </cell>
          <cell r="R104">
            <v>3217.0063995913674</v>
          </cell>
          <cell r="S104">
            <v>1462.550119602005</v>
          </cell>
        </row>
        <row r="105">
          <cell r="E105">
            <v>12</v>
          </cell>
          <cell r="R105">
            <v>2833.0183808385145</v>
          </cell>
          <cell r="S105">
            <v>1309.4743625436779</v>
          </cell>
        </row>
        <row r="106">
          <cell r="E106">
            <v>12.200000000000001</v>
          </cell>
          <cell r="R106">
            <v>2659.3987350928619</v>
          </cell>
          <cell r="S106">
            <v>1167.4700477470926</v>
          </cell>
        </row>
        <row r="107">
          <cell r="E107">
            <v>12.4</v>
          </cell>
          <cell r="R107">
            <v>2323.2356831890775</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39"/>
  <sheetViews>
    <sheetView zoomScaleNormal="70" workbookViewId="0">
      <selection activeCell="J19" sqref="J19"/>
    </sheetView>
  </sheetViews>
  <sheetFormatPr defaultColWidth="7.6640625" defaultRowHeight="19.5"/>
  <cols>
    <col min="2" max="2" width="15.109375" customWidth="1"/>
    <col min="4" max="4" width="8" customWidth="1"/>
    <col min="7" max="7" width="15.33203125" customWidth="1"/>
    <col min="9" max="9" width="9.109375" customWidth="1"/>
    <col min="14" max="14" width="8" customWidth="1"/>
    <col min="24" max="24" width="7.6640625" customWidth="1"/>
    <col min="29" max="29" width="7.6640625" customWidth="1"/>
    <col min="34" max="34" width="8.44140625" customWidth="1"/>
    <col min="35" max="35" width="7.6640625" customWidth="1"/>
    <col min="39" max="39" width="7.6640625" customWidth="1"/>
  </cols>
  <sheetData>
    <row r="2" spans="2:42" ht="20.25" thickBot="1">
      <c r="B2" t="s">
        <v>614</v>
      </c>
      <c r="G2" s="3" t="s">
        <v>64</v>
      </c>
      <c r="H2" s="3"/>
      <c r="I2" s="3"/>
      <c r="J2" s="3"/>
      <c r="L2" t="s">
        <v>412</v>
      </c>
      <c r="Q2" t="s">
        <v>384</v>
      </c>
      <c r="V2" t="s">
        <v>438</v>
      </c>
      <c r="AA2" s="3" t="s">
        <v>46</v>
      </c>
      <c r="AB2" s="3"/>
      <c r="AC2" s="3"/>
      <c r="AD2" s="3"/>
      <c r="AF2" s="3" t="s">
        <v>325</v>
      </c>
      <c r="AG2" s="3"/>
      <c r="AH2" s="3"/>
      <c r="AI2" s="3"/>
      <c r="AK2" s="53" t="s">
        <v>335</v>
      </c>
      <c r="AP2" t="s">
        <v>723</v>
      </c>
    </row>
    <row r="3" spans="2:42" ht="19.5" customHeight="1">
      <c r="B3" s="216" t="s">
        <v>1036</v>
      </c>
      <c r="C3" s="217"/>
      <c r="D3" s="217"/>
      <c r="E3" s="218"/>
      <c r="F3" s="81"/>
      <c r="G3" s="10" t="s">
        <v>65</v>
      </c>
      <c r="H3" s="10" t="s">
        <v>66</v>
      </c>
      <c r="I3" s="10" t="s">
        <v>67</v>
      </c>
      <c r="J3" s="10" t="s">
        <v>68</v>
      </c>
      <c r="L3" s="10" t="s">
        <v>616</v>
      </c>
      <c r="M3" s="10" t="s">
        <v>66</v>
      </c>
      <c r="N3" s="10" t="s">
        <v>67</v>
      </c>
      <c r="O3" s="10" t="s">
        <v>68</v>
      </c>
      <c r="Q3" s="10" t="s">
        <v>616</v>
      </c>
      <c r="R3" s="10" t="s">
        <v>66</v>
      </c>
      <c r="S3" s="10" t="s">
        <v>67</v>
      </c>
      <c r="T3" s="10" t="s">
        <v>68</v>
      </c>
      <c r="V3" s="18" t="s">
        <v>591</v>
      </c>
      <c r="W3" s="18" t="s">
        <v>66</v>
      </c>
      <c r="X3" s="18" t="s">
        <v>67</v>
      </c>
      <c r="Y3" s="18" t="s">
        <v>68</v>
      </c>
      <c r="AA3" s="10" t="s">
        <v>65</v>
      </c>
      <c r="AB3" s="10" t="s">
        <v>66</v>
      </c>
      <c r="AC3" s="10" t="s">
        <v>67</v>
      </c>
      <c r="AD3" s="10" t="s">
        <v>68</v>
      </c>
      <c r="AF3" s="10" t="s">
        <v>65</v>
      </c>
      <c r="AG3" s="10" t="s">
        <v>66</v>
      </c>
      <c r="AH3" s="10" t="s">
        <v>67</v>
      </c>
      <c r="AI3" s="10" t="s">
        <v>68</v>
      </c>
      <c r="AK3" s="10" t="s">
        <v>616</v>
      </c>
      <c r="AL3" s="10" t="s">
        <v>66</v>
      </c>
      <c r="AM3" s="10" t="s">
        <v>67</v>
      </c>
      <c r="AN3" s="10" t="s">
        <v>68</v>
      </c>
    </row>
    <row r="4" spans="2:42">
      <c r="B4" s="219"/>
      <c r="C4" s="220"/>
      <c r="D4" s="220"/>
      <c r="E4" s="221"/>
      <c r="F4" s="81"/>
      <c r="G4" s="1" t="s">
        <v>70</v>
      </c>
      <c r="H4" s="1" t="s">
        <v>71</v>
      </c>
      <c r="I4" s="1" cm="1">
        <f t="array" ref="I4:I16">物性値!D4:D16</f>
        <v>1.1643136152857254</v>
      </c>
      <c r="J4" s="1" t="s">
        <v>72</v>
      </c>
      <c r="L4" s="1" t="s">
        <v>414</v>
      </c>
      <c r="M4" s="1" t="s">
        <v>415</v>
      </c>
      <c r="N4" s="1">
        <f>D14</f>
        <v>10.5</v>
      </c>
      <c r="O4" s="1" t="s">
        <v>100</v>
      </c>
      <c r="Q4" s="56" t="s">
        <v>648</v>
      </c>
      <c r="R4" s="56" t="s">
        <v>173</v>
      </c>
      <c r="S4" s="56"/>
      <c r="T4" s="56"/>
      <c r="V4" s="56" t="s">
        <v>348</v>
      </c>
      <c r="W4" s="56" t="s">
        <v>349</v>
      </c>
      <c r="X4" s="36"/>
      <c r="Y4" s="36" t="s">
        <v>52</v>
      </c>
      <c r="AA4" s="1" t="s">
        <v>632</v>
      </c>
      <c r="AB4" s="1" t="s">
        <v>482</v>
      </c>
      <c r="AC4" s="1">
        <f>AZ13*2</f>
        <v>0</v>
      </c>
      <c r="AD4" s="1" t="s">
        <v>410</v>
      </c>
      <c r="AE4" s="3" t="s">
        <v>631</v>
      </c>
      <c r="AF4" s="1" t="s">
        <v>443</v>
      </c>
      <c r="AG4" s="1" t="s">
        <v>444</v>
      </c>
      <c r="AH4" s="1" t="e">
        <f>(AH22*AM3)/(AH21*AM22)</f>
        <v>#VALUE!</v>
      </c>
      <c r="AI4" s="1" t="s">
        <v>52</v>
      </c>
      <c r="AK4" s="56" t="s">
        <v>336</v>
      </c>
      <c r="AL4" s="56" t="s">
        <v>337</v>
      </c>
      <c r="AM4" s="56"/>
      <c r="AN4" s="56"/>
    </row>
    <row r="5" spans="2:42">
      <c r="B5" s="219"/>
      <c r="C5" s="220"/>
      <c r="D5" s="220"/>
      <c r="E5" s="221"/>
      <c r="F5" s="81"/>
      <c r="G5" s="1" t="s">
        <v>74</v>
      </c>
      <c r="H5" s="1" t="s">
        <v>75</v>
      </c>
      <c r="I5" s="1">
        <v>9.7970000000000006</v>
      </c>
      <c r="J5" s="1" t="s">
        <v>76</v>
      </c>
      <c r="L5" s="1" t="s">
        <v>418</v>
      </c>
      <c r="M5" s="1" t="s">
        <v>419</v>
      </c>
      <c r="N5" s="1">
        <f>N6*SQRT(D18)</f>
        <v>0</v>
      </c>
      <c r="O5" s="1" t="s">
        <v>100</v>
      </c>
      <c r="Q5" s="56"/>
      <c r="R5" s="56" t="s">
        <v>385</v>
      </c>
      <c r="S5" s="56"/>
      <c r="T5" s="56"/>
      <c r="V5" s="56" t="s">
        <v>350</v>
      </c>
      <c r="W5" s="56" t="s">
        <v>351</v>
      </c>
      <c r="X5" s="36"/>
      <c r="Y5" s="36" t="s">
        <v>52</v>
      </c>
      <c r="AA5" s="1" t="s">
        <v>505</v>
      </c>
      <c r="AB5" s="1" t="s">
        <v>633</v>
      </c>
      <c r="AC5" s="1">
        <f>AY13*2</f>
        <v>0</v>
      </c>
      <c r="AD5" s="1" t="s">
        <v>9</v>
      </c>
      <c r="AE5" s="3"/>
      <c r="AF5" s="1"/>
      <c r="AG5" s="1" t="s">
        <v>445</v>
      </c>
      <c r="AH5" s="1" t="s">
        <v>52</v>
      </c>
      <c r="AI5" s="1" t="s">
        <v>52</v>
      </c>
      <c r="AK5" s="56" t="s">
        <v>340</v>
      </c>
      <c r="AL5" s="56" t="s">
        <v>341</v>
      </c>
      <c r="AM5" s="56"/>
      <c r="AN5" s="56"/>
    </row>
    <row r="6" spans="2:42">
      <c r="B6" s="219"/>
      <c r="C6" s="220"/>
      <c r="D6" s="220"/>
      <c r="E6" s="221"/>
      <c r="F6" s="81"/>
      <c r="G6" s="1" t="s">
        <v>78</v>
      </c>
      <c r="H6" s="1" t="s">
        <v>79</v>
      </c>
      <c r="I6" s="1">
        <v>1.8608692424914869E-5</v>
      </c>
      <c r="J6" s="1" t="s">
        <v>80</v>
      </c>
      <c r="L6" s="1" t="s">
        <v>422</v>
      </c>
      <c r="M6" s="1" t="s">
        <v>423</v>
      </c>
      <c r="N6" s="1"/>
      <c r="O6" s="1" t="s">
        <v>100</v>
      </c>
      <c r="Q6" s="56"/>
      <c r="R6" s="56" t="s">
        <v>386</v>
      </c>
      <c r="S6" s="56"/>
      <c r="T6" s="56"/>
      <c r="V6" s="56" t="s">
        <v>296</v>
      </c>
      <c r="W6" s="56" t="s">
        <v>352</v>
      </c>
      <c r="X6" s="36"/>
      <c r="Y6" s="36" t="s">
        <v>52</v>
      </c>
      <c r="AA6" s="1" t="s">
        <v>595</v>
      </c>
      <c r="AB6" s="1" t="s">
        <v>601</v>
      </c>
      <c r="AC6" s="1" t="e">
        <f>(AC5*AC5)/AC4</f>
        <v>#DIV/0!</v>
      </c>
      <c r="AD6" s="1" t="s">
        <v>52</v>
      </c>
      <c r="AE6" s="3"/>
      <c r="AF6" s="1" t="s">
        <v>446</v>
      </c>
      <c r="AG6" s="1" t="s">
        <v>447</v>
      </c>
      <c r="AH6" s="66" t="e">
        <f>(AM5*AH23)/(AM20*AH21)</f>
        <v>#DIV/0!</v>
      </c>
      <c r="AI6" s="1" t="s">
        <v>52</v>
      </c>
      <c r="AK6" s="56" t="s">
        <v>342</v>
      </c>
      <c r="AL6" s="56" t="s">
        <v>343</v>
      </c>
      <c r="AM6" s="56"/>
      <c r="AN6" s="56"/>
    </row>
    <row r="7" spans="2:42">
      <c r="B7" s="219"/>
      <c r="C7" s="220"/>
      <c r="D7" s="220"/>
      <c r="E7" s="221"/>
      <c r="F7" s="81"/>
      <c r="G7" s="1" t="s">
        <v>82</v>
      </c>
      <c r="H7" s="1" t="s">
        <v>83</v>
      </c>
      <c r="I7" s="1">
        <v>1.5982543002684247E-5</v>
      </c>
      <c r="J7" s="1" t="s">
        <v>84</v>
      </c>
      <c r="L7" s="1" t="s">
        <v>424</v>
      </c>
      <c r="M7" s="1" t="s">
        <v>425</v>
      </c>
      <c r="N7" s="1"/>
      <c r="O7" s="1" t="s">
        <v>100</v>
      </c>
      <c r="V7" s="56" t="s">
        <v>299</v>
      </c>
      <c r="W7" s="56" t="s">
        <v>353</v>
      </c>
      <c r="X7" s="36"/>
      <c r="Y7" s="36" t="s">
        <v>52</v>
      </c>
      <c r="AA7" s="1" t="s">
        <v>634</v>
      </c>
      <c r="AB7" s="1" t="s">
        <v>635</v>
      </c>
      <c r="AC7" s="1" t="e">
        <f>(2/AC4)*BC13</f>
        <v>#DIV/0!</v>
      </c>
      <c r="AD7" s="1" t="s">
        <v>9</v>
      </c>
      <c r="AE7" s="3"/>
      <c r="AF7" s="1" t="s">
        <v>52</v>
      </c>
      <c r="AG7" s="1" t="s">
        <v>448</v>
      </c>
      <c r="AH7" s="1">
        <f>IF(AH10="Conventional",(2*S17*(180/PI()))/(PI()*AM21),0)</f>
        <v>0</v>
      </c>
      <c r="AI7" s="1" t="s">
        <v>52</v>
      </c>
      <c r="AK7" s="56" t="s">
        <v>344</v>
      </c>
      <c r="AL7" s="56" t="s">
        <v>310</v>
      </c>
      <c r="AM7" s="56"/>
      <c r="AN7" s="56"/>
    </row>
    <row r="8" spans="2:42" ht="20.25" thickBot="1">
      <c r="B8" s="219"/>
      <c r="C8" s="220"/>
      <c r="D8" s="220"/>
      <c r="E8" s="221"/>
      <c r="F8" s="81"/>
      <c r="G8" s="1" t="s">
        <v>85</v>
      </c>
      <c r="H8" s="1" t="s">
        <v>86</v>
      </c>
      <c r="I8" s="1">
        <v>30</v>
      </c>
      <c r="J8" s="1" t="s">
        <v>87</v>
      </c>
      <c r="L8" s="1" t="s">
        <v>428</v>
      </c>
      <c r="M8" s="1" t="s">
        <v>429</v>
      </c>
      <c r="N8" s="1"/>
      <c r="O8" s="1" t="s">
        <v>100</v>
      </c>
      <c r="Q8" t="s">
        <v>654</v>
      </c>
      <c r="V8" s="56" t="s">
        <v>301</v>
      </c>
      <c r="W8" s="56" t="s">
        <v>354</v>
      </c>
      <c r="X8" s="36"/>
      <c r="Y8" s="36" t="s">
        <v>52</v>
      </c>
      <c r="AA8" s="20" t="s">
        <v>636</v>
      </c>
      <c r="AB8" s="20" t="s">
        <v>433</v>
      </c>
      <c r="AC8" s="20" t="e">
        <f>(2*BD13)/AC4</f>
        <v>#DIV/0!</v>
      </c>
      <c r="AD8" s="20" t="s">
        <v>9</v>
      </c>
      <c r="AE8" s="3"/>
      <c r="AF8" s="1" t="s">
        <v>449</v>
      </c>
      <c r="AG8" s="1" t="s">
        <v>450</v>
      </c>
      <c r="AH8" s="22">
        <v>1</v>
      </c>
      <c r="AI8" s="1" t="s">
        <v>52</v>
      </c>
      <c r="AK8" s="56" t="s">
        <v>345</v>
      </c>
      <c r="AL8" s="56" t="s">
        <v>346</v>
      </c>
      <c r="AM8" s="56"/>
      <c r="AN8" s="56"/>
    </row>
    <row r="9" spans="2:42" ht="20.25" thickTop="1">
      <c r="B9" s="219"/>
      <c r="C9" s="220"/>
      <c r="D9" s="220"/>
      <c r="E9" s="221"/>
      <c r="G9" s="1"/>
      <c r="H9" s="1"/>
      <c r="I9" s="1">
        <v>303.14999999999998</v>
      </c>
      <c r="J9" s="1" t="s">
        <v>88</v>
      </c>
      <c r="Q9" s="10" t="s">
        <v>616</v>
      </c>
      <c r="R9" s="10" t="s">
        <v>66</v>
      </c>
      <c r="S9" s="10" t="s">
        <v>67</v>
      </c>
      <c r="T9" s="10" t="s">
        <v>68</v>
      </c>
      <c r="V9" s="56" t="s">
        <v>355</v>
      </c>
      <c r="W9" s="56" t="s">
        <v>356</v>
      </c>
      <c r="X9" s="36"/>
      <c r="Y9" s="36" t="s">
        <v>441</v>
      </c>
      <c r="AA9" s="2" t="s">
        <v>632</v>
      </c>
      <c r="AB9" s="1" t="s">
        <v>482</v>
      </c>
      <c r="AC9" s="1">
        <f>BV6</f>
        <v>0</v>
      </c>
      <c r="AD9" s="25" t="s">
        <v>410</v>
      </c>
      <c r="AE9" s="3" t="s">
        <v>637</v>
      </c>
      <c r="AF9" s="1" t="s">
        <v>456</v>
      </c>
      <c r="AG9" s="1" t="s">
        <v>457</v>
      </c>
      <c r="AH9" s="22">
        <v>0</v>
      </c>
      <c r="AI9" s="1" t="s">
        <v>52</v>
      </c>
    </row>
    <row r="10" spans="2:42" ht="20.25" thickBot="1">
      <c r="B10" s="222"/>
      <c r="C10" s="223"/>
      <c r="D10" s="223"/>
      <c r="E10" s="224"/>
      <c r="G10" s="1" t="s">
        <v>89</v>
      </c>
      <c r="H10" s="1" t="s">
        <v>90</v>
      </c>
      <c r="I10" s="29">
        <v>1013</v>
      </c>
      <c r="J10" s="1" t="s">
        <v>91</v>
      </c>
      <c r="L10" s="53" t="s">
        <v>413</v>
      </c>
      <c r="Q10" s="56" t="s">
        <v>388</v>
      </c>
      <c r="R10" s="56" t="s">
        <v>393</v>
      </c>
      <c r="S10" s="56"/>
      <c r="T10" s="56"/>
      <c r="V10" s="56" t="s">
        <v>296</v>
      </c>
      <c r="W10" s="56" t="s">
        <v>358</v>
      </c>
      <c r="X10" s="36"/>
      <c r="Y10" s="36" t="s">
        <v>441</v>
      </c>
      <c r="AA10" s="1" t="s">
        <v>505</v>
      </c>
      <c r="AB10" s="1" t="s">
        <v>633</v>
      </c>
      <c r="AC10" s="1">
        <f>BV7</f>
        <v>0</v>
      </c>
      <c r="AD10" s="1" t="s">
        <v>9</v>
      </c>
      <c r="AE10" s="3"/>
      <c r="AF10" s="2" t="s">
        <v>461</v>
      </c>
      <c r="AG10" s="2" t="s">
        <v>52</v>
      </c>
      <c r="AH10" s="67" t="s">
        <v>333</v>
      </c>
      <c r="AI10" s="1" t="s">
        <v>52</v>
      </c>
      <c r="AK10" s="53" t="s">
        <v>56</v>
      </c>
    </row>
    <row r="11" spans="2:42">
      <c r="G11" s="1"/>
      <c r="H11" s="1"/>
      <c r="I11" s="29">
        <v>101300</v>
      </c>
      <c r="J11" s="1" t="s">
        <v>92</v>
      </c>
      <c r="L11" s="10" t="s">
        <v>616</v>
      </c>
      <c r="M11" s="10" t="s">
        <v>66</v>
      </c>
      <c r="N11" s="10" t="s">
        <v>67</v>
      </c>
      <c r="O11" s="10" t="s">
        <v>68</v>
      </c>
      <c r="Q11" s="56" t="s">
        <v>395</v>
      </c>
      <c r="R11" s="56" t="s">
        <v>399</v>
      </c>
      <c r="S11" s="56"/>
      <c r="T11" s="56"/>
      <c r="V11" s="56" t="s">
        <v>299</v>
      </c>
      <c r="W11" s="56" t="s">
        <v>359</v>
      </c>
      <c r="X11" s="36"/>
      <c r="Y11" s="36" t="s">
        <v>357</v>
      </c>
      <c r="AA11" s="1" t="s">
        <v>595</v>
      </c>
      <c r="AB11" s="1" t="s">
        <v>601</v>
      </c>
      <c r="AC11" s="1">
        <f>BV8</f>
        <v>0</v>
      </c>
      <c r="AD11" s="1" t="s">
        <v>52</v>
      </c>
      <c r="AE11" s="3"/>
      <c r="AK11" s="10" t="s">
        <v>616</v>
      </c>
      <c r="AL11" s="10" t="s">
        <v>66</v>
      </c>
      <c r="AM11" s="10" t="s">
        <v>67</v>
      </c>
      <c r="AN11" s="10" t="s">
        <v>68</v>
      </c>
    </row>
    <row r="12" spans="2:42" ht="20.25" thickBot="1">
      <c r="B12" t="s">
        <v>590</v>
      </c>
      <c r="G12" s="1" t="s">
        <v>93</v>
      </c>
      <c r="H12" s="1" t="s">
        <v>94</v>
      </c>
      <c r="I12" s="1">
        <v>287</v>
      </c>
      <c r="J12" s="1" t="s">
        <v>95</v>
      </c>
      <c r="L12" s="56" t="s">
        <v>622</v>
      </c>
      <c r="M12" s="56" t="s">
        <v>183</v>
      </c>
      <c r="N12" s="56"/>
      <c r="O12" s="56"/>
      <c r="Q12" s="56" t="s">
        <v>400</v>
      </c>
      <c r="R12" s="56" t="s">
        <v>403</v>
      </c>
      <c r="S12" s="56"/>
      <c r="T12" s="56"/>
      <c r="V12" s="56" t="s">
        <v>301</v>
      </c>
      <c r="W12" s="56" t="s">
        <v>360</v>
      </c>
      <c r="X12" s="36"/>
      <c r="Y12" s="36" t="s">
        <v>357</v>
      </c>
      <c r="AA12" s="1" t="s">
        <v>634</v>
      </c>
      <c r="AB12" s="1" t="s">
        <v>602</v>
      </c>
      <c r="AC12" s="1">
        <f>BV9</f>
        <v>0</v>
      </c>
      <c r="AD12" s="1" t="s">
        <v>9</v>
      </c>
      <c r="AE12" s="3"/>
      <c r="AF12" s="3" t="s">
        <v>658</v>
      </c>
      <c r="AG12" s="3"/>
      <c r="AH12" s="3"/>
      <c r="AI12" s="3"/>
      <c r="AK12" s="64" t="s">
        <v>303</v>
      </c>
      <c r="AL12" s="64" t="s">
        <v>304</v>
      </c>
      <c r="AM12" s="64"/>
      <c r="AN12" s="64"/>
    </row>
    <row r="13" spans="2:42" ht="20.25" thickBot="1">
      <c r="B13" s="88" t="s">
        <v>591</v>
      </c>
      <c r="C13" s="89" t="s">
        <v>66</v>
      </c>
      <c r="D13" s="89" t="s">
        <v>67</v>
      </c>
      <c r="E13" s="90" t="s">
        <v>68</v>
      </c>
      <c r="G13" s="1" t="s">
        <v>96</v>
      </c>
      <c r="H13" s="1" t="s">
        <v>97</v>
      </c>
      <c r="I13" s="1">
        <v>1.4</v>
      </c>
      <c r="J13" s="1" t="s">
        <v>52</v>
      </c>
      <c r="L13" s="56" t="s">
        <v>623</v>
      </c>
      <c r="M13" s="56" t="s">
        <v>417</v>
      </c>
      <c r="N13" s="56"/>
      <c r="O13" s="56"/>
      <c r="Q13" s="56" t="s">
        <v>404</v>
      </c>
      <c r="R13" s="56" t="s">
        <v>405</v>
      </c>
      <c r="S13" s="56"/>
      <c r="T13" s="56"/>
      <c r="AA13" s="20" t="s">
        <v>636</v>
      </c>
      <c r="AB13" s="20" t="s">
        <v>433</v>
      </c>
      <c r="AC13" s="20">
        <f>BV10</f>
        <v>0</v>
      </c>
      <c r="AD13" s="20" t="s">
        <v>9</v>
      </c>
      <c r="AE13" s="3"/>
      <c r="AF13" s="10" t="s">
        <v>65</v>
      </c>
      <c r="AG13" s="10" t="s">
        <v>66</v>
      </c>
      <c r="AH13" s="10" t="s">
        <v>67</v>
      </c>
      <c r="AI13" s="10" t="s">
        <v>68</v>
      </c>
      <c r="AK13" s="56" t="s">
        <v>305</v>
      </c>
      <c r="AL13" s="56" t="s">
        <v>306</v>
      </c>
      <c r="AM13" s="56"/>
      <c r="AN13" s="56"/>
    </row>
    <row r="14" spans="2:42" ht="20.25" thickTop="1">
      <c r="B14" s="91" t="s">
        <v>598</v>
      </c>
      <c r="C14" s="56" t="s">
        <v>415</v>
      </c>
      <c r="D14" s="79">
        <v>10.5</v>
      </c>
      <c r="E14" s="92" t="s">
        <v>100</v>
      </c>
      <c r="F14" s="53"/>
      <c r="G14" s="1" t="s">
        <v>98</v>
      </c>
      <c r="H14" s="1" t="s">
        <v>99</v>
      </c>
      <c r="I14" s="1">
        <v>349.00669048028288</v>
      </c>
      <c r="J14" s="1" t="s">
        <v>100</v>
      </c>
      <c r="L14" s="56" t="s">
        <v>624</v>
      </c>
      <c r="M14" s="56" t="s">
        <v>421</v>
      </c>
      <c r="N14" s="56"/>
      <c r="O14" s="56"/>
      <c r="Q14" s="56"/>
      <c r="R14" s="56" t="s">
        <v>406</v>
      </c>
      <c r="S14" s="56"/>
      <c r="T14" s="56"/>
      <c r="V14" s="53" t="s">
        <v>464</v>
      </c>
      <c r="AA14" s="1" t="s">
        <v>430</v>
      </c>
      <c r="AB14" s="1" t="s">
        <v>431</v>
      </c>
      <c r="AC14" s="1"/>
      <c r="AD14" s="1" t="s">
        <v>432</v>
      </c>
      <c r="AF14" s="1" t="s">
        <v>46</v>
      </c>
      <c r="AG14" s="1" t="s">
        <v>482</v>
      </c>
      <c r="AH14" s="68">
        <v>0</v>
      </c>
      <c r="AI14" s="1">
        <v>0</v>
      </c>
      <c r="AK14" s="56" t="s">
        <v>307</v>
      </c>
      <c r="AL14" s="56" t="s">
        <v>308</v>
      </c>
      <c r="AM14" s="56"/>
      <c r="AN14" s="56"/>
    </row>
    <row r="15" spans="2:42">
      <c r="B15" s="91" t="s">
        <v>599</v>
      </c>
      <c r="C15" s="56" t="s">
        <v>52</v>
      </c>
      <c r="D15" s="79">
        <v>42</v>
      </c>
      <c r="E15" s="92" t="s">
        <v>10</v>
      </c>
      <c r="G15" s="1" t="s">
        <v>101</v>
      </c>
      <c r="H15" s="1" t="s">
        <v>102</v>
      </c>
      <c r="I15" s="1">
        <v>0.4</v>
      </c>
      <c r="J15" s="1" t="s">
        <v>52</v>
      </c>
      <c r="Q15" s="56" t="s">
        <v>407</v>
      </c>
      <c r="R15" s="56" t="s">
        <v>408</v>
      </c>
      <c r="S15" s="56"/>
      <c r="T15" s="56"/>
      <c r="V15" s="10" t="s">
        <v>65</v>
      </c>
      <c r="W15" s="10" t="s">
        <v>66</v>
      </c>
      <c r="X15" s="10" t="s">
        <v>67</v>
      </c>
      <c r="Y15" s="10" t="s">
        <v>68</v>
      </c>
      <c r="AA15" s="1" t="s">
        <v>311</v>
      </c>
      <c r="AB15" s="1" t="s">
        <v>312</v>
      </c>
      <c r="AC15" s="1"/>
      <c r="AD15" s="1" t="s">
        <v>51</v>
      </c>
      <c r="AF15" s="1" t="s">
        <v>56</v>
      </c>
      <c r="AG15" s="1" t="s">
        <v>501</v>
      </c>
      <c r="AH15" s="68">
        <v>0</v>
      </c>
      <c r="AI15" s="1">
        <v>0</v>
      </c>
      <c r="AK15" s="56" t="s">
        <v>309</v>
      </c>
      <c r="AL15" s="56" t="s">
        <v>310</v>
      </c>
      <c r="AM15" s="56"/>
      <c r="AN15" s="56"/>
    </row>
    <row r="16" spans="2:42">
      <c r="B16" s="91" t="s">
        <v>600</v>
      </c>
      <c r="C16" s="56" t="s">
        <v>52</v>
      </c>
      <c r="D16" s="79">
        <v>61</v>
      </c>
      <c r="E16" s="92" t="s">
        <v>10</v>
      </c>
      <c r="G16" s="1" t="s">
        <v>104</v>
      </c>
      <c r="H16" s="1" t="s">
        <v>105</v>
      </c>
      <c r="I16" s="1">
        <v>0.01</v>
      </c>
      <c r="J16" s="1" t="s">
        <v>52</v>
      </c>
      <c r="L16" s="3" t="s">
        <v>653</v>
      </c>
      <c r="M16" s="3"/>
      <c r="N16" s="3"/>
      <c r="O16" s="3"/>
      <c r="V16" s="2" t="s">
        <v>464</v>
      </c>
      <c r="W16" s="2" t="s">
        <v>472</v>
      </c>
      <c r="X16" s="2" t="e">
        <f>#REF!+#REF!*(#REF!/X26)+X18*(#REF!/X26)+(D25*(#REF!/X26)+D26*(#REF!/X26))*D27</f>
        <v>#REF!</v>
      </c>
      <c r="Y16" s="2" t="s">
        <v>52</v>
      </c>
      <c r="AA16" s="1" t="s">
        <v>313</v>
      </c>
      <c r="AB16" s="1" t="s">
        <v>314</v>
      </c>
      <c r="AC16" s="1"/>
      <c r="AD16" s="1" t="s">
        <v>51</v>
      </c>
      <c r="AF16" s="1" t="s">
        <v>57</v>
      </c>
      <c r="AG16" s="1" t="s">
        <v>503</v>
      </c>
      <c r="AH16" s="68">
        <v>0</v>
      </c>
      <c r="AI16" s="1">
        <v>0</v>
      </c>
      <c r="AK16" s="56" t="s">
        <v>311</v>
      </c>
      <c r="AL16" s="56" t="s">
        <v>312</v>
      </c>
      <c r="AM16" s="56"/>
      <c r="AN16" s="56"/>
    </row>
    <row r="17" spans="2:40">
      <c r="B17" s="91" t="s">
        <v>621</v>
      </c>
      <c r="C17" s="56" t="s">
        <v>426</v>
      </c>
      <c r="D17" s="56">
        <f>D15+D16</f>
        <v>103</v>
      </c>
      <c r="E17" s="92" t="s">
        <v>502</v>
      </c>
      <c r="F17" s="53"/>
      <c r="G17" s="1" t="s">
        <v>451</v>
      </c>
      <c r="H17" s="1" t="s">
        <v>452</v>
      </c>
      <c r="I17" s="1">
        <f>0.5*I4*I23^2</f>
        <v>64.182788042625617</v>
      </c>
      <c r="J17" s="1" t="s">
        <v>453</v>
      </c>
      <c r="L17" s="10" t="s">
        <v>616</v>
      </c>
      <c r="M17" s="10" t="s">
        <v>66</v>
      </c>
      <c r="N17" s="10" t="s">
        <v>67</v>
      </c>
      <c r="O17" s="10" t="s">
        <v>68</v>
      </c>
      <c r="Q17" s="3" t="s">
        <v>593</v>
      </c>
      <c r="V17" s="2" t="s">
        <v>464</v>
      </c>
      <c r="W17" s="2" t="s">
        <v>472</v>
      </c>
      <c r="X17" s="2" t="e">
        <f>#REF!+X18*(#REF!/X27)+X19*(#REF!/X27)+(D26*(#REF!/X27)+D27*(#REF!/X27))*D28</f>
        <v>#REF!</v>
      </c>
      <c r="Y17" s="2" t="s">
        <v>52</v>
      </c>
      <c r="AA17" s="1" t="s">
        <v>174</v>
      </c>
      <c r="AB17" s="1" t="s">
        <v>171</v>
      </c>
      <c r="AC17" s="1"/>
      <c r="AD17" s="1" t="s">
        <v>51</v>
      </c>
      <c r="AF17" s="65" t="s">
        <v>13</v>
      </c>
      <c r="AG17" s="65" t="s">
        <v>504</v>
      </c>
      <c r="AH17" s="68">
        <v>0</v>
      </c>
      <c r="AI17" s="1" t="s">
        <v>410</v>
      </c>
      <c r="AK17" s="56" t="s">
        <v>313</v>
      </c>
      <c r="AL17" s="56" t="s">
        <v>314</v>
      </c>
      <c r="AM17" s="56"/>
      <c r="AN17" s="56"/>
    </row>
    <row r="18" spans="2:40" ht="20.25" thickBot="1">
      <c r="B18" s="93" t="s">
        <v>617</v>
      </c>
      <c r="C18" s="78" t="s">
        <v>618</v>
      </c>
      <c r="D18" s="84">
        <v>3</v>
      </c>
      <c r="E18" s="94" t="s">
        <v>619</v>
      </c>
      <c r="G18" s="3"/>
      <c r="H18" s="3"/>
      <c r="I18" s="3"/>
      <c r="J18" s="3"/>
      <c r="L18" s="65" t="s">
        <v>416</v>
      </c>
      <c r="M18" s="1" t="s">
        <v>52</v>
      </c>
      <c r="N18" s="1"/>
      <c r="O18" s="1" t="s">
        <v>10</v>
      </c>
      <c r="Q18" s="10" t="s">
        <v>616</v>
      </c>
      <c r="R18" s="10" t="s">
        <v>66</v>
      </c>
      <c r="S18" s="10" t="s">
        <v>67</v>
      </c>
      <c r="T18" s="10" t="s">
        <v>68</v>
      </c>
      <c r="V18" s="2" t="s">
        <v>464</v>
      </c>
      <c r="W18" s="2" t="s">
        <v>472</v>
      </c>
      <c r="X18" s="2" t="e">
        <f>X19+X20*(#REF!/#REF!)+X21*(#REF!/#REF!)+(D28*(#REF!/#REF!)+D29*(#REF!/#REF!))*D30</f>
        <v>#REF!</v>
      </c>
      <c r="Y18" s="2" t="s">
        <v>52</v>
      </c>
      <c r="AA18" s="1" t="s">
        <v>317</v>
      </c>
      <c r="AB18" s="1" t="s">
        <v>463</v>
      </c>
      <c r="AC18" s="1"/>
      <c r="AD18" s="1" t="s">
        <v>272</v>
      </c>
      <c r="AF18" s="65" t="s">
        <v>62</v>
      </c>
      <c r="AG18" s="65" t="s">
        <v>507</v>
      </c>
      <c r="AH18" s="68">
        <v>0</v>
      </c>
      <c r="AI18" s="1" t="s">
        <v>410</v>
      </c>
      <c r="AK18" s="56" t="s">
        <v>319</v>
      </c>
      <c r="AL18" s="56" t="s">
        <v>51</v>
      </c>
      <c r="AM18" s="56"/>
      <c r="AN18" s="56"/>
    </row>
    <row r="19" spans="2:40" ht="20.25" thickTop="1">
      <c r="B19" s="95" t="s">
        <v>594</v>
      </c>
      <c r="C19" s="60" t="s">
        <v>482</v>
      </c>
      <c r="D19" s="60"/>
      <c r="E19" s="96" t="s">
        <v>410</v>
      </c>
      <c r="G19" s="3"/>
      <c r="I19" s="3"/>
      <c r="J19" s="3"/>
      <c r="L19" s="65" t="s">
        <v>420</v>
      </c>
      <c r="M19" s="1" t="s">
        <v>52</v>
      </c>
      <c r="N19" s="1"/>
      <c r="O19" s="1" t="s">
        <v>10</v>
      </c>
      <c r="Q19" s="56" t="s">
        <v>374</v>
      </c>
      <c r="R19" s="56" t="s">
        <v>375</v>
      </c>
      <c r="S19" s="36"/>
      <c r="T19" s="36" t="s">
        <v>427</v>
      </c>
      <c r="V19" s="1" t="s">
        <v>46</v>
      </c>
      <c r="W19" s="1" t="s">
        <v>475</v>
      </c>
      <c r="X19" s="1">
        <v>1.7113168423305021E-2</v>
      </c>
      <c r="Y19" s="2" t="s">
        <v>52</v>
      </c>
      <c r="AA19" s="56" t="s">
        <v>315</v>
      </c>
      <c r="AB19" s="56" t="s">
        <v>316</v>
      </c>
      <c r="AC19" s="1"/>
      <c r="AD19" s="1" t="s">
        <v>272</v>
      </c>
      <c r="AF19" s="65" t="s">
        <v>509</v>
      </c>
      <c r="AG19" s="65" t="s">
        <v>510</v>
      </c>
      <c r="AH19" s="68">
        <f>AH15</f>
        <v>0</v>
      </c>
      <c r="AI19" s="1" t="s">
        <v>410</v>
      </c>
    </row>
    <row r="20" spans="2:40">
      <c r="B20" s="91" t="s">
        <v>597</v>
      </c>
      <c r="C20" s="56" t="s">
        <v>431</v>
      </c>
      <c r="D20" s="56"/>
      <c r="E20" s="92" t="s">
        <v>603</v>
      </c>
      <c r="G20" s="10" t="s">
        <v>65</v>
      </c>
      <c r="H20" s="10" t="s">
        <v>66</v>
      </c>
      <c r="I20" s="10" t="s">
        <v>67</v>
      </c>
      <c r="J20" s="10" t="s">
        <v>68</v>
      </c>
      <c r="L20" s="65" t="s">
        <v>652</v>
      </c>
      <c r="M20" s="1" t="s">
        <v>426</v>
      </c>
      <c r="N20" s="1"/>
      <c r="O20" s="1" t="s">
        <v>427</v>
      </c>
      <c r="Q20" s="56" t="s">
        <v>649</v>
      </c>
      <c r="R20" s="56" t="s">
        <v>375</v>
      </c>
      <c r="S20" s="36"/>
      <c r="T20" s="36" t="s">
        <v>427</v>
      </c>
      <c r="V20" s="1" t="s">
        <v>56</v>
      </c>
      <c r="W20" s="1" t="s">
        <v>471</v>
      </c>
      <c r="X20" s="1">
        <v>9.3619884584271104E-3</v>
      </c>
      <c r="Y20" s="2" t="s">
        <v>52</v>
      </c>
      <c r="AA20" s="1" t="s">
        <v>645</v>
      </c>
      <c r="AB20" s="1" t="s">
        <v>454</v>
      </c>
      <c r="AC20" s="1">
        <f>BV13</f>
        <v>0</v>
      </c>
      <c r="AD20" s="1" t="s">
        <v>441</v>
      </c>
      <c r="AF20" s="65" t="s">
        <v>267</v>
      </c>
      <c r="AG20" s="65" t="s">
        <v>516</v>
      </c>
      <c r="AH20" s="68">
        <v>0</v>
      </c>
      <c r="AI20" s="1" t="s">
        <v>410</v>
      </c>
      <c r="AK20" s="53" t="s">
        <v>57</v>
      </c>
    </row>
    <row r="21" spans="2:40">
      <c r="B21" s="91" t="s">
        <v>595</v>
      </c>
      <c r="C21" s="56" t="s">
        <v>601</v>
      </c>
      <c r="D21" s="56"/>
      <c r="E21" s="92" t="s">
        <v>52</v>
      </c>
      <c r="G21" s="1" t="s">
        <v>271</v>
      </c>
      <c r="H21" s="1" t="s">
        <v>185</v>
      </c>
      <c r="I21" s="22" t="e">
        <f>DEGREES(ATAN(1/D34))</f>
        <v>#DIV/0!</v>
      </c>
      <c r="J21" s="1" t="s">
        <v>272</v>
      </c>
      <c r="L21" s="1" t="s">
        <v>289</v>
      </c>
      <c r="M21" s="1" t="s">
        <v>484</v>
      </c>
      <c r="N21" s="1"/>
      <c r="O21" s="1" t="s">
        <v>9</v>
      </c>
      <c r="Q21" s="56" t="s">
        <v>651</v>
      </c>
      <c r="R21" s="56" t="s">
        <v>375</v>
      </c>
      <c r="S21" s="36"/>
      <c r="T21" s="36" t="s">
        <v>427</v>
      </c>
      <c r="V21" s="1" t="s">
        <v>57</v>
      </c>
      <c r="W21" s="1" t="s">
        <v>474</v>
      </c>
      <c r="X21" s="1">
        <v>8.867077996424633E-3</v>
      </c>
      <c r="Y21" s="2" t="s">
        <v>52</v>
      </c>
      <c r="AA21" s="56" t="s">
        <v>317</v>
      </c>
      <c r="AB21" s="56" t="s">
        <v>318</v>
      </c>
      <c r="AC21" s="1"/>
      <c r="AD21" s="1" t="s">
        <v>272</v>
      </c>
      <c r="AF21" s="65" t="s">
        <v>518</v>
      </c>
      <c r="AG21" s="65" t="s">
        <v>519</v>
      </c>
      <c r="AH21" s="69">
        <v>1</v>
      </c>
      <c r="AI21" s="1" t="s">
        <v>52</v>
      </c>
      <c r="AK21" s="10" t="s">
        <v>616</v>
      </c>
      <c r="AL21" s="10" t="s">
        <v>66</v>
      </c>
      <c r="AM21" s="10" t="s">
        <v>67</v>
      </c>
      <c r="AN21" s="10" t="s">
        <v>68</v>
      </c>
    </row>
    <row r="22" spans="2:40">
      <c r="B22" s="97" t="s">
        <v>596</v>
      </c>
      <c r="C22" s="80" t="s">
        <v>602</v>
      </c>
      <c r="D22" s="80"/>
      <c r="E22" s="98" t="s">
        <v>9</v>
      </c>
      <c r="G22" s="1" t="s">
        <v>273</v>
      </c>
      <c r="H22" s="1" t="s">
        <v>274</v>
      </c>
      <c r="I22" s="22">
        <v>0</v>
      </c>
      <c r="J22" s="1" t="s">
        <v>272</v>
      </c>
      <c r="L22" s="1" t="s">
        <v>487</v>
      </c>
      <c r="M22" s="1" t="s">
        <v>488</v>
      </c>
      <c r="N22" s="1"/>
      <c r="O22" s="1" t="s">
        <v>9</v>
      </c>
      <c r="Q22" s="56" t="s">
        <v>650</v>
      </c>
      <c r="R22" s="56" t="s">
        <v>375</v>
      </c>
      <c r="S22" s="36"/>
      <c r="T22" s="36" t="s">
        <v>427</v>
      </c>
      <c r="V22" s="56" t="s">
        <v>361</v>
      </c>
      <c r="W22" s="56" t="s">
        <v>362</v>
      </c>
      <c r="X22" s="36"/>
      <c r="Y22" s="36" t="s">
        <v>52</v>
      </c>
      <c r="AA22" s="56" t="s">
        <v>319</v>
      </c>
      <c r="AB22" s="56" t="s">
        <v>51</v>
      </c>
      <c r="AC22" s="1"/>
      <c r="AD22" s="1" t="s">
        <v>272</v>
      </c>
      <c r="AF22" s="65"/>
      <c r="AG22" s="65" t="s">
        <v>525</v>
      </c>
      <c r="AH22" s="69">
        <v>0.8</v>
      </c>
      <c r="AI22" s="1" t="s">
        <v>52</v>
      </c>
      <c r="AK22" s="56" t="s">
        <v>303</v>
      </c>
      <c r="AL22" s="56" t="s">
        <v>304</v>
      </c>
      <c r="AM22" s="56"/>
      <c r="AN22" s="56"/>
    </row>
    <row r="23" spans="2:40">
      <c r="B23" s="99" t="s">
        <v>604</v>
      </c>
      <c r="C23" s="56" t="s">
        <v>495</v>
      </c>
      <c r="D23" s="79"/>
      <c r="E23" s="92"/>
      <c r="G23" s="1" t="s">
        <v>275</v>
      </c>
      <c r="H23" s="1" t="s">
        <v>276</v>
      </c>
      <c r="I23" s="22">
        <v>10.5</v>
      </c>
      <c r="J23" s="1" t="s">
        <v>277</v>
      </c>
      <c r="L23" s="1"/>
      <c r="M23" s="1" t="s">
        <v>492</v>
      </c>
      <c r="N23" s="1"/>
      <c r="O23" s="1" t="s">
        <v>9</v>
      </c>
      <c r="Q23" s="56" t="s">
        <v>377</v>
      </c>
      <c r="R23" s="56" t="s">
        <v>378</v>
      </c>
      <c r="S23" s="36"/>
      <c r="T23" s="36" t="s">
        <v>427</v>
      </c>
      <c r="V23" s="56" t="s">
        <v>296</v>
      </c>
      <c r="W23" s="56" t="s">
        <v>363</v>
      </c>
      <c r="X23" s="36"/>
      <c r="Y23" s="36" t="s">
        <v>52</v>
      </c>
      <c r="AA23" s="56" t="s">
        <v>320</v>
      </c>
      <c r="AB23" s="56" t="s">
        <v>321</v>
      </c>
      <c r="AC23" s="1"/>
      <c r="AD23" s="1" t="s">
        <v>272</v>
      </c>
      <c r="AK23" s="56" t="s">
        <v>305</v>
      </c>
      <c r="AL23" s="56" t="s">
        <v>306</v>
      </c>
      <c r="AM23" s="56"/>
      <c r="AN23" s="56"/>
    </row>
    <row r="24" spans="2:40" ht="20.25" thickBot="1">
      <c r="B24" s="148" t="s">
        <v>613</v>
      </c>
      <c r="C24" s="58" t="s">
        <v>499</v>
      </c>
      <c r="D24" s="82"/>
      <c r="E24" s="108"/>
      <c r="G24" s="1" t="s">
        <v>278</v>
      </c>
      <c r="H24" s="1" t="s">
        <v>279</v>
      </c>
      <c r="I24" s="22">
        <v>100</v>
      </c>
      <c r="J24" s="1" t="s">
        <v>43</v>
      </c>
      <c r="L24" s="1" t="s">
        <v>289</v>
      </c>
      <c r="M24" s="1" t="s">
        <v>495</v>
      </c>
      <c r="N24" s="1"/>
      <c r="O24" s="1" t="s">
        <v>52</v>
      </c>
      <c r="Q24" s="56" t="s">
        <v>655</v>
      </c>
      <c r="R24" s="56" t="s">
        <v>625</v>
      </c>
      <c r="S24" s="36"/>
      <c r="T24" s="36" t="s">
        <v>427</v>
      </c>
      <c r="V24" s="56" t="s">
        <v>299</v>
      </c>
      <c r="W24" s="56" t="s">
        <v>364</v>
      </c>
      <c r="X24" s="36"/>
      <c r="Y24" s="36" t="s">
        <v>52</v>
      </c>
      <c r="AA24" s="58" t="s">
        <v>322</v>
      </c>
      <c r="AB24" s="58" t="s">
        <v>323</v>
      </c>
      <c r="AC24" s="20"/>
      <c r="AD24" s="20" t="s">
        <v>272</v>
      </c>
      <c r="AF24" s="53" t="s">
        <v>13</v>
      </c>
      <c r="AK24" s="56" t="s">
        <v>307</v>
      </c>
      <c r="AL24" s="56" t="s">
        <v>308</v>
      </c>
      <c r="AM24" s="56"/>
      <c r="AN24" s="56"/>
    </row>
    <row r="25" spans="2:40" ht="21" thickTop="1" thickBot="1">
      <c r="B25" s="103" t="s">
        <v>461</v>
      </c>
      <c r="C25" s="64"/>
      <c r="D25" s="85" t="s">
        <v>973</v>
      </c>
      <c r="E25" s="102"/>
      <c r="G25" s="1" t="s">
        <v>477</v>
      </c>
      <c r="H25" s="1" t="s">
        <v>478</v>
      </c>
      <c r="I25" s="22">
        <v>0</v>
      </c>
      <c r="J25" s="1" t="s">
        <v>479</v>
      </c>
      <c r="L25" s="1" t="s">
        <v>498</v>
      </c>
      <c r="M25" s="1" t="s">
        <v>499</v>
      </c>
      <c r="N25" s="1"/>
      <c r="O25" s="1" t="s">
        <v>52</v>
      </c>
      <c r="Q25" s="56" t="s">
        <v>656</v>
      </c>
      <c r="R25" s="56" t="s">
        <v>625</v>
      </c>
      <c r="S25" s="36"/>
      <c r="T25" s="36" t="s">
        <v>427</v>
      </c>
      <c r="V25" s="56" t="s">
        <v>301</v>
      </c>
      <c r="W25" s="56" t="s">
        <v>365</v>
      </c>
      <c r="X25" s="36"/>
      <c r="Y25" s="36" t="s">
        <v>52</v>
      </c>
      <c r="AA25" s="2" t="s">
        <v>467</v>
      </c>
      <c r="AB25" s="2" t="s">
        <v>468</v>
      </c>
      <c r="AC25" s="2"/>
      <c r="AD25" s="2" t="s">
        <v>441</v>
      </c>
      <c r="AF25" s="10" t="s">
        <v>616</v>
      </c>
      <c r="AG25" s="10" t="s">
        <v>66</v>
      </c>
      <c r="AH25" s="10" t="s">
        <v>67</v>
      </c>
      <c r="AI25" s="10" t="s">
        <v>68</v>
      </c>
      <c r="AK25" s="58" t="s">
        <v>309</v>
      </c>
      <c r="AL25" s="58" t="s">
        <v>310</v>
      </c>
      <c r="AM25" s="58"/>
      <c r="AN25" s="58"/>
    </row>
    <row r="26" spans="2:40" ht="20.25" thickTop="1">
      <c r="B26" s="103" t="s">
        <v>605</v>
      </c>
      <c r="C26" s="36"/>
      <c r="D26" s="36"/>
      <c r="E26" s="100"/>
      <c r="G26" s="1"/>
      <c r="H26" s="1" t="s">
        <v>483</v>
      </c>
      <c r="I26" s="22">
        <v>0</v>
      </c>
      <c r="J26" s="1" t="s">
        <v>479</v>
      </c>
      <c r="L26" s="65" t="s">
        <v>30</v>
      </c>
      <c r="M26" s="1" t="s">
        <v>32</v>
      </c>
      <c r="N26" s="29"/>
      <c r="O26" s="1" t="s">
        <v>442</v>
      </c>
      <c r="Q26" s="56" t="s">
        <v>299</v>
      </c>
      <c r="R26" s="56" t="s">
        <v>626</v>
      </c>
      <c r="S26" s="36"/>
      <c r="T26" s="36" t="s">
        <v>427</v>
      </c>
      <c r="V26" s="56" t="s">
        <v>47</v>
      </c>
      <c r="W26" s="56" t="s">
        <v>366</v>
      </c>
      <c r="X26" s="36"/>
      <c r="Y26" s="36" t="s">
        <v>52</v>
      </c>
      <c r="AA26" s="1"/>
      <c r="AB26" s="1" t="s">
        <v>470</v>
      </c>
      <c r="AC26" s="68"/>
      <c r="AD26" s="1" t="s">
        <v>441</v>
      </c>
      <c r="AF26" s="36" t="s">
        <v>295</v>
      </c>
      <c r="AG26" s="36" t="s">
        <v>504</v>
      </c>
      <c r="AH26" s="36"/>
      <c r="AI26" s="36" t="s">
        <v>410</v>
      </c>
      <c r="AK26" s="2"/>
      <c r="AL26" s="8" t="s">
        <v>468</v>
      </c>
      <c r="AM26" s="86">
        <v>0</v>
      </c>
      <c r="AN26" s="7" t="s">
        <v>441</v>
      </c>
    </row>
    <row r="27" spans="2:40">
      <c r="B27" s="99" t="s">
        <v>606</v>
      </c>
      <c r="C27" s="36"/>
      <c r="D27" s="36"/>
      <c r="E27" s="100"/>
      <c r="G27" s="1"/>
      <c r="H27" s="1" t="s">
        <v>486</v>
      </c>
      <c r="I27" s="22">
        <v>0</v>
      </c>
      <c r="J27" s="1" t="s">
        <v>479</v>
      </c>
      <c r="L27" s="65"/>
      <c r="M27" s="1" t="s">
        <v>34</v>
      </c>
      <c r="N27" s="29"/>
      <c r="O27" s="1" t="s">
        <v>442</v>
      </c>
      <c r="Q27" s="56" t="s">
        <v>301</v>
      </c>
      <c r="R27" s="56" t="s">
        <v>627</v>
      </c>
      <c r="S27" s="36"/>
      <c r="T27" s="36" t="s">
        <v>427</v>
      </c>
      <c r="V27" s="56" t="s">
        <v>367</v>
      </c>
      <c r="W27" s="56" t="s">
        <v>368</v>
      </c>
      <c r="X27" s="36"/>
      <c r="Y27" s="36" t="s">
        <v>52</v>
      </c>
      <c r="AA27" s="1" t="s">
        <v>52</v>
      </c>
      <c r="AB27" s="1" t="s">
        <v>473</v>
      </c>
      <c r="AC27" s="68"/>
      <c r="AD27" s="1" t="s">
        <v>436</v>
      </c>
      <c r="AF27" s="1" t="s">
        <v>464</v>
      </c>
      <c r="AG27" s="1" t="s">
        <v>506</v>
      </c>
      <c r="AH27" s="22">
        <v>0.2</v>
      </c>
      <c r="AI27" s="1" t="s">
        <v>52</v>
      </c>
      <c r="AK27" s="1"/>
      <c r="AL27" s="9" t="s">
        <v>435</v>
      </c>
      <c r="AM27" s="68">
        <v>0</v>
      </c>
      <c r="AN27" s="23" t="s">
        <v>436</v>
      </c>
    </row>
    <row r="28" spans="2:40">
      <c r="B28" s="99" t="s">
        <v>607</v>
      </c>
      <c r="C28" s="36"/>
      <c r="D28" s="36"/>
      <c r="E28" s="100"/>
      <c r="G28" s="1" t="s">
        <v>489</v>
      </c>
      <c r="H28" s="1" t="s">
        <v>490</v>
      </c>
      <c r="I28" s="22">
        <v>0</v>
      </c>
      <c r="J28" s="1" t="s">
        <v>52</v>
      </c>
      <c r="L28" s="65"/>
      <c r="M28" s="1" t="s">
        <v>36</v>
      </c>
      <c r="N28" s="29"/>
      <c r="O28" s="1" t="s">
        <v>442</v>
      </c>
      <c r="Q28" s="56" t="s">
        <v>47</v>
      </c>
      <c r="R28" s="56" t="s">
        <v>628</v>
      </c>
      <c r="S28" s="36"/>
      <c r="T28" s="36" t="s">
        <v>427</v>
      </c>
      <c r="V28" s="56" t="s">
        <v>369</v>
      </c>
      <c r="W28" s="56" t="s">
        <v>370</v>
      </c>
      <c r="X28" s="36"/>
      <c r="Y28" s="36" t="s">
        <v>52</v>
      </c>
      <c r="AA28" s="1" t="s">
        <v>52</v>
      </c>
      <c r="AB28" s="1" t="s">
        <v>476</v>
      </c>
      <c r="AC28" s="68"/>
      <c r="AD28" s="1" t="s">
        <v>436</v>
      </c>
      <c r="AF28" s="1" t="s">
        <v>175</v>
      </c>
      <c r="AG28" s="1" t="s">
        <v>508</v>
      </c>
      <c r="AH28" s="1"/>
      <c r="AI28" s="1" t="s">
        <v>52</v>
      </c>
      <c r="AK28" s="1"/>
      <c r="AL28" s="9" t="s">
        <v>437</v>
      </c>
      <c r="AM28" s="68">
        <v>0</v>
      </c>
      <c r="AN28" s="23" t="s">
        <v>436</v>
      </c>
    </row>
    <row r="29" spans="2:40" ht="20.25" thickBot="1">
      <c r="B29" s="104" t="s">
        <v>608</v>
      </c>
      <c r="C29" s="37"/>
      <c r="D29" s="37"/>
      <c r="E29" s="105"/>
      <c r="G29" s="1" t="s">
        <v>493</v>
      </c>
      <c r="H29" s="1" t="s">
        <v>494</v>
      </c>
      <c r="I29" s="22">
        <v>0</v>
      </c>
      <c r="J29" s="1" t="s">
        <v>324</v>
      </c>
      <c r="L29" s="65"/>
      <c r="M29" s="1" t="s">
        <v>38</v>
      </c>
      <c r="N29" s="29"/>
      <c r="O29" s="1" t="s">
        <v>442</v>
      </c>
      <c r="Q29" s="56" t="s">
        <v>367</v>
      </c>
      <c r="R29" s="56" t="s">
        <v>629</v>
      </c>
      <c r="S29" s="36"/>
      <c r="T29" s="36" t="s">
        <v>427</v>
      </c>
      <c r="AA29" s="1" t="s">
        <v>52</v>
      </c>
      <c r="AB29" s="1" t="s">
        <v>481</v>
      </c>
      <c r="AC29" s="68"/>
      <c r="AD29" s="1" t="s">
        <v>436</v>
      </c>
      <c r="AF29" s="1" t="s">
        <v>514</v>
      </c>
      <c r="AG29" s="1" t="s">
        <v>515</v>
      </c>
      <c r="AH29" s="1"/>
      <c r="AI29" s="1" t="s">
        <v>9</v>
      </c>
    </row>
    <row r="30" spans="2:40" ht="20.25" thickTop="1">
      <c r="B30" s="106" t="s">
        <v>609</v>
      </c>
      <c r="C30" s="35"/>
      <c r="D30" s="35"/>
      <c r="E30" s="107"/>
      <c r="G30" s="1" t="s">
        <v>496</v>
      </c>
      <c r="H30" s="1" t="s">
        <v>497</v>
      </c>
      <c r="I30" s="22">
        <v>0</v>
      </c>
      <c r="J30" s="1" t="s">
        <v>324</v>
      </c>
      <c r="L30" s="65"/>
      <c r="M30" s="1" t="s">
        <v>40</v>
      </c>
      <c r="N30" s="29"/>
      <c r="O30" s="1" t="s">
        <v>442</v>
      </c>
      <c r="Q30" s="56" t="s">
        <v>369</v>
      </c>
      <c r="R30" s="56" t="s">
        <v>630</v>
      </c>
      <c r="S30" s="36"/>
      <c r="T30" s="36" t="s">
        <v>427</v>
      </c>
      <c r="V30" s="56" t="s">
        <v>657</v>
      </c>
      <c r="W30" s="36" t="s">
        <v>491</v>
      </c>
      <c r="X30" s="36"/>
      <c r="Y30" s="36"/>
      <c r="AA30" s="1" t="s">
        <v>52</v>
      </c>
      <c r="AB30" s="1" t="s">
        <v>485</v>
      </c>
      <c r="AC30" s="68"/>
      <c r="AD30" s="1" t="s">
        <v>436</v>
      </c>
      <c r="AF30" s="1" t="s">
        <v>434</v>
      </c>
      <c r="AG30" s="1" t="s">
        <v>183</v>
      </c>
      <c r="AH30" s="1"/>
      <c r="AI30" s="1" t="s">
        <v>324</v>
      </c>
    </row>
    <row r="31" spans="2:40">
      <c r="B31" s="99" t="s">
        <v>610</v>
      </c>
      <c r="C31" s="36"/>
      <c r="D31" s="36"/>
      <c r="E31" s="100"/>
      <c r="G31" s="3"/>
      <c r="H31" s="3"/>
      <c r="I31" s="3"/>
      <c r="J31" s="3"/>
      <c r="L31" s="65"/>
      <c r="M31" s="1" t="s">
        <v>455</v>
      </c>
      <c r="N31" s="29"/>
      <c r="O31" s="1" t="s">
        <v>442</v>
      </c>
      <c r="Q31" s="56" t="s">
        <v>379</v>
      </c>
      <c r="R31" s="56" t="s">
        <v>380</v>
      </c>
      <c r="S31" s="36"/>
      <c r="T31" s="36" t="s">
        <v>502</v>
      </c>
      <c r="AA31" s="1" t="s">
        <v>52</v>
      </c>
      <c r="AB31" s="1" t="s">
        <v>435</v>
      </c>
      <c r="AC31" s="1"/>
      <c r="AD31" s="1" t="s">
        <v>436</v>
      </c>
      <c r="AF31" s="1" t="s">
        <v>523</v>
      </c>
      <c r="AG31" s="1" t="s">
        <v>182</v>
      </c>
      <c r="AH31" s="70">
        <v>0.51759999999999995</v>
      </c>
      <c r="AI31" s="1" t="s">
        <v>524</v>
      </c>
    </row>
    <row r="32" spans="2:40">
      <c r="B32" s="104" t="s">
        <v>611</v>
      </c>
      <c r="C32" s="37"/>
      <c r="D32" s="37"/>
      <c r="E32" s="105"/>
      <c r="G32" s="3" t="s">
        <v>511</v>
      </c>
      <c r="H32" s="3"/>
      <c r="I32" s="3"/>
      <c r="J32" s="3"/>
      <c r="L32" s="1" t="s">
        <v>458</v>
      </c>
      <c r="M32" s="1" t="s">
        <v>459</v>
      </c>
      <c r="N32" s="29"/>
      <c r="O32" s="1" t="s">
        <v>460</v>
      </c>
      <c r="Q32" s="1" t="s">
        <v>512</v>
      </c>
      <c r="R32" s="1" t="s">
        <v>500</v>
      </c>
      <c r="S32" s="1"/>
      <c r="T32" s="1" t="s">
        <v>513</v>
      </c>
      <c r="V32" t="s">
        <v>175</v>
      </c>
      <c r="AA32" s="1" t="s">
        <v>52</v>
      </c>
      <c r="AB32" s="1" t="s">
        <v>437</v>
      </c>
      <c r="AC32" s="1"/>
      <c r="AD32" s="1" t="s">
        <v>436</v>
      </c>
      <c r="AF32" s="36"/>
      <c r="AG32" s="36"/>
      <c r="AH32" s="36"/>
      <c r="AI32" s="36"/>
    </row>
    <row r="33" spans="2:35" ht="20.25" thickBot="1">
      <c r="B33" s="101" t="s">
        <v>612</v>
      </c>
      <c r="C33" s="82"/>
      <c r="D33" s="149" t="s">
        <v>974</v>
      </c>
      <c r="E33" s="108"/>
      <c r="G33" s="10" t="s">
        <v>65</v>
      </c>
      <c r="H33" s="10" t="s">
        <v>66</v>
      </c>
      <c r="I33" s="10" t="s">
        <v>67</v>
      </c>
      <c r="J33" s="10" t="s">
        <v>68</v>
      </c>
      <c r="L33" s="1"/>
      <c r="M33" s="1" t="s">
        <v>462</v>
      </c>
      <c r="N33" s="29"/>
      <c r="O33" s="1" t="s">
        <v>460</v>
      </c>
      <c r="Q33" s="1" t="s">
        <v>517</v>
      </c>
      <c r="R33" s="1" t="s">
        <v>27</v>
      </c>
      <c r="S33" s="1"/>
      <c r="T33" s="1" t="s">
        <v>513</v>
      </c>
      <c r="V33" s="18" t="s">
        <v>591</v>
      </c>
      <c r="W33" s="18" t="s">
        <v>66</v>
      </c>
      <c r="X33" s="18" t="s">
        <v>67</v>
      </c>
      <c r="Y33" s="18" t="s">
        <v>68</v>
      </c>
      <c r="AA33" s="1" t="s">
        <v>52</v>
      </c>
      <c r="AB33" s="1" t="s">
        <v>440</v>
      </c>
      <c r="AC33" s="1"/>
      <c r="AD33" s="1" t="s">
        <v>441</v>
      </c>
      <c r="AF33" s="36"/>
      <c r="AG33" s="36"/>
      <c r="AH33" s="36"/>
      <c r="AI33" s="36"/>
    </row>
    <row r="34" spans="2:35" ht="20.25" thickTop="1">
      <c r="B34" s="103" t="s">
        <v>592</v>
      </c>
      <c r="C34" s="52"/>
      <c r="D34" s="52"/>
      <c r="E34" s="109"/>
      <c r="G34" s="1" t="s">
        <v>520</v>
      </c>
      <c r="H34" s="1" t="s">
        <v>521</v>
      </c>
      <c r="I34" s="22">
        <v>10.5</v>
      </c>
      <c r="J34" s="1" t="s">
        <v>9</v>
      </c>
      <c r="L34" s="1"/>
      <c r="M34" s="1" t="s">
        <v>466</v>
      </c>
      <c r="N34" s="1"/>
      <c r="O34" s="1" t="s">
        <v>52</v>
      </c>
      <c r="Q34" s="1" t="s">
        <v>522</v>
      </c>
      <c r="R34" s="1" t="s">
        <v>427</v>
      </c>
      <c r="S34" s="1"/>
      <c r="T34" s="1" t="s">
        <v>513</v>
      </c>
      <c r="V34" s="56" t="s">
        <v>373</v>
      </c>
      <c r="W34" s="56" t="s">
        <v>172</v>
      </c>
      <c r="X34" s="36"/>
      <c r="Y34" s="36" t="s">
        <v>52</v>
      </c>
      <c r="AA34" s="36"/>
      <c r="AB34" s="36"/>
      <c r="AC34" s="36"/>
      <c r="AD34" s="36"/>
    </row>
    <row r="35" spans="2:35" ht="20.25" thickBot="1">
      <c r="B35" s="110" t="s">
        <v>620</v>
      </c>
      <c r="C35" s="111"/>
      <c r="D35" s="111"/>
      <c r="E35" s="112"/>
      <c r="G35" s="1" t="s">
        <v>526</v>
      </c>
      <c r="H35" s="1" t="s">
        <v>527</v>
      </c>
      <c r="I35" s="22">
        <v>-3.5</v>
      </c>
      <c r="J35" s="1" t="s">
        <v>324</v>
      </c>
      <c r="L35" s="1"/>
      <c r="M35" s="1" t="s">
        <v>469</v>
      </c>
      <c r="N35" s="1"/>
      <c r="O35" s="1" t="s">
        <v>52</v>
      </c>
      <c r="Q35" s="56" t="s">
        <v>615</v>
      </c>
      <c r="R35" s="56" t="s">
        <v>372</v>
      </c>
      <c r="S35" s="36"/>
      <c r="T35" s="36" t="s">
        <v>52</v>
      </c>
    </row>
    <row r="39" spans="2:35">
      <c r="B39" t="s">
        <v>715</v>
      </c>
      <c r="Q39" t="s">
        <v>711</v>
      </c>
      <c r="AA39" t="s">
        <v>712</v>
      </c>
    </row>
  </sheetData>
  <mergeCells count="1">
    <mergeCell ref="B3:E10"/>
  </mergeCells>
  <phoneticPr fontId="3"/>
  <dataValidations count="3">
    <dataValidation type="list" allowBlank="1" showInputMessage="1" showErrorMessage="1" sqref="AH10" xr:uid="{EF33752D-EAF2-48ED-B700-9CCE536D089F}">
      <formula1>"Conventional,T-Tail"</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B34"/>
  <sheetViews>
    <sheetView zoomScale="70" zoomScaleNormal="70" workbookViewId="0">
      <selection activeCell="F6" sqref="F6"/>
    </sheetView>
  </sheetViews>
  <sheetFormatPr defaultColWidth="8.6640625" defaultRowHeight="19.5"/>
  <sheetData>
    <row r="2" spans="2:2">
      <c r="B2" t="s">
        <v>713</v>
      </c>
    </row>
    <row r="34" spans="2:2">
      <c r="B34" t="s">
        <v>714</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60" zoomScaleNormal="55" workbookViewId="0">
      <selection activeCell="H23" sqref="H23"/>
    </sheetView>
  </sheetViews>
  <sheetFormatPr defaultColWidth="9.33203125" defaultRowHeight="19.5"/>
  <cols>
    <col min="1" max="16384" width="9.33203125" style="3"/>
  </cols>
  <sheetData>
    <row r="2" spans="2:40">
      <c r="B2" s="3" t="s">
        <v>703</v>
      </c>
      <c r="Q2" s="3" t="s">
        <v>529</v>
      </c>
      <c r="Z2" s="3" t="s">
        <v>705</v>
      </c>
    </row>
    <row r="3" spans="2:40">
      <c r="B3" s="10" t="s">
        <v>1</v>
      </c>
      <c r="C3" s="10" t="s">
        <v>25</v>
      </c>
      <c r="D3" s="225" t="s">
        <v>289</v>
      </c>
      <c r="E3" s="226"/>
      <c r="F3" s="227"/>
      <c r="G3" s="225" t="s">
        <v>30</v>
      </c>
      <c r="H3" s="226"/>
      <c r="I3" s="226"/>
      <c r="J3" s="226"/>
      <c r="K3" s="226"/>
      <c r="L3" s="227"/>
      <c r="Q3" s="10" t="s">
        <v>1</v>
      </c>
      <c r="R3" s="10" t="s">
        <v>50</v>
      </c>
      <c r="S3" s="10" t="s">
        <v>2</v>
      </c>
      <c r="T3" s="10" t="s">
        <v>0</v>
      </c>
      <c r="U3" s="10" t="s">
        <v>25</v>
      </c>
      <c r="V3" s="10" t="s">
        <v>3</v>
      </c>
      <c r="W3" s="10"/>
      <c r="X3" s="10"/>
      <c r="Z3" s="3" t="s">
        <v>530</v>
      </c>
      <c r="AA3" s="1" t="s">
        <v>531</v>
      </c>
      <c r="AB3" s="71">
        <f>SUM(AB5:AB19)</f>
        <v>7.3569951291748312</v>
      </c>
      <c r="AC3" s="72" t="s">
        <v>532</v>
      </c>
      <c r="AD3" s="71">
        <f>SUM(AD5:AD19)</f>
        <v>4.7869951291748318</v>
      </c>
      <c r="AE3" s="72" t="s">
        <v>533</v>
      </c>
      <c r="AF3" s="71">
        <f>SUM(AF5:AF19)</f>
        <v>4.7869951291748318</v>
      </c>
      <c r="AG3" s="72" t="s">
        <v>534</v>
      </c>
      <c r="AH3" s="71">
        <f>SUM(AH5:AH19)</f>
        <v>2.7690000000000001</v>
      </c>
      <c r="AI3" s="72" t="s">
        <v>56</v>
      </c>
      <c r="AJ3" s="71">
        <f>SUM(AJ5:AJ19)</f>
        <v>0</v>
      </c>
      <c r="AK3" s="72" t="s">
        <v>535</v>
      </c>
      <c r="AL3" s="71">
        <f>SUM(AL5:AL19)</f>
        <v>0</v>
      </c>
      <c r="AM3" s="72" t="s">
        <v>61</v>
      </c>
      <c r="AN3" s="71">
        <f>SUM(AN5:AN19)</f>
        <v>0</v>
      </c>
    </row>
    <row r="4" spans="2:40" ht="20.25" thickBot="1">
      <c r="B4" s="10" t="s">
        <v>52</v>
      </c>
      <c r="C4" s="10" t="s">
        <v>27</v>
      </c>
      <c r="D4" s="10" t="s">
        <v>484</v>
      </c>
      <c r="E4" s="10" t="s">
        <v>488</v>
      </c>
      <c r="F4" s="10" t="s">
        <v>492</v>
      </c>
      <c r="G4" s="10" t="s">
        <v>32</v>
      </c>
      <c r="H4" s="10" t="s">
        <v>34</v>
      </c>
      <c r="I4" s="10" t="s">
        <v>36</v>
      </c>
      <c r="J4" s="10" t="s">
        <v>38</v>
      </c>
      <c r="K4" s="10" t="s">
        <v>40</v>
      </c>
      <c r="L4" s="10" t="s">
        <v>41</v>
      </c>
      <c r="Q4" s="10" t="s">
        <v>52</v>
      </c>
      <c r="R4" s="10" t="s">
        <v>52</v>
      </c>
      <c r="S4" s="10" t="s">
        <v>52</v>
      </c>
      <c r="T4" s="10" t="s">
        <v>52</v>
      </c>
      <c r="U4" s="10" t="s">
        <v>52</v>
      </c>
      <c r="V4" s="10" t="s">
        <v>26</v>
      </c>
      <c r="W4" s="10" t="s">
        <v>28</v>
      </c>
      <c r="X4" s="10" t="s">
        <v>29</v>
      </c>
      <c r="AA4" s="10" t="s">
        <v>50</v>
      </c>
      <c r="AB4" s="45" t="s">
        <v>25</v>
      </c>
      <c r="AC4" s="13" t="s">
        <v>50</v>
      </c>
      <c r="AD4" s="45" t="s">
        <v>25</v>
      </c>
      <c r="AE4" s="13" t="s">
        <v>50</v>
      </c>
      <c r="AF4" s="45" t="s">
        <v>25</v>
      </c>
      <c r="AG4" s="13" t="s">
        <v>50</v>
      </c>
      <c r="AH4" s="45" t="s">
        <v>25</v>
      </c>
      <c r="AI4" s="13" t="s">
        <v>50</v>
      </c>
      <c r="AJ4" s="45" t="s">
        <v>25</v>
      </c>
      <c r="AK4" s="13" t="s">
        <v>50</v>
      </c>
      <c r="AL4" s="45" t="s">
        <v>25</v>
      </c>
      <c r="AM4" s="13" t="s">
        <v>50</v>
      </c>
      <c r="AN4" s="45" t="s">
        <v>25</v>
      </c>
    </row>
    <row r="5" spans="2:40" ht="21" thickTop="1" thickBot="1">
      <c r="B5" s="11" t="s">
        <v>52</v>
      </c>
      <c r="C5" s="11" t="s">
        <v>10</v>
      </c>
      <c r="D5" s="11" t="s">
        <v>9</v>
      </c>
      <c r="E5" s="11" t="s">
        <v>9</v>
      </c>
      <c r="F5" s="11" t="s">
        <v>9</v>
      </c>
      <c r="G5" s="11" t="s">
        <v>44</v>
      </c>
      <c r="H5" s="11" t="s">
        <v>44</v>
      </c>
      <c r="I5" s="11" t="s">
        <v>44</v>
      </c>
      <c r="J5" s="11" t="s">
        <v>44</v>
      </c>
      <c r="K5" s="11" t="s">
        <v>44</v>
      </c>
      <c r="L5" s="11" t="s">
        <v>44</v>
      </c>
      <c r="Q5" s="11" t="s">
        <v>52</v>
      </c>
      <c r="R5" s="11" t="s">
        <v>52</v>
      </c>
      <c r="S5" s="11" t="s">
        <v>42</v>
      </c>
      <c r="T5" s="15" t="s">
        <v>42</v>
      </c>
      <c r="U5" s="11" t="s">
        <v>42</v>
      </c>
      <c r="V5" s="11" t="s">
        <v>9</v>
      </c>
      <c r="W5" s="11" t="s">
        <v>9</v>
      </c>
      <c r="X5" s="11" t="s">
        <v>9</v>
      </c>
      <c r="AA5" s="25" t="s">
        <v>17</v>
      </c>
      <c r="AB5" s="73">
        <v>3.2229999999999999</v>
      </c>
      <c r="AC5" s="74" t="s">
        <v>17</v>
      </c>
      <c r="AD5" s="73">
        <v>3.2229999999999999</v>
      </c>
      <c r="AE5" s="74" t="s">
        <v>17</v>
      </c>
      <c r="AF5" s="73">
        <v>3.2229999999999999</v>
      </c>
      <c r="AG5" s="74" t="s">
        <v>17</v>
      </c>
      <c r="AH5" s="73">
        <v>1.526</v>
      </c>
      <c r="AI5" s="74" t="s">
        <v>17</v>
      </c>
      <c r="AJ5" s="73"/>
      <c r="AK5" s="74" t="s">
        <v>60</v>
      </c>
      <c r="AL5" s="73"/>
      <c r="AM5" s="74" t="s">
        <v>536</v>
      </c>
      <c r="AN5" s="73"/>
    </row>
    <row r="6" spans="2:40" ht="21" thickTop="1" thickBot="1">
      <c r="B6" s="2" t="s">
        <v>45</v>
      </c>
      <c r="C6" s="2">
        <f>SUM(C7:C8)</f>
        <v>61</v>
      </c>
      <c r="D6" s="2">
        <f>SUMPRODUCT($C$7:$C$8,D7:D8)/SUM($C$7:$C$8)</f>
        <v>-0.18</v>
      </c>
      <c r="E6" s="2">
        <f t="shared" ref="E6" si="0">SUMPRODUCT($C$7:$C$8,E7:E8)/SUM($C$7:$C$8)</f>
        <v>0</v>
      </c>
      <c r="F6" s="2">
        <f>SUMPRODUCT($C$7:$C$8,F7:F8)/SUM($C$7:$C$8)</f>
        <v>0.2</v>
      </c>
      <c r="G6" s="2" cm="1">
        <f t="array" ref="G6">SUM(G7:G8)+SUMPRODUCT($C$7:$C$8,POWER(E7:E8-E$6,2)+POWER(F7:F8-F$6,2))</f>
        <v>918.94689950778104</v>
      </c>
      <c r="H6" s="2" cm="1">
        <f t="array" ref="H6">SUM(H7:H8)+SUMPRODUCT($C$7:$C$8,POWER(D7:D8-D$6,2)+POWER(F7:F8-F$6,2))</f>
        <v>82.658436590279322</v>
      </c>
      <c r="I6" s="2" cm="1">
        <f t="array" ref="I6">SUM(I7:I8)+SUMPRODUCT($C$7:$C$8,POWER(D7:D8-D$6,2)+POWER(E7:E8-E$6,2))</f>
        <v>990.09963061348469</v>
      </c>
      <c r="J6" s="2" cm="1">
        <f t="array" ref="J6">SUM(J7:J8)+SUMPRODUCT($C7:$C8,(D7:D8-D$6)*(E7:E8-E$6))</f>
        <v>0</v>
      </c>
      <c r="K6" s="2" cm="1">
        <f t="array" ref="K6">SUM(K7:K8)+SUMPRODUCT($C$7:$C$8,(E7:E8-E$6)*(F7:F8-F$6))</f>
        <v>0</v>
      </c>
      <c r="L6" s="2" cm="1">
        <f t="array" ref="L6">SUM(L7:L8)+SUMPRODUCT($C$7:$C$8,(F7:F8-F$6)*(D7:D8-D$6))</f>
        <v>3.3954074320677812</v>
      </c>
      <c r="Q6" s="19"/>
      <c r="R6" s="19" t="s">
        <v>5</v>
      </c>
      <c r="S6" s="19">
        <f>SUM(U7:U44)</f>
        <v>34.802975645874149</v>
      </c>
      <c r="T6" s="19">
        <f>SUM(S7:S44)</f>
        <v>34.802975645874149</v>
      </c>
      <c r="U6" s="19">
        <f>SUM(R7:R44)</f>
        <v>0</v>
      </c>
      <c r="V6" s="19">
        <v>0</v>
      </c>
      <c r="W6" s="19">
        <f>SUM(W7:W40)</f>
        <v>0</v>
      </c>
      <c r="X6" s="19">
        <f>SUM(X7:X40)</f>
        <v>0</v>
      </c>
      <c r="AA6" s="1" t="s">
        <v>16</v>
      </c>
      <c r="AB6" s="75">
        <v>2</v>
      </c>
      <c r="AC6" s="6" t="s">
        <v>18</v>
      </c>
      <c r="AD6" s="76">
        <v>0.2303893725456938</v>
      </c>
      <c r="AE6" s="6" t="s">
        <v>18</v>
      </c>
      <c r="AF6" s="76">
        <v>0.2303893725456938</v>
      </c>
      <c r="AG6" s="6" t="s">
        <v>18</v>
      </c>
      <c r="AH6" s="76">
        <v>0.106</v>
      </c>
      <c r="AI6" s="6" t="s">
        <v>18</v>
      </c>
      <c r="AJ6" s="76"/>
      <c r="AK6" s="72" t="s">
        <v>537</v>
      </c>
      <c r="AL6" s="76"/>
      <c r="AM6" s="6" t="s">
        <v>21</v>
      </c>
      <c r="AN6" s="76"/>
    </row>
    <row r="7" spans="2:40" ht="20.25" thickTop="1">
      <c r="B7" s="24" t="s">
        <v>528</v>
      </c>
      <c r="C7" s="24">
        <f>U6</f>
        <v>0</v>
      </c>
      <c r="D7" s="24" cm="1">
        <f t="array" ref="D7:F7">V6:X6</f>
        <v>0</v>
      </c>
      <c r="E7" s="24">
        <v>0</v>
      </c>
      <c r="F7" s="24">
        <v>0</v>
      </c>
      <c r="G7" s="24" cm="1">
        <f t="array" ref="G7">SUM(J15:J20)+SUMPRODUCT($C15:$C20,POWER(H15:H20,2)+POWER(I15:I20,2))</f>
        <v>917.61089950778103</v>
      </c>
      <c r="H7" s="24" cm="1">
        <f t="array" ref="H7">SUM(K15:K20)+SUMPRODUCT($C15:$C20,POWER(G15:G20,2)+POWER(I15:I20,2))</f>
        <v>72.827436590279319</v>
      </c>
      <c r="I7" s="24" cm="1">
        <f t="array" ref="I7">SUM(L15:L20)+SUMPRODUCT($C15:$C20,POWER(G15:G20,2)+POWER(H15:H20,2))</f>
        <v>979.9696306134847</v>
      </c>
      <c r="J7" s="24" cm="1">
        <f t="array" ref="J7">SUM(M15:M20)+SUMPRODUCT($C15:$C20,G15:G20*H15:H20)</f>
        <v>0</v>
      </c>
      <c r="K7" s="24" cm="1">
        <f t="array" ref="K7">SUM(N15:N20)+SUMPRODUCT($C15:$C20,H15:H20*I15:I20)</f>
        <v>0</v>
      </c>
      <c r="L7" s="24" cm="1">
        <f t="array" ref="L7">SUM(O15:O20)+SUMPRODUCT($C15:$C20,G15:G20*H15:H20)</f>
        <v>2.2394074320677815</v>
      </c>
      <c r="Q7" s="2" t="s">
        <v>46</v>
      </c>
      <c r="R7" s="2" t="s">
        <v>538</v>
      </c>
      <c r="S7" s="2">
        <f>AB3</f>
        <v>7.3569951291748312</v>
      </c>
      <c r="T7" s="4"/>
      <c r="U7" s="2">
        <f t="shared" ref="U7:U40" si="1">S7+T7</f>
        <v>7.3569951291748312</v>
      </c>
      <c r="V7" s="4"/>
      <c r="W7" s="4">
        <v>0</v>
      </c>
      <c r="X7" s="4"/>
      <c r="AA7" s="1" t="s">
        <v>14</v>
      </c>
      <c r="AB7" s="75">
        <v>0.3</v>
      </c>
      <c r="AC7" s="72" t="s">
        <v>19</v>
      </c>
      <c r="AD7" s="75">
        <v>0.39606880111426901</v>
      </c>
      <c r="AE7" s="72" t="s">
        <v>19</v>
      </c>
      <c r="AF7" s="75">
        <v>0.39606880111426901</v>
      </c>
      <c r="AG7" s="72" t="s">
        <v>19</v>
      </c>
      <c r="AH7" s="75">
        <v>0.32</v>
      </c>
      <c r="AI7" s="72" t="s">
        <v>19</v>
      </c>
      <c r="AJ7" s="75"/>
      <c r="AK7" s="3" t="s">
        <v>539</v>
      </c>
      <c r="AL7" s="75"/>
      <c r="AM7" s="72" t="s">
        <v>19</v>
      </c>
      <c r="AN7" s="75"/>
    </row>
    <row r="8" spans="2:40">
      <c r="B8" s="1" t="s">
        <v>54</v>
      </c>
      <c r="C8" s="1">
        <v>61</v>
      </c>
      <c r="D8" s="22">
        <v>-0.18</v>
      </c>
      <c r="E8" s="1">
        <v>0</v>
      </c>
      <c r="F8" s="1">
        <v>0.2</v>
      </c>
      <c r="G8" s="22">
        <v>1.3360000000000001</v>
      </c>
      <c r="H8" s="22">
        <v>9.8309999999999995</v>
      </c>
      <c r="I8" s="22">
        <v>10.130000000000001</v>
      </c>
      <c r="J8" s="22">
        <v>0</v>
      </c>
      <c r="K8" s="22">
        <v>0</v>
      </c>
      <c r="L8" s="22">
        <v>1.1559999999999999</v>
      </c>
      <c r="M8" s="3" t="s">
        <v>709</v>
      </c>
      <c r="Q8" s="1"/>
      <c r="R8" s="1" t="s">
        <v>540</v>
      </c>
      <c r="S8" s="1">
        <f>AD3</f>
        <v>4.7869951291748318</v>
      </c>
      <c r="T8" s="22"/>
      <c r="U8" s="2">
        <f t="shared" si="1"/>
        <v>4.7869951291748318</v>
      </c>
      <c r="V8" s="22"/>
      <c r="W8" s="22"/>
      <c r="X8" s="22"/>
      <c r="AA8" s="1" t="s">
        <v>15</v>
      </c>
      <c r="AB8" s="75">
        <v>7.0000000000000007E-2</v>
      </c>
      <c r="AC8" s="72" t="s">
        <v>20</v>
      </c>
      <c r="AD8" s="75">
        <v>0.10257245551487038</v>
      </c>
      <c r="AE8" s="72" t="s">
        <v>20</v>
      </c>
      <c r="AF8" s="75">
        <v>0.10257245551487038</v>
      </c>
      <c r="AG8" s="72" t="s">
        <v>20</v>
      </c>
      <c r="AH8" s="75">
        <v>8.5999999999999993E-2</v>
      </c>
      <c r="AI8" s="72" t="s">
        <v>20</v>
      </c>
      <c r="AJ8" s="75"/>
      <c r="AK8" s="72"/>
      <c r="AL8" s="75"/>
      <c r="AM8" s="72" t="s">
        <v>541</v>
      </c>
      <c r="AN8" s="75"/>
    </row>
    <row r="9" spans="2:40">
      <c r="Q9" s="1"/>
      <c r="R9" s="1" t="s">
        <v>542</v>
      </c>
      <c r="S9" s="1">
        <f>AD3</f>
        <v>4.7869951291748318</v>
      </c>
      <c r="T9" s="22"/>
      <c r="U9" s="2">
        <f t="shared" si="1"/>
        <v>4.7869951291748318</v>
      </c>
      <c r="V9" s="22"/>
      <c r="W9" s="22"/>
      <c r="X9" s="22"/>
      <c r="AA9" s="1" t="s">
        <v>543</v>
      </c>
      <c r="AB9" s="75">
        <v>0.1</v>
      </c>
      <c r="AC9" s="72" t="s">
        <v>21</v>
      </c>
      <c r="AD9" s="75">
        <v>8.3999999999999991E-2</v>
      </c>
      <c r="AE9" s="72" t="s">
        <v>21</v>
      </c>
      <c r="AF9" s="75">
        <v>8.3999999999999991E-2</v>
      </c>
      <c r="AG9" s="72" t="s">
        <v>21</v>
      </c>
      <c r="AH9" s="75">
        <v>0.125</v>
      </c>
      <c r="AI9" s="72" t="s">
        <v>21</v>
      </c>
      <c r="AJ9" s="75"/>
      <c r="AK9" s="72"/>
      <c r="AL9" s="75"/>
      <c r="AM9" s="72"/>
      <c r="AN9" s="75"/>
    </row>
    <row r="10" spans="2:40">
      <c r="Q10" s="1"/>
      <c r="R10" s="1" t="s">
        <v>544</v>
      </c>
      <c r="S10" s="1">
        <f>AF3</f>
        <v>4.7869951291748318</v>
      </c>
      <c r="T10" s="22"/>
      <c r="U10" s="2">
        <f t="shared" si="1"/>
        <v>4.7869951291748318</v>
      </c>
      <c r="V10" s="22"/>
      <c r="W10" s="22"/>
      <c r="X10" s="22"/>
      <c r="AA10" s="1" t="s">
        <v>545</v>
      </c>
      <c r="AB10" s="75">
        <v>0.1</v>
      </c>
      <c r="AC10" s="72" t="s">
        <v>22</v>
      </c>
      <c r="AD10" s="75">
        <v>0.17850000000000002</v>
      </c>
      <c r="AE10" s="72" t="s">
        <v>22</v>
      </c>
      <c r="AF10" s="75">
        <v>0.17850000000000002</v>
      </c>
      <c r="AG10" s="72" t="s">
        <v>22</v>
      </c>
      <c r="AH10" s="75">
        <v>0.255</v>
      </c>
      <c r="AI10" s="72" t="s">
        <v>22</v>
      </c>
      <c r="AJ10" s="75"/>
      <c r="AK10" s="72"/>
      <c r="AL10" s="75"/>
      <c r="AM10" s="72"/>
      <c r="AN10" s="75"/>
    </row>
    <row r="11" spans="2:40">
      <c r="B11" s="3" t="s">
        <v>704</v>
      </c>
      <c r="Q11" s="1"/>
      <c r="R11" s="1" t="s">
        <v>546</v>
      </c>
      <c r="S11" s="1">
        <f>AF3</f>
        <v>4.7869951291748318</v>
      </c>
      <c r="T11" s="22"/>
      <c r="U11" s="2">
        <f t="shared" si="1"/>
        <v>4.7869951291748318</v>
      </c>
      <c r="V11" s="22"/>
      <c r="W11" s="22"/>
      <c r="X11" s="22"/>
      <c r="AA11" s="2" t="s">
        <v>18</v>
      </c>
      <c r="AB11" s="76">
        <v>0.2303893725456938</v>
      </c>
      <c r="AC11" s="72" t="s">
        <v>23</v>
      </c>
      <c r="AD11" s="75">
        <v>0.2724645</v>
      </c>
      <c r="AE11" s="72" t="s">
        <v>23</v>
      </c>
      <c r="AF11" s="75">
        <v>0.2724645</v>
      </c>
      <c r="AG11" s="72" t="s">
        <v>23</v>
      </c>
      <c r="AH11" s="75">
        <v>0.251</v>
      </c>
      <c r="AI11" s="72" t="s">
        <v>23</v>
      </c>
      <c r="AJ11" s="75"/>
      <c r="AK11" s="72"/>
      <c r="AL11" s="75"/>
      <c r="AM11" s="72"/>
      <c r="AN11" s="75"/>
    </row>
    <row r="12" spans="2:40">
      <c r="B12" s="10" t="s">
        <v>480</v>
      </c>
      <c r="C12" s="10" t="s">
        <v>25</v>
      </c>
      <c r="D12" s="225" t="s">
        <v>289</v>
      </c>
      <c r="E12" s="226"/>
      <c r="F12" s="227"/>
      <c r="G12" s="225" t="s">
        <v>586</v>
      </c>
      <c r="H12" s="226"/>
      <c r="I12" s="227"/>
      <c r="J12" s="225" t="s">
        <v>30</v>
      </c>
      <c r="K12" s="226"/>
      <c r="L12" s="226"/>
      <c r="M12" s="226"/>
      <c r="N12" s="226"/>
      <c r="O12" s="227"/>
      <c r="Q12" s="1"/>
      <c r="R12" s="1" t="s">
        <v>547</v>
      </c>
      <c r="S12" s="1">
        <f>AH3</f>
        <v>2.7690000000000001</v>
      </c>
      <c r="T12" s="22"/>
      <c r="U12" s="2">
        <f t="shared" si="1"/>
        <v>2.7690000000000001</v>
      </c>
      <c r="V12" s="22"/>
      <c r="W12" s="22"/>
      <c r="X12" s="22"/>
      <c r="AA12" s="1" t="s">
        <v>19</v>
      </c>
      <c r="AB12" s="75">
        <v>0.39606880111426901</v>
      </c>
      <c r="AC12" s="72" t="s">
        <v>24</v>
      </c>
      <c r="AD12" s="75">
        <v>0.3</v>
      </c>
      <c r="AE12" s="72" t="s">
        <v>24</v>
      </c>
      <c r="AF12" s="75">
        <v>0.3</v>
      </c>
      <c r="AG12" s="72" t="s">
        <v>24</v>
      </c>
      <c r="AH12" s="75">
        <v>0.1</v>
      </c>
      <c r="AI12" s="72" t="s">
        <v>58</v>
      </c>
      <c r="AJ12" s="75"/>
      <c r="AK12" s="72"/>
      <c r="AL12" s="75"/>
      <c r="AM12" s="72"/>
      <c r="AN12" s="75"/>
    </row>
    <row r="13" spans="2:40">
      <c r="B13" s="10" t="s">
        <v>159</v>
      </c>
      <c r="C13" s="10" t="s">
        <v>27</v>
      </c>
      <c r="D13" s="10" t="s">
        <v>484</v>
      </c>
      <c r="E13" s="10" t="s">
        <v>488</v>
      </c>
      <c r="F13" s="10" t="s">
        <v>492</v>
      </c>
      <c r="G13" s="10" t="s">
        <v>587</v>
      </c>
      <c r="H13" s="10" t="s">
        <v>588</v>
      </c>
      <c r="I13" s="10" t="s">
        <v>589</v>
      </c>
      <c r="J13" s="10" t="s">
        <v>32</v>
      </c>
      <c r="K13" s="10" t="s">
        <v>34</v>
      </c>
      <c r="L13" s="10" t="s">
        <v>36</v>
      </c>
      <c r="M13" s="10" t="s">
        <v>38</v>
      </c>
      <c r="N13" s="10" t="s">
        <v>40</v>
      </c>
      <c r="O13" s="10" t="s">
        <v>455</v>
      </c>
      <c r="Q13" s="1"/>
      <c r="R13" s="1" t="s">
        <v>548</v>
      </c>
      <c r="S13" s="1">
        <f>AH3</f>
        <v>2.7690000000000001</v>
      </c>
      <c r="T13" s="22"/>
      <c r="U13" s="2">
        <f t="shared" si="1"/>
        <v>2.7690000000000001</v>
      </c>
      <c r="V13" s="22"/>
      <c r="W13" s="22"/>
      <c r="X13" s="22"/>
      <c r="AA13" s="1" t="s">
        <v>20</v>
      </c>
      <c r="AB13" s="75">
        <v>0.10257245551487038</v>
      </c>
      <c r="AC13" s="1"/>
      <c r="AD13" s="75"/>
      <c r="AE13" s="1"/>
      <c r="AF13" s="75"/>
      <c r="AG13" s="1"/>
      <c r="AH13" s="75"/>
      <c r="AI13" s="72" t="s">
        <v>59</v>
      </c>
      <c r="AJ13" s="75"/>
      <c r="AK13" s="72"/>
      <c r="AL13" s="75"/>
      <c r="AM13" s="72"/>
      <c r="AN13" s="75"/>
    </row>
    <row r="14" spans="2:40" ht="20.25" thickBot="1">
      <c r="B14" s="11" t="s">
        <v>161</v>
      </c>
      <c r="C14" s="11" t="s">
        <v>10</v>
      </c>
      <c r="D14" s="11" t="s">
        <v>9</v>
      </c>
      <c r="E14" s="11" t="s">
        <v>9</v>
      </c>
      <c r="F14" s="11" t="s">
        <v>9</v>
      </c>
      <c r="G14" s="11" t="s">
        <v>9</v>
      </c>
      <c r="H14" s="11" t="s">
        <v>9</v>
      </c>
      <c r="I14" s="11" t="s">
        <v>9</v>
      </c>
      <c r="J14" s="11" t="s">
        <v>44</v>
      </c>
      <c r="K14" s="11" t="s">
        <v>44</v>
      </c>
      <c r="L14" s="11" t="s">
        <v>44</v>
      </c>
      <c r="M14" s="11" t="s">
        <v>442</v>
      </c>
      <c r="N14" s="11" t="s">
        <v>442</v>
      </c>
      <c r="O14" s="11" t="s">
        <v>442</v>
      </c>
      <c r="Q14" s="1"/>
      <c r="R14" s="1" t="s">
        <v>549</v>
      </c>
      <c r="S14" s="22">
        <v>0.15</v>
      </c>
      <c r="T14" s="22"/>
      <c r="U14" s="2">
        <f t="shared" si="1"/>
        <v>0.15</v>
      </c>
      <c r="V14" s="22"/>
      <c r="W14" s="22"/>
      <c r="X14" s="22"/>
      <c r="AA14" s="1" t="s">
        <v>21</v>
      </c>
      <c r="AB14" s="75">
        <v>8.3999999999999991E-2</v>
      </c>
      <c r="AC14" s="1"/>
      <c r="AD14" s="75"/>
      <c r="AE14" s="1"/>
      <c r="AF14" s="75"/>
      <c r="AG14" s="1"/>
      <c r="AH14" s="75"/>
      <c r="AI14" s="72" t="s">
        <v>543</v>
      </c>
      <c r="AJ14" s="75"/>
      <c r="AK14" s="1"/>
      <c r="AL14" s="75"/>
      <c r="AM14" s="1"/>
      <c r="AN14" s="75"/>
    </row>
    <row r="15" spans="2:40" ht="20.25" thickTop="1">
      <c r="B15" s="2" t="s">
        <v>46</v>
      </c>
      <c r="C15" s="2">
        <v>25.265807182750734</v>
      </c>
      <c r="D15" s="2">
        <v>0</v>
      </c>
      <c r="E15" s="2">
        <v>0</v>
      </c>
      <c r="F15" s="2">
        <v>0.244882760238121</v>
      </c>
      <c r="G15" s="2">
        <f t="shared" ref="G15:I20" si="2">D15-D$6</f>
        <v>0.18</v>
      </c>
      <c r="H15" s="2">
        <f t="shared" si="2"/>
        <v>0</v>
      </c>
      <c r="I15" s="2">
        <f t="shared" si="2"/>
        <v>4.4882760238120989E-2</v>
      </c>
      <c r="J15" s="2">
        <v>913.09533274208945</v>
      </c>
      <c r="K15" s="2">
        <v>2.6796447003760613</v>
      </c>
      <c r="L15" s="2">
        <v>910.41568804171311</v>
      </c>
      <c r="M15" s="2">
        <v>0</v>
      </c>
      <c r="N15" s="2">
        <v>0</v>
      </c>
      <c r="O15" s="2">
        <v>0</v>
      </c>
      <c r="Q15" s="1"/>
      <c r="R15" s="1" t="s">
        <v>550</v>
      </c>
      <c r="S15" s="22">
        <v>0.15</v>
      </c>
      <c r="T15" s="22"/>
      <c r="U15" s="2">
        <f t="shared" si="1"/>
        <v>0.15</v>
      </c>
      <c r="V15" s="22"/>
      <c r="W15" s="22"/>
      <c r="X15" s="22"/>
      <c r="AA15" s="1" t="s">
        <v>22</v>
      </c>
      <c r="AB15" s="75">
        <v>0.17850000000000002</v>
      </c>
      <c r="AC15" s="1"/>
      <c r="AD15" s="75"/>
      <c r="AE15" s="1"/>
      <c r="AF15" s="75"/>
      <c r="AG15" s="1"/>
      <c r="AH15" s="75"/>
      <c r="AI15" s="1" t="s">
        <v>551</v>
      </c>
      <c r="AJ15" s="75"/>
      <c r="AK15" s="1"/>
      <c r="AL15" s="75"/>
      <c r="AM15" s="1"/>
      <c r="AN15" s="75"/>
    </row>
    <row r="16" spans="2:40">
      <c r="B16" s="1" t="s">
        <v>56</v>
      </c>
      <c r="C16" s="1">
        <v>1.1759667233453381</v>
      </c>
      <c r="D16" s="1">
        <v>3.2</v>
      </c>
      <c r="E16" s="1">
        <v>0</v>
      </c>
      <c r="F16" s="1">
        <v>1.25</v>
      </c>
      <c r="G16" s="2">
        <f t="shared" si="2"/>
        <v>3.3800000000000003</v>
      </c>
      <c r="H16" s="2">
        <f t="shared" si="2"/>
        <v>0</v>
      </c>
      <c r="I16" s="2">
        <f t="shared" si="2"/>
        <v>1.05</v>
      </c>
      <c r="J16" s="1">
        <v>1.6148928020516751</v>
      </c>
      <c r="K16" s="1">
        <v>4.2714103151758623E-8</v>
      </c>
      <c r="L16" s="1">
        <v>1.6148927593375719</v>
      </c>
      <c r="M16" s="1">
        <v>0</v>
      </c>
      <c r="N16" s="1">
        <v>0</v>
      </c>
      <c r="O16" s="1">
        <v>0</v>
      </c>
      <c r="Q16" s="1"/>
      <c r="R16" s="1" t="s">
        <v>552</v>
      </c>
      <c r="S16" s="22"/>
      <c r="T16" s="22"/>
      <c r="U16" s="2">
        <f t="shared" si="1"/>
        <v>0</v>
      </c>
      <c r="V16" s="22"/>
      <c r="W16" s="22"/>
      <c r="X16" s="22"/>
      <c r="AA16" s="1" t="s">
        <v>23</v>
      </c>
      <c r="AB16" s="75">
        <v>0.2724645</v>
      </c>
      <c r="AC16" s="1"/>
      <c r="AD16" s="75"/>
      <c r="AE16" s="1"/>
      <c r="AF16" s="75"/>
      <c r="AG16" s="1"/>
      <c r="AH16" s="75"/>
      <c r="AI16" s="1"/>
      <c r="AJ16" s="75"/>
      <c r="AK16" s="1"/>
      <c r="AL16" s="75"/>
      <c r="AM16" s="1"/>
      <c r="AN16" s="75"/>
    </row>
    <row r="17" spans="2:40">
      <c r="B17" s="1" t="s">
        <v>57</v>
      </c>
      <c r="C17" s="1">
        <v>1.6194020159472187</v>
      </c>
      <c r="D17" s="1">
        <v>3.2</v>
      </c>
      <c r="E17" s="1">
        <v>0</v>
      </c>
      <c r="F17" s="1">
        <v>0.80506787917069467</v>
      </c>
      <c r="G17" s="2">
        <f t="shared" si="2"/>
        <v>3.3800000000000003</v>
      </c>
      <c r="H17" s="2">
        <f t="shared" si="2"/>
        <v>0</v>
      </c>
      <c r="I17" s="2">
        <f t="shared" si="2"/>
        <v>0.60506787917069471</v>
      </c>
      <c r="J17" s="1">
        <v>0.34596596444234379</v>
      </c>
      <c r="K17" s="1">
        <v>0</v>
      </c>
      <c r="L17" s="1">
        <v>0.34596596444234379</v>
      </c>
      <c r="M17" s="1">
        <v>0</v>
      </c>
      <c r="N17" s="1">
        <v>0</v>
      </c>
      <c r="O17" s="1">
        <v>0</v>
      </c>
      <c r="Q17" s="1"/>
      <c r="R17" s="1" t="s">
        <v>553</v>
      </c>
      <c r="S17" s="22">
        <v>0.05</v>
      </c>
      <c r="T17" s="22"/>
      <c r="U17" s="2">
        <f t="shared" si="1"/>
        <v>0.05</v>
      </c>
      <c r="V17" s="22"/>
      <c r="W17" s="22"/>
      <c r="X17" s="22"/>
      <c r="AA17" s="1" t="s">
        <v>24</v>
      </c>
      <c r="AB17" s="75">
        <v>0.3</v>
      </c>
      <c r="AC17" s="1"/>
      <c r="AD17" s="75"/>
      <c r="AE17" s="1"/>
      <c r="AF17" s="75"/>
      <c r="AG17" s="1"/>
      <c r="AH17" s="75"/>
      <c r="AI17" s="1"/>
      <c r="AJ17" s="75"/>
      <c r="AK17" s="1"/>
      <c r="AL17" s="75"/>
      <c r="AM17" s="1"/>
      <c r="AN17" s="75"/>
    </row>
    <row r="18" spans="2:40">
      <c r="B18" s="1" t="s">
        <v>62</v>
      </c>
      <c r="C18" s="1">
        <v>2.9510192617411128</v>
      </c>
      <c r="D18" s="1">
        <v>1.3514890980716574</v>
      </c>
      <c r="E18" s="1">
        <v>0</v>
      </c>
      <c r="F18" s="1">
        <v>0.30931295414109083</v>
      </c>
      <c r="G18" s="2">
        <f t="shared" si="2"/>
        <v>1.5314890980716573</v>
      </c>
      <c r="H18" s="2">
        <f t="shared" si="2"/>
        <v>0</v>
      </c>
      <c r="I18" s="2">
        <f t="shared" si="2"/>
        <v>0.10931295414109082</v>
      </c>
      <c r="J18" s="1">
        <v>0.16954833279692161</v>
      </c>
      <c r="K18" s="1">
        <v>4.8610744233556025</v>
      </c>
      <c r="L18" s="1">
        <v>4.6915260905586802</v>
      </c>
      <c r="M18" s="1">
        <v>0</v>
      </c>
      <c r="N18" s="1">
        <v>0</v>
      </c>
      <c r="O18" s="1">
        <v>0.7464691440225939</v>
      </c>
      <c r="Q18" s="1"/>
      <c r="R18" s="1" t="s">
        <v>554</v>
      </c>
      <c r="S18" s="22">
        <v>0.1</v>
      </c>
      <c r="T18" s="22"/>
      <c r="U18" s="2">
        <f t="shared" si="1"/>
        <v>0.1</v>
      </c>
      <c r="V18" s="22"/>
      <c r="W18" s="22"/>
      <c r="X18" s="22"/>
      <c r="AA18" s="1"/>
      <c r="AB18" s="75"/>
      <c r="AC18" s="1"/>
      <c r="AD18" s="75"/>
      <c r="AE18" s="1"/>
      <c r="AF18" s="75"/>
      <c r="AG18" s="1"/>
      <c r="AH18" s="75"/>
      <c r="AI18" s="1"/>
      <c r="AJ18" s="75"/>
      <c r="AK18" s="1"/>
      <c r="AL18" s="75"/>
      <c r="AM18" s="1"/>
      <c r="AN18" s="75"/>
    </row>
    <row r="19" spans="2:40">
      <c r="B19" s="1" t="s">
        <v>13</v>
      </c>
      <c r="C19" s="1">
        <v>2.9510192617411128</v>
      </c>
      <c r="D19" s="1">
        <v>1.3514890980716574</v>
      </c>
      <c r="E19" s="1">
        <v>0</v>
      </c>
      <c r="F19" s="1">
        <v>0.30931295414109083</v>
      </c>
      <c r="G19" s="2">
        <f t="shared" si="2"/>
        <v>1.5314890980716573</v>
      </c>
      <c r="H19" s="2">
        <f t="shared" si="2"/>
        <v>0</v>
      </c>
      <c r="I19" s="2">
        <f t="shared" si="2"/>
        <v>0.10931295414109082</v>
      </c>
      <c r="J19" s="1">
        <v>0.16954833279692161</v>
      </c>
      <c r="K19" s="1">
        <v>4.8610744233556025</v>
      </c>
      <c r="L19" s="1">
        <v>4.6915260905586802</v>
      </c>
      <c r="M19" s="1">
        <v>0</v>
      </c>
      <c r="N19" s="1">
        <v>0</v>
      </c>
      <c r="O19" s="1">
        <v>0.7464691440225939</v>
      </c>
      <c r="Q19" s="1" t="s">
        <v>555</v>
      </c>
      <c r="R19" s="1" t="s">
        <v>55</v>
      </c>
      <c r="S19" s="1">
        <f>AJ3</f>
        <v>0</v>
      </c>
      <c r="T19" s="22"/>
      <c r="U19" s="2">
        <f t="shared" si="1"/>
        <v>0</v>
      </c>
      <c r="V19" s="22"/>
      <c r="W19" s="22"/>
      <c r="X19" s="22"/>
      <c r="AA19" s="1"/>
      <c r="AB19" s="75"/>
      <c r="AC19" s="1"/>
      <c r="AD19" s="75"/>
      <c r="AE19" s="1"/>
      <c r="AF19" s="75"/>
      <c r="AG19" s="1"/>
      <c r="AH19" s="75"/>
      <c r="AI19" s="1"/>
      <c r="AJ19" s="75"/>
      <c r="AK19" s="1"/>
      <c r="AL19" s="75"/>
      <c r="AM19" s="1"/>
      <c r="AN19" s="75"/>
    </row>
    <row r="20" spans="2:40">
      <c r="B20" s="1" t="s">
        <v>48</v>
      </c>
      <c r="C20" s="1">
        <v>2.9510192617411128</v>
      </c>
      <c r="D20" s="1">
        <v>1.3514890980716574</v>
      </c>
      <c r="E20" s="1">
        <v>0</v>
      </c>
      <c r="F20" s="1">
        <v>0.30931295414109083</v>
      </c>
      <c r="G20" s="2">
        <f t="shared" si="2"/>
        <v>1.5314890980716573</v>
      </c>
      <c r="H20" s="2">
        <f t="shared" si="2"/>
        <v>0</v>
      </c>
      <c r="I20" s="2">
        <f t="shared" si="2"/>
        <v>0.10931295414109082</v>
      </c>
      <c r="J20" s="1">
        <v>0.16954833279692161</v>
      </c>
      <c r="K20" s="1">
        <v>4.8610744233556025</v>
      </c>
      <c r="L20" s="1">
        <v>4.6915260905586802</v>
      </c>
      <c r="M20" s="1">
        <v>0</v>
      </c>
      <c r="N20" s="1">
        <v>0</v>
      </c>
      <c r="O20" s="1">
        <v>0.7464691440225939</v>
      </c>
      <c r="Q20" s="1"/>
      <c r="R20" s="1" t="s">
        <v>556</v>
      </c>
      <c r="S20" s="22">
        <v>0.05</v>
      </c>
      <c r="T20" s="22"/>
      <c r="U20" s="2">
        <f t="shared" si="1"/>
        <v>0.05</v>
      </c>
      <c r="V20" s="22"/>
      <c r="W20" s="22"/>
      <c r="X20" s="22"/>
    </row>
    <row r="21" spans="2:40">
      <c r="Q21" s="1"/>
      <c r="R21" s="1" t="s">
        <v>557</v>
      </c>
      <c r="S21" s="22">
        <v>0.05</v>
      </c>
      <c r="T21" s="22"/>
      <c r="U21" s="2">
        <f t="shared" si="1"/>
        <v>0.05</v>
      </c>
      <c r="V21" s="22"/>
      <c r="W21" s="22"/>
      <c r="X21" s="22"/>
    </row>
    <row r="22" spans="2:40">
      <c r="Q22" s="1"/>
      <c r="R22" s="1" t="s">
        <v>558</v>
      </c>
      <c r="S22" s="22">
        <v>0.01</v>
      </c>
      <c r="T22" s="22"/>
      <c r="U22" s="2">
        <f t="shared" si="1"/>
        <v>0.01</v>
      </c>
      <c r="V22" s="22"/>
      <c r="W22" s="22"/>
      <c r="X22" s="22"/>
    </row>
    <row r="23" spans="2:40">
      <c r="B23" s="3" t="s">
        <v>732</v>
      </c>
      <c r="Q23" s="1" t="s">
        <v>561</v>
      </c>
      <c r="R23" s="1" t="s">
        <v>562</v>
      </c>
      <c r="S23" s="1">
        <f>AL3</f>
        <v>0</v>
      </c>
      <c r="T23" s="22"/>
      <c r="U23" s="2">
        <f t="shared" si="1"/>
        <v>0</v>
      </c>
      <c r="V23" s="22"/>
      <c r="W23" s="22"/>
      <c r="X23" s="22"/>
      <c r="Z23" s="3" t="s">
        <v>49</v>
      </c>
      <c r="AA23" s="1" t="s">
        <v>62</v>
      </c>
      <c r="AB23" s="71">
        <f>SUM(AB25:AB38)</f>
        <v>0</v>
      </c>
      <c r="AC23" s="1" t="s">
        <v>4</v>
      </c>
      <c r="AD23" s="71">
        <f>SUM(AD25:AD38)</f>
        <v>0.75</v>
      </c>
      <c r="AE23" s="1" t="s">
        <v>559</v>
      </c>
      <c r="AF23" s="71">
        <f>SUM(AF25:AF38)</f>
        <v>0</v>
      </c>
      <c r="AG23" s="1" t="s">
        <v>560</v>
      </c>
      <c r="AH23" s="71">
        <f>SUM(AH25:AH38)</f>
        <v>0.5</v>
      </c>
    </row>
    <row r="24" spans="2:40" ht="20.25" thickBot="1">
      <c r="Q24" s="1"/>
      <c r="R24" s="1" t="s">
        <v>563</v>
      </c>
      <c r="S24" s="1">
        <f>AN3</f>
        <v>0</v>
      </c>
      <c r="T24" s="22"/>
      <c r="U24" s="2">
        <f t="shared" si="1"/>
        <v>0</v>
      </c>
      <c r="V24" s="22"/>
      <c r="W24" s="22"/>
      <c r="X24" s="22"/>
      <c r="AA24" s="10" t="s">
        <v>50</v>
      </c>
      <c r="AB24" s="45" t="s">
        <v>25</v>
      </c>
      <c r="AC24" s="10" t="s">
        <v>50</v>
      </c>
      <c r="AD24" s="45" t="s">
        <v>25</v>
      </c>
      <c r="AE24" s="10" t="s">
        <v>50</v>
      </c>
      <c r="AF24" s="45" t="s">
        <v>25</v>
      </c>
      <c r="AG24" s="10" t="s">
        <v>50</v>
      </c>
      <c r="AH24" s="45" t="s">
        <v>25</v>
      </c>
    </row>
    <row r="25" spans="2:40" ht="20.25" thickTop="1">
      <c r="Q25" s="1"/>
      <c r="R25" s="1" t="s">
        <v>565</v>
      </c>
      <c r="S25" s="22"/>
      <c r="T25" s="22"/>
      <c r="U25" s="2">
        <f t="shared" si="1"/>
        <v>0</v>
      </c>
      <c r="V25" s="22"/>
      <c r="W25" s="22"/>
      <c r="X25" s="22"/>
      <c r="AA25" s="25" t="s">
        <v>17</v>
      </c>
      <c r="AB25" s="73"/>
      <c r="AC25" s="25" t="s">
        <v>564</v>
      </c>
      <c r="AD25" s="73"/>
      <c r="AE25" s="25"/>
      <c r="AF25" s="73"/>
      <c r="AG25" s="25"/>
      <c r="AH25" s="73">
        <v>0.5</v>
      </c>
    </row>
    <row r="26" spans="2:40">
      <c r="Q26" s="1"/>
      <c r="R26" s="1" t="s">
        <v>568</v>
      </c>
      <c r="S26" s="22">
        <v>0.2</v>
      </c>
      <c r="T26" s="22"/>
      <c r="U26" s="2">
        <f t="shared" si="1"/>
        <v>0.2</v>
      </c>
      <c r="V26" s="22"/>
      <c r="W26" s="22"/>
      <c r="X26" s="22"/>
      <c r="AA26" s="1" t="s">
        <v>566</v>
      </c>
      <c r="AB26" s="75"/>
      <c r="AC26" s="1" t="s">
        <v>567</v>
      </c>
      <c r="AD26" s="75"/>
      <c r="AE26" s="1"/>
      <c r="AF26" s="75"/>
      <c r="AG26" s="1"/>
      <c r="AH26" s="75"/>
    </row>
    <row r="27" spans="2:40">
      <c r="Q27" s="1"/>
      <c r="R27" s="1" t="s">
        <v>558</v>
      </c>
      <c r="S27" s="22"/>
      <c r="T27" s="22"/>
      <c r="U27" s="2">
        <f t="shared" si="1"/>
        <v>0</v>
      </c>
      <c r="V27" s="22"/>
      <c r="W27" s="22"/>
      <c r="X27" s="22"/>
      <c r="AA27" s="1" t="s">
        <v>15</v>
      </c>
      <c r="AB27" s="75"/>
      <c r="AC27" s="1" t="s">
        <v>569</v>
      </c>
      <c r="AD27" s="75"/>
      <c r="AE27" s="1"/>
      <c r="AF27" s="75"/>
      <c r="AG27" s="1"/>
      <c r="AH27" s="75"/>
    </row>
    <row r="28" spans="2:40">
      <c r="Q28" s="1"/>
      <c r="R28" s="1" t="s">
        <v>571</v>
      </c>
      <c r="S28" s="22"/>
      <c r="T28" s="22"/>
      <c r="U28" s="2">
        <f t="shared" si="1"/>
        <v>0</v>
      </c>
      <c r="V28" s="22"/>
      <c r="W28" s="22"/>
      <c r="X28" s="22"/>
      <c r="AA28" s="1" t="s">
        <v>24</v>
      </c>
      <c r="AB28" s="75"/>
      <c r="AC28" s="1" t="s">
        <v>570</v>
      </c>
      <c r="AD28" s="75"/>
      <c r="AE28" s="1"/>
      <c r="AF28" s="75"/>
      <c r="AG28" s="1"/>
      <c r="AH28" s="75"/>
    </row>
    <row r="29" spans="2:40">
      <c r="Q29" s="1" t="s">
        <v>62</v>
      </c>
      <c r="R29" s="1" t="s">
        <v>573</v>
      </c>
      <c r="S29" s="1">
        <f>AB23</f>
        <v>0</v>
      </c>
      <c r="T29" s="22"/>
      <c r="U29" s="2">
        <f t="shared" si="1"/>
        <v>0</v>
      </c>
      <c r="V29" s="22"/>
      <c r="W29" s="22"/>
      <c r="X29" s="22"/>
      <c r="AA29" s="1" t="s">
        <v>572</v>
      </c>
      <c r="AB29" s="75"/>
      <c r="AC29" s="1"/>
      <c r="AD29" s="75"/>
      <c r="AE29" s="1"/>
      <c r="AF29" s="75"/>
      <c r="AG29" s="1"/>
      <c r="AH29" s="75"/>
    </row>
    <row r="30" spans="2:40">
      <c r="Q30" s="1"/>
      <c r="R30" s="1" t="s">
        <v>575</v>
      </c>
      <c r="S30" s="1">
        <f>AH23</f>
        <v>0.5</v>
      </c>
      <c r="T30" s="22"/>
      <c r="U30" s="2">
        <f t="shared" si="1"/>
        <v>0.5</v>
      </c>
      <c r="V30" s="22"/>
      <c r="W30" s="22"/>
      <c r="X30" s="22"/>
      <c r="AA30" s="1" t="s">
        <v>574</v>
      </c>
      <c r="AB30" s="75"/>
      <c r="AC30" s="2"/>
      <c r="AD30" s="76">
        <v>0.75</v>
      </c>
      <c r="AE30" s="2"/>
      <c r="AF30" s="76"/>
      <c r="AG30" s="2"/>
      <c r="AH30" s="76"/>
    </row>
    <row r="31" spans="2:40">
      <c r="Q31" s="1" t="s">
        <v>47</v>
      </c>
      <c r="R31" s="1" t="s">
        <v>47</v>
      </c>
      <c r="S31" s="22"/>
      <c r="T31" s="22"/>
      <c r="U31" s="2">
        <f t="shared" si="1"/>
        <v>0</v>
      </c>
      <c r="V31" s="22"/>
      <c r="W31" s="22"/>
      <c r="X31" s="22"/>
      <c r="AA31" s="1" t="s">
        <v>63</v>
      </c>
      <c r="AB31" s="75"/>
      <c r="AC31" s="1"/>
      <c r="AD31" s="75"/>
      <c r="AE31" s="1"/>
      <c r="AF31" s="75"/>
      <c r="AG31" s="1"/>
      <c r="AH31" s="75"/>
    </row>
    <row r="32" spans="2:40">
      <c r="Q32" s="1"/>
      <c r="R32" s="1" t="s">
        <v>576</v>
      </c>
      <c r="S32" s="22"/>
      <c r="T32" s="22"/>
      <c r="U32" s="2">
        <f t="shared" si="1"/>
        <v>0</v>
      </c>
      <c r="V32" s="22"/>
      <c r="W32" s="22"/>
      <c r="X32" s="22"/>
      <c r="AA32" s="1"/>
      <c r="AB32" s="75"/>
      <c r="AC32" s="1"/>
      <c r="AD32" s="75"/>
      <c r="AE32" s="1"/>
      <c r="AF32" s="75"/>
      <c r="AG32" s="1"/>
      <c r="AH32" s="75"/>
    </row>
    <row r="33" spans="17:34">
      <c r="Q33" s="1"/>
      <c r="R33" s="1" t="s">
        <v>577</v>
      </c>
      <c r="S33" s="22"/>
      <c r="T33" s="22"/>
      <c r="U33" s="2">
        <f t="shared" si="1"/>
        <v>0</v>
      </c>
      <c r="V33" s="22"/>
      <c r="W33" s="22"/>
      <c r="X33" s="22"/>
      <c r="AA33" s="1"/>
      <c r="AB33" s="75"/>
      <c r="AC33" s="1"/>
      <c r="AD33" s="75"/>
      <c r="AE33" s="1"/>
      <c r="AF33" s="75"/>
      <c r="AG33" s="1"/>
      <c r="AH33" s="75"/>
    </row>
    <row r="34" spans="17:34">
      <c r="Q34" s="1"/>
      <c r="R34" s="1" t="s">
        <v>578</v>
      </c>
      <c r="S34" s="22"/>
      <c r="T34" s="22"/>
      <c r="U34" s="2">
        <f t="shared" si="1"/>
        <v>0</v>
      </c>
      <c r="V34" s="22"/>
      <c r="W34" s="22"/>
      <c r="X34" s="22"/>
      <c r="AA34" s="1"/>
      <c r="AB34" s="75"/>
      <c r="AC34" s="1"/>
      <c r="AD34" s="75"/>
      <c r="AE34" s="1"/>
      <c r="AF34" s="75"/>
      <c r="AG34" s="1"/>
      <c r="AH34" s="75"/>
    </row>
    <row r="35" spans="17:34">
      <c r="Q35" s="1" t="s">
        <v>48</v>
      </c>
      <c r="R35" s="1" t="s">
        <v>579</v>
      </c>
      <c r="S35" s="1">
        <f>AD23</f>
        <v>0.75</v>
      </c>
      <c r="T35" s="22"/>
      <c r="U35" s="2">
        <f t="shared" si="1"/>
        <v>0.75</v>
      </c>
      <c r="V35" s="22"/>
      <c r="W35" s="22"/>
      <c r="X35" s="22"/>
      <c r="AA35" s="1"/>
      <c r="AB35" s="75"/>
      <c r="AC35" s="1"/>
      <c r="AD35" s="75"/>
      <c r="AE35" s="1"/>
      <c r="AF35" s="75"/>
      <c r="AG35" s="1"/>
      <c r="AH35" s="75"/>
    </row>
    <row r="36" spans="17:34">
      <c r="Q36" s="1"/>
      <c r="R36" s="1" t="s">
        <v>580</v>
      </c>
      <c r="S36" s="1">
        <f>AD23</f>
        <v>0.75</v>
      </c>
      <c r="T36" s="22"/>
      <c r="U36" s="2">
        <f t="shared" si="1"/>
        <v>0.75</v>
      </c>
      <c r="V36" s="22"/>
      <c r="W36" s="22"/>
      <c r="X36" s="22"/>
      <c r="AA36" s="1"/>
      <c r="AB36" s="75"/>
      <c r="AC36" s="1"/>
      <c r="AD36" s="75"/>
      <c r="AE36" s="1"/>
      <c r="AF36" s="75"/>
      <c r="AG36" s="1"/>
      <c r="AH36" s="75"/>
    </row>
    <row r="37" spans="17:34">
      <c r="Q37" s="1" t="s">
        <v>581</v>
      </c>
      <c r="R37" s="1" t="s">
        <v>582</v>
      </c>
      <c r="S37" s="22"/>
      <c r="T37" s="22"/>
      <c r="U37" s="2">
        <f t="shared" si="1"/>
        <v>0</v>
      </c>
      <c r="V37" s="22"/>
      <c r="W37" s="22"/>
      <c r="X37" s="22"/>
      <c r="AA37" s="1"/>
      <c r="AB37" s="75"/>
      <c r="AC37" s="1"/>
      <c r="AD37" s="75"/>
      <c r="AE37" s="1"/>
      <c r="AF37" s="75"/>
      <c r="AG37" s="1"/>
      <c r="AH37" s="75"/>
    </row>
    <row r="38" spans="17:34">
      <c r="Q38" s="1"/>
      <c r="R38" s="1" t="s">
        <v>583</v>
      </c>
      <c r="S38" s="22"/>
      <c r="T38" s="22"/>
      <c r="U38" s="2">
        <f t="shared" si="1"/>
        <v>0</v>
      </c>
      <c r="V38" s="22"/>
      <c r="W38" s="22"/>
      <c r="X38" s="22"/>
      <c r="AA38" s="1"/>
      <c r="AB38" s="75"/>
      <c r="AC38" s="1"/>
      <c r="AD38" s="75"/>
      <c r="AE38" s="1"/>
      <c r="AF38" s="75"/>
      <c r="AG38" s="1"/>
      <c r="AH38" s="75"/>
    </row>
    <row r="39" spans="17:34">
      <c r="Q39" s="1" t="s">
        <v>49</v>
      </c>
      <c r="R39" s="1" t="s">
        <v>584</v>
      </c>
      <c r="S39" s="22"/>
      <c r="T39" s="22"/>
      <c r="U39" s="2">
        <f t="shared" si="1"/>
        <v>0</v>
      </c>
      <c r="V39" s="22"/>
      <c r="W39" s="22"/>
      <c r="X39" s="22"/>
    </row>
    <row r="40" spans="17:34">
      <c r="Q40" s="1"/>
      <c r="R40" s="1" t="s">
        <v>585</v>
      </c>
      <c r="S40" s="22"/>
      <c r="T40" s="22"/>
      <c r="U40" s="2">
        <f t="shared" si="1"/>
        <v>0</v>
      </c>
      <c r="V40" s="22"/>
      <c r="W40" s="22"/>
      <c r="X40" s="22"/>
    </row>
    <row r="41" spans="17:34">
      <c r="Q41" s="1"/>
      <c r="R41" s="1"/>
      <c r="S41" s="22"/>
      <c r="T41" s="22"/>
      <c r="U41" s="1"/>
      <c r="V41" s="22"/>
      <c r="W41" s="22"/>
      <c r="X41" s="22"/>
    </row>
    <row r="42" spans="17:34">
      <c r="Q42" s="1"/>
      <c r="R42" s="1"/>
      <c r="S42" s="22"/>
      <c r="T42" s="22"/>
      <c r="U42" s="1"/>
      <c r="V42" s="22"/>
      <c r="W42" s="22"/>
      <c r="X42" s="22"/>
    </row>
    <row r="43" spans="17:34">
      <c r="Q43" s="1"/>
      <c r="R43" s="1"/>
      <c r="S43" s="22"/>
      <c r="T43" s="22"/>
      <c r="U43" s="1"/>
      <c r="V43" s="22"/>
      <c r="W43" s="22"/>
      <c r="X43" s="22"/>
    </row>
    <row r="44" spans="17:34">
      <c r="Q44" s="1"/>
      <c r="R44" s="1"/>
      <c r="S44" s="22"/>
      <c r="T44" s="22"/>
      <c r="U44" s="1"/>
      <c r="V44" s="22"/>
      <c r="W44" s="22"/>
      <c r="X44" s="22"/>
    </row>
    <row r="47" spans="17:34">
      <c r="Q47" t="s">
        <v>926</v>
      </c>
      <c r="R47" t="s">
        <v>927</v>
      </c>
      <c r="S47"/>
      <c r="T47"/>
      <c r="U47"/>
      <c r="V47"/>
    </row>
    <row r="48" spans="17:34">
      <c r="Q48" t="s">
        <v>928</v>
      </c>
      <c r="R48" t="s">
        <v>929</v>
      </c>
      <c r="S48"/>
      <c r="T48"/>
      <c r="U48"/>
      <c r="V48"/>
    </row>
    <row r="49" spans="17:41">
      <c r="Q49" s="3" t="s">
        <v>930</v>
      </c>
      <c r="T49" s="3">
        <f>SUM(T52:T89)</f>
        <v>44114</v>
      </c>
      <c r="V49"/>
    </row>
    <row r="50" spans="17:41">
      <c r="Q50" s="10" t="s">
        <v>931</v>
      </c>
      <c r="R50" s="12" t="s">
        <v>932</v>
      </c>
      <c r="S50" s="10" t="s">
        <v>933</v>
      </c>
      <c r="T50" s="13" t="s">
        <v>934</v>
      </c>
      <c r="U50" s="14" t="s">
        <v>935</v>
      </c>
      <c r="V50"/>
    </row>
    <row r="51" spans="17:41" ht="20.25" thickBot="1">
      <c r="Q51" s="11" t="s">
        <v>936</v>
      </c>
      <c r="R51" s="15" t="s">
        <v>936</v>
      </c>
      <c r="S51" s="11" t="s">
        <v>761</v>
      </c>
      <c r="T51" s="16" t="s">
        <v>936</v>
      </c>
      <c r="U51" s="17" t="s">
        <v>761</v>
      </c>
      <c r="V51"/>
    </row>
    <row r="52" spans="17:41" ht="20.25" thickTop="1">
      <c r="Q52" s="4">
        <v>1176</v>
      </c>
      <c r="R52" s="5">
        <v>930</v>
      </c>
      <c r="S52" s="4">
        <v>3.83</v>
      </c>
      <c r="T52" s="6">
        <f>Q52+R52</f>
        <v>2106</v>
      </c>
      <c r="U52" s="7">
        <f>S52*R52/(Q52+R52)</f>
        <v>1.6913105413105414</v>
      </c>
      <c r="V52" t="s">
        <v>937</v>
      </c>
    </row>
    <row r="53" spans="17:41">
      <c r="Q53" s="4">
        <f>752-198</f>
        <v>554</v>
      </c>
      <c r="R53" s="5">
        <f>804-196</f>
        <v>608</v>
      </c>
      <c r="S53" s="4">
        <v>2.86</v>
      </c>
      <c r="T53" s="6">
        <f t="shared" ref="T53:T75" si="3">Q53+R53</f>
        <v>1162</v>
      </c>
      <c r="U53" s="7">
        <f t="shared" ref="U53:U75" si="4">S53*R53/(Q53+R53)</f>
        <v>1.4964543889845094</v>
      </c>
      <c r="V53" t="s">
        <v>938</v>
      </c>
    </row>
    <row r="54" spans="17:41">
      <c r="Q54" s="4">
        <f>3220+1600/2</f>
        <v>4020</v>
      </c>
      <c r="R54" s="5">
        <f>3240+1600/2</f>
        <v>4040</v>
      </c>
      <c r="S54" s="4">
        <v>3.5</v>
      </c>
      <c r="T54" s="6">
        <f t="shared" si="3"/>
        <v>8060</v>
      </c>
      <c r="U54" s="7">
        <f t="shared" si="4"/>
        <v>1.7543424317617866</v>
      </c>
      <c r="V54" t="s">
        <v>939</v>
      </c>
    </row>
    <row r="55" spans="17:41">
      <c r="Q55" s="4">
        <f>1774-448</f>
        <v>1326</v>
      </c>
      <c r="R55" s="5">
        <v>1218</v>
      </c>
      <c r="S55" s="4">
        <v>3.8</v>
      </c>
      <c r="T55" s="6">
        <f t="shared" si="3"/>
        <v>2544</v>
      </c>
      <c r="U55" s="7">
        <f t="shared" si="4"/>
        <v>1.8193396226415093</v>
      </c>
      <c r="V55" t="s">
        <v>940</v>
      </c>
    </row>
    <row r="56" spans="17:41">
      <c r="Q56" s="4">
        <f>1800-488</f>
        <v>1312</v>
      </c>
      <c r="R56" s="5">
        <v>1264</v>
      </c>
      <c r="S56" s="4">
        <v>3.8</v>
      </c>
      <c r="T56" s="6">
        <f t="shared" si="3"/>
        <v>2576</v>
      </c>
      <c r="U56" s="7">
        <f t="shared" si="4"/>
        <v>1.8645962732919255</v>
      </c>
      <c r="V56" t="s">
        <v>941</v>
      </c>
    </row>
    <row r="57" spans="17:41">
      <c r="Q57" s="4">
        <f>3724-1150</f>
        <v>2574</v>
      </c>
      <c r="R57" s="5">
        <v>2718</v>
      </c>
      <c r="S57" s="4">
        <v>3.8</v>
      </c>
      <c r="T57" s="6">
        <f t="shared" si="3"/>
        <v>5292</v>
      </c>
      <c r="U57" s="7">
        <f t="shared" si="4"/>
        <v>1.9517006802721089</v>
      </c>
      <c r="V57" t="s">
        <v>942</v>
      </c>
    </row>
    <row r="58" spans="17:41">
      <c r="Q58" s="4">
        <v>532</v>
      </c>
      <c r="R58" s="5">
        <v>536</v>
      </c>
      <c r="S58" s="4">
        <v>0.7</v>
      </c>
      <c r="T58" s="6">
        <f t="shared" si="3"/>
        <v>1068</v>
      </c>
      <c r="U58" s="7">
        <f t="shared" si="4"/>
        <v>0.35131086142322099</v>
      </c>
      <c r="V58" t="s">
        <v>943</v>
      </c>
    </row>
    <row r="59" spans="17:41">
      <c r="Q59" s="4">
        <v>144</v>
      </c>
      <c r="R59" s="5">
        <v>0</v>
      </c>
      <c r="S59" s="4">
        <v>1</v>
      </c>
      <c r="T59" s="6">
        <f t="shared" si="3"/>
        <v>144</v>
      </c>
      <c r="U59" s="7">
        <f t="shared" si="4"/>
        <v>0</v>
      </c>
      <c r="V59" t="s">
        <v>944</v>
      </c>
      <c r="AO59" s="77"/>
    </row>
    <row r="60" spans="17:41">
      <c r="Q60" s="4">
        <v>688</v>
      </c>
      <c r="R60" s="5">
        <v>344</v>
      </c>
      <c r="S60" s="4">
        <v>0.85</v>
      </c>
      <c r="T60" s="6">
        <f t="shared" si="3"/>
        <v>1032</v>
      </c>
      <c r="U60" s="7">
        <f t="shared" si="4"/>
        <v>0.28333333333333333</v>
      </c>
      <c r="V60" t="s">
        <v>945</v>
      </c>
      <c r="AO60" s="77"/>
    </row>
    <row r="61" spans="17:41">
      <c r="Q61" s="4">
        <v>238</v>
      </c>
      <c r="R61" s="5">
        <v>264</v>
      </c>
      <c r="S61" s="4">
        <v>0</v>
      </c>
      <c r="T61" s="6">
        <f t="shared" si="3"/>
        <v>502</v>
      </c>
      <c r="U61" s="7">
        <f t="shared" si="4"/>
        <v>0</v>
      </c>
      <c r="V61" t="s">
        <v>946</v>
      </c>
      <c r="AO61" s="77"/>
    </row>
    <row r="62" spans="17:41">
      <c r="Q62" s="4">
        <v>70</v>
      </c>
      <c r="R62" s="5">
        <v>0</v>
      </c>
      <c r="S62" s="4">
        <v>0</v>
      </c>
      <c r="T62" s="6">
        <f t="shared" si="3"/>
        <v>70</v>
      </c>
      <c r="U62" s="7">
        <f t="shared" si="4"/>
        <v>0</v>
      </c>
      <c r="V62" t="s">
        <v>947</v>
      </c>
      <c r="AO62" s="77"/>
    </row>
    <row r="63" spans="17:41">
      <c r="Q63" s="4">
        <v>488</v>
      </c>
      <c r="R63" s="5">
        <v>468</v>
      </c>
      <c r="S63" s="4">
        <v>0.6</v>
      </c>
      <c r="T63" s="6">
        <f t="shared" si="3"/>
        <v>956</v>
      </c>
      <c r="U63" s="7">
        <f t="shared" si="4"/>
        <v>0.29372384937238494</v>
      </c>
      <c r="V63" t="s">
        <v>948</v>
      </c>
      <c r="AO63" s="77"/>
    </row>
    <row r="64" spans="17:41">
      <c r="Q64" s="4">
        <v>656</v>
      </c>
      <c r="R64" s="5">
        <v>514</v>
      </c>
      <c r="S64" s="4">
        <v>0.9</v>
      </c>
      <c r="T64" s="6">
        <f t="shared" si="3"/>
        <v>1170</v>
      </c>
      <c r="U64" s="7">
        <f t="shared" si="4"/>
        <v>0.39538461538461539</v>
      </c>
      <c r="V64" t="s">
        <v>949</v>
      </c>
      <c r="AO64" s="77"/>
    </row>
    <row r="65" spans="17:45">
      <c r="Q65" s="4">
        <v>424</v>
      </c>
      <c r="R65" s="5">
        <v>422</v>
      </c>
      <c r="S65" s="4">
        <v>1</v>
      </c>
      <c r="T65" s="6">
        <f t="shared" si="3"/>
        <v>846</v>
      </c>
      <c r="U65" s="7">
        <f t="shared" si="4"/>
        <v>0.49881796690307328</v>
      </c>
      <c r="V65" t="s">
        <v>950</v>
      </c>
      <c r="AO65" s="77"/>
    </row>
    <row r="66" spans="17:45">
      <c r="Q66" s="4">
        <f>3698-1122</f>
        <v>2576</v>
      </c>
      <c r="R66" s="5">
        <v>2740</v>
      </c>
      <c r="S66" s="4">
        <v>3.8</v>
      </c>
      <c r="T66" s="6">
        <f t="shared" si="3"/>
        <v>5316</v>
      </c>
      <c r="U66" s="7">
        <f t="shared" si="4"/>
        <v>1.9586155003762227</v>
      </c>
      <c r="V66" t="s">
        <v>951</v>
      </c>
      <c r="AO66" s="77"/>
    </row>
    <row r="67" spans="17:45">
      <c r="Q67" s="4">
        <f>2646-666</f>
        <v>1980</v>
      </c>
      <c r="R67" s="5">
        <v>2000</v>
      </c>
      <c r="S67" s="4">
        <v>3.8</v>
      </c>
      <c r="T67" s="6">
        <f t="shared" si="3"/>
        <v>3980</v>
      </c>
      <c r="U67" s="7">
        <f t="shared" si="4"/>
        <v>1.9095477386934674</v>
      </c>
      <c r="V67" t="s">
        <v>952</v>
      </c>
      <c r="AO67" s="77"/>
    </row>
    <row r="68" spans="17:45">
      <c r="Q68" s="4">
        <f>2620-702</f>
        <v>1918</v>
      </c>
      <c r="R68" s="5">
        <v>2028</v>
      </c>
      <c r="S68" s="4">
        <v>3.8</v>
      </c>
      <c r="T68" s="6">
        <f t="shared" si="3"/>
        <v>3946</v>
      </c>
      <c r="U68" s="7">
        <f t="shared" si="4"/>
        <v>1.9529650278763304</v>
      </c>
      <c r="V68" t="s">
        <v>953</v>
      </c>
      <c r="AO68" s="77"/>
    </row>
    <row r="69" spans="17:45">
      <c r="Q69" s="4">
        <v>2014</v>
      </c>
      <c r="R69" s="5">
        <v>0</v>
      </c>
      <c r="S69" s="4">
        <v>1</v>
      </c>
      <c r="T69" s="6">
        <f t="shared" si="3"/>
        <v>2014</v>
      </c>
      <c r="U69" s="7">
        <f t="shared" si="4"/>
        <v>0</v>
      </c>
      <c r="V69" t="s">
        <v>954</v>
      </c>
      <c r="AJ69" s="77"/>
      <c r="AM69" s="77"/>
      <c r="AN69" s="77"/>
      <c r="AO69" s="77"/>
      <c r="AP69" s="77"/>
      <c r="AQ69" s="77"/>
      <c r="AR69" s="77"/>
      <c r="AS69" s="77"/>
    </row>
    <row r="70" spans="17:45">
      <c r="Q70" s="4">
        <v>665</v>
      </c>
      <c r="R70" s="5">
        <v>0</v>
      </c>
      <c r="S70" s="4">
        <v>1</v>
      </c>
      <c r="T70" s="6">
        <f t="shared" si="3"/>
        <v>665</v>
      </c>
      <c r="U70" s="7">
        <f t="shared" si="4"/>
        <v>0</v>
      </c>
      <c r="V70" t="s">
        <v>955</v>
      </c>
      <c r="AJ70" s="77"/>
      <c r="AM70" s="77"/>
      <c r="AN70" s="77"/>
      <c r="AO70" s="77"/>
      <c r="AP70" s="77"/>
      <c r="AQ70" s="77"/>
      <c r="AR70" s="77"/>
      <c r="AS70" s="77"/>
    </row>
    <row r="71" spans="17:45">
      <c r="Q71" s="4">
        <v>665</v>
      </c>
      <c r="R71" s="5">
        <v>0</v>
      </c>
      <c r="S71" s="4">
        <v>1</v>
      </c>
      <c r="T71" s="6">
        <f t="shared" si="3"/>
        <v>665</v>
      </c>
      <c r="U71" s="7">
        <f t="shared" si="4"/>
        <v>0</v>
      </c>
      <c r="V71" t="s">
        <v>956</v>
      </c>
      <c r="AJ71" s="77"/>
      <c r="AM71" s="77"/>
      <c r="AN71" s="77"/>
      <c r="AO71" s="77"/>
      <c r="AP71" s="77"/>
      <c r="AQ71" s="77"/>
      <c r="AR71" s="77"/>
      <c r="AS71" s="77"/>
    </row>
    <row r="72" spans="17:45">
      <c r="Q72" s="4">
        <v>0</v>
      </c>
      <c r="R72" s="5">
        <v>0</v>
      </c>
      <c r="S72" s="4">
        <v>1</v>
      </c>
      <c r="T72" s="6">
        <f t="shared" si="3"/>
        <v>0</v>
      </c>
      <c r="U72" s="7" t="e">
        <f t="shared" si="4"/>
        <v>#DIV/0!</v>
      </c>
      <c r="V72" t="s">
        <v>957</v>
      </c>
      <c r="AJ72" s="77"/>
      <c r="AM72" s="77"/>
      <c r="AN72" s="77"/>
      <c r="AO72" s="77"/>
      <c r="AP72" s="77"/>
      <c r="AQ72" s="77"/>
      <c r="AR72" s="77"/>
      <c r="AS72" s="77"/>
    </row>
    <row r="73" spans="17:45">
      <c r="Q73" s="4">
        <v>0</v>
      </c>
      <c r="R73" s="5">
        <v>0</v>
      </c>
      <c r="S73" s="4">
        <v>1</v>
      </c>
      <c r="T73" s="6">
        <f t="shared" si="3"/>
        <v>0</v>
      </c>
      <c r="U73" s="7" t="e">
        <f t="shared" si="4"/>
        <v>#DIV/0!</v>
      </c>
      <c r="V73" t="s">
        <v>958</v>
      </c>
      <c r="AJ73" s="77"/>
      <c r="AM73" s="77"/>
      <c r="AN73" s="77"/>
      <c r="AO73" s="77"/>
      <c r="AP73" s="77"/>
      <c r="AQ73" s="77"/>
      <c r="AR73" s="77"/>
      <c r="AS73" s="77"/>
    </row>
    <row r="74" spans="17:45">
      <c r="Q74" s="4">
        <v>0</v>
      </c>
      <c r="R74" s="5">
        <v>0</v>
      </c>
      <c r="S74" s="4">
        <v>1</v>
      </c>
      <c r="T74" s="6">
        <f t="shared" si="3"/>
        <v>0</v>
      </c>
      <c r="U74" s="7" t="e">
        <f t="shared" si="4"/>
        <v>#DIV/0!</v>
      </c>
      <c r="V74" t="s">
        <v>959</v>
      </c>
      <c r="AJ74" s="77"/>
      <c r="AM74" s="77"/>
      <c r="AN74" s="77"/>
      <c r="AO74" s="77"/>
      <c r="AP74" s="77"/>
      <c r="AQ74" s="77"/>
      <c r="AR74" s="77"/>
      <c r="AS74" s="77"/>
    </row>
    <row r="75" spans="17:45">
      <c r="Q75" s="4">
        <v>0</v>
      </c>
      <c r="R75" s="5">
        <v>0</v>
      </c>
      <c r="S75" s="4">
        <v>1</v>
      </c>
      <c r="T75" s="6">
        <f t="shared" si="3"/>
        <v>0</v>
      </c>
      <c r="U75" s="7" t="e">
        <f t="shared" si="4"/>
        <v>#DIV/0!</v>
      </c>
      <c r="V75" t="s">
        <v>960</v>
      </c>
      <c r="AJ75" s="77"/>
      <c r="AM75" s="77"/>
      <c r="AN75" s="77"/>
      <c r="AO75" s="77"/>
      <c r="AP75" s="77"/>
      <c r="AQ75" s="77"/>
      <c r="AR75" s="77"/>
      <c r="AS75" s="77"/>
    </row>
    <row r="76" spans="17:45">
      <c r="AJ76" s="77"/>
      <c r="AM76" s="77"/>
      <c r="AN76" s="77"/>
      <c r="AO76" s="77"/>
      <c r="AP76" s="77"/>
      <c r="AQ76" s="77"/>
      <c r="AR76" s="77"/>
      <c r="AS76" s="77"/>
    </row>
    <row r="77" spans="17:45">
      <c r="AJ77" s="77"/>
      <c r="AM77" s="77"/>
      <c r="AN77" s="77"/>
      <c r="AO77" s="77"/>
      <c r="AP77" s="77"/>
      <c r="AQ77" s="77"/>
      <c r="AR77" s="77"/>
      <c r="AS77" s="77"/>
    </row>
    <row r="78" spans="17:45">
      <c r="AJ78" s="77"/>
      <c r="AM78" s="77"/>
      <c r="AN78" s="77"/>
      <c r="AO78" s="77"/>
      <c r="AP78" s="77"/>
      <c r="AQ78" s="77"/>
      <c r="AR78" s="77"/>
      <c r="AS78" s="77"/>
    </row>
    <row r="79" spans="17:45">
      <c r="AJ79" s="77"/>
      <c r="AM79" s="77"/>
      <c r="AN79" s="77"/>
      <c r="AO79" s="77"/>
      <c r="AP79" s="77"/>
      <c r="AQ79" s="77"/>
      <c r="AR79" s="77"/>
      <c r="AS79" s="77"/>
    </row>
    <row r="80" spans="17:45">
      <c r="AJ80" s="77"/>
      <c r="AM80" s="77"/>
      <c r="AN80" s="77"/>
      <c r="AO80" s="77"/>
      <c r="AP80" s="77"/>
      <c r="AQ80" s="77"/>
      <c r="AR80" s="77"/>
      <c r="AS80" s="77"/>
    </row>
    <row r="81" spans="30:45">
      <c r="AJ81" s="77"/>
      <c r="AM81" s="77"/>
      <c r="AN81" s="77"/>
      <c r="AO81" s="77"/>
      <c r="AP81" s="77"/>
      <c r="AQ81" s="77"/>
      <c r="AR81" s="77"/>
      <c r="AS81" s="77"/>
    </row>
    <row r="82" spans="30:45">
      <c r="AJ82" s="77"/>
      <c r="AM82" s="77"/>
      <c r="AN82" s="77"/>
      <c r="AO82" s="77"/>
      <c r="AP82" s="77"/>
      <c r="AQ82" s="77"/>
      <c r="AR82" s="77"/>
      <c r="AS82" s="77"/>
    </row>
    <row r="83" spans="30:45">
      <c r="AD83" s="77"/>
      <c r="AE83" s="77"/>
      <c r="AF83" s="77"/>
      <c r="AG83" s="77"/>
      <c r="AH83" s="77"/>
      <c r="AI83" s="77"/>
      <c r="AJ83" s="77"/>
      <c r="AM83" s="77"/>
      <c r="AN83" s="77"/>
      <c r="AO83" s="77"/>
      <c r="AP83" s="77"/>
      <c r="AQ83" s="77"/>
      <c r="AR83" s="77"/>
      <c r="AS83" s="77"/>
    </row>
    <row r="84" spans="30:45">
      <c r="AD84" s="77"/>
      <c r="AE84" s="77"/>
      <c r="AF84" s="77"/>
      <c r="AG84" s="77"/>
      <c r="AH84" s="77"/>
      <c r="AI84" s="77"/>
      <c r="AJ84" s="77"/>
      <c r="AM84" s="77"/>
      <c r="AN84" s="77"/>
      <c r="AO84" s="77"/>
      <c r="AP84" s="77"/>
      <c r="AQ84" s="77"/>
      <c r="AR84" s="77"/>
      <c r="AS84" s="77"/>
    </row>
    <row r="85" spans="30:45">
      <c r="AD85" s="77"/>
      <c r="AE85" s="77"/>
      <c r="AF85" s="77"/>
      <c r="AG85" s="77"/>
      <c r="AH85" s="77"/>
      <c r="AI85" s="77"/>
      <c r="AJ85" s="77"/>
      <c r="AM85" s="77"/>
      <c r="AN85" s="77"/>
      <c r="AO85" s="77"/>
      <c r="AP85" s="77"/>
      <c r="AQ85" s="77"/>
      <c r="AR85" s="77"/>
      <c r="AS85" s="77"/>
    </row>
    <row r="86" spans="30:45">
      <c r="AD86" s="77"/>
      <c r="AE86" s="77"/>
      <c r="AF86" s="77"/>
      <c r="AG86" s="77"/>
      <c r="AH86" s="77"/>
      <c r="AI86" s="77"/>
      <c r="AJ86" s="77"/>
      <c r="AM86" s="77"/>
      <c r="AN86" s="77"/>
      <c r="AO86" s="77"/>
      <c r="AP86" s="77"/>
      <c r="AQ86" s="77"/>
      <c r="AR86" s="77"/>
      <c r="AS86" s="77"/>
    </row>
    <row r="87" spans="30:45">
      <c r="AD87" s="77"/>
      <c r="AE87" s="77"/>
      <c r="AF87" s="77"/>
      <c r="AG87" s="77"/>
      <c r="AH87" s="77"/>
      <c r="AI87" s="77"/>
      <c r="AJ87" s="77"/>
      <c r="AM87" s="77"/>
      <c r="AN87" s="77"/>
      <c r="AO87" s="77"/>
      <c r="AP87" s="77"/>
      <c r="AQ87" s="77"/>
      <c r="AR87" s="77"/>
      <c r="AS87" s="77"/>
    </row>
    <row r="88" spans="30:45">
      <c r="AD88" s="77"/>
      <c r="AE88" s="77"/>
      <c r="AF88" s="77"/>
      <c r="AG88" s="77"/>
      <c r="AH88" s="77"/>
      <c r="AI88" s="77"/>
      <c r="AJ88" s="77"/>
      <c r="AM88" s="77"/>
      <c r="AN88" s="77"/>
      <c r="AO88" s="77"/>
      <c r="AP88" s="77"/>
      <c r="AQ88" s="77"/>
      <c r="AR88" s="77"/>
      <c r="AS88" s="77"/>
    </row>
    <row r="89" spans="30:45">
      <c r="AD89" s="77"/>
      <c r="AE89" s="77"/>
      <c r="AF89" s="77"/>
      <c r="AG89" s="77"/>
      <c r="AH89" s="77"/>
      <c r="AI89" s="77"/>
      <c r="AJ89" s="77"/>
      <c r="AM89" s="77"/>
      <c r="AN89" s="77"/>
      <c r="AO89" s="77"/>
      <c r="AP89" s="77"/>
      <c r="AQ89" s="77"/>
      <c r="AR89" s="77"/>
      <c r="AS89" s="77"/>
    </row>
  </sheetData>
  <mergeCells count="5">
    <mergeCell ref="D3:F3"/>
    <mergeCell ref="G3:L3"/>
    <mergeCell ref="D12:F12"/>
    <mergeCell ref="G12:I12"/>
    <mergeCell ref="J12:O12"/>
  </mergeCells>
  <phoneticPr fontId="3"/>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3" tint="0.59999389629810485"/>
  </sheetPr>
  <dimension ref="B2:O40"/>
  <sheetViews>
    <sheetView zoomScale="83" zoomScaleNormal="60" workbookViewId="0">
      <selection activeCell="M44" sqref="M44"/>
    </sheetView>
  </sheetViews>
  <sheetFormatPr defaultColWidth="8.6640625" defaultRowHeight="19.5"/>
  <sheetData>
    <row r="2" spans="2:15">
      <c r="B2" t="s">
        <v>891</v>
      </c>
      <c r="C2" t="s">
        <v>898</v>
      </c>
      <c r="O2" t="s">
        <v>893</v>
      </c>
    </row>
    <row r="10" spans="2:15">
      <c r="O10" t="s">
        <v>894</v>
      </c>
    </row>
    <row r="20" spans="2:15">
      <c r="B20" t="s">
        <v>892</v>
      </c>
      <c r="C20" t="s">
        <v>898</v>
      </c>
      <c r="O20" t="s">
        <v>895</v>
      </c>
    </row>
    <row r="40" spans="2:5">
      <c r="B40" t="s">
        <v>896</v>
      </c>
      <c r="E40" t="s">
        <v>897</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1:AZ53"/>
  <sheetViews>
    <sheetView zoomScale="55" zoomScaleNormal="55" workbookViewId="0">
      <selection activeCell="AL43" sqref="AL43"/>
    </sheetView>
  </sheetViews>
  <sheetFormatPr defaultColWidth="8.6640625" defaultRowHeight="19.5"/>
  <sheetData>
    <row r="1" spans="2:46">
      <c r="P1" s="3"/>
      <c r="AG1" s="3"/>
      <c r="AH1" s="3"/>
    </row>
    <row r="2" spans="2:46">
      <c r="B2" s="3"/>
      <c r="C2" s="3"/>
      <c r="D2" s="3"/>
      <c r="E2" s="3"/>
      <c r="G2" s="3" t="s">
        <v>979</v>
      </c>
      <c r="H2" s="3"/>
      <c r="I2" s="3"/>
      <c r="J2" s="3"/>
      <c r="K2" s="3"/>
      <c r="L2" s="3"/>
      <c r="M2" s="3"/>
      <c r="N2" s="3"/>
      <c r="O2" s="3"/>
      <c r="Q2" s="3"/>
      <c r="S2" s="3" t="s">
        <v>804</v>
      </c>
      <c r="Y2" s="3"/>
      <c r="AB2" s="3"/>
    </row>
    <row r="3" spans="2:46" ht="20.25" thickBot="1">
      <c r="B3" s="11" t="s">
        <v>65</v>
      </c>
      <c r="C3" s="11" t="s">
        <v>66</v>
      </c>
      <c r="D3" s="11" t="s">
        <v>67</v>
      </c>
      <c r="E3" s="11" t="s">
        <v>68</v>
      </c>
      <c r="G3" s="10" t="s">
        <v>480</v>
      </c>
      <c r="H3" s="10" t="s">
        <v>746</v>
      </c>
      <c r="I3" s="10" t="s">
        <v>707</v>
      </c>
      <c r="J3" s="10" t="s">
        <v>970</v>
      </c>
      <c r="K3" s="10" t="s">
        <v>971</v>
      </c>
      <c r="L3" s="10" t="s">
        <v>744</v>
      </c>
      <c r="M3" s="10" t="s">
        <v>743</v>
      </c>
      <c r="N3" s="10" t="s">
        <v>706</v>
      </c>
      <c r="O3" s="10" t="s">
        <v>659</v>
      </c>
      <c r="P3" s="10" t="s">
        <v>1056</v>
      </c>
      <c r="Q3" s="10" t="s">
        <v>695</v>
      </c>
      <c r="S3" s="10" t="s">
        <v>480</v>
      </c>
      <c r="T3" s="10" t="s">
        <v>1060</v>
      </c>
      <c r="U3" s="10" t="s">
        <v>159</v>
      </c>
      <c r="V3" s="10" t="s">
        <v>160</v>
      </c>
      <c r="W3" s="10" t="s">
        <v>161</v>
      </c>
      <c r="Y3" s="39"/>
      <c r="Z3" s="39"/>
      <c r="AB3" s="39"/>
      <c r="AC3" s="39"/>
      <c r="AD3" s="39"/>
      <c r="AE3" s="39"/>
      <c r="AM3" s="3"/>
      <c r="AN3" s="3"/>
      <c r="AO3" s="3" t="s">
        <v>972</v>
      </c>
      <c r="AP3" s="3"/>
      <c r="AQ3" s="3"/>
      <c r="AR3" s="3"/>
    </row>
    <row r="4" spans="2:46" ht="21" thickTop="1" thickBot="1">
      <c r="B4" s="36" t="s">
        <v>962</v>
      </c>
      <c r="C4" s="36" t="s">
        <v>380</v>
      </c>
      <c r="D4" s="36"/>
      <c r="E4" s="36" t="s">
        <v>376</v>
      </c>
      <c r="G4" s="1" t="s">
        <v>159</v>
      </c>
      <c r="H4" s="1" t="s">
        <v>661</v>
      </c>
      <c r="I4" s="1" t="s">
        <v>662</v>
      </c>
      <c r="J4" s="65" t="s">
        <v>663</v>
      </c>
      <c r="K4" s="65" t="s">
        <v>664</v>
      </c>
      <c r="L4" s="1" t="s">
        <v>51</v>
      </c>
      <c r="M4" s="65" t="s">
        <v>52</v>
      </c>
      <c r="N4" s="1" t="s">
        <v>660</v>
      </c>
      <c r="O4" s="1" t="s">
        <v>665</v>
      </c>
      <c r="P4" s="1" t="s">
        <v>665</v>
      </c>
      <c r="Q4" s="1" t="s">
        <v>666</v>
      </c>
      <c r="S4" s="2" t="s">
        <v>806</v>
      </c>
      <c r="T4" s="4" t="s">
        <v>1061</v>
      </c>
      <c r="U4" s="2" t="s">
        <v>807</v>
      </c>
      <c r="V4" s="4">
        <f>10*10^-3</f>
        <v>0.01</v>
      </c>
      <c r="W4" s="2" t="s">
        <v>1057</v>
      </c>
      <c r="Y4" s="1"/>
      <c r="Z4" s="140"/>
      <c r="AB4" s="52"/>
      <c r="AC4" s="150"/>
      <c r="AD4" s="150"/>
      <c r="AE4" s="150"/>
      <c r="AM4" s="3" t="s">
        <v>119</v>
      </c>
      <c r="AN4" s="3"/>
      <c r="AO4" s="11" t="s">
        <v>65</v>
      </c>
      <c r="AP4" s="11" t="s">
        <v>66</v>
      </c>
      <c r="AQ4" s="11" t="s">
        <v>67</v>
      </c>
      <c r="AR4" s="11" t="s">
        <v>68</v>
      </c>
    </row>
    <row r="5" spans="2:46" ht="21" thickTop="1" thickBot="1">
      <c r="B5" s="36" t="s">
        <v>794</v>
      </c>
      <c r="C5" s="36" t="s">
        <v>375</v>
      </c>
      <c r="D5" s="36"/>
      <c r="E5" s="36" t="s">
        <v>376</v>
      </c>
      <c r="G5" s="20" t="s">
        <v>161</v>
      </c>
      <c r="H5" s="20" t="s">
        <v>9</v>
      </c>
      <c r="I5" s="20" t="s">
        <v>9</v>
      </c>
      <c r="J5" s="136" t="s">
        <v>324</v>
      </c>
      <c r="K5" s="136" t="s">
        <v>324</v>
      </c>
      <c r="L5" s="20" t="s">
        <v>745</v>
      </c>
      <c r="M5" s="136" t="s">
        <v>52</v>
      </c>
      <c r="N5" s="20" t="s">
        <v>52</v>
      </c>
      <c r="O5" s="20" t="s">
        <v>52</v>
      </c>
      <c r="P5" s="20" t="s">
        <v>1047</v>
      </c>
      <c r="Q5" s="20" t="s">
        <v>9</v>
      </c>
      <c r="S5" s="1" t="s">
        <v>808</v>
      </c>
      <c r="T5" s="4" t="s">
        <v>1062</v>
      </c>
      <c r="U5" s="1" t="s">
        <v>807</v>
      </c>
      <c r="V5" s="22">
        <f>2*10^-3</f>
        <v>2E-3</v>
      </c>
      <c r="W5" s="2" t="s">
        <v>1057</v>
      </c>
      <c r="Y5" s="1"/>
      <c r="Z5" s="140"/>
      <c r="AB5" s="36"/>
      <c r="AC5" s="140"/>
      <c r="AD5" s="140"/>
      <c r="AE5" s="140"/>
      <c r="AM5" s="3"/>
      <c r="AN5" s="3" t="s">
        <v>631</v>
      </c>
      <c r="AO5" s="1" t="s">
        <v>632</v>
      </c>
      <c r="AP5" s="1" t="s">
        <v>482</v>
      </c>
      <c r="AQ5" s="1"/>
      <c r="AR5" s="1" t="s">
        <v>410</v>
      </c>
    </row>
    <row r="6" spans="2:46" ht="20.25" thickTop="1">
      <c r="B6" s="56" t="s">
        <v>963</v>
      </c>
      <c r="C6" s="36" t="s">
        <v>372</v>
      </c>
      <c r="D6" s="36"/>
      <c r="E6" s="36" t="s">
        <v>51</v>
      </c>
      <c r="G6" s="83" t="s">
        <v>735</v>
      </c>
      <c r="H6" s="4">
        <v>0</v>
      </c>
      <c r="I6" s="4">
        <v>0.93</v>
      </c>
      <c r="J6" s="4">
        <v>2</v>
      </c>
      <c r="K6" s="4">
        <v>0</v>
      </c>
      <c r="L6" s="4">
        <v>35</v>
      </c>
      <c r="M6" s="4" t="s">
        <v>747</v>
      </c>
      <c r="N6" s="114">
        <v>0</v>
      </c>
      <c r="O6" s="2">
        <f t="shared" ref="O6:O11" si="0">I7/I6</f>
        <v>1</v>
      </c>
      <c r="P6" s="2">
        <f t="shared" ref="P6:P11" si="1">J7/J6</f>
        <v>1</v>
      </c>
      <c r="Q6" s="2">
        <f t="shared" ref="Q6:Q11" si="2">H7-H6</f>
        <v>1.6</v>
      </c>
      <c r="S6" s="1" t="s">
        <v>812</v>
      </c>
      <c r="T6" s="4" t="s">
        <v>1063</v>
      </c>
      <c r="U6" s="1" t="s">
        <v>807</v>
      </c>
      <c r="V6" s="22">
        <f>0.45*10^-3</f>
        <v>4.5000000000000004E-4</v>
      </c>
      <c r="W6" s="2" t="s">
        <v>1057</v>
      </c>
      <c r="AB6" s="36"/>
      <c r="AC6" s="140"/>
      <c r="AD6" s="140"/>
      <c r="AE6" s="140"/>
      <c r="AM6" s="3"/>
      <c r="AN6" s="3"/>
      <c r="AO6" s="1" t="s">
        <v>505</v>
      </c>
      <c r="AP6" s="1" t="s">
        <v>633</v>
      </c>
      <c r="AQ6" s="1"/>
      <c r="AR6" s="1" t="s">
        <v>9</v>
      </c>
    </row>
    <row r="7" spans="2:46">
      <c r="B7" s="56" t="s">
        <v>594</v>
      </c>
      <c r="C7" s="56" t="s">
        <v>482</v>
      </c>
      <c r="D7" s="56"/>
      <c r="E7" s="56" t="s">
        <v>410</v>
      </c>
      <c r="G7" s="10" t="s">
        <v>754</v>
      </c>
      <c r="H7" s="22">
        <v>1.6</v>
      </c>
      <c r="I7" s="22">
        <v>0.93</v>
      </c>
      <c r="J7" s="22">
        <v>2</v>
      </c>
      <c r="K7" s="22">
        <v>0</v>
      </c>
      <c r="L7" s="22">
        <v>35</v>
      </c>
      <c r="M7" s="22" t="s">
        <v>747</v>
      </c>
      <c r="N7" s="29"/>
      <c r="O7" s="1">
        <f t="shared" si="0"/>
        <v>0.83870967741935487</v>
      </c>
      <c r="P7" s="1">
        <f t="shared" si="1"/>
        <v>1</v>
      </c>
      <c r="Q7" s="1">
        <f t="shared" si="2"/>
        <v>3.6</v>
      </c>
      <c r="S7" s="1" t="s">
        <v>822</v>
      </c>
      <c r="T7" s="4" t="s">
        <v>1064</v>
      </c>
      <c r="U7" s="1" t="s">
        <v>823</v>
      </c>
      <c r="V7" s="22">
        <v>0.08</v>
      </c>
      <c r="W7" s="1" t="s">
        <v>1057</v>
      </c>
      <c r="AB7" s="36"/>
      <c r="AC7" s="140"/>
      <c r="AD7" s="140"/>
      <c r="AE7" s="140"/>
      <c r="AM7" s="3"/>
      <c r="AN7" s="3"/>
      <c r="AO7" s="1" t="s">
        <v>595</v>
      </c>
      <c r="AP7" s="1" t="s">
        <v>601</v>
      </c>
      <c r="AQ7" s="1"/>
      <c r="AR7" s="1" t="s">
        <v>52</v>
      </c>
    </row>
    <row r="8" spans="2:46">
      <c r="B8" s="56" t="s">
        <v>597</v>
      </c>
      <c r="C8" s="56" t="s">
        <v>431</v>
      </c>
      <c r="D8" s="56"/>
      <c r="E8" s="56" t="s">
        <v>603</v>
      </c>
      <c r="G8" s="10" t="s">
        <v>755</v>
      </c>
      <c r="H8" s="22">
        <v>5.2</v>
      </c>
      <c r="I8" s="22">
        <v>0.78</v>
      </c>
      <c r="J8" s="22">
        <v>2</v>
      </c>
      <c r="K8" s="22">
        <v>0</v>
      </c>
      <c r="L8" s="22">
        <v>35</v>
      </c>
      <c r="M8" s="22" t="s">
        <v>747</v>
      </c>
      <c r="N8" s="29"/>
      <c r="O8" s="1">
        <f t="shared" si="0"/>
        <v>0.87179487179487181</v>
      </c>
      <c r="P8" s="1">
        <f t="shared" si="1"/>
        <v>1</v>
      </c>
      <c r="Q8" s="1">
        <f t="shared" si="2"/>
        <v>2</v>
      </c>
      <c r="S8" s="1" t="s">
        <v>813</v>
      </c>
      <c r="T8" s="4" t="s">
        <v>1063</v>
      </c>
      <c r="U8" s="1" t="s">
        <v>814</v>
      </c>
      <c r="V8" s="22">
        <v>0.02</v>
      </c>
      <c r="W8" s="2" t="s">
        <v>1057</v>
      </c>
      <c r="AB8" s="36"/>
      <c r="AC8" s="140"/>
      <c r="AD8" s="140"/>
      <c r="AE8" s="140"/>
      <c r="AM8" s="3"/>
      <c r="AN8" s="3"/>
      <c r="AO8" s="1" t="s">
        <v>634</v>
      </c>
      <c r="AP8" s="1" t="s">
        <v>635</v>
      </c>
      <c r="AQ8" s="1"/>
      <c r="AR8" s="1" t="s">
        <v>9</v>
      </c>
    </row>
    <row r="9" spans="2:46" ht="20.25" thickBot="1">
      <c r="B9" s="56" t="s">
        <v>595</v>
      </c>
      <c r="C9" s="56" t="s">
        <v>601</v>
      </c>
      <c r="D9" s="56"/>
      <c r="E9" s="56" t="s">
        <v>52</v>
      </c>
      <c r="G9" s="10" t="s">
        <v>756</v>
      </c>
      <c r="H9" s="22">
        <v>7.2</v>
      </c>
      <c r="I9" s="22">
        <v>0.68</v>
      </c>
      <c r="J9" s="22">
        <v>2</v>
      </c>
      <c r="K9" s="22">
        <v>6</v>
      </c>
      <c r="L9" s="22">
        <v>35</v>
      </c>
      <c r="M9" s="22" t="s">
        <v>747</v>
      </c>
      <c r="N9" s="29"/>
      <c r="O9" s="1">
        <f t="shared" si="0"/>
        <v>0.89705882352941169</v>
      </c>
      <c r="P9" s="1">
        <f t="shared" si="1"/>
        <v>1</v>
      </c>
      <c r="Q9" s="1">
        <f t="shared" si="2"/>
        <v>1.3999999999999995</v>
      </c>
      <c r="S9" s="1"/>
      <c r="T9" s="2"/>
      <c r="U9" s="1" t="s">
        <v>807</v>
      </c>
      <c r="V9" s="22">
        <f>0.5*10^-3</f>
        <v>5.0000000000000001E-4</v>
      </c>
      <c r="W9" s="2" t="s">
        <v>1057</v>
      </c>
      <c r="AB9" s="36">
        <v>6</v>
      </c>
      <c r="AC9" s="140"/>
      <c r="AD9" s="140"/>
      <c r="AE9" s="140"/>
      <c r="AM9" s="3"/>
      <c r="AN9" s="3"/>
      <c r="AO9" s="20" t="s">
        <v>636</v>
      </c>
      <c r="AP9" s="20" t="s">
        <v>433</v>
      </c>
      <c r="AQ9" s="20"/>
      <c r="AR9" s="20" t="s">
        <v>9</v>
      </c>
    </row>
    <row r="10" spans="2:46" ht="20.25" thickTop="1">
      <c r="B10" s="56" t="s">
        <v>596</v>
      </c>
      <c r="C10" s="56" t="s">
        <v>602</v>
      </c>
      <c r="D10" s="56"/>
      <c r="E10" s="56" t="s">
        <v>9</v>
      </c>
      <c r="G10" s="10" t="s">
        <v>757</v>
      </c>
      <c r="H10" s="22">
        <v>8.6</v>
      </c>
      <c r="I10" s="22">
        <v>0.61</v>
      </c>
      <c r="J10" s="22">
        <v>2</v>
      </c>
      <c r="K10" s="22">
        <v>6</v>
      </c>
      <c r="L10" s="22">
        <v>35</v>
      </c>
      <c r="M10" s="22" t="s">
        <v>747</v>
      </c>
      <c r="N10" s="29"/>
      <c r="O10" s="1">
        <f t="shared" si="0"/>
        <v>0.85245901639344268</v>
      </c>
      <c r="P10" s="1">
        <f t="shared" si="1"/>
        <v>1</v>
      </c>
      <c r="Q10" s="1">
        <f t="shared" si="2"/>
        <v>2.2000000000000011</v>
      </c>
      <c r="S10" s="1" t="s">
        <v>815</v>
      </c>
      <c r="T10" s="4" t="s">
        <v>1061</v>
      </c>
      <c r="U10" s="1" t="s">
        <v>816</v>
      </c>
      <c r="V10" s="22">
        <v>7.4999999999999997E-3</v>
      </c>
      <c r="W10" s="1" t="s">
        <v>1058</v>
      </c>
      <c r="AB10" s="36">
        <v>7</v>
      </c>
      <c r="AC10" s="140"/>
      <c r="AD10" s="140"/>
      <c r="AE10" s="140"/>
      <c r="AM10" s="3"/>
      <c r="AN10" s="3" t="s">
        <v>637</v>
      </c>
      <c r="AO10" s="1" t="s">
        <v>632</v>
      </c>
      <c r="AP10" s="1" t="s">
        <v>482</v>
      </c>
      <c r="AQ10" s="1"/>
      <c r="AR10" s="1" t="s">
        <v>410</v>
      </c>
    </row>
    <row r="11" spans="2:46">
      <c r="B11" s="56" t="s">
        <v>891</v>
      </c>
      <c r="C11" s="56" t="s">
        <v>964</v>
      </c>
      <c r="D11" s="56"/>
      <c r="E11" s="56" t="s">
        <v>9</v>
      </c>
      <c r="G11" s="10" t="s">
        <v>758</v>
      </c>
      <c r="H11" s="22">
        <v>10.8</v>
      </c>
      <c r="I11" s="22">
        <v>0.52</v>
      </c>
      <c r="J11" s="22">
        <v>2</v>
      </c>
      <c r="K11" s="22">
        <v>6</v>
      </c>
      <c r="L11" s="22">
        <v>35</v>
      </c>
      <c r="M11" s="22" t="s">
        <v>748</v>
      </c>
      <c r="N11" s="29"/>
      <c r="O11" s="1">
        <f t="shared" si="0"/>
        <v>0.73076923076923073</v>
      </c>
      <c r="P11" s="1">
        <f t="shared" si="1"/>
        <v>0.25</v>
      </c>
      <c r="Q11" s="1">
        <f t="shared" si="2"/>
        <v>1.5999999999999996</v>
      </c>
      <c r="S11" s="21" t="s">
        <v>818</v>
      </c>
      <c r="T11" s="4" t="s">
        <v>1061</v>
      </c>
      <c r="U11" s="1" t="s">
        <v>819</v>
      </c>
      <c r="V11" s="22">
        <v>7.4999999999999997E-3</v>
      </c>
      <c r="W11" s="1" t="s">
        <v>1058</v>
      </c>
      <c r="AM11" s="3"/>
      <c r="AN11" s="3"/>
      <c r="AO11" s="1" t="s">
        <v>505</v>
      </c>
      <c r="AP11" s="1" t="s">
        <v>633</v>
      </c>
      <c r="AQ11" s="1"/>
      <c r="AR11" s="1" t="s">
        <v>9</v>
      </c>
    </row>
    <row r="12" spans="2:46">
      <c r="B12" s="56" t="s">
        <v>892</v>
      </c>
      <c r="C12" s="56" t="s">
        <v>965</v>
      </c>
      <c r="D12" s="56"/>
      <c r="E12" s="56" t="s">
        <v>272</v>
      </c>
      <c r="G12" s="10" t="s">
        <v>734</v>
      </c>
      <c r="H12" s="22">
        <v>12.4</v>
      </c>
      <c r="I12" s="22">
        <v>0.38</v>
      </c>
      <c r="J12" s="22">
        <v>0.5</v>
      </c>
      <c r="K12" s="22">
        <v>6</v>
      </c>
      <c r="L12" s="22">
        <v>35</v>
      </c>
      <c r="M12" s="22" t="s">
        <v>748</v>
      </c>
      <c r="N12" s="29"/>
      <c r="O12" s="1"/>
      <c r="P12" s="1"/>
      <c r="Q12" s="1"/>
      <c r="S12" s="1" t="s">
        <v>820</v>
      </c>
      <c r="T12" s="4" t="s">
        <v>1061</v>
      </c>
      <c r="U12" s="1" t="s">
        <v>821</v>
      </c>
      <c r="V12" s="22">
        <v>0.03</v>
      </c>
      <c r="W12" s="1" t="s">
        <v>1058</v>
      </c>
      <c r="AM12" s="3"/>
      <c r="AN12" s="3"/>
      <c r="AO12" s="1" t="s">
        <v>595</v>
      </c>
      <c r="AP12" s="1" t="s">
        <v>601</v>
      </c>
      <c r="AQ12" s="1"/>
      <c r="AR12" s="1" t="s">
        <v>52</v>
      </c>
    </row>
    <row r="13" spans="2:46">
      <c r="AM13" s="3"/>
      <c r="AN13" s="3"/>
      <c r="AO13" s="1" t="s">
        <v>634</v>
      </c>
      <c r="AP13" s="1" t="s">
        <v>602</v>
      </c>
      <c r="AQ13" s="1"/>
      <c r="AR13" s="1" t="s">
        <v>9</v>
      </c>
    </row>
    <row r="14" spans="2:46" ht="20.25" thickBot="1">
      <c r="AM14" s="34"/>
      <c r="AN14" s="3"/>
      <c r="AO14" s="20" t="s">
        <v>636</v>
      </c>
      <c r="AP14" s="20" t="s">
        <v>433</v>
      </c>
      <c r="AQ14" s="20"/>
      <c r="AR14" s="20" t="s">
        <v>9</v>
      </c>
      <c r="AT14" s="3"/>
    </row>
    <row r="15" spans="2:46" ht="20.25" thickTop="1">
      <c r="AN15" s="3" t="s">
        <v>638</v>
      </c>
      <c r="AO15" s="2" t="s">
        <v>639</v>
      </c>
      <c r="AP15" s="2" t="s">
        <v>640</v>
      </c>
      <c r="AQ15" s="4"/>
      <c r="AR15" s="2" t="s">
        <v>52</v>
      </c>
    </row>
    <row r="16" spans="2:46">
      <c r="AN16" s="3"/>
      <c r="AO16" s="1" t="s">
        <v>641</v>
      </c>
      <c r="AP16" s="29" t="s">
        <v>642</v>
      </c>
      <c r="AQ16" s="1"/>
      <c r="AR16" s="1" t="s">
        <v>52</v>
      </c>
    </row>
    <row r="17" spans="40:44">
      <c r="AN17" s="3"/>
      <c r="AO17" s="1" t="s">
        <v>643</v>
      </c>
      <c r="AP17" s="1" t="s">
        <v>644</v>
      </c>
      <c r="AQ17" s="1"/>
      <c r="AR17" s="1" t="s">
        <v>441</v>
      </c>
    </row>
    <row r="18" spans="40:44">
      <c r="AN18" s="3"/>
      <c r="AO18" s="1" t="s">
        <v>645</v>
      </c>
      <c r="AP18" s="1" t="s">
        <v>454</v>
      </c>
      <c r="AQ18" s="1"/>
      <c r="AR18" s="1" t="s">
        <v>441</v>
      </c>
    </row>
    <row r="19" spans="40:44">
      <c r="AN19" s="3"/>
      <c r="AO19" s="1" t="s">
        <v>438</v>
      </c>
      <c r="AP19" s="1" t="s">
        <v>439</v>
      </c>
      <c r="AQ19" s="1"/>
      <c r="AR19" s="1" t="s">
        <v>52</v>
      </c>
    </row>
    <row r="20" spans="40:44">
      <c r="AN20" s="3"/>
      <c r="AO20" s="1" t="s">
        <v>464</v>
      </c>
      <c r="AP20" s="1" t="s">
        <v>465</v>
      </c>
      <c r="AQ20" s="1"/>
      <c r="AR20" s="1" t="s">
        <v>52</v>
      </c>
    </row>
    <row r="21" spans="40:44">
      <c r="AN21" s="3"/>
      <c r="AO21" s="21" t="s">
        <v>175</v>
      </c>
      <c r="AP21" s="21" t="s">
        <v>172</v>
      </c>
      <c r="AQ21" s="87"/>
      <c r="AR21" s="21" t="s">
        <v>52</v>
      </c>
    </row>
    <row r="22" spans="40:44" ht="20.25" thickBot="1">
      <c r="AN22" s="3"/>
      <c r="AO22" s="20" t="s">
        <v>646</v>
      </c>
      <c r="AP22" s="20" t="s">
        <v>647</v>
      </c>
      <c r="AQ22" s="20"/>
      <c r="AR22" s="20" t="s">
        <v>324</v>
      </c>
    </row>
    <row r="23" spans="40:44" ht="20.25" thickTop="1"/>
    <row r="35" spans="2:52">
      <c r="O35" s="3"/>
      <c r="AR35" s="3"/>
    </row>
    <row r="36" spans="2:52">
      <c r="F36" s="3" t="s">
        <v>825</v>
      </c>
      <c r="O36" s="3"/>
    </row>
    <row r="37" spans="2:52">
      <c r="B37" s="39" t="s">
        <v>925</v>
      </c>
      <c r="C37" s="146">
        <v>64</v>
      </c>
      <c r="D37" s="147" t="s">
        <v>51</v>
      </c>
      <c r="F37" s="142" t="s">
        <v>801</v>
      </c>
      <c r="G37" s="143" t="s">
        <v>802</v>
      </c>
      <c r="H37" s="144" t="s">
        <v>803</v>
      </c>
      <c r="I37" s="144" t="s">
        <v>1059</v>
      </c>
    </row>
    <row r="38" spans="2:52">
      <c r="B38" s="39" t="s">
        <v>961</v>
      </c>
      <c r="C38" s="146">
        <v>0.2</v>
      </c>
      <c r="D38" s="147" t="s">
        <v>43</v>
      </c>
      <c r="F38" s="36"/>
      <c r="G38" s="36"/>
      <c r="H38" s="36"/>
      <c r="I38" s="36"/>
    </row>
    <row r="40" spans="2:52">
      <c r="B40" t="s">
        <v>749</v>
      </c>
      <c r="H40" t="s">
        <v>837</v>
      </c>
      <c r="L40" t="s">
        <v>1048</v>
      </c>
      <c r="Y40" t="s">
        <v>831</v>
      </c>
      <c r="AF40" s="3"/>
      <c r="AH40" t="s">
        <v>767</v>
      </c>
    </row>
    <row r="41" spans="2:52">
      <c r="B41" s="10" t="s">
        <v>750</v>
      </c>
      <c r="C41" s="12" t="s">
        <v>746</v>
      </c>
      <c r="D41" s="10" t="s">
        <v>707</v>
      </c>
      <c r="E41" s="12" t="s">
        <v>1044</v>
      </c>
      <c r="F41" s="10" t="s">
        <v>1037</v>
      </c>
      <c r="G41" s="45" t="s">
        <v>1038</v>
      </c>
      <c r="H41" s="14" t="s">
        <v>744</v>
      </c>
      <c r="I41" s="12" t="s">
        <v>765</v>
      </c>
      <c r="J41" s="12" t="s">
        <v>766</v>
      </c>
      <c r="K41" s="45" t="s">
        <v>764</v>
      </c>
      <c r="L41" s="14" t="s">
        <v>743</v>
      </c>
      <c r="M41" s="10" t="s">
        <v>752</v>
      </c>
      <c r="N41" s="10" t="s">
        <v>753</v>
      </c>
      <c r="O41" s="10" t="s">
        <v>966</v>
      </c>
      <c r="P41" s="14" t="s">
        <v>345</v>
      </c>
      <c r="Q41" s="10" t="s">
        <v>751</v>
      </c>
      <c r="R41" s="12" t="s">
        <v>1049</v>
      </c>
      <c r="S41" s="10" t="s">
        <v>1050</v>
      </c>
      <c r="T41" s="10" t="s">
        <v>1051</v>
      </c>
      <c r="U41" s="10" t="s">
        <v>1052</v>
      </c>
      <c r="V41" s="206" t="s">
        <v>1055</v>
      </c>
      <c r="W41" s="12" t="s">
        <v>1053</v>
      </c>
      <c r="X41" s="45" t="s">
        <v>1054</v>
      </c>
      <c r="Y41" s="14" t="s">
        <v>806</v>
      </c>
      <c r="Z41" s="10" t="s">
        <v>808</v>
      </c>
      <c r="AA41" s="10" t="s">
        <v>809</v>
      </c>
      <c r="AB41" s="10" t="s">
        <v>812</v>
      </c>
      <c r="AC41" s="10" t="s">
        <v>813</v>
      </c>
      <c r="AD41" s="10" t="s">
        <v>832</v>
      </c>
      <c r="AE41" s="10" t="s">
        <v>836</v>
      </c>
      <c r="AF41" s="12" t="s">
        <v>835</v>
      </c>
      <c r="AG41" s="45" t="s">
        <v>833</v>
      </c>
      <c r="AH41" s="10" t="s">
        <v>794</v>
      </c>
      <c r="AI41" s="10" t="s">
        <v>795</v>
      </c>
      <c r="AJ41" s="10" t="s">
        <v>796</v>
      </c>
      <c r="AK41" s="12" t="s">
        <v>768</v>
      </c>
      <c r="AL41" s="37"/>
      <c r="AM41" s="10" t="s">
        <v>769</v>
      </c>
      <c r="AN41" s="10" t="s">
        <v>839</v>
      </c>
      <c r="AO41" s="10" t="s">
        <v>348</v>
      </c>
      <c r="AP41" s="10" t="s">
        <v>361</v>
      </c>
      <c r="AQ41" s="10" t="s">
        <v>842</v>
      </c>
      <c r="AR41" s="10" t="s">
        <v>373</v>
      </c>
      <c r="AS41" s="10" t="s">
        <v>844</v>
      </c>
      <c r="AT41" s="10" t="s">
        <v>355</v>
      </c>
      <c r="AU41" s="10" t="s">
        <v>770</v>
      </c>
      <c r="AV41" s="10" t="s">
        <v>772</v>
      </c>
      <c r="AW41" s="10" t="s">
        <v>771</v>
      </c>
      <c r="AX41" s="10" t="s">
        <v>775</v>
      </c>
      <c r="AY41" s="10" t="s">
        <v>773</v>
      </c>
      <c r="AZ41" s="10"/>
    </row>
    <row r="42" spans="2:52">
      <c r="B42" s="1" t="s">
        <v>759</v>
      </c>
      <c r="C42" s="9" t="s">
        <v>968</v>
      </c>
      <c r="D42" s="1" t="s">
        <v>708</v>
      </c>
      <c r="E42" s="9" t="s">
        <v>695</v>
      </c>
      <c r="F42" s="65" t="s">
        <v>760</v>
      </c>
      <c r="G42" s="200" t="s">
        <v>760</v>
      </c>
      <c r="H42" s="23" t="s">
        <v>760</v>
      </c>
      <c r="I42" s="9" t="s">
        <v>760</v>
      </c>
      <c r="J42" s="9" t="s">
        <v>760</v>
      </c>
      <c r="K42" s="71" t="s">
        <v>760</v>
      </c>
      <c r="L42" s="23" t="s">
        <v>760</v>
      </c>
      <c r="M42" s="1" t="s">
        <v>1045</v>
      </c>
      <c r="N42" s="1" t="s">
        <v>1046</v>
      </c>
      <c r="O42" s="1" t="s">
        <v>967</v>
      </c>
      <c r="P42" s="23" t="s">
        <v>760</v>
      </c>
      <c r="Q42" s="1" t="s">
        <v>969</v>
      </c>
      <c r="R42" s="203" t="s">
        <v>760</v>
      </c>
      <c r="S42" s="65" t="s">
        <v>784</v>
      </c>
      <c r="T42" s="65"/>
      <c r="U42" s="65"/>
      <c r="V42" s="207" t="s">
        <v>760</v>
      </c>
      <c r="W42" s="9" t="s">
        <v>760</v>
      </c>
      <c r="X42" s="71" t="s">
        <v>760</v>
      </c>
      <c r="Y42" s="23" t="s">
        <v>51</v>
      </c>
      <c r="Z42" s="1" t="s">
        <v>51</v>
      </c>
      <c r="AA42" s="1" t="s">
        <v>51</v>
      </c>
      <c r="AB42" s="1" t="s">
        <v>51</v>
      </c>
      <c r="AC42" s="1" t="s">
        <v>51</v>
      </c>
      <c r="AD42" s="1" t="s">
        <v>51</v>
      </c>
      <c r="AE42" s="1" t="s">
        <v>51</v>
      </c>
      <c r="AF42" s="9" t="s">
        <v>51</v>
      </c>
      <c r="AG42" s="200" t="s">
        <v>51</v>
      </c>
      <c r="AH42" s="65" t="s">
        <v>375</v>
      </c>
      <c r="AI42" s="65" t="s">
        <v>378</v>
      </c>
      <c r="AJ42" s="65" t="s">
        <v>975</v>
      </c>
      <c r="AK42" s="203" t="s">
        <v>776</v>
      </c>
      <c r="AL42" s="210"/>
      <c r="AM42" s="65" t="s">
        <v>777</v>
      </c>
      <c r="AN42" s="65" t="s">
        <v>840</v>
      </c>
      <c r="AO42" s="65" t="s">
        <v>778</v>
      </c>
      <c r="AP42" s="65" t="s">
        <v>779</v>
      </c>
      <c r="AQ42" s="65" t="s">
        <v>843</v>
      </c>
      <c r="AR42" s="65" t="s">
        <v>780</v>
      </c>
      <c r="AS42" s="65" t="s">
        <v>783</v>
      </c>
      <c r="AT42" s="65" t="s">
        <v>781</v>
      </c>
      <c r="AU42" s="65" t="s">
        <v>782</v>
      </c>
      <c r="AV42" s="65" t="s">
        <v>786</v>
      </c>
      <c r="AW42" s="65" t="s">
        <v>785</v>
      </c>
      <c r="AX42" s="65" t="s">
        <v>789</v>
      </c>
      <c r="AY42" s="65" t="s">
        <v>787</v>
      </c>
      <c r="AZ42" s="65"/>
    </row>
    <row r="43" spans="2:52" ht="20.25" thickBot="1">
      <c r="B43" s="21" t="s">
        <v>760</v>
      </c>
      <c r="C43" s="138" t="s">
        <v>761</v>
      </c>
      <c r="D43" s="21" t="s">
        <v>761</v>
      </c>
      <c r="E43" s="138" t="s">
        <v>761</v>
      </c>
      <c r="F43" s="137" t="s">
        <v>760</v>
      </c>
      <c r="G43" s="201" t="s">
        <v>760</v>
      </c>
      <c r="H43" s="195" t="s">
        <v>745</v>
      </c>
      <c r="I43" s="138" t="s">
        <v>690</v>
      </c>
      <c r="J43" s="138" t="s">
        <v>690</v>
      </c>
      <c r="K43" s="197" t="s">
        <v>690</v>
      </c>
      <c r="L43" s="139" t="s">
        <v>51</v>
      </c>
      <c r="M43" s="20" t="s">
        <v>761</v>
      </c>
      <c r="N43" s="20" t="s">
        <v>761</v>
      </c>
      <c r="O43" s="20" t="s">
        <v>761</v>
      </c>
      <c r="P43" s="139" t="s">
        <v>272</v>
      </c>
      <c r="Q43" s="21" t="s">
        <v>272</v>
      </c>
      <c r="R43" s="204" t="s">
        <v>790</v>
      </c>
      <c r="S43" s="137" t="s">
        <v>790</v>
      </c>
      <c r="T43" s="137" t="s">
        <v>410</v>
      </c>
      <c r="U43" s="137" t="s">
        <v>9</v>
      </c>
      <c r="V43" s="208" t="s">
        <v>761</v>
      </c>
      <c r="W43" s="138" t="s">
        <v>761</v>
      </c>
      <c r="X43" s="197" t="s">
        <v>761</v>
      </c>
      <c r="Y43" s="205" t="s">
        <v>834</v>
      </c>
      <c r="Z43" s="145" t="s">
        <v>834</v>
      </c>
      <c r="AA43" s="145" t="s">
        <v>834</v>
      </c>
      <c r="AB43" s="20" t="s">
        <v>834</v>
      </c>
      <c r="AC43" s="20" t="s">
        <v>834</v>
      </c>
      <c r="AD43" s="20" t="s">
        <v>834</v>
      </c>
      <c r="AE43" s="20" t="s">
        <v>834</v>
      </c>
      <c r="AF43" s="209" t="s">
        <v>834</v>
      </c>
      <c r="AG43" s="201" t="s">
        <v>834</v>
      </c>
      <c r="AH43" s="137" t="s">
        <v>285</v>
      </c>
      <c r="AI43" s="137" t="s">
        <v>285</v>
      </c>
      <c r="AJ43" s="137" t="s">
        <v>841</v>
      </c>
      <c r="AK43" s="204" t="s">
        <v>790</v>
      </c>
      <c r="AL43" s="210"/>
      <c r="AM43" s="137" t="s">
        <v>760</v>
      </c>
      <c r="AN43" s="137" t="s">
        <v>760</v>
      </c>
      <c r="AO43" s="137" t="s">
        <v>760</v>
      </c>
      <c r="AP43" s="137" t="s">
        <v>760</v>
      </c>
      <c r="AQ43" s="137" t="s">
        <v>760</v>
      </c>
      <c r="AR43" s="137" t="s">
        <v>760</v>
      </c>
      <c r="AS43" s="137" t="s">
        <v>760</v>
      </c>
      <c r="AT43" s="137" t="s">
        <v>791</v>
      </c>
      <c r="AU43" s="137" t="s">
        <v>791</v>
      </c>
      <c r="AV43" s="137" t="s">
        <v>792</v>
      </c>
      <c r="AW43" s="137" t="s">
        <v>792</v>
      </c>
      <c r="AX43" s="137" t="s">
        <v>792</v>
      </c>
      <c r="AY43" s="137" t="s">
        <v>793</v>
      </c>
      <c r="AZ43" s="137"/>
    </row>
    <row r="44" spans="2:52" ht="20.25" thickTop="1">
      <c r="B44" s="35">
        <v>1</v>
      </c>
      <c r="C44" s="199"/>
      <c r="D44" s="35"/>
      <c r="E44" s="196"/>
      <c r="F44" s="193" t="s">
        <v>1039</v>
      </c>
      <c r="G44" s="202" t="s">
        <v>538</v>
      </c>
      <c r="H44" s="117"/>
      <c r="I44" s="199"/>
      <c r="J44" s="199"/>
      <c r="K44" s="198"/>
      <c r="L44" s="128"/>
      <c r="M44" s="35"/>
      <c r="N44" s="35"/>
      <c r="O44" s="35"/>
      <c r="P44" s="35"/>
      <c r="Q44" s="35"/>
      <c r="R44" s="199"/>
      <c r="S44" s="35"/>
      <c r="T44" s="35"/>
      <c r="U44" s="35"/>
      <c r="V44" s="128"/>
      <c r="W44" s="35"/>
      <c r="X44" s="198"/>
      <c r="Y44" s="128"/>
      <c r="Z44" s="35"/>
      <c r="AA44" s="35"/>
      <c r="AB44" s="35"/>
      <c r="AC44" s="35"/>
      <c r="AD44" s="35"/>
      <c r="AE44" s="35"/>
      <c r="AF44" s="199"/>
      <c r="AG44" s="198"/>
      <c r="AH44" s="35"/>
      <c r="AI44" s="35"/>
      <c r="AJ44" s="35"/>
      <c r="AK44" s="199"/>
      <c r="AL44" s="210"/>
      <c r="AM44" s="35"/>
      <c r="AN44" s="35"/>
      <c r="AO44" s="35"/>
      <c r="AP44" s="35"/>
      <c r="AQ44" s="35"/>
      <c r="AR44" s="35"/>
      <c r="AS44" s="35"/>
      <c r="AT44" s="35"/>
      <c r="AU44" s="35"/>
      <c r="AV44" s="35"/>
      <c r="AW44" s="35"/>
      <c r="AX44" s="35"/>
      <c r="AY44" s="35"/>
      <c r="AZ44" s="35"/>
    </row>
    <row r="45" spans="2:52">
      <c r="B45" s="36">
        <v>2</v>
      </c>
      <c r="C45" s="131"/>
      <c r="D45" s="36"/>
      <c r="E45" s="194"/>
      <c r="F45" s="140" t="s">
        <v>1040</v>
      </c>
      <c r="G45" s="124" t="s">
        <v>1041</v>
      </c>
      <c r="H45" s="118"/>
      <c r="I45" s="131"/>
      <c r="J45" s="131"/>
      <c r="K45" s="122"/>
      <c r="L45" s="118"/>
      <c r="M45" s="36"/>
      <c r="N45" s="36"/>
      <c r="O45" s="36"/>
      <c r="P45" s="36"/>
      <c r="Q45" s="36"/>
      <c r="R45" s="131"/>
      <c r="S45" s="36"/>
      <c r="T45" s="36"/>
      <c r="U45" s="36"/>
      <c r="V45" s="118"/>
      <c r="W45" s="36"/>
      <c r="X45" s="122"/>
      <c r="Y45" s="118"/>
      <c r="Z45" s="36"/>
      <c r="AA45" s="36"/>
      <c r="AB45" s="36"/>
      <c r="AC45" s="36"/>
      <c r="AD45" s="36"/>
      <c r="AE45" s="36"/>
      <c r="AF45" s="131"/>
      <c r="AG45" s="122"/>
      <c r="AH45" s="36"/>
      <c r="AI45" s="36"/>
      <c r="AJ45" s="36"/>
      <c r="AK45" s="131"/>
      <c r="AL45" s="210"/>
      <c r="AM45" s="36"/>
      <c r="AN45" s="36"/>
      <c r="AO45" s="36"/>
      <c r="AP45" s="36"/>
      <c r="AQ45" s="36"/>
      <c r="AR45" s="36"/>
      <c r="AS45" s="36"/>
      <c r="AT45" s="36"/>
      <c r="AU45" s="36"/>
      <c r="AV45" s="36"/>
      <c r="AW45" s="36"/>
      <c r="AX45" s="36"/>
      <c r="AY45" s="36"/>
      <c r="AZ45" s="36"/>
    </row>
    <row r="46" spans="2:52">
      <c r="B46" s="36">
        <v>3</v>
      </c>
      <c r="C46" s="131"/>
      <c r="D46" s="36"/>
      <c r="E46" s="194"/>
      <c r="F46" s="140" t="s">
        <v>1042</v>
      </c>
      <c r="G46" s="124" t="s">
        <v>1043</v>
      </c>
      <c r="H46" s="118"/>
      <c r="I46" s="131"/>
      <c r="J46" s="131"/>
      <c r="K46" s="122"/>
      <c r="L46" s="118"/>
      <c r="M46" s="36"/>
      <c r="N46" s="36"/>
      <c r="O46" s="36"/>
      <c r="P46" s="36"/>
      <c r="Q46" s="36"/>
      <c r="R46" s="131"/>
      <c r="S46" s="36"/>
      <c r="T46" s="36"/>
      <c r="U46" s="36"/>
      <c r="V46" s="118"/>
      <c r="W46" s="36"/>
      <c r="X46" s="122"/>
      <c r="Y46" s="118"/>
      <c r="Z46" s="36"/>
      <c r="AA46" s="36"/>
      <c r="AB46" s="36"/>
      <c r="AC46" s="36"/>
      <c r="AD46" s="36"/>
      <c r="AE46" s="36"/>
      <c r="AF46" s="131"/>
      <c r="AG46" s="122"/>
      <c r="AH46" s="36"/>
      <c r="AI46" s="36"/>
      <c r="AJ46" s="36"/>
      <c r="AK46" s="131"/>
      <c r="AL46" s="210"/>
      <c r="AM46" s="36"/>
      <c r="AN46" s="36"/>
      <c r="AO46" s="36"/>
      <c r="AP46" s="36"/>
      <c r="AQ46" s="36"/>
      <c r="AR46" s="36"/>
      <c r="AS46" s="36"/>
      <c r="AT46" s="36"/>
      <c r="AU46" s="36"/>
      <c r="AV46" s="36"/>
      <c r="AW46" s="36"/>
      <c r="AX46" s="36"/>
      <c r="AY46" s="36"/>
      <c r="AZ46" s="36"/>
    </row>
    <row r="47" spans="2:52">
      <c r="B47" s="36">
        <v>4</v>
      </c>
      <c r="C47" s="131"/>
      <c r="D47" s="36"/>
      <c r="E47" s="194"/>
      <c r="F47" s="140"/>
      <c r="G47" s="124"/>
      <c r="H47" s="118"/>
      <c r="I47" s="131"/>
      <c r="J47" s="131"/>
      <c r="K47" s="122"/>
      <c r="L47" s="118"/>
      <c r="M47" s="36"/>
      <c r="N47" s="36"/>
      <c r="O47" s="36"/>
      <c r="P47" s="36"/>
      <c r="Q47" s="36"/>
      <c r="R47" s="131"/>
      <c r="S47" s="36"/>
      <c r="T47" s="36"/>
      <c r="U47" s="36"/>
      <c r="V47" s="118"/>
      <c r="W47" s="36"/>
      <c r="X47" s="122"/>
      <c r="Y47" s="118"/>
      <c r="Z47" s="36"/>
      <c r="AA47" s="36"/>
      <c r="AB47" s="36"/>
      <c r="AC47" s="36"/>
      <c r="AD47" s="36"/>
      <c r="AE47" s="36"/>
      <c r="AF47" s="131"/>
      <c r="AG47" s="122"/>
      <c r="AH47" s="36"/>
      <c r="AI47" s="36"/>
      <c r="AJ47" s="36"/>
      <c r="AK47" s="131"/>
      <c r="AL47" s="210"/>
      <c r="AM47" s="36"/>
      <c r="AN47" s="36"/>
      <c r="AO47" s="36"/>
      <c r="AP47" s="36"/>
      <c r="AQ47" s="36"/>
      <c r="AR47" s="36"/>
      <c r="AS47" s="36"/>
      <c r="AT47" s="36"/>
      <c r="AU47" s="36"/>
      <c r="AV47" s="36"/>
      <c r="AW47" s="36"/>
      <c r="AX47" s="36"/>
      <c r="AY47" s="36"/>
      <c r="AZ47" s="36"/>
    </row>
    <row r="48" spans="2:52">
      <c r="B48" s="36">
        <v>5</v>
      </c>
      <c r="C48" s="131"/>
      <c r="D48" s="36"/>
      <c r="E48" s="194"/>
      <c r="F48" s="140"/>
      <c r="G48" s="124"/>
      <c r="H48" s="118"/>
      <c r="I48" s="131"/>
      <c r="J48" s="131"/>
      <c r="K48" s="122"/>
      <c r="L48" s="118"/>
      <c r="M48" s="36"/>
      <c r="N48" s="36"/>
      <c r="O48" s="36"/>
      <c r="P48" s="36"/>
      <c r="Q48" s="36"/>
      <c r="R48" s="131"/>
      <c r="S48" s="36"/>
      <c r="T48" s="36"/>
      <c r="U48" s="36"/>
      <c r="V48" s="118"/>
      <c r="W48" s="36"/>
      <c r="X48" s="122"/>
      <c r="Y48" s="118"/>
      <c r="Z48" s="36"/>
      <c r="AA48" s="36"/>
      <c r="AB48" s="36"/>
      <c r="AC48" s="36"/>
      <c r="AD48" s="36"/>
      <c r="AE48" s="36"/>
      <c r="AF48" s="131"/>
      <c r="AG48" s="122"/>
      <c r="AH48" s="36"/>
      <c r="AI48" s="36"/>
      <c r="AJ48" s="36"/>
      <c r="AK48" s="131"/>
      <c r="AL48" s="210"/>
      <c r="AM48" s="36"/>
      <c r="AN48" s="36"/>
      <c r="AO48" s="36"/>
      <c r="AP48" s="36"/>
      <c r="AQ48" s="36"/>
      <c r="AR48" s="36"/>
      <c r="AS48" s="36"/>
      <c r="AT48" s="36"/>
      <c r="AU48" s="36"/>
      <c r="AV48" s="36"/>
      <c r="AW48" s="36"/>
      <c r="AX48" s="36"/>
      <c r="AY48" s="36"/>
      <c r="AZ48" s="36"/>
    </row>
    <row r="49" spans="2:52">
      <c r="B49" s="36">
        <v>6</v>
      </c>
      <c r="C49" s="131"/>
      <c r="D49" s="36"/>
      <c r="E49" s="194"/>
      <c r="F49" s="140"/>
      <c r="G49" s="124"/>
      <c r="H49" s="118"/>
      <c r="I49" s="131"/>
      <c r="J49" s="131"/>
      <c r="K49" s="122"/>
      <c r="L49" s="118"/>
      <c r="M49" s="36"/>
      <c r="N49" s="36"/>
      <c r="O49" s="36"/>
      <c r="P49" s="36"/>
      <c r="Q49" s="36"/>
      <c r="R49" s="131"/>
      <c r="S49" s="36"/>
      <c r="T49" s="36"/>
      <c r="U49" s="36"/>
      <c r="V49" s="118"/>
      <c r="W49" s="36"/>
      <c r="X49" s="122"/>
      <c r="Y49" s="118"/>
      <c r="Z49" s="36"/>
      <c r="AA49" s="36"/>
      <c r="AB49" s="36"/>
      <c r="AC49" s="36"/>
      <c r="AD49" s="36"/>
      <c r="AE49" s="36"/>
      <c r="AF49" s="131"/>
      <c r="AG49" s="122"/>
      <c r="AH49" s="36"/>
      <c r="AI49" s="36"/>
      <c r="AJ49" s="36"/>
      <c r="AK49" s="131"/>
      <c r="AL49" s="210"/>
      <c r="AM49" s="36"/>
      <c r="AN49" s="36"/>
      <c r="AO49" s="36"/>
      <c r="AP49" s="36"/>
      <c r="AQ49" s="36"/>
      <c r="AR49" s="36"/>
      <c r="AS49" s="36"/>
      <c r="AT49" s="36"/>
      <c r="AU49" s="36"/>
      <c r="AV49" s="36"/>
      <c r="AW49" s="36"/>
      <c r="AX49" s="36"/>
      <c r="AY49" s="36"/>
      <c r="AZ49" s="36"/>
    </row>
    <row r="50" spans="2:52">
      <c r="B50" s="36">
        <v>7</v>
      </c>
      <c r="C50" s="131"/>
      <c r="D50" s="36"/>
      <c r="E50" s="194"/>
      <c r="F50" s="140"/>
      <c r="G50" s="124"/>
      <c r="H50" s="118"/>
      <c r="I50" s="131"/>
      <c r="J50" s="131"/>
      <c r="K50" s="122"/>
      <c r="L50" s="118"/>
      <c r="M50" s="36"/>
      <c r="N50" s="36"/>
      <c r="O50" s="36"/>
      <c r="P50" s="36"/>
      <c r="Q50" s="36"/>
      <c r="R50" s="131"/>
      <c r="S50" s="36"/>
      <c r="T50" s="36"/>
      <c r="U50" s="36"/>
      <c r="V50" s="118"/>
      <c r="W50" s="36"/>
      <c r="X50" s="122"/>
      <c r="Y50" s="118"/>
      <c r="Z50" s="36"/>
      <c r="AA50" s="36"/>
      <c r="AB50" s="36"/>
      <c r="AC50" s="36"/>
      <c r="AD50" s="36"/>
      <c r="AE50" s="36"/>
      <c r="AF50" s="131"/>
      <c r="AG50" s="122"/>
      <c r="AH50" s="36"/>
      <c r="AI50" s="36"/>
      <c r="AJ50" s="36"/>
      <c r="AK50" s="131"/>
      <c r="AL50" s="210"/>
      <c r="AM50" s="36"/>
      <c r="AN50" s="36"/>
      <c r="AO50" s="36"/>
      <c r="AP50" s="36"/>
      <c r="AQ50" s="36"/>
      <c r="AR50" s="36"/>
      <c r="AS50" s="36"/>
      <c r="AT50" s="36"/>
      <c r="AU50" s="36"/>
      <c r="AV50" s="36"/>
      <c r="AW50" s="36"/>
      <c r="AX50" s="36"/>
      <c r="AY50" s="36"/>
      <c r="AZ50" s="36"/>
    </row>
    <row r="51" spans="2:52">
      <c r="B51" s="36">
        <v>8</v>
      </c>
      <c r="C51" s="131"/>
      <c r="D51" s="36"/>
      <c r="E51" s="194"/>
      <c r="F51" s="140"/>
      <c r="G51" s="124"/>
      <c r="H51" s="118"/>
      <c r="I51" s="131"/>
      <c r="J51" s="131"/>
      <c r="K51" s="122"/>
      <c r="L51" s="118"/>
      <c r="M51" s="36"/>
      <c r="N51" s="36"/>
      <c r="O51" s="36"/>
      <c r="P51" s="36"/>
      <c r="Q51" s="36"/>
      <c r="R51" s="131"/>
      <c r="S51" s="36"/>
      <c r="T51" s="36"/>
      <c r="U51" s="36"/>
      <c r="V51" s="118"/>
      <c r="W51" s="36"/>
      <c r="X51" s="122"/>
      <c r="Y51" s="118"/>
      <c r="Z51" s="36"/>
      <c r="AA51" s="36"/>
      <c r="AB51" s="36"/>
      <c r="AC51" s="36"/>
      <c r="AD51" s="36"/>
      <c r="AE51" s="36"/>
      <c r="AF51" s="131"/>
      <c r="AG51" s="122"/>
      <c r="AH51" s="36"/>
      <c r="AI51" s="36"/>
      <c r="AJ51" s="36"/>
      <c r="AK51" s="131"/>
      <c r="AL51" s="210"/>
      <c r="AM51" s="36"/>
      <c r="AN51" s="36"/>
      <c r="AO51" s="36"/>
      <c r="AP51" s="36"/>
      <c r="AQ51" s="36"/>
      <c r="AR51" s="36"/>
      <c r="AS51" s="36"/>
      <c r="AT51" s="36"/>
      <c r="AU51" s="36"/>
      <c r="AV51" s="36"/>
      <c r="AW51" s="36"/>
      <c r="AX51" s="36"/>
      <c r="AY51" s="36"/>
      <c r="AZ51" s="36"/>
    </row>
    <row r="52" spans="2:52">
      <c r="B52" s="36">
        <v>9</v>
      </c>
      <c r="C52" s="131"/>
      <c r="D52" s="36"/>
      <c r="E52" s="194"/>
      <c r="F52" s="140"/>
      <c r="G52" s="124"/>
      <c r="H52" s="118"/>
      <c r="I52" s="131"/>
      <c r="J52" s="131"/>
      <c r="K52" s="122"/>
      <c r="L52" s="118"/>
      <c r="M52" s="36"/>
      <c r="N52" s="36"/>
      <c r="O52" s="36"/>
      <c r="P52" s="36"/>
      <c r="Q52" s="36"/>
      <c r="R52" s="131"/>
      <c r="S52" s="36"/>
      <c r="T52" s="36"/>
      <c r="U52" s="36"/>
      <c r="V52" s="118"/>
      <c r="W52" s="36"/>
      <c r="X52" s="122"/>
      <c r="Y52" s="118"/>
      <c r="Z52" s="36"/>
      <c r="AA52" s="36"/>
      <c r="AB52" s="36"/>
      <c r="AC52" s="36"/>
      <c r="AD52" s="36"/>
      <c r="AE52" s="36"/>
      <c r="AF52" s="131"/>
      <c r="AG52" s="122"/>
      <c r="AH52" s="36"/>
      <c r="AI52" s="36"/>
      <c r="AJ52" s="36"/>
      <c r="AK52" s="131"/>
      <c r="AL52" s="210"/>
      <c r="AM52" s="36"/>
      <c r="AN52" s="36"/>
      <c r="AO52" s="36"/>
      <c r="AP52" s="36"/>
      <c r="AQ52" s="36"/>
      <c r="AR52" s="36"/>
      <c r="AS52" s="36"/>
      <c r="AT52" s="36"/>
      <c r="AU52" s="36"/>
      <c r="AV52" s="36"/>
      <c r="AW52" s="36"/>
      <c r="AX52" s="36"/>
      <c r="AY52" s="36"/>
      <c r="AZ52" s="36"/>
    </row>
    <row r="53" spans="2:52">
      <c r="B53" s="36">
        <v>10</v>
      </c>
      <c r="C53" s="131"/>
      <c r="D53" s="36"/>
      <c r="E53" s="194"/>
      <c r="F53" s="140"/>
      <c r="G53" s="124"/>
      <c r="H53" s="118"/>
      <c r="I53" s="131"/>
      <c r="J53" s="131"/>
      <c r="K53" s="122"/>
      <c r="L53" s="118"/>
      <c r="M53" s="36"/>
      <c r="N53" s="36"/>
      <c r="O53" s="36"/>
      <c r="P53" s="36"/>
      <c r="Q53" s="36"/>
      <c r="R53" s="131"/>
      <c r="S53" s="36"/>
      <c r="T53" s="36"/>
      <c r="U53" s="36"/>
      <c r="V53" s="118"/>
      <c r="W53" s="36"/>
      <c r="X53" s="122"/>
      <c r="Y53" s="118"/>
      <c r="Z53" s="36"/>
      <c r="AA53" s="36"/>
      <c r="AB53" s="36"/>
      <c r="AC53" s="36"/>
      <c r="AD53" s="36"/>
      <c r="AE53" s="36"/>
      <c r="AF53" s="131"/>
      <c r="AG53" s="122"/>
      <c r="AH53" s="36"/>
      <c r="AI53" s="36"/>
      <c r="AJ53" s="36"/>
      <c r="AK53" s="131"/>
      <c r="AL53" s="52"/>
      <c r="AM53" s="36"/>
      <c r="AN53" s="36"/>
      <c r="AO53" s="36"/>
      <c r="AP53" s="36"/>
      <c r="AQ53" s="36"/>
      <c r="AR53" s="36"/>
      <c r="AS53" s="36"/>
      <c r="AT53" s="36"/>
      <c r="AU53" s="36"/>
      <c r="AV53" s="36"/>
      <c r="AW53" s="36"/>
      <c r="AX53" s="36"/>
      <c r="AY53" s="36"/>
      <c r="AZ53" s="36"/>
    </row>
  </sheetData>
  <phoneticPr fontId="3"/>
  <conditionalFormatting sqref="E114:E1048576 F41:F53 D40 E32:E39 E1:E26">
    <cfRule type="cellIs" dxfId="2" priority="2" operator="equal">
      <formula>"基準"</formula>
    </cfRule>
  </conditionalFormatting>
  <conditionalFormatting sqref="F114:F1048576 G41:G53 E40 F32:F39 F1:F26">
    <cfRule type="cellIs" dxfId="1" priority="1" operator="equal">
      <formula>"端"</formula>
    </cfRule>
  </conditionalFormatting>
  <dataValidations count="2">
    <dataValidation type="list" allowBlank="1" showInputMessage="1" showErrorMessage="1" sqref="F44:F53" xr:uid="{54B72FDD-3BFD-C348-854F-97EE96A04B50}">
      <formula1>"基準,flat,1st,2nd,3rd,4th,5th,6th"</formula1>
    </dataValidation>
    <dataValidation type="list" allowBlank="1" showInputMessage="1" showErrorMessage="1" sqref="G44:G53" xr:uid="{812FC2A4-33E8-6F4F-B5D2-DB30AFEC4833}">
      <formula1>"端,0番,1番,2番,3番,ウィングレット"</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物性値!$B$22:$B$49</xm:f>
          </x14:formula1>
          <xm:sqref>T11:T12 T4:T8</xm:sqref>
        </x14:dataValidation>
        <x14:dataValidation type="list" allowBlank="1" showInputMessage="1" showErrorMessage="1" xr:uid="{0966932E-2437-5D44-926B-ED9DB59478DC}">
          <x14:formula1>
            <xm:f>物性値!$I$22:$I$49</xm:f>
          </x14:formula1>
          <xm:sqref>T10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91" zoomScaleNormal="60" workbookViewId="0">
      <selection activeCell="F3" sqref="F3"/>
    </sheetView>
  </sheetViews>
  <sheetFormatPr defaultColWidth="8.6640625" defaultRowHeight="19.5"/>
  <cols>
    <col min="1" max="16384" width="8.6640625" style="160"/>
  </cols>
  <sheetData>
    <row r="1" spans="2:46">
      <c r="P1" s="161"/>
      <c r="R1" s="161"/>
      <c r="AG1" s="161"/>
      <c r="AH1" s="161"/>
    </row>
    <row r="2" spans="2:46">
      <c r="B2" s="161"/>
      <c r="C2" s="161"/>
      <c r="D2" s="161"/>
      <c r="E2" s="161"/>
      <c r="G2" s="161" t="s">
        <v>979</v>
      </c>
      <c r="H2" s="161"/>
      <c r="I2" s="161"/>
      <c r="J2" s="161"/>
      <c r="K2" s="161"/>
      <c r="L2" s="161"/>
      <c r="M2" s="161"/>
      <c r="N2" s="161"/>
      <c r="O2" s="161"/>
      <c r="P2" s="161"/>
      <c r="R2" s="160" t="s">
        <v>826</v>
      </c>
      <c r="U2" s="161" t="s">
        <v>804</v>
      </c>
      <c r="AF2" s="161"/>
      <c r="AG2" s="161" t="s">
        <v>972</v>
      </c>
      <c r="AH2" s="161"/>
      <c r="AI2" s="161"/>
      <c r="AJ2" s="161"/>
    </row>
    <row r="3" spans="2:46" ht="20.25" thickBot="1">
      <c r="B3" s="162" t="s">
        <v>65</v>
      </c>
      <c r="C3" s="162" t="s">
        <v>66</v>
      </c>
      <c r="D3" s="162" t="s">
        <v>67</v>
      </c>
      <c r="E3" s="162" t="s">
        <v>68</v>
      </c>
      <c r="G3" s="163" t="s">
        <v>480</v>
      </c>
      <c r="H3" s="163" t="s">
        <v>746</v>
      </c>
      <c r="I3" s="163" t="s">
        <v>707</v>
      </c>
      <c r="J3" s="163" t="s">
        <v>970</v>
      </c>
      <c r="K3" s="163" t="s">
        <v>971</v>
      </c>
      <c r="L3" s="163" t="s">
        <v>744</v>
      </c>
      <c r="M3" s="163" t="s">
        <v>743</v>
      </c>
      <c r="N3" s="163" t="s">
        <v>706</v>
      </c>
      <c r="O3" s="163" t="s">
        <v>659</v>
      </c>
      <c r="P3" s="163" t="s">
        <v>695</v>
      </c>
      <c r="R3" s="159" t="s">
        <v>1013</v>
      </c>
      <c r="S3" s="164"/>
      <c r="U3" s="163" t="s">
        <v>480</v>
      </c>
      <c r="V3" s="163" t="s">
        <v>159</v>
      </c>
      <c r="W3" s="163" t="s">
        <v>160</v>
      </c>
      <c r="X3" s="163" t="s">
        <v>161</v>
      </c>
      <c r="AF3" s="161"/>
      <c r="AG3" s="162" t="s">
        <v>65</v>
      </c>
      <c r="AH3" s="162" t="s">
        <v>66</v>
      </c>
      <c r="AI3" s="162" t="s">
        <v>67</v>
      </c>
      <c r="AJ3" s="162" t="s">
        <v>68</v>
      </c>
      <c r="AM3" s="161"/>
    </row>
    <row r="4" spans="2:46" ht="20.25" thickTop="1">
      <c r="B4" s="164" t="s">
        <v>962</v>
      </c>
      <c r="C4" s="164" t="s">
        <v>380</v>
      </c>
      <c r="D4" s="164"/>
      <c r="E4" s="164" t="s">
        <v>376</v>
      </c>
      <c r="G4" s="159" t="s">
        <v>159</v>
      </c>
      <c r="H4" s="159" t="s">
        <v>661</v>
      </c>
      <c r="I4" s="159" t="s">
        <v>662</v>
      </c>
      <c r="J4" s="165" t="s">
        <v>663</v>
      </c>
      <c r="K4" s="165" t="s">
        <v>664</v>
      </c>
      <c r="L4" s="159" t="s">
        <v>51</v>
      </c>
      <c r="M4" s="165" t="s">
        <v>52</v>
      </c>
      <c r="N4" s="159" t="s">
        <v>660</v>
      </c>
      <c r="O4" s="159" t="s">
        <v>665</v>
      </c>
      <c r="P4" s="159" t="s">
        <v>666</v>
      </c>
      <c r="R4" s="159" t="s">
        <v>1014</v>
      </c>
      <c r="S4" s="164"/>
      <c r="U4" s="166" t="s">
        <v>806</v>
      </c>
      <c r="V4" s="166" t="s">
        <v>807</v>
      </c>
      <c r="W4" s="167">
        <f>10*10^-3</f>
        <v>0.01</v>
      </c>
      <c r="X4" s="166" t="s">
        <v>761</v>
      </c>
      <c r="AF4" s="161" t="s">
        <v>631</v>
      </c>
      <c r="AG4" s="159" t="s">
        <v>632</v>
      </c>
      <c r="AH4" s="159" t="s">
        <v>482</v>
      </c>
      <c r="AI4" s="159"/>
      <c r="AJ4" s="159" t="s">
        <v>410</v>
      </c>
      <c r="AM4" s="161" t="s">
        <v>119</v>
      </c>
    </row>
    <row r="5" spans="2:46" ht="20.25" thickBot="1">
      <c r="B5" s="164" t="s">
        <v>794</v>
      </c>
      <c r="C5" s="164" t="s">
        <v>375</v>
      </c>
      <c r="D5" s="164"/>
      <c r="E5" s="164" t="s">
        <v>376</v>
      </c>
      <c r="G5" s="168" t="s">
        <v>161</v>
      </c>
      <c r="H5" s="168" t="s">
        <v>9</v>
      </c>
      <c r="I5" s="168" t="s">
        <v>9</v>
      </c>
      <c r="J5" s="169" t="s">
        <v>324</v>
      </c>
      <c r="K5" s="169" t="s">
        <v>324</v>
      </c>
      <c r="L5" s="168" t="s">
        <v>745</v>
      </c>
      <c r="M5" s="169" t="s">
        <v>52</v>
      </c>
      <c r="N5" s="168" t="s">
        <v>52</v>
      </c>
      <c r="O5" s="168" t="s">
        <v>52</v>
      </c>
      <c r="P5" s="168" t="s">
        <v>9</v>
      </c>
      <c r="U5" s="159" t="s">
        <v>808</v>
      </c>
      <c r="V5" s="159" t="s">
        <v>807</v>
      </c>
      <c r="W5" s="170">
        <f>2*10^-3</f>
        <v>2E-3</v>
      </c>
      <c r="X5" s="159" t="s">
        <v>761</v>
      </c>
      <c r="AF5" s="161"/>
      <c r="AG5" s="159" t="s">
        <v>505</v>
      </c>
      <c r="AH5" s="159" t="s">
        <v>633</v>
      </c>
      <c r="AI5" s="159"/>
      <c r="AJ5" s="159" t="s">
        <v>9</v>
      </c>
      <c r="AM5" s="161"/>
    </row>
    <row r="6" spans="2:46" ht="20.25" thickTop="1">
      <c r="B6" s="159" t="s">
        <v>963</v>
      </c>
      <c r="C6" s="164" t="s">
        <v>372</v>
      </c>
      <c r="D6" s="164"/>
      <c r="E6" s="164" t="s">
        <v>51</v>
      </c>
      <c r="G6" s="171" t="s">
        <v>735</v>
      </c>
      <c r="H6" s="167">
        <v>0</v>
      </c>
      <c r="I6" s="167">
        <v>0.93</v>
      </c>
      <c r="J6" s="167">
        <v>2</v>
      </c>
      <c r="K6" s="167">
        <v>0</v>
      </c>
      <c r="L6" s="167">
        <v>35</v>
      </c>
      <c r="M6" s="167" t="s">
        <v>747</v>
      </c>
      <c r="N6" s="172">
        <v>0</v>
      </c>
      <c r="O6" s="166">
        <f t="shared" ref="O6:O11" si="0">I7/I6</f>
        <v>1</v>
      </c>
      <c r="P6" s="166">
        <f t="shared" ref="P6:P11" si="1">H7-H6</f>
        <v>1.6</v>
      </c>
      <c r="R6" s="160" t="s">
        <v>827</v>
      </c>
      <c r="U6" s="166" t="s">
        <v>809</v>
      </c>
      <c r="V6" s="166" t="s">
        <v>810</v>
      </c>
      <c r="W6" s="173">
        <v>5</v>
      </c>
      <c r="X6" s="166" t="s">
        <v>760</v>
      </c>
      <c r="AF6" s="161"/>
      <c r="AG6" s="159" t="s">
        <v>595</v>
      </c>
      <c r="AH6" s="159" t="s">
        <v>601</v>
      </c>
      <c r="AI6" s="159"/>
      <c r="AJ6" s="159" t="s">
        <v>52</v>
      </c>
      <c r="AM6" s="161"/>
    </row>
    <row r="7" spans="2:46">
      <c r="B7" s="159" t="s">
        <v>594</v>
      </c>
      <c r="C7" s="159" t="s">
        <v>482</v>
      </c>
      <c r="D7" s="159"/>
      <c r="E7" s="159" t="s">
        <v>410</v>
      </c>
      <c r="G7" s="163" t="s">
        <v>754</v>
      </c>
      <c r="H7" s="170">
        <v>1.6</v>
      </c>
      <c r="I7" s="170">
        <v>0.93</v>
      </c>
      <c r="J7" s="170">
        <v>2</v>
      </c>
      <c r="K7" s="170">
        <v>0</v>
      </c>
      <c r="L7" s="170">
        <v>35</v>
      </c>
      <c r="M7" s="170" t="s">
        <v>747</v>
      </c>
      <c r="N7" s="174"/>
      <c r="O7" s="159">
        <f t="shared" si="0"/>
        <v>0.83870967741935487</v>
      </c>
      <c r="P7" s="159">
        <f t="shared" si="1"/>
        <v>3.6</v>
      </c>
      <c r="R7" s="164">
        <v>1</v>
      </c>
      <c r="S7" s="164"/>
      <c r="U7" s="159"/>
      <c r="V7" s="159" t="s">
        <v>811</v>
      </c>
      <c r="W7" s="170">
        <f>(F30*G30)*10^-6</f>
        <v>0</v>
      </c>
      <c r="X7" s="159" t="s">
        <v>805</v>
      </c>
      <c r="AF7" s="161"/>
      <c r="AG7" s="159" t="s">
        <v>634</v>
      </c>
      <c r="AH7" s="159" t="s">
        <v>635</v>
      </c>
      <c r="AI7" s="159"/>
      <c r="AJ7" s="159" t="s">
        <v>9</v>
      </c>
      <c r="AM7" s="161"/>
    </row>
    <row r="8" spans="2:46" ht="20.25" thickBot="1">
      <c r="B8" s="159" t="s">
        <v>597</v>
      </c>
      <c r="C8" s="159" t="s">
        <v>431</v>
      </c>
      <c r="D8" s="159"/>
      <c r="E8" s="159" t="s">
        <v>603</v>
      </c>
      <c r="G8" s="163" t="s">
        <v>755</v>
      </c>
      <c r="H8" s="170">
        <v>5.2</v>
      </c>
      <c r="I8" s="170">
        <v>0.78</v>
      </c>
      <c r="J8" s="170">
        <v>2</v>
      </c>
      <c r="K8" s="170">
        <v>0</v>
      </c>
      <c r="L8" s="170">
        <v>35</v>
      </c>
      <c r="M8" s="170" t="s">
        <v>747</v>
      </c>
      <c r="N8" s="174"/>
      <c r="O8" s="159">
        <f t="shared" si="0"/>
        <v>0.87179487179487181</v>
      </c>
      <c r="P8" s="159">
        <f t="shared" si="1"/>
        <v>2</v>
      </c>
      <c r="R8" s="164">
        <v>2</v>
      </c>
      <c r="S8" s="164"/>
      <c r="U8" s="159" t="s">
        <v>812</v>
      </c>
      <c r="V8" s="159" t="s">
        <v>807</v>
      </c>
      <c r="W8" s="170">
        <f>0.45*10^-3</f>
        <v>4.5000000000000004E-4</v>
      </c>
      <c r="X8" s="159" t="s">
        <v>761</v>
      </c>
      <c r="AF8" s="161"/>
      <c r="AG8" s="168" t="s">
        <v>636</v>
      </c>
      <c r="AH8" s="168" t="s">
        <v>433</v>
      </c>
      <c r="AI8" s="168"/>
      <c r="AJ8" s="168" t="s">
        <v>9</v>
      </c>
      <c r="AM8" s="161"/>
    </row>
    <row r="9" spans="2:46" ht="20.25" thickTop="1">
      <c r="B9" s="159" t="s">
        <v>595</v>
      </c>
      <c r="C9" s="159" t="s">
        <v>601</v>
      </c>
      <c r="D9" s="159"/>
      <c r="E9" s="159" t="s">
        <v>52</v>
      </c>
      <c r="G9" s="163" t="s">
        <v>756</v>
      </c>
      <c r="H9" s="170">
        <v>7.2</v>
      </c>
      <c r="I9" s="170">
        <v>0.68</v>
      </c>
      <c r="J9" s="170">
        <v>2</v>
      </c>
      <c r="K9" s="170">
        <v>6</v>
      </c>
      <c r="L9" s="170">
        <v>35</v>
      </c>
      <c r="M9" s="170" t="s">
        <v>747</v>
      </c>
      <c r="N9" s="174"/>
      <c r="O9" s="159">
        <f t="shared" si="0"/>
        <v>0.89705882352941169</v>
      </c>
      <c r="P9" s="159">
        <f t="shared" si="1"/>
        <v>1.3999999999999995</v>
      </c>
      <c r="R9" s="164">
        <v>3</v>
      </c>
      <c r="S9" s="164"/>
      <c r="U9" s="159" t="s">
        <v>813</v>
      </c>
      <c r="V9" s="159" t="s">
        <v>814</v>
      </c>
      <c r="W9" s="170">
        <v>0.02</v>
      </c>
      <c r="X9" s="159" t="s">
        <v>761</v>
      </c>
      <c r="AF9" s="161" t="s">
        <v>637</v>
      </c>
      <c r="AG9" s="159" t="s">
        <v>632</v>
      </c>
      <c r="AH9" s="159" t="s">
        <v>482</v>
      </c>
      <c r="AI9" s="159"/>
      <c r="AJ9" s="159" t="s">
        <v>410</v>
      </c>
      <c r="AM9" s="161"/>
    </row>
    <row r="10" spans="2:46">
      <c r="B10" s="159" t="s">
        <v>596</v>
      </c>
      <c r="C10" s="159" t="s">
        <v>602</v>
      </c>
      <c r="D10" s="159"/>
      <c r="E10" s="159" t="s">
        <v>9</v>
      </c>
      <c r="G10" s="163" t="s">
        <v>757</v>
      </c>
      <c r="H10" s="170">
        <v>8.6</v>
      </c>
      <c r="I10" s="170">
        <v>0.61</v>
      </c>
      <c r="J10" s="170">
        <v>2</v>
      </c>
      <c r="K10" s="170">
        <v>6</v>
      </c>
      <c r="L10" s="170">
        <v>35</v>
      </c>
      <c r="M10" s="170" t="s">
        <v>747</v>
      </c>
      <c r="N10" s="174"/>
      <c r="O10" s="159">
        <f t="shared" si="0"/>
        <v>0.85245901639344268</v>
      </c>
      <c r="P10" s="159">
        <f t="shared" si="1"/>
        <v>2.2000000000000011</v>
      </c>
      <c r="R10" s="164">
        <v>4</v>
      </c>
      <c r="S10" s="164"/>
      <c r="U10" s="159"/>
      <c r="V10" s="159" t="s">
        <v>807</v>
      </c>
      <c r="W10" s="170">
        <f>0.5*10^-3</f>
        <v>5.0000000000000001E-4</v>
      </c>
      <c r="X10" s="159" t="s">
        <v>761</v>
      </c>
      <c r="AF10" s="161"/>
      <c r="AG10" s="159" t="s">
        <v>505</v>
      </c>
      <c r="AH10" s="159" t="s">
        <v>633</v>
      </c>
      <c r="AI10" s="159"/>
      <c r="AJ10" s="159" t="s">
        <v>9</v>
      </c>
      <c r="AM10" s="161"/>
    </row>
    <row r="11" spans="2:46">
      <c r="B11" s="159" t="s">
        <v>891</v>
      </c>
      <c r="C11" s="159" t="s">
        <v>964</v>
      </c>
      <c r="D11" s="159"/>
      <c r="E11" s="159" t="s">
        <v>9</v>
      </c>
      <c r="G11" s="163" t="s">
        <v>758</v>
      </c>
      <c r="H11" s="170">
        <v>10.8</v>
      </c>
      <c r="I11" s="170">
        <v>0.52</v>
      </c>
      <c r="J11" s="170">
        <v>2</v>
      </c>
      <c r="K11" s="170">
        <v>6</v>
      </c>
      <c r="L11" s="170">
        <v>35</v>
      </c>
      <c r="M11" s="170" t="s">
        <v>748</v>
      </c>
      <c r="N11" s="174"/>
      <c r="O11" s="159">
        <f t="shared" si="0"/>
        <v>0.73076923076923073</v>
      </c>
      <c r="P11" s="159">
        <f t="shared" si="1"/>
        <v>1.5999999999999996</v>
      </c>
      <c r="R11" s="164">
        <v>5</v>
      </c>
      <c r="S11" s="164"/>
      <c r="U11" s="159" t="s">
        <v>815</v>
      </c>
      <c r="V11" s="159" t="s">
        <v>816</v>
      </c>
      <c r="W11" s="170">
        <v>7.4999999999999997E-3</v>
      </c>
      <c r="X11" s="159" t="s">
        <v>817</v>
      </c>
      <c r="AF11" s="161"/>
      <c r="AG11" s="159" t="s">
        <v>595</v>
      </c>
      <c r="AH11" s="159" t="s">
        <v>601</v>
      </c>
      <c r="AI11" s="159"/>
      <c r="AJ11" s="159" t="s">
        <v>52</v>
      </c>
      <c r="AM11" s="161"/>
    </row>
    <row r="12" spans="2:46">
      <c r="B12" s="159" t="s">
        <v>892</v>
      </c>
      <c r="C12" s="159" t="s">
        <v>965</v>
      </c>
      <c r="D12" s="159"/>
      <c r="E12" s="159" t="s">
        <v>272</v>
      </c>
      <c r="G12" s="163" t="s">
        <v>734</v>
      </c>
      <c r="H12" s="170">
        <v>12.4</v>
      </c>
      <c r="I12" s="170">
        <v>0.38</v>
      </c>
      <c r="J12" s="170">
        <v>0.5</v>
      </c>
      <c r="K12" s="170">
        <v>6</v>
      </c>
      <c r="L12" s="170">
        <v>35</v>
      </c>
      <c r="M12" s="170" t="s">
        <v>748</v>
      </c>
      <c r="N12" s="174"/>
      <c r="O12" s="159"/>
      <c r="P12" s="159"/>
      <c r="R12" s="164">
        <v>6</v>
      </c>
      <c r="S12" s="164"/>
      <c r="U12" s="175" t="s">
        <v>818</v>
      </c>
      <c r="V12" s="159" t="s">
        <v>819</v>
      </c>
      <c r="W12" s="170">
        <v>7.4999999999999997E-3</v>
      </c>
      <c r="X12" s="159" t="s">
        <v>817</v>
      </c>
      <c r="AF12" s="161"/>
      <c r="AG12" s="159" t="s">
        <v>634</v>
      </c>
      <c r="AH12" s="159" t="s">
        <v>602</v>
      </c>
      <c r="AI12" s="159"/>
      <c r="AJ12" s="159" t="s">
        <v>9</v>
      </c>
      <c r="AM12" s="161"/>
    </row>
    <row r="13" spans="2:46" ht="20.25" thickBot="1">
      <c r="R13" s="164">
        <v>7</v>
      </c>
      <c r="S13" s="164"/>
      <c r="U13" s="159" t="s">
        <v>820</v>
      </c>
      <c r="V13" s="159" t="s">
        <v>821</v>
      </c>
      <c r="W13" s="170">
        <v>0.03</v>
      </c>
      <c r="X13" s="159" t="s">
        <v>817</v>
      </c>
      <c r="AF13" s="161"/>
      <c r="AG13" s="168" t="s">
        <v>636</v>
      </c>
      <c r="AH13" s="168" t="s">
        <v>433</v>
      </c>
      <c r="AI13" s="168"/>
      <c r="AJ13" s="168" t="s">
        <v>9</v>
      </c>
      <c r="AM13" s="161"/>
    </row>
    <row r="14" spans="2:46" ht="20.25" thickTop="1">
      <c r="U14" s="159" t="s">
        <v>822</v>
      </c>
      <c r="V14" s="159" t="s">
        <v>823</v>
      </c>
      <c r="W14" s="170">
        <v>0.08</v>
      </c>
      <c r="X14" s="159" t="s">
        <v>761</v>
      </c>
      <c r="AF14" s="161" t="s">
        <v>638</v>
      </c>
      <c r="AG14" s="166" t="s">
        <v>639</v>
      </c>
      <c r="AH14" s="166" t="s">
        <v>640</v>
      </c>
      <c r="AI14" s="167"/>
      <c r="AJ14" s="166" t="s">
        <v>52</v>
      </c>
      <c r="AM14" s="176"/>
      <c r="AR14" s="161"/>
      <c r="AS14" s="161"/>
      <c r="AT14" s="161"/>
    </row>
    <row r="15" spans="2:46">
      <c r="AF15" s="161"/>
      <c r="AG15" s="159" t="s">
        <v>641</v>
      </c>
      <c r="AH15" s="174" t="s">
        <v>642</v>
      </c>
      <c r="AI15" s="159"/>
      <c r="AJ15" s="159" t="s">
        <v>52</v>
      </c>
    </row>
    <row r="16" spans="2:46">
      <c r="AF16" s="161"/>
      <c r="AG16" s="159" t="s">
        <v>643</v>
      </c>
      <c r="AH16" s="159" t="s">
        <v>644</v>
      </c>
      <c r="AI16" s="159"/>
      <c r="AJ16" s="159" t="s">
        <v>441</v>
      </c>
    </row>
    <row r="17" spans="32:36">
      <c r="AF17" s="161"/>
      <c r="AG17" s="159" t="s">
        <v>645</v>
      </c>
      <c r="AH17" s="159" t="s">
        <v>454</v>
      </c>
      <c r="AI17" s="159"/>
      <c r="AJ17" s="159" t="s">
        <v>441</v>
      </c>
    </row>
    <row r="18" spans="32:36">
      <c r="AF18" s="161"/>
      <c r="AG18" s="159" t="s">
        <v>438</v>
      </c>
      <c r="AH18" s="159" t="s">
        <v>439</v>
      </c>
      <c r="AI18" s="159"/>
      <c r="AJ18" s="159" t="s">
        <v>52</v>
      </c>
    </row>
    <row r="19" spans="32:36">
      <c r="AF19" s="161"/>
      <c r="AG19" s="159" t="s">
        <v>464</v>
      </c>
      <c r="AH19" s="159" t="s">
        <v>465</v>
      </c>
      <c r="AI19" s="159"/>
      <c r="AJ19" s="159" t="s">
        <v>52</v>
      </c>
    </row>
    <row r="20" spans="32:36">
      <c r="AF20" s="161"/>
      <c r="AG20" s="175" t="s">
        <v>175</v>
      </c>
      <c r="AH20" s="175" t="s">
        <v>172</v>
      </c>
      <c r="AI20" s="177"/>
      <c r="AJ20" s="175" t="s">
        <v>52</v>
      </c>
    </row>
    <row r="21" spans="32:36" ht="20.25" thickBot="1">
      <c r="AF21" s="161"/>
      <c r="AG21" s="168" t="s">
        <v>646</v>
      </c>
      <c r="AH21" s="168" t="s">
        <v>647</v>
      </c>
      <c r="AI21" s="168"/>
      <c r="AJ21" s="168" t="s">
        <v>324</v>
      </c>
    </row>
    <row r="22" spans="32:36" ht="20.25" thickTop="1"/>
    <row r="35" spans="2:51">
      <c r="O35" s="161"/>
      <c r="AR35" s="161"/>
    </row>
    <row r="36" spans="2:51">
      <c r="O36" s="161"/>
    </row>
    <row r="37" spans="2:51">
      <c r="B37" s="178" t="s">
        <v>925</v>
      </c>
      <c r="C37" s="179"/>
      <c r="D37" s="180" t="s">
        <v>51</v>
      </c>
    </row>
    <row r="38" spans="2:51">
      <c r="B38" s="178" t="s">
        <v>961</v>
      </c>
      <c r="C38" s="179"/>
      <c r="D38" s="180" t="s">
        <v>43</v>
      </c>
    </row>
    <row r="40" spans="2:51">
      <c r="B40" s="160" t="s">
        <v>749</v>
      </c>
      <c r="H40" s="160" t="s">
        <v>837</v>
      </c>
      <c r="K40" s="160" t="s">
        <v>763</v>
      </c>
      <c r="R40" s="160" t="s">
        <v>799</v>
      </c>
      <c r="T40" s="160" t="s">
        <v>838</v>
      </c>
      <c r="W40" s="160" t="s">
        <v>831</v>
      </c>
      <c r="AE40" s="161"/>
      <c r="AF40" s="160" t="s">
        <v>767</v>
      </c>
    </row>
    <row r="41" spans="2:51">
      <c r="B41" s="163" t="s">
        <v>750</v>
      </c>
      <c r="C41" s="163" t="s">
        <v>798</v>
      </c>
      <c r="D41" s="163" t="s">
        <v>824</v>
      </c>
      <c r="E41" s="163" t="s">
        <v>762</v>
      </c>
      <c r="F41" s="163" t="s">
        <v>746</v>
      </c>
      <c r="G41" s="163" t="s">
        <v>707</v>
      </c>
      <c r="H41" s="163" t="s">
        <v>744</v>
      </c>
      <c r="I41" s="163" t="s">
        <v>765</v>
      </c>
      <c r="J41" s="181" t="s">
        <v>766</v>
      </c>
      <c r="K41" s="163" t="s">
        <v>764</v>
      </c>
      <c r="L41" s="163" t="s">
        <v>743</v>
      </c>
      <c r="M41" s="163" t="s">
        <v>752</v>
      </c>
      <c r="N41" s="163" t="s">
        <v>753</v>
      </c>
      <c r="O41" s="163" t="s">
        <v>966</v>
      </c>
      <c r="P41" s="182" t="s">
        <v>345</v>
      </c>
      <c r="Q41" s="163" t="s">
        <v>751</v>
      </c>
      <c r="R41" s="163" t="s">
        <v>345</v>
      </c>
      <c r="S41" s="163" t="s">
        <v>751</v>
      </c>
      <c r="T41" s="181" t="s">
        <v>828</v>
      </c>
      <c r="U41" s="181" t="s">
        <v>829</v>
      </c>
      <c r="V41" s="181" t="s">
        <v>830</v>
      </c>
      <c r="W41" s="163" t="s">
        <v>806</v>
      </c>
      <c r="X41" s="163" t="s">
        <v>808</v>
      </c>
      <c r="Y41" s="163" t="s">
        <v>809</v>
      </c>
      <c r="Z41" s="163" t="s">
        <v>812</v>
      </c>
      <c r="AA41" s="163" t="s">
        <v>813</v>
      </c>
      <c r="AB41" s="163" t="s">
        <v>832</v>
      </c>
      <c r="AC41" s="163" t="s">
        <v>836</v>
      </c>
      <c r="AD41" s="163" t="s">
        <v>835</v>
      </c>
      <c r="AE41" s="163" t="s">
        <v>833</v>
      </c>
      <c r="AF41" s="163" t="s">
        <v>774</v>
      </c>
      <c r="AG41" s="163" t="s">
        <v>768</v>
      </c>
      <c r="AH41" s="163" t="s">
        <v>769</v>
      </c>
      <c r="AI41" s="163" t="s">
        <v>839</v>
      </c>
      <c r="AJ41" s="163" t="s">
        <v>348</v>
      </c>
      <c r="AK41" s="163" t="s">
        <v>361</v>
      </c>
      <c r="AL41" s="163" t="s">
        <v>842</v>
      </c>
      <c r="AM41" s="163" t="s">
        <v>373</v>
      </c>
      <c r="AN41" s="163" t="s">
        <v>844</v>
      </c>
      <c r="AO41" s="163" t="s">
        <v>355</v>
      </c>
      <c r="AP41" s="163" t="s">
        <v>770</v>
      </c>
      <c r="AQ41" s="163" t="s">
        <v>794</v>
      </c>
      <c r="AR41" s="163" t="s">
        <v>795</v>
      </c>
      <c r="AS41" s="163" t="s">
        <v>796</v>
      </c>
      <c r="AT41" s="163" t="s">
        <v>772</v>
      </c>
      <c r="AU41" s="163" t="s">
        <v>771</v>
      </c>
      <c r="AV41" s="163" t="s">
        <v>775</v>
      </c>
      <c r="AW41" s="163" t="s">
        <v>773</v>
      </c>
      <c r="AX41" s="163" t="s">
        <v>800</v>
      </c>
    </row>
    <row r="42" spans="2:51">
      <c r="B42" s="159" t="s">
        <v>759</v>
      </c>
      <c r="C42" s="165" t="s">
        <v>760</v>
      </c>
      <c r="D42" s="165" t="s">
        <v>760</v>
      </c>
      <c r="E42" s="159" t="s">
        <v>695</v>
      </c>
      <c r="F42" s="159" t="s">
        <v>968</v>
      </c>
      <c r="G42" s="159" t="s">
        <v>708</v>
      </c>
      <c r="H42" s="159" t="s">
        <v>760</v>
      </c>
      <c r="I42" s="159" t="s">
        <v>760</v>
      </c>
      <c r="J42" s="183" t="s">
        <v>760</v>
      </c>
      <c r="K42" s="159" t="s">
        <v>760</v>
      </c>
      <c r="L42" s="159" t="s">
        <v>760</v>
      </c>
      <c r="M42" s="159" t="s">
        <v>760</v>
      </c>
      <c r="N42" s="159" t="s">
        <v>760</v>
      </c>
      <c r="O42" s="159" t="s">
        <v>967</v>
      </c>
      <c r="P42" s="184" t="s">
        <v>760</v>
      </c>
      <c r="Q42" s="159" t="s">
        <v>969</v>
      </c>
      <c r="R42" s="165" t="s">
        <v>760</v>
      </c>
      <c r="S42" s="165" t="s">
        <v>784</v>
      </c>
      <c r="T42" s="183" t="s">
        <v>760</v>
      </c>
      <c r="U42" s="183" t="s">
        <v>760</v>
      </c>
      <c r="V42" s="183" t="s">
        <v>760</v>
      </c>
      <c r="W42" s="159" t="s">
        <v>51</v>
      </c>
      <c r="X42" s="159" t="s">
        <v>51</v>
      </c>
      <c r="Y42" s="159" t="s">
        <v>51</v>
      </c>
      <c r="Z42" s="159" t="s">
        <v>51</v>
      </c>
      <c r="AA42" s="159" t="s">
        <v>51</v>
      </c>
      <c r="AB42" s="159" t="s">
        <v>51</v>
      </c>
      <c r="AC42" s="159" t="s">
        <v>51</v>
      </c>
      <c r="AD42" s="159" t="s">
        <v>51</v>
      </c>
      <c r="AE42" s="165" t="s">
        <v>51</v>
      </c>
      <c r="AF42" s="165" t="s">
        <v>788</v>
      </c>
      <c r="AG42" s="165" t="s">
        <v>776</v>
      </c>
      <c r="AH42" s="165" t="s">
        <v>777</v>
      </c>
      <c r="AI42" s="165" t="s">
        <v>840</v>
      </c>
      <c r="AJ42" s="165" t="s">
        <v>778</v>
      </c>
      <c r="AK42" s="165" t="s">
        <v>779</v>
      </c>
      <c r="AL42" s="165" t="s">
        <v>843</v>
      </c>
      <c r="AM42" s="165" t="s">
        <v>780</v>
      </c>
      <c r="AN42" s="165" t="s">
        <v>783</v>
      </c>
      <c r="AO42" s="165" t="s">
        <v>781</v>
      </c>
      <c r="AP42" s="165" t="s">
        <v>782</v>
      </c>
      <c r="AQ42" s="165" t="s">
        <v>375</v>
      </c>
      <c r="AR42" s="165" t="s">
        <v>378</v>
      </c>
      <c r="AS42" s="165" t="s">
        <v>975</v>
      </c>
      <c r="AT42" s="165" t="s">
        <v>786</v>
      </c>
      <c r="AU42" s="165" t="s">
        <v>785</v>
      </c>
      <c r="AV42" s="165" t="s">
        <v>789</v>
      </c>
      <c r="AW42" s="165" t="s">
        <v>787</v>
      </c>
      <c r="AX42" s="165" t="s">
        <v>797</v>
      </c>
    </row>
    <row r="43" spans="2:51" ht="20.25" thickBot="1">
      <c r="B43" s="175" t="s">
        <v>760</v>
      </c>
      <c r="C43" s="185" t="s">
        <v>760</v>
      </c>
      <c r="D43" s="185" t="s">
        <v>760</v>
      </c>
      <c r="E43" s="175" t="s">
        <v>761</v>
      </c>
      <c r="F43" s="175" t="s">
        <v>761</v>
      </c>
      <c r="G43" s="175" t="s">
        <v>761</v>
      </c>
      <c r="H43" s="168" t="s">
        <v>745</v>
      </c>
      <c r="I43" s="175" t="s">
        <v>690</v>
      </c>
      <c r="J43" s="186" t="s">
        <v>690</v>
      </c>
      <c r="K43" s="175" t="s">
        <v>690</v>
      </c>
      <c r="L43" s="175" t="s">
        <v>51</v>
      </c>
      <c r="M43" s="168" t="s">
        <v>761</v>
      </c>
      <c r="N43" s="168" t="s">
        <v>761</v>
      </c>
      <c r="O43" s="168" t="s">
        <v>761</v>
      </c>
      <c r="P43" s="187" t="s">
        <v>272</v>
      </c>
      <c r="Q43" s="175" t="s">
        <v>272</v>
      </c>
      <c r="R43" s="185" t="s">
        <v>790</v>
      </c>
      <c r="S43" s="185" t="s">
        <v>790</v>
      </c>
      <c r="T43" s="186" t="s">
        <v>761</v>
      </c>
      <c r="U43" s="186" t="s">
        <v>761</v>
      </c>
      <c r="V43" s="186" t="s">
        <v>761</v>
      </c>
      <c r="W43" s="188" t="s">
        <v>834</v>
      </c>
      <c r="X43" s="188" t="s">
        <v>834</v>
      </c>
      <c r="Y43" s="188" t="s">
        <v>834</v>
      </c>
      <c r="Z43" s="168" t="s">
        <v>834</v>
      </c>
      <c r="AA43" s="168" t="s">
        <v>834</v>
      </c>
      <c r="AB43" s="168" t="s">
        <v>834</v>
      </c>
      <c r="AC43" s="168" t="s">
        <v>834</v>
      </c>
      <c r="AD43" s="168" t="s">
        <v>834</v>
      </c>
      <c r="AE43" s="185" t="s">
        <v>834</v>
      </c>
      <c r="AF43" s="185" t="s">
        <v>790</v>
      </c>
      <c r="AG43" s="185" t="s">
        <v>790</v>
      </c>
      <c r="AH43" s="185" t="s">
        <v>760</v>
      </c>
      <c r="AI43" s="185" t="s">
        <v>760</v>
      </c>
      <c r="AJ43" s="185" t="s">
        <v>760</v>
      </c>
      <c r="AK43" s="185" t="s">
        <v>760</v>
      </c>
      <c r="AL43" s="185" t="s">
        <v>760</v>
      </c>
      <c r="AM43" s="185" t="s">
        <v>760</v>
      </c>
      <c r="AN43" s="185" t="s">
        <v>760</v>
      </c>
      <c r="AO43" s="185" t="s">
        <v>791</v>
      </c>
      <c r="AP43" s="185" t="s">
        <v>791</v>
      </c>
      <c r="AQ43" s="185" t="s">
        <v>285</v>
      </c>
      <c r="AR43" s="185" t="s">
        <v>285</v>
      </c>
      <c r="AS43" s="185" t="s">
        <v>841</v>
      </c>
      <c r="AT43" s="185" t="s">
        <v>792</v>
      </c>
      <c r="AU43" s="185" t="s">
        <v>792</v>
      </c>
      <c r="AV43" s="185" t="s">
        <v>792</v>
      </c>
      <c r="AW43" s="185" t="s">
        <v>793</v>
      </c>
      <c r="AX43" s="185" t="s">
        <v>793</v>
      </c>
    </row>
    <row r="44" spans="2:51" ht="20.25" thickTop="1">
      <c r="B44" s="189">
        <v>1</v>
      </c>
      <c r="C44" s="190"/>
      <c r="D44" s="190"/>
      <c r="E44" s="190"/>
      <c r="F44" s="189"/>
      <c r="G44" s="189"/>
      <c r="H44" s="191"/>
      <c r="I44" s="189"/>
      <c r="J44" s="189"/>
      <c r="K44" s="189"/>
      <c r="L44" s="189"/>
      <c r="M44" s="189"/>
      <c r="N44" s="189"/>
      <c r="O44" s="189"/>
      <c r="P44" s="189"/>
      <c r="Q44" s="189"/>
      <c r="R44" s="189"/>
      <c r="S44" s="189"/>
      <c r="T44" s="189"/>
      <c r="U44" s="189"/>
      <c r="V44" s="189"/>
      <c r="W44" s="189"/>
      <c r="X44" s="189"/>
      <c r="Y44" s="189"/>
      <c r="Z44" s="189"/>
      <c r="AA44" s="189"/>
      <c r="AB44" s="189"/>
      <c r="AC44" s="189"/>
      <c r="AD44" s="189"/>
      <c r="AE44" s="189"/>
      <c r="AF44" s="189"/>
      <c r="AG44" s="189"/>
      <c r="AH44" s="189"/>
      <c r="AI44" s="189"/>
      <c r="AJ44" s="189"/>
      <c r="AK44" s="189"/>
      <c r="AL44" s="189"/>
      <c r="AM44" s="189"/>
      <c r="AN44" s="189"/>
      <c r="AO44" s="189"/>
      <c r="AP44" s="189"/>
      <c r="AQ44" s="189"/>
      <c r="AR44" s="189"/>
      <c r="AS44" s="189"/>
      <c r="AT44" s="189"/>
      <c r="AU44" s="189"/>
      <c r="AV44" s="189"/>
      <c r="AW44" s="189"/>
      <c r="AX44" s="189"/>
      <c r="AY44" s="189"/>
    </row>
    <row r="45" spans="2:51">
      <c r="B45" s="164">
        <v>2</v>
      </c>
      <c r="C45" s="192"/>
      <c r="D45" s="192"/>
      <c r="E45" s="192"/>
      <c r="F45" s="164"/>
      <c r="G45" s="164"/>
      <c r="H45" s="164"/>
      <c r="I45" s="164"/>
      <c r="J45" s="164"/>
      <c r="K45" s="164"/>
      <c r="L45" s="164"/>
      <c r="M45" s="164"/>
      <c r="N45" s="164"/>
      <c r="O45" s="164"/>
      <c r="P45" s="164"/>
      <c r="Q45" s="164"/>
      <c r="R45" s="164"/>
      <c r="S45" s="164"/>
      <c r="T45" s="164"/>
      <c r="U45" s="164"/>
      <c r="V45" s="164"/>
      <c r="W45" s="164"/>
      <c r="X45" s="164"/>
      <c r="Y45" s="164"/>
      <c r="Z45" s="164"/>
      <c r="AA45" s="164"/>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row>
    <row r="46" spans="2:51">
      <c r="B46" s="164">
        <v>3</v>
      </c>
      <c r="C46" s="192"/>
      <c r="D46" s="192"/>
      <c r="E46" s="192"/>
      <c r="F46" s="164"/>
      <c r="G46" s="164"/>
      <c r="H46" s="164"/>
      <c r="I46" s="164"/>
      <c r="J46" s="164"/>
      <c r="K46" s="164"/>
      <c r="L46" s="164"/>
      <c r="M46" s="164"/>
      <c r="N46" s="164"/>
      <c r="O46" s="164"/>
      <c r="P46" s="164"/>
      <c r="Q46" s="164"/>
      <c r="R46" s="164"/>
      <c r="S46" s="164"/>
      <c r="T46" s="164"/>
      <c r="U46" s="164"/>
      <c r="V46" s="164"/>
      <c r="W46" s="164"/>
      <c r="X46" s="164"/>
      <c r="Y46" s="164"/>
      <c r="Z46" s="164"/>
      <c r="AA46" s="164"/>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row>
    <row r="47" spans="2:51">
      <c r="B47" s="164">
        <v>4</v>
      </c>
      <c r="C47" s="192"/>
      <c r="D47" s="192"/>
      <c r="E47" s="192"/>
      <c r="F47" s="164"/>
      <c r="G47" s="164"/>
      <c r="H47" s="164"/>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row>
    <row r="48" spans="2:51">
      <c r="B48" s="164">
        <v>5</v>
      </c>
      <c r="C48" s="192"/>
      <c r="D48" s="192"/>
      <c r="E48" s="192"/>
      <c r="F48" s="164"/>
      <c r="G48" s="164"/>
      <c r="H48" s="164"/>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row>
    <row r="49" spans="2:51">
      <c r="B49" s="164">
        <v>6</v>
      </c>
      <c r="C49" s="192"/>
      <c r="D49" s="192"/>
      <c r="E49" s="192"/>
      <c r="F49" s="164"/>
      <c r="G49" s="164"/>
      <c r="H49" s="164"/>
      <c r="I49" s="164"/>
      <c r="J49" s="164"/>
      <c r="K49" s="164"/>
      <c r="L49" s="164"/>
      <c r="M49" s="164"/>
      <c r="N49" s="164"/>
      <c r="O49" s="164"/>
      <c r="P49" s="164"/>
      <c r="Q49" s="164"/>
      <c r="R49" s="164"/>
      <c r="S49" s="164"/>
      <c r="T49" s="164"/>
      <c r="U49" s="164"/>
      <c r="V49" s="164"/>
      <c r="W49" s="164"/>
      <c r="X49" s="164"/>
      <c r="Y49" s="164"/>
      <c r="Z49" s="164"/>
      <c r="AA49" s="164"/>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row>
    <row r="50" spans="2:51">
      <c r="B50" s="164">
        <v>7</v>
      </c>
      <c r="C50" s="192"/>
      <c r="D50" s="192"/>
      <c r="E50" s="192"/>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c r="AQ50" s="164"/>
      <c r="AR50" s="164"/>
      <c r="AS50" s="164"/>
      <c r="AT50" s="164"/>
      <c r="AU50" s="164"/>
      <c r="AV50" s="164"/>
      <c r="AW50" s="164"/>
      <c r="AX50" s="164"/>
      <c r="AY50" s="164"/>
    </row>
    <row r="51" spans="2:51">
      <c r="B51" s="164">
        <v>8</v>
      </c>
      <c r="C51" s="192"/>
      <c r="D51" s="192"/>
      <c r="E51" s="192"/>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c r="AQ51" s="164"/>
      <c r="AR51" s="164"/>
      <c r="AS51" s="164"/>
      <c r="AT51" s="164"/>
      <c r="AU51" s="164"/>
      <c r="AV51" s="164"/>
      <c r="AW51" s="164"/>
      <c r="AX51" s="164"/>
      <c r="AY51" s="164"/>
    </row>
    <row r="52" spans="2:51">
      <c r="B52" s="164">
        <v>9</v>
      </c>
      <c r="C52" s="192"/>
      <c r="D52" s="192"/>
      <c r="E52" s="192"/>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c r="AP52" s="164"/>
      <c r="AQ52" s="164"/>
      <c r="AR52" s="164"/>
      <c r="AS52" s="164"/>
      <c r="AT52" s="164"/>
      <c r="AU52" s="164"/>
      <c r="AV52" s="164"/>
      <c r="AW52" s="164"/>
      <c r="AX52" s="164"/>
      <c r="AY52" s="164"/>
    </row>
    <row r="53" spans="2:51">
      <c r="B53" s="164">
        <v>10</v>
      </c>
      <c r="C53" s="192"/>
      <c r="D53" s="192"/>
      <c r="E53" s="192"/>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c r="AX53" s="164"/>
      <c r="AY53" s="164"/>
    </row>
    <row r="54" spans="2:51">
      <c r="B54" s="164">
        <v>11</v>
      </c>
      <c r="C54" s="192"/>
      <c r="D54" s="192"/>
      <c r="E54" s="192"/>
      <c r="F54" s="164"/>
      <c r="G54" s="164"/>
      <c r="H54" s="164"/>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4"/>
      <c r="AG54" s="164"/>
      <c r="AH54" s="164"/>
      <c r="AI54" s="164"/>
      <c r="AJ54" s="164"/>
      <c r="AK54" s="164"/>
      <c r="AL54" s="164"/>
      <c r="AM54" s="164"/>
      <c r="AN54" s="164"/>
      <c r="AO54" s="164"/>
      <c r="AP54" s="164"/>
      <c r="AQ54" s="164"/>
      <c r="AR54" s="164"/>
      <c r="AS54" s="164"/>
      <c r="AT54" s="164"/>
      <c r="AU54" s="164"/>
      <c r="AV54" s="164"/>
      <c r="AW54" s="164"/>
      <c r="AX54" s="164"/>
      <c r="AY54" s="164"/>
    </row>
    <row r="55" spans="2:51">
      <c r="B55" s="164">
        <v>12</v>
      </c>
      <c r="C55" s="192"/>
      <c r="D55" s="192"/>
      <c r="E55" s="192"/>
      <c r="F55" s="164"/>
      <c r="G55" s="164"/>
      <c r="H55" s="164"/>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4"/>
      <c r="AG55" s="164"/>
      <c r="AH55" s="164"/>
      <c r="AI55" s="164"/>
      <c r="AJ55" s="164"/>
      <c r="AK55" s="164"/>
      <c r="AL55" s="164"/>
      <c r="AM55" s="164"/>
      <c r="AN55" s="164"/>
      <c r="AO55" s="164"/>
      <c r="AP55" s="164"/>
      <c r="AQ55" s="164"/>
      <c r="AR55" s="164"/>
      <c r="AS55" s="164"/>
      <c r="AT55" s="164"/>
      <c r="AU55" s="164"/>
      <c r="AV55" s="164"/>
      <c r="AW55" s="164"/>
      <c r="AX55" s="164"/>
      <c r="AY55" s="164"/>
    </row>
    <row r="56" spans="2:51">
      <c r="B56" s="164">
        <v>13</v>
      </c>
      <c r="C56" s="192"/>
      <c r="D56" s="192"/>
      <c r="E56" s="192"/>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4"/>
      <c r="AI56" s="164"/>
      <c r="AJ56" s="164"/>
      <c r="AK56" s="164"/>
      <c r="AL56" s="164"/>
      <c r="AM56" s="164"/>
      <c r="AN56" s="164"/>
      <c r="AO56" s="164"/>
      <c r="AP56" s="164"/>
      <c r="AQ56" s="164"/>
      <c r="AR56" s="164"/>
      <c r="AS56" s="164"/>
      <c r="AT56" s="164"/>
      <c r="AU56" s="164"/>
      <c r="AV56" s="164"/>
      <c r="AW56" s="164"/>
      <c r="AX56" s="164"/>
      <c r="AY56" s="164"/>
    </row>
    <row r="57" spans="2:51">
      <c r="B57" s="164">
        <v>14</v>
      </c>
      <c r="C57" s="192"/>
      <c r="D57" s="192"/>
      <c r="E57" s="192"/>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c r="AQ57" s="164"/>
      <c r="AR57" s="164"/>
      <c r="AS57" s="164"/>
      <c r="AT57" s="164"/>
      <c r="AU57" s="164"/>
      <c r="AV57" s="164"/>
      <c r="AW57" s="164"/>
      <c r="AX57" s="164"/>
      <c r="AY57" s="164"/>
    </row>
    <row r="58" spans="2:51">
      <c r="B58" s="164">
        <v>15</v>
      </c>
      <c r="C58" s="192"/>
      <c r="D58" s="192"/>
      <c r="E58" s="192"/>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c r="AO58" s="164"/>
      <c r="AP58" s="164"/>
      <c r="AQ58" s="164"/>
      <c r="AR58" s="164"/>
      <c r="AS58" s="164"/>
      <c r="AT58" s="164"/>
      <c r="AU58" s="164"/>
      <c r="AV58" s="164"/>
      <c r="AW58" s="164"/>
      <c r="AX58" s="164"/>
      <c r="AY58" s="164"/>
    </row>
    <row r="59" spans="2:51">
      <c r="B59" s="164">
        <v>16</v>
      </c>
      <c r="C59" s="192"/>
      <c r="D59" s="192"/>
      <c r="E59" s="192"/>
      <c r="F59" s="164"/>
      <c r="G59" s="164"/>
      <c r="H59" s="164"/>
      <c r="I59" s="164"/>
      <c r="J59" s="164"/>
      <c r="K59" s="164"/>
      <c r="L59" s="164"/>
      <c r="M59" s="164"/>
      <c r="N59" s="164"/>
      <c r="O59" s="164"/>
      <c r="P59" s="164"/>
      <c r="Q59" s="164"/>
      <c r="R59" s="164"/>
      <c r="S59" s="164"/>
      <c r="T59" s="164"/>
      <c r="U59" s="164"/>
      <c r="V59" s="164"/>
      <c r="W59" s="164"/>
      <c r="X59" s="164"/>
      <c r="Y59" s="164"/>
      <c r="Z59" s="164"/>
      <c r="AA59" s="164"/>
      <c r="AB59" s="164"/>
      <c r="AC59" s="164"/>
      <c r="AD59" s="164"/>
      <c r="AE59" s="164"/>
      <c r="AF59" s="164"/>
      <c r="AG59" s="164"/>
      <c r="AH59" s="164"/>
      <c r="AI59" s="164"/>
      <c r="AJ59" s="164"/>
      <c r="AK59" s="164"/>
      <c r="AL59" s="164"/>
      <c r="AM59" s="164"/>
      <c r="AN59" s="164"/>
      <c r="AO59" s="164"/>
      <c r="AP59" s="164"/>
      <c r="AQ59" s="164"/>
      <c r="AR59" s="164"/>
      <c r="AS59" s="164"/>
      <c r="AT59" s="164"/>
      <c r="AU59" s="164"/>
      <c r="AV59" s="164"/>
      <c r="AW59" s="164"/>
      <c r="AX59" s="164"/>
      <c r="AY59" s="164"/>
    </row>
    <row r="60" spans="2:51">
      <c r="B60" s="164">
        <v>17</v>
      </c>
      <c r="C60" s="192"/>
      <c r="D60" s="192"/>
      <c r="E60" s="192"/>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c r="AQ60" s="164"/>
      <c r="AR60" s="164"/>
      <c r="AS60" s="164"/>
      <c r="AT60" s="164"/>
      <c r="AU60" s="164"/>
      <c r="AV60" s="164"/>
      <c r="AW60" s="164"/>
      <c r="AX60" s="164"/>
      <c r="AY60" s="164"/>
    </row>
    <row r="61" spans="2:51">
      <c r="B61" s="164">
        <v>18</v>
      </c>
      <c r="C61" s="192"/>
      <c r="D61" s="192"/>
      <c r="E61" s="192"/>
      <c r="F61" s="164"/>
      <c r="G61" s="164"/>
      <c r="H61" s="164"/>
      <c r="I61" s="164"/>
      <c r="J61" s="164"/>
      <c r="K61" s="164"/>
      <c r="L61" s="164"/>
      <c r="M61" s="164"/>
      <c r="N61" s="164"/>
      <c r="O61" s="164"/>
      <c r="P61" s="164"/>
      <c r="Q61" s="164"/>
      <c r="R61" s="164"/>
      <c r="S61" s="164"/>
      <c r="T61" s="164"/>
      <c r="U61" s="164"/>
      <c r="V61" s="164"/>
      <c r="W61" s="164"/>
      <c r="X61" s="164"/>
      <c r="Y61" s="164"/>
      <c r="Z61" s="164"/>
      <c r="AA61" s="164"/>
      <c r="AB61" s="164"/>
      <c r="AC61" s="164"/>
      <c r="AD61" s="164"/>
      <c r="AE61" s="164"/>
      <c r="AF61" s="164"/>
      <c r="AG61" s="164"/>
      <c r="AH61" s="164"/>
      <c r="AI61" s="164"/>
      <c r="AJ61" s="164"/>
      <c r="AK61" s="164"/>
      <c r="AL61" s="164"/>
      <c r="AM61" s="164"/>
      <c r="AN61" s="164"/>
      <c r="AO61" s="164"/>
      <c r="AP61" s="164"/>
      <c r="AQ61" s="164"/>
      <c r="AR61" s="164"/>
      <c r="AS61" s="164"/>
      <c r="AT61" s="164"/>
      <c r="AU61" s="164"/>
      <c r="AV61" s="164"/>
      <c r="AW61" s="164"/>
      <c r="AX61" s="164"/>
      <c r="AY61" s="164"/>
    </row>
    <row r="62" spans="2:51">
      <c r="B62" s="164">
        <v>19</v>
      </c>
      <c r="C62" s="192"/>
      <c r="D62" s="192"/>
      <c r="E62" s="192"/>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row>
    <row r="63" spans="2:51">
      <c r="B63" s="164">
        <v>20</v>
      </c>
      <c r="C63" s="192"/>
      <c r="D63" s="192"/>
      <c r="E63" s="192"/>
      <c r="F63" s="164"/>
      <c r="G63" s="164"/>
      <c r="H63" s="164"/>
      <c r="I63" s="164"/>
      <c r="J63" s="164"/>
      <c r="K63" s="164"/>
      <c r="L63" s="164"/>
      <c r="M63" s="164"/>
      <c r="N63" s="164"/>
      <c r="O63" s="164"/>
      <c r="P63" s="164"/>
      <c r="Q63" s="164"/>
      <c r="R63" s="164"/>
      <c r="S63" s="164"/>
      <c r="T63" s="164"/>
      <c r="U63" s="164"/>
      <c r="V63" s="164"/>
      <c r="W63" s="164"/>
      <c r="X63" s="164"/>
      <c r="Y63" s="164"/>
      <c r="Z63" s="164"/>
      <c r="AA63" s="164"/>
      <c r="AB63" s="164"/>
      <c r="AC63" s="164"/>
      <c r="AD63" s="164"/>
      <c r="AE63" s="164"/>
      <c r="AF63" s="164"/>
      <c r="AG63" s="164"/>
      <c r="AH63" s="164"/>
      <c r="AI63" s="164"/>
      <c r="AJ63" s="164"/>
      <c r="AK63" s="164"/>
      <c r="AL63" s="164"/>
      <c r="AM63" s="164"/>
      <c r="AN63" s="164"/>
      <c r="AO63" s="164"/>
      <c r="AP63" s="164"/>
      <c r="AQ63" s="164"/>
      <c r="AR63" s="164"/>
      <c r="AS63" s="164"/>
      <c r="AT63" s="164"/>
      <c r="AU63" s="164"/>
      <c r="AV63" s="164"/>
      <c r="AW63" s="164"/>
      <c r="AX63" s="164"/>
      <c r="AY63" s="164"/>
    </row>
    <row r="64" spans="2:51">
      <c r="B64" s="164">
        <v>21</v>
      </c>
      <c r="C64" s="192"/>
      <c r="D64" s="192"/>
      <c r="E64" s="192"/>
      <c r="F64" s="164"/>
      <c r="G64" s="164"/>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164"/>
      <c r="AM64" s="164"/>
      <c r="AN64" s="164"/>
      <c r="AO64" s="164"/>
      <c r="AP64" s="164"/>
      <c r="AQ64" s="164"/>
      <c r="AR64" s="164"/>
      <c r="AS64" s="164"/>
      <c r="AT64" s="164"/>
      <c r="AU64" s="164"/>
      <c r="AV64" s="164"/>
      <c r="AW64" s="164"/>
      <c r="AX64" s="164"/>
      <c r="AY64" s="164"/>
    </row>
    <row r="65" spans="2:51">
      <c r="B65" s="164">
        <v>22</v>
      </c>
      <c r="C65" s="192"/>
      <c r="D65" s="192"/>
      <c r="E65" s="192"/>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164"/>
      <c r="AM65" s="164"/>
      <c r="AN65" s="164"/>
      <c r="AO65" s="164"/>
      <c r="AP65" s="164"/>
      <c r="AQ65" s="164"/>
      <c r="AR65" s="164"/>
      <c r="AS65" s="164"/>
      <c r="AT65" s="164"/>
      <c r="AU65" s="164"/>
      <c r="AV65" s="164"/>
      <c r="AW65" s="164"/>
      <c r="AX65" s="164"/>
      <c r="AY65" s="164"/>
    </row>
    <row r="66" spans="2:51">
      <c r="B66" s="164">
        <v>23</v>
      </c>
      <c r="C66" s="192"/>
      <c r="D66" s="192"/>
      <c r="E66" s="192"/>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164"/>
      <c r="AM66" s="164"/>
      <c r="AN66" s="164"/>
      <c r="AO66" s="164"/>
      <c r="AP66" s="164"/>
      <c r="AQ66" s="164"/>
      <c r="AR66" s="164"/>
      <c r="AS66" s="164"/>
      <c r="AT66" s="164"/>
      <c r="AU66" s="164"/>
      <c r="AV66" s="164"/>
      <c r="AW66" s="164"/>
      <c r="AX66" s="164"/>
      <c r="AY66" s="164"/>
    </row>
    <row r="67" spans="2:51">
      <c r="B67" s="164">
        <v>24</v>
      </c>
      <c r="C67" s="192"/>
      <c r="D67" s="192"/>
      <c r="E67" s="192"/>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164"/>
      <c r="AM67" s="164"/>
      <c r="AN67" s="164"/>
      <c r="AO67" s="164"/>
      <c r="AP67" s="164"/>
      <c r="AQ67" s="164"/>
      <c r="AR67" s="164"/>
      <c r="AS67" s="164"/>
      <c r="AT67" s="164"/>
      <c r="AU67" s="164"/>
      <c r="AV67" s="164"/>
      <c r="AW67" s="164"/>
      <c r="AX67" s="164"/>
      <c r="AY67" s="164"/>
    </row>
    <row r="68" spans="2:51">
      <c r="B68" s="164">
        <v>25</v>
      </c>
      <c r="C68" s="192"/>
      <c r="D68" s="192"/>
      <c r="E68" s="192"/>
      <c r="F68" s="164"/>
      <c r="G68" s="164"/>
      <c r="H68" s="164"/>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4"/>
      <c r="AG68" s="164"/>
      <c r="AH68" s="164"/>
      <c r="AI68" s="164"/>
      <c r="AJ68" s="164"/>
      <c r="AK68" s="164"/>
      <c r="AL68" s="164"/>
      <c r="AM68" s="164"/>
      <c r="AN68" s="164"/>
      <c r="AO68" s="164"/>
      <c r="AP68" s="164"/>
      <c r="AQ68" s="164"/>
      <c r="AR68" s="164"/>
      <c r="AS68" s="164"/>
      <c r="AT68" s="164"/>
      <c r="AU68" s="164"/>
      <c r="AV68" s="164"/>
      <c r="AW68" s="164"/>
      <c r="AX68" s="164"/>
      <c r="AY68" s="164"/>
    </row>
    <row r="69" spans="2:51">
      <c r="B69" s="164">
        <v>26</v>
      </c>
      <c r="C69" s="192"/>
      <c r="D69" s="192"/>
      <c r="E69" s="192"/>
      <c r="F69" s="164"/>
      <c r="G69" s="164"/>
      <c r="H69" s="164"/>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4"/>
      <c r="AG69" s="164"/>
      <c r="AH69" s="164"/>
      <c r="AI69" s="164"/>
      <c r="AJ69" s="164"/>
      <c r="AK69" s="164"/>
      <c r="AL69" s="164"/>
      <c r="AM69" s="164"/>
      <c r="AN69" s="164"/>
      <c r="AO69" s="164"/>
      <c r="AP69" s="164"/>
      <c r="AQ69" s="164"/>
      <c r="AR69" s="164"/>
      <c r="AS69" s="164"/>
      <c r="AT69" s="164"/>
      <c r="AU69" s="164"/>
      <c r="AV69" s="164"/>
      <c r="AW69" s="164"/>
      <c r="AX69" s="164"/>
      <c r="AY69" s="164"/>
    </row>
    <row r="70" spans="2:51">
      <c r="B70" s="164">
        <v>27</v>
      </c>
      <c r="C70" s="192"/>
      <c r="D70" s="192"/>
      <c r="E70" s="192"/>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164"/>
      <c r="AV70" s="164"/>
      <c r="AW70" s="164"/>
      <c r="AX70" s="164"/>
      <c r="AY70" s="164"/>
    </row>
    <row r="71" spans="2:51">
      <c r="B71" s="164">
        <v>28</v>
      </c>
      <c r="C71" s="192"/>
      <c r="D71" s="192"/>
      <c r="E71" s="192"/>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164"/>
      <c r="AV71" s="164"/>
      <c r="AW71" s="164"/>
      <c r="AX71" s="164"/>
      <c r="AY71" s="164"/>
    </row>
    <row r="72" spans="2:51">
      <c r="B72" s="164">
        <v>29</v>
      </c>
      <c r="C72" s="192"/>
      <c r="D72" s="192"/>
      <c r="E72" s="192"/>
      <c r="F72" s="164"/>
      <c r="G72" s="164"/>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164"/>
      <c r="AM72" s="164"/>
      <c r="AN72" s="164"/>
      <c r="AO72" s="164"/>
      <c r="AP72" s="164"/>
      <c r="AQ72" s="164"/>
      <c r="AR72" s="164"/>
      <c r="AS72" s="164"/>
      <c r="AT72" s="164"/>
      <c r="AU72" s="164"/>
      <c r="AV72" s="164"/>
      <c r="AW72" s="164"/>
      <c r="AX72" s="164"/>
      <c r="AY72" s="164"/>
    </row>
    <row r="73" spans="2:51">
      <c r="B73" s="164">
        <v>30</v>
      </c>
      <c r="C73" s="192"/>
      <c r="D73" s="192"/>
      <c r="E73" s="192"/>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c r="AQ73" s="164"/>
      <c r="AR73" s="164"/>
      <c r="AS73" s="164"/>
      <c r="AT73" s="164"/>
      <c r="AU73" s="164"/>
      <c r="AV73" s="164"/>
      <c r="AW73" s="164"/>
      <c r="AX73" s="164"/>
      <c r="AY73" s="164"/>
    </row>
    <row r="74" spans="2:51">
      <c r="B74" s="164">
        <v>31</v>
      </c>
      <c r="C74" s="192"/>
      <c r="D74" s="192"/>
      <c r="E74" s="192"/>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64"/>
      <c r="AO74" s="164"/>
      <c r="AP74" s="164"/>
      <c r="AQ74" s="164"/>
      <c r="AR74" s="164"/>
      <c r="AS74" s="164"/>
      <c r="AT74" s="164"/>
      <c r="AU74" s="164"/>
      <c r="AV74" s="164"/>
      <c r="AW74" s="164"/>
      <c r="AX74" s="164"/>
      <c r="AY74" s="164"/>
    </row>
    <row r="75" spans="2:51">
      <c r="B75" s="164">
        <v>32</v>
      </c>
      <c r="C75" s="192"/>
      <c r="D75" s="192"/>
      <c r="E75" s="192"/>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c r="AX75" s="164"/>
      <c r="AY75" s="164"/>
    </row>
    <row r="76" spans="2:51">
      <c r="B76" s="164">
        <v>33</v>
      </c>
      <c r="C76" s="192"/>
      <c r="D76" s="192"/>
      <c r="E76" s="192"/>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c r="AR76" s="164"/>
      <c r="AS76" s="164"/>
      <c r="AT76" s="164"/>
      <c r="AU76" s="164"/>
      <c r="AV76" s="164"/>
      <c r="AW76" s="164"/>
      <c r="AX76" s="164"/>
      <c r="AY76" s="164"/>
    </row>
    <row r="77" spans="2:51">
      <c r="B77" s="164">
        <v>34</v>
      </c>
      <c r="C77" s="192"/>
      <c r="D77" s="192"/>
      <c r="E77" s="192"/>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64"/>
      <c r="AK77" s="164"/>
      <c r="AL77" s="164"/>
      <c r="AM77" s="164"/>
      <c r="AN77" s="164"/>
      <c r="AO77" s="164"/>
      <c r="AP77" s="164"/>
      <c r="AQ77" s="164"/>
      <c r="AR77" s="164"/>
      <c r="AS77" s="164"/>
      <c r="AT77" s="164"/>
      <c r="AU77" s="164"/>
      <c r="AV77" s="164"/>
      <c r="AW77" s="164"/>
      <c r="AX77" s="164"/>
      <c r="AY77" s="164"/>
    </row>
    <row r="78" spans="2:51">
      <c r="B78" s="164">
        <v>35</v>
      </c>
      <c r="C78" s="192"/>
      <c r="D78" s="192"/>
      <c r="E78" s="192"/>
      <c r="F78" s="164"/>
      <c r="G78" s="164"/>
      <c r="H78" s="164"/>
      <c r="I78" s="164"/>
      <c r="J78" s="164"/>
      <c r="K78" s="164"/>
      <c r="L78" s="164"/>
      <c r="M78" s="164"/>
      <c r="N78" s="164"/>
      <c r="O78" s="164"/>
      <c r="P78" s="164"/>
      <c r="Q78" s="164"/>
      <c r="R78" s="164"/>
      <c r="S78" s="164"/>
      <c r="T78" s="164"/>
      <c r="U78" s="164"/>
      <c r="V78" s="164"/>
      <c r="W78" s="164"/>
      <c r="X78" s="164"/>
      <c r="Y78" s="164"/>
      <c r="Z78" s="164"/>
      <c r="AA78" s="164"/>
      <c r="AB78" s="164"/>
      <c r="AC78" s="164"/>
      <c r="AD78" s="164"/>
      <c r="AE78" s="164"/>
      <c r="AF78" s="164"/>
      <c r="AG78" s="164"/>
      <c r="AH78" s="164"/>
      <c r="AI78" s="164"/>
      <c r="AJ78" s="164"/>
      <c r="AK78" s="164"/>
      <c r="AL78" s="164"/>
      <c r="AM78" s="164"/>
      <c r="AN78" s="164"/>
      <c r="AO78" s="164"/>
      <c r="AP78" s="164"/>
      <c r="AQ78" s="164"/>
      <c r="AR78" s="164"/>
      <c r="AS78" s="164"/>
      <c r="AT78" s="164"/>
      <c r="AU78" s="164"/>
      <c r="AV78" s="164"/>
      <c r="AW78" s="164"/>
      <c r="AX78" s="164"/>
      <c r="AY78" s="164"/>
    </row>
    <row r="79" spans="2:51">
      <c r="B79" s="164">
        <v>36</v>
      </c>
      <c r="C79" s="192"/>
      <c r="D79" s="192"/>
      <c r="E79" s="192"/>
      <c r="F79" s="164"/>
      <c r="G79" s="164"/>
      <c r="H79" s="164"/>
      <c r="I79" s="164"/>
      <c r="J79" s="164"/>
      <c r="K79" s="164"/>
      <c r="L79" s="164"/>
      <c r="M79" s="164"/>
      <c r="N79" s="164"/>
      <c r="O79" s="164"/>
      <c r="P79" s="164"/>
      <c r="Q79" s="164"/>
      <c r="R79" s="164"/>
      <c r="S79" s="164"/>
      <c r="T79" s="164"/>
      <c r="U79" s="164"/>
      <c r="V79" s="164"/>
      <c r="W79" s="164"/>
      <c r="X79" s="164"/>
      <c r="Y79" s="164"/>
      <c r="Z79" s="164"/>
      <c r="AA79" s="164"/>
      <c r="AB79" s="164"/>
      <c r="AC79" s="164"/>
      <c r="AD79" s="164"/>
      <c r="AE79" s="164"/>
      <c r="AF79" s="164"/>
      <c r="AG79" s="164"/>
      <c r="AH79" s="164"/>
      <c r="AI79" s="164"/>
      <c r="AJ79" s="164"/>
      <c r="AK79" s="164"/>
      <c r="AL79" s="164"/>
      <c r="AM79" s="164"/>
      <c r="AN79" s="164"/>
      <c r="AO79" s="164"/>
      <c r="AP79" s="164"/>
      <c r="AQ79" s="164"/>
      <c r="AR79" s="164"/>
      <c r="AS79" s="164"/>
      <c r="AT79" s="164"/>
      <c r="AU79" s="164"/>
      <c r="AV79" s="164"/>
      <c r="AW79" s="164"/>
      <c r="AX79" s="164"/>
      <c r="AY79" s="164"/>
    </row>
    <row r="80" spans="2:51">
      <c r="B80" s="164">
        <v>37</v>
      </c>
      <c r="C80" s="192"/>
      <c r="D80" s="192"/>
      <c r="E80" s="192"/>
      <c r="F80" s="164"/>
      <c r="G80" s="164"/>
      <c r="H80" s="164"/>
      <c r="I80" s="164"/>
      <c r="J80" s="164"/>
      <c r="K80" s="164"/>
      <c r="L80" s="164"/>
      <c r="M80" s="164"/>
      <c r="N80" s="164"/>
      <c r="O80" s="164"/>
      <c r="P80" s="164"/>
      <c r="Q80" s="164"/>
      <c r="R80" s="164"/>
      <c r="S80" s="164"/>
      <c r="T80" s="164"/>
      <c r="U80" s="164"/>
      <c r="V80" s="164"/>
      <c r="W80" s="164"/>
      <c r="X80" s="164"/>
      <c r="Y80" s="164"/>
      <c r="Z80" s="164"/>
      <c r="AA80" s="164"/>
      <c r="AB80" s="164"/>
      <c r="AC80" s="164"/>
      <c r="AD80" s="164"/>
      <c r="AE80" s="164"/>
      <c r="AF80" s="164"/>
      <c r="AG80" s="164"/>
      <c r="AH80" s="164"/>
      <c r="AI80" s="164"/>
      <c r="AJ80" s="164"/>
      <c r="AK80" s="164"/>
      <c r="AL80" s="164"/>
      <c r="AM80" s="164"/>
      <c r="AN80" s="164"/>
      <c r="AO80" s="164"/>
      <c r="AP80" s="164"/>
      <c r="AQ80" s="164"/>
      <c r="AR80" s="164"/>
      <c r="AS80" s="164"/>
      <c r="AT80" s="164"/>
      <c r="AU80" s="164"/>
      <c r="AV80" s="164"/>
      <c r="AW80" s="164"/>
      <c r="AX80" s="164"/>
      <c r="AY80" s="164"/>
    </row>
    <row r="81" spans="2:51">
      <c r="B81" s="164">
        <v>38</v>
      </c>
      <c r="C81" s="192"/>
      <c r="D81" s="192"/>
      <c r="E81" s="192"/>
      <c r="F81" s="164"/>
      <c r="G81" s="164"/>
      <c r="H81" s="164"/>
      <c r="I81" s="164"/>
      <c r="J81" s="164"/>
      <c r="K81" s="164"/>
      <c r="L81" s="164"/>
      <c r="M81" s="164"/>
      <c r="N81" s="164"/>
      <c r="O81" s="164"/>
      <c r="P81" s="164"/>
      <c r="Q81" s="164"/>
      <c r="R81" s="164"/>
      <c r="S81" s="164"/>
      <c r="T81" s="164"/>
      <c r="U81" s="164"/>
      <c r="V81" s="164"/>
      <c r="W81" s="164"/>
      <c r="X81" s="164"/>
      <c r="Y81" s="164"/>
      <c r="Z81" s="164"/>
      <c r="AA81" s="164"/>
      <c r="AB81" s="164"/>
      <c r="AC81" s="164"/>
      <c r="AD81" s="164"/>
      <c r="AE81" s="164"/>
      <c r="AF81" s="164"/>
      <c r="AG81" s="164"/>
      <c r="AH81" s="164"/>
      <c r="AI81" s="164"/>
      <c r="AJ81" s="164"/>
      <c r="AK81" s="164"/>
      <c r="AL81" s="164"/>
      <c r="AM81" s="164"/>
      <c r="AN81" s="164"/>
      <c r="AO81" s="164"/>
      <c r="AP81" s="164"/>
      <c r="AQ81" s="164"/>
      <c r="AR81" s="164"/>
      <c r="AS81" s="164"/>
      <c r="AT81" s="164"/>
      <c r="AU81" s="164"/>
      <c r="AV81" s="164"/>
      <c r="AW81" s="164"/>
      <c r="AX81" s="164"/>
      <c r="AY81" s="164"/>
    </row>
    <row r="82" spans="2:51">
      <c r="B82" s="164">
        <v>39</v>
      </c>
      <c r="C82" s="192"/>
      <c r="D82" s="192"/>
      <c r="E82" s="192"/>
      <c r="F82" s="164"/>
      <c r="G82" s="164"/>
      <c r="H82" s="164"/>
      <c r="I82" s="164"/>
      <c r="J82" s="164"/>
      <c r="K82" s="164"/>
      <c r="L82" s="164"/>
      <c r="M82" s="164"/>
      <c r="N82" s="164"/>
      <c r="O82" s="164"/>
      <c r="P82" s="164"/>
      <c r="Q82" s="164"/>
      <c r="R82" s="164"/>
      <c r="S82" s="164"/>
      <c r="T82" s="164"/>
      <c r="U82" s="164"/>
      <c r="V82" s="164"/>
      <c r="W82" s="164"/>
      <c r="X82" s="164"/>
      <c r="Y82" s="164"/>
      <c r="Z82" s="164"/>
      <c r="AA82" s="164"/>
      <c r="AB82" s="164"/>
      <c r="AC82" s="164"/>
      <c r="AD82" s="164"/>
      <c r="AE82" s="164"/>
      <c r="AF82" s="164"/>
      <c r="AG82" s="164"/>
      <c r="AH82" s="164"/>
      <c r="AI82" s="164"/>
      <c r="AJ82" s="164"/>
      <c r="AK82" s="164"/>
      <c r="AL82" s="164"/>
      <c r="AM82" s="164"/>
      <c r="AN82" s="164"/>
      <c r="AO82" s="164"/>
      <c r="AP82" s="164"/>
      <c r="AQ82" s="164"/>
      <c r="AR82" s="164"/>
      <c r="AS82" s="164"/>
      <c r="AT82" s="164"/>
      <c r="AU82" s="164"/>
      <c r="AV82" s="164"/>
      <c r="AW82" s="164"/>
      <c r="AX82" s="164"/>
      <c r="AY82" s="164"/>
    </row>
    <row r="83" spans="2:51">
      <c r="B83" s="164">
        <v>40</v>
      </c>
      <c r="C83" s="192"/>
      <c r="D83" s="192"/>
      <c r="E83" s="192"/>
      <c r="F83" s="164"/>
      <c r="G83" s="164"/>
      <c r="H83" s="164"/>
      <c r="I83" s="164"/>
      <c r="J83" s="164"/>
      <c r="K83" s="164"/>
      <c r="L83" s="164"/>
      <c r="M83" s="164"/>
      <c r="N83" s="164"/>
      <c r="O83" s="164"/>
      <c r="P83" s="164"/>
      <c r="Q83" s="164"/>
      <c r="R83" s="164"/>
      <c r="S83" s="164"/>
      <c r="T83" s="164"/>
      <c r="U83" s="164"/>
      <c r="V83" s="164"/>
      <c r="W83" s="164"/>
      <c r="X83" s="164"/>
      <c r="Y83" s="164"/>
      <c r="Z83" s="164"/>
      <c r="AA83" s="164"/>
      <c r="AB83" s="164"/>
      <c r="AC83" s="164"/>
      <c r="AD83" s="164"/>
      <c r="AE83" s="164"/>
      <c r="AF83" s="164"/>
      <c r="AG83" s="164"/>
      <c r="AH83" s="164"/>
      <c r="AI83" s="164"/>
      <c r="AJ83" s="164"/>
      <c r="AK83" s="164"/>
      <c r="AL83" s="164"/>
      <c r="AM83" s="164"/>
      <c r="AN83" s="164"/>
      <c r="AO83" s="164"/>
      <c r="AP83" s="164"/>
      <c r="AQ83" s="164"/>
      <c r="AR83" s="164"/>
      <c r="AS83" s="164"/>
      <c r="AT83" s="164"/>
      <c r="AU83" s="164"/>
      <c r="AV83" s="164"/>
      <c r="AW83" s="164"/>
      <c r="AX83" s="164"/>
      <c r="AY83" s="164"/>
    </row>
    <row r="84" spans="2:51">
      <c r="B84" s="164">
        <v>41</v>
      </c>
      <c r="C84" s="192"/>
      <c r="D84" s="192"/>
      <c r="E84" s="192"/>
      <c r="F84" s="164"/>
      <c r="G84" s="164"/>
      <c r="H84" s="164"/>
      <c r="I84" s="164"/>
      <c r="J84" s="164"/>
      <c r="K84" s="164"/>
      <c r="L84" s="164"/>
      <c r="M84" s="164"/>
      <c r="N84" s="164"/>
      <c r="O84" s="164"/>
      <c r="P84" s="164"/>
      <c r="Q84" s="164"/>
      <c r="R84" s="164"/>
      <c r="S84" s="164"/>
      <c r="T84" s="164"/>
      <c r="U84" s="164"/>
      <c r="V84" s="164"/>
      <c r="W84" s="164"/>
      <c r="X84" s="164"/>
      <c r="Y84" s="164"/>
      <c r="Z84" s="164"/>
      <c r="AA84" s="164"/>
      <c r="AB84" s="164"/>
      <c r="AC84" s="164"/>
      <c r="AD84" s="164"/>
      <c r="AE84" s="164"/>
      <c r="AF84" s="164"/>
      <c r="AG84" s="164"/>
      <c r="AH84" s="164"/>
      <c r="AI84" s="164"/>
      <c r="AJ84" s="164"/>
      <c r="AK84" s="164"/>
      <c r="AL84" s="164"/>
      <c r="AM84" s="164"/>
      <c r="AN84" s="164"/>
      <c r="AO84" s="164"/>
      <c r="AP84" s="164"/>
      <c r="AQ84" s="164"/>
      <c r="AR84" s="164"/>
      <c r="AS84" s="164"/>
      <c r="AT84" s="164"/>
      <c r="AU84" s="164"/>
      <c r="AV84" s="164"/>
      <c r="AW84" s="164"/>
      <c r="AX84" s="164"/>
      <c r="AY84" s="164"/>
    </row>
    <row r="85" spans="2:51">
      <c r="B85" s="164">
        <v>42</v>
      </c>
      <c r="C85" s="192"/>
      <c r="D85" s="192"/>
      <c r="E85" s="192"/>
      <c r="F85" s="164"/>
      <c r="G85" s="164"/>
      <c r="H85" s="164"/>
      <c r="I85" s="164"/>
      <c r="J85" s="164"/>
      <c r="K85" s="164"/>
      <c r="L85" s="164"/>
      <c r="M85" s="164"/>
      <c r="N85" s="164"/>
      <c r="O85" s="164"/>
      <c r="P85" s="164"/>
      <c r="Q85" s="164"/>
      <c r="R85" s="164"/>
      <c r="S85" s="164"/>
      <c r="T85" s="164"/>
      <c r="U85" s="164"/>
      <c r="V85" s="164"/>
      <c r="W85" s="164"/>
      <c r="X85" s="164"/>
      <c r="Y85" s="164"/>
      <c r="Z85" s="164"/>
      <c r="AA85" s="164"/>
      <c r="AB85" s="164"/>
      <c r="AC85" s="164"/>
      <c r="AD85" s="164"/>
      <c r="AE85" s="164"/>
      <c r="AF85" s="164"/>
      <c r="AG85" s="164"/>
      <c r="AH85" s="164"/>
      <c r="AI85" s="164"/>
      <c r="AJ85" s="164"/>
      <c r="AK85" s="164"/>
      <c r="AL85" s="164"/>
      <c r="AM85" s="164"/>
      <c r="AN85" s="164"/>
      <c r="AO85" s="164"/>
      <c r="AP85" s="164"/>
      <c r="AQ85" s="164"/>
      <c r="AR85" s="164"/>
      <c r="AS85" s="164"/>
      <c r="AT85" s="164"/>
      <c r="AU85" s="164"/>
      <c r="AV85" s="164"/>
      <c r="AW85" s="164"/>
      <c r="AX85" s="164"/>
      <c r="AY85" s="164"/>
    </row>
    <row r="86" spans="2:51">
      <c r="B86" s="164">
        <v>43</v>
      </c>
      <c r="C86" s="192"/>
      <c r="D86" s="192"/>
      <c r="E86" s="192"/>
      <c r="F86" s="164"/>
      <c r="G86" s="164"/>
      <c r="H86" s="164"/>
      <c r="I86" s="164"/>
      <c r="J86" s="164"/>
      <c r="K86" s="164"/>
      <c r="L86" s="164"/>
      <c r="M86" s="164"/>
      <c r="N86" s="164"/>
      <c r="O86" s="164"/>
      <c r="P86" s="164"/>
      <c r="Q86" s="164"/>
      <c r="R86" s="164"/>
      <c r="S86" s="164"/>
      <c r="T86" s="164"/>
      <c r="U86" s="164"/>
      <c r="V86" s="164"/>
      <c r="W86" s="164"/>
      <c r="X86" s="164"/>
      <c r="Y86" s="164"/>
      <c r="Z86" s="164"/>
      <c r="AA86" s="164"/>
      <c r="AB86" s="164"/>
      <c r="AC86" s="164"/>
      <c r="AD86" s="164"/>
      <c r="AE86" s="164"/>
      <c r="AF86" s="164"/>
      <c r="AG86" s="164"/>
      <c r="AH86" s="164"/>
      <c r="AI86" s="164"/>
      <c r="AJ86" s="164"/>
      <c r="AK86" s="164"/>
      <c r="AL86" s="164"/>
      <c r="AM86" s="164"/>
      <c r="AN86" s="164"/>
      <c r="AO86" s="164"/>
      <c r="AP86" s="164"/>
      <c r="AQ86" s="164"/>
      <c r="AR86" s="164"/>
      <c r="AS86" s="164"/>
      <c r="AT86" s="164"/>
      <c r="AU86" s="164"/>
      <c r="AV86" s="164"/>
      <c r="AW86" s="164"/>
      <c r="AX86" s="164"/>
      <c r="AY86" s="164"/>
    </row>
    <row r="87" spans="2:51">
      <c r="B87" s="164">
        <v>44</v>
      </c>
      <c r="C87" s="192"/>
      <c r="D87" s="192"/>
      <c r="E87" s="192"/>
      <c r="F87" s="164"/>
      <c r="G87" s="164"/>
      <c r="H87" s="164"/>
      <c r="I87" s="164"/>
      <c r="J87" s="164"/>
      <c r="K87" s="164"/>
      <c r="L87" s="164"/>
      <c r="M87" s="164"/>
      <c r="N87" s="164"/>
      <c r="O87" s="164"/>
      <c r="P87" s="164"/>
      <c r="Q87" s="164"/>
      <c r="R87" s="164"/>
      <c r="S87" s="164"/>
      <c r="T87" s="164"/>
      <c r="U87" s="164"/>
      <c r="V87" s="164"/>
      <c r="W87" s="164"/>
      <c r="X87" s="164"/>
      <c r="Y87" s="164"/>
      <c r="Z87" s="164"/>
      <c r="AA87" s="164"/>
      <c r="AB87" s="164"/>
      <c r="AC87" s="164"/>
      <c r="AD87" s="164"/>
      <c r="AE87" s="164"/>
      <c r="AF87" s="164"/>
      <c r="AG87" s="164"/>
      <c r="AH87" s="164"/>
      <c r="AI87" s="164"/>
      <c r="AJ87" s="164"/>
      <c r="AK87" s="164"/>
      <c r="AL87" s="164"/>
      <c r="AM87" s="164"/>
      <c r="AN87" s="164"/>
      <c r="AO87" s="164"/>
      <c r="AP87" s="164"/>
      <c r="AQ87" s="164"/>
      <c r="AR87" s="164"/>
      <c r="AS87" s="164"/>
      <c r="AT87" s="164"/>
      <c r="AU87" s="164"/>
      <c r="AV87" s="164"/>
      <c r="AW87" s="164"/>
      <c r="AX87" s="164"/>
      <c r="AY87" s="164"/>
    </row>
    <row r="88" spans="2:51">
      <c r="B88" s="164">
        <v>45</v>
      </c>
      <c r="C88" s="192"/>
      <c r="D88" s="192"/>
      <c r="E88" s="192"/>
      <c r="F88" s="164"/>
      <c r="G88" s="164"/>
      <c r="H88" s="164"/>
      <c r="I88" s="164"/>
      <c r="J88" s="164"/>
      <c r="K88" s="164"/>
      <c r="L88" s="164"/>
      <c r="M88" s="164"/>
      <c r="N88" s="164"/>
      <c r="O88" s="164"/>
      <c r="P88" s="164"/>
      <c r="Q88" s="164"/>
      <c r="R88" s="164"/>
      <c r="S88" s="164"/>
      <c r="T88" s="164"/>
      <c r="U88" s="164"/>
      <c r="V88" s="164"/>
      <c r="W88" s="164"/>
      <c r="X88" s="164"/>
      <c r="Y88" s="164"/>
      <c r="Z88" s="164"/>
      <c r="AA88" s="164"/>
      <c r="AB88" s="164"/>
      <c r="AC88" s="164"/>
      <c r="AD88" s="164"/>
      <c r="AE88" s="164"/>
      <c r="AF88" s="164"/>
      <c r="AG88" s="164"/>
      <c r="AH88" s="164"/>
      <c r="AI88" s="164"/>
      <c r="AJ88" s="164"/>
      <c r="AK88" s="164"/>
      <c r="AL88" s="164"/>
      <c r="AM88" s="164"/>
      <c r="AN88" s="164"/>
      <c r="AO88" s="164"/>
      <c r="AP88" s="164"/>
      <c r="AQ88" s="164"/>
      <c r="AR88" s="164"/>
      <c r="AS88" s="164"/>
      <c r="AT88" s="164"/>
      <c r="AU88" s="164"/>
      <c r="AV88" s="164"/>
      <c r="AW88" s="164"/>
      <c r="AX88" s="164"/>
      <c r="AY88" s="164"/>
    </row>
    <row r="89" spans="2:51">
      <c r="B89" s="164">
        <v>46</v>
      </c>
      <c r="C89" s="192"/>
      <c r="D89" s="192"/>
      <c r="E89" s="192"/>
      <c r="F89" s="164"/>
      <c r="G89" s="164"/>
      <c r="H89" s="164"/>
      <c r="I89" s="164"/>
      <c r="J89" s="164"/>
      <c r="K89" s="164"/>
      <c r="L89" s="164"/>
      <c r="M89" s="164"/>
      <c r="N89" s="164"/>
      <c r="O89" s="164"/>
      <c r="P89" s="164"/>
      <c r="Q89" s="164"/>
      <c r="R89" s="164"/>
      <c r="S89" s="164"/>
      <c r="T89" s="164"/>
      <c r="U89" s="164"/>
      <c r="V89" s="164"/>
      <c r="W89" s="164"/>
      <c r="X89" s="164"/>
      <c r="Y89" s="164"/>
      <c r="Z89" s="164"/>
      <c r="AA89" s="164"/>
      <c r="AB89" s="164"/>
      <c r="AC89" s="164"/>
      <c r="AD89" s="164"/>
      <c r="AE89" s="164"/>
      <c r="AF89" s="164"/>
      <c r="AG89" s="164"/>
      <c r="AH89" s="164"/>
      <c r="AI89" s="164"/>
      <c r="AJ89" s="164"/>
      <c r="AK89" s="164"/>
      <c r="AL89" s="164"/>
      <c r="AM89" s="164"/>
      <c r="AN89" s="164"/>
      <c r="AO89" s="164"/>
      <c r="AP89" s="164"/>
      <c r="AQ89" s="164"/>
      <c r="AR89" s="164"/>
      <c r="AS89" s="164"/>
      <c r="AT89" s="164"/>
      <c r="AU89" s="164"/>
      <c r="AV89" s="164"/>
      <c r="AW89" s="164"/>
      <c r="AX89" s="164"/>
      <c r="AY89" s="164"/>
    </row>
    <row r="90" spans="2:51">
      <c r="B90" s="164">
        <v>47</v>
      </c>
      <c r="C90" s="192"/>
      <c r="D90" s="192"/>
      <c r="E90" s="192"/>
      <c r="F90" s="164"/>
      <c r="G90" s="164"/>
      <c r="H90" s="164"/>
      <c r="I90" s="164"/>
      <c r="J90" s="164"/>
      <c r="K90" s="164"/>
      <c r="L90" s="164"/>
      <c r="M90" s="164"/>
      <c r="N90" s="164"/>
      <c r="O90" s="164"/>
      <c r="P90" s="164"/>
      <c r="Q90" s="164"/>
      <c r="R90" s="164"/>
      <c r="S90" s="164"/>
      <c r="T90" s="164"/>
      <c r="U90" s="164"/>
      <c r="V90" s="164"/>
      <c r="W90" s="164"/>
      <c r="X90" s="164"/>
      <c r="Y90" s="164"/>
      <c r="Z90" s="164"/>
      <c r="AA90" s="164"/>
      <c r="AB90" s="164"/>
      <c r="AC90" s="164"/>
      <c r="AD90" s="164"/>
      <c r="AE90" s="164"/>
      <c r="AF90" s="164"/>
      <c r="AG90" s="164"/>
      <c r="AH90" s="164"/>
      <c r="AI90" s="164"/>
      <c r="AJ90" s="164"/>
      <c r="AK90" s="164"/>
      <c r="AL90" s="164"/>
      <c r="AM90" s="164"/>
      <c r="AN90" s="164"/>
      <c r="AO90" s="164"/>
      <c r="AP90" s="164"/>
      <c r="AQ90" s="164"/>
      <c r="AR90" s="164"/>
      <c r="AS90" s="164"/>
      <c r="AT90" s="164"/>
      <c r="AU90" s="164"/>
      <c r="AV90" s="164"/>
      <c r="AW90" s="164"/>
      <c r="AX90" s="164"/>
      <c r="AY90" s="164"/>
    </row>
    <row r="91" spans="2:51">
      <c r="B91" s="164">
        <v>48</v>
      </c>
      <c r="C91" s="192"/>
      <c r="D91" s="192"/>
      <c r="E91" s="192"/>
      <c r="F91" s="164"/>
      <c r="G91" s="164"/>
      <c r="H91" s="164"/>
      <c r="I91" s="164"/>
      <c r="J91" s="164"/>
      <c r="K91" s="164"/>
      <c r="L91" s="164"/>
      <c r="M91" s="164"/>
      <c r="N91" s="164"/>
      <c r="O91" s="164"/>
      <c r="P91" s="164"/>
      <c r="Q91" s="164"/>
      <c r="R91" s="164"/>
      <c r="S91" s="164"/>
      <c r="T91" s="164"/>
      <c r="U91" s="164"/>
      <c r="V91" s="164"/>
      <c r="W91" s="164"/>
      <c r="X91" s="164"/>
      <c r="Y91" s="164"/>
      <c r="Z91" s="164"/>
      <c r="AA91" s="164"/>
      <c r="AB91" s="164"/>
      <c r="AC91" s="164"/>
      <c r="AD91" s="164"/>
      <c r="AE91" s="164"/>
      <c r="AF91" s="164"/>
      <c r="AG91" s="164"/>
      <c r="AH91" s="164"/>
      <c r="AI91" s="164"/>
      <c r="AJ91" s="164"/>
      <c r="AK91" s="164"/>
      <c r="AL91" s="164"/>
      <c r="AM91" s="164"/>
      <c r="AN91" s="164"/>
      <c r="AO91" s="164"/>
      <c r="AP91" s="164"/>
      <c r="AQ91" s="164"/>
      <c r="AR91" s="164"/>
      <c r="AS91" s="164"/>
      <c r="AT91" s="164"/>
      <c r="AU91" s="164"/>
      <c r="AV91" s="164"/>
      <c r="AW91" s="164"/>
      <c r="AX91" s="164"/>
      <c r="AY91" s="164"/>
    </row>
    <row r="92" spans="2:51">
      <c r="B92" s="164">
        <v>49</v>
      </c>
      <c r="C92" s="192"/>
      <c r="D92" s="192"/>
      <c r="E92" s="192"/>
      <c r="F92" s="164"/>
      <c r="G92" s="164"/>
      <c r="H92" s="164"/>
      <c r="I92" s="164"/>
      <c r="J92" s="164"/>
      <c r="K92" s="164"/>
      <c r="L92" s="164"/>
      <c r="M92" s="164"/>
      <c r="N92" s="164"/>
      <c r="O92" s="164"/>
      <c r="P92" s="164"/>
      <c r="Q92" s="164"/>
      <c r="R92" s="164"/>
      <c r="S92" s="164"/>
      <c r="T92" s="164"/>
      <c r="U92" s="164"/>
      <c r="V92" s="164"/>
      <c r="W92" s="164"/>
      <c r="X92" s="164"/>
      <c r="Y92" s="164"/>
      <c r="Z92" s="164"/>
      <c r="AA92" s="164"/>
      <c r="AB92" s="164"/>
      <c r="AC92" s="164"/>
      <c r="AD92" s="164"/>
      <c r="AE92" s="164"/>
      <c r="AF92" s="164"/>
      <c r="AG92" s="164"/>
      <c r="AH92" s="164"/>
      <c r="AI92" s="164"/>
      <c r="AJ92" s="164"/>
      <c r="AK92" s="164"/>
      <c r="AL92" s="164"/>
      <c r="AM92" s="164"/>
      <c r="AN92" s="164"/>
      <c r="AO92" s="164"/>
      <c r="AP92" s="164"/>
      <c r="AQ92" s="164"/>
      <c r="AR92" s="164"/>
      <c r="AS92" s="164"/>
      <c r="AT92" s="164"/>
      <c r="AU92" s="164"/>
      <c r="AV92" s="164"/>
      <c r="AW92" s="164"/>
      <c r="AX92" s="164"/>
      <c r="AY92" s="164"/>
    </row>
    <row r="93" spans="2:51">
      <c r="B93" s="164">
        <v>50</v>
      </c>
      <c r="C93" s="192"/>
      <c r="D93" s="192"/>
      <c r="E93" s="192"/>
      <c r="F93" s="164"/>
      <c r="G93" s="164"/>
      <c r="H93" s="164"/>
      <c r="I93" s="164"/>
      <c r="J93" s="164"/>
      <c r="K93" s="164"/>
      <c r="L93" s="164"/>
      <c r="M93" s="164"/>
      <c r="N93" s="164"/>
      <c r="O93" s="164"/>
      <c r="P93" s="164"/>
      <c r="Q93" s="164"/>
      <c r="R93" s="164"/>
      <c r="S93" s="164"/>
      <c r="T93" s="164"/>
      <c r="U93" s="164"/>
      <c r="V93" s="164"/>
      <c r="W93" s="164"/>
      <c r="X93" s="164"/>
      <c r="Y93" s="164"/>
      <c r="Z93" s="164"/>
      <c r="AA93" s="164"/>
      <c r="AB93" s="164"/>
      <c r="AC93" s="164"/>
      <c r="AD93" s="164"/>
      <c r="AE93" s="164"/>
      <c r="AF93" s="164"/>
      <c r="AG93" s="164"/>
      <c r="AH93" s="164"/>
      <c r="AI93" s="164"/>
      <c r="AJ93" s="164"/>
      <c r="AK93" s="164"/>
      <c r="AL93" s="164"/>
      <c r="AM93" s="164"/>
      <c r="AN93" s="164"/>
      <c r="AO93" s="164"/>
      <c r="AP93" s="164"/>
      <c r="AQ93" s="164"/>
      <c r="AR93" s="164"/>
      <c r="AS93" s="164"/>
      <c r="AT93" s="164"/>
      <c r="AU93" s="164"/>
      <c r="AV93" s="164"/>
      <c r="AW93" s="164"/>
      <c r="AX93" s="164"/>
      <c r="AY93" s="164"/>
    </row>
    <row r="94" spans="2:51">
      <c r="B94" s="164">
        <v>51</v>
      </c>
      <c r="C94" s="192"/>
      <c r="D94" s="192"/>
      <c r="E94" s="192"/>
      <c r="F94" s="164"/>
      <c r="G94" s="164"/>
      <c r="H94" s="164"/>
      <c r="I94" s="164"/>
      <c r="J94" s="164"/>
      <c r="K94" s="164"/>
      <c r="L94" s="164"/>
      <c r="M94" s="164"/>
      <c r="N94" s="164"/>
      <c r="O94" s="164"/>
      <c r="P94" s="164"/>
      <c r="Q94" s="164"/>
      <c r="R94" s="164"/>
      <c r="S94" s="164"/>
      <c r="T94" s="164"/>
      <c r="U94" s="164"/>
      <c r="V94" s="164"/>
      <c r="W94" s="164"/>
      <c r="X94" s="164"/>
      <c r="Y94" s="164"/>
      <c r="Z94" s="164"/>
      <c r="AA94" s="164"/>
      <c r="AB94" s="164"/>
      <c r="AC94" s="164"/>
      <c r="AD94" s="164"/>
      <c r="AE94" s="164"/>
      <c r="AF94" s="164"/>
      <c r="AG94" s="164"/>
      <c r="AH94" s="164"/>
      <c r="AI94" s="164"/>
      <c r="AJ94" s="164"/>
      <c r="AK94" s="164"/>
      <c r="AL94" s="164"/>
      <c r="AM94" s="164"/>
      <c r="AN94" s="164"/>
      <c r="AO94" s="164"/>
      <c r="AP94" s="164"/>
      <c r="AQ94" s="164"/>
      <c r="AR94" s="164"/>
      <c r="AS94" s="164"/>
      <c r="AT94" s="164"/>
      <c r="AU94" s="164"/>
      <c r="AV94" s="164"/>
      <c r="AW94" s="164"/>
      <c r="AX94" s="164"/>
      <c r="AY94" s="164"/>
    </row>
    <row r="95" spans="2:51">
      <c r="B95" s="164">
        <v>52</v>
      </c>
      <c r="C95" s="192"/>
      <c r="D95" s="192"/>
      <c r="E95" s="192"/>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164"/>
      <c r="AV95" s="164"/>
      <c r="AW95" s="164"/>
      <c r="AX95" s="164"/>
      <c r="AY95" s="164"/>
    </row>
    <row r="96" spans="2:51">
      <c r="B96" s="164">
        <v>53</v>
      </c>
      <c r="C96" s="192"/>
      <c r="D96" s="192"/>
      <c r="E96" s="192"/>
      <c r="F96" s="164"/>
      <c r="G96" s="164"/>
      <c r="H96" s="164"/>
      <c r="I96" s="164"/>
      <c r="J96" s="164"/>
      <c r="K96" s="164"/>
      <c r="L96" s="164"/>
      <c r="M96" s="164"/>
      <c r="N96" s="164"/>
      <c r="O96" s="164"/>
      <c r="P96" s="164"/>
      <c r="Q96" s="164"/>
      <c r="R96" s="164"/>
      <c r="S96" s="164"/>
      <c r="T96" s="164"/>
      <c r="U96" s="164"/>
      <c r="V96" s="164"/>
      <c r="W96" s="164"/>
      <c r="X96" s="164"/>
      <c r="Y96" s="164"/>
      <c r="Z96" s="164"/>
      <c r="AA96" s="164"/>
      <c r="AB96" s="164"/>
      <c r="AC96" s="164"/>
      <c r="AD96" s="164"/>
      <c r="AE96" s="164"/>
      <c r="AF96" s="164"/>
      <c r="AG96" s="164"/>
      <c r="AH96" s="164"/>
      <c r="AI96" s="164"/>
      <c r="AJ96" s="164"/>
      <c r="AK96" s="164"/>
      <c r="AL96" s="164"/>
      <c r="AM96" s="164"/>
      <c r="AN96" s="164"/>
      <c r="AO96" s="164"/>
      <c r="AP96" s="164"/>
      <c r="AQ96" s="164"/>
      <c r="AR96" s="164"/>
      <c r="AS96" s="164"/>
      <c r="AT96" s="164"/>
      <c r="AU96" s="164"/>
      <c r="AV96" s="164"/>
      <c r="AW96" s="164"/>
      <c r="AX96" s="164"/>
      <c r="AY96" s="164"/>
    </row>
    <row r="97" spans="2:51">
      <c r="B97" s="164">
        <v>54</v>
      </c>
      <c r="C97" s="192"/>
      <c r="D97" s="192"/>
      <c r="E97" s="192"/>
      <c r="F97" s="164"/>
      <c r="G97" s="164"/>
      <c r="H97" s="164"/>
      <c r="I97" s="164"/>
      <c r="J97" s="164"/>
      <c r="K97" s="164"/>
      <c r="L97" s="164"/>
      <c r="M97" s="164"/>
      <c r="N97" s="164"/>
      <c r="O97" s="164"/>
      <c r="P97" s="164"/>
      <c r="Q97" s="164"/>
      <c r="R97" s="164"/>
      <c r="S97" s="164"/>
      <c r="T97" s="164"/>
      <c r="U97" s="164"/>
      <c r="V97" s="164"/>
      <c r="W97" s="164"/>
      <c r="X97" s="164"/>
      <c r="Y97" s="164"/>
      <c r="Z97" s="164"/>
      <c r="AA97" s="164"/>
      <c r="AB97" s="164"/>
      <c r="AC97" s="164"/>
      <c r="AD97" s="164"/>
      <c r="AE97" s="164"/>
      <c r="AF97" s="164"/>
      <c r="AG97" s="164"/>
      <c r="AH97" s="164"/>
      <c r="AI97" s="164"/>
      <c r="AJ97" s="164"/>
      <c r="AK97" s="164"/>
      <c r="AL97" s="164"/>
      <c r="AM97" s="164"/>
      <c r="AN97" s="164"/>
      <c r="AO97" s="164"/>
      <c r="AP97" s="164"/>
      <c r="AQ97" s="164"/>
      <c r="AR97" s="164"/>
      <c r="AS97" s="164"/>
      <c r="AT97" s="164"/>
      <c r="AU97" s="164"/>
      <c r="AV97" s="164"/>
      <c r="AW97" s="164"/>
      <c r="AX97" s="164"/>
      <c r="AY97" s="164"/>
    </row>
    <row r="98" spans="2:51">
      <c r="B98" s="164">
        <v>55</v>
      </c>
      <c r="C98" s="192"/>
      <c r="D98" s="192"/>
      <c r="E98" s="192"/>
      <c r="F98" s="164"/>
      <c r="G98" s="164"/>
      <c r="H98" s="164"/>
      <c r="I98" s="164"/>
      <c r="J98" s="164"/>
      <c r="K98" s="164"/>
      <c r="L98" s="164"/>
      <c r="M98" s="164"/>
      <c r="N98" s="164"/>
      <c r="O98" s="164"/>
      <c r="P98" s="164"/>
      <c r="Q98" s="164"/>
      <c r="R98" s="164"/>
      <c r="S98" s="164"/>
      <c r="T98" s="164"/>
      <c r="U98" s="164"/>
      <c r="V98" s="164"/>
      <c r="W98" s="164"/>
      <c r="X98" s="164"/>
      <c r="Y98" s="164"/>
      <c r="Z98" s="164"/>
      <c r="AA98" s="164"/>
      <c r="AB98" s="164"/>
      <c r="AC98" s="164"/>
      <c r="AD98" s="164"/>
      <c r="AE98" s="164"/>
      <c r="AF98" s="164"/>
      <c r="AG98" s="164"/>
      <c r="AH98" s="164"/>
      <c r="AI98" s="164"/>
      <c r="AJ98" s="164"/>
      <c r="AK98" s="164"/>
      <c r="AL98" s="164"/>
      <c r="AM98" s="164"/>
      <c r="AN98" s="164"/>
      <c r="AO98" s="164"/>
      <c r="AP98" s="164"/>
      <c r="AQ98" s="164"/>
      <c r="AR98" s="164"/>
      <c r="AS98" s="164"/>
      <c r="AT98" s="164"/>
      <c r="AU98" s="164"/>
      <c r="AV98" s="164"/>
      <c r="AW98" s="164"/>
      <c r="AX98" s="164"/>
      <c r="AY98" s="164"/>
    </row>
    <row r="99" spans="2:51">
      <c r="B99" s="164">
        <v>56</v>
      </c>
      <c r="C99" s="192"/>
      <c r="D99" s="192"/>
      <c r="E99" s="192"/>
      <c r="F99" s="164"/>
      <c r="G99" s="164"/>
      <c r="H99" s="164"/>
      <c r="I99" s="164"/>
      <c r="J99" s="164"/>
      <c r="K99" s="164"/>
      <c r="L99" s="164"/>
      <c r="M99" s="164"/>
      <c r="N99" s="164"/>
      <c r="O99" s="164"/>
      <c r="P99" s="164"/>
      <c r="Q99" s="164"/>
      <c r="R99" s="164"/>
      <c r="S99" s="164"/>
      <c r="T99" s="164"/>
      <c r="U99" s="164"/>
      <c r="V99" s="164"/>
      <c r="W99" s="164"/>
      <c r="X99" s="164"/>
      <c r="Y99" s="164"/>
      <c r="Z99" s="164"/>
      <c r="AA99" s="164"/>
      <c r="AB99" s="164"/>
      <c r="AC99" s="164"/>
      <c r="AD99" s="164"/>
      <c r="AE99" s="164"/>
      <c r="AF99" s="164"/>
      <c r="AG99" s="164"/>
      <c r="AH99" s="164"/>
      <c r="AI99" s="164"/>
      <c r="AJ99" s="164"/>
      <c r="AK99" s="164"/>
      <c r="AL99" s="164"/>
      <c r="AM99" s="164"/>
      <c r="AN99" s="164"/>
      <c r="AO99" s="164"/>
      <c r="AP99" s="164"/>
      <c r="AQ99" s="164"/>
      <c r="AR99" s="164"/>
      <c r="AS99" s="164"/>
      <c r="AT99" s="164"/>
      <c r="AU99" s="164"/>
      <c r="AV99" s="164"/>
      <c r="AW99" s="164"/>
      <c r="AX99" s="164"/>
      <c r="AY99" s="164"/>
    </row>
    <row r="100" spans="2:51">
      <c r="B100" s="164">
        <v>57</v>
      </c>
      <c r="C100" s="192"/>
      <c r="D100" s="192"/>
      <c r="E100" s="192"/>
      <c r="F100" s="164"/>
      <c r="G100" s="164"/>
      <c r="H100" s="164"/>
      <c r="I100" s="164"/>
      <c r="J100" s="164"/>
      <c r="K100" s="164"/>
      <c r="L100" s="164"/>
      <c r="M100" s="164"/>
      <c r="N100" s="164"/>
      <c r="O100" s="164"/>
      <c r="P100" s="164"/>
      <c r="Q100" s="164"/>
      <c r="R100" s="164"/>
      <c r="S100" s="164"/>
      <c r="T100" s="164"/>
      <c r="U100" s="164"/>
      <c r="V100" s="164"/>
      <c r="W100" s="164"/>
      <c r="X100" s="164"/>
      <c r="Y100" s="164"/>
      <c r="Z100" s="164"/>
      <c r="AA100" s="164"/>
      <c r="AB100" s="164"/>
      <c r="AC100" s="164"/>
      <c r="AD100" s="164"/>
      <c r="AE100" s="164"/>
      <c r="AF100" s="164"/>
      <c r="AG100" s="164"/>
      <c r="AH100" s="164"/>
      <c r="AI100" s="164"/>
      <c r="AJ100" s="164"/>
      <c r="AK100" s="164"/>
      <c r="AL100" s="164"/>
      <c r="AM100" s="164"/>
      <c r="AN100" s="164"/>
      <c r="AO100" s="164"/>
      <c r="AP100" s="164"/>
      <c r="AQ100" s="164"/>
      <c r="AR100" s="164"/>
      <c r="AS100" s="164"/>
      <c r="AT100" s="164"/>
      <c r="AU100" s="164"/>
      <c r="AV100" s="164"/>
      <c r="AW100" s="164"/>
      <c r="AX100" s="164"/>
      <c r="AY100" s="164"/>
    </row>
    <row r="101" spans="2:51">
      <c r="B101" s="164">
        <v>58</v>
      </c>
      <c r="C101" s="192"/>
      <c r="D101" s="192"/>
      <c r="E101" s="192"/>
      <c r="F101" s="164"/>
      <c r="G101" s="164"/>
      <c r="H101" s="164"/>
      <c r="I101" s="164"/>
      <c r="J101" s="164"/>
      <c r="K101" s="164"/>
      <c r="L101" s="164"/>
      <c r="M101" s="164"/>
      <c r="N101" s="164"/>
      <c r="O101" s="164"/>
      <c r="P101" s="164"/>
      <c r="Q101" s="164"/>
      <c r="R101" s="164"/>
      <c r="S101" s="164"/>
      <c r="T101" s="164"/>
      <c r="U101" s="164"/>
      <c r="V101" s="164"/>
      <c r="W101" s="164"/>
      <c r="X101" s="164"/>
      <c r="Y101" s="164"/>
      <c r="Z101" s="164"/>
      <c r="AA101" s="164"/>
      <c r="AB101" s="164"/>
      <c r="AC101" s="164"/>
      <c r="AD101" s="164"/>
      <c r="AE101" s="164"/>
      <c r="AF101" s="164"/>
      <c r="AG101" s="164"/>
      <c r="AH101" s="164"/>
      <c r="AI101" s="164"/>
      <c r="AJ101" s="164"/>
      <c r="AK101" s="164"/>
      <c r="AL101" s="164"/>
      <c r="AM101" s="164"/>
      <c r="AN101" s="164"/>
      <c r="AO101" s="164"/>
      <c r="AP101" s="164"/>
      <c r="AQ101" s="164"/>
      <c r="AR101" s="164"/>
      <c r="AS101" s="164"/>
      <c r="AT101" s="164"/>
      <c r="AU101" s="164"/>
      <c r="AV101" s="164"/>
      <c r="AW101" s="164"/>
      <c r="AX101" s="164"/>
      <c r="AY101" s="164"/>
    </row>
    <row r="102" spans="2:51">
      <c r="B102" s="164">
        <v>59</v>
      </c>
      <c r="C102" s="192"/>
      <c r="D102" s="192"/>
      <c r="E102" s="192"/>
      <c r="F102" s="164"/>
      <c r="G102" s="164"/>
      <c r="H102" s="164"/>
      <c r="I102" s="164"/>
      <c r="J102" s="164"/>
      <c r="K102" s="164"/>
      <c r="L102" s="164"/>
      <c r="M102" s="164"/>
      <c r="N102" s="164"/>
      <c r="O102" s="164"/>
      <c r="P102" s="164"/>
      <c r="Q102" s="164"/>
      <c r="R102" s="164"/>
      <c r="S102" s="164"/>
      <c r="T102" s="164"/>
      <c r="U102" s="164"/>
      <c r="V102" s="164"/>
      <c r="W102" s="164"/>
      <c r="X102" s="164"/>
      <c r="Y102" s="164"/>
      <c r="Z102" s="164"/>
      <c r="AA102" s="164"/>
      <c r="AB102" s="164"/>
      <c r="AC102" s="164"/>
      <c r="AD102" s="164"/>
      <c r="AE102" s="164"/>
      <c r="AF102" s="164"/>
      <c r="AG102" s="164"/>
      <c r="AH102" s="164"/>
      <c r="AI102" s="164"/>
      <c r="AJ102" s="164"/>
      <c r="AK102" s="164"/>
      <c r="AL102" s="164"/>
      <c r="AM102" s="164"/>
      <c r="AN102" s="164"/>
      <c r="AO102" s="164"/>
      <c r="AP102" s="164"/>
      <c r="AQ102" s="164"/>
      <c r="AR102" s="164"/>
      <c r="AS102" s="164"/>
      <c r="AT102" s="164"/>
      <c r="AU102" s="164"/>
      <c r="AV102" s="164"/>
      <c r="AW102" s="164"/>
      <c r="AX102" s="164"/>
      <c r="AY102" s="164"/>
    </row>
    <row r="103" spans="2:51">
      <c r="B103" s="164">
        <v>60</v>
      </c>
      <c r="C103" s="192"/>
      <c r="D103" s="192"/>
      <c r="E103" s="192"/>
      <c r="F103" s="164"/>
      <c r="G103" s="164"/>
      <c r="H103" s="164"/>
      <c r="I103" s="164"/>
      <c r="J103" s="164"/>
      <c r="K103" s="164"/>
      <c r="L103" s="164"/>
      <c r="M103" s="164"/>
      <c r="N103" s="164"/>
      <c r="O103" s="164"/>
      <c r="P103" s="164"/>
      <c r="Q103" s="164"/>
      <c r="R103" s="164"/>
      <c r="S103" s="164"/>
      <c r="T103" s="164"/>
      <c r="U103" s="164"/>
      <c r="V103" s="164"/>
      <c r="W103" s="164"/>
      <c r="X103" s="164"/>
      <c r="Y103" s="164"/>
      <c r="Z103" s="164"/>
      <c r="AA103" s="164"/>
      <c r="AB103" s="164"/>
      <c r="AC103" s="164"/>
      <c r="AD103" s="164"/>
      <c r="AE103" s="164"/>
      <c r="AF103" s="164"/>
      <c r="AG103" s="164"/>
      <c r="AH103" s="164"/>
      <c r="AI103" s="164"/>
      <c r="AJ103" s="164"/>
      <c r="AK103" s="164"/>
      <c r="AL103" s="164"/>
      <c r="AM103" s="164"/>
      <c r="AN103" s="164"/>
      <c r="AO103" s="164"/>
      <c r="AP103" s="164"/>
      <c r="AQ103" s="164"/>
      <c r="AR103" s="164"/>
      <c r="AS103" s="164"/>
      <c r="AT103" s="164"/>
      <c r="AU103" s="164"/>
      <c r="AV103" s="164"/>
      <c r="AW103" s="164"/>
      <c r="AX103" s="164"/>
      <c r="AY103" s="164"/>
    </row>
    <row r="104" spans="2:51">
      <c r="B104" s="164">
        <v>61</v>
      </c>
      <c r="C104" s="192"/>
      <c r="D104" s="192"/>
      <c r="E104" s="192"/>
      <c r="F104" s="164"/>
      <c r="G104" s="164"/>
      <c r="H104" s="164"/>
      <c r="I104" s="164"/>
      <c r="J104" s="164"/>
      <c r="K104" s="164"/>
      <c r="L104" s="164"/>
      <c r="M104" s="164"/>
      <c r="N104" s="164"/>
      <c r="O104" s="164"/>
      <c r="P104" s="164"/>
      <c r="Q104" s="164"/>
      <c r="R104" s="164"/>
      <c r="S104" s="164"/>
      <c r="T104" s="164"/>
      <c r="U104" s="164"/>
      <c r="V104" s="164"/>
      <c r="W104" s="164"/>
      <c r="X104" s="164"/>
      <c r="Y104" s="164"/>
      <c r="Z104" s="164"/>
      <c r="AA104" s="164"/>
      <c r="AB104" s="164"/>
      <c r="AC104" s="164"/>
      <c r="AD104" s="164"/>
      <c r="AE104" s="164"/>
      <c r="AF104" s="164"/>
      <c r="AG104" s="164"/>
      <c r="AH104" s="164"/>
      <c r="AI104" s="164"/>
      <c r="AJ104" s="164"/>
      <c r="AK104" s="164"/>
      <c r="AL104" s="164"/>
      <c r="AM104" s="164"/>
      <c r="AN104" s="164"/>
      <c r="AO104" s="164"/>
      <c r="AP104" s="164"/>
      <c r="AQ104" s="164"/>
      <c r="AR104" s="164"/>
      <c r="AS104" s="164"/>
      <c r="AT104" s="164"/>
      <c r="AU104" s="164"/>
      <c r="AV104" s="164"/>
      <c r="AW104" s="164"/>
      <c r="AX104" s="164"/>
      <c r="AY104" s="164"/>
    </row>
    <row r="105" spans="2:51">
      <c r="B105" s="164">
        <v>62</v>
      </c>
      <c r="C105" s="192"/>
      <c r="D105" s="192"/>
      <c r="E105" s="192"/>
      <c r="F105" s="164"/>
      <c r="G105" s="164"/>
      <c r="H105" s="164"/>
      <c r="I105" s="164"/>
      <c r="J105" s="164"/>
      <c r="K105" s="164"/>
      <c r="L105" s="164"/>
      <c r="M105" s="164"/>
      <c r="N105" s="164"/>
      <c r="O105" s="164"/>
      <c r="P105" s="164"/>
      <c r="Q105" s="164"/>
      <c r="R105" s="164"/>
      <c r="S105" s="164"/>
      <c r="T105" s="164"/>
      <c r="U105" s="164"/>
      <c r="V105" s="164"/>
      <c r="W105" s="164"/>
      <c r="X105" s="164"/>
      <c r="Y105" s="164"/>
      <c r="Z105" s="164"/>
      <c r="AA105" s="164"/>
      <c r="AB105" s="164"/>
      <c r="AC105" s="164"/>
      <c r="AD105" s="164"/>
      <c r="AE105" s="164"/>
      <c r="AF105" s="164"/>
      <c r="AG105" s="164"/>
      <c r="AH105" s="164"/>
      <c r="AI105" s="164"/>
      <c r="AJ105" s="164"/>
      <c r="AK105" s="164"/>
      <c r="AL105" s="164"/>
      <c r="AM105" s="164"/>
      <c r="AN105" s="164"/>
      <c r="AO105" s="164"/>
      <c r="AP105" s="164"/>
      <c r="AQ105" s="164"/>
      <c r="AR105" s="164"/>
      <c r="AS105" s="164"/>
      <c r="AT105" s="164"/>
      <c r="AU105" s="164"/>
      <c r="AV105" s="164"/>
      <c r="AW105" s="164"/>
      <c r="AX105" s="164"/>
      <c r="AY105" s="164"/>
    </row>
    <row r="106" spans="2:51">
      <c r="B106" s="164">
        <v>63</v>
      </c>
      <c r="C106" s="192"/>
      <c r="D106" s="192"/>
      <c r="E106" s="192"/>
      <c r="F106" s="164"/>
      <c r="G106" s="164"/>
      <c r="H106" s="164"/>
      <c r="I106" s="164"/>
      <c r="J106" s="164"/>
      <c r="K106" s="164"/>
      <c r="L106" s="164"/>
      <c r="M106" s="164"/>
      <c r="N106" s="164"/>
      <c r="O106" s="164"/>
      <c r="P106" s="164"/>
      <c r="Q106" s="164"/>
      <c r="R106" s="164"/>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c r="AQ106" s="164"/>
      <c r="AR106" s="164"/>
      <c r="AS106" s="164"/>
      <c r="AT106" s="164"/>
      <c r="AU106" s="164"/>
      <c r="AV106" s="164"/>
      <c r="AW106" s="164"/>
      <c r="AX106" s="164"/>
      <c r="AY106" s="164"/>
    </row>
    <row r="107" spans="2:51">
      <c r="B107" s="164">
        <v>64</v>
      </c>
      <c r="C107" s="192"/>
      <c r="D107" s="192"/>
      <c r="E107" s="192"/>
      <c r="F107" s="164"/>
      <c r="G107" s="164"/>
      <c r="H107" s="164"/>
      <c r="I107" s="164"/>
      <c r="J107" s="164"/>
      <c r="K107" s="164"/>
      <c r="L107" s="164"/>
      <c r="M107" s="164"/>
      <c r="N107" s="164"/>
      <c r="O107" s="164"/>
      <c r="P107" s="164"/>
      <c r="Q107" s="164"/>
      <c r="R107" s="164"/>
      <c r="S107" s="164"/>
      <c r="T107" s="164"/>
      <c r="U107" s="164"/>
      <c r="V107" s="164"/>
      <c r="W107" s="164"/>
      <c r="X107" s="164"/>
      <c r="Y107" s="164"/>
      <c r="Z107" s="164"/>
      <c r="AA107" s="164"/>
      <c r="AB107" s="164"/>
      <c r="AC107" s="164"/>
      <c r="AD107" s="164"/>
      <c r="AE107" s="164"/>
      <c r="AF107" s="164"/>
      <c r="AG107" s="164"/>
      <c r="AH107" s="164"/>
      <c r="AI107" s="164"/>
      <c r="AJ107" s="164"/>
      <c r="AK107" s="164"/>
      <c r="AL107" s="164"/>
      <c r="AM107" s="164"/>
      <c r="AN107" s="164"/>
      <c r="AO107" s="164"/>
      <c r="AP107" s="164"/>
      <c r="AQ107" s="164"/>
      <c r="AR107" s="164"/>
      <c r="AS107" s="164"/>
      <c r="AT107" s="164"/>
      <c r="AU107" s="164"/>
      <c r="AV107" s="164"/>
      <c r="AW107" s="164"/>
      <c r="AX107" s="164"/>
      <c r="AY107" s="164"/>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85" zoomScaleNormal="85" workbookViewId="0">
      <selection activeCell="G26" sqref="G26"/>
    </sheetView>
  </sheetViews>
  <sheetFormatPr defaultColWidth="8.6640625" defaultRowHeight="19.5"/>
  <sheetData>
    <row r="2" spans="2:21">
      <c r="N2" s="3" t="s">
        <v>1025</v>
      </c>
      <c r="O2" s="3"/>
      <c r="P2" s="3"/>
      <c r="Q2" s="3"/>
      <c r="R2" s="3"/>
      <c r="S2" s="3"/>
      <c r="T2" s="3" t="s">
        <v>1032</v>
      </c>
      <c r="U2" s="3"/>
    </row>
    <row r="3" spans="2:21">
      <c r="N3" s="1"/>
      <c r="O3" s="10" t="s">
        <v>966</v>
      </c>
      <c r="P3" s="10" t="s">
        <v>707</v>
      </c>
      <c r="Q3" s="10" t="s">
        <v>743</v>
      </c>
      <c r="R3" s="10" t="s">
        <v>1033</v>
      </c>
    </row>
    <row r="4" spans="2:21">
      <c r="B4" t="s">
        <v>1030</v>
      </c>
      <c r="N4" s="1"/>
      <c r="O4" s="1" t="s">
        <v>1023</v>
      </c>
      <c r="P4" s="1" t="s">
        <v>1021</v>
      </c>
      <c r="Q4" s="65" t="s">
        <v>760</v>
      </c>
      <c r="R4" s="65" t="s">
        <v>1022</v>
      </c>
    </row>
    <row r="5" spans="2:21">
      <c r="B5" s="36"/>
      <c r="C5" s="36"/>
      <c r="D5" s="36"/>
      <c r="E5" s="36"/>
      <c r="N5" s="1"/>
      <c r="O5" s="1" t="s">
        <v>761</v>
      </c>
      <c r="P5" s="1" t="s">
        <v>761</v>
      </c>
      <c r="Q5" s="65" t="s">
        <v>760</v>
      </c>
      <c r="R5" s="65" t="s">
        <v>760</v>
      </c>
    </row>
    <row r="6" spans="2:21">
      <c r="B6" s="36" t="s">
        <v>1028</v>
      </c>
      <c r="C6" s="36"/>
      <c r="D6" s="36"/>
      <c r="E6" s="36"/>
      <c r="N6" s="10" t="s">
        <v>1024</v>
      </c>
      <c r="O6" s="22">
        <v>0</v>
      </c>
      <c r="P6" s="22">
        <v>0.95</v>
      </c>
      <c r="Q6" s="22" t="s">
        <v>722</v>
      </c>
      <c r="R6" s="22">
        <v>0.71499999999999997</v>
      </c>
    </row>
    <row r="7" spans="2:21">
      <c r="B7" s="36" t="s">
        <v>1029</v>
      </c>
      <c r="C7" s="36"/>
      <c r="D7" s="36"/>
      <c r="E7" s="36"/>
      <c r="N7" s="10" t="s">
        <v>734</v>
      </c>
      <c r="O7" s="22">
        <v>0.85</v>
      </c>
      <c r="P7" s="22">
        <v>0.7</v>
      </c>
      <c r="Q7" s="22" t="s">
        <v>722</v>
      </c>
      <c r="R7" s="22">
        <v>0.65</v>
      </c>
    </row>
    <row r="8" spans="2:21">
      <c r="B8" s="36" t="s">
        <v>1031</v>
      </c>
      <c r="C8" s="36"/>
      <c r="D8" s="36"/>
      <c r="E8" s="36"/>
    </row>
    <row r="10" spans="2:21">
      <c r="B10" t="s">
        <v>710</v>
      </c>
    </row>
    <row r="11" spans="2:21">
      <c r="B11" s="36"/>
      <c r="C11" s="36"/>
      <c r="D11" s="36"/>
      <c r="E11" s="36"/>
      <c r="N11" s="3" t="s">
        <v>1026</v>
      </c>
      <c r="O11" s="3"/>
      <c r="P11" s="3"/>
      <c r="Q11" s="3"/>
      <c r="R11" s="3"/>
    </row>
    <row r="12" spans="2:21">
      <c r="B12" s="36"/>
      <c r="C12" s="36"/>
      <c r="D12" s="36"/>
      <c r="E12" s="36"/>
      <c r="N12" s="1"/>
      <c r="O12" s="10" t="s">
        <v>966</v>
      </c>
      <c r="P12" s="10" t="s">
        <v>1020</v>
      </c>
      <c r="Q12" s="10" t="s">
        <v>743</v>
      </c>
      <c r="R12" s="10" t="s">
        <v>1033</v>
      </c>
    </row>
    <row r="13" spans="2:21">
      <c r="B13" s="36"/>
      <c r="C13" s="36"/>
      <c r="D13" s="36"/>
      <c r="E13" s="36"/>
      <c r="N13" s="1"/>
      <c r="O13" s="1" t="s">
        <v>1023</v>
      </c>
      <c r="P13" s="1" t="s">
        <v>1021</v>
      </c>
      <c r="Q13" s="65" t="s">
        <v>760</v>
      </c>
      <c r="R13" s="65" t="s">
        <v>1022</v>
      </c>
    </row>
    <row r="14" spans="2:21">
      <c r="B14" s="36"/>
      <c r="C14" s="36"/>
      <c r="D14" s="36"/>
      <c r="E14" s="36"/>
      <c r="N14" s="1"/>
      <c r="O14" s="1" t="s">
        <v>761</v>
      </c>
      <c r="P14" s="1" t="s">
        <v>761</v>
      </c>
      <c r="Q14" s="65" t="s">
        <v>760</v>
      </c>
      <c r="R14" s="65" t="s">
        <v>760</v>
      </c>
    </row>
    <row r="15" spans="2:21">
      <c r="B15" s="36"/>
      <c r="C15" s="36"/>
      <c r="D15" s="36"/>
      <c r="E15" s="36"/>
      <c r="N15" s="10" t="s">
        <v>1024</v>
      </c>
      <c r="O15" s="22">
        <v>0</v>
      </c>
      <c r="P15" s="22">
        <v>0.95</v>
      </c>
      <c r="Q15" s="1">
        <v>1</v>
      </c>
      <c r="R15" s="22">
        <v>0.71499999999999997</v>
      </c>
    </row>
    <row r="16" spans="2:21">
      <c r="B16" s="36"/>
      <c r="C16" s="36"/>
      <c r="D16" s="36"/>
      <c r="E16" s="36"/>
      <c r="N16" s="10" t="s">
        <v>1027</v>
      </c>
      <c r="O16" s="22">
        <v>0</v>
      </c>
      <c r="P16" s="22">
        <v>0.95</v>
      </c>
      <c r="Q16" s="1">
        <v>1</v>
      </c>
      <c r="R16" s="22">
        <v>0.71499999999999997</v>
      </c>
    </row>
    <row r="17" spans="2:32">
      <c r="B17" s="36"/>
      <c r="C17" s="36"/>
      <c r="D17" s="36"/>
      <c r="E17" s="36"/>
      <c r="N17" s="10" t="s">
        <v>734</v>
      </c>
      <c r="O17" s="22">
        <v>0.85</v>
      </c>
      <c r="P17" s="22">
        <v>0.7</v>
      </c>
      <c r="Q17" s="1">
        <v>1</v>
      </c>
      <c r="R17" s="22">
        <v>0.65</v>
      </c>
    </row>
    <row r="18" spans="2:32">
      <c r="B18" s="36"/>
      <c r="C18" s="36"/>
      <c r="D18" s="36"/>
      <c r="E18" s="36"/>
    </row>
    <row r="19" spans="2:32">
      <c r="B19" s="36"/>
      <c r="C19" s="36"/>
      <c r="D19" s="36"/>
      <c r="E19" s="36"/>
    </row>
    <row r="20" spans="2:32">
      <c r="B20" s="36"/>
      <c r="C20" s="36"/>
      <c r="D20" s="36"/>
      <c r="E20" s="36"/>
    </row>
    <row r="21" spans="2:32">
      <c r="B21" s="36"/>
      <c r="C21" s="36"/>
      <c r="D21" s="36"/>
      <c r="E21" s="36"/>
    </row>
    <row r="22" spans="2:32">
      <c r="B22" s="36"/>
      <c r="C22" s="36"/>
      <c r="D22" s="36"/>
      <c r="E22" s="36"/>
      <c r="G22" t="s">
        <v>1034</v>
      </c>
      <c r="X22" t="s">
        <v>987</v>
      </c>
      <c r="AB22" s="3" t="s">
        <v>877</v>
      </c>
      <c r="AC22" s="3"/>
      <c r="AE22" s="3"/>
      <c r="AF22" s="3"/>
    </row>
    <row r="23" spans="2:32">
      <c r="B23" s="36"/>
      <c r="C23" s="36"/>
      <c r="D23" s="36"/>
      <c r="E23" s="36"/>
      <c r="G23" s="10" t="s">
        <v>966</v>
      </c>
      <c r="H23" s="10" t="s">
        <v>988</v>
      </c>
      <c r="I23" s="10" t="s">
        <v>667</v>
      </c>
      <c r="J23" s="10" t="s">
        <v>409</v>
      </c>
      <c r="K23" s="10" t="s">
        <v>668</v>
      </c>
      <c r="L23" s="10" t="s">
        <v>847</v>
      </c>
      <c r="M23" s="10" t="s">
        <v>848</v>
      </c>
      <c r="N23" s="10" t="s">
        <v>849</v>
      </c>
      <c r="O23" s="10" t="s">
        <v>850</v>
      </c>
      <c r="P23" s="10" t="s">
        <v>852</v>
      </c>
      <c r="Q23" s="10" t="s">
        <v>659</v>
      </c>
      <c r="R23" s="10" t="s">
        <v>853</v>
      </c>
      <c r="S23" s="10"/>
      <c r="T23" s="10" t="s">
        <v>854</v>
      </c>
      <c r="U23" s="10" t="s">
        <v>811</v>
      </c>
      <c r="V23" s="10" t="s">
        <v>855</v>
      </c>
      <c r="W23" s="10" t="s">
        <v>856</v>
      </c>
      <c r="X23" s="10" t="s">
        <v>857</v>
      </c>
      <c r="Y23" s="10" t="s">
        <v>858</v>
      </c>
      <c r="Z23" s="10" t="s">
        <v>859</v>
      </c>
      <c r="AA23" s="10" t="s">
        <v>860</v>
      </c>
      <c r="AB23" s="113" t="s">
        <v>878</v>
      </c>
      <c r="AC23" s="113" t="s">
        <v>879</v>
      </c>
      <c r="AD23" s="113" t="s">
        <v>880</v>
      </c>
      <c r="AE23" s="113" t="s">
        <v>881</v>
      </c>
      <c r="AF23" s="113" t="s">
        <v>882</v>
      </c>
    </row>
    <row r="24" spans="2:32">
      <c r="B24" s="36"/>
      <c r="C24" s="36"/>
      <c r="D24" s="36"/>
      <c r="E24" s="36"/>
      <c r="G24" s="1" t="s">
        <v>1023</v>
      </c>
      <c r="H24" s="1" t="s">
        <v>51</v>
      </c>
      <c r="I24" s="1" t="s">
        <v>660</v>
      </c>
      <c r="J24" s="1" t="s">
        <v>52</v>
      </c>
      <c r="K24" s="1" t="s">
        <v>52</v>
      </c>
      <c r="L24" s="1" t="s">
        <v>52</v>
      </c>
      <c r="M24" s="1" t="s">
        <v>52</v>
      </c>
      <c r="N24" s="1" t="s">
        <v>52</v>
      </c>
      <c r="O24" s="1" t="s">
        <v>52</v>
      </c>
      <c r="P24" s="1" t="s">
        <v>52</v>
      </c>
      <c r="Q24" s="1" t="s">
        <v>665</v>
      </c>
      <c r="R24" s="1" t="s">
        <v>861</v>
      </c>
      <c r="S24" s="1" t="s">
        <v>862</v>
      </c>
      <c r="T24" s="1" t="s">
        <v>863</v>
      </c>
      <c r="U24" s="1" t="s">
        <v>864</v>
      </c>
      <c r="V24" s="1" t="s">
        <v>865</v>
      </c>
      <c r="W24" s="1" t="s">
        <v>866</v>
      </c>
      <c r="X24" s="1" t="s">
        <v>867</v>
      </c>
      <c r="Y24" s="1" t="s">
        <v>868</v>
      </c>
      <c r="Z24" s="1" t="s">
        <v>869</v>
      </c>
      <c r="AA24" s="1" t="s">
        <v>870</v>
      </c>
      <c r="AB24" s="1" t="s">
        <v>883</v>
      </c>
      <c r="AC24" s="1" t="s">
        <v>884</v>
      </c>
      <c r="AD24" s="1" t="s">
        <v>885</v>
      </c>
      <c r="AE24" s="1" t="s">
        <v>886</v>
      </c>
      <c r="AF24" s="1" t="s">
        <v>887</v>
      </c>
    </row>
    <row r="25" spans="2:32" ht="20.25" thickBot="1">
      <c r="B25" s="36"/>
      <c r="C25" s="36"/>
      <c r="D25" s="36"/>
      <c r="E25" s="36"/>
      <c r="G25" s="20" t="s">
        <v>9</v>
      </c>
      <c r="H25" s="20" t="s">
        <v>51</v>
      </c>
      <c r="I25" s="20" t="s">
        <v>673</v>
      </c>
      <c r="J25" s="20" t="s">
        <v>673</v>
      </c>
      <c r="K25" s="20" t="s">
        <v>689</v>
      </c>
      <c r="L25" s="20" t="s">
        <v>690</v>
      </c>
      <c r="M25" s="20" t="s">
        <v>690</v>
      </c>
      <c r="N25" s="20" t="s">
        <v>690</v>
      </c>
      <c r="O25" s="20" t="s">
        <v>690</v>
      </c>
      <c r="P25" s="20" t="s">
        <v>51</v>
      </c>
      <c r="Q25" s="20" t="s">
        <v>674</v>
      </c>
      <c r="R25" s="20" t="s">
        <v>871</v>
      </c>
      <c r="S25" s="20" t="s">
        <v>871</v>
      </c>
      <c r="T25" s="20" t="s">
        <v>871</v>
      </c>
      <c r="U25" s="20" t="s">
        <v>872</v>
      </c>
      <c r="V25" s="20" t="s">
        <v>873</v>
      </c>
      <c r="W25" s="20" t="s">
        <v>874</v>
      </c>
      <c r="X25" s="20" t="s">
        <v>875</v>
      </c>
      <c r="Y25" s="20" t="s">
        <v>875</v>
      </c>
      <c r="Z25" s="20" t="s">
        <v>876</v>
      </c>
      <c r="AA25" s="20" t="s">
        <v>876</v>
      </c>
      <c r="AB25" s="20" t="s">
        <v>888</v>
      </c>
      <c r="AC25" s="20" t="s">
        <v>889</v>
      </c>
      <c r="AD25" s="20" t="s">
        <v>890</v>
      </c>
      <c r="AE25" s="20" t="s">
        <v>888</v>
      </c>
      <c r="AF25" s="20" t="s">
        <v>760</v>
      </c>
    </row>
    <row r="26" spans="2:32" ht="20.25" thickTop="1">
      <c r="B26" s="36"/>
      <c r="C26" s="36"/>
      <c r="D26" s="36"/>
      <c r="E26" s="36"/>
      <c r="G26" s="4">
        <v>0</v>
      </c>
      <c r="H26" s="141" t="s">
        <v>538</v>
      </c>
      <c r="I26" s="114">
        <v>15</v>
      </c>
      <c r="J26" s="114">
        <v>15</v>
      </c>
      <c r="K26" s="114">
        <v>0</v>
      </c>
      <c r="L26" s="141">
        <v>0</v>
      </c>
      <c r="M26" s="141">
        <v>0</v>
      </c>
      <c r="N26" s="114">
        <v>0</v>
      </c>
      <c r="O26" s="114">
        <v>0</v>
      </c>
      <c r="P26" s="114">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6"/>
      <c r="C27" s="36"/>
      <c r="D27" s="36"/>
      <c r="E27" s="36"/>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6"/>
      <c r="C28" s="36"/>
      <c r="D28" s="36"/>
      <c r="E28" s="36"/>
    </row>
    <row r="29" spans="2:32">
      <c r="B29" s="36"/>
      <c r="C29" s="36"/>
      <c r="D29" s="36"/>
      <c r="E29" s="36"/>
      <c r="G29" s="36" t="s">
        <v>989</v>
      </c>
      <c r="H29" s="140">
        <v>500</v>
      </c>
      <c r="I29" s="36" t="s">
        <v>874</v>
      </c>
      <c r="K29" s="36" t="s">
        <v>1001</v>
      </c>
      <c r="L29" s="36" t="e">
        <f>(#REF!-H28)*(H29-1)+#REF!</f>
        <v>#REF!</v>
      </c>
      <c r="M29" s="36" t="s">
        <v>874</v>
      </c>
    </row>
    <row r="30" spans="2:32">
      <c r="B30" s="36"/>
      <c r="C30" s="36"/>
      <c r="D30" s="36"/>
      <c r="E30" s="36"/>
      <c r="G30" s="36" t="s">
        <v>990</v>
      </c>
      <c r="H30" s="140">
        <v>40</v>
      </c>
      <c r="I30" s="36" t="s">
        <v>874</v>
      </c>
      <c r="K30" s="36" t="s">
        <v>1003</v>
      </c>
      <c r="L30" s="36" t="e">
        <f>L29-H30*2</f>
        <v>#REF!</v>
      </c>
      <c r="M30" s="36" t="s">
        <v>874</v>
      </c>
      <c r="O30" s="1" t="s">
        <v>1008</v>
      </c>
      <c r="P30" s="22">
        <v>10</v>
      </c>
      <c r="Q30" s="1" t="s">
        <v>874</v>
      </c>
      <c r="V30" t="s">
        <v>999</v>
      </c>
      <c r="W30" t="s">
        <v>1000</v>
      </c>
    </row>
    <row r="31" spans="2:32">
      <c r="B31" s="36"/>
      <c r="C31" s="36"/>
      <c r="D31" s="36"/>
      <c r="E31" s="36"/>
      <c r="G31" s="36" t="s">
        <v>991</v>
      </c>
      <c r="H31" s="140">
        <v>9</v>
      </c>
      <c r="I31" s="36" t="s">
        <v>992</v>
      </c>
      <c r="K31" s="36" t="s">
        <v>1005</v>
      </c>
      <c r="L31" s="36" t="e">
        <f>(L30-#REF!)/2</f>
        <v>#REF!</v>
      </c>
      <c r="M31" s="36" t="s">
        <v>874</v>
      </c>
      <c r="O31" s="1" t="s">
        <v>1009</v>
      </c>
      <c r="P31" s="22">
        <v>10</v>
      </c>
      <c r="Q31" s="1" t="s">
        <v>874</v>
      </c>
      <c r="T31" t="s">
        <v>1002</v>
      </c>
      <c r="U31" s="36" t="s">
        <v>995</v>
      </c>
      <c r="V31" s="152" t="e">
        <f>#REF!</f>
        <v>#REF!</v>
      </c>
      <c r="W31" s="152" t="e">
        <f>V31+P29*(#REF!+#REF!)*2</f>
        <v>#REF!</v>
      </c>
    </row>
    <row r="32" spans="2:32">
      <c r="B32" s="36"/>
      <c r="C32" s="36"/>
      <c r="D32" s="36"/>
      <c r="E32" s="36"/>
      <c r="G32" s="36" t="s">
        <v>993</v>
      </c>
      <c r="H32" s="140">
        <v>50</v>
      </c>
      <c r="I32" s="36" t="s">
        <v>874</v>
      </c>
      <c r="K32" s="36" t="s">
        <v>1011</v>
      </c>
      <c r="L32" s="36"/>
      <c r="M32" s="36" t="s">
        <v>42</v>
      </c>
      <c r="O32" s="1" t="s">
        <v>1010</v>
      </c>
      <c r="P32" s="28">
        <v>1000</v>
      </c>
      <c r="Q32" s="1" t="s">
        <v>874</v>
      </c>
      <c r="U32" s="36" t="s">
        <v>1004</v>
      </c>
      <c r="V32" s="152" t="e">
        <f>#REF!*#REF!</f>
        <v>#REF!</v>
      </c>
      <c r="W32" s="152" t="e">
        <f>V32+P29*#REF!*2</f>
        <v>#REF!</v>
      </c>
    </row>
    <row r="33" spans="2:35">
      <c r="B33" s="36"/>
      <c r="C33" s="36"/>
      <c r="D33" s="36"/>
      <c r="E33" s="36"/>
      <c r="U33" s="36" t="s">
        <v>1006</v>
      </c>
      <c r="V33" s="152">
        <f>L28</f>
        <v>0</v>
      </c>
      <c r="W33" s="152" t="e">
        <f>V33+P29*(#REF!+#REF!)*2</f>
        <v>#REF!</v>
      </c>
    </row>
    <row r="34" spans="2:35">
      <c r="B34" s="36"/>
      <c r="C34" s="36"/>
      <c r="D34" s="36"/>
      <c r="E34" s="36"/>
      <c r="U34" s="36" t="s">
        <v>998</v>
      </c>
      <c r="V34" s="152" t="e">
        <f>L28*#REF!</f>
        <v>#REF!</v>
      </c>
      <c r="W34" s="152" t="e">
        <f>V34+P29*#REF!*2</f>
        <v>#REF!</v>
      </c>
    </row>
    <row r="35" spans="2:35">
      <c r="B35" s="36"/>
      <c r="C35" s="36"/>
      <c r="D35" s="36"/>
      <c r="E35" s="36"/>
      <c r="G35" s="39" t="s">
        <v>994</v>
      </c>
      <c r="H35" s="39">
        <v>1</v>
      </c>
      <c r="I35" s="39">
        <v>2</v>
      </c>
      <c r="J35" s="39">
        <v>3</v>
      </c>
      <c r="K35" s="39">
        <v>4</v>
      </c>
      <c r="L35" s="39">
        <v>5</v>
      </c>
      <c r="M35" s="39">
        <v>6</v>
      </c>
      <c r="N35" s="39">
        <v>7</v>
      </c>
      <c r="O35" s="39">
        <v>8</v>
      </c>
      <c r="P35" s="39">
        <v>9</v>
      </c>
      <c r="Q35" s="39"/>
      <c r="R35" s="39"/>
      <c r="T35" t="s">
        <v>1007</v>
      </c>
      <c r="U35" s="36" t="s">
        <v>995</v>
      </c>
      <c r="V35" s="152" t="e">
        <f>H36-#REF!*H30</f>
        <v>#REF!</v>
      </c>
      <c r="W35" s="152" t="e">
        <f>V35+P29*(#REF!+#REF!)*2</f>
        <v>#REF!</v>
      </c>
    </row>
    <row r="36" spans="2:35">
      <c r="G36" s="39" t="s">
        <v>995</v>
      </c>
      <c r="H36" s="151" t="e">
        <f>#REF!+#REF!*(#REF!-$C$4)/2</f>
        <v>#REF!</v>
      </c>
      <c r="I36" s="151" t="e">
        <f>H38+#REF!*$C$6</f>
        <v>#REF!</v>
      </c>
      <c r="J36" s="151" t="e">
        <f>I38+#REF!*$C$6</f>
        <v>#REF!</v>
      </c>
      <c r="K36" s="151" t="e">
        <f>J38+#REF!*$C$6</f>
        <v>#REF!</v>
      </c>
      <c r="L36" s="151" t="e">
        <f>K38+#REF!*$C$6</f>
        <v>#REF!</v>
      </c>
      <c r="M36" s="151" t="e">
        <f>L38+#REF!*$C$6</f>
        <v>#REF!</v>
      </c>
      <c r="N36" s="151" t="e">
        <f>M38+#REF!*$C$6</f>
        <v>#REF!</v>
      </c>
      <c r="O36" s="151" t="e">
        <f>N38+#REF!*$C$6</f>
        <v>#REF!</v>
      </c>
      <c r="P36" s="151" t="e">
        <f>O38+#REF!*$C$6</f>
        <v>#REF!</v>
      </c>
      <c r="Q36" s="151"/>
      <c r="R36" s="151"/>
      <c r="U36" s="36" t="s">
        <v>1004</v>
      </c>
      <c r="V36" s="152" t="e">
        <f>V35*#REF!</f>
        <v>#REF!</v>
      </c>
      <c r="W36" s="152" t="e">
        <f>V36+P29*#REF!*2</f>
        <v>#REF!</v>
      </c>
    </row>
    <row r="37" spans="2:35">
      <c r="G37" s="39" t="s">
        <v>996</v>
      </c>
      <c r="H37" s="151" t="e">
        <f>H36*#REF!</f>
        <v>#REF!</v>
      </c>
      <c r="I37" s="151" t="e">
        <f>I36*#REF!</f>
        <v>#REF!</v>
      </c>
      <c r="J37" s="151" t="e">
        <f>J36*#REF!</f>
        <v>#REF!</v>
      </c>
      <c r="K37" s="151" t="e">
        <f>K36*#REF!</f>
        <v>#REF!</v>
      </c>
      <c r="L37" s="151" t="e">
        <f>L36*#REF!</f>
        <v>#REF!</v>
      </c>
      <c r="M37" s="151" t="e">
        <f>M36*#REF!</f>
        <v>#REF!</v>
      </c>
      <c r="N37" s="151" t="e">
        <f>N36*#REF!</f>
        <v>#REF!</v>
      </c>
      <c r="O37" s="151" t="e">
        <f>O36*#REF!</f>
        <v>#REF!</v>
      </c>
      <c r="P37" s="151" t="e">
        <f>P36*#REF!</f>
        <v>#REF!</v>
      </c>
      <c r="Q37" s="151"/>
      <c r="R37" s="151"/>
      <c r="U37" s="36" t="s">
        <v>1006</v>
      </c>
      <c r="V37" s="152" t="e">
        <f>O38+H30*#REF!</f>
        <v>#REF!</v>
      </c>
      <c r="W37" s="152" t="e">
        <f>V37+P29*(#REF!+#REF!)*2</f>
        <v>#REF!</v>
      </c>
    </row>
    <row r="38" spans="2:35">
      <c r="G38" s="39" t="s">
        <v>997</v>
      </c>
      <c r="H38" s="151" t="e">
        <f>H36-#REF!*$C$5</f>
        <v>#REF!</v>
      </c>
      <c r="I38" s="151" t="e">
        <f>I36-#REF!*$C$5</f>
        <v>#REF!</v>
      </c>
      <c r="J38" s="151" t="e">
        <f>J36-#REF!*$C$5</f>
        <v>#REF!</v>
      </c>
      <c r="K38" s="151" t="e">
        <f>K36-#REF!*$C$5</f>
        <v>#REF!</v>
      </c>
      <c r="L38" s="151" t="e">
        <f>L36-#REF!*$C$5</f>
        <v>#REF!</v>
      </c>
      <c r="M38" s="151" t="e">
        <f>M36-#REF!*$C$5</f>
        <v>#REF!</v>
      </c>
      <c r="N38" s="151" t="e">
        <f>N36-#REF!*$C$5</f>
        <v>#REF!</v>
      </c>
      <c r="O38" s="151" t="e">
        <f>O36-#REF!*$C$5</f>
        <v>#REF!</v>
      </c>
      <c r="P38" s="151" t="e">
        <f>P36-#REF!*$C$5</f>
        <v>#REF!</v>
      </c>
      <c r="Q38" s="151"/>
      <c r="R38" s="151"/>
      <c r="U38" s="36" t="s">
        <v>998</v>
      </c>
      <c r="V38" s="152" t="e">
        <f>V37*#REF!</f>
        <v>#REF!</v>
      </c>
      <c r="W38" s="152" t="e">
        <f>V38+P29*#REF!*2</f>
        <v>#REF!</v>
      </c>
    </row>
    <row r="39" spans="2:35">
      <c r="G39" s="39" t="s">
        <v>998</v>
      </c>
      <c r="H39" s="151" t="e">
        <f>H38*#REF!</f>
        <v>#REF!</v>
      </c>
      <c r="I39" s="151" t="e">
        <f>I38*#REF!</f>
        <v>#REF!</v>
      </c>
      <c r="J39" s="151" t="e">
        <f>J38*#REF!</f>
        <v>#REF!</v>
      </c>
      <c r="K39" s="151" t="e">
        <f>K38*#REF!</f>
        <v>#REF!</v>
      </c>
      <c r="L39" s="151" t="e">
        <f>L38*#REF!</f>
        <v>#REF!</v>
      </c>
      <c r="M39" s="151" t="e">
        <f>M38*#REF!</f>
        <v>#REF!</v>
      </c>
      <c r="N39" s="151" t="e">
        <f>N38*#REF!</f>
        <v>#REF!</v>
      </c>
      <c r="O39" s="151" t="e">
        <f>O38*#REF!</f>
        <v>#REF!</v>
      </c>
      <c r="P39" s="151" t="e">
        <f>P38*#REF!</f>
        <v>#REF!</v>
      </c>
      <c r="Q39" s="151"/>
      <c r="R39" s="151"/>
    </row>
    <row r="42" spans="2:35">
      <c r="G42" t="s">
        <v>1035</v>
      </c>
      <c r="H42" t="s">
        <v>831</v>
      </c>
      <c r="P42" s="3"/>
      <c r="Q42" t="s">
        <v>767</v>
      </c>
    </row>
    <row r="43" spans="2:35">
      <c r="G43" s="10" t="s">
        <v>733</v>
      </c>
      <c r="H43" s="10" t="s">
        <v>806</v>
      </c>
      <c r="I43" s="10" t="s">
        <v>808</v>
      </c>
      <c r="J43" s="10" t="s">
        <v>809</v>
      </c>
      <c r="K43" s="10" t="s">
        <v>812</v>
      </c>
      <c r="L43" s="10" t="s">
        <v>813</v>
      </c>
      <c r="M43" s="10" t="s">
        <v>832</v>
      </c>
      <c r="N43" s="10" t="s">
        <v>836</v>
      </c>
      <c r="O43" s="10" t="s">
        <v>835</v>
      </c>
      <c r="P43" s="10" t="s">
        <v>833</v>
      </c>
      <c r="Q43" s="10" t="s">
        <v>774</v>
      </c>
      <c r="R43" s="10" t="s">
        <v>768</v>
      </c>
      <c r="S43" s="10" t="s">
        <v>769</v>
      </c>
      <c r="T43" s="10" t="s">
        <v>839</v>
      </c>
      <c r="U43" s="10" t="s">
        <v>348</v>
      </c>
      <c r="V43" s="10" t="s">
        <v>361</v>
      </c>
      <c r="W43" s="10" t="s">
        <v>842</v>
      </c>
      <c r="X43" s="10" t="s">
        <v>373</v>
      </c>
      <c r="Y43" s="10" t="s">
        <v>844</v>
      </c>
      <c r="Z43" s="10" t="s">
        <v>355</v>
      </c>
      <c r="AA43" s="10" t="s">
        <v>770</v>
      </c>
      <c r="AB43" s="10" t="s">
        <v>794</v>
      </c>
      <c r="AC43" s="10" t="s">
        <v>795</v>
      </c>
      <c r="AD43" s="10" t="s">
        <v>796</v>
      </c>
      <c r="AE43" s="10" t="s">
        <v>772</v>
      </c>
      <c r="AF43" s="10" t="s">
        <v>771</v>
      </c>
      <c r="AG43" s="10" t="s">
        <v>775</v>
      </c>
      <c r="AH43" s="10" t="s">
        <v>773</v>
      </c>
      <c r="AI43" s="10" t="s">
        <v>800</v>
      </c>
    </row>
    <row r="44" spans="2:35">
      <c r="G44" s="1" t="s">
        <v>500</v>
      </c>
      <c r="H44" s="1" t="s">
        <v>51</v>
      </c>
      <c r="I44" s="1" t="s">
        <v>51</v>
      </c>
      <c r="J44" s="1" t="s">
        <v>51</v>
      </c>
      <c r="K44" s="1" t="s">
        <v>51</v>
      </c>
      <c r="L44" s="1" t="s">
        <v>51</v>
      </c>
      <c r="M44" s="1" t="s">
        <v>51</v>
      </c>
      <c r="N44" s="1" t="s">
        <v>51</v>
      </c>
      <c r="O44" s="1" t="s">
        <v>51</v>
      </c>
      <c r="P44" s="65" t="s">
        <v>51</v>
      </c>
      <c r="Q44" s="65" t="s">
        <v>788</v>
      </c>
      <c r="R44" s="65" t="s">
        <v>776</v>
      </c>
      <c r="S44" s="65" t="s">
        <v>777</v>
      </c>
      <c r="T44" s="65" t="s">
        <v>840</v>
      </c>
      <c r="U44" s="65" t="s">
        <v>778</v>
      </c>
      <c r="V44" s="65" t="s">
        <v>779</v>
      </c>
      <c r="W44" s="65" t="s">
        <v>843</v>
      </c>
      <c r="X44" s="65" t="s">
        <v>780</v>
      </c>
      <c r="Y44" s="65" t="s">
        <v>783</v>
      </c>
      <c r="Z44" s="65" t="s">
        <v>781</v>
      </c>
      <c r="AA44" s="65" t="s">
        <v>782</v>
      </c>
      <c r="AB44" s="65" t="s">
        <v>375</v>
      </c>
      <c r="AC44" s="65" t="s">
        <v>378</v>
      </c>
      <c r="AD44" s="65" t="s">
        <v>975</v>
      </c>
      <c r="AE44" s="65" t="s">
        <v>786</v>
      </c>
      <c r="AF44" s="65" t="s">
        <v>785</v>
      </c>
      <c r="AG44" s="65" t="s">
        <v>789</v>
      </c>
      <c r="AH44" s="65" t="s">
        <v>787</v>
      </c>
      <c r="AI44" s="65" t="s">
        <v>797</v>
      </c>
    </row>
    <row r="45" spans="2:35" ht="20.25" thickBot="1">
      <c r="G45" s="20" t="s">
        <v>9</v>
      </c>
      <c r="H45" s="145" t="s">
        <v>834</v>
      </c>
      <c r="I45" s="145" t="s">
        <v>834</v>
      </c>
      <c r="J45" s="145" t="s">
        <v>834</v>
      </c>
      <c r="K45" s="20" t="s">
        <v>834</v>
      </c>
      <c r="L45" s="20" t="s">
        <v>834</v>
      </c>
      <c r="M45" s="20" t="s">
        <v>834</v>
      </c>
      <c r="N45" s="20" t="s">
        <v>834</v>
      </c>
      <c r="O45" s="20" t="s">
        <v>834</v>
      </c>
      <c r="P45" s="137" t="s">
        <v>834</v>
      </c>
      <c r="Q45" s="137" t="s">
        <v>790</v>
      </c>
      <c r="R45" s="137" t="s">
        <v>790</v>
      </c>
      <c r="S45" s="137" t="s">
        <v>760</v>
      </c>
      <c r="T45" s="137" t="s">
        <v>760</v>
      </c>
      <c r="U45" s="137" t="s">
        <v>760</v>
      </c>
      <c r="V45" s="137" t="s">
        <v>760</v>
      </c>
      <c r="W45" s="137" t="s">
        <v>760</v>
      </c>
      <c r="X45" s="137" t="s">
        <v>760</v>
      </c>
      <c r="Y45" s="137" t="s">
        <v>760</v>
      </c>
      <c r="Z45" s="137" t="s">
        <v>791</v>
      </c>
      <c r="AA45" s="137" t="s">
        <v>791</v>
      </c>
      <c r="AB45" s="137" t="s">
        <v>285</v>
      </c>
      <c r="AC45" s="137" t="s">
        <v>285</v>
      </c>
      <c r="AD45" s="137" t="s">
        <v>841</v>
      </c>
      <c r="AE45" s="137" t="s">
        <v>792</v>
      </c>
      <c r="AF45" s="137" t="s">
        <v>792</v>
      </c>
      <c r="AG45" s="137" t="s">
        <v>792</v>
      </c>
      <c r="AH45" s="137" t="s">
        <v>793</v>
      </c>
      <c r="AI45" s="137" t="s">
        <v>793</v>
      </c>
    </row>
    <row r="46" spans="2:35" ht="20.25" thickTop="1">
      <c r="G46" s="4">
        <v>0</v>
      </c>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row>
    <row r="47" spans="2:35">
      <c r="G47" s="22">
        <v>3.5</v>
      </c>
    </row>
  </sheetData>
  <phoneticPr fontId="3"/>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Normal="60" workbookViewId="0">
      <selection activeCell="D23" sqref="D23"/>
    </sheetView>
  </sheetViews>
  <sheetFormatPr defaultColWidth="8.6640625" defaultRowHeight="19.5"/>
  <sheetData>
    <row r="2" spans="2:5">
      <c r="B2" s="3" t="s">
        <v>899</v>
      </c>
      <c r="C2" s="3"/>
      <c r="D2" s="3"/>
      <c r="E2" s="3"/>
    </row>
    <row r="3" spans="2:5">
      <c r="B3" s="10" t="s">
        <v>186</v>
      </c>
      <c r="C3" s="10" t="s">
        <v>187</v>
      </c>
      <c r="D3" s="10" t="s">
        <v>900</v>
      </c>
      <c r="E3" s="10" t="s">
        <v>188</v>
      </c>
    </row>
    <row r="4" spans="2:5">
      <c r="B4" s="1" t="s">
        <v>901</v>
      </c>
      <c r="C4" s="1" t="s">
        <v>902</v>
      </c>
      <c r="D4" s="22">
        <v>3.5209999999999999</v>
      </c>
      <c r="E4" s="1" t="s">
        <v>761</v>
      </c>
    </row>
    <row r="5" spans="2:5">
      <c r="B5" s="1" t="s">
        <v>752</v>
      </c>
      <c r="C5" s="1" t="s">
        <v>903</v>
      </c>
      <c r="D5" s="22">
        <v>-1.5</v>
      </c>
      <c r="E5" s="1" t="s">
        <v>761</v>
      </c>
    </row>
    <row r="6" spans="2:5">
      <c r="B6" s="1"/>
      <c r="C6" s="1" t="s">
        <v>904</v>
      </c>
      <c r="D6" s="22">
        <v>0</v>
      </c>
      <c r="E6" s="1" t="s">
        <v>761</v>
      </c>
    </row>
    <row r="7" spans="2:5">
      <c r="B7" s="1"/>
      <c r="C7" s="1" t="s">
        <v>905</v>
      </c>
      <c r="D7" s="22">
        <v>4.5999999999999999E-2</v>
      </c>
      <c r="E7" s="1" t="s">
        <v>761</v>
      </c>
    </row>
    <row r="8" spans="2:5">
      <c r="B8" s="1" t="s">
        <v>345</v>
      </c>
      <c r="C8" s="1" t="s">
        <v>776</v>
      </c>
      <c r="D8" s="22">
        <v>-5.2380000000000004</v>
      </c>
      <c r="E8" s="1" t="s">
        <v>790</v>
      </c>
    </row>
    <row r="9" spans="2:5">
      <c r="B9" s="1" t="s">
        <v>906</v>
      </c>
      <c r="C9" s="1" t="s">
        <v>907</v>
      </c>
      <c r="D9" s="28">
        <v>73</v>
      </c>
      <c r="E9" s="1" t="s">
        <v>760</v>
      </c>
    </row>
    <row r="10" spans="2:5">
      <c r="B10" s="1" t="s">
        <v>908</v>
      </c>
      <c r="C10" s="1" t="s">
        <v>909</v>
      </c>
      <c r="D10" s="28">
        <v>90</v>
      </c>
      <c r="E10" s="1" t="s">
        <v>760</v>
      </c>
    </row>
    <row r="11" spans="2:5">
      <c r="B11" s="1" t="s">
        <v>910</v>
      </c>
      <c r="C11" s="1" t="s">
        <v>760</v>
      </c>
      <c r="D11" s="29" t="s">
        <v>911</v>
      </c>
      <c r="E11" s="1" t="s">
        <v>760</v>
      </c>
    </row>
    <row r="12" spans="2:5">
      <c r="B12" s="1" t="s">
        <v>912</v>
      </c>
      <c r="C12" s="1" t="s">
        <v>760</v>
      </c>
      <c r="D12" s="29" t="s">
        <v>913</v>
      </c>
      <c r="E12" s="1" t="s">
        <v>760</v>
      </c>
    </row>
    <row r="13" spans="2:5">
      <c r="B13" s="1" t="s">
        <v>914</v>
      </c>
      <c r="C13" s="1" t="s">
        <v>915</v>
      </c>
      <c r="D13" s="1">
        <v>0.46397713446944971</v>
      </c>
      <c r="E13" s="1" t="s">
        <v>805</v>
      </c>
    </row>
    <row r="14" spans="2:5">
      <c r="B14" s="1" t="s">
        <v>916</v>
      </c>
      <c r="C14" s="1" t="s">
        <v>917</v>
      </c>
      <c r="D14" s="1">
        <v>0.95184732967148733</v>
      </c>
      <c r="E14" s="1" t="s">
        <v>918</v>
      </c>
    </row>
    <row r="15" spans="2:5">
      <c r="B15" s="1" t="s">
        <v>919</v>
      </c>
      <c r="C15" s="1" t="s">
        <v>920</v>
      </c>
      <c r="D15" s="1">
        <v>2.901613310275148</v>
      </c>
      <c r="E15" s="1" t="s">
        <v>805</v>
      </c>
    </row>
    <row r="16" spans="2:5">
      <c r="B16" s="1" t="s">
        <v>921</v>
      </c>
      <c r="C16" s="1" t="s">
        <v>922</v>
      </c>
      <c r="D16" s="1"/>
      <c r="E16" s="1"/>
    </row>
    <row r="17" spans="2:5">
      <c r="B17" s="1" t="s">
        <v>923</v>
      </c>
      <c r="C17" s="1" t="s">
        <v>924</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85" workbookViewId="0">
      <selection activeCell="J29" sqref="J29"/>
    </sheetView>
  </sheetViews>
  <sheetFormatPr defaultColWidth="11.5546875" defaultRowHeight="19.5"/>
  <sheetData>
    <row r="2" spans="2:21">
      <c r="B2" s="3"/>
      <c r="C2" s="3"/>
      <c r="D2" s="3"/>
      <c r="E2" s="3"/>
      <c r="F2" s="3" t="s">
        <v>678</v>
      </c>
      <c r="G2" s="3"/>
      <c r="H2" s="3"/>
      <c r="I2" s="3"/>
      <c r="J2" s="3" t="s">
        <v>679</v>
      </c>
      <c r="K2" s="3"/>
      <c r="L2" s="3"/>
      <c r="M2" s="3"/>
      <c r="N2" s="3" t="s">
        <v>680</v>
      </c>
      <c r="O2" s="3"/>
      <c r="P2" s="3"/>
      <c r="Q2" s="3"/>
      <c r="R2" s="3" t="s">
        <v>62</v>
      </c>
      <c r="S2" s="3"/>
      <c r="T2" s="3"/>
      <c r="U2" s="3"/>
    </row>
    <row r="3" spans="2:21">
      <c r="B3" s="113"/>
      <c r="C3" s="113" t="s">
        <v>167</v>
      </c>
      <c r="D3" s="113" t="s">
        <v>167</v>
      </c>
      <c r="E3" s="113" t="s">
        <v>167</v>
      </c>
      <c r="F3" s="113" t="s">
        <v>669</v>
      </c>
      <c r="G3" s="113" t="s">
        <v>670</v>
      </c>
      <c r="H3" s="113" t="s">
        <v>671</v>
      </c>
      <c r="I3" s="113" t="s">
        <v>672</v>
      </c>
      <c r="J3" s="113" t="s">
        <v>669</v>
      </c>
      <c r="K3" s="113" t="s">
        <v>670</v>
      </c>
      <c r="L3" s="113" t="s">
        <v>671</v>
      </c>
      <c r="M3" s="113" t="s">
        <v>672</v>
      </c>
      <c r="N3" s="113" t="s">
        <v>669</v>
      </c>
      <c r="O3" s="113" t="s">
        <v>670</v>
      </c>
      <c r="P3" s="113" t="s">
        <v>671</v>
      </c>
      <c r="Q3" s="113" t="s">
        <v>672</v>
      </c>
      <c r="R3" s="113" t="s">
        <v>669</v>
      </c>
      <c r="S3" s="113" t="s">
        <v>670</v>
      </c>
      <c r="T3" s="113" t="s">
        <v>671</v>
      </c>
      <c r="U3" s="113" t="s">
        <v>672</v>
      </c>
    </row>
    <row r="4" spans="2:21">
      <c r="B4" s="113"/>
      <c r="C4" s="1" t="s">
        <v>26</v>
      </c>
      <c r="D4" s="1" t="s">
        <v>28</v>
      </c>
      <c r="E4" s="1" t="s">
        <v>29</v>
      </c>
      <c r="F4" s="1" t="s">
        <v>681</v>
      </c>
      <c r="G4" s="1" t="s">
        <v>682</v>
      </c>
      <c r="H4" s="1" t="s">
        <v>683</v>
      </c>
      <c r="I4" s="1" t="s">
        <v>681</v>
      </c>
      <c r="J4" s="1" t="s">
        <v>682</v>
      </c>
      <c r="K4" s="1" t="s">
        <v>683</v>
      </c>
      <c r="L4" s="1" t="s">
        <v>684</v>
      </c>
      <c r="M4" s="1" t="s">
        <v>685</v>
      </c>
      <c r="N4" s="1" t="s">
        <v>686</v>
      </c>
      <c r="O4" s="1" t="s">
        <v>687</v>
      </c>
      <c r="P4" s="1" t="s">
        <v>688</v>
      </c>
      <c r="Q4" s="1" t="s">
        <v>685</v>
      </c>
      <c r="R4" s="1" t="s">
        <v>686</v>
      </c>
      <c r="S4" s="1" t="s">
        <v>687</v>
      </c>
      <c r="T4" s="1" t="s">
        <v>688</v>
      </c>
      <c r="U4" s="1" t="s">
        <v>685</v>
      </c>
    </row>
    <row r="5" spans="2:21">
      <c r="B5" s="113"/>
      <c r="C5" s="1" t="s">
        <v>43</v>
      </c>
      <c r="D5" s="1" t="s">
        <v>43</v>
      </c>
      <c r="E5" s="1" t="s">
        <v>43</v>
      </c>
      <c r="F5" s="1" t="s">
        <v>690</v>
      </c>
      <c r="G5" s="1" t="s">
        <v>690</v>
      </c>
      <c r="H5" s="1" t="s">
        <v>690</v>
      </c>
      <c r="I5" s="1" t="s">
        <v>690</v>
      </c>
      <c r="J5" s="1" t="s">
        <v>690</v>
      </c>
      <c r="K5" s="1" t="s">
        <v>690</v>
      </c>
      <c r="L5" s="1" t="s">
        <v>690</v>
      </c>
      <c r="M5" s="1" t="s">
        <v>690</v>
      </c>
      <c r="N5" s="1" t="s">
        <v>690</v>
      </c>
      <c r="O5" s="1" t="s">
        <v>690</v>
      </c>
      <c r="P5" s="1" t="s">
        <v>690</v>
      </c>
      <c r="Q5" s="1" t="s">
        <v>690</v>
      </c>
      <c r="R5" s="1" t="s">
        <v>690</v>
      </c>
      <c r="S5" s="1" t="s">
        <v>690</v>
      </c>
      <c r="T5" s="1" t="s">
        <v>690</v>
      </c>
      <c r="U5" s="1" t="s">
        <v>690</v>
      </c>
    </row>
    <row r="6" spans="2:21">
      <c r="B6" s="113" t="s">
        <v>675</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13" t="s">
        <v>691</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13" t="s">
        <v>692</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13" t="s">
        <v>693</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13" t="s">
        <v>694</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26" spans="2:27">
      <c r="B26" t="s">
        <v>845</v>
      </c>
    </row>
    <row r="28" spans="2:27">
      <c r="B28" s="39" t="s">
        <v>740</v>
      </c>
      <c r="C28" s="39" t="s">
        <v>838</v>
      </c>
      <c r="D28" s="39" t="s">
        <v>851</v>
      </c>
      <c r="E28" s="39" t="s">
        <v>846</v>
      </c>
    </row>
    <row r="29" spans="2:27">
      <c r="B29" s="36" t="s">
        <v>51</v>
      </c>
      <c r="C29" s="36" t="s">
        <v>43</v>
      </c>
      <c r="D29" s="36" t="s">
        <v>43</v>
      </c>
      <c r="E29" s="36" t="s">
        <v>42</v>
      </c>
    </row>
    <row r="30" spans="2:27">
      <c r="B30" s="140" t="s">
        <v>538</v>
      </c>
      <c r="C30" s="140">
        <v>0</v>
      </c>
      <c r="D30" s="140">
        <v>0</v>
      </c>
      <c r="E30" s="36">
        <v>0</v>
      </c>
    </row>
    <row r="31" spans="2:27">
      <c r="S31" t="s">
        <v>987</v>
      </c>
      <c r="W31" s="3" t="s">
        <v>877</v>
      </c>
      <c r="X31" s="3"/>
      <c r="Y31" s="3"/>
      <c r="Z31" s="3"/>
    </row>
    <row r="32" spans="2:27">
      <c r="B32" s="10" t="s">
        <v>733</v>
      </c>
      <c r="C32" s="10" t="s">
        <v>988</v>
      </c>
      <c r="D32" s="10" t="s">
        <v>667</v>
      </c>
      <c r="E32" s="10" t="s">
        <v>409</v>
      </c>
      <c r="F32" s="10" t="s">
        <v>668</v>
      </c>
      <c r="G32" s="10" t="s">
        <v>847</v>
      </c>
      <c r="H32" s="10" t="s">
        <v>848</v>
      </c>
      <c r="I32" s="10" t="s">
        <v>849</v>
      </c>
      <c r="J32" s="10" t="s">
        <v>850</v>
      </c>
      <c r="K32" s="10" t="s">
        <v>852</v>
      </c>
      <c r="L32" s="10" t="s">
        <v>659</v>
      </c>
      <c r="M32" s="10" t="s">
        <v>853</v>
      </c>
      <c r="N32" s="10"/>
      <c r="O32" s="10" t="s">
        <v>854</v>
      </c>
      <c r="P32" s="10" t="s">
        <v>811</v>
      </c>
      <c r="Q32" s="10" t="s">
        <v>855</v>
      </c>
      <c r="R32" s="10" t="s">
        <v>856</v>
      </c>
      <c r="S32" s="10" t="s">
        <v>857</v>
      </c>
      <c r="T32" s="10" t="s">
        <v>858</v>
      </c>
      <c r="U32" s="10" t="s">
        <v>859</v>
      </c>
      <c r="V32" s="10" t="s">
        <v>860</v>
      </c>
      <c r="W32" s="113" t="s">
        <v>878</v>
      </c>
      <c r="X32" s="113" t="s">
        <v>879</v>
      </c>
      <c r="Y32" s="113" t="s">
        <v>880</v>
      </c>
      <c r="Z32" s="113" t="s">
        <v>881</v>
      </c>
      <c r="AA32" s="113" t="s">
        <v>882</v>
      </c>
    </row>
    <row r="33" spans="2:27">
      <c r="B33" s="1" t="s">
        <v>500</v>
      </c>
      <c r="C33" s="1" t="s">
        <v>51</v>
      </c>
      <c r="D33" s="1" t="s">
        <v>660</v>
      </c>
      <c r="E33" s="1" t="s">
        <v>52</v>
      </c>
      <c r="F33" s="1" t="s">
        <v>52</v>
      </c>
      <c r="G33" s="1" t="s">
        <v>52</v>
      </c>
      <c r="H33" s="1" t="s">
        <v>52</v>
      </c>
      <c r="I33" s="1" t="s">
        <v>52</v>
      </c>
      <c r="J33" s="1" t="s">
        <v>52</v>
      </c>
      <c r="K33" s="1" t="s">
        <v>52</v>
      </c>
      <c r="L33" s="1" t="s">
        <v>665</v>
      </c>
      <c r="M33" s="1" t="s">
        <v>861</v>
      </c>
      <c r="N33" s="1" t="s">
        <v>862</v>
      </c>
      <c r="O33" s="1" t="s">
        <v>863</v>
      </c>
      <c r="P33" s="1" t="s">
        <v>864</v>
      </c>
      <c r="Q33" s="1" t="s">
        <v>865</v>
      </c>
      <c r="R33" s="1" t="s">
        <v>866</v>
      </c>
      <c r="S33" s="1" t="s">
        <v>867</v>
      </c>
      <c r="T33" s="1" t="s">
        <v>868</v>
      </c>
      <c r="U33" s="1" t="s">
        <v>869</v>
      </c>
      <c r="V33" s="1" t="s">
        <v>870</v>
      </c>
      <c r="W33" s="1" t="s">
        <v>883</v>
      </c>
      <c r="X33" s="1" t="s">
        <v>884</v>
      </c>
      <c r="Y33" s="1" t="s">
        <v>885</v>
      </c>
      <c r="Z33" s="1" t="s">
        <v>886</v>
      </c>
      <c r="AA33" s="1" t="s">
        <v>887</v>
      </c>
    </row>
    <row r="34" spans="2:27" ht="20.25" thickBot="1">
      <c r="B34" s="20" t="s">
        <v>9</v>
      </c>
      <c r="C34" s="20" t="s">
        <v>51</v>
      </c>
      <c r="D34" s="20" t="s">
        <v>673</v>
      </c>
      <c r="E34" s="20" t="s">
        <v>673</v>
      </c>
      <c r="F34" s="20" t="s">
        <v>689</v>
      </c>
      <c r="G34" s="20" t="s">
        <v>690</v>
      </c>
      <c r="H34" s="20" t="s">
        <v>690</v>
      </c>
      <c r="I34" s="20" t="s">
        <v>690</v>
      </c>
      <c r="J34" s="20" t="s">
        <v>690</v>
      </c>
      <c r="K34" s="20" t="s">
        <v>51</v>
      </c>
      <c r="L34" s="20" t="s">
        <v>674</v>
      </c>
      <c r="M34" s="20" t="s">
        <v>871</v>
      </c>
      <c r="N34" s="20" t="s">
        <v>871</v>
      </c>
      <c r="O34" s="20" t="s">
        <v>871</v>
      </c>
      <c r="P34" s="20" t="s">
        <v>872</v>
      </c>
      <c r="Q34" s="20" t="s">
        <v>873</v>
      </c>
      <c r="R34" s="20" t="s">
        <v>874</v>
      </c>
      <c r="S34" s="20" t="s">
        <v>875</v>
      </c>
      <c r="T34" s="20" t="s">
        <v>875</v>
      </c>
      <c r="U34" s="20" t="s">
        <v>876</v>
      </c>
      <c r="V34" s="20" t="s">
        <v>876</v>
      </c>
      <c r="W34" s="20" t="s">
        <v>888</v>
      </c>
      <c r="X34" s="20" t="s">
        <v>889</v>
      </c>
      <c r="Y34" s="20" t="s">
        <v>890</v>
      </c>
      <c r="Z34" s="20" t="s">
        <v>888</v>
      </c>
      <c r="AA34" s="20" t="s">
        <v>760</v>
      </c>
    </row>
    <row r="35" spans="2:27" ht="20.25" thickTop="1">
      <c r="B35" s="4">
        <v>0</v>
      </c>
      <c r="C35" s="141" t="s">
        <v>538</v>
      </c>
      <c r="D35" s="114">
        <v>15</v>
      </c>
      <c r="E35" s="114">
        <v>15</v>
      </c>
      <c r="F35" s="114">
        <v>0</v>
      </c>
      <c r="G35" s="141">
        <v>0</v>
      </c>
      <c r="H35" s="141">
        <v>0</v>
      </c>
      <c r="I35" s="114">
        <v>0</v>
      </c>
      <c r="J35" s="114">
        <v>0</v>
      </c>
      <c r="K35" s="114">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6" t="s">
        <v>989</v>
      </c>
      <c r="C40" s="140">
        <v>500</v>
      </c>
      <c r="D40" s="36" t="s">
        <v>874</v>
      </c>
      <c r="F40" s="36" t="s">
        <v>1001</v>
      </c>
      <c r="G40" s="36">
        <f>(C38-C39)*(C40-1)+C38</f>
        <v>0</v>
      </c>
      <c r="H40" s="36" t="s">
        <v>874</v>
      </c>
    </row>
    <row r="41" spans="2:27">
      <c r="B41" s="36" t="s">
        <v>990</v>
      </c>
      <c r="C41" s="140">
        <v>40</v>
      </c>
      <c r="D41" s="36" t="s">
        <v>874</v>
      </c>
      <c r="F41" s="36" t="s">
        <v>1003</v>
      </c>
      <c r="G41" s="36">
        <f>G40-C41*2</f>
        <v>-80</v>
      </c>
      <c r="H41" s="36" t="s">
        <v>874</v>
      </c>
      <c r="J41" s="1" t="s">
        <v>1008</v>
      </c>
      <c r="K41" s="22">
        <v>10</v>
      </c>
      <c r="L41" s="1" t="s">
        <v>874</v>
      </c>
      <c r="Q41" t="s">
        <v>999</v>
      </c>
      <c r="R41" t="s">
        <v>1000</v>
      </c>
    </row>
    <row r="42" spans="2:27">
      <c r="B42" s="36" t="s">
        <v>991</v>
      </c>
      <c r="C42" s="140">
        <v>9</v>
      </c>
      <c r="D42" s="36" t="s">
        <v>992</v>
      </c>
      <c r="F42" s="36" t="s">
        <v>1005</v>
      </c>
      <c r="G42" s="36">
        <f>(G41-C37)/2</f>
        <v>-40</v>
      </c>
      <c r="H42" s="36" t="s">
        <v>874</v>
      </c>
      <c r="J42" s="1" t="s">
        <v>1009</v>
      </c>
      <c r="K42" s="22">
        <v>10</v>
      </c>
      <c r="L42" s="1" t="s">
        <v>874</v>
      </c>
      <c r="O42" t="s">
        <v>1002</v>
      </c>
      <c r="P42" s="36" t="s">
        <v>995</v>
      </c>
      <c r="Q42" s="152">
        <f>G38</f>
        <v>0</v>
      </c>
      <c r="R42" s="152">
        <f>Q42+K40*(K37+K38)*2</f>
        <v>0</v>
      </c>
    </row>
    <row r="43" spans="2:27">
      <c r="B43" s="36" t="s">
        <v>993</v>
      </c>
      <c r="C43" s="140">
        <v>50</v>
      </c>
      <c r="D43" s="36" t="s">
        <v>874</v>
      </c>
      <c r="F43" s="36" t="s">
        <v>1011</v>
      </c>
      <c r="G43" s="36"/>
      <c r="H43" s="36" t="s">
        <v>42</v>
      </c>
      <c r="J43" s="1" t="s">
        <v>1010</v>
      </c>
      <c r="K43" s="28">
        <v>1000</v>
      </c>
      <c r="L43" s="1" t="s">
        <v>874</v>
      </c>
      <c r="P43" s="36" t="s">
        <v>1004</v>
      </c>
      <c r="Q43" s="152">
        <f>G38*G37</f>
        <v>0</v>
      </c>
      <c r="R43" s="152">
        <f>Q43+K40*K37*2</f>
        <v>0</v>
      </c>
    </row>
    <row r="44" spans="2:27">
      <c r="P44" s="36" t="s">
        <v>1006</v>
      </c>
      <c r="Q44" s="152">
        <f>G39</f>
        <v>0</v>
      </c>
      <c r="R44" s="152">
        <f>Q44+K40*(K37+K38)*2</f>
        <v>0</v>
      </c>
    </row>
    <row r="45" spans="2:27">
      <c r="P45" s="36" t="s">
        <v>998</v>
      </c>
      <c r="Q45" s="152">
        <f>G39*G37</f>
        <v>0</v>
      </c>
      <c r="R45" s="152">
        <f>Q45+K40*K37*2</f>
        <v>0</v>
      </c>
    </row>
    <row r="46" spans="2:27">
      <c r="B46" s="39" t="s">
        <v>994</v>
      </c>
      <c r="C46" s="39">
        <v>1</v>
      </c>
      <c r="D46" s="39">
        <v>2</v>
      </c>
      <c r="E46" s="39">
        <v>3</v>
      </c>
      <c r="F46" s="39">
        <v>4</v>
      </c>
      <c r="G46" s="39">
        <v>5</v>
      </c>
      <c r="H46" s="39">
        <v>6</v>
      </c>
      <c r="I46" s="39">
        <v>7</v>
      </c>
      <c r="J46" s="39">
        <v>8</v>
      </c>
      <c r="K46" s="39">
        <v>9</v>
      </c>
      <c r="L46" s="39"/>
      <c r="M46" s="39"/>
      <c r="O46" t="s">
        <v>1007</v>
      </c>
      <c r="P46" s="36" t="s">
        <v>995</v>
      </c>
      <c r="Q46" s="152" t="e">
        <f>C47-#REF!*C41</f>
        <v>#REF!</v>
      </c>
      <c r="R46" s="152" t="e">
        <f>Q46+K40*(K37+K38)*2</f>
        <v>#REF!</v>
      </c>
    </row>
    <row r="47" spans="2:27">
      <c r="B47" s="39" t="s">
        <v>995</v>
      </c>
      <c r="C47" s="151" t="e">
        <f>G38+$G$7*(#REF!-$C$4)/2</f>
        <v>#REF!</v>
      </c>
      <c r="D47" s="151" t="e">
        <f t="shared" ref="D47:K47" si="0">C49+$G$7*$C$6</f>
        <v>#REF!</v>
      </c>
      <c r="E47" s="151" t="e">
        <f t="shared" si="0"/>
        <v>#REF!</v>
      </c>
      <c r="F47" s="151" t="e">
        <f t="shared" si="0"/>
        <v>#REF!</v>
      </c>
      <c r="G47" s="151" t="e">
        <f t="shared" si="0"/>
        <v>#REF!</v>
      </c>
      <c r="H47" s="151" t="e">
        <f t="shared" si="0"/>
        <v>#REF!</v>
      </c>
      <c r="I47" s="151" t="e">
        <f t="shared" si="0"/>
        <v>#REF!</v>
      </c>
      <c r="J47" s="151" t="e">
        <f t="shared" si="0"/>
        <v>#REF!</v>
      </c>
      <c r="K47" s="151" t="e">
        <f t="shared" si="0"/>
        <v>#REF!</v>
      </c>
      <c r="L47" s="151"/>
      <c r="M47" s="151"/>
      <c r="P47" s="36" t="s">
        <v>1004</v>
      </c>
      <c r="Q47" s="152" t="e">
        <f>Q46*G37</f>
        <v>#REF!</v>
      </c>
      <c r="R47" s="152" t="e">
        <f>Q47+K40*K37*2</f>
        <v>#REF!</v>
      </c>
    </row>
    <row r="48" spans="2:27">
      <c r="B48" s="39" t="s">
        <v>996</v>
      </c>
      <c r="C48" s="151" t="e">
        <f>C47*G37</f>
        <v>#REF!</v>
      </c>
      <c r="D48" s="151" t="e">
        <f t="shared" ref="D48:K48" si="1">D47*$G$4</f>
        <v>#REF!</v>
      </c>
      <c r="E48" s="151" t="e">
        <f t="shared" si="1"/>
        <v>#REF!</v>
      </c>
      <c r="F48" s="151" t="e">
        <f t="shared" si="1"/>
        <v>#REF!</v>
      </c>
      <c r="G48" s="151" t="e">
        <f t="shared" si="1"/>
        <v>#REF!</v>
      </c>
      <c r="H48" s="151" t="e">
        <f t="shared" si="1"/>
        <v>#REF!</v>
      </c>
      <c r="I48" s="151" t="e">
        <f t="shared" si="1"/>
        <v>#REF!</v>
      </c>
      <c r="J48" s="151" t="e">
        <f t="shared" si="1"/>
        <v>#REF!</v>
      </c>
      <c r="K48" s="151" t="e">
        <f t="shared" si="1"/>
        <v>#REF!</v>
      </c>
      <c r="L48" s="151"/>
      <c r="M48" s="151"/>
      <c r="P48" s="36" t="s">
        <v>1006</v>
      </c>
      <c r="Q48" s="152" t="e">
        <f>J49+C41*#REF!</f>
        <v>#REF!</v>
      </c>
      <c r="R48" s="152" t="e">
        <f>Q48+K40*(K37+K38)*2</f>
        <v>#REF!</v>
      </c>
    </row>
    <row r="49" spans="2:18">
      <c r="B49" s="39" t="s">
        <v>997</v>
      </c>
      <c r="C49" s="151" t="e">
        <f t="shared" ref="C49:K49" si="2">C47-$G$7*$C$5</f>
        <v>#REF!</v>
      </c>
      <c r="D49" s="151" t="e">
        <f t="shared" si="2"/>
        <v>#REF!</v>
      </c>
      <c r="E49" s="151" t="e">
        <f t="shared" si="2"/>
        <v>#REF!</v>
      </c>
      <c r="F49" s="151" t="e">
        <f t="shared" si="2"/>
        <v>#REF!</v>
      </c>
      <c r="G49" s="151" t="e">
        <f t="shared" si="2"/>
        <v>#REF!</v>
      </c>
      <c r="H49" s="151" t="e">
        <f t="shared" si="2"/>
        <v>#REF!</v>
      </c>
      <c r="I49" s="151" t="e">
        <f t="shared" si="2"/>
        <v>#REF!</v>
      </c>
      <c r="J49" s="151" t="e">
        <f t="shared" si="2"/>
        <v>#REF!</v>
      </c>
      <c r="K49" s="151" t="e">
        <f t="shared" si="2"/>
        <v>#REF!</v>
      </c>
      <c r="L49" s="151"/>
      <c r="M49" s="151"/>
      <c r="P49" s="36" t="s">
        <v>998</v>
      </c>
      <c r="Q49" s="152" t="e">
        <f>Q48*G37</f>
        <v>#REF!</v>
      </c>
      <c r="R49" s="152" t="e">
        <f>Q49+K40*K37*2</f>
        <v>#REF!</v>
      </c>
    </row>
    <row r="50" spans="2:18">
      <c r="B50" s="39" t="s">
        <v>998</v>
      </c>
      <c r="C50" s="151" t="e">
        <f t="shared" ref="C50:K50" si="3">C49*$G$4</f>
        <v>#REF!</v>
      </c>
      <c r="D50" s="151" t="e">
        <f t="shared" si="3"/>
        <v>#REF!</v>
      </c>
      <c r="E50" s="151" t="e">
        <f t="shared" si="3"/>
        <v>#REF!</v>
      </c>
      <c r="F50" s="151" t="e">
        <f t="shared" si="3"/>
        <v>#REF!</v>
      </c>
      <c r="G50" s="151" t="e">
        <f t="shared" si="3"/>
        <v>#REF!</v>
      </c>
      <c r="H50" s="151" t="e">
        <f t="shared" si="3"/>
        <v>#REF!</v>
      </c>
      <c r="I50" s="151" t="e">
        <f t="shared" si="3"/>
        <v>#REF!</v>
      </c>
      <c r="J50" s="151" t="e">
        <f t="shared" si="3"/>
        <v>#REF!</v>
      </c>
      <c r="K50" s="151" t="e">
        <f t="shared" si="3"/>
        <v>#REF!</v>
      </c>
      <c r="L50" s="151"/>
      <c r="M50" s="15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A2:BO50"/>
  <sheetViews>
    <sheetView tabSelected="1" zoomScale="70" zoomScaleNormal="70" workbookViewId="0">
      <selection activeCell="BE16" sqref="BE16"/>
    </sheetView>
  </sheetViews>
  <sheetFormatPr defaultColWidth="11.5546875" defaultRowHeight="19.5"/>
  <cols>
    <col min="1" max="1" width="11.5546875" customWidth="1"/>
    <col min="2" max="2" width="11.44140625" customWidth="1"/>
    <col min="3" max="5" width="11.5546875" customWidth="1"/>
  </cols>
  <sheetData>
    <row r="2" spans="1:67">
      <c r="B2" t="s">
        <v>17</v>
      </c>
      <c r="I2" s="3"/>
      <c r="J2" s="3"/>
      <c r="K2" t="s">
        <v>1012</v>
      </c>
      <c r="M2" s="3" t="s">
        <v>980</v>
      </c>
      <c r="N2" s="3"/>
      <c r="O2" s="3"/>
      <c r="P2" s="3"/>
      <c r="Q2" s="3" t="s">
        <v>981</v>
      </c>
      <c r="R2" s="3"/>
      <c r="S2" s="3"/>
      <c r="T2" s="3"/>
      <c r="U2" s="3" t="s">
        <v>982</v>
      </c>
      <c r="V2" s="3"/>
      <c r="W2" s="3"/>
      <c r="X2" s="3"/>
      <c r="Y2" s="3" t="s">
        <v>983</v>
      </c>
      <c r="Z2" s="3"/>
      <c r="AA2" s="3"/>
      <c r="AB2" s="3"/>
    </row>
    <row r="3" spans="1:67">
      <c r="B3" s="10" t="s">
        <v>1147</v>
      </c>
      <c r="C3" s="10" t="s">
        <v>988</v>
      </c>
      <c r="D3" s="10" t="s">
        <v>1136</v>
      </c>
      <c r="E3" s="10" t="s">
        <v>659</v>
      </c>
      <c r="F3" s="10" t="s">
        <v>1145</v>
      </c>
      <c r="G3" s="10" t="s">
        <v>1142</v>
      </c>
      <c r="I3" s="10"/>
      <c r="J3" s="10" t="s">
        <v>984</v>
      </c>
      <c r="K3" s="10" t="s">
        <v>741</v>
      </c>
      <c r="L3" s="10" t="s">
        <v>742</v>
      </c>
      <c r="M3" s="10" t="s">
        <v>847</v>
      </c>
      <c r="N3" s="10" t="s">
        <v>848</v>
      </c>
      <c r="O3" s="10" t="s">
        <v>849</v>
      </c>
      <c r="P3" s="10" t="s">
        <v>850</v>
      </c>
      <c r="Q3" s="10" t="s">
        <v>847</v>
      </c>
      <c r="R3" s="10" t="s">
        <v>848</v>
      </c>
      <c r="S3" s="10" t="s">
        <v>849</v>
      </c>
      <c r="T3" s="10" t="s">
        <v>850</v>
      </c>
      <c r="U3" s="10" t="s">
        <v>847</v>
      </c>
      <c r="V3" s="10" t="s">
        <v>848</v>
      </c>
      <c r="W3" s="10" t="s">
        <v>849</v>
      </c>
      <c r="X3" s="10" t="s">
        <v>850</v>
      </c>
      <c r="Y3" s="10" t="s">
        <v>847</v>
      </c>
      <c r="Z3" s="10" t="s">
        <v>848</v>
      </c>
      <c r="AA3" s="10" t="s">
        <v>849</v>
      </c>
      <c r="AB3" s="10" t="s">
        <v>850</v>
      </c>
      <c r="AE3" s="10" t="s">
        <v>1199</v>
      </c>
      <c r="AF3" s="10" t="s">
        <v>1200</v>
      </c>
      <c r="AG3" s="10" t="s">
        <v>1156</v>
      </c>
      <c r="AH3" s="10" t="s">
        <v>1201</v>
      </c>
      <c r="AI3" s="10" t="s">
        <v>1157</v>
      </c>
      <c r="AJ3" s="10" t="s">
        <v>1158</v>
      </c>
      <c r="AK3" s="10" t="s">
        <v>1159</v>
      </c>
      <c r="AL3" s="10" t="s">
        <v>1160</v>
      </c>
      <c r="AM3" s="10" t="s">
        <v>1161</v>
      </c>
      <c r="AN3" s="10"/>
      <c r="AO3" s="10" t="s">
        <v>1162</v>
      </c>
      <c r="AP3" s="10" t="s">
        <v>1163</v>
      </c>
      <c r="AQ3" s="10" t="s">
        <v>1164</v>
      </c>
      <c r="AR3" s="10" t="s">
        <v>1165</v>
      </c>
      <c r="AS3" s="10" t="s">
        <v>123</v>
      </c>
      <c r="AT3" s="10" t="s">
        <v>1166</v>
      </c>
      <c r="AU3" s="10" t="s">
        <v>1167</v>
      </c>
      <c r="AV3" s="10" t="s">
        <v>1168</v>
      </c>
      <c r="AW3" s="10" t="s">
        <v>1169</v>
      </c>
      <c r="AX3" s="113" t="s">
        <v>1170</v>
      </c>
      <c r="AY3" s="113" t="s">
        <v>1171</v>
      </c>
      <c r="AZ3" s="113" t="s">
        <v>1172</v>
      </c>
      <c r="BA3" s="113" t="s">
        <v>1173</v>
      </c>
      <c r="BB3" s="113" t="s">
        <v>1174</v>
      </c>
      <c r="BC3" s="113" t="s">
        <v>531</v>
      </c>
      <c r="BD3" s="113" t="s">
        <v>532</v>
      </c>
      <c r="BE3" s="113" t="s">
        <v>533</v>
      </c>
      <c r="BF3" s="113" t="s">
        <v>534</v>
      </c>
      <c r="BG3" s="113" t="s">
        <v>531</v>
      </c>
      <c r="BH3" s="113" t="s">
        <v>532</v>
      </c>
      <c r="BI3" s="113" t="s">
        <v>533</v>
      </c>
      <c r="BJ3" s="113" t="s">
        <v>534</v>
      </c>
      <c r="BK3" s="113" t="s">
        <v>531</v>
      </c>
      <c r="BL3" s="113" t="s">
        <v>532</v>
      </c>
      <c r="BM3" s="113" t="s">
        <v>533</v>
      </c>
      <c r="BN3" s="113" t="s">
        <v>534</v>
      </c>
      <c r="BO3" s="113" t="s">
        <v>25</v>
      </c>
    </row>
    <row r="4" spans="1:67">
      <c r="B4" s="1" t="s">
        <v>500</v>
      </c>
      <c r="C4" s="1" t="s">
        <v>51</v>
      </c>
      <c r="D4" s="1" t="s">
        <v>52</v>
      </c>
      <c r="E4" s="1" t="s">
        <v>665</v>
      </c>
      <c r="F4" s="1" t="s">
        <v>1140</v>
      </c>
      <c r="G4" s="1" t="s">
        <v>1141</v>
      </c>
      <c r="I4" s="10"/>
      <c r="J4" s="1" t="s">
        <v>985</v>
      </c>
      <c r="K4" s="1" t="s">
        <v>1150</v>
      </c>
      <c r="L4" s="1" t="s">
        <v>1151</v>
      </c>
      <c r="M4" s="1" t="s">
        <v>1152</v>
      </c>
      <c r="N4" s="1" t="s">
        <v>1155</v>
      </c>
      <c r="O4" s="1" t="s">
        <v>1154</v>
      </c>
      <c r="P4" s="1" t="s">
        <v>1153</v>
      </c>
      <c r="Q4" s="1" t="s">
        <v>1152</v>
      </c>
      <c r="R4" s="1" t="s">
        <v>1155</v>
      </c>
      <c r="S4" s="1" t="s">
        <v>1154</v>
      </c>
      <c r="T4" s="1" t="s">
        <v>1153</v>
      </c>
      <c r="U4" s="1" t="s">
        <v>1152</v>
      </c>
      <c r="V4" s="1" t="s">
        <v>1155</v>
      </c>
      <c r="W4" s="1" t="s">
        <v>1154</v>
      </c>
      <c r="X4" s="1" t="s">
        <v>1153</v>
      </c>
      <c r="Y4" s="1" t="s">
        <v>1152</v>
      </c>
      <c r="Z4" s="1" t="s">
        <v>1155</v>
      </c>
      <c r="AA4" s="1" t="s">
        <v>1154</v>
      </c>
      <c r="AB4" s="1" t="s">
        <v>1153</v>
      </c>
      <c r="AE4" s="1" t="s">
        <v>66</v>
      </c>
      <c r="AF4" s="1" t="s">
        <v>660</v>
      </c>
      <c r="AG4" s="1" t="s">
        <v>52</v>
      </c>
      <c r="AH4" s="2" t="s">
        <v>52</v>
      </c>
      <c r="AI4" s="1" t="s">
        <v>1175</v>
      </c>
      <c r="AJ4" s="1" t="s">
        <v>1176</v>
      </c>
      <c r="AK4" s="1" t="s">
        <v>1177</v>
      </c>
      <c r="AL4" s="1" t="s">
        <v>1178</v>
      </c>
      <c r="AM4" s="1" t="s">
        <v>1179</v>
      </c>
      <c r="AN4" s="1" t="s">
        <v>1180</v>
      </c>
      <c r="AO4" s="1" t="s">
        <v>1181</v>
      </c>
      <c r="AP4" s="1" t="s">
        <v>1182</v>
      </c>
      <c r="AQ4" s="1" t="s">
        <v>1183</v>
      </c>
      <c r="AR4" s="1" t="s">
        <v>500</v>
      </c>
      <c r="AS4" s="1" t="s">
        <v>1184</v>
      </c>
      <c r="AT4" s="1" t="s">
        <v>619</v>
      </c>
      <c r="AU4" s="1" t="s">
        <v>1185</v>
      </c>
      <c r="AV4" s="1" t="s">
        <v>1186</v>
      </c>
      <c r="AW4" s="1" t="s">
        <v>52</v>
      </c>
      <c r="AX4" s="1" t="s">
        <v>1187</v>
      </c>
      <c r="AY4" s="1" t="s">
        <v>27</v>
      </c>
      <c r="AZ4" s="1" t="s">
        <v>1188</v>
      </c>
      <c r="BA4" s="1" t="s">
        <v>618</v>
      </c>
      <c r="BB4" s="1" t="s">
        <v>1189</v>
      </c>
      <c r="BC4" s="1" t="s">
        <v>52</v>
      </c>
      <c r="BD4" s="1" t="s">
        <v>52</v>
      </c>
      <c r="BE4" s="1" t="s">
        <v>52</v>
      </c>
      <c r="BF4" s="1" t="s">
        <v>52</v>
      </c>
      <c r="BG4" s="1" t="s">
        <v>52</v>
      </c>
      <c r="BH4" s="1" t="s">
        <v>52</v>
      </c>
      <c r="BI4" s="1" t="s">
        <v>52</v>
      </c>
      <c r="BJ4" s="1" t="s">
        <v>52</v>
      </c>
      <c r="BK4" s="1" t="s">
        <v>52</v>
      </c>
      <c r="BL4" s="1" t="s">
        <v>52</v>
      </c>
      <c r="BM4" s="1" t="s">
        <v>52</v>
      </c>
      <c r="BN4" s="1" t="s">
        <v>52</v>
      </c>
      <c r="BO4" s="1" t="s">
        <v>52</v>
      </c>
    </row>
    <row r="5" spans="1:67" ht="20.25" thickBot="1">
      <c r="B5" s="20" t="s">
        <v>9</v>
      </c>
      <c r="C5" s="20" t="s">
        <v>51</v>
      </c>
      <c r="D5" s="20" t="s">
        <v>51</v>
      </c>
      <c r="E5" s="20" t="s">
        <v>1146</v>
      </c>
      <c r="F5" s="20" t="s">
        <v>1134</v>
      </c>
      <c r="G5" s="20" t="s">
        <v>1134</v>
      </c>
      <c r="I5" s="10"/>
      <c r="J5" s="1" t="s">
        <v>761</v>
      </c>
      <c r="K5" s="1" t="s">
        <v>874</v>
      </c>
      <c r="L5" s="1" t="s">
        <v>874</v>
      </c>
      <c r="M5" s="1" t="s">
        <v>874</v>
      </c>
      <c r="N5" s="1" t="s">
        <v>874</v>
      </c>
      <c r="O5" s="1" t="s">
        <v>874</v>
      </c>
      <c r="P5" s="1" t="s">
        <v>874</v>
      </c>
      <c r="Q5" s="1" t="s">
        <v>874</v>
      </c>
      <c r="R5" s="1" t="s">
        <v>874</v>
      </c>
      <c r="S5" s="1" t="s">
        <v>874</v>
      </c>
      <c r="T5" s="1" t="s">
        <v>874</v>
      </c>
      <c r="U5" s="1" t="s">
        <v>874</v>
      </c>
      <c r="V5" s="1" t="s">
        <v>874</v>
      </c>
      <c r="W5" s="1" t="s">
        <v>874</v>
      </c>
      <c r="X5" s="1" t="s">
        <v>874</v>
      </c>
      <c r="Y5" s="1" t="s">
        <v>874</v>
      </c>
      <c r="Z5" s="1" t="s">
        <v>874</v>
      </c>
      <c r="AA5" s="1" t="s">
        <v>874</v>
      </c>
      <c r="AB5" s="1" t="s">
        <v>874</v>
      </c>
      <c r="AE5" s="20" t="s">
        <v>68</v>
      </c>
      <c r="AF5" s="20" t="s">
        <v>52</v>
      </c>
      <c r="AG5" s="20" t="s">
        <v>52</v>
      </c>
      <c r="AH5" s="20" t="s">
        <v>9</v>
      </c>
      <c r="AI5" s="20" t="s">
        <v>1134</v>
      </c>
      <c r="AJ5" s="20" t="s">
        <v>1134</v>
      </c>
      <c r="AK5" s="20" t="s">
        <v>1134</v>
      </c>
      <c r="AL5" s="20" t="s">
        <v>1134</v>
      </c>
      <c r="AM5" s="20" t="s">
        <v>1190</v>
      </c>
      <c r="AN5" s="20" t="s">
        <v>1190</v>
      </c>
      <c r="AO5" s="20" t="s">
        <v>1190</v>
      </c>
      <c r="AP5" s="20" t="s">
        <v>1191</v>
      </c>
      <c r="AQ5" s="20" t="s">
        <v>1192</v>
      </c>
      <c r="AR5" s="20" t="s">
        <v>1134</v>
      </c>
      <c r="AS5" s="20" t="s">
        <v>122</v>
      </c>
      <c r="AT5" s="20" t="s">
        <v>122</v>
      </c>
      <c r="AU5" s="20" t="s">
        <v>1193</v>
      </c>
      <c r="AV5" s="20" t="s">
        <v>1193</v>
      </c>
      <c r="AW5" s="20" t="s">
        <v>1134</v>
      </c>
      <c r="AX5" s="20" t="s">
        <v>1194</v>
      </c>
      <c r="AY5" s="20" t="s">
        <v>1195</v>
      </c>
      <c r="AZ5" s="20" t="s">
        <v>1196</v>
      </c>
      <c r="BA5" s="20" t="s">
        <v>1194</v>
      </c>
      <c r="BB5" s="20" t="s">
        <v>52</v>
      </c>
      <c r="BC5" s="20" t="s">
        <v>1191</v>
      </c>
      <c r="BD5" s="20" t="s">
        <v>1197</v>
      </c>
      <c r="BE5" s="20" t="s">
        <v>1198</v>
      </c>
      <c r="BF5" s="20" t="s">
        <v>1198</v>
      </c>
      <c r="BG5" s="20" t="s">
        <v>524</v>
      </c>
      <c r="BH5" s="20" t="s">
        <v>524</v>
      </c>
      <c r="BI5" s="20" t="s">
        <v>524</v>
      </c>
      <c r="BJ5" s="20" t="s">
        <v>524</v>
      </c>
      <c r="BK5" s="20" t="s">
        <v>10</v>
      </c>
      <c r="BL5" s="20" t="s">
        <v>10</v>
      </c>
      <c r="BM5" s="20" t="s">
        <v>10</v>
      </c>
      <c r="BN5" s="20" t="s">
        <v>10</v>
      </c>
      <c r="BO5" s="20" t="s">
        <v>10</v>
      </c>
    </row>
    <row r="6" spans="1:67" ht="20.25" thickTop="1">
      <c r="A6" t="s">
        <v>531</v>
      </c>
      <c r="B6" s="248">
        <v>0</v>
      </c>
      <c r="C6" s="249" t="s">
        <v>538</v>
      </c>
      <c r="D6" s="51">
        <v>1</v>
      </c>
      <c r="E6" s="51">
        <v>0</v>
      </c>
      <c r="F6" s="25">
        <f>VLOOKUP(主桁!$C6,積層構成!$B$7:$M$29,7)</f>
        <v>1.6950000000000001</v>
      </c>
      <c r="G6" s="25">
        <f>VLOOKUP(主桁!$C6,積層構成!$B$7:$M$29,8)</f>
        <v>1.6950000000000001</v>
      </c>
      <c r="I6" s="10" t="s">
        <v>735</v>
      </c>
      <c r="J6" s="22">
        <v>0</v>
      </c>
      <c r="K6" s="1"/>
      <c r="L6" s="1"/>
      <c r="M6" s="22">
        <v>110</v>
      </c>
      <c r="N6" s="1">
        <f>M6*($D$7*($J6-$J$6)+$D$6*($J$8-$J6))/($J$8-$J$6)</f>
        <v>110</v>
      </c>
      <c r="O6" s="1">
        <f>M6+F$6*2</f>
        <v>113.39</v>
      </c>
      <c r="P6" s="1">
        <f>N6+G$6*2</f>
        <v>113.39</v>
      </c>
      <c r="Q6" s="1"/>
      <c r="R6" s="1"/>
      <c r="S6" s="1"/>
      <c r="T6" s="1"/>
      <c r="U6" s="1"/>
      <c r="V6" s="1"/>
      <c r="W6" s="1"/>
      <c r="X6" s="1"/>
      <c r="Y6" s="1"/>
      <c r="Z6" s="1"/>
      <c r="AA6" s="1"/>
      <c r="AB6" s="1"/>
      <c r="AE6" s="2" t="s">
        <v>67</v>
      </c>
      <c r="AF6" s="114">
        <f>'[2]主翼(sht1)'!C153</f>
        <v>0</v>
      </c>
      <c r="AG6" s="255" t="str">
        <f>IF(AH6&lt;$M$8,"0",IF(AH6&lt;$M$9,"0-1接合",IF(AH6&lt;$M$10,"1",IF(AH6&lt;$M$11,"1-2接合",IF(AH6&lt;$M$12,"2",IF(AH6&lt;$M$13,"2-3接合",3))))))</f>
        <v>0</v>
      </c>
      <c r="AH6" s="2">
        <f>'[2]主翼(sht1)'!E153</f>
        <v>0</v>
      </c>
      <c r="AI6" s="2"/>
      <c r="AJ6" s="2"/>
      <c r="AK6" s="2"/>
      <c r="AL6" s="2"/>
      <c r="AM6" s="256"/>
      <c r="AN6" s="256"/>
      <c r="AO6" s="256"/>
      <c r="AP6" s="257"/>
      <c r="AQ6" s="257"/>
      <c r="AR6" s="258"/>
      <c r="AS6" s="1"/>
      <c r="AT6" s="2"/>
      <c r="AU6" s="27">
        <f>AS6*(10^9)*AM6*(10^-12)</f>
        <v>0</v>
      </c>
      <c r="AV6" s="259">
        <f>AT6*(10^9)*AO6*(10^-12)</f>
        <v>0</v>
      </c>
      <c r="AW6" s="2" t="e">
        <f>#REF!-AI6*2</f>
        <v>#REF!</v>
      </c>
      <c r="AX6" s="114">
        <f>IF(AH6&lt;$M$8,$J$6,IF(AH6&lt;$M$9,($J$6+$J$8)/2,IF(AH6&lt;$M$10,$J$8,IF(AH6&lt;$M$11,($J$8+$J$9)/2,$J$9))))</f>
        <v>0</v>
      </c>
      <c r="AY6" s="114">
        <f>'[2]たわみ・ねじり(sht2)'!S153*10^3</f>
        <v>0</v>
      </c>
      <c r="AZ6" s="114" t="e">
        <f>-AY6*AVERAGE(AI6,AK6)/AM6</f>
        <v>#DIV/0!</v>
      </c>
      <c r="BA6" s="114" t="e">
        <f>AZ6*(AI6-AK6)</f>
        <v>#DIV/0!</v>
      </c>
      <c r="BB6" s="2" t="e">
        <f>AX6/BA6</f>
        <v>#DIV/0!</v>
      </c>
      <c r="BC6" s="2" t="e">
        <f>IF(#REF!="","",PI()*(#REF!*#REF!-#REF!*#REF!)/4)</f>
        <v>#REF!</v>
      </c>
      <c r="BD6" s="2" t="e">
        <f>IF(#REF!="","",PI()*(#REF!*#REF!-#REF!*#REF!)/4)</f>
        <v>#REF!</v>
      </c>
      <c r="BE6" s="2" t="e">
        <f>IF(#REF!="","",PI()*(#REF!*#REF!-#REF!*#REF!)/4)</f>
        <v>#REF!</v>
      </c>
      <c r="BF6" s="2" t="e">
        <f>IF(#REF!="","",PI()*(#REF!*#REF!-#REF!*#REF!)/4)</f>
        <v>#REF!</v>
      </c>
      <c r="BG6" s="2" t="str">
        <f>IF(AH6&lt;$M$9,AVERAGE(BC6:BC7)*(10^-6)*(AH7-AH6),"")</f>
        <v/>
      </c>
      <c r="BH6" s="2" t="str">
        <f>IF(AND(AH6&lt;$M$11,AH6&gt;$M$8),AVERAGE(BD7,BD6)*(10^-6)*(AH7-AH6),"")</f>
        <v/>
      </c>
      <c r="BI6" s="2" t="str">
        <f>IF(AND(AH6&lt;$M$13,AH6&gt;$M$10),AVERAGE(BE6:BE7)*(10^-6)*(AH7-AH6),"")</f>
        <v/>
      </c>
      <c r="BJ6" s="2" t="str">
        <f>IF(AND(AH6&lt;$M$14,AH6&gt;$M$12),AVERAGE(BF6:BF7)*(10^-6)*(AH7-AH6),"")</f>
        <v/>
      </c>
      <c r="BK6" s="2" t="str">
        <f>IF(BG6="","",BG6*#REF!*#REF!)</f>
        <v/>
      </c>
      <c r="BL6" s="2" t="str">
        <f>IF(BH6="","",BH6*#REF!*#REF!)</f>
        <v/>
      </c>
      <c r="BM6" s="2" t="str">
        <f>IF(BI6="","",BI6*#REF!*#REF!)</f>
        <v/>
      </c>
      <c r="BN6" s="2" t="str">
        <f>IF(BJ6="","",BJ6*#REF!*#REF!)</f>
        <v/>
      </c>
      <c r="BO6" s="2">
        <f>SUM(BK6:BN6)</f>
        <v>0</v>
      </c>
    </row>
    <row r="7" spans="1:67" ht="20.25" thickBot="1">
      <c r="B7" s="250">
        <f>(J8-J6)*2</f>
        <v>3.5</v>
      </c>
      <c r="C7" s="251" t="s">
        <v>1106</v>
      </c>
      <c r="D7" s="252">
        <v>1</v>
      </c>
      <c r="E7" s="253"/>
      <c r="F7" s="254">
        <f>VLOOKUP(主桁!$C7,積層構成!$B$7:$M$29,7)</f>
        <v>1.6950000000000001</v>
      </c>
      <c r="G7" s="254">
        <f>VLOOKUP(主桁!$C7,積層構成!$B$7:$M$29,8)</f>
        <v>1.6950000000000001</v>
      </c>
      <c r="I7" s="10" t="s">
        <v>986</v>
      </c>
      <c r="J7" s="22">
        <v>1.4</v>
      </c>
      <c r="K7" s="1">
        <f>(Q7-O7)/2</f>
        <v>2.0549999999999997</v>
      </c>
      <c r="L7" s="1">
        <f>(R7-P7)/2</f>
        <v>3.2887499999999932</v>
      </c>
      <c r="M7" s="1">
        <f>$M$6-$E$6*$J7</f>
        <v>110</v>
      </c>
      <c r="N7" s="1">
        <f>M7*($D$7*($J7-$J$6)+$D$6*($J$8-$J7))/($J$8-$J$6)</f>
        <v>110</v>
      </c>
      <c r="O7" s="1">
        <f>M7+F$6*2</f>
        <v>113.39</v>
      </c>
      <c r="P7" s="1">
        <f>N7+G$6*2</f>
        <v>113.39</v>
      </c>
      <c r="Q7" s="22">
        <v>117.5</v>
      </c>
      <c r="R7" s="1">
        <f>$Q7*($D$9*($J7-$J$7)+$D$8*($J$10-$J7))/($J$10-$J$7)</f>
        <v>119.96749999999999</v>
      </c>
      <c r="S7" s="1">
        <f>Q7+2*$F$8</f>
        <v>121.91</v>
      </c>
      <c r="T7" s="1">
        <f>R7+2*$G$8</f>
        <v>122.31949999999999</v>
      </c>
      <c r="U7" s="1"/>
      <c r="V7" s="1"/>
      <c r="W7" s="1"/>
      <c r="X7" s="1"/>
      <c r="Y7" s="1"/>
      <c r="Z7" s="1"/>
      <c r="AA7" s="1"/>
      <c r="AB7" s="1"/>
      <c r="AE7" s="1"/>
      <c r="AF7" s="29">
        <f>'[2]主翼(sht1)'!C154</f>
        <v>0</v>
      </c>
      <c r="AG7" s="260" t="str">
        <f>IF(AH7&lt;$M$8,"0",IF(AH7&lt;$M$9,"0-1接合",IF(AH7&lt;$M$10,"1",IF(AH7&lt;$M$11,"1-2接合",IF(AH7&lt;$M$12,"2",IF(AH7&lt;$M$13,"2-3接合",3))))))</f>
        <v>0</v>
      </c>
      <c r="AH7" s="2">
        <f>'[2]主翼(sht1)'!E154</f>
        <v>0</v>
      </c>
      <c r="AI7" s="1"/>
      <c r="AJ7" s="1"/>
      <c r="AK7" s="1"/>
      <c r="AL7" s="1"/>
      <c r="AM7" s="261"/>
      <c r="AN7" s="261"/>
      <c r="AO7" s="261"/>
      <c r="AP7" s="262"/>
      <c r="AQ7" s="262"/>
      <c r="AR7" s="87"/>
      <c r="AS7" s="1"/>
      <c r="AT7" s="2"/>
      <c r="AU7" s="27">
        <f>AS7*(10^9)*AM7*(10^-12)</f>
        <v>0</v>
      </c>
      <c r="AV7" s="259">
        <f>AT7*(10^9)*AO7*(10^-12)</f>
        <v>0</v>
      </c>
      <c r="AW7" s="1" t="e">
        <f>#REF!-AI7*2</f>
        <v>#REF!</v>
      </c>
      <c r="AX7" s="29">
        <f>IF(AH7&lt;$M$8,$J$6,IF(AH7&lt;$M$9,($J$6+$J$8)/2,IF(AH7&lt;$M$10,$J$8,IF(AH7&lt;$M$11,($J$8+$J$9)/2,$J$9))))</f>
        <v>0</v>
      </c>
      <c r="AY7" s="29">
        <f>'[2]たわみ・ねじり(sht2)'!S154*10^3</f>
        <v>0</v>
      </c>
      <c r="AZ7" s="29" t="e">
        <f>-AY7*AVERAGE(AI7,AK7)/AM7</f>
        <v>#DIV/0!</v>
      </c>
      <c r="BA7" s="29" t="e">
        <f>AZ7*(AI7-AK7)</f>
        <v>#DIV/0!</v>
      </c>
      <c r="BB7" s="1" t="e">
        <f>AX7/BA7</f>
        <v>#DIV/0!</v>
      </c>
      <c r="BC7" s="1" t="e">
        <f>IF(#REF!="","",PI()*(#REF!*#REF!-#REF!*#REF!)/4)</f>
        <v>#REF!</v>
      </c>
      <c r="BD7" s="1" t="e">
        <f>IF(#REF!="","",PI()*(#REF!*#REF!-#REF!*#REF!)/4)</f>
        <v>#REF!</v>
      </c>
      <c r="BE7" s="1" t="e">
        <f>IF(#REF!="","",PI()*(#REF!*#REF!-#REF!*#REF!)/4)</f>
        <v>#REF!</v>
      </c>
      <c r="BF7" s="2" t="e">
        <f>IF(#REF!="","",PI()*(#REF!*#REF!-#REF!*#REF!)/4)</f>
        <v>#REF!</v>
      </c>
      <c r="BG7" s="1" t="str">
        <f>IF(AH7&lt;$M$9,AVERAGE(BC7:BC8)*(10^-6)*(AH8-AH7),"")</f>
        <v/>
      </c>
      <c r="BH7" s="1" t="str">
        <f>IF(AND(AH7&lt;$M$11,AH7&gt;$M$8),AVERAGE(BD8,BD7)*(10^-6)*(AH8-AH7),"")</f>
        <v/>
      </c>
      <c r="BI7" s="1" t="str">
        <f>IF(AND(AH7&lt;$M$13,AH7&gt;$M$10),AVERAGE(BE7:BE8)*(10^-6)*(AH8-AH7),"")</f>
        <v/>
      </c>
      <c r="BJ7" s="2" t="str">
        <f>IF(AND(AH7&lt;$M$14,AH7&gt;$M$12),AVERAGE(BF7:BF8)*(10^-6)*(AH8-AH7),"")</f>
        <v/>
      </c>
      <c r="BK7" s="1" t="str">
        <f>IF(BG7="","",BG7*#REF!*#REF!)</f>
        <v/>
      </c>
      <c r="BL7" s="1" t="str">
        <f>IF(BH7="","",BH7*#REF!*#REF!)</f>
        <v/>
      </c>
      <c r="BM7" s="1" t="str">
        <f>IF(BI7="","",BI7*#REF!*#REF!)</f>
        <v/>
      </c>
      <c r="BN7" s="2" t="str">
        <f>IF(BJ7="","",BJ7*#REF!*#REF!)</f>
        <v/>
      </c>
      <c r="BO7" s="2">
        <f>SUM(BK7:BN7)</f>
        <v>0</v>
      </c>
    </row>
    <row r="8" spans="1:67" ht="20.25" thickTop="1">
      <c r="A8" t="s">
        <v>532</v>
      </c>
      <c r="B8" s="248">
        <v>0</v>
      </c>
      <c r="C8" s="249" t="s">
        <v>1043</v>
      </c>
      <c r="D8" s="51">
        <v>1.0209999999999999</v>
      </c>
      <c r="E8" s="51">
        <v>8</v>
      </c>
      <c r="F8" s="25">
        <f>VLOOKUP(主桁!$C8,積層構成!$B$7:$M$29,7)</f>
        <v>2.2050000000000001</v>
      </c>
      <c r="G8" s="25">
        <f>VLOOKUP(主桁!$C8,積層構成!$B$7:$M$29,8)</f>
        <v>1.1759999999999999</v>
      </c>
      <c r="I8" s="10" t="s">
        <v>736</v>
      </c>
      <c r="J8" s="22">
        <v>1.75</v>
      </c>
      <c r="K8" s="1">
        <f>(Q8-O8)/2</f>
        <v>0.65500000000000114</v>
      </c>
      <c r="L8" s="1">
        <f>(R8-P8)/2</f>
        <v>1.8593499999999992</v>
      </c>
      <c r="M8" s="1">
        <f>$M$6-$E$6*$J8</f>
        <v>110</v>
      </c>
      <c r="N8" s="1">
        <f>M8*($D$7*($J8-$J$6)+$D$6*($J$8-$J8))/($J$8-$J$6)</f>
        <v>110</v>
      </c>
      <c r="O8" s="1">
        <f>M8+F$6*2</f>
        <v>113.39</v>
      </c>
      <c r="P8" s="1">
        <f>N8+G$6*2</f>
        <v>113.39</v>
      </c>
      <c r="Q8" s="1">
        <f>$Q$7-$E$8*(J8-$J$7)</f>
        <v>114.7</v>
      </c>
      <c r="R8" s="1">
        <f>$Q8*($D$9*($J8-$J$7)+$D$8*($J$10-$J8))/($J$10-$J$7)</f>
        <v>117.1087</v>
      </c>
      <c r="S8" s="1">
        <f>Q8+2*$F$8</f>
        <v>119.11</v>
      </c>
      <c r="T8" s="1">
        <f>R8+2*$G$8</f>
        <v>119.4607</v>
      </c>
      <c r="U8" s="1"/>
      <c r="V8" s="1"/>
      <c r="W8" s="1"/>
      <c r="X8" s="1"/>
      <c r="Y8" s="1"/>
      <c r="Z8" s="1"/>
      <c r="AA8" s="1"/>
      <c r="AB8" s="1"/>
      <c r="AE8" s="1"/>
      <c r="AF8" s="29">
        <f>'[2]主翼(sht1)'!C155</f>
        <v>0</v>
      </c>
      <c r="AG8" s="260" t="str">
        <f t="shared" ref="AG8:AG9" si="0">IF(AH8&lt;$M$8,"0",IF(AH8&lt;$M$9,"0-1接合",IF(AH8&lt;$M$10,"1",IF(AH8&lt;$M$11,"1-2接合",IF(AH8&lt;$M$12,"2",IF(AH8&lt;$M$13,"2-3接合",3))))))</f>
        <v>0</v>
      </c>
      <c r="AH8" s="2">
        <f>'[2]主翼(sht1)'!E155</f>
        <v>0</v>
      </c>
      <c r="AI8" s="1"/>
      <c r="AJ8" s="1"/>
      <c r="AK8" s="1"/>
      <c r="AL8" s="1"/>
      <c r="AM8" s="261"/>
      <c r="AN8" s="261"/>
      <c r="AO8" s="261"/>
      <c r="AP8" s="262"/>
      <c r="AQ8" s="262"/>
      <c r="AR8" s="87"/>
      <c r="AS8" s="1"/>
      <c r="AT8" s="2"/>
      <c r="AU8" s="27">
        <f t="shared" ref="AU8:AU9" si="1">AS8*(10^9)*AM8*(10^-12)</f>
        <v>0</v>
      </c>
      <c r="AV8" s="259">
        <f t="shared" ref="AV8:AV9" si="2">AT8*(10^9)*AO8*(10^-12)</f>
        <v>0</v>
      </c>
      <c r="AW8" s="1" t="e">
        <f>#REF!-AI8*2</f>
        <v>#REF!</v>
      </c>
      <c r="AX8" s="29">
        <f>IF(AH8&lt;$M$8,$J$6,IF(AH8&lt;$M$9,($J$6+$J$8)/2,IF(AH8&lt;$M$10,$J$8,IF(AH8&lt;$M$11,($J$8+$J$9)/2,$J$9))))</f>
        <v>0</v>
      </c>
      <c r="AY8" s="29">
        <f>'[2]たわみ・ねじり(sht2)'!S155*10^3</f>
        <v>0</v>
      </c>
      <c r="AZ8" s="29" t="e">
        <f>-AY8*AVERAGE(AI8,AK8)/AM8</f>
        <v>#DIV/0!</v>
      </c>
      <c r="BA8" s="29" t="e">
        <f>AZ8*(AI8-AK8)</f>
        <v>#DIV/0!</v>
      </c>
      <c r="BB8" s="1" t="e">
        <f t="shared" ref="BB8:BB9" si="3">AX8/BA8</f>
        <v>#DIV/0!</v>
      </c>
      <c r="BC8" s="1" t="e">
        <f>IF(#REF!="","",PI()*(#REF!*#REF!-#REF!*#REF!)/4)</f>
        <v>#REF!</v>
      </c>
      <c r="BD8" s="1" t="e">
        <f>IF(#REF!="","",PI()*(#REF!*#REF!-#REF!*#REF!)/4)</f>
        <v>#REF!</v>
      </c>
      <c r="BE8" s="1" t="e">
        <f>IF(#REF!="","",PI()*(#REF!*#REF!-#REF!*#REF!)/4)</f>
        <v>#REF!</v>
      </c>
      <c r="BF8" s="2" t="e">
        <f>IF(#REF!="","",PI()*(#REF!*#REF!-#REF!*#REF!)/4)</f>
        <v>#REF!</v>
      </c>
      <c r="BG8" s="1" t="str">
        <f>IF(AH8&lt;$M$9,AVERAGE(BC8:BC9)*(10^-6)*(AH9-AH8),"")</f>
        <v/>
      </c>
      <c r="BH8" s="1" t="str">
        <f>IF(AND(AH8&lt;$M$11,AH8&gt;$M$8),AVERAGE(BD9,BD8)*(10^-6)*(AH9-AH8),"")</f>
        <v/>
      </c>
      <c r="BI8" s="1" t="str">
        <f>IF(AND(AH8&lt;$M$13,AH8&gt;$M$10),AVERAGE(BE8:BE9)*(10^-6)*(AH9-AH8),"")</f>
        <v/>
      </c>
      <c r="BJ8" s="2" t="str">
        <f>IF(AND(AH8&lt;$M$14,AH8&gt;$M$12),AVERAGE(BF8:BF9)*(10^-6)*(AH9-AH8),"")</f>
        <v/>
      </c>
      <c r="BK8" s="1" t="str">
        <f>IF(BG8="","",BG8*#REF!*#REF!)</f>
        <v/>
      </c>
      <c r="BL8" s="1" t="str">
        <f>IF(BH8="","",BH8*#REF!*#REF!)</f>
        <v/>
      </c>
      <c r="BM8" s="1" t="str">
        <f>IF(BI8="","",BI8*#REF!*#REF!)</f>
        <v/>
      </c>
      <c r="BN8" s="2" t="str">
        <f>IF(BJ8="","",BJ8*#REF!*#REF!)</f>
        <v/>
      </c>
      <c r="BO8" s="2">
        <f t="shared" ref="BO8:BO9" si="4">SUM(BK8:BN8)</f>
        <v>0</v>
      </c>
    </row>
    <row r="9" spans="1:67" ht="20.25" thickBot="1">
      <c r="B9" s="250">
        <f>J10-J7</f>
        <v>3.8000000000000003</v>
      </c>
      <c r="C9" s="251" t="s">
        <v>1043</v>
      </c>
      <c r="D9" s="252">
        <v>1.0209999999999999</v>
      </c>
      <c r="E9" s="253"/>
      <c r="F9" s="254">
        <f>VLOOKUP(主桁!$C9,積層構成!$B$7:$M$29,7)</f>
        <v>2.2050000000000001</v>
      </c>
      <c r="G9" s="254">
        <f>VLOOKUP(主桁!$C9,積層構成!$B$7:$M$29,8)</f>
        <v>1.1759999999999999</v>
      </c>
      <c r="I9" s="10" t="s">
        <v>676</v>
      </c>
      <c r="J9" s="22">
        <v>4.9000000000000004</v>
      </c>
      <c r="K9" s="1">
        <f>(U9-S9)/2</f>
        <v>1.2950000000000017</v>
      </c>
      <c r="L9" s="1">
        <f>(V9-T9)/2</f>
        <v>2.107999999999997</v>
      </c>
      <c r="M9" s="1"/>
      <c r="N9" s="1"/>
      <c r="O9" s="1"/>
      <c r="P9" s="1"/>
      <c r="Q9" s="1">
        <f>$Q$7-$E$8*(J9-$J$7)</f>
        <v>89.5</v>
      </c>
      <c r="R9" s="1">
        <f>$Q9*($D$9*($J9-$J$7)+$D$8*($J$10-$J9))/($J$10-$J$7)</f>
        <v>91.379499999999993</v>
      </c>
      <c r="S9" s="1">
        <f>Q9+2*$F$8</f>
        <v>93.91</v>
      </c>
      <c r="T9" s="1">
        <f>R9+2*$G$8</f>
        <v>93.731499999999997</v>
      </c>
      <c r="U9" s="22">
        <v>96.5</v>
      </c>
      <c r="V9" s="1">
        <f>$U9*($D$11*($J9-$J$9)+$D$10*($J$12-$J9))/($J$12-$J$9)</f>
        <v>97.947499999999991</v>
      </c>
      <c r="W9" s="1">
        <f>U9+2*F$10</f>
        <v>100.02800000000001</v>
      </c>
      <c r="X9" s="1">
        <f>V9+2*G$10</f>
        <v>100.29949999999999</v>
      </c>
      <c r="Y9" s="1"/>
      <c r="Z9" s="1"/>
      <c r="AA9" s="1"/>
      <c r="AB9" s="1"/>
      <c r="AE9" s="1"/>
      <c r="AF9" s="29">
        <f>'[2]主翼(sht1)'!C156</f>
        <v>0</v>
      </c>
      <c r="AG9" s="260" t="str">
        <f t="shared" si="0"/>
        <v>0</v>
      </c>
      <c r="AH9" s="2">
        <f>'[2]主翼(sht1)'!E156</f>
        <v>0</v>
      </c>
      <c r="AI9" s="1"/>
      <c r="AJ9" s="1"/>
      <c r="AK9" s="1"/>
      <c r="AL9" s="1"/>
      <c r="AM9" s="261"/>
      <c r="AN9" s="261"/>
      <c r="AO9" s="261"/>
      <c r="AP9" s="262"/>
      <c r="AQ9" s="262"/>
      <c r="AR9" s="87"/>
      <c r="AS9" s="1"/>
      <c r="AT9" s="2"/>
      <c r="AU9" s="27">
        <f t="shared" si="1"/>
        <v>0</v>
      </c>
      <c r="AV9" s="259">
        <f t="shared" si="2"/>
        <v>0</v>
      </c>
      <c r="AW9" s="1" t="e">
        <f>#REF!-AI9*2</f>
        <v>#REF!</v>
      </c>
      <c r="AX9" s="29">
        <f>IF(AH9&lt;$M$8,$J$6,IF(AH9&lt;$M$9,($J$6+$J$8)/2,IF(AH9&lt;$M$10,$J$8,IF(AH9&lt;$M$11,($J$8+$J$9)/2,$J$9))))</f>
        <v>0</v>
      </c>
      <c r="AY9" s="29">
        <f>'[2]たわみ・ねじり(sht2)'!S156*10^3</f>
        <v>0</v>
      </c>
      <c r="AZ9" s="29" t="e">
        <f>-AY9*AVERAGE(AI9,AK9)/AM9</f>
        <v>#DIV/0!</v>
      </c>
      <c r="BA9" s="29" t="e">
        <f>AZ9*(AI9-AK9)</f>
        <v>#DIV/0!</v>
      </c>
      <c r="BB9" s="1" t="e">
        <f t="shared" si="3"/>
        <v>#DIV/0!</v>
      </c>
      <c r="BC9" s="1" t="e">
        <f>IF(#REF!="","",PI()*(#REF!*#REF!-#REF!*#REF!)/4)</f>
        <v>#REF!</v>
      </c>
      <c r="BD9" s="1" t="e">
        <f>IF(#REF!="","",PI()*(#REF!*#REF!-#REF!*#REF!)/4)</f>
        <v>#REF!</v>
      </c>
      <c r="BE9" s="1" t="e">
        <f>IF(#REF!="","",PI()*(#REF!*#REF!-#REF!*#REF!)/4)</f>
        <v>#REF!</v>
      </c>
      <c r="BF9" s="2" t="e">
        <f>IF(#REF!="","",PI()*(#REF!*#REF!-#REF!*#REF!)/4)</f>
        <v>#REF!</v>
      </c>
      <c r="BG9" s="1" t="str">
        <f>IF(AH9&lt;$M$9,AVERAGE(BX9:BX28)*(10^-6)*(AH28-AH9),"")</f>
        <v/>
      </c>
      <c r="BH9" s="1" t="str">
        <f>IF(AND(AH9&lt;$M$11,AH9&gt;$M$8),AVERAGE(BY28,BD9)*(10^-6)*(AH28-AH9),"")</f>
        <v/>
      </c>
      <c r="BI9" s="1" t="str">
        <f>IF(AND(AH9&lt;$M$13,AH9&gt;$M$10),AVERAGE(BZ9:BZ28)*(10^-6)*(AH28-AH9),"")</f>
        <v/>
      </c>
      <c r="BJ9" s="2" t="str">
        <f>IF(AND(AH9&lt;$M$14,AH9&gt;$M$12),AVERAGE(CA9:CA28)*(10^-6)*(AH28-AH9),"")</f>
        <v/>
      </c>
      <c r="BK9" s="1" t="str">
        <f>IF(BG9="","",BG9*#REF!*#REF!)</f>
        <v/>
      </c>
      <c r="BL9" s="1" t="str">
        <f>IF(BH9="","",BH9*#REF!*#REF!)</f>
        <v/>
      </c>
      <c r="BM9" s="1" t="str">
        <f>IF(BI9="","",BI9*#REF!*#REF!)</f>
        <v/>
      </c>
      <c r="BN9" s="2" t="str">
        <f>IF(BJ9="","",BJ9*#REF!*#REF!)</f>
        <v/>
      </c>
      <c r="BO9" s="2">
        <f t="shared" si="4"/>
        <v>0</v>
      </c>
    </row>
    <row r="10" spans="1:67" ht="20.25" thickTop="1">
      <c r="A10" t="s">
        <v>533</v>
      </c>
      <c r="B10" s="248">
        <v>0</v>
      </c>
      <c r="C10" s="249" t="s">
        <v>1121</v>
      </c>
      <c r="D10" s="51">
        <v>1.0149999999999999</v>
      </c>
      <c r="E10" s="51">
        <v>8</v>
      </c>
      <c r="F10" s="25">
        <f>VLOOKUP(主桁!$C10,積層構成!$B$7:$M$29,7)</f>
        <v>1.7639999999999998</v>
      </c>
      <c r="G10" s="25">
        <f>VLOOKUP(主桁!$C10,積層構成!$B$7:$M$29,8)</f>
        <v>1.1759999999999999</v>
      </c>
      <c r="I10" s="10" t="s">
        <v>737</v>
      </c>
      <c r="J10" s="22">
        <v>5.2</v>
      </c>
      <c r="K10" s="1">
        <f>(U10-S10)/2</f>
        <v>1.2950000000000017</v>
      </c>
      <c r="L10" s="1">
        <f>(V10-T10)/2</f>
        <v>2.1151999999999873</v>
      </c>
      <c r="M10" s="1"/>
      <c r="N10" s="1"/>
      <c r="O10" s="1"/>
      <c r="P10" s="1"/>
      <c r="Q10" s="1">
        <f>$Q$7-$E$8*(J10-$J$7)</f>
        <v>87.1</v>
      </c>
      <c r="R10" s="1">
        <f>$Q10*($D$9*($J10-$J$7)+$D$8*($J$10-$J10))/($J$10-$J$7)</f>
        <v>88.929099999999991</v>
      </c>
      <c r="S10" s="1">
        <f>Q10+2*$F$8</f>
        <v>91.509999999999991</v>
      </c>
      <c r="T10" s="1">
        <f>R10+2*$G$8</f>
        <v>91.281099999999995</v>
      </c>
      <c r="U10" s="1">
        <f>$U$9-$E$10*(J10-$J$9)</f>
        <v>94.1</v>
      </c>
      <c r="V10" s="1">
        <f>$U10*($D$11*($J10-$J$9)+$D$10*($J$12-$J10))/($J$12-$J$9)</f>
        <v>95.51149999999997</v>
      </c>
      <c r="W10" s="1">
        <f>U10+2*F$10</f>
        <v>97.628</v>
      </c>
      <c r="X10" s="1">
        <f>V10+2*G$10</f>
        <v>97.863499999999974</v>
      </c>
      <c r="Y10" s="1"/>
      <c r="Z10" s="1"/>
      <c r="AA10" s="1"/>
      <c r="AB10" s="1"/>
    </row>
    <row r="11" spans="1:67" ht="20.25" thickBot="1">
      <c r="B11" s="250">
        <f>J12-J9</f>
        <v>3.7999999999999989</v>
      </c>
      <c r="C11" s="251" t="s">
        <v>1121</v>
      </c>
      <c r="D11" s="252">
        <v>1.0149999999999999</v>
      </c>
      <c r="E11" s="253"/>
      <c r="F11" s="254">
        <f>VLOOKUP(主桁!$C11,積層構成!$B$7:$M$29,7)</f>
        <v>1.7639999999999998</v>
      </c>
      <c r="G11" s="254">
        <f>VLOOKUP(主桁!$C11,積層構成!$B$7:$M$29,8)</f>
        <v>1.1759999999999999</v>
      </c>
      <c r="I11" s="10" t="s">
        <v>677</v>
      </c>
      <c r="J11" s="22">
        <v>8.4</v>
      </c>
      <c r="K11" s="1">
        <f>(Y11-W11)/2</f>
        <v>1.1859999999999999</v>
      </c>
      <c r="L11" s="1">
        <f>(Z11-X11)/2</f>
        <v>1.2602500000000134</v>
      </c>
      <c r="M11" s="1"/>
      <c r="N11" s="1"/>
      <c r="O11" s="1"/>
      <c r="P11" s="1"/>
      <c r="Q11" s="1"/>
      <c r="R11" s="1"/>
      <c r="S11" s="1"/>
      <c r="T11" s="1"/>
      <c r="U11" s="1">
        <f>$U$9-$E$10*(J11-$J$9)</f>
        <v>68.5</v>
      </c>
      <c r="V11" s="1">
        <f>$U11*($D$11*($J11-$J$9)+$D$10*($J$12-$J11))/($J$12-$J$9)</f>
        <v>69.527499999999989</v>
      </c>
      <c r="W11" s="1">
        <f>U11+2*F$10</f>
        <v>72.028000000000006</v>
      </c>
      <c r="X11" s="1">
        <f>V11+2*G$10</f>
        <v>71.879499999999993</v>
      </c>
      <c r="Y11" s="22">
        <v>74.400000000000006</v>
      </c>
      <c r="Z11" s="1">
        <f>$Y11*($D$13*($J11-$J$11)+$D$12*($J$13-$J11))/($J$13-$J$11)</f>
        <v>74.40000000000002</v>
      </c>
      <c r="AA11" s="1">
        <f>Y11+2*F$12</f>
        <v>76.75200000000001</v>
      </c>
      <c r="AB11" s="1">
        <f>Z11+2*G$12</f>
        <v>76.752000000000024</v>
      </c>
    </row>
    <row r="12" spans="1:67" ht="20.25" thickTop="1">
      <c r="A12" t="s">
        <v>534</v>
      </c>
      <c r="B12" s="211">
        <v>0</v>
      </c>
      <c r="C12" s="141" t="s">
        <v>1124</v>
      </c>
      <c r="D12" s="4">
        <v>1</v>
      </c>
      <c r="E12" s="4">
        <v>8.5</v>
      </c>
      <c r="F12" s="2">
        <f>VLOOKUP(主桁!$C12,積層構成!$B$7:$M$29,7)</f>
        <v>1.1759999999999999</v>
      </c>
      <c r="G12" s="2">
        <f>VLOOKUP(主桁!$C12,積層構成!$B$7:$M$29,8)</f>
        <v>1.1759999999999999</v>
      </c>
      <c r="I12" s="10" t="s">
        <v>738</v>
      </c>
      <c r="J12" s="22">
        <v>8.6999999999999993</v>
      </c>
      <c r="K12" s="1">
        <f>(Y12-W12)/2</f>
        <v>1.1109999999999971</v>
      </c>
      <c r="L12" s="1">
        <f>(Z12-X12)/2</f>
        <v>1.2032500000000041</v>
      </c>
      <c r="M12" s="1"/>
      <c r="N12" s="1"/>
      <c r="O12" s="1"/>
      <c r="P12" s="1"/>
      <c r="Q12" s="1"/>
      <c r="R12" s="1"/>
      <c r="S12" s="1"/>
      <c r="T12" s="1"/>
      <c r="U12" s="1">
        <f>$U$9-$E$10*(J12-$J$9)</f>
        <v>66.100000000000009</v>
      </c>
      <c r="V12" s="1">
        <f>$U12*($D$11*($J12-$J$9)+$D$10*($J$12-$J12))/($J$12-$J$9)</f>
        <v>67.091499999999996</v>
      </c>
      <c r="W12" s="1">
        <f>U12+2*F$10</f>
        <v>69.628000000000014</v>
      </c>
      <c r="X12" s="1">
        <f>V12+2*G$10</f>
        <v>69.4435</v>
      </c>
      <c r="Y12" s="1">
        <f>$Y$11-$E$12*(J12-$J$11)</f>
        <v>71.850000000000009</v>
      </c>
      <c r="Z12" s="1">
        <f>$Y12*($D$13*($J12-$J$11)+$D$12*($J$13-$J12))/($J$13-$J$11)</f>
        <v>71.850000000000009</v>
      </c>
      <c r="AA12" s="1">
        <f>Y12+2*F$12</f>
        <v>74.202000000000012</v>
      </c>
      <c r="AB12" s="1">
        <f>Z12+2*G$12</f>
        <v>74.202000000000012</v>
      </c>
    </row>
    <row r="13" spans="1:67">
      <c r="B13" s="213">
        <f>J13-J11</f>
        <v>3.7999999999999989</v>
      </c>
      <c r="C13" s="141" t="s">
        <v>1124</v>
      </c>
      <c r="D13" s="4">
        <v>1</v>
      </c>
      <c r="E13" s="140"/>
      <c r="F13" s="2">
        <f>VLOOKUP(主桁!$C13,積層構成!$B$7:$M$29,7)</f>
        <v>1.1759999999999999</v>
      </c>
      <c r="G13" s="2">
        <f>VLOOKUP(主桁!$C13,積層構成!$B$7:$M$29,8)</f>
        <v>1.1759999999999999</v>
      </c>
      <c r="I13" s="10" t="s">
        <v>739</v>
      </c>
      <c r="J13" s="22">
        <v>12.2</v>
      </c>
      <c r="K13" s="1"/>
      <c r="L13" s="1"/>
      <c r="M13" s="1"/>
      <c r="N13" s="1"/>
      <c r="O13" s="1"/>
      <c r="P13" s="1"/>
      <c r="Q13" s="1"/>
      <c r="R13" s="1"/>
      <c r="S13" s="1"/>
      <c r="T13" s="1"/>
      <c r="U13" s="1"/>
      <c r="V13" s="1"/>
      <c r="W13" s="1"/>
      <c r="X13" s="1"/>
      <c r="Y13" s="1">
        <f>$Y$11-$E$12*(J13-$J$11)</f>
        <v>42.100000000000016</v>
      </c>
      <c r="Z13" s="1">
        <f>$Y13*($D$13*($J13-$J$11)+$D$12*($J$13-$J13))/($J$13-$J$11)</f>
        <v>42.100000000000016</v>
      </c>
      <c r="AA13" s="1">
        <f>Y13+2*F$12</f>
        <v>44.452000000000012</v>
      </c>
      <c r="AB13" s="1">
        <f>Z13+2*G$12</f>
        <v>44.452000000000012</v>
      </c>
    </row>
    <row r="14" spans="1:67">
      <c r="I14" s="10" t="s">
        <v>1139</v>
      </c>
      <c r="J14" s="1">
        <v>12.6</v>
      </c>
      <c r="K14" s="1"/>
      <c r="L14" s="1"/>
      <c r="M14" s="1"/>
      <c r="N14" s="1"/>
      <c r="O14" s="1"/>
      <c r="P14" s="1"/>
      <c r="Q14" s="1"/>
      <c r="R14" s="1"/>
      <c r="S14" s="1"/>
      <c r="T14" s="1"/>
      <c r="U14" s="1"/>
      <c r="V14" s="1"/>
      <c r="W14" s="1"/>
      <c r="X14" s="1"/>
      <c r="Y14" s="1">
        <f>$Y$11-$E$12*(J14-$J$11)</f>
        <v>38.70000000000001</v>
      </c>
      <c r="Z14" s="1">
        <f>$Y14*($D$13*($J14-$J$11)+$D$12*($J$13-$J14))/($J$13-$J$11)</f>
        <v>38.70000000000001</v>
      </c>
      <c r="AA14" s="1">
        <f>Y14+2*F$12</f>
        <v>41.052000000000007</v>
      </c>
      <c r="AB14" s="1">
        <f>Z14+2*G$12</f>
        <v>41.052000000000007</v>
      </c>
    </row>
    <row r="26" spans="2:27">
      <c r="B26" t="s">
        <v>845</v>
      </c>
    </row>
    <row r="28" spans="2:27">
      <c r="B28" s="39" t="s">
        <v>740</v>
      </c>
      <c r="C28" s="39" t="s">
        <v>838</v>
      </c>
      <c r="D28" s="39" t="s">
        <v>851</v>
      </c>
      <c r="E28" s="39" t="s">
        <v>846</v>
      </c>
      <c r="F28" s="39" t="s">
        <v>30</v>
      </c>
    </row>
    <row r="29" spans="2:27">
      <c r="B29" s="36" t="s">
        <v>51</v>
      </c>
      <c r="C29" s="36" t="s">
        <v>43</v>
      </c>
      <c r="D29" s="36" t="s">
        <v>43</v>
      </c>
      <c r="E29" s="36" t="s">
        <v>42</v>
      </c>
      <c r="F29" s="36" t="s">
        <v>42</v>
      </c>
    </row>
    <row r="30" spans="2:27">
      <c r="B30" s="212" t="s">
        <v>538</v>
      </c>
      <c r="C30" s="212">
        <v>3.5</v>
      </c>
      <c r="D30" s="212">
        <v>0.35</v>
      </c>
      <c r="E30" s="212">
        <v>0</v>
      </c>
      <c r="F30" s="212">
        <v>1</v>
      </c>
    </row>
    <row r="31" spans="2:27">
      <c r="S31" t="s">
        <v>987</v>
      </c>
      <c r="W31" s="3" t="s">
        <v>877</v>
      </c>
      <c r="X31" s="3"/>
      <c r="Y31" s="3"/>
      <c r="Z31" s="3"/>
    </row>
    <row r="32" spans="2:27">
      <c r="B32" s="10" t="s">
        <v>733</v>
      </c>
      <c r="C32" s="10" t="s">
        <v>988</v>
      </c>
      <c r="D32" s="10" t="s">
        <v>667</v>
      </c>
      <c r="E32" s="10" t="s">
        <v>409</v>
      </c>
      <c r="F32" s="10" t="s">
        <v>668</v>
      </c>
      <c r="G32" s="10" t="s">
        <v>847</v>
      </c>
      <c r="H32" s="10" t="s">
        <v>848</v>
      </c>
      <c r="I32" s="10" t="s">
        <v>849</v>
      </c>
      <c r="J32" s="10" t="s">
        <v>850</v>
      </c>
      <c r="K32" s="10" t="s">
        <v>852</v>
      </c>
      <c r="L32" s="10" t="s">
        <v>659</v>
      </c>
      <c r="M32" s="10" t="s">
        <v>1148</v>
      </c>
      <c r="N32" s="10" t="s">
        <v>1149</v>
      </c>
      <c r="O32" s="10" t="s">
        <v>854</v>
      </c>
      <c r="P32" s="10" t="s">
        <v>811</v>
      </c>
      <c r="Q32" s="10" t="s">
        <v>855</v>
      </c>
      <c r="R32" s="10" t="s">
        <v>856</v>
      </c>
      <c r="S32" s="10" t="s">
        <v>857</v>
      </c>
      <c r="T32" s="10" t="s">
        <v>858</v>
      </c>
      <c r="U32" s="10" t="s">
        <v>859</v>
      </c>
      <c r="V32" s="10" t="s">
        <v>860</v>
      </c>
      <c r="W32" s="113" t="s">
        <v>878</v>
      </c>
      <c r="X32" s="113" t="s">
        <v>879</v>
      </c>
      <c r="Y32" s="113" t="s">
        <v>880</v>
      </c>
      <c r="Z32" s="113" t="s">
        <v>881</v>
      </c>
      <c r="AA32" s="113" t="s">
        <v>882</v>
      </c>
    </row>
    <row r="33" spans="2:27">
      <c r="B33" s="1" t="s">
        <v>500</v>
      </c>
      <c r="C33" s="1" t="s">
        <v>51</v>
      </c>
      <c r="D33" s="1" t="s">
        <v>660</v>
      </c>
      <c r="E33" s="1" t="s">
        <v>52</v>
      </c>
      <c r="F33" s="1" t="s">
        <v>52</v>
      </c>
      <c r="G33" s="1" t="s">
        <v>52</v>
      </c>
      <c r="H33" s="1" t="s">
        <v>52</v>
      </c>
      <c r="I33" s="1" t="s">
        <v>52</v>
      </c>
      <c r="J33" s="1" t="s">
        <v>52</v>
      </c>
      <c r="K33" s="1" t="s">
        <v>52</v>
      </c>
      <c r="L33" s="1" t="s">
        <v>665</v>
      </c>
      <c r="M33" s="1" t="s">
        <v>861</v>
      </c>
      <c r="N33" s="1" t="s">
        <v>862</v>
      </c>
      <c r="O33" s="1" t="s">
        <v>863</v>
      </c>
      <c r="P33" s="1" t="s">
        <v>864</v>
      </c>
      <c r="Q33" s="1" t="s">
        <v>865</v>
      </c>
      <c r="R33" s="1" t="s">
        <v>866</v>
      </c>
      <c r="S33" s="1" t="s">
        <v>867</v>
      </c>
      <c r="T33" s="1" t="s">
        <v>868</v>
      </c>
      <c r="U33" s="1" t="s">
        <v>869</v>
      </c>
      <c r="V33" s="1" t="s">
        <v>870</v>
      </c>
      <c r="W33" s="1" t="s">
        <v>883</v>
      </c>
      <c r="X33" s="1" t="s">
        <v>884</v>
      </c>
      <c r="Y33" s="1" t="s">
        <v>885</v>
      </c>
      <c r="Z33" s="1" t="s">
        <v>886</v>
      </c>
      <c r="AA33" s="1" t="s">
        <v>887</v>
      </c>
    </row>
    <row r="34" spans="2:27" ht="20.25" thickBot="1">
      <c r="B34" s="20" t="s">
        <v>9</v>
      </c>
      <c r="C34" s="20" t="s">
        <v>51</v>
      </c>
      <c r="D34" s="20" t="s">
        <v>673</v>
      </c>
      <c r="E34" s="20" t="s">
        <v>673</v>
      </c>
      <c r="F34" s="20" t="s">
        <v>689</v>
      </c>
      <c r="G34" s="20" t="s">
        <v>690</v>
      </c>
      <c r="H34" s="20" t="s">
        <v>690</v>
      </c>
      <c r="I34" s="20" t="s">
        <v>690</v>
      </c>
      <c r="J34" s="20" t="s">
        <v>690</v>
      </c>
      <c r="K34" s="20" t="s">
        <v>51</v>
      </c>
      <c r="L34" s="20" t="s">
        <v>674</v>
      </c>
      <c r="M34" s="20" t="s">
        <v>871</v>
      </c>
      <c r="N34" s="20" t="s">
        <v>871</v>
      </c>
      <c r="O34" s="20" t="s">
        <v>871</v>
      </c>
      <c r="P34" s="20" t="s">
        <v>872</v>
      </c>
      <c r="Q34" s="20" t="s">
        <v>873</v>
      </c>
      <c r="R34" s="20" t="s">
        <v>874</v>
      </c>
      <c r="S34" s="20" t="s">
        <v>875</v>
      </c>
      <c r="T34" s="20" t="s">
        <v>875</v>
      </c>
      <c r="U34" s="20" t="s">
        <v>876</v>
      </c>
      <c r="V34" s="20" t="s">
        <v>876</v>
      </c>
      <c r="W34" s="20" t="s">
        <v>888</v>
      </c>
      <c r="X34" s="20" t="s">
        <v>889</v>
      </c>
      <c r="Y34" s="20" t="s">
        <v>890</v>
      </c>
      <c r="Z34" s="20" t="s">
        <v>888</v>
      </c>
      <c r="AA34" s="20" t="s">
        <v>760</v>
      </c>
    </row>
    <row r="35" spans="2:27" ht="20.25" thickTop="1">
      <c r="B35" s="4">
        <v>0</v>
      </c>
      <c r="C35" s="214" t="s">
        <v>538</v>
      </c>
      <c r="D35" s="114">
        <v>15</v>
      </c>
      <c r="E35" s="114">
        <v>15</v>
      </c>
      <c r="F35" s="114">
        <v>0</v>
      </c>
      <c r="G35" s="214">
        <v>0</v>
      </c>
      <c r="H35" s="214">
        <v>0</v>
      </c>
      <c r="I35" s="114">
        <v>0</v>
      </c>
      <c r="J35" s="114">
        <v>0</v>
      </c>
      <c r="K35" s="114">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15"/>
      <c r="D36" s="29"/>
      <c r="E36" s="29"/>
      <c r="F36" s="29"/>
      <c r="G36" s="215"/>
      <c r="H36" s="215"/>
      <c r="I36" s="29"/>
      <c r="J36" s="29"/>
      <c r="K36" s="29"/>
      <c r="L36" s="1"/>
      <c r="M36" s="1"/>
      <c r="N36" s="1"/>
      <c r="O36" s="29"/>
      <c r="P36" s="29"/>
      <c r="Q36" s="29"/>
      <c r="R36" s="29"/>
      <c r="S36" s="29"/>
      <c r="T36" s="29"/>
      <c r="U36" s="29"/>
      <c r="V36" s="29"/>
      <c r="W36" s="29"/>
      <c r="X36" s="29"/>
      <c r="Y36" s="29"/>
      <c r="Z36" s="29"/>
      <c r="AA36" s="29"/>
    </row>
    <row r="37" spans="2:27">
      <c r="B37" s="22"/>
      <c r="C37" s="215"/>
      <c r="D37" s="29"/>
      <c r="E37" s="29"/>
      <c r="F37" s="29"/>
      <c r="G37" s="215"/>
      <c r="H37" s="215"/>
      <c r="I37" s="29"/>
      <c r="J37" s="29"/>
      <c r="K37" s="29"/>
      <c r="L37" s="1"/>
      <c r="M37" s="1"/>
      <c r="N37" s="1"/>
      <c r="O37" s="29"/>
      <c r="P37" s="29"/>
      <c r="Q37" s="29"/>
      <c r="R37" s="29"/>
      <c r="S37" s="29"/>
      <c r="T37" s="29"/>
      <c r="U37" s="29"/>
      <c r="V37" s="29"/>
      <c r="W37" s="29"/>
      <c r="X37" s="29"/>
      <c r="Y37" s="29"/>
      <c r="Z37" s="29"/>
      <c r="AA37" s="29"/>
    </row>
    <row r="38" spans="2:27">
      <c r="B38" s="22"/>
      <c r="C38" s="215"/>
      <c r="D38" s="29"/>
      <c r="E38" s="29"/>
      <c r="F38" s="29"/>
      <c r="G38" s="215"/>
      <c r="H38" s="215"/>
      <c r="I38" s="29"/>
      <c r="J38" s="29"/>
      <c r="K38" s="29"/>
      <c r="L38" s="1"/>
      <c r="M38" s="1"/>
      <c r="N38" s="1"/>
      <c r="O38" s="29"/>
      <c r="P38" s="29"/>
      <c r="Q38" s="29"/>
      <c r="R38" s="29"/>
      <c r="S38" s="29"/>
      <c r="T38" s="29"/>
      <c r="U38" s="29"/>
      <c r="V38" s="29"/>
      <c r="W38" s="29"/>
      <c r="X38" s="29"/>
      <c r="Y38" s="29"/>
      <c r="Z38" s="29"/>
      <c r="AA38" s="29"/>
    </row>
    <row r="40" spans="2:27">
      <c r="B40" s="36" t="s">
        <v>989</v>
      </c>
      <c r="C40" s="140">
        <v>500</v>
      </c>
      <c r="D40" s="36" t="s">
        <v>874</v>
      </c>
      <c r="F40" s="36" t="s">
        <v>1001</v>
      </c>
      <c r="G40" s="36">
        <f>(C38-C39)*(C40-1)+C38</f>
        <v>0</v>
      </c>
      <c r="H40" s="36" t="s">
        <v>874</v>
      </c>
      <c r="N40" t="s">
        <v>1137</v>
      </c>
    </row>
    <row r="41" spans="2:27">
      <c r="B41" s="36" t="s">
        <v>990</v>
      </c>
      <c r="C41" s="140">
        <v>40</v>
      </c>
      <c r="D41" s="36" t="s">
        <v>874</v>
      </c>
      <c r="F41" s="36" t="s">
        <v>1003</v>
      </c>
      <c r="G41" s="36">
        <f>G40-C41*2</f>
        <v>-80</v>
      </c>
      <c r="H41" s="36" t="s">
        <v>874</v>
      </c>
      <c r="J41" s="1" t="s">
        <v>1008</v>
      </c>
      <c r="K41" s="22">
        <v>10</v>
      </c>
      <c r="L41" s="1" t="s">
        <v>874</v>
      </c>
    </row>
    <row r="42" spans="2:27">
      <c r="B42" s="36" t="s">
        <v>991</v>
      </c>
      <c r="C42" s="140">
        <v>9</v>
      </c>
      <c r="D42" s="36" t="s">
        <v>992</v>
      </c>
      <c r="F42" s="36" t="s">
        <v>1005</v>
      </c>
      <c r="G42" s="36">
        <f>(G41-C37)/2</f>
        <v>-40</v>
      </c>
      <c r="H42" s="36" t="s">
        <v>874</v>
      </c>
      <c r="J42" s="1" t="s">
        <v>1009</v>
      </c>
      <c r="K42" s="22">
        <v>10</v>
      </c>
      <c r="L42" s="1" t="s">
        <v>874</v>
      </c>
      <c r="Q42" t="s">
        <v>999</v>
      </c>
      <c r="R42" t="s">
        <v>1000</v>
      </c>
    </row>
    <row r="43" spans="2:27">
      <c r="B43" s="36" t="s">
        <v>993</v>
      </c>
      <c r="C43" s="140">
        <v>50</v>
      </c>
      <c r="D43" s="36" t="s">
        <v>874</v>
      </c>
      <c r="F43" s="36" t="s">
        <v>1011</v>
      </c>
      <c r="G43" s="36"/>
      <c r="H43" s="36" t="s">
        <v>42</v>
      </c>
      <c r="J43" s="1" t="s">
        <v>1010</v>
      </c>
      <c r="K43" s="28">
        <v>1000</v>
      </c>
      <c r="L43" s="1" t="s">
        <v>874</v>
      </c>
      <c r="O43" t="s">
        <v>1002</v>
      </c>
      <c r="P43" s="36" t="s">
        <v>995</v>
      </c>
      <c r="Q43" s="152">
        <f>G38</f>
        <v>0</v>
      </c>
      <c r="R43" s="152">
        <f>Q43+K40*(K37+K38)*2</f>
        <v>0</v>
      </c>
    </row>
    <row r="44" spans="2:27">
      <c r="P44" s="36" t="s">
        <v>1004</v>
      </c>
      <c r="Q44" s="152">
        <f>G38*G37</f>
        <v>0</v>
      </c>
      <c r="R44" s="152">
        <f>Q44+K40*K37*2</f>
        <v>0</v>
      </c>
    </row>
    <row r="45" spans="2:27">
      <c r="P45" s="36" t="s">
        <v>1006</v>
      </c>
      <c r="Q45" s="152">
        <f>G39</f>
        <v>0</v>
      </c>
      <c r="R45" s="152">
        <f>Q45+K40*(K37+K38)*2</f>
        <v>0</v>
      </c>
    </row>
    <row r="46" spans="2:27">
      <c r="B46" s="39" t="s">
        <v>994</v>
      </c>
      <c r="C46" s="39">
        <v>1</v>
      </c>
      <c r="D46" s="39">
        <v>2</v>
      </c>
      <c r="E46" s="39">
        <v>3</v>
      </c>
      <c r="F46" s="39">
        <v>4</v>
      </c>
      <c r="G46" s="39">
        <v>5</v>
      </c>
      <c r="H46" s="39">
        <v>6</v>
      </c>
      <c r="I46" s="39">
        <v>7</v>
      </c>
      <c r="J46" s="39">
        <v>8</v>
      </c>
      <c r="K46" s="39">
        <v>9</v>
      </c>
      <c r="L46" s="39"/>
      <c r="M46" s="39"/>
      <c r="P46" s="36" t="s">
        <v>998</v>
      </c>
      <c r="Q46" s="152">
        <f>G39*G37</f>
        <v>0</v>
      </c>
      <c r="R46" s="152">
        <f>Q46+K40*K37*2</f>
        <v>0</v>
      </c>
    </row>
    <row r="47" spans="2:27">
      <c r="B47" s="39" t="s">
        <v>995</v>
      </c>
      <c r="C47" s="151" t="e">
        <f>G38+$P$7*(#REF!-$J$4)/2</f>
        <v>#REF!</v>
      </c>
      <c r="D47" s="151" t="e">
        <f>C49+$P$7*$J$6</f>
        <v>#REF!</v>
      </c>
      <c r="E47" s="151" t="e">
        <f>D49+$P$7*$J$6</f>
        <v>#REF!</v>
      </c>
      <c r="F47" s="151" t="e">
        <f>E49+$P$7*$J$6</f>
        <v>#REF!</v>
      </c>
      <c r="G47" s="151" t="e">
        <f>F49+$P$7*$J$6</f>
        <v>#REF!</v>
      </c>
      <c r="H47" s="151" t="e">
        <f>G49+$P$7*$J$6</f>
        <v>#REF!</v>
      </c>
      <c r="I47" s="151" t="e">
        <f>H49+$P$7*$J$6</f>
        <v>#REF!</v>
      </c>
      <c r="J47" s="151" t="e">
        <f>I49+$P$7*$J$6</f>
        <v>#REF!</v>
      </c>
      <c r="K47" s="151" t="e">
        <f>J49+$P$7*$J$6</f>
        <v>#REF!</v>
      </c>
      <c r="L47" s="151"/>
      <c r="M47" s="151"/>
      <c r="O47" t="s">
        <v>1007</v>
      </c>
      <c r="P47" s="36" t="s">
        <v>995</v>
      </c>
      <c r="Q47" s="152" t="e">
        <f>C47-#REF!*C41</f>
        <v>#REF!</v>
      </c>
      <c r="R47" s="152" t="e">
        <f>Q47+K40*(K37+K38)*2</f>
        <v>#REF!</v>
      </c>
    </row>
    <row r="48" spans="2:27">
      <c r="B48" s="39" t="s">
        <v>996</v>
      </c>
      <c r="C48" s="151" t="e">
        <f>C47*G37</f>
        <v>#REF!</v>
      </c>
      <c r="D48" s="151" t="e">
        <f>D47*$P$4</f>
        <v>#REF!</v>
      </c>
      <c r="E48" s="151" t="e">
        <f>E47*$P$4</f>
        <v>#REF!</v>
      </c>
      <c r="F48" s="151" t="e">
        <f>F47*$P$4</f>
        <v>#REF!</v>
      </c>
      <c r="G48" s="151" t="e">
        <f>G47*$P$4</f>
        <v>#REF!</v>
      </c>
      <c r="H48" s="151" t="e">
        <f>H47*$P$4</f>
        <v>#REF!</v>
      </c>
      <c r="I48" s="151" t="e">
        <f>I47*$P$4</f>
        <v>#REF!</v>
      </c>
      <c r="J48" s="151" t="e">
        <f>J47*$P$4</f>
        <v>#REF!</v>
      </c>
      <c r="K48" s="151" t="e">
        <f>K47*$P$4</f>
        <v>#REF!</v>
      </c>
      <c r="L48" s="151"/>
      <c r="M48" s="151"/>
      <c r="P48" s="36" t="s">
        <v>1004</v>
      </c>
      <c r="Q48" s="152" t="e">
        <f>Q47*G37</f>
        <v>#REF!</v>
      </c>
      <c r="R48" s="152" t="e">
        <f>Q48+K40*K37*2</f>
        <v>#REF!</v>
      </c>
    </row>
    <row r="49" spans="2:18">
      <c r="B49" s="39" t="s">
        <v>997</v>
      </c>
      <c r="C49" s="151" t="e">
        <f>C47-$P$7*$J$5</f>
        <v>#REF!</v>
      </c>
      <c r="D49" s="151" t="e">
        <f>D47-$P$7*$J$5</f>
        <v>#REF!</v>
      </c>
      <c r="E49" s="151" t="e">
        <f>E47-$P$7*$J$5</f>
        <v>#REF!</v>
      </c>
      <c r="F49" s="151" t="e">
        <f>F47-$P$7*$J$5</f>
        <v>#REF!</v>
      </c>
      <c r="G49" s="151" t="e">
        <f>G47-$P$7*$J$5</f>
        <v>#REF!</v>
      </c>
      <c r="H49" s="151" t="e">
        <f>H47-$P$7*$J$5</f>
        <v>#REF!</v>
      </c>
      <c r="I49" s="151" t="e">
        <f>I47-$P$7*$J$5</f>
        <v>#REF!</v>
      </c>
      <c r="J49" s="151" t="e">
        <f>J47-$P$7*$J$5</f>
        <v>#REF!</v>
      </c>
      <c r="K49" s="151" t="e">
        <f>K47-$P$7*$J$5</f>
        <v>#REF!</v>
      </c>
      <c r="L49" s="151"/>
      <c r="M49" s="151"/>
      <c r="P49" s="36" t="s">
        <v>1006</v>
      </c>
      <c r="Q49" s="152" t="e">
        <f>J49+C41*#REF!</f>
        <v>#REF!</v>
      </c>
      <c r="R49" s="152" t="e">
        <f>Q49+K40*(K37+K38)*2</f>
        <v>#REF!</v>
      </c>
    </row>
    <row r="50" spans="2:18">
      <c r="B50" s="39" t="s">
        <v>998</v>
      </c>
      <c r="C50" s="151" t="e">
        <f>C49*$P$4</f>
        <v>#REF!</v>
      </c>
      <c r="D50" s="151" t="e">
        <f>D49*$P$4</f>
        <v>#REF!</v>
      </c>
      <c r="E50" s="151" t="e">
        <f>E49*$P$4</f>
        <v>#REF!</v>
      </c>
      <c r="F50" s="151" t="e">
        <f>F49*$P$4</f>
        <v>#REF!</v>
      </c>
      <c r="G50" s="151" t="e">
        <f>G49*$P$4</f>
        <v>#REF!</v>
      </c>
      <c r="H50" s="151" t="e">
        <f>H49*$P$4</f>
        <v>#REF!</v>
      </c>
      <c r="I50" s="151" t="e">
        <f>I49*$P$4</f>
        <v>#REF!</v>
      </c>
      <c r="J50" s="151" t="e">
        <f>J49*$P$4</f>
        <v>#REF!</v>
      </c>
      <c r="K50" s="151" t="e">
        <f>K49*$P$4</f>
        <v>#REF!</v>
      </c>
      <c r="L50" s="151"/>
      <c r="M50" s="151"/>
      <c r="P50" s="36" t="s">
        <v>998</v>
      </c>
      <c r="Q50" s="152" t="e">
        <f>Q49*G37</f>
        <v>#REF!</v>
      </c>
      <c r="R50" s="152" t="e">
        <f>Q50+K40*K37*2</f>
        <v>#REF!</v>
      </c>
    </row>
  </sheetData>
  <phoneticPr fontId="3"/>
  <conditionalFormatting sqref="AW6:AW9">
    <cfRule type="cellIs" dxfId="0" priority="1" operator="lessThan">
      <formula>10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116" zoomScaleNormal="85" workbookViewId="0">
      <selection activeCell="I8" sqref="I8"/>
    </sheetView>
  </sheetViews>
  <sheetFormatPr defaultColWidth="8.6640625" defaultRowHeight="19.5"/>
  <cols>
    <col min="5" max="5" width="8.6640625" customWidth="1"/>
    <col min="6" max="6" width="8.88671875" customWidth="1"/>
    <col min="7" max="7" width="74.88671875" customWidth="1"/>
  </cols>
  <sheetData>
    <row r="3" spans="2:13">
      <c r="G3" t="s">
        <v>1095</v>
      </c>
    </row>
    <row r="4" spans="2:13">
      <c r="B4" s="39" t="s">
        <v>1099</v>
      </c>
      <c r="C4" s="39" t="s">
        <v>106</v>
      </c>
      <c r="D4" s="39" t="s">
        <v>1100</v>
      </c>
      <c r="E4" s="39" t="s">
        <v>1101</v>
      </c>
      <c r="F4" s="39" t="s">
        <v>668</v>
      </c>
      <c r="G4" s="39" t="s">
        <v>1094</v>
      </c>
      <c r="H4" s="39" t="s">
        <v>1135</v>
      </c>
      <c r="I4" s="39" t="s">
        <v>1143</v>
      </c>
      <c r="J4" s="39" t="s">
        <v>1102</v>
      </c>
      <c r="K4" s="39" t="s">
        <v>1103</v>
      </c>
      <c r="L4" s="39" t="s">
        <v>1104</v>
      </c>
      <c r="M4" s="39" t="s">
        <v>1105</v>
      </c>
    </row>
    <row r="5" spans="2:13">
      <c r="B5" s="36" t="s">
        <v>52</v>
      </c>
      <c r="C5" s="36" t="s">
        <v>52</v>
      </c>
      <c r="D5" s="36" t="s">
        <v>660</v>
      </c>
      <c r="E5" s="36" t="s">
        <v>52</v>
      </c>
      <c r="F5" s="36" t="s">
        <v>52</v>
      </c>
      <c r="G5" s="36" t="s">
        <v>52</v>
      </c>
      <c r="H5" s="36" t="s">
        <v>138</v>
      </c>
      <c r="I5" s="36" t="s">
        <v>138</v>
      </c>
      <c r="J5" s="36" t="s">
        <v>697</v>
      </c>
      <c r="K5" s="36" t="s">
        <v>698</v>
      </c>
      <c r="L5" s="36" t="s">
        <v>699</v>
      </c>
      <c r="M5" s="36"/>
    </row>
    <row r="6" spans="2:13" ht="20.25" thickBot="1">
      <c r="B6" s="82" t="s">
        <v>52</v>
      </c>
      <c r="C6" s="82" t="s">
        <v>52</v>
      </c>
      <c r="D6" s="82" t="s">
        <v>52</v>
      </c>
      <c r="E6" s="82" t="s">
        <v>52</v>
      </c>
      <c r="F6" s="82" t="s">
        <v>52</v>
      </c>
      <c r="G6" s="82" t="s">
        <v>52</v>
      </c>
      <c r="H6" s="82" t="s">
        <v>1134</v>
      </c>
      <c r="I6" s="82" t="s">
        <v>1134</v>
      </c>
      <c r="J6" s="82" t="s">
        <v>122</v>
      </c>
      <c r="K6" s="82" t="s">
        <v>122</v>
      </c>
      <c r="L6" s="82" t="s">
        <v>52</v>
      </c>
      <c r="M6" s="82"/>
    </row>
    <row r="7" spans="2:13" ht="20.25" thickTop="1">
      <c r="B7" s="150" t="s">
        <v>1106</v>
      </c>
      <c r="C7" s="140" t="s">
        <v>109</v>
      </c>
      <c r="D7" s="52">
        <v>15</v>
      </c>
      <c r="E7" s="52">
        <v>15</v>
      </c>
      <c r="F7" s="52">
        <v>0</v>
      </c>
      <c r="G7" s="150" t="s">
        <v>1107</v>
      </c>
      <c r="H7" s="52">
        <v>1.6950000000000001</v>
      </c>
      <c r="I7" s="52">
        <v>1.6950000000000001</v>
      </c>
      <c r="J7" s="52">
        <v>128.54669117765226</v>
      </c>
      <c r="K7" s="52">
        <v>16.301557051223899</v>
      </c>
      <c r="L7" s="52">
        <v>0.31026232430217382</v>
      </c>
      <c r="M7" s="52"/>
    </row>
    <row r="8" spans="2:13">
      <c r="B8" s="140" t="s">
        <v>1119</v>
      </c>
      <c r="C8" s="140" t="s">
        <v>108</v>
      </c>
      <c r="D8" s="36">
        <v>15</v>
      </c>
      <c r="E8" s="36">
        <v>8</v>
      </c>
      <c r="F8" s="36">
        <v>7</v>
      </c>
      <c r="G8" s="140" t="s">
        <v>1108</v>
      </c>
      <c r="H8" s="36">
        <v>2.2050000000000001</v>
      </c>
      <c r="I8" s="36">
        <v>1.1759999999999999</v>
      </c>
      <c r="J8" s="36">
        <v>98.144577856034871</v>
      </c>
      <c r="K8" s="36">
        <v>13.02062852538276</v>
      </c>
      <c r="L8" s="36">
        <v>0.32222199749785496</v>
      </c>
      <c r="M8" s="36"/>
    </row>
    <row r="9" spans="2:13">
      <c r="B9" s="140" t="s">
        <v>1120</v>
      </c>
      <c r="C9" s="140" t="s">
        <v>108</v>
      </c>
      <c r="D9" s="36">
        <v>17</v>
      </c>
      <c r="E9" s="36">
        <v>10</v>
      </c>
      <c r="F9" s="36">
        <v>7</v>
      </c>
      <c r="G9" s="140" t="s">
        <v>1116</v>
      </c>
      <c r="H9" s="36">
        <v>2.4989999999999997</v>
      </c>
      <c r="I9" s="36">
        <v>1.47</v>
      </c>
      <c r="J9" s="36">
        <v>88.708836278420023</v>
      </c>
      <c r="K9" s="36">
        <v>11.959378110631848</v>
      </c>
      <c r="L9" s="36">
        <v>0.21741313156667996</v>
      </c>
      <c r="M9" s="36"/>
    </row>
    <row r="10" spans="2:13">
      <c r="B10" s="140" t="s">
        <v>1122</v>
      </c>
      <c r="C10" s="140" t="s">
        <v>108</v>
      </c>
      <c r="D10" s="36">
        <v>12</v>
      </c>
      <c r="E10" s="36">
        <v>8</v>
      </c>
      <c r="F10" s="36">
        <v>4</v>
      </c>
      <c r="G10" s="140" t="s">
        <v>1109</v>
      </c>
      <c r="H10" s="36">
        <v>1.7639999999999998</v>
      </c>
      <c r="I10" s="36">
        <v>1.1759999999999999</v>
      </c>
      <c r="J10" s="36">
        <v>85.903385282820111</v>
      </c>
      <c r="K10" s="36">
        <v>15.275785656728452</v>
      </c>
      <c r="L10" s="36">
        <v>0.32217766505946849</v>
      </c>
      <c r="M10" s="36"/>
    </row>
    <row r="11" spans="2:13">
      <c r="B11" s="140" t="s">
        <v>1123</v>
      </c>
      <c r="C11" s="140" t="s">
        <v>108</v>
      </c>
      <c r="D11" s="36">
        <v>14</v>
      </c>
      <c r="E11" s="36">
        <v>10</v>
      </c>
      <c r="F11" s="36">
        <v>4</v>
      </c>
      <c r="G11" s="140" t="s">
        <v>1115</v>
      </c>
      <c r="H11" s="36">
        <v>2.0579999999999998</v>
      </c>
      <c r="I11" s="36">
        <v>1.47</v>
      </c>
      <c r="J11" s="36">
        <v>76.171783392281426</v>
      </c>
      <c r="K11" s="36">
        <v>13.664959134338671</v>
      </c>
      <c r="L11" s="36">
        <v>0.2138972933390928</v>
      </c>
      <c r="M11" s="36"/>
    </row>
    <row r="12" spans="2:13">
      <c r="B12" s="140" t="s">
        <v>1125</v>
      </c>
      <c r="C12" s="140" t="s">
        <v>108</v>
      </c>
      <c r="D12" s="36">
        <v>8</v>
      </c>
      <c r="E12" s="36">
        <v>8</v>
      </c>
      <c r="F12" s="36">
        <v>0</v>
      </c>
      <c r="G12" s="140" t="s">
        <v>1110</v>
      </c>
      <c r="H12" s="36">
        <v>1.1759999999999999</v>
      </c>
      <c r="I12" s="36">
        <v>1.1759999999999999</v>
      </c>
      <c r="J12" s="36">
        <v>85.052339273528418</v>
      </c>
      <c r="K12" s="36">
        <v>12.456839242546337</v>
      </c>
      <c r="L12" s="36">
        <v>0.21626661808150291</v>
      </c>
      <c r="M12" s="36"/>
    </row>
    <row r="13" spans="2:13">
      <c r="B13" s="140" t="s">
        <v>1126</v>
      </c>
      <c r="C13" s="140" t="s">
        <v>108</v>
      </c>
      <c r="D13" s="36">
        <v>5</v>
      </c>
      <c r="E13" s="36">
        <v>5</v>
      </c>
      <c r="F13" s="36">
        <v>0</v>
      </c>
      <c r="G13" s="140" t="s">
        <v>1112</v>
      </c>
      <c r="H13" s="36">
        <v>0.73499999999999999</v>
      </c>
      <c r="I13" s="36">
        <v>0.73499999999999999</v>
      </c>
      <c r="J13" s="36">
        <v>92.370558215228073</v>
      </c>
      <c r="K13" s="36">
        <v>3.9999999999999996</v>
      </c>
      <c r="L13" s="36">
        <v>4.5751633986928116E-2</v>
      </c>
      <c r="M13" s="36"/>
    </row>
    <row r="14" spans="2:13">
      <c r="B14" s="140" t="s">
        <v>1127</v>
      </c>
      <c r="C14" s="140" t="s">
        <v>108</v>
      </c>
      <c r="D14" s="36">
        <v>4</v>
      </c>
      <c r="E14" s="36">
        <v>4</v>
      </c>
      <c r="F14" s="36">
        <v>0</v>
      </c>
      <c r="G14" s="140" t="s">
        <v>1111</v>
      </c>
      <c r="H14" s="36">
        <v>0.58799999999999997</v>
      </c>
      <c r="I14" s="36">
        <v>0.58799999999999997</v>
      </c>
      <c r="J14" s="36">
        <v>78.504487918393622</v>
      </c>
      <c r="K14" s="36">
        <v>3.9999999999999996</v>
      </c>
      <c r="L14" s="36">
        <v>3.766816143497758E-2</v>
      </c>
      <c r="M14" s="36"/>
    </row>
    <row r="15" spans="2:13">
      <c r="B15" s="140" t="s">
        <v>1128</v>
      </c>
      <c r="C15" s="140" t="s">
        <v>108</v>
      </c>
      <c r="D15" s="36">
        <v>16</v>
      </c>
      <c r="E15" s="36">
        <v>10</v>
      </c>
      <c r="F15" s="36">
        <v>6</v>
      </c>
      <c r="G15" s="140" t="s">
        <v>1113</v>
      </c>
      <c r="H15" s="36">
        <v>2.3519999999999999</v>
      </c>
      <c r="I15" s="36">
        <v>1.47</v>
      </c>
      <c r="J15" s="36">
        <v>96.444703565710441</v>
      </c>
      <c r="K15" s="36">
        <v>10.342629431909753</v>
      </c>
      <c r="L15" s="36">
        <v>0.20125509873648573</v>
      </c>
      <c r="M15" s="36"/>
    </row>
    <row r="16" spans="2:13">
      <c r="B16" s="140" t="s">
        <v>1129</v>
      </c>
      <c r="C16" s="140" t="s">
        <v>108</v>
      </c>
      <c r="D16" s="36">
        <v>16</v>
      </c>
      <c r="E16" s="36">
        <v>12</v>
      </c>
      <c r="F16" s="36">
        <v>4</v>
      </c>
      <c r="G16" s="140" t="s">
        <v>1114</v>
      </c>
      <c r="H16" s="36">
        <v>2.3519999999999999</v>
      </c>
      <c r="I16" s="36">
        <v>1.7639999999999998</v>
      </c>
      <c r="J16" s="36">
        <v>88.05948027706377</v>
      </c>
      <c r="K16" s="36">
        <v>10.342629431909753</v>
      </c>
      <c r="L16" s="36">
        <v>0.16943724529910401</v>
      </c>
      <c r="M16" s="36"/>
    </row>
    <row r="17" spans="2:13">
      <c r="B17" s="140" t="s">
        <v>573</v>
      </c>
      <c r="C17" s="140" t="s">
        <v>108</v>
      </c>
      <c r="D17" s="36">
        <v>8</v>
      </c>
      <c r="E17" s="36">
        <v>6</v>
      </c>
      <c r="F17" s="36">
        <v>2</v>
      </c>
      <c r="G17" s="140" t="s">
        <v>1117</v>
      </c>
      <c r="H17" s="36">
        <v>1.1759999999999999</v>
      </c>
      <c r="I17" s="36">
        <v>0.8819999999999999</v>
      </c>
      <c r="J17" s="36">
        <v>85.052339273528418</v>
      </c>
      <c r="K17" s="36">
        <v>12.456839242546337</v>
      </c>
      <c r="L17" s="36">
        <v>0.21626661808150291</v>
      </c>
      <c r="M17" s="36"/>
    </row>
    <row r="18" spans="2:13">
      <c r="B18" s="140" t="s">
        <v>1130</v>
      </c>
      <c r="C18" s="140" t="s">
        <v>108</v>
      </c>
      <c r="D18" s="36">
        <v>7</v>
      </c>
      <c r="E18" s="36">
        <v>7</v>
      </c>
      <c r="F18" s="36">
        <v>0</v>
      </c>
      <c r="G18" s="140" t="s">
        <v>1118</v>
      </c>
      <c r="H18" s="36">
        <v>1.0289999999999999</v>
      </c>
      <c r="I18" s="36">
        <v>1.0289999999999999</v>
      </c>
      <c r="J18" s="36">
        <v>76.171783392281398</v>
      </c>
      <c r="K18" s="36">
        <v>13.664959134338671</v>
      </c>
      <c r="L18" s="36">
        <v>0.21389729333909274</v>
      </c>
      <c r="M18" s="36"/>
    </row>
    <row r="19" spans="2:13">
      <c r="B19" s="140" t="s">
        <v>1131</v>
      </c>
      <c r="C19" s="140" t="s">
        <v>108</v>
      </c>
      <c r="D19" s="36">
        <v>7</v>
      </c>
      <c r="E19" s="36">
        <v>7</v>
      </c>
      <c r="F19" s="36">
        <v>0</v>
      </c>
      <c r="G19" s="140" t="s">
        <v>1118</v>
      </c>
      <c r="H19" s="36">
        <v>1.0289999999999999</v>
      </c>
      <c r="I19" s="36">
        <v>1.0289999999999999</v>
      </c>
      <c r="J19" s="36">
        <v>76.171783392281398</v>
      </c>
      <c r="K19" s="36">
        <v>13.664959134338671</v>
      </c>
      <c r="L19" s="36">
        <v>0.21389729333909274</v>
      </c>
      <c r="M19" s="36"/>
    </row>
    <row r="20" spans="2:13">
      <c r="B20" s="140" t="s">
        <v>1132</v>
      </c>
      <c r="C20" s="140" t="s">
        <v>108</v>
      </c>
      <c r="D20" s="36">
        <v>7</v>
      </c>
      <c r="E20" s="36">
        <v>7</v>
      </c>
      <c r="F20" s="36">
        <v>0</v>
      </c>
      <c r="G20" s="140" t="s">
        <v>1118</v>
      </c>
      <c r="H20" s="36">
        <v>1.0289999999999999</v>
      </c>
      <c r="I20" s="36">
        <v>1.0289999999999999</v>
      </c>
      <c r="J20" s="36">
        <v>76.171783392281398</v>
      </c>
      <c r="K20" s="36">
        <v>13.664959134338671</v>
      </c>
      <c r="L20" s="36">
        <v>0.21389729333909274</v>
      </c>
      <c r="M20" s="36"/>
    </row>
    <row r="21" spans="2:13">
      <c r="B21" s="140" t="s">
        <v>1133</v>
      </c>
      <c r="C21" s="140" t="s">
        <v>108</v>
      </c>
      <c r="D21" s="36">
        <v>3</v>
      </c>
      <c r="E21" s="36">
        <v>3</v>
      </c>
      <c r="F21" s="36">
        <v>0</v>
      </c>
      <c r="G21" s="140" t="s">
        <v>1138</v>
      </c>
      <c r="H21" s="36">
        <v>0.44099999999999995</v>
      </c>
      <c r="I21" s="36">
        <v>0.44099999999999995</v>
      </c>
      <c r="J21" s="36">
        <v>101.60794443154553</v>
      </c>
      <c r="K21" s="36">
        <v>3.9999999999999996</v>
      </c>
      <c r="L21" s="36">
        <v>5.3389830508474574E-2</v>
      </c>
      <c r="M21" s="36"/>
    </row>
    <row r="22" spans="2:13">
      <c r="B22" s="140"/>
      <c r="C22" s="140"/>
      <c r="D22" s="36"/>
      <c r="E22" s="36"/>
      <c r="F22" s="36"/>
      <c r="G22" s="140"/>
      <c r="H22" s="36"/>
      <c r="I22" s="36"/>
      <c r="J22" s="36"/>
      <c r="K22" s="36"/>
      <c r="L22" s="36"/>
      <c r="M22" s="36"/>
    </row>
    <row r="23" spans="2:13">
      <c r="B23" s="140"/>
      <c r="C23" s="140"/>
      <c r="D23" s="36"/>
      <c r="E23" s="36"/>
      <c r="F23" s="36"/>
      <c r="G23" s="140"/>
      <c r="H23" s="36"/>
      <c r="I23" s="36"/>
      <c r="J23" s="36"/>
      <c r="K23" s="36"/>
      <c r="L23" s="36"/>
      <c r="M23" s="36"/>
    </row>
    <row r="24" spans="2:13">
      <c r="B24" s="140"/>
      <c r="C24" s="140"/>
      <c r="D24" s="36"/>
      <c r="E24" s="36"/>
      <c r="F24" s="36"/>
      <c r="G24" s="140"/>
      <c r="H24" s="36"/>
      <c r="I24" s="36"/>
      <c r="J24" s="36"/>
      <c r="K24" s="36"/>
      <c r="L24" s="36"/>
      <c r="M24" s="36"/>
    </row>
    <row r="25" spans="2:13">
      <c r="B25" s="140"/>
      <c r="C25" s="140"/>
      <c r="D25" s="36"/>
      <c r="E25" s="36"/>
      <c r="F25" s="36"/>
      <c r="G25" s="140"/>
      <c r="H25" s="36"/>
      <c r="I25" s="36"/>
      <c r="J25" s="36"/>
      <c r="K25" s="36"/>
      <c r="L25" s="36"/>
      <c r="M25" s="36"/>
    </row>
    <row r="26" spans="2:13">
      <c r="B26" s="140"/>
      <c r="C26" s="140"/>
      <c r="D26" s="36"/>
      <c r="E26" s="36"/>
      <c r="F26" s="36"/>
      <c r="G26" s="140"/>
      <c r="H26" s="36"/>
      <c r="I26" s="36"/>
      <c r="J26" s="36"/>
      <c r="K26" s="36"/>
      <c r="L26" s="36"/>
      <c r="M26" s="36"/>
    </row>
    <row r="27" spans="2:13">
      <c r="B27" s="140"/>
      <c r="C27" s="140"/>
      <c r="D27" s="36"/>
      <c r="E27" s="36"/>
      <c r="F27" s="36"/>
      <c r="G27" s="140"/>
      <c r="H27" s="36"/>
      <c r="I27" s="36"/>
      <c r="J27" s="36"/>
      <c r="K27" s="36"/>
      <c r="L27" s="36"/>
      <c r="M27" s="36"/>
    </row>
    <row r="28" spans="2:13">
      <c r="B28" s="140"/>
      <c r="C28" s="140"/>
      <c r="D28" s="36"/>
      <c r="E28" s="36"/>
      <c r="F28" s="36"/>
      <c r="G28" s="140"/>
      <c r="H28" s="36"/>
      <c r="I28" s="36"/>
      <c r="J28" s="36"/>
      <c r="K28" s="36"/>
      <c r="L28" s="36"/>
      <c r="M28" s="36"/>
    </row>
    <row r="29" spans="2:13">
      <c r="B29" s="140"/>
      <c r="C29" s="140"/>
      <c r="D29" s="36"/>
      <c r="E29" s="36"/>
      <c r="F29" s="36"/>
      <c r="G29" s="140"/>
      <c r="H29" s="36"/>
      <c r="I29" s="36"/>
      <c r="J29" s="36"/>
      <c r="K29" s="36"/>
      <c r="L29" s="36"/>
      <c r="M29" s="36"/>
    </row>
  </sheetData>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55" zoomScaleNormal="55" workbookViewId="0">
      <selection activeCell="J16" sqref="J16"/>
    </sheetView>
  </sheetViews>
  <sheetFormatPr defaultColWidth="8.6640625" defaultRowHeight="19.5"/>
  <cols>
    <col min="2" max="3" width="8.6640625" customWidth="1"/>
    <col min="4" max="4" width="9.6640625" customWidth="1"/>
    <col min="5" max="5" width="8.6640625" bestFit="1" customWidth="1"/>
    <col min="9" max="9" width="8.6640625" style="154"/>
    <col min="17" max="18" width="8.6640625" customWidth="1"/>
    <col min="19" max="19" width="86.6640625" customWidth="1"/>
    <col min="20" max="22" width="26.6640625" customWidth="1"/>
  </cols>
  <sheetData>
    <row r="1" spans="2:27" ht="20.25" thickBot="1"/>
    <row r="2" spans="2:27">
      <c r="B2" s="10" t="s">
        <v>179</v>
      </c>
      <c r="C2" s="10" t="s">
        <v>180</v>
      </c>
      <c r="D2" s="10" t="s">
        <v>181</v>
      </c>
      <c r="E2" s="10" t="s">
        <v>182</v>
      </c>
      <c r="G2" s="228"/>
      <c r="H2" s="229"/>
      <c r="I2" s="229"/>
      <c r="J2" s="229"/>
      <c r="K2" s="229"/>
      <c r="L2" s="229"/>
      <c r="M2" s="229"/>
      <c r="N2" s="229"/>
      <c r="O2" s="229"/>
      <c r="P2" s="230"/>
      <c r="Q2" s="81"/>
    </row>
    <row r="3" spans="2:27">
      <c r="B3" s="1" t="s">
        <v>183</v>
      </c>
      <c r="C3" s="22">
        <v>-5</v>
      </c>
      <c r="D3" s="22">
        <v>20</v>
      </c>
      <c r="E3" s="22">
        <v>0.1</v>
      </c>
      <c r="G3" s="231"/>
      <c r="H3" s="232"/>
      <c r="I3" s="232"/>
      <c r="J3" s="232"/>
      <c r="K3" s="232"/>
      <c r="L3" s="232"/>
      <c r="M3" s="232"/>
      <c r="N3" s="232"/>
      <c r="O3" s="232"/>
      <c r="P3" s="233"/>
      <c r="Q3" s="81"/>
    </row>
    <row r="4" spans="2:27">
      <c r="B4" s="1" t="s">
        <v>184</v>
      </c>
      <c r="C4" s="153">
        <v>100000</v>
      </c>
      <c r="D4" s="153">
        <v>1000000</v>
      </c>
      <c r="E4" s="153">
        <v>20000</v>
      </c>
      <c r="G4" s="231"/>
      <c r="H4" s="232"/>
      <c r="I4" s="232"/>
      <c r="J4" s="232"/>
      <c r="K4" s="232"/>
      <c r="L4" s="232"/>
      <c r="M4" s="232"/>
      <c r="N4" s="232"/>
      <c r="O4" s="232"/>
      <c r="P4" s="233"/>
      <c r="Q4" s="81"/>
    </row>
    <row r="5" spans="2:27">
      <c r="F5" s="3"/>
      <c r="G5" s="231"/>
      <c r="H5" s="232"/>
      <c r="I5" s="232"/>
      <c r="J5" s="232"/>
      <c r="K5" s="232"/>
      <c r="L5" s="232"/>
      <c r="M5" s="232"/>
      <c r="N5" s="232"/>
      <c r="O5" s="232"/>
      <c r="P5" s="233"/>
      <c r="Q5" s="81"/>
    </row>
    <row r="6" spans="2:27">
      <c r="G6" s="231"/>
      <c r="H6" s="232"/>
      <c r="I6" s="232"/>
      <c r="J6" s="232"/>
      <c r="K6" s="232"/>
      <c r="L6" s="232"/>
      <c r="M6" s="232"/>
      <c r="N6" s="232"/>
      <c r="O6" s="232"/>
      <c r="P6" s="233"/>
      <c r="Q6" s="81"/>
    </row>
    <row r="7" spans="2:27" ht="20.25" thickBot="1">
      <c r="G7" s="234"/>
      <c r="H7" s="235"/>
      <c r="I7" s="235"/>
      <c r="J7" s="235"/>
      <c r="K7" s="235"/>
      <c r="L7" s="235"/>
      <c r="M7" s="235"/>
      <c r="N7" s="235"/>
      <c r="O7" s="235"/>
      <c r="P7" s="236"/>
      <c r="Q7" s="81"/>
    </row>
    <row r="9" spans="2:27">
      <c r="C9" t="s">
        <v>178</v>
      </c>
      <c r="I9" s="154" t="s">
        <v>177</v>
      </c>
      <c r="S9" t="s">
        <v>411</v>
      </c>
    </row>
    <row r="10" spans="2:27">
      <c r="B10" s="41" t="s">
        <v>1074</v>
      </c>
      <c r="C10" s="43" t="s">
        <v>1075</v>
      </c>
      <c r="D10" s="39" t="s">
        <v>1072</v>
      </c>
      <c r="E10" s="39" t="s">
        <v>166</v>
      </c>
      <c r="F10" s="39" t="s">
        <v>1073</v>
      </c>
      <c r="G10" s="39" t="s">
        <v>1144</v>
      </c>
      <c r="H10" s="119" t="s">
        <v>1076</v>
      </c>
      <c r="I10" s="155" t="s">
        <v>1077</v>
      </c>
      <c r="J10" s="39" t="s">
        <v>1078</v>
      </c>
      <c r="K10" s="115" t="s">
        <v>1079</v>
      </c>
      <c r="L10" s="115" t="s">
        <v>1091</v>
      </c>
      <c r="M10" s="39" t="s">
        <v>1080</v>
      </c>
      <c r="N10" s="39" t="s">
        <v>1081</v>
      </c>
      <c r="O10" s="115" t="s">
        <v>1082</v>
      </c>
      <c r="P10" s="39" t="s">
        <v>1083</v>
      </c>
      <c r="Q10" s="39" t="s">
        <v>1084</v>
      </c>
      <c r="R10" s="41" t="s">
        <v>1085</v>
      </c>
      <c r="S10" s="135" t="s">
        <v>1086</v>
      </c>
      <c r="T10" s="39" t="s">
        <v>977</v>
      </c>
      <c r="U10" s="125" t="s">
        <v>976</v>
      </c>
      <c r="V10" s="125" t="s">
        <v>978</v>
      </c>
      <c r="W10" s="125"/>
      <c r="X10" s="125"/>
      <c r="Y10" s="125"/>
      <c r="Z10" s="115"/>
      <c r="AA10" s="134"/>
    </row>
    <row r="11" spans="2:27">
      <c r="B11" s="41"/>
      <c r="C11" s="43" t="s">
        <v>138</v>
      </c>
      <c r="D11" s="39" t="s">
        <v>52</v>
      </c>
      <c r="E11" s="39" t="s">
        <v>1087</v>
      </c>
      <c r="F11" s="39" t="s">
        <v>52</v>
      </c>
      <c r="G11" s="39" t="s">
        <v>52</v>
      </c>
      <c r="H11" s="119" t="s">
        <v>52</v>
      </c>
      <c r="I11" s="155" t="s">
        <v>184</v>
      </c>
      <c r="J11" s="39" t="s">
        <v>176</v>
      </c>
      <c r="K11" s="115" t="s">
        <v>1088</v>
      </c>
      <c r="L11" s="115" t="s">
        <v>183</v>
      </c>
      <c r="M11" s="39" t="s">
        <v>183</v>
      </c>
      <c r="N11" s="39" t="s">
        <v>1089</v>
      </c>
      <c r="O11" s="115" t="s">
        <v>1090</v>
      </c>
      <c r="P11" s="39" t="s">
        <v>172</v>
      </c>
      <c r="Q11" s="39" t="s">
        <v>169</v>
      </c>
      <c r="R11" s="41" t="s">
        <v>170</v>
      </c>
      <c r="S11" s="43"/>
      <c r="T11" s="39"/>
      <c r="U11" s="125"/>
      <c r="V11" s="125"/>
      <c r="W11" s="125"/>
      <c r="X11" s="125"/>
      <c r="Y11" s="125"/>
      <c r="Z11" s="115"/>
      <c r="AA11" s="134"/>
    </row>
    <row r="12" spans="2:27" ht="20.25" thickBot="1">
      <c r="B12" s="42"/>
      <c r="C12" s="44" t="s">
        <v>163</v>
      </c>
      <c r="D12" s="40" t="s">
        <v>163</v>
      </c>
      <c r="E12" s="40" t="s">
        <v>163</v>
      </c>
      <c r="F12" s="40" t="s">
        <v>163</v>
      </c>
      <c r="G12" s="40" t="s">
        <v>9</v>
      </c>
      <c r="H12" s="120" t="s">
        <v>324</v>
      </c>
      <c r="I12" s="156" t="s">
        <v>52</v>
      </c>
      <c r="J12" s="40" t="s">
        <v>52</v>
      </c>
      <c r="K12" s="116" t="s">
        <v>52</v>
      </c>
      <c r="L12" s="116" t="s">
        <v>324</v>
      </c>
      <c r="M12" s="40" t="s">
        <v>324</v>
      </c>
      <c r="N12" s="40" t="s">
        <v>52</v>
      </c>
      <c r="O12" s="116" t="s">
        <v>52</v>
      </c>
      <c r="P12" s="40" t="s">
        <v>52</v>
      </c>
      <c r="Q12" s="40" t="s">
        <v>163</v>
      </c>
      <c r="R12" s="42" t="s">
        <v>168</v>
      </c>
      <c r="S12" s="44"/>
      <c r="T12" s="40"/>
      <c r="U12" s="126"/>
      <c r="V12" s="126"/>
      <c r="W12" s="126"/>
      <c r="X12" s="126"/>
      <c r="Y12" s="126"/>
      <c r="Z12" s="116"/>
      <c r="AA12" s="134"/>
    </row>
    <row r="13" spans="2:27" ht="108" customHeight="1" thickTop="1">
      <c r="B13" s="123" t="s">
        <v>701</v>
      </c>
      <c r="C13" s="117">
        <v>14.1</v>
      </c>
      <c r="D13" s="52">
        <v>32.9</v>
      </c>
      <c r="E13" s="52">
        <v>5.0999999999999996</v>
      </c>
      <c r="F13" s="52">
        <v>47.300000000000004</v>
      </c>
      <c r="G13" s="52">
        <v>1</v>
      </c>
      <c r="H13" s="121">
        <v>0.1</v>
      </c>
      <c r="I13" s="157">
        <v>600000</v>
      </c>
      <c r="J13" s="52">
        <v>1.6507999999999978</v>
      </c>
      <c r="K13" s="117">
        <v>137.93503480278412</v>
      </c>
      <c r="L13" s="117">
        <v>5.0999999999997847</v>
      </c>
      <c r="M13" s="150">
        <v>5</v>
      </c>
      <c r="N13" s="52">
        <v>1.1788000000000001</v>
      </c>
      <c r="O13" s="52">
        <v>137.87134502923976</v>
      </c>
      <c r="P13" s="52">
        <v>-0.13739999999999999</v>
      </c>
      <c r="Q13" s="52">
        <v>35.83</v>
      </c>
      <c r="R13" s="130">
        <v>57.07</v>
      </c>
      <c r="S13" s="132"/>
      <c r="T13" s="52"/>
      <c r="U13" s="127"/>
      <c r="V13" s="127"/>
      <c r="W13" s="127"/>
      <c r="X13" s="127"/>
      <c r="Y13" s="127"/>
      <c r="Z13" s="128"/>
      <c r="AA13" s="134"/>
    </row>
    <row r="14" spans="2:27" ht="108" customHeight="1">
      <c r="B14" s="124" t="s">
        <v>702</v>
      </c>
      <c r="C14" s="118">
        <v>13.2</v>
      </c>
      <c r="D14" s="36">
        <v>30.8</v>
      </c>
      <c r="E14" s="36">
        <v>3.5</v>
      </c>
      <c r="F14" s="36">
        <v>44</v>
      </c>
      <c r="G14" s="36">
        <v>1</v>
      </c>
      <c r="H14" s="122">
        <v>0.1</v>
      </c>
      <c r="I14" s="157">
        <v>600000</v>
      </c>
      <c r="J14" s="36">
        <v>1.5748</v>
      </c>
      <c r="K14" s="118">
        <v>112.56626506024058</v>
      </c>
      <c r="L14" s="118">
        <v>4.7999999999997911</v>
      </c>
      <c r="M14" s="140">
        <v>5</v>
      </c>
      <c r="N14" s="36">
        <v>0.95520000000000005</v>
      </c>
      <c r="O14" s="36">
        <v>112.37647058823529</v>
      </c>
      <c r="P14" s="36">
        <v>-8.1199999999999994E-2</v>
      </c>
      <c r="Q14" s="36">
        <v>32.76</v>
      </c>
      <c r="R14" s="131">
        <v>46.08</v>
      </c>
      <c r="S14" s="133"/>
      <c r="T14" s="36"/>
      <c r="U14" s="129"/>
      <c r="V14" s="129"/>
      <c r="W14" s="129"/>
      <c r="X14" s="129"/>
      <c r="Y14" s="129"/>
      <c r="Z14" s="118"/>
      <c r="AA14" s="134"/>
    </row>
    <row r="15" spans="2:27" ht="108" customHeight="1">
      <c r="B15" s="124" t="s">
        <v>1092</v>
      </c>
      <c r="C15" s="118">
        <v>9</v>
      </c>
      <c r="D15" s="36">
        <v>30</v>
      </c>
      <c r="E15" s="36">
        <v>0</v>
      </c>
      <c r="F15" s="36">
        <v>43</v>
      </c>
      <c r="G15" s="36">
        <v>1</v>
      </c>
      <c r="H15" s="122">
        <v>0.1</v>
      </c>
      <c r="I15" s="157">
        <v>600000</v>
      </c>
      <c r="J15" s="36"/>
      <c r="K15" s="118"/>
      <c r="L15" s="118"/>
      <c r="M15" s="150">
        <v>10</v>
      </c>
      <c r="N15" s="36">
        <v>1.0246999999999999</v>
      </c>
      <c r="O15" s="36">
        <v>41.46904087414002</v>
      </c>
      <c r="P15" s="36">
        <v>1.21E-2</v>
      </c>
      <c r="Q15" s="36">
        <v>22.91</v>
      </c>
      <c r="R15" s="131">
        <v>1.4000000000000001</v>
      </c>
      <c r="S15" s="133"/>
      <c r="T15" s="36"/>
      <c r="U15" s="129"/>
      <c r="V15" s="129"/>
      <c r="W15" s="129"/>
      <c r="X15" s="129"/>
      <c r="Y15" s="129"/>
      <c r="Z15" s="118"/>
      <c r="AA15" s="134"/>
    </row>
    <row r="16" spans="2:27" ht="108" customHeight="1">
      <c r="B16" s="124" t="s">
        <v>1093</v>
      </c>
      <c r="C16" s="118">
        <v>12</v>
      </c>
      <c r="D16" s="36">
        <v>30</v>
      </c>
      <c r="E16" s="36">
        <v>0</v>
      </c>
      <c r="F16" s="36">
        <v>38.800000000000004</v>
      </c>
      <c r="G16" s="36">
        <v>1</v>
      </c>
      <c r="H16" s="122">
        <v>0.1</v>
      </c>
      <c r="I16" s="157">
        <v>600000</v>
      </c>
      <c r="J16" s="36"/>
      <c r="K16" s="118"/>
      <c r="L16" s="118"/>
      <c r="M16" s="140">
        <v>10</v>
      </c>
      <c r="N16" s="36">
        <v>1.052</v>
      </c>
      <c r="O16" s="36">
        <v>57.865786578657861</v>
      </c>
      <c r="P16" s="36">
        <v>9.7000000000000003E-3</v>
      </c>
      <c r="Q16" s="36">
        <v>22.97</v>
      </c>
      <c r="R16" s="131">
        <v>3.0700000000000003</v>
      </c>
      <c r="S16" s="133"/>
      <c r="T16" s="36"/>
      <c r="U16" s="129"/>
      <c r="V16" s="129"/>
      <c r="W16" s="129"/>
      <c r="X16" s="129"/>
      <c r="Y16" s="129"/>
      <c r="Z16" s="118"/>
    </row>
    <row r="17" spans="2:26" ht="108" customHeight="1">
      <c r="B17" s="124"/>
      <c r="C17" s="118"/>
      <c r="D17" s="36"/>
      <c r="E17" s="36"/>
      <c r="F17" s="36"/>
      <c r="G17" s="36"/>
      <c r="H17" s="122"/>
      <c r="I17" s="158"/>
      <c r="J17" s="36"/>
      <c r="K17" s="118"/>
      <c r="L17" s="118"/>
      <c r="M17" s="140"/>
      <c r="N17" s="36"/>
      <c r="O17" s="36"/>
      <c r="P17" s="36"/>
      <c r="Q17" s="36"/>
      <c r="R17" s="131"/>
      <c r="S17" s="133"/>
      <c r="T17" s="36"/>
      <c r="U17" s="129"/>
      <c r="V17" s="129"/>
      <c r="W17" s="129"/>
      <c r="X17" s="129"/>
      <c r="Y17" s="129"/>
      <c r="Z17" s="118"/>
    </row>
    <row r="18" spans="2:26" ht="108" customHeight="1"/>
    <row r="19" spans="2:26" ht="108" customHeight="1"/>
    <row r="20" spans="2:26" ht="108" customHeight="1"/>
    <row r="21" spans="2:26" ht="108" customHeight="1"/>
    <row r="22" spans="2:26" ht="108" customHeight="1"/>
  </sheetData>
  <mergeCells count="1">
    <mergeCell ref="G2:P7"/>
  </mergeCells>
  <phoneticPr fontId="3"/>
  <dataValidations count="1">
    <dataValidation type="list" allowBlank="1" showInputMessage="1" showErrorMessage="1" sqref="L11" xr:uid="{4AA66253-9EE5-BC43-83A9-CCE52606DC3A}">
      <formula1>"Cl,α"</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132" zoomScaleNormal="60" workbookViewId="0">
      <selection activeCell="D4" sqref="D4"/>
    </sheetView>
  </sheetViews>
  <sheetFormatPr defaultColWidth="8.6640625" defaultRowHeight="19.5"/>
  <sheetData>
    <row r="2" spans="2:23">
      <c r="B2" s="3" t="s">
        <v>64</v>
      </c>
      <c r="C2" s="3"/>
      <c r="D2" s="3"/>
      <c r="E2" s="3"/>
      <c r="F2" s="26"/>
      <c r="G2" s="26"/>
      <c r="H2" s="26"/>
      <c r="I2" s="26"/>
      <c r="J2" s="3"/>
      <c r="K2" s="3" t="s">
        <v>140</v>
      </c>
      <c r="L2" s="3"/>
      <c r="M2" s="3"/>
      <c r="N2" s="3"/>
      <c r="O2" s="3"/>
      <c r="P2" s="3"/>
      <c r="Q2" s="3"/>
      <c r="R2" s="3"/>
      <c r="S2" s="3"/>
      <c r="T2" s="3"/>
      <c r="U2" s="3"/>
      <c r="V2" s="3"/>
      <c r="W2" s="3"/>
    </row>
    <row r="3" spans="2:23">
      <c r="B3" s="10" t="s">
        <v>65</v>
      </c>
      <c r="C3" s="10" t="s">
        <v>66</v>
      </c>
      <c r="D3" s="10" t="s">
        <v>67</v>
      </c>
      <c r="E3" s="10" t="s">
        <v>68</v>
      </c>
      <c r="F3" s="240" t="s">
        <v>69</v>
      </c>
      <c r="G3" s="240"/>
      <c r="H3" s="240"/>
      <c r="I3" s="240"/>
      <c r="J3" s="3"/>
      <c r="K3" s="3"/>
      <c r="L3" s="3"/>
      <c r="M3" s="3"/>
      <c r="N3" s="3"/>
      <c r="O3" s="3"/>
      <c r="P3" s="3"/>
      <c r="Q3" s="3"/>
      <c r="R3" s="3"/>
      <c r="S3" s="3"/>
      <c r="T3" s="3"/>
      <c r="U3" s="3"/>
      <c r="V3" s="3"/>
      <c r="W3" s="3"/>
    </row>
    <row r="4" spans="2:23">
      <c r="B4" s="1" t="s">
        <v>70</v>
      </c>
      <c r="C4" s="1" t="s">
        <v>71</v>
      </c>
      <c r="D4" s="1">
        <f>D11/(D12*D9)</f>
        <v>1.1643136152857254</v>
      </c>
      <c r="E4" s="1" t="s">
        <v>72</v>
      </c>
      <c r="F4" s="241" t="s">
        <v>73</v>
      </c>
      <c r="G4" s="238"/>
      <c r="H4" s="238"/>
      <c r="I4" s="239"/>
      <c r="J4" s="3"/>
      <c r="K4" s="3"/>
      <c r="L4" s="3"/>
      <c r="M4" s="3"/>
      <c r="N4" s="3"/>
      <c r="O4" s="3"/>
      <c r="P4" s="3"/>
      <c r="Q4" s="3"/>
      <c r="R4" s="3"/>
      <c r="S4" s="3"/>
      <c r="T4" s="3"/>
      <c r="U4" s="3"/>
      <c r="V4" s="3"/>
      <c r="W4" s="3"/>
    </row>
    <row r="5" spans="2:23">
      <c r="B5" s="1" t="s">
        <v>74</v>
      </c>
      <c r="C5" s="1" t="s">
        <v>75</v>
      </c>
      <c r="D5" s="22">
        <v>9.7970000000000006</v>
      </c>
      <c r="E5" s="1" t="s">
        <v>76</v>
      </c>
      <c r="F5" s="241" t="s">
        <v>77</v>
      </c>
      <c r="G5" s="238"/>
      <c r="H5" s="238"/>
      <c r="I5" s="239"/>
      <c r="J5" s="3"/>
      <c r="K5" s="3"/>
      <c r="L5" s="3"/>
      <c r="M5" s="3"/>
      <c r="N5" s="3"/>
      <c r="O5" s="3"/>
      <c r="P5" s="3"/>
      <c r="Q5" s="3"/>
      <c r="R5" s="3"/>
      <c r="S5" s="3"/>
      <c r="T5" s="3"/>
      <c r="U5" s="3"/>
      <c r="V5" s="3"/>
      <c r="W5" s="3"/>
    </row>
    <row r="6" spans="2:23">
      <c r="B6" s="1" t="s">
        <v>78</v>
      </c>
      <c r="C6" s="1" t="s">
        <v>79</v>
      </c>
      <c r="D6" s="27">
        <f>(1.458*(10^-6)*(D9^(3/2)))/(D9+110.4)</f>
        <v>1.8608692424914869E-5</v>
      </c>
      <c r="E6" s="1" t="s">
        <v>80</v>
      </c>
      <c r="F6" s="237" t="s">
        <v>81</v>
      </c>
      <c r="G6" s="238"/>
      <c r="H6" s="238"/>
      <c r="I6" s="239"/>
      <c r="J6" s="3"/>
      <c r="K6" s="3"/>
      <c r="L6" s="3"/>
      <c r="M6" s="3"/>
      <c r="N6" s="3"/>
      <c r="O6" s="3"/>
      <c r="P6" s="3"/>
      <c r="Q6" s="3"/>
      <c r="R6" s="3"/>
      <c r="S6" s="3"/>
      <c r="T6" s="3"/>
      <c r="U6" s="3"/>
      <c r="V6" s="3"/>
      <c r="W6" s="3"/>
    </row>
    <row r="7" spans="2:23">
      <c r="B7" s="1" t="s">
        <v>82</v>
      </c>
      <c r="C7" s="1" t="s">
        <v>83</v>
      </c>
      <c r="D7" s="27">
        <f>D6/D4</f>
        <v>1.5982543002684247E-5</v>
      </c>
      <c r="E7" s="1" t="s">
        <v>84</v>
      </c>
      <c r="F7" s="237" t="s">
        <v>81</v>
      </c>
      <c r="G7" s="238"/>
      <c r="H7" s="238"/>
      <c r="I7" s="239"/>
      <c r="J7" s="3"/>
      <c r="K7" s="3"/>
      <c r="L7" s="3"/>
      <c r="M7" s="3"/>
      <c r="N7" s="3"/>
      <c r="O7" s="3"/>
      <c r="P7" s="3"/>
      <c r="Q7" s="3"/>
      <c r="R7" s="3"/>
      <c r="S7" s="3"/>
      <c r="T7" s="3"/>
      <c r="U7" s="3"/>
      <c r="V7" s="3"/>
      <c r="W7" s="3"/>
    </row>
    <row r="8" spans="2:23">
      <c r="B8" s="1" t="s">
        <v>85</v>
      </c>
      <c r="C8" s="1" t="s">
        <v>86</v>
      </c>
      <c r="D8" s="22">
        <v>30</v>
      </c>
      <c r="E8" s="1" t="s">
        <v>87</v>
      </c>
      <c r="F8" s="237"/>
      <c r="G8" s="238"/>
      <c r="H8" s="238"/>
      <c r="I8" s="239"/>
      <c r="J8" s="3"/>
      <c r="K8" s="3"/>
      <c r="L8" s="3"/>
      <c r="M8" s="3"/>
      <c r="N8" s="3"/>
      <c r="O8" s="3"/>
      <c r="P8" s="3"/>
      <c r="Q8" s="3"/>
      <c r="R8" s="3"/>
      <c r="S8" s="3"/>
      <c r="T8" s="3"/>
      <c r="U8" s="3"/>
      <c r="V8" s="3"/>
      <c r="W8" s="3"/>
    </row>
    <row r="9" spans="2:23">
      <c r="B9" s="1"/>
      <c r="C9" s="1"/>
      <c r="D9" s="1">
        <f>273.15+D8</f>
        <v>303.14999999999998</v>
      </c>
      <c r="E9" s="1" t="s">
        <v>88</v>
      </c>
      <c r="F9" s="237"/>
      <c r="G9" s="238"/>
      <c r="H9" s="238"/>
      <c r="I9" s="239"/>
      <c r="J9" s="3"/>
      <c r="K9" s="3"/>
      <c r="L9" s="3"/>
      <c r="M9" s="3"/>
      <c r="N9" s="3"/>
      <c r="O9" s="3"/>
      <c r="P9" s="3"/>
      <c r="Q9" s="3"/>
      <c r="R9" s="3"/>
      <c r="S9" s="3"/>
      <c r="T9" s="3"/>
      <c r="U9" s="3"/>
      <c r="V9" s="3"/>
      <c r="W9" s="3"/>
    </row>
    <row r="10" spans="2:23">
      <c r="B10" s="1" t="s">
        <v>89</v>
      </c>
      <c r="C10" s="1" t="s">
        <v>90</v>
      </c>
      <c r="D10" s="28">
        <v>1013</v>
      </c>
      <c r="E10" s="1" t="s">
        <v>91</v>
      </c>
      <c r="F10" s="237"/>
      <c r="G10" s="238"/>
      <c r="H10" s="238"/>
      <c r="I10" s="239"/>
      <c r="J10" s="3"/>
      <c r="K10" s="3"/>
      <c r="L10" s="3"/>
      <c r="M10" s="3"/>
      <c r="N10" s="3"/>
      <c r="O10" s="3"/>
      <c r="P10" s="3"/>
      <c r="Q10" s="3"/>
      <c r="R10" s="3"/>
      <c r="S10" s="3"/>
      <c r="T10" s="3"/>
      <c r="U10" s="3"/>
      <c r="V10" s="3"/>
      <c r="W10" s="3"/>
    </row>
    <row r="11" spans="2:23">
      <c r="B11" s="1"/>
      <c r="C11" s="1"/>
      <c r="D11" s="29">
        <f>D10*100</f>
        <v>101300</v>
      </c>
      <c r="E11" s="1" t="s">
        <v>92</v>
      </c>
      <c r="F11" s="237"/>
      <c r="G11" s="238"/>
      <c r="H11" s="238"/>
      <c r="I11" s="239"/>
      <c r="J11" s="3"/>
      <c r="K11" s="3"/>
      <c r="L11" s="3"/>
      <c r="M11" s="3"/>
      <c r="N11" s="3"/>
      <c r="O11" s="3"/>
      <c r="P11" s="3"/>
      <c r="Q11" s="3"/>
      <c r="R11" s="3"/>
      <c r="S11" s="3"/>
      <c r="T11" s="3"/>
      <c r="U11" s="3"/>
      <c r="V11" s="3"/>
      <c r="W11" s="3"/>
    </row>
    <row r="12" spans="2:23">
      <c r="B12" s="1" t="s">
        <v>93</v>
      </c>
      <c r="C12" s="1" t="s">
        <v>94</v>
      </c>
      <c r="D12" s="22">
        <v>287</v>
      </c>
      <c r="E12" s="1" t="s">
        <v>95</v>
      </c>
      <c r="F12" s="237" t="s">
        <v>81</v>
      </c>
      <c r="G12" s="238"/>
      <c r="H12" s="238"/>
      <c r="I12" s="239"/>
      <c r="J12" s="3"/>
      <c r="K12" s="3"/>
      <c r="L12" s="3"/>
      <c r="M12" s="3"/>
      <c r="N12" s="3"/>
      <c r="O12" s="3"/>
      <c r="P12" s="3"/>
      <c r="Q12" s="3"/>
      <c r="R12" s="3"/>
      <c r="S12" s="3"/>
      <c r="T12" s="3"/>
      <c r="U12" s="3"/>
      <c r="V12" s="3"/>
      <c r="W12" s="3"/>
    </row>
    <row r="13" spans="2:23">
      <c r="B13" s="1" t="s">
        <v>96</v>
      </c>
      <c r="C13" s="1" t="s">
        <v>97</v>
      </c>
      <c r="D13" s="22">
        <v>1.4</v>
      </c>
      <c r="E13" s="1" t="s">
        <v>52</v>
      </c>
      <c r="F13" s="237" t="s">
        <v>81</v>
      </c>
      <c r="G13" s="238"/>
      <c r="H13" s="238"/>
      <c r="I13" s="239"/>
      <c r="J13" s="3"/>
      <c r="K13" s="3"/>
      <c r="L13" s="3"/>
      <c r="M13" s="3"/>
      <c r="N13" s="3"/>
      <c r="O13" s="3"/>
      <c r="P13" s="3"/>
      <c r="Q13" s="3"/>
      <c r="R13" s="3"/>
      <c r="S13" s="3"/>
      <c r="T13" s="3"/>
      <c r="U13" s="3"/>
      <c r="V13" s="3"/>
      <c r="W13" s="3"/>
    </row>
    <row r="14" spans="2:23">
      <c r="B14" s="1" t="s">
        <v>98</v>
      </c>
      <c r="C14" s="1" t="s">
        <v>99</v>
      </c>
      <c r="D14" s="1">
        <f>SQRT(D13*D12*D9)</f>
        <v>349.00669048028288</v>
      </c>
      <c r="E14" s="1" t="s">
        <v>100</v>
      </c>
      <c r="F14" s="237" t="s">
        <v>81</v>
      </c>
      <c r="G14" s="238"/>
      <c r="H14" s="238"/>
      <c r="I14" s="239"/>
      <c r="J14" s="3"/>
      <c r="K14" s="3"/>
      <c r="L14" s="3"/>
      <c r="M14" s="3"/>
      <c r="N14" s="3"/>
      <c r="O14" s="3"/>
      <c r="P14" s="3"/>
      <c r="Q14" s="3"/>
      <c r="R14" s="3"/>
      <c r="S14" s="3"/>
      <c r="T14" s="3"/>
      <c r="U14" s="3"/>
      <c r="V14" s="3"/>
      <c r="W14" s="3"/>
    </row>
    <row r="15" spans="2:23">
      <c r="B15" s="1" t="s">
        <v>101</v>
      </c>
      <c r="C15" s="1" t="s">
        <v>102</v>
      </c>
      <c r="D15" s="22">
        <v>0.4</v>
      </c>
      <c r="E15" s="1" t="s">
        <v>52</v>
      </c>
      <c r="F15" s="30" t="s">
        <v>103</v>
      </c>
      <c r="G15" s="31"/>
      <c r="H15" s="31"/>
      <c r="I15" s="32"/>
      <c r="J15" s="3"/>
      <c r="K15" s="3"/>
      <c r="L15" s="3"/>
      <c r="M15" s="3"/>
      <c r="N15" s="3"/>
      <c r="O15" s="3"/>
      <c r="P15" s="3"/>
      <c r="Q15" s="3"/>
      <c r="R15" s="3"/>
      <c r="S15" s="3"/>
      <c r="T15" s="3"/>
      <c r="U15" s="3"/>
      <c r="V15" s="3"/>
      <c r="W15" s="3"/>
    </row>
    <row r="16" spans="2:23">
      <c r="B16" s="1" t="s">
        <v>104</v>
      </c>
      <c r="C16" s="1" t="s">
        <v>105</v>
      </c>
      <c r="D16" s="22">
        <v>0.01</v>
      </c>
      <c r="E16" s="1" t="s">
        <v>52</v>
      </c>
      <c r="F16" s="33" t="s">
        <v>103</v>
      </c>
      <c r="G16" s="31"/>
      <c r="H16" s="31"/>
      <c r="I16" s="32"/>
      <c r="J16" s="3"/>
      <c r="K16" s="3"/>
      <c r="L16" s="3"/>
      <c r="M16" s="3"/>
      <c r="N16" s="3"/>
      <c r="O16" s="3"/>
      <c r="P16" s="3"/>
      <c r="Q16" s="3"/>
      <c r="R16" s="3"/>
      <c r="S16" s="3"/>
      <c r="T16" s="3"/>
      <c r="U16" s="3"/>
      <c r="V16" s="3"/>
      <c r="W16" s="3"/>
    </row>
    <row r="17" spans="1:36">
      <c r="B17" s="3"/>
      <c r="C17" s="3"/>
      <c r="D17" s="3"/>
      <c r="E17" s="3"/>
      <c r="F17" s="3"/>
      <c r="G17" s="3"/>
      <c r="H17" s="3"/>
      <c r="I17" s="3"/>
      <c r="J17" s="3"/>
      <c r="K17" s="3"/>
      <c r="L17" s="3"/>
      <c r="M17" s="3"/>
      <c r="N17" s="3"/>
      <c r="O17" s="3"/>
      <c r="P17" s="3"/>
      <c r="Q17" s="3"/>
      <c r="R17" s="3"/>
      <c r="S17" s="3"/>
      <c r="T17" s="3"/>
      <c r="U17" s="3"/>
      <c r="V17" s="3"/>
      <c r="W17" s="3"/>
    </row>
    <row r="18" spans="1:36">
      <c r="C18" s="3"/>
      <c r="D18" s="3"/>
      <c r="E18" s="3"/>
      <c r="F18" s="3"/>
      <c r="G18" s="3"/>
      <c r="H18" s="3"/>
      <c r="I18" s="3"/>
      <c r="J18" s="3"/>
      <c r="K18" s="3"/>
      <c r="L18" s="3"/>
      <c r="M18" s="3"/>
      <c r="N18" s="3"/>
      <c r="O18" s="3"/>
      <c r="P18" s="3"/>
      <c r="Q18" s="3"/>
      <c r="R18" s="3"/>
      <c r="S18" s="3"/>
      <c r="T18" s="3"/>
      <c r="U18" s="3"/>
      <c r="V18" s="3"/>
      <c r="W18" s="3"/>
    </row>
    <row r="19" spans="1:36">
      <c r="A19" s="3"/>
      <c r="B19" s="3" t="s">
        <v>1060</v>
      </c>
      <c r="C19" s="3"/>
      <c r="D19" s="3"/>
      <c r="E19" s="3"/>
      <c r="F19" s="3"/>
      <c r="G19" s="3"/>
      <c r="H19" s="3"/>
      <c r="I19" s="3" t="s">
        <v>23</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1</v>
      </c>
      <c r="C20" s="10" t="s">
        <v>141</v>
      </c>
      <c r="D20" s="10" t="s">
        <v>142</v>
      </c>
      <c r="E20" s="10" t="s">
        <v>123</v>
      </c>
      <c r="F20" s="10" t="s">
        <v>120</v>
      </c>
      <c r="G20" s="10" t="s">
        <v>69</v>
      </c>
      <c r="H20" s="3"/>
      <c r="I20" s="10" t="s">
        <v>1</v>
      </c>
      <c r="J20" s="10" t="s">
        <v>141</v>
      </c>
      <c r="K20" s="10" t="s">
        <v>142</v>
      </c>
      <c r="L20" s="10" t="s">
        <v>152</v>
      </c>
      <c r="M20" s="10" t="s">
        <v>153</v>
      </c>
      <c r="N20" s="10" t="s">
        <v>69</v>
      </c>
      <c r="O20" s="3"/>
      <c r="P20" s="3"/>
      <c r="Q20" s="3"/>
      <c r="R20" s="3"/>
      <c r="S20" s="3"/>
      <c r="T20" s="3"/>
      <c r="U20" s="3"/>
      <c r="V20" s="3"/>
      <c r="W20" s="3"/>
      <c r="X20" s="3"/>
      <c r="Y20" s="3"/>
      <c r="Z20" s="3"/>
      <c r="AA20" s="3"/>
      <c r="AB20" s="3"/>
      <c r="AC20" s="3"/>
      <c r="AD20" s="3"/>
      <c r="AE20" s="3"/>
      <c r="AF20" s="3"/>
      <c r="AG20" s="3"/>
      <c r="AH20" s="3"/>
      <c r="AI20" s="3"/>
      <c r="AJ20" s="3"/>
    </row>
    <row r="21" spans="1:36" ht="20.25" thickBot="1">
      <c r="A21" s="3"/>
      <c r="B21" s="38" t="s">
        <v>52</v>
      </c>
      <c r="C21" s="38" t="s">
        <v>52</v>
      </c>
      <c r="D21" s="38" t="s">
        <v>72</v>
      </c>
      <c r="E21" s="38" t="s">
        <v>92</v>
      </c>
      <c r="F21" s="38" t="s">
        <v>92</v>
      </c>
      <c r="G21" s="38" t="s">
        <v>52</v>
      </c>
      <c r="H21" s="3"/>
      <c r="I21" s="38" t="s">
        <v>52</v>
      </c>
      <c r="J21" s="38" t="s">
        <v>52</v>
      </c>
      <c r="K21" s="38" t="s">
        <v>72</v>
      </c>
      <c r="L21" s="38" t="s">
        <v>92</v>
      </c>
      <c r="M21" s="38" t="s">
        <v>92</v>
      </c>
      <c r="N21" s="38" t="s">
        <v>52</v>
      </c>
      <c r="O21" s="3"/>
      <c r="P21" s="3"/>
      <c r="Q21" s="3"/>
      <c r="R21" s="3"/>
      <c r="S21" s="3"/>
      <c r="T21" s="3"/>
      <c r="U21" s="3"/>
      <c r="V21" s="3"/>
      <c r="W21" s="3"/>
      <c r="X21" s="3"/>
      <c r="Y21" s="3"/>
      <c r="Z21" s="3"/>
      <c r="AA21" s="3"/>
      <c r="AB21" s="3"/>
      <c r="AC21" s="3"/>
      <c r="AD21" s="3"/>
      <c r="AE21" s="3"/>
      <c r="AF21" s="3"/>
      <c r="AG21" s="3"/>
      <c r="AH21" s="3"/>
      <c r="AI21" s="3"/>
      <c r="AJ21" s="3"/>
    </row>
    <row r="22" spans="1:36" ht="20.25" thickTop="1">
      <c r="A22" s="3"/>
      <c r="B22" s="25" t="s">
        <v>143</v>
      </c>
      <c r="C22" s="25"/>
      <c r="D22" s="51"/>
      <c r="E22" s="51"/>
      <c r="F22" s="51"/>
      <c r="G22" s="25"/>
      <c r="H22" s="3"/>
      <c r="I22" s="25" t="s">
        <v>1065</v>
      </c>
      <c r="J22" s="25"/>
      <c r="K22" s="51"/>
      <c r="L22" s="51"/>
      <c r="M22" s="51"/>
      <c r="N22" s="25"/>
      <c r="O22" s="3"/>
      <c r="P22" s="3"/>
      <c r="Q22" s="3"/>
      <c r="R22" s="3"/>
      <c r="S22" s="3"/>
      <c r="T22" s="3"/>
      <c r="U22" s="3"/>
      <c r="V22" s="3"/>
      <c r="W22" s="3"/>
      <c r="X22" s="3"/>
      <c r="Y22" s="3"/>
      <c r="Z22" s="3"/>
      <c r="AA22" s="3"/>
      <c r="AB22" s="3"/>
      <c r="AC22" s="3"/>
      <c r="AD22" s="3"/>
      <c r="AE22" s="3"/>
      <c r="AF22" s="3"/>
      <c r="AG22" s="3"/>
      <c r="AH22" s="3"/>
      <c r="AI22" s="3"/>
      <c r="AJ22" s="3"/>
    </row>
    <row r="23" spans="1:36">
      <c r="A23" s="3"/>
      <c r="B23" s="1" t="s">
        <v>144</v>
      </c>
      <c r="C23" s="1"/>
      <c r="D23" s="22"/>
      <c r="E23" s="22"/>
      <c r="F23" s="22"/>
      <c r="G23" s="1"/>
      <c r="H23" s="3"/>
      <c r="I23" s="1" t="s">
        <v>1066</v>
      </c>
      <c r="J23" s="1"/>
      <c r="K23" s="22"/>
      <c r="L23" s="22"/>
      <c r="M23" s="22"/>
      <c r="N23" s="1"/>
      <c r="O23" s="3"/>
      <c r="P23" s="3"/>
      <c r="Q23" s="3"/>
      <c r="R23" s="3"/>
      <c r="S23" s="3"/>
      <c r="T23" s="3"/>
      <c r="U23" s="3"/>
      <c r="V23" s="3"/>
      <c r="W23" s="3"/>
      <c r="X23" s="3"/>
      <c r="Y23" s="3"/>
      <c r="Z23" s="3"/>
      <c r="AA23" s="3"/>
      <c r="AB23" s="3"/>
      <c r="AC23" s="3"/>
      <c r="AD23" s="3"/>
      <c r="AE23" s="3"/>
      <c r="AF23" s="3"/>
      <c r="AG23" s="3"/>
      <c r="AH23" s="3"/>
      <c r="AI23" s="3"/>
      <c r="AJ23" s="3"/>
    </row>
    <row r="24" spans="1:36">
      <c r="A24" s="3"/>
      <c r="B24" s="1" t="s">
        <v>145</v>
      </c>
      <c r="C24" s="1"/>
      <c r="D24" s="22"/>
      <c r="E24" s="22"/>
      <c r="F24" s="22"/>
      <c r="G24" s="1"/>
      <c r="H24" s="3"/>
      <c r="I24" s="1" t="s">
        <v>1067</v>
      </c>
      <c r="J24" s="1"/>
      <c r="K24" s="22"/>
      <c r="L24" s="22"/>
      <c r="M24" s="22"/>
      <c r="N24" s="1"/>
      <c r="O24" s="3"/>
      <c r="P24" s="3"/>
      <c r="Q24" s="3"/>
      <c r="R24" s="3"/>
      <c r="S24" s="3"/>
      <c r="T24" s="3"/>
      <c r="U24" s="3"/>
      <c r="V24" s="3"/>
      <c r="W24" s="3"/>
      <c r="X24" s="3"/>
      <c r="Y24" s="3"/>
      <c r="Z24" s="3"/>
      <c r="AA24" s="3"/>
      <c r="AB24" s="3"/>
      <c r="AC24" s="3"/>
      <c r="AD24" s="3"/>
      <c r="AE24" s="3"/>
      <c r="AF24" s="3"/>
      <c r="AG24" s="3"/>
      <c r="AH24" s="3"/>
      <c r="AI24" s="3"/>
      <c r="AJ24" s="3"/>
    </row>
    <row r="25" spans="1:36">
      <c r="A25" s="3"/>
      <c r="B25" s="1" t="s">
        <v>1070</v>
      </c>
      <c r="C25" s="1"/>
      <c r="D25" s="22"/>
      <c r="E25" s="22"/>
      <c r="F25" s="22"/>
      <c r="G25" s="1"/>
      <c r="H25" s="3"/>
      <c r="I25" s="1" t="s">
        <v>1071</v>
      </c>
      <c r="J25" s="1"/>
      <c r="K25" s="22"/>
      <c r="L25" s="22"/>
      <c r="M25" s="22"/>
      <c r="N25" s="1"/>
      <c r="O25" s="3"/>
      <c r="P25" s="3"/>
      <c r="Q25" s="3"/>
      <c r="R25" s="3"/>
      <c r="S25" s="3"/>
      <c r="T25" s="3"/>
      <c r="U25" s="3"/>
      <c r="V25" s="3"/>
      <c r="W25" s="3"/>
      <c r="X25" s="3"/>
      <c r="Y25" s="3"/>
      <c r="Z25" s="3"/>
      <c r="AA25" s="3"/>
      <c r="AB25" s="3"/>
      <c r="AC25" s="3"/>
      <c r="AD25" s="3"/>
      <c r="AE25" s="3"/>
      <c r="AF25" s="3"/>
      <c r="AG25" s="3"/>
      <c r="AH25" s="3"/>
      <c r="AI25" s="3"/>
      <c r="AJ25" s="3"/>
    </row>
    <row r="26" spans="1:36">
      <c r="A26" s="3"/>
      <c r="B26" s="1" t="s">
        <v>1069</v>
      </c>
      <c r="C26" s="1"/>
      <c r="D26" s="22"/>
      <c r="E26" s="22"/>
      <c r="F26" s="22"/>
      <c r="G26" s="1"/>
      <c r="H26" s="3"/>
      <c r="I26" s="1" t="s">
        <v>1068</v>
      </c>
      <c r="J26" s="1"/>
      <c r="K26" s="22"/>
      <c r="L26" s="22"/>
      <c r="M26" s="22"/>
      <c r="N26" s="1"/>
      <c r="O26" s="3"/>
      <c r="P26" s="3"/>
      <c r="Q26" s="3"/>
      <c r="R26" s="3"/>
      <c r="S26" s="3"/>
      <c r="T26" s="3"/>
      <c r="U26" s="3"/>
      <c r="V26" s="3"/>
      <c r="W26" s="3"/>
      <c r="X26" s="3"/>
      <c r="Y26" s="3"/>
      <c r="Z26" s="3"/>
      <c r="AA26" s="3"/>
      <c r="AB26" s="3"/>
      <c r="AC26" s="3"/>
      <c r="AD26" s="3"/>
      <c r="AE26" s="3"/>
      <c r="AF26" s="3"/>
      <c r="AG26" s="3"/>
      <c r="AH26" s="3"/>
      <c r="AI26" s="3"/>
      <c r="AJ26" s="3"/>
    </row>
    <row r="27" spans="1:36" ht="19.5" customHeight="1">
      <c r="A27" s="3"/>
      <c r="B27" s="1" t="s">
        <v>146</v>
      </c>
      <c r="C27" s="1"/>
      <c r="D27" s="22"/>
      <c r="E27" s="22"/>
      <c r="F27" s="22"/>
      <c r="G27" s="1"/>
      <c r="H27" s="3"/>
      <c r="I27" s="1"/>
      <c r="J27" s="1"/>
      <c r="K27" s="22"/>
      <c r="L27" s="22"/>
      <c r="M27" s="22"/>
      <c r="N27" s="1"/>
      <c r="O27" s="3"/>
      <c r="P27" s="3"/>
      <c r="Q27" s="3"/>
      <c r="R27" s="3"/>
      <c r="S27" s="3"/>
      <c r="T27" s="3"/>
      <c r="U27" s="3"/>
      <c r="V27" s="3"/>
      <c r="W27" s="3"/>
      <c r="X27" s="3"/>
      <c r="Y27" s="3"/>
      <c r="Z27" s="3"/>
      <c r="AA27" s="3"/>
      <c r="AB27" s="3"/>
      <c r="AC27" s="3"/>
      <c r="AD27" s="3"/>
      <c r="AE27" s="3"/>
      <c r="AF27" s="3"/>
      <c r="AG27" s="3"/>
      <c r="AH27" s="3"/>
      <c r="AI27" s="3"/>
      <c r="AJ27" s="3"/>
    </row>
    <row r="28" spans="1:36">
      <c r="A28" s="3"/>
      <c r="B28" s="1" t="s">
        <v>537</v>
      </c>
      <c r="C28" s="1"/>
      <c r="D28" s="22"/>
      <c r="E28" s="22"/>
      <c r="F28" s="22"/>
      <c r="G28" s="1"/>
      <c r="H28" s="3"/>
      <c r="I28" s="1"/>
      <c r="J28" s="1"/>
      <c r="K28" s="22"/>
      <c r="L28" s="22"/>
      <c r="M28" s="22"/>
      <c r="N28" s="1"/>
      <c r="O28" s="3"/>
      <c r="P28" s="3"/>
      <c r="Q28" s="3"/>
      <c r="R28" s="3"/>
      <c r="S28" s="3"/>
      <c r="T28" s="3"/>
      <c r="U28" s="3"/>
      <c r="V28" s="3"/>
      <c r="W28" s="3"/>
      <c r="X28" s="3"/>
      <c r="Y28" s="3"/>
      <c r="Z28" s="3"/>
      <c r="AA28" s="3"/>
      <c r="AB28" s="3"/>
      <c r="AC28" s="3"/>
      <c r="AD28" s="3"/>
      <c r="AE28" s="3"/>
      <c r="AF28" s="3"/>
      <c r="AG28" s="3"/>
      <c r="AH28" s="3"/>
      <c r="AI28" s="3"/>
      <c r="AJ28" s="3"/>
    </row>
    <row r="29" spans="1:36">
      <c r="A29" s="3"/>
      <c r="B29" s="1" t="s">
        <v>147</v>
      </c>
      <c r="C29" s="1"/>
      <c r="D29" s="22"/>
      <c r="E29" s="22"/>
      <c r="F29" s="22"/>
      <c r="G29" s="1"/>
      <c r="H29" s="3"/>
      <c r="I29" s="1"/>
      <c r="J29" s="1"/>
      <c r="K29" s="22"/>
      <c r="L29" s="22"/>
      <c r="M29" s="22"/>
      <c r="N29" s="1"/>
      <c r="O29" s="3"/>
      <c r="P29" s="3"/>
      <c r="Q29" s="3"/>
      <c r="R29" s="3"/>
      <c r="S29" s="3"/>
      <c r="T29" s="3"/>
      <c r="U29" s="3"/>
      <c r="V29" s="3"/>
      <c r="W29" s="3"/>
      <c r="X29" s="3"/>
      <c r="Y29" s="3"/>
      <c r="Z29" s="3"/>
      <c r="AA29" s="3"/>
      <c r="AB29" s="3"/>
      <c r="AC29" s="3"/>
      <c r="AD29" s="3"/>
      <c r="AE29" s="3"/>
      <c r="AF29" s="3"/>
      <c r="AG29" s="3"/>
      <c r="AH29" s="3"/>
      <c r="AI29" s="3"/>
      <c r="AJ29" s="3"/>
    </row>
    <row r="30" spans="1:36">
      <c r="A30" s="3"/>
      <c r="B30" s="1" t="s">
        <v>148</v>
      </c>
      <c r="C30" s="1"/>
      <c r="D30" s="22"/>
      <c r="E30" s="22"/>
      <c r="F30" s="22"/>
      <c r="G30" s="1"/>
      <c r="H30" s="3"/>
      <c r="I30" s="1"/>
      <c r="J30" s="1"/>
      <c r="K30" s="22"/>
      <c r="L30" s="22"/>
      <c r="M30" s="22"/>
      <c r="N30" s="1"/>
      <c r="O30" s="3"/>
      <c r="P30" s="3"/>
      <c r="Q30" s="3"/>
      <c r="R30" s="3"/>
      <c r="S30" s="3"/>
      <c r="T30" s="3"/>
      <c r="U30" s="3"/>
      <c r="V30" s="3"/>
      <c r="W30" s="3"/>
      <c r="X30" s="3"/>
      <c r="Y30" s="3"/>
      <c r="Z30" s="3"/>
      <c r="AA30" s="3"/>
      <c r="AB30" s="3"/>
      <c r="AC30" s="3"/>
      <c r="AD30" s="3"/>
      <c r="AE30" s="3"/>
      <c r="AF30" s="3"/>
      <c r="AG30" s="3"/>
      <c r="AH30" s="3"/>
      <c r="AI30" s="3"/>
      <c r="AJ30" s="3"/>
    </row>
    <row r="31" spans="1:36">
      <c r="A31" s="3"/>
      <c r="B31" s="1" t="s">
        <v>149</v>
      </c>
      <c r="C31" s="1"/>
      <c r="D31" s="22"/>
      <c r="E31" s="22"/>
      <c r="F31" s="22"/>
      <c r="G31" s="1"/>
      <c r="H31" s="3"/>
      <c r="I31" s="1"/>
      <c r="J31" s="1"/>
      <c r="K31" s="22"/>
      <c r="L31" s="22"/>
      <c r="M31" s="22"/>
      <c r="N31" s="1"/>
      <c r="O31" s="3"/>
      <c r="P31" s="3"/>
      <c r="Q31" s="3"/>
      <c r="R31" s="3"/>
      <c r="S31" s="3"/>
      <c r="T31" s="3"/>
      <c r="U31" s="3"/>
      <c r="V31" s="3"/>
      <c r="W31" s="3"/>
      <c r="X31" s="3"/>
      <c r="Y31" s="3"/>
      <c r="Z31" s="3"/>
      <c r="AA31" s="3"/>
      <c r="AB31" s="3"/>
      <c r="AC31" s="3"/>
      <c r="AD31" s="3"/>
      <c r="AE31" s="3"/>
      <c r="AF31" s="3"/>
      <c r="AG31" s="3"/>
      <c r="AH31" s="3"/>
      <c r="AI31" s="3"/>
      <c r="AJ31" s="3"/>
    </row>
    <row r="32" spans="1:36">
      <c r="A32" s="3"/>
      <c r="B32" s="1" t="s">
        <v>150</v>
      </c>
      <c r="C32" s="1"/>
      <c r="D32" s="22"/>
      <c r="E32" s="22"/>
      <c r="F32" s="22"/>
      <c r="G32" s="1"/>
      <c r="H32" s="3"/>
      <c r="I32" s="1"/>
      <c r="J32" s="1"/>
      <c r="K32" s="22"/>
      <c r="L32" s="22"/>
      <c r="M32" s="22"/>
      <c r="N32" s="1"/>
      <c r="O32" s="3"/>
      <c r="P32" s="3"/>
      <c r="Q32" s="3"/>
      <c r="R32" s="3"/>
      <c r="S32" s="3"/>
      <c r="T32" s="3"/>
      <c r="U32" s="3"/>
      <c r="V32" s="3"/>
      <c r="W32" s="3"/>
      <c r="X32" s="3"/>
      <c r="Y32" s="3"/>
      <c r="Z32" s="3"/>
      <c r="AA32" s="3"/>
      <c r="AB32" s="3"/>
      <c r="AC32" s="3"/>
      <c r="AD32" s="3"/>
      <c r="AE32" s="3"/>
      <c r="AF32" s="3"/>
      <c r="AG32" s="3"/>
      <c r="AH32" s="3"/>
      <c r="AI32" s="3"/>
      <c r="AJ32" s="3"/>
    </row>
    <row r="33" spans="1:36">
      <c r="A33" s="3"/>
      <c r="B33" s="1" t="s">
        <v>151</v>
      </c>
      <c r="C33" s="1"/>
      <c r="D33" s="22"/>
      <c r="E33" s="22"/>
      <c r="F33" s="22"/>
      <c r="G33" s="1"/>
      <c r="H33" s="3"/>
      <c r="I33" s="1"/>
      <c r="J33" s="1"/>
      <c r="K33" s="22"/>
      <c r="L33" s="22"/>
      <c r="M33" s="22"/>
      <c r="N33" s="1"/>
      <c r="O33" s="3"/>
      <c r="P33" s="3"/>
      <c r="Q33" s="3"/>
      <c r="R33" s="3"/>
      <c r="S33" s="3"/>
      <c r="T33" s="3"/>
      <c r="U33" s="3"/>
      <c r="V33" s="3"/>
      <c r="W33" s="3"/>
      <c r="X33" s="3"/>
      <c r="Y33" s="3"/>
      <c r="Z33" s="3"/>
      <c r="AA33" s="3"/>
      <c r="AB33" s="3"/>
      <c r="AC33" s="3"/>
      <c r="AD33" s="3"/>
      <c r="AE33" s="3"/>
      <c r="AF33" s="3"/>
      <c r="AG33" s="3"/>
      <c r="AH33" s="3"/>
      <c r="AI33" s="3"/>
      <c r="AJ33" s="3"/>
    </row>
    <row r="34" spans="1:36">
      <c r="A34" s="3"/>
      <c r="B34" s="1"/>
      <c r="C34" s="1"/>
      <c r="D34" s="22"/>
      <c r="E34" s="22"/>
      <c r="F34" s="22"/>
      <c r="G34" s="1"/>
      <c r="H34" s="3"/>
      <c r="I34" s="1"/>
      <c r="J34" s="1"/>
      <c r="K34" s="22"/>
      <c r="L34" s="22"/>
      <c r="M34" s="22"/>
      <c r="N34" s="1"/>
      <c r="O34" s="3"/>
      <c r="P34" s="3"/>
      <c r="Q34" s="3"/>
      <c r="R34" s="3"/>
      <c r="S34" s="3"/>
      <c r="T34" s="3"/>
      <c r="U34" s="3"/>
      <c r="V34" s="3"/>
      <c r="W34" s="3"/>
      <c r="X34" s="3"/>
      <c r="Y34" s="3"/>
      <c r="Z34" s="3"/>
      <c r="AA34" s="3"/>
      <c r="AB34" s="3"/>
      <c r="AC34" s="3"/>
      <c r="AD34" s="3"/>
      <c r="AE34" s="3"/>
      <c r="AF34" s="3"/>
      <c r="AG34" s="3"/>
      <c r="AH34" s="3"/>
      <c r="AI34" s="3"/>
      <c r="AJ34" s="3"/>
    </row>
    <row r="35" spans="1:36">
      <c r="A35" s="3"/>
      <c r="B35" s="1"/>
      <c r="C35" s="1"/>
      <c r="D35" s="22"/>
      <c r="E35" s="22"/>
      <c r="F35" s="22"/>
      <c r="G35" s="1"/>
      <c r="H35" s="3"/>
      <c r="I35" s="1"/>
      <c r="J35" s="1"/>
      <c r="K35" s="22"/>
      <c r="L35" s="22"/>
      <c r="M35" s="22"/>
      <c r="N35" s="1"/>
      <c r="O35" s="3"/>
      <c r="P35" s="3"/>
      <c r="Q35" s="3"/>
      <c r="R35" s="3"/>
      <c r="S35" s="3"/>
      <c r="T35" s="3"/>
      <c r="U35" s="3"/>
      <c r="V35" s="3"/>
      <c r="W35" s="3"/>
      <c r="X35" s="3"/>
      <c r="Y35" s="3"/>
      <c r="Z35" s="3"/>
      <c r="AA35" s="3"/>
      <c r="AB35" s="3"/>
      <c r="AC35" s="3"/>
      <c r="AD35" s="3"/>
      <c r="AE35" s="3"/>
      <c r="AF35" s="3"/>
      <c r="AG35" s="3"/>
      <c r="AH35" s="3"/>
      <c r="AI35" s="3"/>
      <c r="AJ35" s="3"/>
    </row>
    <row r="36" spans="1:36">
      <c r="A36" s="3"/>
      <c r="B36" s="1"/>
      <c r="C36" s="1"/>
      <c r="D36" s="22"/>
      <c r="E36" s="22"/>
      <c r="F36" s="22"/>
      <c r="G36" s="1"/>
      <c r="H36" s="3"/>
      <c r="I36" s="1"/>
      <c r="J36" s="1"/>
      <c r="K36" s="22"/>
      <c r="L36" s="22"/>
      <c r="M36" s="22"/>
      <c r="N36" s="1"/>
      <c r="O36" s="3"/>
      <c r="P36" s="3"/>
      <c r="Q36" s="3"/>
      <c r="R36" s="3"/>
      <c r="S36" s="3"/>
      <c r="T36" s="3"/>
      <c r="U36" s="3"/>
      <c r="V36" s="3"/>
      <c r="W36" s="3"/>
      <c r="X36" s="3"/>
      <c r="Y36" s="3"/>
      <c r="Z36" s="3"/>
      <c r="AA36" s="3"/>
      <c r="AB36" s="3"/>
      <c r="AC36" s="3"/>
      <c r="AD36" s="3"/>
      <c r="AE36" s="3"/>
      <c r="AF36" s="3"/>
      <c r="AG36" s="3"/>
      <c r="AH36" s="3"/>
      <c r="AI36" s="3"/>
      <c r="AJ36" s="3"/>
    </row>
    <row r="37" spans="1:36">
      <c r="A37" s="3"/>
      <c r="B37" s="1"/>
      <c r="C37" s="1"/>
      <c r="D37" s="22"/>
      <c r="E37" s="22"/>
      <c r="F37" s="22"/>
      <c r="G37" s="1"/>
      <c r="H37" s="3"/>
      <c r="I37" s="1"/>
      <c r="J37" s="1"/>
      <c r="K37" s="22"/>
      <c r="L37" s="22"/>
      <c r="M37" s="22"/>
      <c r="N37" s="1"/>
      <c r="O37" s="3"/>
      <c r="P37" s="3"/>
      <c r="Q37" s="3"/>
      <c r="R37" s="3"/>
      <c r="S37" s="3"/>
      <c r="T37" s="3"/>
      <c r="U37" s="3"/>
      <c r="V37" s="3"/>
      <c r="W37" s="3"/>
      <c r="X37" s="3"/>
      <c r="Y37" s="3"/>
      <c r="Z37" s="3"/>
      <c r="AA37" s="3"/>
      <c r="AB37" s="3"/>
      <c r="AC37" s="3"/>
      <c r="AD37" s="3"/>
      <c r="AE37" s="3"/>
      <c r="AF37" s="3"/>
      <c r="AG37" s="3"/>
      <c r="AH37" s="3"/>
      <c r="AI37" s="3"/>
      <c r="AJ37" s="3"/>
    </row>
    <row r="38" spans="1:36">
      <c r="A38" s="3"/>
      <c r="B38" s="1"/>
      <c r="C38" s="1"/>
      <c r="D38" s="22"/>
      <c r="E38" s="22"/>
      <c r="F38" s="22"/>
      <c r="G38" s="1"/>
      <c r="H38" s="3"/>
      <c r="I38" s="1"/>
      <c r="J38" s="1"/>
      <c r="K38" s="22"/>
      <c r="L38" s="22"/>
      <c r="M38" s="22"/>
      <c r="N38" s="1"/>
      <c r="O38" s="3"/>
      <c r="P38" s="3"/>
      <c r="Q38" s="3"/>
      <c r="R38" s="3"/>
      <c r="S38" s="3"/>
      <c r="T38" s="3"/>
      <c r="U38" s="3"/>
      <c r="V38" s="3"/>
      <c r="W38" s="3"/>
      <c r="X38" s="3"/>
      <c r="Y38" s="3"/>
      <c r="Z38" s="3"/>
      <c r="AA38" s="3"/>
      <c r="AB38" s="3"/>
      <c r="AC38" s="3"/>
      <c r="AD38" s="3"/>
      <c r="AE38" s="3"/>
      <c r="AF38" s="3"/>
      <c r="AG38" s="3"/>
      <c r="AH38" s="3"/>
      <c r="AI38" s="3"/>
      <c r="AJ38" s="3"/>
    </row>
    <row r="39" spans="1:36">
      <c r="A39" s="3"/>
      <c r="B39" s="1"/>
      <c r="C39" s="1"/>
      <c r="D39" s="22"/>
      <c r="E39" s="22"/>
      <c r="F39" s="22"/>
      <c r="G39" s="1"/>
      <c r="H39" s="3"/>
      <c r="I39" s="1"/>
      <c r="J39" s="1"/>
      <c r="K39" s="22"/>
      <c r="L39" s="22"/>
      <c r="M39" s="22"/>
      <c r="N39" s="1"/>
      <c r="O39" s="3"/>
      <c r="P39" s="3"/>
      <c r="Q39" s="3"/>
      <c r="R39" s="3"/>
      <c r="S39" s="3"/>
      <c r="T39" s="3"/>
      <c r="U39" s="3"/>
      <c r="V39" s="3"/>
      <c r="W39" s="3"/>
      <c r="X39" s="3"/>
      <c r="Y39" s="3"/>
      <c r="Z39" s="3"/>
      <c r="AA39" s="3"/>
      <c r="AB39" s="3"/>
      <c r="AC39" s="3"/>
      <c r="AD39" s="3"/>
      <c r="AE39" s="3"/>
      <c r="AF39" s="3"/>
      <c r="AG39" s="3"/>
      <c r="AH39" s="3"/>
      <c r="AI39" s="3"/>
      <c r="AJ39" s="3"/>
    </row>
    <row r="40" spans="1:36">
      <c r="A40" s="3"/>
      <c r="B40" s="1"/>
      <c r="C40" s="1"/>
      <c r="D40" s="22"/>
      <c r="E40" s="22"/>
      <c r="F40" s="22"/>
      <c r="G40" s="1"/>
      <c r="H40" s="3"/>
      <c r="I40" s="1"/>
      <c r="J40" s="1"/>
      <c r="K40" s="22"/>
      <c r="L40" s="22"/>
      <c r="M40" s="22"/>
      <c r="N40" s="1"/>
      <c r="O40" s="3"/>
      <c r="P40" s="3"/>
      <c r="Q40" s="3"/>
      <c r="R40" s="3"/>
      <c r="S40" s="3"/>
      <c r="T40" s="3"/>
      <c r="U40" s="3"/>
      <c r="V40" s="3"/>
      <c r="W40" s="3"/>
      <c r="X40" s="3"/>
      <c r="Y40" s="3"/>
      <c r="Z40" s="3"/>
      <c r="AA40" s="3"/>
      <c r="AB40" s="3"/>
      <c r="AC40" s="3"/>
      <c r="AD40" s="3"/>
      <c r="AE40" s="3"/>
      <c r="AF40" s="3"/>
      <c r="AG40" s="3"/>
      <c r="AH40" s="3"/>
      <c r="AI40" s="3"/>
      <c r="AJ40" s="3"/>
    </row>
    <row r="41" spans="1:36">
      <c r="A41" s="3"/>
      <c r="B41" s="1"/>
      <c r="C41" s="1"/>
      <c r="D41" s="22"/>
      <c r="E41" s="22"/>
      <c r="F41" s="22"/>
      <c r="G41" s="1"/>
      <c r="H41" s="3"/>
      <c r="I41" s="1"/>
      <c r="J41" s="1"/>
      <c r="K41" s="22"/>
      <c r="L41" s="22"/>
      <c r="M41" s="22"/>
      <c r="N41" s="1"/>
      <c r="O41" s="3"/>
      <c r="P41" s="3"/>
      <c r="Q41" s="3"/>
      <c r="R41" s="3"/>
      <c r="S41" s="3"/>
      <c r="T41" s="3"/>
      <c r="U41" s="3"/>
      <c r="V41" s="3"/>
      <c r="W41" s="3"/>
      <c r="X41" s="3"/>
      <c r="Y41" s="3"/>
      <c r="Z41" s="3"/>
      <c r="AA41" s="3"/>
      <c r="AB41" s="3"/>
      <c r="AC41" s="3"/>
      <c r="AD41" s="3"/>
      <c r="AE41" s="3"/>
      <c r="AF41" s="3"/>
      <c r="AG41" s="3"/>
      <c r="AH41" s="3"/>
      <c r="AI41" s="3"/>
      <c r="AJ41" s="3"/>
    </row>
    <row r="42" spans="1:36">
      <c r="A42" s="3"/>
      <c r="B42" s="1"/>
      <c r="C42" s="1"/>
      <c r="D42" s="22"/>
      <c r="E42" s="22"/>
      <c r="F42" s="22"/>
      <c r="G42" s="1"/>
      <c r="H42" s="3"/>
      <c r="I42" s="1"/>
      <c r="J42" s="1"/>
      <c r="K42" s="22"/>
      <c r="L42" s="22"/>
      <c r="M42" s="22"/>
      <c r="N42" s="1"/>
      <c r="O42" s="3"/>
      <c r="P42" s="3"/>
      <c r="Q42" s="3"/>
      <c r="R42" s="3"/>
      <c r="S42" s="3"/>
      <c r="T42" s="3"/>
      <c r="U42" s="3"/>
      <c r="V42" s="3"/>
      <c r="W42" s="3"/>
      <c r="X42" s="3"/>
      <c r="Y42" s="3"/>
      <c r="Z42" s="3"/>
      <c r="AA42" s="3"/>
      <c r="AB42" s="3"/>
      <c r="AC42" s="3"/>
      <c r="AD42" s="3"/>
      <c r="AE42" s="3"/>
      <c r="AF42" s="3"/>
      <c r="AG42" s="3"/>
      <c r="AH42" s="3"/>
      <c r="AI42" s="3"/>
      <c r="AJ42" s="3"/>
    </row>
    <row r="43" spans="1:36">
      <c r="A43" s="3"/>
      <c r="B43" s="1"/>
      <c r="C43" s="1"/>
      <c r="D43" s="22"/>
      <c r="E43" s="22"/>
      <c r="F43" s="22"/>
      <c r="G43" s="1"/>
      <c r="H43" s="3"/>
      <c r="I43" s="1"/>
      <c r="J43" s="1"/>
      <c r="K43" s="22"/>
      <c r="L43" s="22"/>
      <c r="M43" s="22"/>
      <c r="N43" s="1"/>
      <c r="O43" s="3"/>
      <c r="P43" s="3"/>
      <c r="Q43" s="3"/>
      <c r="R43" s="3"/>
      <c r="S43" s="3"/>
      <c r="T43" s="3"/>
      <c r="U43" s="3"/>
      <c r="V43" s="3"/>
      <c r="W43" s="3"/>
      <c r="X43" s="3"/>
      <c r="Y43" s="3"/>
      <c r="Z43" s="3"/>
      <c r="AA43" s="3"/>
      <c r="AB43" s="3"/>
      <c r="AC43" s="3"/>
      <c r="AD43" s="3"/>
      <c r="AE43" s="3"/>
      <c r="AF43" s="3"/>
      <c r="AG43" s="3"/>
      <c r="AH43" s="3"/>
      <c r="AI43" s="3"/>
      <c r="AJ43" s="3"/>
    </row>
    <row r="44" spans="1:36">
      <c r="A44" s="3"/>
      <c r="B44" s="1"/>
      <c r="C44" s="1"/>
      <c r="D44" s="22"/>
      <c r="E44" s="22"/>
      <c r="F44" s="22"/>
      <c r="G44" s="1"/>
      <c r="H44" s="3"/>
      <c r="I44" s="1"/>
      <c r="J44" s="1"/>
      <c r="K44" s="22"/>
      <c r="L44" s="22"/>
      <c r="M44" s="22"/>
      <c r="N44" s="1"/>
      <c r="O44" s="3"/>
      <c r="P44" s="3"/>
      <c r="Q44" s="3"/>
      <c r="R44" s="3"/>
      <c r="S44" s="3"/>
      <c r="T44" s="3"/>
      <c r="U44" s="3"/>
      <c r="V44" s="3"/>
      <c r="W44" s="3"/>
      <c r="X44" s="3"/>
      <c r="Y44" s="3"/>
      <c r="Z44" s="3"/>
      <c r="AA44" s="3"/>
      <c r="AB44" s="3"/>
      <c r="AC44" s="3"/>
      <c r="AD44" s="3"/>
      <c r="AE44" s="3"/>
      <c r="AF44" s="3"/>
      <c r="AG44" s="3"/>
      <c r="AH44" s="3"/>
      <c r="AI44" s="3"/>
      <c r="AJ44" s="3"/>
    </row>
    <row r="45" spans="1:36">
      <c r="A45" s="3"/>
      <c r="B45" s="1"/>
      <c r="C45" s="1"/>
      <c r="D45" s="22"/>
      <c r="E45" s="22"/>
      <c r="F45" s="22"/>
      <c r="G45" s="1"/>
      <c r="H45" s="3"/>
      <c r="I45" s="1"/>
      <c r="J45" s="1"/>
      <c r="K45" s="22"/>
      <c r="L45" s="22"/>
      <c r="M45" s="22"/>
      <c r="N45" s="1"/>
      <c r="O45" s="3"/>
      <c r="P45" s="3"/>
      <c r="Q45" s="3"/>
      <c r="R45" s="3"/>
      <c r="S45" s="3"/>
      <c r="T45" s="3"/>
      <c r="U45" s="3"/>
      <c r="V45" s="3"/>
      <c r="W45" s="3"/>
      <c r="X45" s="3"/>
      <c r="Y45" s="3"/>
      <c r="Z45" s="3"/>
      <c r="AA45" s="3"/>
      <c r="AB45" s="3"/>
      <c r="AC45" s="3"/>
      <c r="AD45" s="3"/>
      <c r="AE45" s="3"/>
      <c r="AF45" s="3"/>
      <c r="AG45" s="3"/>
      <c r="AH45" s="3"/>
      <c r="AI45" s="3"/>
      <c r="AJ45" s="3"/>
    </row>
    <row r="46" spans="1:36">
      <c r="A46" s="3"/>
      <c r="B46" s="1"/>
      <c r="C46" s="1"/>
      <c r="D46" s="22"/>
      <c r="E46" s="22"/>
      <c r="F46" s="22"/>
      <c r="G46" s="1"/>
      <c r="H46" s="3"/>
      <c r="I46" s="1"/>
      <c r="J46" s="1"/>
      <c r="K46" s="22"/>
      <c r="L46" s="22"/>
      <c r="M46" s="22"/>
      <c r="N46" s="1"/>
      <c r="O46" s="3"/>
      <c r="P46" s="3"/>
      <c r="Q46" s="3"/>
      <c r="R46" s="3"/>
      <c r="S46" s="3"/>
      <c r="T46" s="3"/>
      <c r="U46" s="3"/>
      <c r="V46" s="3"/>
      <c r="W46" s="3"/>
      <c r="X46" s="3"/>
      <c r="Y46" s="3"/>
      <c r="Z46" s="3"/>
      <c r="AA46" s="3"/>
      <c r="AB46" s="3"/>
      <c r="AC46" s="3"/>
      <c r="AD46" s="3"/>
      <c r="AE46" s="3"/>
      <c r="AF46" s="3"/>
      <c r="AG46" s="3"/>
      <c r="AH46" s="3"/>
      <c r="AI46" s="3"/>
      <c r="AJ46" s="3"/>
    </row>
    <row r="47" spans="1:36">
      <c r="A47" s="3"/>
      <c r="B47" s="1"/>
      <c r="C47" s="1"/>
      <c r="D47" s="22"/>
      <c r="E47" s="22"/>
      <c r="F47" s="22"/>
      <c r="G47" s="1"/>
      <c r="H47" s="3"/>
      <c r="I47" s="1"/>
      <c r="J47" s="1"/>
      <c r="K47" s="22"/>
      <c r="L47" s="22"/>
      <c r="M47" s="22"/>
      <c r="N47" s="1"/>
      <c r="O47" s="3"/>
      <c r="P47" s="3"/>
      <c r="Q47" s="3"/>
      <c r="R47" s="3"/>
      <c r="S47" s="3"/>
      <c r="T47" s="3"/>
      <c r="U47" s="3"/>
      <c r="V47" s="3"/>
      <c r="W47" s="3"/>
      <c r="X47" s="3"/>
      <c r="Y47" s="3"/>
      <c r="Z47" s="3"/>
      <c r="AA47" s="3"/>
      <c r="AB47" s="3"/>
      <c r="AC47" s="3"/>
      <c r="AD47" s="3"/>
      <c r="AE47" s="3"/>
      <c r="AF47" s="3"/>
      <c r="AG47" s="3"/>
      <c r="AH47" s="3"/>
      <c r="AI47" s="3"/>
      <c r="AJ47" s="3"/>
    </row>
    <row r="48" spans="1:36">
      <c r="A48" s="3"/>
      <c r="B48" s="1"/>
      <c r="C48" s="1"/>
      <c r="D48" s="22"/>
      <c r="E48" s="22"/>
      <c r="F48" s="22"/>
      <c r="G48" s="1"/>
      <c r="H48" s="3"/>
      <c r="I48" s="1"/>
      <c r="J48" s="1"/>
      <c r="K48" s="22"/>
      <c r="L48" s="22"/>
      <c r="M48" s="22"/>
      <c r="N48" s="1"/>
      <c r="O48" s="3"/>
      <c r="P48" s="3"/>
      <c r="Q48" s="3"/>
      <c r="R48" s="3"/>
      <c r="S48" s="3"/>
      <c r="T48" s="3"/>
      <c r="U48" s="3"/>
      <c r="V48" s="3"/>
      <c r="W48" s="3"/>
      <c r="X48" s="3"/>
      <c r="Y48" s="3"/>
      <c r="Z48" s="3"/>
      <c r="AA48" s="3"/>
      <c r="AB48" s="3"/>
      <c r="AC48" s="3"/>
      <c r="AD48" s="3"/>
      <c r="AE48" s="3"/>
      <c r="AF48" s="3"/>
      <c r="AG48" s="3"/>
      <c r="AH48" s="3"/>
      <c r="AI48" s="3"/>
      <c r="AJ48" s="3"/>
    </row>
    <row r="49" spans="1:38">
      <c r="A49" s="3"/>
      <c r="B49" s="1"/>
      <c r="C49" s="1"/>
      <c r="D49" s="22"/>
      <c r="E49" s="22"/>
      <c r="F49" s="22"/>
      <c r="G49" s="1"/>
      <c r="H49" s="3"/>
      <c r="I49" s="1"/>
      <c r="J49" s="1"/>
      <c r="K49" s="22"/>
      <c r="L49" s="22"/>
      <c r="M49" s="22"/>
      <c r="N49" s="1"/>
      <c r="O49" s="3"/>
      <c r="P49" s="3"/>
      <c r="Q49" s="3"/>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106</v>
      </c>
      <c r="C52" s="3"/>
      <c r="D52" s="3"/>
      <c r="E52" s="3"/>
      <c r="F52" s="3"/>
      <c r="G52" s="3"/>
      <c r="H52" s="3"/>
      <c r="I52" s="3" t="s">
        <v>156</v>
      </c>
      <c r="J52" s="3"/>
      <c r="K52" s="3"/>
      <c r="L52" s="3" t="s">
        <v>155</v>
      </c>
      <c r="M52" s="3"/>
      <c r="N52" s="3"/>
      <c r="O52" s="3" t="s">
        <v>154</v>
      </c>
      <c r="P52" s="3"/>
      <c r="Q52" s="3"/>
      <c r="R52" s="3" t="s">
        <v>157</v>
      </c>
      <c r="S52" s="3"/>
      <c r="T52" s="3"/>
      <c r="U52" s="3" t="s">
        <v>133</v>
      </c>
      <c r="V52" s="3"/>
      <c r="W52" s="3" t="s">
        <v>136</v>
      </c>
      <c r="X52" s="3"/>
      <c r="Y52" s="3"/>
      <c r="Z52" s="3"/>
      <c r="AA52" s="3"/>
      <c r="AB52" s="3"/>
      <c r="AC52" s="3"/>
      <c r="AD52" s="3"/>
      <c r="AE52" s="3"/>
      <c r="AF52" s="3"/>
      <c r="AG52" s="3"/>
      <c r="AH52" s="3"/>
      <c r="AI52" s="3"/>
      <c r="AJ52" s="3"/>
    </row>
    <row r="53" spans="1:38">
      <c r="A53" s="3"/>
      <c r="B53" s="10" t="s">
        <v>107</v>
      </c>
      <c r="C53" s="10" t="s">
        <v>141</v>
      </c>
      <c r="D53" s="10" t="s">
        <v>110</v>
      </c>
      <c r="E53" s="10" t="s">
        <v>113</v>
      </c>
      <c r="F53" s="10" t="s">
        <v>115</v>
      </c>
      <c r="G53" s="10" t="s">
        <v>117</v>
      </c>
      <c r="H53" s="12" t="s">
        <v>118</v>
      </c>
      <c r="I53" s="13" t="s">
        <v>120</v>
      </c>
      <c r="J53" s="10" t="s">
        <v>123</v>
      </c>
      <c r="K53" s="45" t="s">
        <v>125</v>
      </c>
      <c r="L53" s="13" t="s">
        <v>120</v>
      </c>
      <c r="M53" s="10" t="s">
        <v>123</v>
      </c>
      <c r="N53" s="45" t="s">
        <v>125</v>
      </c>
      <c r="O53" s="13" t="s">
        <v>120</v>
      </c>
      <c r="P53" s="10" t="s">
        <v>123</v>
      </c>
      <c r="Q53" s="45" t="s">
        <v>125</v>
      </c>
      <c r="R53" s="13" t="s">
        <v>120</v>
      </c>
      <c r="S53" s="10" t="s">
        <v>123</v>
      </c>
      <c r="T53" s="45" t="s">
        <v>125</v>
      </c>
      <c r="U53" s="13" t="s">
        <v>120</v>
      </c>
      <c r="V53" s="45" t="s">
        <v>123</v>
      </c>
      <c r="W53" s="46" t="s">
        <v>120</v>
      </c>
      <c r="X53" s="14" t="s">
        <v>137</v>
      </c>
      <c r="Y53" s="3"/>
      <c r="Z53" s="3"/>
      <c r="AA53" s="3"/>
      <c r="AB53" s="3"/>
      <c r="AC53" s="3"/>
      <c r="AD53" s="3"/>
      <c r="AE53" s="3"/>
      <c r="AF53" s="3"/>
      <c r="AG53" s="3"/>
      <c r="AH53" s="3"/>
      <c r="AI53" s="3"/>
      <c r="AJ53" s="3"/>
    </row>
    <row r="54" spans="1:38">
      <c r="A54" s="3"/>
      <c r="B54" s="10" t="s">
        <v>52</v>
      </c>
      <c r="C54" s="10" t="s">
        <v>52</v>
      </c>
      <c r="D54" s="10" t="s">
        <v>52</v>
      </c>
      <c r="E54" s="10" t="s">
        <v>52</v>
      </c>
      <c r="F54" s="10" t="s">
        <v>115</v>
      </c>
      <c r="G54" s="10" t="s">
        <v>117</v>
      </c>
      <c r="H54" s="12" t="s">
        <v>52</v>
      </c>
      <c r="I54" s="13" t="s">
        <v>121</v>
      </c>
      <c r="J54" s="10" t="s">
        <v>124</v>
      </c>
      <c r="K54" s="45" t="s">
        <v>126</v>
      </c>
      <c r="L54" s="13" t="s">
        <v>127</v>
      </c>
      <c r="M54" s="10" t="s">
        <v>1096</v>
      </c>
      <c r="N54" s="45" t="s">
        <v>128</v>
      </c>
      <c r="O54" s="13" t="s">
        <v>129</v>
      </c>
      <c r="P54" s="10" t="s">
        <v>1097</v>
      </c>
      <c r="Q54" s="45" t="s">
        <v>130</v>
      </c>
      <c r="R54" s="13" t="s">
        <v>131</v>
      </c>
      <c r="S54" s="10" t="s">
        <v>1098</v>
      </c>
      <c r="T54" s="45" t="s">
        <v>158</v>
      </c>
      <c r="U54" s="13" t="s">
        <v>132</v>
      </c>
      <c r="V54" s="45" t="s">
        <v>134</v>
      </c>
      <c r="W54" s="46" t="s">
        <v>135</v>
      </c>
      <c r="X54" s="14" t="s">
        <v>138</v>
      </c>
      <c r="Y54" s="3"/>
      <c r="Z54" s="3"/>
      <c r="AA54" s="3"/>
      <c r="AB54" s="3"/>
      <c r="AC54" s="3"/>
      <c r="AD54" s="3"/>
      <c r="AE54" s="3"/>
      <c r="AF54" s="3"/>
      <c r="AG54" s="3"/>
      <c r="AH54" s="3"/>
      <c r="AI54" s="3"/>
      <c r="AJ54" s="3"/>
    </row>
    <row r="55" spans="1:38" ht="20.25" thickBot="1">
      <c r="A55" s="3"/>
      <c r="B55" s="11" t="s">
        <v>52</v>
      </c>
      <c r="C55" s="11" t="s">
        <v>52</v>
      </c>
      <c r="D55" s="11" t="s">
        <v>52</v>
      </c>
      <c r="E55" s="11" t="s">
        <v>52</v>
      </c>
      <c r="F55" s="11" t="s">
        <v>116</v>
      </c>
      <c r="G55" s="11" t="s">
        <v>163</v>
      </c>
      <c r="H55" s="15" t="s">
        <v>52</v>
      </c>
      <c r="I55" s="16" t="s">
        <v>122</v>
      </c>
      <c r="J55" s="11" t="s">
        <v>122</v>
      </c>
      <c r="K55" s="47" t="s">
        <v>52</v>
      </c>
      <c r="L55" s="16" t="s">
        <v>122</v>
      </c>
      <c r="M55" s="11" t="s">
        <v>122</v>
      </c>
      <c r="N55" s="47" t="s">
        <v>52</v>
      </c>
      <c r="O55" s="16" t="s">
        <v>122</v>
      </c>
      <c r="P55" s="11" t="s">
        <v>122</v>
      </c>
      <c r="Q55" s="47" t="s">
        <v>52</v>
      </c>
      <c r="R55" s="16" t="s">
        <v>122</v>
      </c>
      <c r="S55" s="11" t="s">
        <v>122</v>
      </c>
      <c r="T55" s="47" t="s">
        <v>52</v>
      </c>
      <c r="U55" s="16" t="s">
        <v>122</v>
      </c>
      <c r="V55" s="47" t="s">
        <v>122</v>
      </c>
      <c r="W55" s="48" t="s">
        <v>122</v>
      </c>
      <c r="X55" s="17" t="s">
        <v>139</v>
      </c>
      <c r="Y55" s="3"/>
      <c r="Z55" s="3"/>
      <c r="AA55" s="3"/>
      <c r="AB55" s="3"/>
      <c r="AC55" s="3"/>
      <c r="AD55" s="3"/>
      <c r="AE55" s="3"/>
      <c r="AF55" s="3"/>
      <c r="AG55" s="3"/>
      <c r="AH55" s="3"/>
      <c r="AI55" s="3"/>
      <c r="AJ55" s="3"/>
    </row>
    <row r="56" spans="1:38" ht="20.25" thickTop="1">
      <c r="A56" s="3"/>
      <c r="B56" s="25" t="s">
        <v>108</v>
      </c>
      <c r="C56" s="25" t="s">
        <v>162</v>
      </c>
      <c r="D56" s="25" t="s">
        <v>111</v>
      </c>
      <c r="E56" s="25" t="s">
        <v>114</v>
      </c>
      <c r="F56" s="25">
        <v>150</v>
      </c>
      <c r="G56" s="25">
        <v>33</v>
      </c>
      <c r="H56" s="25" t="s">
        <v>164</v>
      </c>
      <c r="I56" s="51">
        <v>3.1819999999999999</v>
      </c>
      <c r="J56" s="51">
        <v>166</v>
      </c>
      <c r="K56" s="51">
        <v>0.33</v>
      </c>
      <c r="L56" s="51">
        <v>7.5999999999999998E-2</v>
      </c>
      <c r="M56" s="51">
        <v>8</v>
      </c>
      <c r="N56" s="51">
        <v>0.02</v>
      </c>
      <c r="O56" s="51">
        <v>-1.4690000000000001</v>
      </c>
      <c r="P56" s="51">
        <v>147</v>
      </c>
      <c r="Q56" s="51">
        <v>0.36</v>
      </c>
      <c r="R56" s="51">
        <v>-0.18099999999999999</v>
      </c>
      <c r="S56" s="51">
        <v>9.1</v>
      </c>
      <c r="T56" s="51">
        <v>0.02</v>
      </c>
      <c r="U56" s="51">
        <v>0.125</v>
      </c>
      <c r="V56" s="51">
        <v>4</v>
      </c>
      <c r="W56" s="51">
        <v>8.5999999999999993E-2</v>
      </c>
      <c r="X56" s="51">
        <v>0.14699999999999999</v>
      </c>
      <c r="Y56" s="3"/>
      <c r="Z56" s="3"/>
      <c r="AA56" s="3"/>
      <c r="AB56" s="3"/>
      <c r="AC56" s="3"/>
      <c r="AD56" s="3"/>
      <c r="AE56" s="3"/>
      <c r="AF56" s="3"/>
      <c r="AG56" s="3"/>
      <c r="AH56" s="3"/>
      <c r="AI56" s="3"/>
      <c r="AJ56" s="3"/>
    </row>
    <row r="57" spans="1:38">
      <c r="A57" s="3"/>
      <c r="B57" s="1" t="s">
        <v>109</v>
      </c>
      <c r="C57" s="1" t="s">
        <v>165</v>
      </c>
      <c r="D57" s="1" t="s">
        <v>112</v>
      </c>
      <c r="E57" s="1" t="s">
        <v>114</v>
      </c>
      <c r="F57" s="1">
        <v>116</v>
      </c>
      <c r="G57" s="1">
        <v>33</v>
      </c>
      <c r="H57" s="1"/>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0.111</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9"/>
      <c r="D63" s="49"/>
      <c r="E63" s="49"/>
      <c r="F63" s="49"/>
      <c r="G63" s="49"/>
      <c r="H63" s="49"/>
      <c r="I63" s="3"/>
      <c r="J63" s="3"/>
      <c r="K63" s="3"/>
      <c r="L63" s="3"/>
      <c r="M63" s="49"/>
      <c r="N63" s="49"/>
      <c r="O63" s="49"/>
      <c r="P63" s="49"/>
      <c r="Q63" s="49"/>
      <c r="R63" s="49"/>
      <c r="S63" s="3"/>
      <c r="T63" s="3"/>
      <c r="U63" s="3"/>
      <c r="AL63" s="3"/>
    </row>
    <row r="64" spans="1:38">
      <c r="A64" s="3"/>
      <c r="B64" s="3"/>
      <c r="C64" s="49"/>
      <c r="D64" s="49"/>
      <c r="E64" s="49"/>
      <c r="F64" s="49"/>
      <c r="G64" s="49"/>
      <c r="H64" s="49"/>
      <c r="I64" s="3"/>
      <c r="J64" s="3"/>
      <c r="K64" s="3"/>
      <c r="L64" s="3"/>
      <c r="M64" s="49"/>
      <c r="N64" s="49"/>
      <c r="O64" s="49"/>
      <c r="P64" s="49"/>
      <c r="Q64" s="49"/>
      <c r="R64" s="49"/>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50"/>
      <c r="C70" s="50"/>
      <c r="D70" s="50"/>
      <c r="E70" s="50"/>
      <c r="F70" s="50"/>
      <c r="G70" s="50"/>
      <c r="H70" s="50"/>
      <c r="I70" s="3"/>
      <c r="J70" s="3"/>
      <c r="K70" s="26"/>
      <c r="L70" s="50"/>
      <c r="M70" s="50"/>
      <c r="N70" s="50"/>
      <c r="O70" s="50"/>
      <c r="P70" s="50"/>
      <c r="Q70" s="50"/>
      <c r="R70" s="50"/>
      <c r="S70" s="3"/>
      <c r="T70" s="3"/>
      <c r="U70" s="3"/>
      <c r="AL70" s="3"/>
    </row>
    <row r="71" spans="1:38">
      <c r="A71" s="26"/>
      <c r="B71" s="50"/>
      <c r="C71" s="50"/>
      <c r="D71" s="50"/>
      <c r="E71" s="50"/>
      <c r="F71" s="50"/>
      <c r="G71" s="50"/>
      <c r="H71" s="50"/>
      <c r="I71" s="3"/>
      <c r="J71" s="3"/>
      <c r="K71" s="26"/>
      <c r="L71" s="50"/>
      <c r="M71" s="50"/>
      <c r="N71" s="50"/>
      <c r="O71" s="50"/>
      <c r="P71" s="50"/>
      <c r="Q71" s="50"/>
      <c r="R71" s="50"/>
      <c r="S71" s="3"/>
      <c r="T71" s="3"/>
      <c r="U71" s="3"/>
      <c r="AL71" s="3"/>
    </row>
    <row r="72" spans="1:38">
      <c r="A72" s="26"/>
      <c r="B72" s="50"/>
      <c r="C72" s="50"/>
      <c r="D72" s="50"/>
      <c r="E72" s="50"/>
      <c r="F72" s="50"/>
      <c r="G72" s="50"/>
      <c r="H72" s="50"/>
      <c r="I72" s="3"/>
      <c r="J72" s="3"/>
      <c r="K72" s="26"/>
      <c r="L72" s="50"/>
      <c r="M72" s="50"/>
      <c r="N72" s="50"/>
      <c r="O72" s="50"/>
      <c r="P72" s="50"/>
      <c r="Q72" s="50"/>
      <c r="R72" s="50"/>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2">
    <mergeCell ref="F14:I14"/>
    <mergeCell ref="F3:I3"/>
    <mergeCell ref="F4:I4"/>
    <mergeCell ref="F5:I5"/>
    <mergeCell ref="F6:I6"/>
    <mergeCell ref="F7:I7"/>
    <mergeCell ref="F8:I8"/>
    <mergeCell ref="F9:I9"/>
    <mergeCell ref="F10:I10"/>
    <mergeCell ref="F11:I11"/>
    <mergeCell ref="F12:I12"/>
    <mergeCell ref="F13:I13"/>
  </mergeCells>
  <phoneticPr fontId="3"/>
  <hyperlinks>
    <hyperlink ref="F4" r:id="rId1" xr:uid="{C6B42BBF-4995-429F-A45D-BE567FE19C78}"/>
    <hyperlink ref="F5" r:id="rId2" xr:uid="{BAD3EEDA-54CC-4BFD-B693-7660153C2744}"/>
  </hyperlinks>
  <pageMargins left="0.7" right="0.7" top="0.75" bottom="0.75" header="0.3" footer="0.3"/>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0271-0193-4517-AB06-22FDA15D2C93}">
  <sheetPr codeName="Sheet14">
    <tabColor theme="2" tint="-0.249977111117893"/>
  </sheetPr>
  <dimension ref="B2:J25"/>
  <sheetViews>
    <sheetView zoomScale="125" zoomScaleNormal="85" workbookViewId="0">
      <selection activeCell="I18" sqref="I18"/>
    </sheetView>
  </sheetViews>
  <sheetFormatPr defaultColWidth="8.6640625" defaultRowHeight="19.5"/>
  <sheetData>
    <row r="2" spans="2:10">
      <c r="B2" t="s">
        <v>716</v>
      </c>
    </row>
    <row r="3" spans="2:10">
      <c r="B3" s="10" t="s">
        <v>718</v>
      </c>
      <c r="C3" s="12" t="s">
        <v>717</v>
      </c>
      <c r="D3" s="10" t="s">
        <v>594</v>
      </c>
      <c r="E3" s="10" t="s">
        <v>719</v>
      </c>
    </row>
    <row r="4" spans="2:10" ht="20.25" thickBot="1">
      <c r="B4" s="11" t="s">
        <v>10</v>
      </c>
      <c r="C4" s="15" t="s">
        <v>100</v>
      </c>
      <c r="D4" s="11" t="s">
        <v>410</v>
      </c>
      <c r="E4" s="11" t="s">
        <v>52</v>
      </c>
    </row>
    <row r="5" spans="2:10" ht="20.25" thickTop="1">
      <c r="B5" s="4">
        <v>100</v>
      </c>
      <c r="C5" s="5">
        <v>10</v>
      </c>
      <c r="D5" s="4">
        <v>18</v>
      </c>
      <c r="E5" s="4">
        <v>1</v>
      </c>
      <c r="F5" t="s">
        <v>731</v>
      </c>
    </row>
    <row r="7" spans="2:10">
      <c r="B7" t="s">
        <v>720</v>
      </c>
    </row>
    <row r="8" spans="2:10">
      <c r="B8" s="10" t="s">
        <v>696</v>
      </c>
      <c r="C8" s="12" t="s">
        <v>700</v>
      </c>
      <c r="D8" s="13" t="s">
        <v>120</v>
      </c>
      <c r="E8" s="14" t="s">
        <v>721</v>
      </c>
    </row>
    <row r="9" spans="2:10" ht="20.25" thickBot="1">
      <c r="B9" s="11" t="s">
        <v>10</v>
      </c>
      <c r="C9" s="15" t="s">
        <v>10</v>
      </c>
      <c r="D9" s="16" t="s">
        <v>122</v>
      </c>
      <c r="E9" s="17" t="s">
        <v>122</v>
      </c>
    </row>
    <row r="10" spans="2:10" ht="20.25" thickTop="1">
      <c r="B10" s="4">
        <v>3</v>
      </c>
      <c r="C10" s="5">
        <v>1</v>
      </c>
      <c r="D10" s="6">
        <f>B10+C10</f>
        <v>4</v>
      </c>
      <c r="E10" s="7" t="e">
        <f>#REF!*C10/(B10+C10)</f>
        <v>#REF!</v>
      </c>
    </row>
    <row r="12" spans="2:10">
      <c r="B12" t="s">
        <v>1015</v>
      </c>
    </row>
    <row r="13" spans="2:10">
      <c r="B13" t="s">
        <v>988</v>
      </c>
      <c r="C13" t="s">
        <v>1017</v>
      </c>
      <c r="D13" t="s">
        <v>724</v>
      </c>
      <c r="E13" t="s">
        <v>728</v>
      </c>
      <c r="F13" t="s">
        <v>729</v>
      </c>
      <c r="G13" t="s">
        <v>726</v>
      </c>
      <c r="H13" t="s">
        <v>727</v>
      </c>
      <c r="I13" t="s">
        <v>1019</v>
      </c>
      <c r="J13" t="s">
        <v>1018</v>
      </c>
    </row>
    <row r="14" spans="2:10">
      <c r="D14" t="s">
        <v>725</v>
      </c>
      <c r="E14" t="s">
        <v>1016</v>
      </c>
    </row>
    <row r="18" spans="2:6">
      <c r="B18" t="s">
        <v>730</v>
      </c>
    </row>
    <row r="22" spans="2:6">
      <c r="B22" s="3" t="s">
        <v>289</v>
      </c>
      <c r="C22" s="3"/>
      <c r="D22" s="3"/>
      <c r="E22" s="3"/>
      <c r="F22" s="3"/>
    </row>
    <row r="23" spans="2:6">
      <c r="B23" s="10" t="s">
        <v>7</v>
      </c>
      <c r="C23" s="12" t="s">
        <v>8</v>
      </c>
      <c r="D23" s="10" t="s">
        <v>6</v>
      </c>
      <c r="E23" s="13" t="s">
        <v>12</v>
      </c>
      <c r="F23" s="14" t="s">
        <v>11</v>
      </c>
    </row>
    <row r="24" spans="2:6" ht="20.25" thickBot="1">
      <c r="B24" s="11" t="s">
        <v>10</v>
      </c>
      <c r="C24" s="15" t="s">
        <v>10</v>
      </c>
      <c r="D24" s="11" t="s">
        <v>9</v>
      </c>
      <c r="E24" s="16" t="s">
        <v>10</v>
      </c>
      <c r="F24" s="17" t="s">
        <v>9</v>
      </c>
    </row>
    <row r="25" spans="2:6" ht="20.25" thickTop="1">
      <c r="B25" s="4">
        <v>3</v>
      </c>
      <c r="C25" s="5">
        <v>1</v>
      </c>
      <c r="D25" s="4">
        <v>1</v>
      </c>
      <c r="E25" s="6">
        <f>B25+C25</f>
        <v>4</v>
      </c>
      <c r="F25" s="7">
        <f>D25*C25/(B25+C25)</f>
        <v>0.25</v>
      </c>
    </row>
  </sheetData>
  <phoneticPr fontId="3"/>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92" zoomScaleNormal="70" workbookViewId="0">
      <selection activeCell="F45" sqref="F45"/>
    </sheetView>
  </sheetViews>
  <sheetFormatPr defaultColWidth="8.6640625" defaultRowHeight="19.5"/>
  <sheetData>
    <row r="2" spans="2:27">
      <c r="B2" s="26"/>
      <c r="C2" s="10" t="s">
        <v>186</v>
      </c>
      <c r="D2" s="10" t="s">
        <v>187</v>
      </c>
      <c r="E2" s="10" t="s">
        <v>188</v>
      </c>
      <c r="K2" s="53"/>
      <c r="L2" s="53"/>
      <c r="M2" s="53"/>
      <c r="N2" s="53"/>
      <c r="O2" s="53"/>
      <c r="P2" s="53"/>
      <c r="S2" s="53"/>
      <c r="T2" s="53"/>
      <c r="U2" s="53"/>
      <c r="V2" s="53"/>
      <c r="W2" s="53"/>
      <c r="X2" s="53"/>
      <c r="Y2" s="53"/>
      <c r="Z2" s="53"/>
      <c r="AA2" s="53"/>
    </row>
    <row r="3" spans="2:27">
      <c r="B3" s="54"/>
      <c r="C3" s="244" t="s">
        <v>189</v>
      </c>
      <c r="D3" s="244"/>
      <c r="E3" s="244"/>
      <c r="F3" s="55">
        <v>2023</v>
      </c>
      <c r="G3" s="55">
        <v>2022</v>
      </c>
      <c r="H3" s="55">
        <v>2021</v>
      </c>
      <c r="I3" s="55">
        <v>2020</v>
      </c>
      <c r="J3" s="55">
        <v>2019</v>
      </c>
      <c r="K3" s="55">
        <v>2018</v>
      </c>
      <c r="L3" s="55">
        <v>2017</v>
      </c>
      <c r="M3" s="55">
        <v>2016</v>
      </c>
      <c r="N3" s="55">
        <v>2015</v>
      </c>
      <c r="O3" s="55">
        <v>2014</v>
      </c>
      <c r="P3" s="55">
        <v>2013</v>
      </c>
      <c r="Q3" s="55">
        <v>2012</v>
      </c>
      <c r="R3" s="55">
        <v>2011</v>
      </c>
      <c r="S3" s="55">
        <v>2010</v>
      </c>
      <c r="T3" s="55">
        <v>2009</v>
      </c>
      <c r="U3" s="55">
        <v>2008</v>
      </c>
      <c r="V3" s="55">
        <v>2007</v>
      </c>
      <c r="W3" s="55">
        <v>2006</v>
      </c>
      <c r="X3" s="55">
        <v>2005</v>
      </c>
      <c r="Y3" s="55">
        <v>2004</v>
      </c>
      <c r="Z3" s="55">
        <v>2003</v>
      </c>
    </row>
    <row r="4" spans="2:27">
      <c r="B4" s="26"/>
      <c r="C4" s="245" t="s">
        <v>190</v>
      </c>
      <c r="D4" s="245"/>
      <c r="E4" s="245"/>
      <c r="F4" s="1" t="s">
        <v>191</v>
      </c>
      <c r="G4" s="56" t="s">
        <v>192</v>
      </c>
      <c r="H4" s="56" t="s">
        <v>193</v>
      </c>
      <c r="I4" s="56" t="s">
        <v>194</v>
      </c>
      <c r="J4" s="56" t="s">
        <v>195</v>
      </c>
      <c r="K4" s="56" t="s">
        <v>196</v>
      </c>
      <c r="L4" s="56" t="s">
        <v>197</v>
      </c>
      <c r="M4" s="56" t="s">
        <v>198</v>
      </c>
      <c r="N4" s="56" t="s">
        <v>199</v>
      </c>
      <c r="O4" s="56" t="s">
        <v>200</v>
      </c>
      <c r="P4" s="56" t="s">
        <v>201</v>
      </c>
      <c r="Q4" s="56" t="s">
        <v>202</v>
      </c>
      <c r="R4" s="56" t="s">
        <v>203</v>
      </c>
      <c r="S4" s="56" t="s">
        <v>204</v>
      </c>
      <c r="T4" s="56" t="s">
        <v>205</v>
      </c>
      <c r="U4" s="56" t="s">
        <v>206</v>
      </c>
      <c r="V4" s="56" t="s">
        <v>207</v>
      </c>
      <c r="W4" s="56" t="s">
        <v>208</v>
      </c>
      <c r="X4" s="56" t="s">
        <v>209</v>
      </c>
      <c r="Y4" s="56" t="s">
        <v>210</v>
      </c>
      <c r="Z4" s="56" t="s">
        <v>211</v>
      </c>
    </row>
    <row r="5" spans="2:27">
      <c r="B5" s="26"/>
      <c r="C5" s="245" t="s">
        <v>53</v>
      </c>
      <c r="D5" s="245"/>
      <c r="E5" s="245"/>
      <c r="F5" s="1" t="s">
        <v>212</v>
      </c>
      <c r="G5" s="56" t="s">
        <v>213</v>
      </c>
      <c r="H5" s="56" t="s">
        <v>214</v>
      </c>
      <c r="I5" s="56" t="s">
        <v>215</v>
      </c>
      <c r="J5" s="56" t="s">
        <v>216</v>
      </c>
      <c r="K5" s="56" t="s">
        <v>216</v>
      </c>
      <c r="L5" s="56" t="s">
        <v>217</v>
      </c>
      <c r="M5" s="56" t="s">
        <v>217</v>
      </c>
      <c r="N5" s="56" t="s">
        <v>218</v>
      </c>
      <c r="O5" s="56" t="s">
        <v>218</v>
      </c>
      <c r="P5" s="56" t="s">
        <v>218</v>
      </c>
      <c r="Q5" s="56" t="s">
        <v>219</v>
      </c>
      <c r="R5" s="56" t="s">
        <v>219</v>
      </c>
      <c r="S5" s="56" t="s">
        <v>219</v>
      </c>
      <c r="T5" s="56" t="s">
        <v>219</v>
      </c>
      <c r="U5" s="56" t="s">
        <v>220</v>
      </c>
      <c r="V5" s="56" t="s">
        <v>221</v>
      </c>
      <c r="W5" s="56" t="s">
        <v>221</v>
      </c>
      <c r="X5" s="56" t="s">
        <v>221</v>
      </c>
      <c r="Y5" s="56" t="s">
        <v>222</v>
      </c>
      <c r="Z5" s="56" t="s">
        <v>222</v>
      </c>
    </row>
    <row r="6" spans="2:27">
      <c r="B6" s="26"/>
      <c r="C6" s="245" t="s">
        <v>223</v>
      </c>
      <c r="D6" s="245"/>
      <c r="E6" s="245"/>
      <c r="F6" s="1" t="s">
        <v>224</v>
      </c>
      <c r="G6" s="56" t="s">
        <v>225</v>
      </c>
      <c r="H6" s="56" t="s">
        <v>226</v>
      </c>
      <c r="I6" s="56" t="s">
        <v>227</v>
      </c>
      <c r="J6" s="56" t="s">
        <v>228</v>
      </c>
      <c r="K6" s="56" t="s">
        <v>229</v>
      </c>
      <c r="L6" s="56" t="s">
        <v>230</v>
      </c>
      <c r="M6" s="56" t="s">
        <v>231</v>
      </c>
      <c r="N6" s="56" t="s">
        <v>232</v>
      </c>
      <c r="O6" s="56" t="s">
        <v>233</v>
      </c>
      <c r="P6" s="56" t="s">
        <v>234</v>
      </c>
      <c r="Q6" s="56" t="s">
        <v>235</v>
      </c>
      <c r="R6" s="56" t="s">
        <v>236</v>
      </c>
      <c r="S6" s="56" t="s">
        <v>237</v>
      </c>
      <c r="T6" s="56" t="s">
        <v>238</v>
      </c>
      <c r="U6" s="56" t="s">
        <v>239</v>
      </c>
      <c r="V6" s="56" t="s">
        <v>240</v>
      </c>
      <c r="W6" s="56" t="s">
        <v>241</v>
      </c>
      <c r="X6" s="56" t="s">
        <v>242</v>
      </c>
      <c r="Y6" s="56" t="s">
        <v>243</v>
      </c>
      <c r="Z6" s="56" t="s">
        <v>244</v>
      </c>
    </row>
    <row r="7" spans="2:27">
      <c r="B7" s="26"/>
      <c r="C7" s="245" t="s">
        <v>245</v>
      </c>
      <c r="D7" s="245"/>
      <c r="E7" s="245"/>
      <c r="F7" s="1" t="s">
        <v>246</v>
      </c>
      <c r="G7" s="56" t="s">
        <v>226</v>
      </c>
      <c r="H7" s="56" t="s">
        <v>227</v>
      </c>
      <c r="I7" s="56" t="s">
        <v>247</v>
      </c>
      <c r="J7" s="56" t="s">
        <v>248</v>
      </c>
      <c r="K7" s="56" t="s">
        <v>249</v>
      </c>
      <c r="L7" s="56" t="s">
        <v>250</v>
      </c>
      <c r="M7" s="56" t="s">
        <v>232</v>
      </c>
      <c r="N7" s="56" t="s">
        <v>251</v>
      </c>
      <c r="O7" s="56" t="s">
        <v>234</v>
      </c>
      <c r="P7" s="56" t="s">
        <v>252</v>
      </c>
      <c r="Q7" s="56" t="s">
        <v>253</v>
      </c>
      <c r="R7" s="56" t="s">
        <v>253</v>
      </c>
      <c r="S7" s="56" t="s">
        <v>254</v>
      </c>
      <c r="T7" s="56" t="s">
        <v>238</v>
      </c>
      <c r="U7" s="56" t="s">
        <v>221</v>
      </c>
      <c r="V7" s="56" t="s">
        <v>240</v>
      </c>
      <c r="W7" s="56" t="s">
        <v>241</v>
      </c>
      <c r="X7" s="56" t="s">
        <v>242</v>
      </c>
      <c r="Y7" s="56" t="s">
        <v>243</v>
      </c>
      <c r="Z7" s="56" t="s">
        <v>244</v>
      </c>
    </row>
    <row r="8" spans="2:27">
      <c r="B8" s="26"/>
      <c r="C8" s="245" t="s">
        <v>255</v>
      </c>
      <c r="D8" s="245"/>
      <c r="E8" s="245"/>
      <c r="F8" s="1"/>
      <c r="G8" s="56" t="s">
        <v>52</v>
      </c>
      <c r="H8" s="56" t="s">
        <v>256</v>
      </c>
      <c r="I8" s="56" t="s">
        <v>257</v>
      </c>
      <c r="J8" s="56">
        <v>317.57</v>
      </c>
      <c r="K8" s="56">
        <v>127.75</v>
      </c>
      <c r="L8" s="56">
        <v>352.44</v>
      </c>
      <c r="M8" s="56">
        <v>332.91</v>
      </c>
      <c r="N8" s="56">
        <v>373.75</v>
      </c>
      <c r="O8" s="56">
        <v>350.77</v>
      </c>
      <c r="P8" s="56">
        <v>390.73</v>
      </c>
      <c r="Q8" s="56">
        <v>369.38</v>
      </c>
      <c r="R8" s="56">
        <v>27.18</v>
      </c>
      <c r="S8" s="56">
        <v>371.8</v>
      </c>
      <c r="T8" s="56" t="s">
        <v>258</v>
      </c>
      <c r="U8" s="56">
        <v>341.14</v>
      </c>
      <c r="V8" s="56">
        <v>241.56</v>
      </c>
      <c r="W8" s="56">
        <v>40.92</v>
      </c>
      <c r="X8" s="56">
        <v>37.67</v>
      </c>
      <c r="Y8" s="56">
        <v>34.96</v>
      </c>
      <c r="Z8" s="56">
        <v>41.96</v>
      </c>
    </row>
    <row r="9" spans="2:27">
      <c r="B9" s="54"/>
      <c r="C9" s="244" t="s">
        <v>259</v>
      </c>
      <c r="D9" s="244"/>
      <c r="E9" s="244"/>
      <c r="F9" s="57"/>
      <c r="G9" s="57" t="s">
        <v>52</v>
      </c>
      <c r="H9" s="57" t="s">
        <v>256</v>
      </c>
      <c r="I9" s="57" t="s">
        <v>257</v>
      </c>
      <c r="J9" s="57">
        <v>2</v>
      </c>
      <c r="K9" s="57">
        <v>5</v>
      </c>
      <c r="L9" s="57">
        <v>3</v>
      </c>
      <c r="M9" s="57">
        <v>3</v>
      </c>
      <c r="N9" s="57">
        <v>1</v>
      </c>
      <c r="O9" s="57">
        <v>4</v>
      </c>
      <c r="P9" s="57">
        <v>2</v>
      </c>
      <c r="Q9" s="57">
        <v>2</v>
      </c>
      <c r="R9" s="57" t="s">
        <v>51</v>
      </c>
      <c r="S9" s="57">
        <v>2</v>
      </c>
      <c r="T9" s="57" t="s">
        <v>260</v>
      </c>
      <c r="U9" s="57">
        <v>2</v>
      </c>
      <c r="V9" s="57">
        <v>5</v>
      </c>
      <c r="W9" s="57" t="s">
        <v>51</v>
      </c>
      <c r="X9" s="57" t="s">
        <v>51</v>
      </c>
      <c r="Y9" s="57">
        <v>6</v>
      </c>
      <c r="Z9" s="57">
        <v>8</v>
      </c>
    </row>
    <row r="10" spans="2:27">
      <c r="B10" s="26"/>
      <c r="C10" s="56" t="s">
        <v>261</v>
      </c>
      <c r="D10" s="245" t="s">
        <v>262</v>
      </c>
      <c r="E10" s="245"/>
      <c r="F10" s="1" t="s">
        <v>263</v>
      </c>
      <c r="G10" s="56"/>
      <c r="H10" s="56"/>
      <c r="I10" s="56"/>
      <c r="J10" s="56"/>
      <c r="K10" s="56" t="s">
        <v>264</v>
      </c>
      <c r="L10" s="56" t="s">
        <v>265</v>
      </c>
      <c r="M10" s="56" t="s">
        <v>265</v>
      </c>
      <c r="N10" s="56" t="s">
        <v>265</v>
      </c>
      <c r="O10" s="56" t="s">
        <v>265</v>
      </c>
      <c r="P10" s="56" t="s">
        <v>265</v>
      </c>
      <c r="Q10" s="56" t="s">
        <v>265</v>
      </c>
      <c r="R10" s="56" t="s">
        <v>265</v>
      </c>
      <c r="S10" s="56" t="s">
        <v>265</v>
      </c>
      <c r="T10" s="56" t="s">
        <v>265</v>
      </c>
      <c r="U10" s="56" t="s">
        <v>265</v>
      </c>
      <c r="V10" s="56" t="s">
        <v>265</v>
      </c>
      <c r="W10" s="56" t="s">
        <v>265</v>
      </c>
      <c r="X10" s="56" t="s">
        <v>265</v>
      </c>
      <c r="Y10" s="56" t="s">
        <v>265</v>
      </c>
      <c r="Z10" s="56" t="s">
        <v>265</v>
      </c>
    </row>
    <row r="11" spans="2:27">
      <c r="B11" s="26"/>
      <c r="C11" s="56"/>
      <c r="D11" s="245" t="s">
        <v>266</v>
      </c>
      <c r="E11" s="245"/>
      <c r="F11" s="1" t="s">
        <v>267</v>
      </c>
      <c r="G11" s="56" t="s">
        <v>267</v>
      </c>
      <c r="H11" s="56" t="s">
        <v>268</v>
      </c>
      <c r="I11" s="56" t="s">
        <v>268</v>
      </c>
      <c r="J11" s="56" t="s">
        <v>269</v>
      </c>
      <c r="K11" s="56" t="s">
        <v>269</v>
      </c>
      <c r="L11" s="56"/>
      <c r="M11" s="56"/>
      <c r="N11" s="56" t="s">
        <v>268</v>
      </c>
      <c r="O11" s="56" t="s">
        <v>268</v>
      </c>
      <c r="P11" s="56"/>
      <c r="Q11" s="56"/>
      <c r="R11" s="56"/>
      <c r="S11" s="56"/>
      <c r="T11" s="56"/>
      <c r="U11" s="56"/>
      <c r="V11" s="56"/>
      <c r="W11" s="56"/>
      <c r="X11" s="56"/>
      <c r="Y11" s="56"/>
      <c r="Z11" s="56"/>
    </row>
    <row r="12" spans="2:27">
      <c r="B12" s="242" t="s">
        <v>270</v>
      </c>
      <c r="C12" s="56" t="s">
        <v>271</v>
      </c>
      <c r="D12" s="56" t="s">
        <v>185</v>
      </c>
      <c r="E12" s="56" t="s">
        <v>272</v>
      </c>
      <c r="F12" s="56">
        <v>1.5764761738534672</v>
      </c>
      <c r="G12" s="1">
        <v>1.4620544906879693</v>
      </c>
      <c r="H12" s="56">
        <v>1.1974377391693776</v>
      </c>
      <c r="I12" s="56">
        <v>1.245531064274104</v>
      </c>
      <c r="J12" s="56">
        <v>2.8</v>
      </c>
      <c r="K12" s="56">
        <v>0.6</v>
      </c>
      <c r="L12" s="56">
        <v>-0.55000000000000004</v>
      </c>
      <c r="M12" s="56">
        <v>-0.1</v>
      </c>
      <c r="N12" s="56">
        <v>-0.25</v>
      </c>
      <c r="O12" s="56">
        <v>-1</v>
      </c>
      <c r="P12" s="56">
        <v>-0.5</v>
      </c>
      <c r="Q12" s="56"/>
      <c r="R12" s="56"/>
      <c r="S12" s="56"/>
      <c r="T12" s="56"/>
      <c r="U12" s="56"/>
      <c r="V12" s="56"/>
      <c r="W12" s="56"/>
      <c r="X12" s="56"/>
      <c r="Y12" s="56"/>
      <c r="Z12" s="56"/>
    </row>
    <row r="13" spans="2:27">
      <c r="B13" s="242"/>
      <c r="C13" s="56" t="s">
        <v>273</v>
      </c>
      <c r="D13" s="56" t="s">
        <v>274</v>
      </c>
      <c r="E13" s="56" t="s">
        <v>272</v>
      </c>
      <c r="F13" s="56">
        <v>0</v>
      </c>
      <c r="G13" s="1">
        <v>0</v>
      </c>
      <c r="H13" s="56">
        <v>0</v>
      </c>
      <c r="I13" s="56">
        <v>0</v>
      </c>
      <c r="J13" s="56">
        <v>0</v>
      </c>
      <c r="K13" s="56">
        <v>0</v>
      </c>
      <c r="L13" s="56">
        <v>0</v>
      </c>
      <c r="M13" s="56">
        <v>0</v>
      </c>
      <c r="N13" s="56">
        <v>0</v>
      </c>
      <c r="O13" s="56">
        <v>0</v>
      </c>
      <c r="P13" s="56">
        <v>0</v>
      </c>
      <c r="Q13" s="56"/>
      <c r="R13" s="56"/>
      <c r="S13" s="56"/>
      <c r="T13" s="56"/>
      <c r="U13" s="56"/>
      <c r="V13" s="56"/>
      <c r="W13" s="56"/>
      <c r="X13" s="56"/>
      <c r="Y13" s="56"/>
      <c r="Z13" s="56"/>
    </row>
    <row r="14" spans="2:27">
      <c r="B14" s="242"/>
      <c r="C14" s="56" t="s">
        <v>275</v>
      </c>
      <c r="D14" s="56" t="s">
        <v>276</v>
      </c>
      <c r="E14" s="56" t="s">
        <v>277</v>
      </c>
      <c r="F14" s="56">
        <v>10.5</v>
      </c>
      <c r="G14" s="1">
        <v>9.5</v>
      </c>
      <c r="H14" s="56">
        <v>11</v>
      </c>
      <c r="I14" s="56">
        <v>9.6</v>
      </c>
      <c r="J14" s="56">
        <v>8.3000000000000007</v>
      </c>
      <c r="K14" s="56">
        <v>10</v>
      </c>
      <c r="L14" s="56">
        <v>11</v>
      </c>
      <c r="M14" s="56">
        <v>10.5</v>
      </c>
      <c r="N14" s="56">
        <v>10</v>
      </c>
      <c r="O14" s="56">
        <v>9.5</v>
      </c>
      <c r="P14" s="56">
        <v>9</v>
      </c>
      <c r="Q14" s="56">
        <v>8.8000000000000007</v>
      </c>
      <c r="R14" s="56">
        <v>9</v>
      </c>
      <c r="S14" s="56">
        <v>8.8000000000000007</v>
      </c>
      <c r="T14" s="56">
        <v>9.11</v>
      </c>
      <c r="U14" s="56">
        <v>8.76</v>
      </c>
      <c r="V14" s="56">
        <v>8.5</v>
      </c>
      <c r="W14" s="56">
        <v>8.5299999999999994</v>
      </c>
      <c r="X14" s="56">
        <v>7.69</v>
      </c>
      <c r="Y14" s="56">
        <v>8</v>
      </c>
      <c r="Z14" s="56">
        <v>7.6</v>
      </c>
    </row>
    <row r="15" spans="2:27" ht="20.25" thickBot="1">
      <c r="B15" s="243"/>
      <c r="C15" s="58" t="s">
        <v>278</v>
      </c>
      <c r="D15" s="58" t="s">
        <v>279</v>
      </c>
      <c r="E15" s="58" t="s">
        <v>43</v>
      </c>
      <c r="F15" s="58">
        <v>100</v>
      </c>
      <c r="G15" s="20">
        <v>100</v>
      </c>
      <c r="H15" s="58">
        <v>2</v>
      </c>
      <c r="I15" s="58">
        <v>2</v>
      </c>
      <c r="J15" s="58">
        <v>2</v>
      </c>
      <c r="K15" s="58">
        <v>2</v>
      </c>
      <c r="L15" s="58">
        <v>2</v>
      </c>
      <c r="M15" s="58">
        <v>2</v>
      </c>
      <c r="N15" s="58">
        <v>2</v>
      </c>
      <c r="O15" s="58">
        <v>2</v>
      </c>
      <c r="P15" s="58">
        <v>2</v>
      </c>
      <c r="Q15" s="58"/>
      <c r="R15" s="58"/>
      <c r="S15" s="58"/>
      <c r="T15" s="58"/>
      <c r="U15" s="58"/>
      <c r="V15" s="58"/>
      <c r="W15" s="58"/>
      <c r="X15" s="58"/>
      <c r="Y15" s="58"/>
      <c r="Z15" s="58"/>
    </row>
    <row r="16" spans="2:27" ht="20.25" thickTop="1">
      <c r="B16" s="242" t="s">
        <v>25</v>
      </c>
      <c r="C16" s="59" t="s">
        <v>280</v>
      </c>
      <c r="D16" s="56" t="s">
        <v>51</v>
      </c>
      <c r="E16" s="56" t="s">
        <v>42</v>
      </c>
      <c r="F16" s="56">
        <v>42.574195183784404</v>
      </c>
      <c r="G16" s="2">
        <v>40.629999999999995</v>
      </c>
      <c r="H16" s="56">
        <v>44.93644280491565</v>
      </c>
      <c r="I16" s="56">
        <v>45.797063524200141</v>
      </c>
      <c r="J16" s="56">
        <v>44.512043873841378</v>
      </c>
      <c r="K16" s="56">
        <v>44.343872785418093</v>
      </c>
      <c r="L16" s="56">
        <v>38.544311560569746</v>
      </c>
      <c r="M16" s="56">
        <v>40.157903567729356</v>
      </c>
      <c r="N16" s="56">
        <v>38.481598500930382</v>
      </c>
      <c r="O16" s="56">
        <v>39.1303852973776</v>
      </c>
      <c r="P16" s="56">
        <v>39.785132411188641</v>
      </c>
      <c r="Q16" s="56">
        <v>36</v>
      </c>
      <c r="R16" s="56">
        <v>35</v>
      </c>
      <c r="S16" s="56">
        <v>36</v>
      </c>
      <c r="T16" s="56">
        <v>36</v>
      </c>
      <c r="U16" s="56">
        <v>34</v>
      </c>
      <c r="V16" s="56">
        <v>36.5</v>
      </c>
      <c r="W16" s="56">
        <v>40</v>
      </c>
      <c r="X16" s="56">
        <v>40</v>
      </c>
      <c r="Y16" s="56">
        <v>37.5</v>
      </c>
      <c r="Z16" s="56">
        <v>37.5</v>
      </c>
    </row>
    <row r="17" spans="2:26">
      <c r="B17" s="242"/>
      <c r="C17" s="59" t="s">
        <v>281</v>
      </c>
      <c r="D17" s="56" t="s">
        <v>51</v>
      </c>
      <c r="E17" s="56" t="s">
        <v>42</v>
      </c>
      <c r="F17" s="56">
        <v>61</v>
      </c>
      <c r="G17" s="1">
        <v>58.5</v>
      </c>
      <c r="H17" s="56">
        <v>65</v>
      </c>
      <c r="I17" s="56">
        <v>53</v>
      </c>
      <c r="J17" s="56">
        <v>53</v>
      </c>
      <c r="K17" s="56">
        <v>51</v>
      </c>
      <c r="L17" s="56">
        <v>53</v>
      </c>
      <c r="M17" s="56">
        <v>55</v>
      </c>
      <c r="N17" s="56">
        <v>49</v>
      </c>
      <c r="O17" s="56">
        <v>49</v>
      </c>
      <c r="P17" s="56">
        <v>49</v>
      </c>
      <c r="Q17" s="56"/>
      <c r="R17" s="56"/>
      <c r="S17" s="56"/>
      <c r="T17" s="56"/>
      <c r="U17" s="56"/>
      <c r="V17" s="56"/>
      <c r="W17" s="56"/>
      <c r="X17" s="56"/>
      <c r="Y17" s="56"/>
      <c r="Z17" s="56"/>
    </row>
    <row r="18" spans="2:26">
      <c r="B18" s="242"/>
      <c r="C18" s="59" t="s">
        <v>282</v>
      </c>
      <c r="D18" s="56" t="s">
        <v>43</v>
      </c>
      <c r="E18" s="56" t="s">
        <v>42</v>
      </c>
      <c r="F18" s="56">
        <v>103.57419518378441</v>
      </c>
      <c r="G18" s="1">
        <v>99.13</v>
      </c>
      <c r="H18" s="56">
        <v>109.93644280491566</v>
      </c>
      <c r="I18" s="56">
        <v>98.797063524200141</v>
      </c>
      <c r="J18" s="56">
        <v>97.512043873841378</v>
      </c>
      <c r="K18" s="56">
        <v>95.343872785418085</v>
      </c>
      <c r="L18" s="56">
        <v>91.544311560569753</v>
      </c>
      <c r="M18" s="56">
        <v>95.157903567729363</v>
      </c>
      <c r="N18" s="56">
        <v>87.481598500930374</v>
      </c>
      <c r="O18" s="56">
        <v>88.1303852973776</v>
      </c>
      <c r="P18" s="56">
        <v>88.785132411188641</v>
      </c>
      <c r="Q18" s="56">
        <v>85</v>
      </c>
      <c r="R18" s="56">
        <v>84</v>
      </c>
      <c r="S18" s="56">
        <v>86</v>
      </c>
      <c r="T18" s="56">
        <v>88</v>
      </c>
      <c r="U18" s="56">
        <v>86</v>
      </c>
      <c r="V18" s="56">
        <v>91.5</v>
      </c>
      <c r="W18" s="56">
        <v>96</v>
      </c>
      <c r="X18" s="56">
        <v>96</v>
      </c>
      <c r="Y18" s="56">
        <v>89</v>
      </c>
      <c r="Z18" s="56">
        <v>89</v>
      </c>
    </row>
    <row r="19" spans="2:26">
      <c r="B19" s="242"/>
      <c r="C19" s="59" t="s">
        <v>283</v>
      </c>
      <c r="D19" s="56" t="s">
        <v>284</v>
      </c>
      <c r="E19" s="56" t="s">
        <v>285</v>
      </c>
      <c r="F19" s="56">
        <v>1014.716390215536</v>
      </c>
      <c r="G19" s="1">
        <v>970.97834999999998</v>
      </c>
      <c r="H19" s="56">
        <v>1076.8274572741489</v>
      </c>
      <c r="I19" s="56">
        <v>967.71723721954038</v>
      </c>
      <c r="J19" s="56">
        <v>955.1304697442763</v>
      </c>
      <c r="K19" s="56">
        <v>933.89323393317011</v>
      </c>
      <c r="L19" s="56">
        <v>896.67653173578071</v>
      </c>
      <c r="M19" s="56">
        <v>932.07166544590916</v>
      </c>
      <c r="N19" s="56">
        <v>856.88225731661305</v>
      </c>
      <c r="O19" s="56">
        <v>863.23712398781356</v>
      </c>
      <c r="P19" s="56">
        <v>869.65037196759272</v>
      </c>
      <c r="Q19" s="56"/>
      <c r="R19" s="56"/>
      <c r="S19" s="56"/>
      <c r="T19" s="56"/>
      <c r="U19" s="56"/>
      <c r="V19" s="56"/>
      <c r="W19" s="56"/>
      <c r="X19" s="56"/>
      <c r="Y19" s="56"/>
      <c r="Z19" s="56"/>
    </row>
    <row r="20" spans="2:26" ht="20.25" thickBot="1">
      <c r="B20" s="243"/>
      <c r="C20" s="58" t="s">
        <v>286</v>
      </c>
      <c r="D20" s="58" t="s">
        <v>287</v>
      </c>
      <c r="E20" s="58" t="s">
        <v>288</v>
      </c>
      <c r="F20" s="58">
        <v>5.8642150459954827</v>
      </c>
      <c r="G20" s="20">
        <v>5.2592371024187807</v>
      </c>
      <c r="H20" s="58">
        <v>5.7667803807721114</v>
      </c>
      <c r="I20" s="58">
        <v>5.2494263298141739</v>
      </c>
      <c r="J20" s="58">
        <v>5.3211758695686999</v>
      </c>
      <c r="K20" s="58">
        <v>5.2796190648854795</v>
      </c>
      <c r="L20" s="58">
        <v>4.9932308466401985</v>
      </c>
      <c r="M20" s="58">
        <v>5.3626377908957457</v>
      </c>
      <c r="N20" s="58">
        <v>4.7387905392098775</v>
      </c>
      <c r="O20" s="58">
        <v>4.7065826929369603</v>
      </c>
      <c r="P20" s="58">
        <v>4.7787575826698534</v>
      </c>
      <c r="Q20" s="58">
        <v>4.4800000000000004</v>
      </c>
      <c r="R20" s="58">
        <v>5.21</v>
      </c>
      <c r="S20" s="58">
        <v>4.66</v>
      </c>
      <c r="T20" s="58">
        <v>4.6100000000000003</v>
      </c>
      <c r="U20" s="58">
        <v>4.51</v>
      </c>
      <c r="V20" s="58">
        <v>4.83</v>
      </c>
      <c r="W20" s="58">
        <v>4.01</v>
      </c>
      <c r="X20" s="58">
        <v>4.0199999999999996</v>
      </c>
      <c r="Y20" s="58">
        <v>4.3600000000000003</v>
      </c>
      <c r="Z20" s="58">
        <v>4.03</v>
      </c>
    </row>
    <row r="21" spans="2:26" ht="20.25" thickTop="1">
      <c r="B21" s="242" t="s">
        <v>289</v>
      </c>
      <c r="C21" s="56" t="s">
        <v>290</v>
      </c>
      <c r="D21" s="56" t="s">
        <v>291</v>
      </c>
      <c r="E21" s="56" t="s">
        <v>43</v>
      </c>
      <c r="F21" s="56">
        <v>0.23544509320633827</v>
      </c>
      <c r="G21" s="2">
        <v>0.2492959690889035</v>
      </c>
      <c r="H21" s="56">
        <v>0.27955130115864996</v>
      </c>
      <c r="I21" s="56">
        <v>0.28948775014121375</v>
      </c>
      <c r="J21" s="56">
        <v>0.2817978091561667</v>
      </c>
      <c r="K21" s="56">
        <v>0.21242587219432632</v>
      </c>
      <c r="L21" s="56">
        <v>0.22847891878415774</v>
      </c>
      <c r="M21" s="56">
        <v>0.22279182074093792</v>
      </c>
      <c r="N21" s="56">
        <v>0.23342359262169821</v>
      </c>
      <c r="O21" s="56">
        <v>0.23788263073181701</v>
      </c>
      <c r="P21" s="56">
        <v>0.22527494420692037</v>
      </c>
      <c r="Q21" s="56"/>
      <c r="R21" s="56"/>
      <c r="S21" s="56"/>
      <c r="T21" s="56"/>
      <c r="U21" s="56"/>
      <c r="V21" s="56"/>
      <c r="W21" s="56"/>
      <c r="X21" s="56"/>
      <c r="Y21" s="56"/>
      <c r="Z21" s="56"/>
    </row>
    <row r="22" spans="2:26">
      <c r="B22" s="242"/>
      <c r="C22" s="56" t="s">
        <v>290</v>
      </c>
      <c r="D22" s="56" t="s">
        <v>292</v>
      </c>
      <c r="E22" s="56" t="s">
        <v>51</v>
      </c>
      <c r="F22" s="56">
        <v>0.35</v>
      </c>
      <c r="G22" s="1">
        <v>0.33</v>
      </c>
      <c r="H22" s="56">
        <v>0.33</v>
      </c>
      <c r="I22" s="56">
        <v>0.32319999999999999</v>
      </c>
      <c r="J22" s="56">
        <v>0.32319999999999999</v>
      </c>
      <c r="K22" s="56">
        <v>0.32319999999999999</v>
      </c>
      <c r="L22" s="56">
        <v>0.32319999999999999</v>
      </c>
      <c r="M22" s="56">
        <v>0.32319999999999999</v>
      </c>
      <c r="N22" s="56">
        <v>0.32319999999999999</v>
      </c>
      <c r="O22" s="56">
        <v>0.32319999999999999</v>
      </c>
      <c r="P22" s="56">
        <v>0.32319999999999999</v>
      </c>
      <c r="Q22" s="56">
        <v>33</v>
      </c>
      <c r="R22" s="56">
        <v>33</v>
      </c>
      <c r="S22" s="56">
        <v>33</v>
      </c>
      <c r="T22" s="56">
        <v>33</v>
      </c>
      <c r="U22" s="56">
        <v>30</v>
      </c>
      <c r="V22" s="56">
        <v>33</v>
      </c>
      <c r="W22" s="56">
        <v>30</v>
      </c>
      <c r="X22" s="56">
        <v>25</v>
      </c>
      <c r="Y22" s="56">
        <v>25</v>
      </c>
      <c r="Z22" s="56">
        <v>25</v>
      </c>
    </row>
    <row r="23" spans="2:26" ht="20.25" thickBot="1">
      <c r="B23" s="243"/>
      <c r="C23" s="58" t="s">
        <v>293</v>
      </c>
      <c r="D23" s="58" t="s">
        <v>294</v>
      </c>
      <c r="E23" s="58" t="s">
        <v>51</v>
      </c>
      <c r="F23" s="58">
        <v>0.55274022409528079</v>
      </c>
      <c r="G23" s="20">
        <v>0.51724507324221358</v>
      </c>
      <c r="H23" s="58">
        <v>0.5231483199220881</v>
      </c>
      <c r="I23" s="58">
        <v>0.52800508218192999</v>
      </c>
      <c r="J23" s="58">
        <v>0.49513467835370822</v>
      </c>
      <c r="K23" s="58">
        <v>0.49508048406814709</v>
      </c>
      <c r="L23" s="58">
        <v>0.50801579155783205</v>
      </c>
      <c r="M23" s="58">
        <v>0.49050073651817705</v>
      </c>
      <c r="N23" s="58">
        <v>0.50150590032370146</v>
      </c>
      <c r="O23" s="58">
        <v>0.49779989846597406</v>
      </c>
      <c r="P23" s="58">
        <v>0.50245945268494019</v>
      </c>
      <c r="Q23" s="58"/>
      <c r="R23" s="58"/>
      <c r="S23" s="58"/>
      <c r="T23" s="58"/>
      <c r="U23" s="58"/>
      <c r="V23" s="58"/>
      <c r="W23" s="58"/>
      <c r="X23" s="58"/>
      <c r="Y23" s="58"/>
      <c r="Z23" s="58"/>
    </row>
    <row r="24" spans="2:26" ht="20.25" thickTop="1">
      <c r="B24" s="246" t="s">
        <v>295</v>
      </c>
      <c r="C24" s="60" t="s">
        <v>296</v>
      </c>
      <c r="D24" s="60" t="s">
        <v>297</v>
      </c>
      <c r="E24" s="60" t="s">
        <v>298</v>
      </c>
      <c r="F24" s="61">
        <v>17.662073162632822</v>
      </c>
      <c r="G24" s="2">
        <v>18.848741380077545</v>
      </c>
      <c r="H24" s="61">
        <v>19.063747107739921</v>
      </c>
      <c r="I24" s="61">
        <v>18.820544820884741</v>
      </c>
      <c r="J24" s="60">
        <v>18.32528115289395</v>
      </c>
      <c r="K24" s="60">
        <v>18.058854552508553</v>
      </c>
      <c r="L24" s="60">
        <v>18.333683014508992</v>
      </c>
      <c r="M24" s="60">
        <v>17.744607649854849</v>
      </c>
      <c r="N24" s="60">
        <v>18.460743891735003</v>
      </c>
      <c r="O24" s="60">
        <v>18.724920190955629</v>
      </c>
      <c r="P24" s="60">
        <v>18.579124568521241</v>
      </c>
      <c r="Q24" s="60">
        <v>19</v>
      </c>
      <c r="R24" s="60">
        <v>19.2</v>
      </c>
      <c r="S24" s="60">
        <v>19</v>
      </c>
      <c r="T24" s="60">
        <v>19.2</v>
      </c>
      <c r="U24" s="60">
        <v>19.05</v>
      </c>
      <c r="V24" s="60">
        <v>19.100000000000001</v>
      </c>
      <c r="W24" s="60">
        <v>22.4</v>
      </c>
      <c r="X24" s="60">
        <v>23.8</v>
      </c>
      <c r="Y24" s="60">
        <v>20.2</v>
      </c>
      <c r="Z24" s="60">
        <v>20.37</v>
      </c>
    </row>
    <row r="25" spans="2:26">
      <c r="B25" s="242"/>
      <c r="C25" s="56" t="s">
        <v>299</v>
      </c>
      <c r="D25" s="56" t="s">
        <v>300</v>
      </c>
      <c r="E25" s="56" t="s">
        <v>298</v>
      </c>
      <c r="F25" s="62">
        <v>1.54</v>
      </c>
      <c r="G25" s="1">
        <v>1.353</v>
      </c>
      <c r="H25" s="62">
        <v>1.6703999999999999</v>
      </c>
      <c r="I25" s="62">
        <v>1.5264</v>
      </c>
      <c r="J25" s="56">
        <v>1.5475999999999996</v>
      </c>
      <c r="K25" s="56">
        <v>1.375</v>
      </c>
      <c r="L25" s="56">
        <v>1.254</v>
      </c>
      <c r="M25" s="56">
        <v>1.3559999999999999</v>
      </c>
      <c r="N25" s="56">
        <v>1.254</v>
      </c>
      <c r="O25" s="56">
        <v>1.254</v>
      </c>
      <c r="P25" s="56">
        <v>1.254</v>
      </c>
      <c r="Q25" s="56">
        <v>1.32</v>
      </c>
      <c r="R25" s="56">
        <v>1.3</v>
      </c>
      <c r="S25" s="56">
        <v>1.3</v>
      </c>
      <c r="T25" s="56">
        <v>1.4</v>
      </c>
      <c r="U25" s="56">
        <v>1.38</v>
      </c>
      <c r="V25" s="56">
        <v>1.39</v>
      </c>
      <c r="W25" s="56">
        <v>2.1</v>
      </c>
      <c r="X25" s="56">
        <v>2.16</v>
      </c>
      <c r="Y25" s="56">
        <v>1.69</v>
      </c>
      <c r="Z25" s="56">
        <v>1.7</v>
      </c>
    </row>
    <row r="26" spans="2:26" ht="20.25" thickBot="1">
      <c r="B26" s="243"/>
      <c r="C26" s="58" t="s">
        <v>301</v>
      </c>
      <c r="D26" s="58" t="s">
        <v>302</v>
      </c>
      <c r="E26" s="58" t="s">
        <v>298</v>
      </c>
      <c r="F26" s="63">
        <v>0.70125000000000004</v>
      </c>
      <c r="G26" s="20">
        <v>0.62600000000000011</v>
      </c>
      <c r="H26" s="63">
        <v>0.63319999999999999</v>
      </c>
      <c r="I26" s="63">
        <v>0.63319999999999999</v>
      </c>
      <c r="J26" s="58">
        <v>0.55503775834658209</v>
      </c>
      <c r="K26" s="58">
        <v>0.57000000000000006</v>
      </c>
      <c r="L26" s="58">
        <v>0.4</v>
      </c>
      <c r="M26" s="58">
        <v>0.36000000000000004</v>
      </c>
      <c r="N26" s="58">
        <v>0.4</v>
      </c>
      <c r="O26" s="58">
        <v>0.4</v>
      </c>
      <c r="P26" s="58">
        <v>0.4</v>
      </c>
      <c r="Q26" s="58">
        <v>0.4</v>
      </c>
      <c r="R26" s="58">
        <v>0.45</v>
      </c>
      <c r="S26" s="58">
        <v>0.38300000000000001</v>
      </c>
      <c r="T26" s="58">
        <v>0.72199999999999998</v>
      </c>
      <c r="U26" s="58">
        <v>0.73</v>
      </c>
      <c r="V26" s="58">
        <v>0.92</v>
      </c>
      <c r="W26" s="58">
        <v>1.32</v>
      </c>
      <c r="X26" s="58">
        <v>1.24</v>
      </c>
      <c r="Y26" s="58">
        <v>1.05</v>
      </c>
      <c r="Z26" s="58">
        <v>1.05</v>
      </c>
    </row>
    <row r="27" spans="2:26" ht="20.25" thickTop="1">
      <c r="B27" s="247" t="s">
        <v>46</v>
      </c>
      <c r="C27" s="64" t="s">
        <v>303</v>
      </c>
      <c r="D27" s="64" t="s">
        <v>304</v>
      </c>
      <c r="E27" s="64" t="s">
        <v>43</v>
      </c>
      <c r="F27" s="64">
        <v>24.585465220630464</v>
      </c>
      <c r="G27" s="2">
        <v>26.522536724685345</v>
      </c>
      <c r="H27" s="64">
        <v>25.696443303325886</v>
      </c>
      <c r="I27" s="64">
        <v>26.687812794039022</v>
      </c>
      <c r="J27" s="64">
        <v>26.482901442796813</v>
      </c>
      <c r="K27" s="64">
        <v>25.157304326023652</v>
      </c>
      <c r="L27" s="64">
        <v>26.797336910170205</v>
      </c>
      <c r="M27" s="64">
        <v>25.901214194796381</v>
      </c>
      <c r="N27" s="64">
        <v>26.665379765339125</v>
      </c>
      <c r="O27" s="64">
        <v>27.831659171718915</v>
      </c>
      <c r="P27" s="64">
        <v>26.704262449297481</v>
      </c>
      <c r="Q27" s="64">
        <v>25</v>
      </c>
      <c r="R27" s="64">
        <v>25</v>
      </c>
      <c r="S27" s="64">
        <v>25</v>
      </c>
      <c r="T27" s="64">
        <v>25</v>
      </c>
      <c r="U27" s="64">
        <v>24.2</v>
      </c>
      <c r="V27" s="64">
        <v>24.6</v>
      </c>
      <c r="W27" s="64">
        <v>24</v>
      </c>
      <c r="X27" s="64">
        <v>25</v>
      </c>
      <c r="Y27" s="64">
        <v>23</v>
      </c>
      <c r="Z27" s="64">
        <v>22.9</v>
      </c>
    </row>
    <row r="28" spans="2:26">
      <c r="B28" s="242"/>
      <c r="C28" s="56" t="s">
        <v>305</v>
      </c>
      <c r="D28" s="56" t="s">
        <v>306</v>
      </c>
      <c r="E28" s="56" t="s">
        <v>51</v>
      </c>
      <c r="F28" s="56">
        <v>34.222771842755051</v>
      </c>
      <c r="G28" s="1">
        <v>37.320526613824697</v>
      </c>
      <c r="H28" s="56">
        <v>34.636800137416621</v>
      </c>
      <c r="I28" s="56">
        <v>37.843715923638761</v>
      </c>
      <c r="J28" s="56">
        <v>38.271940439949674</v>
      </c>
      <c r="K28" s="56">
        <v>35.045963691216159</v>
      </c>
      <c r="L28" s="56">
        <v>39.168194678007659</v>
      </c>
      <c r="M28" s="56">
        <v>37.80714175273463</v>
      </c>
      <c r="N28" s="56">
        <v>38.516458610754881</v>
      </c>
      <c r="O28" s="56">
        <v>41.36739939884324</v>
      </c>
      <c r="P28" s="56">
        <v>38.382735975041598</v>
      </c>
      <c r="Q28" s="56">
        <v>32.9</v>
      </c>
      <c r="R28" s="56">
        <v>32.6</v>
      </c>
      <c r="S28" s="56">
        <v>32.799999999999997</v>
      </c>
      <c r="T28" s="56">
        <v>31</v>
      </c>
      <c r="U28" s="56">
        <v>29.3</v>
      </c>
      <c r="V28" s="56">
        <v>30.19</v>
      </c>
      <c r="W28" s="56">
        <v>25.7</v>
      </c>
      <c r="X28" s="56">
        <v>26.2</v>
      </c>
      <c r="Y28" s="56">
        <v>26.2</v>
      </c>
      <c r="Z28" s="56">
        <v>25.74</v>
      </c>
    </row>
    <row r="29" spans="2:26">
      <c r="B29" s="242"/>
      <c r="C29" s="56" t="s">
        <v>307</v>
      </c>
      <c r="D29" s="56" t="s">
        <v>308</v>
      </c>
      <c r="E29" s="56" t="s">
        <v>43</v>
      </c>
      <c r="F29" s="56">
        <v>0.75501262265133262</v>
      </c>
      <c r="G29" s="1">
        <v>0.77033183441003639</v>
      </c>
      <c r="H29" s="56">
        <v>0.79254432983788059</v>
      </c>
      <c r="I29" s="56">
        <v>0.75472648598482284</v>
      </c>
      <c r="J29" s="56">
        <v>0.74907663009657421</v>
      </c>
      <c r="K29" s="56">
        <v>0.76454669157292232</v>
      </c>
      <c r="L29" s="56">
        <v>0.7392500571267937</v>
      </c>
      <c r="M29" s="56">
        <v>0.73843862040532482</v>
      </c>
      <c r="N29" s="56">
        <v>0.7418913760048218</v>
      </c>
      <c r="O29" s="56">
        <v>0.73538366710057068</v>
      </c>
      <c r="P29" s="56">
        <v>0.74501081421659832</v>
      </c>
      <c r="Q29" s="56">
        <v>0.78300000000000003</v>
      </c>
      <c r="R29" s="56">
        <v>0.78700000000000003</v>
      </c>
      <c r="S29" s="56">
        <v>0.79400000000000004</v>
      </c>
      <c r="T29" s="56">
        <v>0.82799999999999996</v>
      </c>
      <c r="U29" s="56">
        <v>0.83599999999999997</v>
      </c>
      <c r="V29" s="56">
        <v>0.83399999999999996</v>
      </c>
      <c r="W29" s="56">
        <v>1.05</v>
      </c>
      <c r="X29" s="56">
        <v>1.04</v>
      </c>
      <c r="Y29" s="56">
        <v>0.95</v>
      </c>
      <c r="Z29" s="56">
        <v>0.89</v>
      </c>
    </row>
    <row r="30" spans="2:26">
      <c r="B30" s="242"/>
      <c r="C30" s="56" t="s">
        <v>309</v>
      </c>
      <c r="D30" s="56" t="s">
        <v>310</v>
      </c>
      <c r="E30" s="56" t="s">
        <v>43</v>
      </c>
      <c r="F30" s="56">
        <v>5.3518975325674409</v>
      </c>
      <c r="G30" s="1">
        <v>5.5528508888626043</v>
      </c>
      <c r="H30" s="56">
        <v>5.4785617201595151</v>
      </c>
      <c r="I30" s="56">
        <v>5.7156252767200275</v>
      </c>
      <c r="J30" s="56">
        <v>6.9413681054456706</v>
      </c>
      <c r="K30" s="56">
        <v>6.5208255603551191</v>
      </c>
      <c r="L30" s="56">
        <v>6.8168060737590235</v>
      </c>
      <c r="M30" s="56">
        <v>6.2937869269897311</v>
      </c>
      <c r="N30" s="56">
        <v>6.6913667016195841</v>
      </c>
      <c r="O30" s="56">
        <v>6.8903242022534164</v>
      </c>
      <c r="P30" s="56">
        <v>6.8926165956630623</v>
      </c>
      <c r="Q30" s="56"/>
      <c r="R30" s="56"/>
      <c r="S30" s="56"/>
      <c r="T30" s="56"/>
      <c r="U30" s="56"/>
      <c r="V30" s="56"/>
      <c r="W30" s="56"/>
      <c r="X30" s="56"/>
      <c r="Y30" s="56"/>
      <c r="Z30" s="56"/>
    </row>
    <row r="31" spans="2:26">
      <c r="B31" s="242"/>
      <c r="C31" s="56" t="s">
        <v>311</v>
      </c>
      <c r="D31" s="56" t="s">
        <v>312</v>
      </c>
      <c r="E31" s="56" t="s">
        <v>51</v>
      </c>
      <c r="F31" s="56">
        <v>0.25</v>
      </c>
      <c r="G31" s="1">
        <v>0.25</v>
      </c>
      <c r="H31" s="56">
        <v>0.25</v>
      </c>
      <c r="I31" s="56">
        <v>0.25</v>
      </c>
      <c r="J31" s="56">
        <v>0.25</v>
      </c>
      <c r="K31" s="56">
        <v>0.25</v>
      </c>
      <c r="L31" s="56">
        <v>0.25</v>
      </c>
      <c r="M31" s="56">
        <v>0.25</v>
      </c>
      <c r="N31" s="56">
        <v>0.25</v>
      </c>
      <c r="O31" s="56">
        <v>0.25</v>
      </c>
      <c r="P31" s="56">
        <v>0.25</v>
      </c>
      <c r="Q31" s="56"/>
      <c r="R31" s="56"/>
      <c r="S31" s="56"/>
      <c r="T31" s="56"/>
      <c r="U31" s="56"/>
      <c r="V31" s="56"/>
      <c r="W31" s="56"/>
      <c r="X31" s="56"/>
      <c r="Y31" s="56"/>
      <c r="Z31" s="56"/>
    </row>
    <row r="32" spans="2:26">
      <c r="B32" s="242"/>
      <c r="C32" s="56" t="s">
        <v>313</v>
      </c>
      <c r="D32" s="56" t="s">
        <v>314</v>
      </c>
      <c r="E32" s="56" t="s">
        <v>51</v>
      </c>
      <c r="F32" s="56">
        <v>1.0033821094050335</v>
      </c>
      <c r="G32" s="1">
        <v>0.99250802706810226</v>
      </c>
      <c r="H32" s="56">
        <v>1.7805617050996969</v>
      </c>
      <c r="I32" s="56">
        <v>1.7731267172912202</v>
      </c>
      <c r="J32" s="56">
        <v>1.7066097267535372</v>
      </c>
      <c r="K32" s="56">
        <v>1.9579540414279473</v>
      </c>
      <c r="L32" s="56">
        <v>1.9434745281125376</v>
      </c>
      <c r="M32" s="56">
        <v>1.9584644392092285</v>
      </c>
      <c r="N32" s="56">
        <v>1.9309507687771426</v>
      </c>
      <c r="O32" s="56">
        <v>1.9606085843940717</v>
      </c>
      <c r="P32" s="56">
        <v>1.8703274241793417</v>
      </c>
      <c r="Q32" s="56"/>
      <c r="R32" s="56"/>
      <c r="S32" s="56"/>
      <c r="T32" s="56"/>
      <c r="U32" s="56"/>
      <c r="V32" s="56"/>
      <c r="W32" s="56"/>
      <c r="X32" s="56"/>
      <c r="Y32" s="56"/>
      <c r="Z32" s="56"/>
    </row>
    <row r="33" spans="2:26">
      <c r="B33" s="242"/>
      <c r="C33" s="56" t="s">
        <v>315</v>
      </c>
      <c r="D33" s="56" t="s">
        <v>316</v>
      </c>
      <c r="E33" s="56" t="s">
        <v>51</v>
      </c>
      <c r="F33" s="56">
        <v>0.11093402044426547</v>
      </c>
      <c r="G33" s="1">
        <v>0.11758499978781374</v>
      </c>
      <c r="H33" s="56">
        <v>0.1170786455478971</v>
      </c>
      <c r="I33" s="56">
        <v>0.11419203368739703</v>
      </c>
      <c r="J33" s="56">
        <v>0.1108294313611778</v>
      </c>
      <c r="K33" s="56">
        <v>0.11609664028196555</v>
      </c>
      <c r="L33" s="56">
        <v>0.11480993359989657</v>
      </c>
      <c r="M33" s="56">
        <v>0.11779240220037493</v>
      </c>
      <c r="N33" s="56">
        <v>0.11645898497470911</v>
      </c>
      <c r="O33" s="56">
        <v>0.11806821332309325</v>
      </c>
      <c r="P33" s="56">
        <v>0.11482817842248566</v>
      </c>
      <c r="Q33" s="56"/>
      <c r="R33" s="56"/>
      <c r="S33" s="56"/>
      <c r="T33" s="56"/>
      <c r="U33" s="56"/>
      <c r="V33" s="56"/>
      <c r="W33" s="56"/>
      <c r="X33" s="56"/>
      <c r="Y33" s="56"/>
      <c r="Z33" s="56"/>
    </row>
    <row r="34" spans="2:26">
      <c r="B34" s="242"/>
      <c r="C34" s="56" t="s">
        <v>317</v>
      </c>
      <c r="D34" s="56" t="s">
        <v>318</v>
      </c>
      <c r="E34" s="56" t="s">
        <v>272</v>
      </c>
      <c r="F34" s="56">
        <v>0.10474185445756348</v>
      </c>
      <c r="G34" s="1">
        <v>0.11119553796618663</v>
      </c>
      <c r="H34" s="56">
        <v>0.11028019104580952</v>
      </c>
      <c r="I34" s="56">
        <v>0.10823561805284826</v>
      </c>
      <c r="J34" s="56">
        <v>0.10526973696124349</v>
      </c>
      <c r="K34" s="56">
        <v>0.10948213075902856</v>
      </c>
      <c r="L34" s="56">
        <v>0.10898379773170222</v>
      </c>
      <c r="M34" s="56">
        <v>0.11145907911771946</v>
      </c>
      <c r="N34" s="56">
        <v>0.11037258319132046</v>
      </c>
      <c r="O34" s="56">
        <v>0.11222646535285601</v>
      </c>
      <c r="P34" s="56">
        <v>0.10888714601460912</v>
      </c>
      <c r="Q34" s="56"/>
      <c r="R34" s="56"/>
      <c r="S34" s="56"/>
      <c r="T34" s="56"/>
      <c r="U34" s="56"/>
      <c r="V34" s="56"/>
      <c r="W34" s="56"/>
      <c r="X34" s="56"/>
      <c r="Y34" s="56"/>
      <c r="Z34" s="56"/>
    </row>
    <row r="35" spans="2:26">
      <c r="B35" s="242"/>
      <c r="C35" s="56" t="s">
        <v>319</v>
      </c>
      <c r="D35" s="56" t="s">
        <v>51</v>
      </c>
      <c r="E35" s="56" t="s">
        <v>52</v>
      </c>
      <c r="F35" s="56">
        <v>0.35</v>
      </c>
      <c r="G35" s="1">
        <v>0.33</v>
      </c>
      <c r="H35" s="56">
        <v>0.33</v>
      </c>
      <c r="I35" s="56">
        <v>0.32319999999999999</v>
      </c>
      <c r="J35" s="56">
        <v>0.32319999999999999</v>
      </c>
      <c r="K35" s="56">
        <v>0.32319999999999999</v>
      </c>
      <c r="L35" s="56">
        <v>0.32319999999999999</v>
      </c>
      <c r="M35" s="56">
        <v>0.32319999999999999</v>
      </c>
      <c r="N35" s="56">
        <v>0.32319999999999999</v>
      </c>
      <c r="O35" s="56">
        <v>0.32319999999999999</v>
      </c>
      <c r="P35" s="56">
        <v>0.32319999999999999</v>
      </c>
      <c r="Q35" s="56"/>
      <c r="R35" s="56"/>
      <c r="S35" s="56"/>
      <c r="T35" s="56"/>
      <c r="U35" s="56"/>
      <c r="V35" s="56"/>
      <c r="W35" s="56"/>
      <c r="X35" s="56"/>
      <c r="Y35" s="56"/>
      <c r="Z35" s="56"/>
    </row>
    <row r="36" spans="2:26">
      <c r="B36" s="242"/>
      <c r="C36" s="56" t="s">
        <v>320</v>
      </c>
      <c r="D36" s="56" t="s">
        <v>321</v>
      </c>
      <c r="E36" s="56" t="s">
        <v>9</v>
      </c>
      <c r="F36" s="56">
        <v>0.83746843256447934</v>
      </c>
      <c r="G36" s="1">
        <v>1.4360432109387011</v>
      </c>
      <c r="H36" s="56">
        <v>1.0377574932920675</v>
      </c>
      <c r="I36" s="56">
        <v>1.0222454839469268</v>
      </c>
      <c r="J36" s="56">
        <v>0.85529195385742918</v>
      </c>
      <c r="K36" s="56">
        <v>0.65958789862370848</v>
      </c>
      <c r="L36" s="56">
        <v>1.0432033827672182</v>
      </c>
      <c r="M36" s="56">
        <v>0.97342364555717686</v>
      </c>
      <c r="N36" s="56">
        <v>1.1320297023472368</v>
      </c>
      <c r="O36" s="56">
        <v>1.2815087284463602</v>
      </c>
      <c r="P36" s="56">
        <v>0.96662922926928074</v>
      </c>
      <c r="Q36" s="56"/>
      <c r="R36" s="56"/>
      <c r="S36" s="56"/>
      <c r="T36" s="56"/>
      <c r="U36" s="56"/>
      <c r="V36" s="56"/>
      <c r="W36" s="56"/>
      <c r="X36" s="56"/>
      <c r="Y36" s="56"/>
      <c r="Z36" s="56"/>
    </row>
    <row r="37" spans="2:26" ht="20.25" thickBot="1">
      <c r="B37" s="243"/>
      <c r="C37" s="58" t="s">
        <v>322</v>
      </c>
      <c r="D37" s="58" t="s">
        <v>323</v>
      </c>
      <c r="E37" s="58" t="s">
        <v>324</v>
      </c>
      <c r="F37" s="58">
        <v>-0.28010179717063205</v>
      </c>
      <c r="G37" s="20">
        <v>-0.5018358811952609</v>
      </c>
      <c r="H37" s="58">
        <v>-0.57805363370660279</v>
      </c>
      <c r="I37" s="58">
        <v>-0.65128744152501072</v>
      </c>
      <c r="J37" s="58">
        <v>-0.94594713681692288</v>
      </c>
      <c r="K37" s="58">
        <v>-1.361712510409832</v>
      </c>
      <c r="L37" s="58">
        <v>-2.5882887143491735</v>
      </c>
      <c r="M37" s="58">
        <v>-2.0481021907093688</v>
      </c>
      <c r="N37" s="58">
        <v>-2.3150464167749276</v>
      </c>
      <c r="O37" s="58">
        <v>-1.6910095810387213</v>
      </c>
      <c r="P37" s="58">
        <v>-0.92332880559383013</v>
      </c>
      <c r="Q37" s="58"/>
      <c r="R37" s="58"/>
      <c r="S37" s="58"/>
      <c r="T37" s="58"/>
      <c r="U37" s="58"/>
      <c r="V37" s="58"/>
      <c r="W37" s="58"/>
      <c r="X37" s="58"/>
      <c r="Y37" s="58"/>
      <c r="Z37" s="58"/>
    </row>
    <row r="38" spans="2:26" ht="20.25" thickTop="1">
      <c r="B38" s="247" t="s">
        <v>56</v>
      </c>
      <c r="C38" s="64" t="s">
        <v>303</v>
      </c>
      <c r="D38" s="64" t="s">
        <v>304</v>
      </c>
      <c r="E38" s="64" t="s">
        <v>43</v>
      </c>
      <c r="F38" s="64">
        <v>2.8000000000000003</v>
      </c>
      <c r="G38" s="2">
        <v>2.2000000000000002</v>
      </c>
      <c r="H38" s="64">
        <v>2.88</v>
      </c>
      <c r="I38" s="64">
        <v>2.88</v>
      </c>
      <c r="J38" s="64">
        <v>2.88</v>
      </c>
      <c r="K38" s="64">
        <v>2.2000000000000002</v>
      </c>
      <c r="L38" s="64">
        <v>2.2000000000000002</v>
      </c>
      <c r="M38" s="64">
        <v>2.4000000000000004</v>
      </c>
      <c r="N38" s="64">
        <v>2.2000000000000002</v>
      </c>
      <c r="O38" s="64">
        <v>2.2000000000000002</v>
      </c>
      <c r="P38" s="64">
        <v>2.2000000000000002</v>
      </c>
      <c r="Q38" s="64"/>
      <c r="R38" s="64"/>
      <c r="S38" s="64"/>
      <c r="T38" s="64"/>
      <c r="U38" s="64"/>
      <c r="V38" s="64"/>
      <c r="W38" s="64"/>
      <c r="X38" s="64"/>
      <c r="Y38" s="64"/>
      <c r="Z38" s="64"/>
    </row>
    <row r="39" spans="2:26">
      <c r="B39" s="242"/>
      <c r="C39" s="56" t="s">
        <v>305</v>
      </c>
      <c r="D39" s="56" t="s">
        <v>306</v>
      </c>
      <c r="E39" s="56" t="s">
        <v>51</v>
      </c>
      <c r="F39" s="56">
        <v>5.0909090909090917</v>
      </c>
      <c r="G39" s="1">
        <v>3.5772357723577244</v>
      </c>
      <c r="H39" s="56">
        <v>4.9655172413793105</v>
      </c>
      <c r="I39" s="56">
        <v>5.4339622641509431</v>
      </c>
      <c r="J39" s="56">
        <v>5.3595244249159997</v>
      </c>
      <c r="K39" s="56">
        <v>3.5200000000000005</v>
      </c>
      <c r="L39" s="56">
        <v>3.859649122807018</v>
      </c>
      <c r="M39" s="56">
        <v>4.2477876106194703</v>
      </c>
      <c r="N39" s="56">
        <v>3.859649122807018</v>
      </c>
      <c r="O39" s="56">
        <v>3.859649122807018</v>
      </c>
      <c r="P39" s="56">
        <v>3.859649122807018</v>
      </c>
      <c r="Q39" s="56"/>
      <c r="R39" s="56"/>
      <c r="S39" s="56"/>
      <c r="T39" s="56"/>
      <c r="U39" s="56"/>
      <c r="V39" s="56"/>
      <c r="W39" s="56"/>
      <c r="X39" s="56"/>
      <c r="Y39" s="56"/>
      <c r="Z39" s="56"/>
    </row>
    <row r="40" spans="2:26">
      <c r="B40" s="242"/>
      <c r="C40" s="56" t="s">
        <v>307</v>
      </c>
      <c r="D40" s="56" t="s">
        <v>308</v>
      </c>
      <c r="E40" s="56" t="s">
        <v>43</v>
      </c>
      <c r="F40" s="56">
        <v>0.55593692022263463</v>
      </c>
      <c r="G40" s="1">
        <v>0.6150000000000001</v>
      </c>
      <c r="H40" s="56">
        <v>0.57999999999999996</v>
      </c>
      <c r="I40" s="56">
        <v>0.52999999999999992</v>
      </c>
      <c r="J40" s="56">
        <v>0.59857456707159462</v>
      </c>
      <c r="K40" s="56">
        <v>0.68353719008264457</v>
      </c>
      <c r="L40" s="56">
        <v>0.62370305930114567</v>
      </c>
      <c r="M40" s="56">
        <v>0.61433894624713203</v>
      </c>
      <c r="N40" s="56">
        <v>0.62370305930114567</v>
      </c>
      <c r="O40" s="56">
        <v>0.62370305930114567</v>
      </c>
      <c r="P40" s="56">
        <v>0.62370305930114567</v>
      </c>
      <c r="Q40" s="56"/>
      <c r="R40" s="56"/>
      <c r="S40" s="56"/>
      <c r="T40" s="56"/>
      <c r="U40" s="56"/>
      <c r="V40" s="56"/>
      <c r="W40" s="56"/>
      <c r="X40" s="56"/>
      <c r="Y40" s="56"/>
      <c r="Z40" s="56"/>
    </row>
    <row r="41" spans="2:26">
      <c r="B41" s="242"/>
      <c r="C41" s="56" t="s">
        <v>309</v>
      </c>
      <c r="D41" s="56" t="s">
        <v>310</v>
      </c>
      <c r="E41" s="56" t="s">
        <v>43</v>
      </c>
      <c r="F41" s="56">
        <v>-0.65844155844155861</v>
      </c>
      <c r="G41" s="1">
        <v>-0.55000000000000004</v>
      </c>
      <c r="H41" s="56">
        <v>-0.72000000000000008</v>
      </c>
      <c r="I41" s="56">
        <v>-0.7200000000000002</v>
      </c>
      <c r="J41" s="56">
        <v>0.69998449211682623</v>
      </c>
      <c r="K41" s="56">
        <v>0.53545454545454541</v>
      </c>
      <c r="L41" s="56">
        <v>0.53405103668261578</v>
      </c>
      <c r="M41" s="56">
        <v>0.58066617502458218</v>
      </c>
      <c r="N41" s="56">
        <v>0.53405103668261578</v>
      </c>
      <c r="O41" s="56">
        <v>0.53405103668261578</v>
      </c>
      <c r="P41" s="56">
        <v>0.53405103668261578</v>
      </c>
      <c r="Q41" s="56"/>
      <c r="R41" s="56"/>
      <c r="S41" s="56"/>
      <c r="T41" s="56"/>
      <c r="U41" s="56"/>
      <c r="V41" s="56"/>
      <c r="W41" s="56"/>
      <c r="X41" s="56"/>
      <c r="Y41" s="56"/>
      <c r="Z41" s="56"/>
    </row>
    <row r="42" spans="2:26">
      <c r="B42" s="242"/>
      <c r="C42" s="56" t="s">
        <v>311</v>
      </c>
      <c r="D42" s="56" t="s">
        <v>312</v>
      </c>
      <c r="E42" s="56" t="s">
        <v>51</v>
      </c>
      <c r="F42" s="56">
        <v>0.25</v>
      </c>
      <c r="G42" s="1">
        <v>0.25</v>
      </c>
      <c r="H42" s="56">
        <v>0.25</v>
      </c>
      <c r="I42" s="56">
        <v>0.25</v>
      </c>
      <c r="J42" s="56">
        <v>0.25</v>
      </c>
      <c r="K42" s="56">
        <v>0.25</v>
      </c>
      <c r="L42" s="56">
        <v>0.25</v>
      </c>
      <c r="M42" s="56">
        <v>0.25</v>
      </c>
      <c r="N42" s="56">
        <v>0.25</v>
      </c>
      <c r="O42" s="56">
        <v>0.25</v>
      </c>
      <c r="P42" s="56">
        <v>0.25</v>
      </c>
      <c r="Q42" s="56"/>
      <c r="R42" s="56"/>
      <c r="S42" s="56"/>
      <c r="T42" s="56"/>
      <c r="U42" s="56"/>
      <c r="V42" s="56"/>
      <c r="W42" s="56"/>
      <c r="X42" s="56"/>
      <c r="Y42" s="56"/>
      <c r="Z42" s="56"/>
    </row>
    <row r="43" spans="2:26">
      <c r="B43" s="242"/>
      <c r="C43" s="56" t="s">
        <v>313</v>
      </c>
      <c r="D43" s="56" t="s">
        <v>314</v>
      </c>
      <c r="E43" s="56" t="s">
        <v>51</v>
      </c>
      <c r="F43" s="56">
        <v>1.0682092392323017</v>
      </c>
      <c r="G43" s="1">
        <v>1.0449706976611999</v>
      </c>
      <c r="H43" s="56">
        <v>1.0440102521550767</v>
      </c>
      <c r="I43" s="56">
        <v>1.0414860681499853</v>
      </c>
      <c r="J43" s="56">
        <v>1.0393368682673272</v>
      </c>
      <c r="K43" s="56">
        <v>1.0431606651390797</v>
      </c>
      <c r="L43" s="56">
        <v>1.0425708010062988</v>
      </c>
      <c r="M43" s="56">
        <v>1.0381114983534576</v>
      </c>
      <c r="N43" s="56">
        <v>1.0425708010062988</v>
      </c>
      <c r="O43" s="56">
        <v>1.0425708010062993</v>
      </c>
      <c r="P43" s="56">
        <v>1.0425708010062988</v>
      </c>
      <c r="Q43" s="56"/>
      <c r="R43" s="56"/>
      <c r="S43" s="56"/>
      <c r="T43" s="56"/>
      <c r="U43" s="56"/>
      <c r="V43" s="56"/>
      <c r="W43" s="56"/>
      <c r="X43" s="56"/>
      <c r="Y43" s="56"/>
      <c r="Z43" s="56"/>
    </row>
    <row r="44" spans="2:26" ht="20.25" thickBot="1">
      <c r="B44" s="243"/>
      <c r="C44" s="58" t="s">
        <v>319</v>
      </c>
      <c r="D44" s="58" t="s">
        <v>51</v>
      </c>
      <c r="E44" s="58" t="s">
        <v>52</v>
      </c>
      <c r="F44" s="58">
        <v>0.36</v>
      </c>
      <c r="G44" s="20">
        <v>0.36</v>
      </c>
      <c r="H44" s="58">
        <v>0.36</v>
      </c>
      <c r="I44" s="58">
        <v>0.36</v>
      </c>
      <c r="J44" s="58">
        <v>0.36</v>
      </c>
      <c r="K44" s="58">
        <v>0.36</v>
      </c>
      <c r="L44" s="58">
        <v>0.36</v>
      </c>
      <c r="M44" s="58">
        <v>0.36</v>
      </c>
      <c r="N44" s="58">
        <v>0.36</v>
      </c>
      <c r="O44" s="58">
        <v>0.36</v>
      </c>
      <c r="P44" s="58">
        <v>0.36</v>
      </c>
      <c r="Q44" s="58"/>
      <c r="R44" s="58"/>
      <c r="S44" s="58"/>
      <c r="T44" s="58"/>
      <c r="U44" s="58"/>
      <c r="V44" s="58"/>
      <c r="W44" s="58"/>
      <c r="X44" s="58"/>
      <c r="Y44" s="58"/>
      <c r="Z44" s="58"/>
    </row>
    <row r="45" spans="2:26" ht="20.25" thickTop="1">
      <c r="B45" s="242" t="s">
        <v>57</v>
      </c>
      <c r="C45" s="56" t="s">
        <v>303</v>
      </c>
      <c r="D45" s="56" t="s">
        <v>304</v>
      </c>
      <c r="E45" s="56" t="s">
        <v>43</v>
      </c>
      <c r="F45" s="56">
        <v>0.85</v>
      </c>
      <c r="G45" s="2">
        <v>0.8</v>
      </c>
      <c r="H45" s="56">
        <v>0.8</v>
      </c>
      <c r="I45" s="56">
        <v>0.8</v>
      </c>
      <c r="J45" s="56">
        <v>1</v>
      </c>
      <c r="K45" s="56">
        <v>1.1000000000000001</v>
      </c>
      <c r="L45" s="56">
        <v>0.8</v>
      </c>
      <c r="M45" s="56">
        <v>0.8</v>
      </c>
      <c r="N45" s="56">
        <v>0.8</v>
      </c>
      <c r="O45" s="56">
        <v>0.8</v>
      </c>
      <c r="P45" s="56">
        <v>0.8</v>
      </c>
      <c r="Q45" s="56"/>
      <c r="R45" s="56"/>
      <c r="S45" s="56"/>
      <c r="T45" s="56"/>
      <c r="U45" s="56"/>
      <c r="V45" s="56"/>
      <c r="W45" s="56"/>
      <c r="X45" s="56"/>
      <c r="Y45" s="56"/>
      <c r="Z45" s="56"/>
    </row>
    <row r="46" spans="2:26">
      <c r="B46" s="242"/>
      <c r="C46" s="56" t="s">
        <v>305</v>
      </c>
      <c r="D46" s="56" t="s">
        <v>306</v>
      </c>
      <c r="E46" s="56" t="s">
        <v>51</v>
      </c>
      <c r="F46" s="56">
        <v>1.0303030303030303</v>
      </c>
      <c r="G46" s="1">
        <v>1.0223642172523961</v>
      </c>
      <c r="H46" s="56">
        <v>1.0107391029690462</v>
      </c>
      <c r="I46" s="56">
        <v>1.0107391029690462</v>
      </c>
      <c r="J46" s="56">
        <v>1.8016792280563554</v>
      </c>
      <c r="K46" s="56">
        <v>2.1228070175438596</v>
      </c>
      <c r="L46" s="56">
        <v>1.6</v>
      </c>
      <c r="M46" s="56">
        <v>1.7777777777777777</v>
      </c>
      <c r="N46" s="56">
        <v>1.6</v>
      </c>
      <c r="O46" s="56">
        <v>1.6</v>
      </c>
      <c r="P46" s="56">
        <v>1.6</v>
      </c>
      <c r="Q46" s="56"/>
      <c r="R46" s="56"/>
      <c r="S46" s="56"/>
      <c r="T46" s="56"/>
      <c r="U46" s="56"/>
      <c r="V46" s="56"/>
      <c r="W46" s="56"/>
      <c r="X46" s="56"/>
      <c r="Y46" s="56"/>
      <c r="Z46" s="56"/>
    </row>
    <row r="47" spans="2:26">
      <c r="B47" s="242"/>
      <c r="C47" s="56" t="s">
        <v>307</v>
      </c>
      <c r="D47" s="56" t="s">
        <v>308</v>
      </c>
      <c r="E47" s="56" t="s">
        <v>43</v>
      </c>
      <c r="F47" s="56">
        <v>0.83131225752333027</v>
      </c>
      <c r="G47" s="1">
        <v>0.78608788438498378</v>
      </c>
      <c r="H47" s="56">
        <v>0.79512419555432723</v>
      </c>
      <c r="I47" s="56">
        <v>0.79512419555432723</v>
      </c>
      <c r="J47" s="56">
        <v>0.60333136917444674</v>
      </c>
      <c r="K47" s="56">
        <v>0.56002506265664143</v>
      </c>
      <c r="L47" s="56">
        <v>0.57187500000000002</v>
      </c>
      <c r="M47" s="56">
        <v>0.52968749999999987</v>
      </c>
      <c r="N47" s="56">
        <v>0.57187500000000002</v>
      </c>
      <c r="O47" s="56">
        <v>0.57187500000000002</v>
      </c>
      <c r="P47" s="56">
        <v>0.57187500000000002</v>
      </c>
      <c r="Q47" s="56"/>
      <c r="R47" s="56"/>
      <c r="S47" s="56"/>
      <c r="T47" s="56"/>
      <c r="U47" s="56"/>
      <c r="V47" s="56"/>
      <c r="W47" s="56"/>
      <c r="X47" s="56"/>
      <c r="Y47" s="56"/>
      <c r="Z47" s="56"/>
    </row>
    <row r="48" spans="2:26" ht="20.25" thickBot="1">
      <c r="B48" s="243"/>
      <c r="C48" s="58" t="s">
        <v>309</v>
      </c>
      <c r="D48" s="58" t="s">
        <v>310</v>
      </c>
      <c r="E48" s="58" t="s">
        <v>43</v>
      </c>
      <c r="F48" s="58">
        <v>0.40353832442067739</v>
      </c>
      <c r="G48" s="20">
        <v>0.38448482428115011</v>
      </c>
      <c r="H48" s="58">
        <v>0.38449542008843973</v>
      </c>
      <c r="I48" s="58">
        <v>0.38449542008843973</v>
      </c>
      <c r="J48" s="58">
        <v>0.51590672944377791</v>
      </c>
      <c r="K48" s="58">
        <v>0.52105263157894732</v>
      </c>
      <c r="L48" s="58">
        <v>0.37375000000000003</v>
      </c>
      <c r="M48" s="58">
        <v>0.35624999999999996</v>
      </c>
      <c r="N48" s="58">
        <v>0.37375000000000003</v>
      </c>
      <c r="O48" s="58">
        <v>0.37375000000000003</v>
      </c>
      <c r="P48" s="58">
        <v>0.37375000000000003</v>
      </c>
      <c r="Q48" s="58"/>
      <c r="R48" s="58"/>
      <c r="S48" s="58"/>
      <c r="T48" s="58"/>
      <c r="U48" s="58"/>
      <c r="V48" s="58"/>
      <c r="W48" s="58"/>
      <c r="X48" s="58"/>
      <c r="Y48" s="58"/>
      <c r="Z48" s="58"/>
    </row>
    <row r="49" spans="2:26" ht="20.25" thickTop="1">
      <c r="B49" s="242" t="s">
        <v>325</v>
      </c>
      <c r="C49" s="56" t="s">
        <v>326</v>
      </c>
      <c r="D49" s="56" t="s">
        <v>327</v>
      </c>
      <c r="E49" s="56" t="s">
        <v>51</v>
      </c>
      <c r="F49" s="56">
        <v>0.3695513620523892</v>
      </c>
      <c r="G49" s="2">
        <v>0.3913694173202345</v>
      </c>
      <c r="H49" s="56">
        <v>0.35378435870142183</v>
      </c>
      <c r="I49" s="56">
        <v>0.34387179305970833</v>
      </c>
      <c r="J49" s="56">
        <v>0.3607711533983225</v>
      </c>
      <c r="K49" s="56">
        <v>0.41827101965108376</v>
      </c>
      <c r="L49" s="56">
        <v>0.41635996685508009</v>
      </c>
      <c r="M49" s="56">
        <v>0.38807007439517721</v>
      </c>
      <c r="N49" s="56">
        <v>0.41202211795625671</v>
      </c>
      <c r="O49" s="56">
        <v>0.40980390739689798</v>
      </c>
      <c r="P49" s="56">
        <v>0.40768264772815699</v>
      </c>
      <c r="Q49" s="56">
        <v>0.40899999999999997</v>
      </c>
      <c r="R49" s="56">
        <v>0.36199999999999999</v>
      </c>
      <c r="S49" s="56">
        <v>0.36099999999999999</v>
      </c>
      <c r="T49" s="56">
        <v>0.39600000000000002</v>
      </c>
      <c r="U49" s="56">
        <v>0.39</v>
      </c>
      <c r="V49" s="56">
        <v>0.39</v>
      </c>
      <c r="W49" s="56">
        <v>0.4</v>
      </c>
      <c r="X49" s="56">
        <v>0.39</v>
      </c>
      <c r="Y49" s="56">
        <v>0.4</v>
      </c>
      <c r="Z49" s="56">
        <v>0.4</v>
      </c>
    </row>
    <row r="50" spans="2:26">
      <c r="B50" s="242"/>
      <c r="C50" s="56"/>
      <c r="D50" s="56" t="s">
        <v>328</v>
      </c>
      <c r="E50" s="56" t="s">
        <v>51</v>
      </c>
      <c r="F50" s="56" t="s">
        <v>51</v>
      </c>
      <c r="G50" s="1" t="s">
        <v>51</v>
      </c>
      <c r="H50" s="56" t="s">
        <v>51</v>
      </c>
      <c r="I50" s="56" t="s">
        <v>51</v>
      </c>
      <c r="J50" s="56">
        <v>0.36695301325928892</v>
      </c>
      <c r="K50" s="56">
        <v>0.42384446284524346</v>
      </c>
      <c r="L50" s="56">
        <v>0.42136675135808244</v>
      </c>
      <c r="M50" s="56">
        <v>0.39366384135574523</v>
      </c>
      <c r="N50" s="56">
        <v>0.41699444196109253</v>
      </c>
      <c r="O50" s="56">
        <v>0.41470608049370705</v>
      </c>
      <c r="P50" s="56">
        <v>0.41262328955772543</v>
      </c>
      <c r="Q50" s="56"/>
      <c r="R50" s="56"/>
      <c r="S50" s="56"/>
      <c r="T50" s="56"/>
      <c r="U50" s="56"/>
      <c r="V50" s="56"/>
      <c r="W50" s="56"/>
      <c r="X50" s="56"/>
      <c r="Y50" s="56"/>
      <c r="Z50" s="56"/>
    </row>
    <row r="51" spans="2:26">
      <c r="B51" s="242"/>
      <c r="C51" s="56" t="s">
        <v>329</v>
      </c>
      <c r="D51" s="56" t="s">
        <v>330</v>
      </c>
      <c r="E51" s="56" t="s">
        <v>51</v>
      </c>
      <c r="F51" s="56">
        <v>5.1677648361201567E-3</v>
      </c>
      <c r="G51" s="1">
        <v>5.259278978381356E-3</v>
      </c>
      <c r="H51" s="56">
        <v>4.1362768601852541E-3</v>
      </c>
      <c r="I51" s="56">
        <v>4.0340911854252481E-3</v>
      </c>
      <c r="J51" s="56">
        <v>3.659791094887305E-3</v>
      </c>
      <c r="K51" s="56">
        <v>4.3285221790316779E-3</v>
      </c>
      <c r="L51" s="56">
        <v>3.0531623930240884E-3</v>
      </c>
      <c r="M51" s="56">
        <v>3.5247513864828297E-3</v>
      </c>
      <c r="N51" s="56">
        <v>3.0471531926554761E-3</v>
      </c>
      <c r="O51" s="56">
        <v>2.8782743426983997E-3</v>
      </c>
      <c r="P51" s="56">
        <v>3.0233291045002851E-3</v>
      </c>
      <c r="Q51" s="56">
        <v>3.1900000000000001E-3</v>
      </c>
      <c r="R51" s="56">
        <v>3.0999999999999999E-3</v>
      </c>
      <c r="S51" s="56">
        <v>3.0100000000000001E-3</v>
      </c>
      <c r="T51" s="56">
        <v>5.8500000000000002E-3</v>
      </c>
      <c r="U51" s="56">
        <v>6.1999999999999998E-3</v>
      </c>
      <c r="V51" s="56">
        <v>8.0000000000000002E-3</v>
      </c>
      <c r="W51" s="56">
        <v>9.1999999999999998E-3</v>
      </c>
      <c r="X51" s="56">
        <v>8.3000000000000001E-3</v>
      </c>
      <c r="Y51" s="56">
        <v>0.01</v>
      </c>
      <c r="Z51" s="56">
        <v>0.01</v>
      </c>
    </row>
    <row r="52" spans="2:26">
      <c r="B52" s="242"/>
      <c r="C52" s="56" t="s">
        <v>51</v>
      </c>
      <c r="D52" s="56" t="s">
        <v>331</v>
      </c>
      <c r="E52" s="56" t="s">
        <v>51</v>
      </c>
      <c r="F52" s="56">
        <v>0</v>
      </c>
      <c r="G52" s="1">
        <v>0</v>
      </c>
      <c r="H52" s="56">
        <v>0</v>
      </c>
      <c r="I52" s="56">
        <v>0</v>
      </c>
      <c r="J52" s="56">
        <v>0.10032884463362519</v>
      </c>
      <c r="K52" s="56">
        <v>0.11394833660771307</v>
      </c>
      <c r="L52" s="56">
        <v>0.10149184283126518</v>
      </c>
      <c r="M52" s="56">
        <v>0.10753364333094993</v>
      </c>
      <c r="N52" s="56">
        <v>0.10452438315017795</v>
      </c>
      <c r="O52" s="56">
        <v>9.8955473379635589E-2</v>
      </c>
      <c r="P52" s="56">
        <v>0.10347690766316585</v>
      </c>
      <c r="Q52" s="56"/>
      <c r="R52" s="56"/>
      <c r="S52" s="56"/>
      <c r="T52" s="56"/>
      <c r="U52" s="56"/>
      <c r="V52" s="56"/>
      <c r="W52" s="56"/>
      <c r="X52" s="56"/>
      <c r="Y52" s="56"/>
      <c r="Z52" s="56"/>
    </row>
    <row r="53" spans="2:26" ht="20.25" thickBot="1">
      <c r="B53" s="243"/>
      <c r="C53" s="58" t="s">
        <v>332</v>
      </c>
      <c r="D53" s="58" t="s">
        <v>51</v>
      </c>
      <c r="E53" s="58" t="s">
        <v>51</v>
      </c>
      <c r="F53" s="58" t="s">
        <v>333</v>
      </c>
      <c r="G53" s="20" t="s">
        <v>333</v>
      </c>
      <c r="H53" s="58" t="s">
        <v>333</v>
      </c>
      <c r="I53" s="58" t="s">
        <v>333</v>
      </c>
      <c r="J53" s="58" t="s">
        <v>334</v>
      </c>
      <c r="K53" s="58" t="s">
        <v>334</v>
      </c>
      <c r="L53" s="58" t="s">
        <v>334</v>
      </c>
      <c r="M53" s="58" t="s">
        <v>334</v>
      </c>
      <c r="N53" s="58" t="s">
        <v>334</v>
      </c>
      <c r="O53" s="58" t="s">
        <v>334</v>
      </c>
      <c r="P53" s="58" t="s">
        <v>334</v>
      </c>
      <c r="Q53" s="58"/>
      <c r="R53" s="58"/>
      <c r="S53" s="58"/>
      <c r="T53" s="58"/>
      <c r="U53" s="58"/>
      <c r="V53" s="58"/>
      <c r="W53" s="58"/>
      <c r="X53" s="58"/>
      <c r="Y53" s="58"/>
      <c r="Z53" s="58"/>
    </row>
    <row r="54" spans="2:26" ht="20.25" thickTop="1">
      <c r="B54" s="242" t="s">
        <v>335</v>
      </c>
      <c r="C54" s="56" t="s">
        <v>336</v>
      </c>
      <c r="D54" s="56" t="s">
        <v>337</v>
      </c>
      <c r="E54" s="56" t="s">
        <v>43</v>
      </c>
      <c r="F54" s="56">
        <v>3.2</v>
      </c>
      <c r="G54" s="2">
        <v>4.2</v>
      </c>
      <c r="H54" s="56">
        <v>3.2</v>
      </c>
      <c r="I54" s="56">
        <v>3.2</v>
      </c>
      <c r="J54" s="56">
        <v>3.2</v>
      </c>
      <c r="K54" s="56">
        <v>4.2</v>
      </c>
      <c r="L54" s="56">
        <v>4.5</v>
      </c>
      <c r="M54" s="56">
        <v>3.75</v>
      </c>
      <c r="N54" s="56">
        <v>4.5</v>
      </c>
      <c r="O54" s="56">
        <v>4.5</v>
      </c>
      <c r="P54" s="56">
        <v>4.5</v>
      </c>
      <c r="Q54" s="56"/>
      <c r="R54" s="56"/>
      <c r="S54" s="56"/>
      <c r="T54" s="56"/>
      <c r="U54" s="56"/>
      <c r="V54" s="56"/>
      <c r="W54" s="56"/>
      <c r="X54" s="56"/>
      <c r="Y54" s="56"/>
      <c r="Z54" s="56"/>
    </row>
    <row r="55" spans="2:26">
      <c r="B55" s="242"/>
      <c r="C55" s="56" t="s">
        <v>338</v>
      </c>
      <c r="D55" s="56" t="s">
        <v>339</v>
      </c>
      <c r="E55" s="56" t="s">
        <v>43</v>
      </c>
      <c r="F55" s="56" t="s">
        <v>51</v>
      </c>
      <c r="G55" s="1" t="s">
        <v>51</v>
      </c>
      <c r="H55" s="56" t="s">
        <v>51</v>
      </c>
      <c r="I55" s="56" t="s">
        <v>51</v>
      </c>
      <c r="J55" s="56">
        <v>3.2548324093230696</v>
      </c>
      <c r="K55" s="56">
        <v>4.2559648178231377</v>
      </c>
      <c r="L55" s="56">
        <v>4.5541131041816811</v>
      </c>
      <c r="M55" s="56">
        <v>3.80405370701367</v>
      </c>
      <c r="N55" s="56">
        <v>4.5543064487235529</v>
      </c>
      <c r="O55" s="56">
        <v>4.5538300844317616</v>
      </c>
      <c r="P55" s="56">
        <v>4.5545347916006547</v>
      </c>
      <c r="Q55" s="56"/>
      <c r="R55" s="56"/>
      <c r="S55" s="56"/>
      <c r="T55" s="56"/>
      <c r="U55" s="56"/>
      <c r="V55" s="56"/>
      <c r="W55" s="56"/>
      <c r="X55" s="56"/>
      <c r="Y55" s="56"/>
      <c r="Z55" s="56"/>
    </row>
    <row r="56" spans="2:26">
      <c r="B56" s="242"/>
      <c r="C56" s="56" t="s">
        <v>340</v>
      </c>
      <c r="D56" s="56" t="s">
        <v>341</v>
      </c>
      <c r="E56" s="56" t="s">
        <v>43</v>
      </c>
      <c r="F56" s="56">
        <v>3.2</v>
      </c>
      <c r="G56" s="1">
        <v>4.2</v>
      </c>
      <c r="H56" s="56">
        <v>3.2</v>
      </c>
      <c r="I56" s="56">
        <v>3.2</v>
      </c>
      <c r="J56" s="56">
        <v>3.2</v>
      </c>
      <c r="K56" s="56">
        <v>3.45</v>
      </c>
      <c r="L56" s="56">
        <v>3.75</v>
      </c>
      <c r="M56" s="56">
        <v>4.5</v>
      </c>
      <c r="N56" s="56">
        <v>3.75</v>
      </c>
      <c r="O56" s="56">
        <v>3.75</v>
      </c>
      <c r="P56" s="56">
        <v>3.75</v>
      </c>
      <c r="Q56" s="56"/>
      <c r="R56" s="56"/>
      <c r="S56" s="56"/>
      <c r="T56" s="56"/>
      <c r="U56" s="56"/>
      <c r="V56" s="56"/>
      <c r="W56" s="56"/>
      <c r="X56" s="56"/>
      <c r="Y56" s="56"/>
      <c r="Z56" s="56"/>
    </row>
    <row r="57" spans="2:26">
      <c r="B57" s="242"/>
      <c r="C57" s="56" t="s">
        <v>342</v>
      </c>
      <c r="D57" s="56" t="s">
        <v>343</v>
      </c>
      <c r="E57" s="56" t="s">
        <v>43</v>
      </c>
      <c r="F57" s="56">
        <v>0.16455490679366175</v>
      </c>
      <c r="G57" s="1">
        <v>0.10070403091109648</v>
      </c>
      <c r="H57" s="56">
        <v>0.12044869884135007</v>
      </c>
      <c r="I57" s="56">
        <v>0.11051224985878627</v>
      </c>
      <c r="J57" s="56">
        <v>0.11820219084383332</v>
      </c>
      <c r="K57" s="56">
        <v>0.1875741278056737</v>
      </c>
      <c r="L57" s="56">
        <v>0.17152108121584228</v>
      </c>
      <c r="M57" s="56">
        <v>0.1772081792590621</v>
      </c>
      <c r="N57" s="56">
        <v>0.16657640737830182</v>
      </c>
      <c r="O57" s="56">
        <v>0.16211736926818301</v>
      </c>
      <c r="P57" s="56">
        <v>0.17472505579307965</v>
      </c>
      <c r="Q57" s="56"/>
      <c r="R57" s="56"/>
      <c r="S57" s="56"/>
      <c r="T57" s="56"/>
      <c r="U57" s="56"/>
      <c r="V57" s="56"/>
      <c r="W57" s="56"/>
      <c r="X57" s="56"/>
      <c r="Y57" s="56"/>
      <c r="Z57" s="56"/>
    </row>
    <row r="58" spans="2:26">
      <c r="B58" s="242"/>
      <c r="C58" s="56" t="s">
        <v>344</v>
      </c>
      <c r="D58" s="56" t="s">
        <v>310</v>
      </c>
      <c r="E58" s="56" t="s">
        <v>43</v>
      </c>
      <c r="F58" s="56">
        <v>0.40353832442067739</v>
      </c>
      <c r="G58" s="1">
        <v>0.38448482428115011</v>
      </c>
      <c r="H58" s="56">
        <v>0.38449542008843973</v>
      </c>
      <c r="I58" s="56">
        <v>0.38449542008843973</v>
      </c>
      <c r="J58" s="56">
        <v>0.51590672944377791</v>
      </c>
      <c r="K58" s="56">
        <v>0.52105263157894732</v>
      </c>
      <c r="L58" s="56">
        <v>0.37375000000000003</v>
      </c>
      <c r="M58" s="56">
        <v>0.35624999999999996</v>
      </c>
      <c r="N58" s="56">
        <v>0.37375000000000003</v>
      </c>
      <c r="O58" s="56">
        <v>0.37375000000000003</v>
      </c>
      <c r="P58" s="56">
        <v>0.37375000000000003</v>
      </c>
      <c r="Q58" s="56"/>
      <c r="R58" s="56"/>
      <c r="S58" s="56"/>
      <c r="T58" s="56"/>
      <c r="U58" s="56"/>
      <c r="V58" s="56"/>
      <c r="W58" s="56"/>
      <c r="X58" s="56"/>
      <c r="Y58" s="56"/>
      <c r="Z58" s="56"/>
    </row>
    <row r="59" spans="2:26" ht="20.25" thickBot="1">
      <c r="B59" s="243"/>
      <c r="C59" s="58" t="s">
        <v>345</v>
      </c>
      <c r="D59" s="58" t="s">
        <v>346</v>
      </c>
      <c r="E59" s="58" t="s">
        <v>272</v>
      </c>
      <c r="F59" s="58">
        <v>-3.6</v>
      </c>
      <c r="G59" s="20">
        <v>-2.94</v>
      </c>
      <c r="H59" s="58">
        <v>-2.5</v>
      </c>
      <c r="I59" s="58">
        <v>-3.3</v>
      </c>
      <c r="J59" s="58">
        <v>-2.4500000000000002</v>
      </c>
      <c r="K59" s="58">
        <v>-3.6</v>
      </c>
      <c r="L59" s="58">
        <v>-2.8</v>
      </c>
      <c r="M59" s="58">
        <v>-2.65</v>
      </c>
      <c r="N59" s="58">
        <v>-2.4</v>
      </c>
      <c r="O59" s="58">
        <v>-1.1200000000000001</v>
      </c>
      <c r="P59" s="58">
        <v>-0.92</v>
      </c>
      <c r="Q59" s="58"/>
      <c r="R59" s="58"/>
      <c r="S59" s="58"/>
      <c r="T59" s="58"/>
      <c r="U59" s="58"/>
      <c r="V59" s="58"/>
      <c r="W59" s="58"/>
      <c r="X59" s="58"/>
      <c r="Y59" s="58"/>
      <c r="Z59" s="58"/>
    </row>
    <row r="60" spans="2:26" ht="20.25" thickTop="1">
      <c r="B60" s="242" t="s">
        <v>347</v>
      </c>
      <c r="C60" s="56" t="s">
        <v>348</v>
      </c>
      <c r="D60" s="56" t="s">
        <v>349</v>
      </c>
      <c r="E60" s="56" t="s">
        <v>51</v>
      </c>
      <c r="F60" s="56">
        <v>0.89334209521379149</v>
      </c>
      <c r="G60" s="2">
        <v>0.99518048364603229</v>
      </c>
      <c r="H60" s="56">
        <v>0.80775540451913708</v>
      </c>
      <c r="I60" s="56">
        <v>0.96089613516659922</v>
      </c>
      <c r="J60" s="56">
        <v>1.30602091427374</v>
      </c>
      <c r="K60" s="56">
        <v>0.88960674611935719</v>
      </c>
      <c r="L60" s="56">
        <v>0.69702410295988126</v>
      </c>
      <c r="M60" s="56">
        <v>0.82370987878542834</v>
      </c>
      <c r="N60" s="56">
        <v>0.80156902974961186</v>
      </c>
      <c r="O60" s="56">
        <v>0.88292500309175725</v>
      </c>
      <c r="P60" s="56">
        <v>1.0035204565390832</v>
      </c>
      <c r="Q60" s="56"/>
      <c r="R60" s="56"/>
      <c r="S60" s="56"/>
      <c r="T60" s="56"/>
      <c r="U60" s="56"/>
      <c r="V60" s="56"/>
      <c r="W60" s="56"/>
      <c r="X60" s="56"/>
      <c r="Y60" s="56"/>
      <c r="Z60" s="56"/>
    </row>
    <row r="61" spans="2:26">
      <c r="B61" s="242"/>
      <c r="C61" s="56" t="s">
        <v>350</v>
      </c>
      <c r="D61" s="56" t="s">
        <v>351</v>
      </c>
      <c r="E61" s="56" t="s">
        <v>51</v>
      </c>
      <c r="F61" s="56">
        <v>1.6847046002102821</v>
      </c>
      <c r="G61" s="1">
        <v>1.5700690055057438</v>
      </c>
      <c r="H61" s="56">
        <v>1.5891699804771495</v>
      </c>
      <c r="I61" s="56">
        <v>1.6971035733910482</v>
      </c>
      <c r="J61" s="56">
        <v>1.4207165009077423</v>
      </c>
      <c r="K61" s="56">
        <v>0</v>
      </c>
      <c r="L61" s="56">
        <v>1.4207165009077423</v>
      </c>
      <c r="M61" s="56">
        <v>1.4207165009077423</v>
      </c>
      <c r="N61" s="56">
        <v>1.4207165009077423</v>
      </c>
      <c r="O61" s="56">
        <v>1.4207165009077423</v>
      </c>
      <c r="P61" s="56">
        <v>1.4207165009077423</v>
      </c>
      <c r="Q61" s="56"/>
      <c r="R61" s="56"/>
      <c r="S61" s="56"/>
      <c r="T61" s="56"/>
      <c r="U61" s="56"/>
      <c r="V61" s="56"/>
      <c r="W61" s="56"/>
      <c r="X61" s="56"/>
      <c r="Y61" s="56"/>
      <c r="Z61" s="56"/>
    </row>
    <row r="62" spans="2:26">
      <c r="B62" s="242"/>
      <c r="C62" s="56" t="s">
        <v>296</v>
      </c>
      <c r="D62" s="56" t="s">
        <v>352</v>
      </c>
      <c r="E62" s="56" t="s">
        <v>51</v>
      </c>
      <c r="F62" s="56">
        <v>0.90637713276099385</v>
      </c>
      <c r="G62" s="1">
        <v>1.0017730159086871</v>
      </c>
      <c r="H62" s="56">
        <v>0.81590850011517313</v>
      </c>
      <c r="I62" s="56">
        <v>0.97317771376468332</v>
      </c>
      <c r="J62" s="56">
        <v>1.325966844745778</v>
      </c>
      <c r="K62" s="56">
        <v>0.90647103754541036</v>
      </c>
      <c r="L62" s="56">
        <v>0.71342407448361023</v>
      </c>
      <c r="M62" s="56">
        <v>0.84026657875366129</v>
      </c>
      <c r="N62" s="56">
        <v>0.81526467001619241</v>
      </c>
      <c r="O62" s="56">
        <v>0.89408404389796436</v>
      </c>
      <c r="P62" s="56">
        <v>1.0125387143621192</v>
      </c>
      <c r="Q62" s="56"/>
      <c r="R62" s="56"/>
      <c r="S62" s="56"/>
      <c r="T62" s="56"/>
      <c r="U62" s="56"/>
      <c r="V62" s="56"/>
      <c r="W62" s="56"/>
      <c r="X62" s="56"/>
      <c r="Y62" s="56"/>
      <c r="Z62" s="56"/>
    </row>
    <row r="63" spans="2:26">
      <c r="B63" s="242"/>
      <c r="C63" s="56" t="s">
        <v>299</v>
      </c>
      <c r="D63" s="56" t="s">
        <v>353</v>
      </c>
      <c r="E63" s="56" t="s">
        <v>51</v>
      </c>
      <c r="F63" s="56">
        <v>-0.14949726417945014</v>
      </c>
      <c r="G63" s="1">
        <v>-9.1841046310862567E-2</v>
      </c>
      <c r="H63" s="56">
        <v>-9.3048702459326255E-2</v>
      </c>
      <c r="I63" s="56">
        <v>-0.15143212819474611</v>
      </c>
      <c r="J63" s="56">
        <v>-0.23618169020171326</v>
      </c>
      <c r="K63" s="56">
        <v>-0.22149075345033498</v>
      </c>
      <c r="L63" s="56">
        <v>-0.23977023872649147</v>
      </c>
      <c r="M63" s="56">
        <v>-0.21666087382939367</v>
      </c>
      <c r="N63" s="56">
        <v>-0.20162018133546727</v>
      </c>
      <c r="O63" s="56">
        <v>-0.16662850757882444</v>
      </c>
      <c r="P63" s="56">
        <v>-0.1336135051716322</v>
      </c>
      <c r="Q63" s="56"/>
      <c r="R63" s="56"/>
      <c r="S63" s="56"/>
      <c r="T63" s="56"/>
      <c r="U63" s="56"/>
      <c r="V63" s="56"/>
      <c r="W63" s="56"/>
      <c r="X63" s="56"/>
      <c r="Y63" s="56"/>
      <c r="Z63" s="56"/>
    </row>
    <row r="64" spans="2:26">
      <c r="B64" s="242"/>
      <c r="C64" s="56" t="s">
        <v>301</v>
      </c>
      <c r="D64" s="56" t="s">
        <v>354</v>
      </c>
      <c r="E64" s="56" t="s">
        <v>51</v>
      </c>
      <c r="F64" s="56">
        <v>1.0552889856616786E-10</v>
      </c>
      <c r="G64" s="1">
        <v>1.1551489497962747E-10</v>
      </c>
      <c r="H64" s="56">
        <v>1.144306420943344E-10</v>
      </c>
      <c r="I64" s="56">
        <v>1.1443064209433443E-10</v>
      </c>
      <c r="J64" s="56">
        <v>1.7255164367239104E-10</v>
      </c>
      <c r="K64" s="56">
        <v>1.9216568733856887E-10</v>
      </c>
      <c r="L64" s="56">
        <v>1.6213365045382322E-10</v>
      </c>
      <c r="M64" s="56">
        <v>1.7302477097702235E-10</v>
      </c>
      <c r="N64" s="56">
        <v>1.621336504538232E-10</v>
      </c>
      <c r="O64" s="56">
        <v>1.6213365045382317E-10</v>
      </c>
      <c r="P64" s="56">
        <v>1.6213365045382322E-10</v>
      </c>
      <c r="Q64" s="56"/>
      <c r="R64" s="56"/>
      <c r="S64" s="56"/>
      <c r="T64" s="56"/>
      <c r="U64" s="56"/>
      <c r="V64" s="56"/>
      <c r="W64" s="56"/>
      <c r="X64" s="56"/>
      <c r="Y64" s="56"/>
      <c r="Z64" s="56"/>
    </row>
    <row r="65" spans="2:26">
      <c r="B65" s="242"/>
      <c r="C65" s="56" t="s">
        <v>355</v>
      </c>
      <c r="D65" s="56" t="s">
        <v>356</v>
      </c>
      <c r="E65" s="56" t="s">
        <v>357</v>
      </c>
      <c r="F65" s="56">
        <v>0.1122234567979726</v>
      </c>
      <c r="G65" s="1">
        <v>0.1166459034194281</v>
      </c>
      <c r="H65" s="56">
        <v>0.11774072013896636</v>
      </c>
      <c r="I65" s="56">
        <v>0.11533241778015911</v>
      </c>
      <c r="J65" s="56">
        <v>0.11167813026207936</v>
      </c>
      <c r="K65" s="56">
        <v>0.11459456176974697</v>
      </c>
      <c r="L65" s="56">
        <v>0.11380768012303166</v>
      </c>
      <c r="M65" s="56">
        <v>0.117000046311916</v>
      </c>
      <c r="N65" s="56">
        <v>0.11514709501136162</v>
      </c>
      <c r="O65" s="56">
        <v>0.11696289055066557</v>
      </c>
      <c r="P65" s="56">
        <v>0.11363678542164531</v>
      </c>
      <c r="Q65" s="56"/>
      <c r="R65" s="56"/>
      <c r="S65" s="56"/>
      <c r="T65" s="56"/>
      <c r="U65" s="56"/>
      <c r="V65" s="56"/>
      <c r="W65" s="56"/>
      <c r="X65" s="56"/>
      <c r="Y65" s="56"/>
      <c r="Z65" s="56"/>
    </row>
    <row r="66" spans="2:26">
      <c r="B66" s="242"/>
      <c r="C66" s="56" t="s">
        <v>296</v>
      </c>
      <c r="D66" s="56" t="s">
        <v>358</v>
      </c>
      <c r="E66" s="56" t="s">
        <v>357</v>
      </c>
      <c r="F66" s="56">
        <v>0.10474185445756348</v>
      </c>
      <c r="G66" s="1">
        <v>0.11119553796618663</v>
      </c>
      <c r="H66" s="56">
        <v>0.11028019104580952</v>
      </c>
      <c r="I66" s="56">
        <v>0.10823561805284826</v>
      </c>
      <c r="J66" s="56">
        <v>0.10526973696124349</v>
      </c>
      <c r="K66" s="56">
        <v>0.10948213075902856</v>
      </c>
      <c r="L66" s="56">
        <v>0.10898379773170222</v>
      </c>
      <c r="M66" s="56">
        <v>0.11145907911771946</v>
      </c>
      <c r="N66" s="56">
        <v>0.11037258319132046</v>
      </c>
      <c r="O66" s="56">
        <v>0.11222646535285601</v>
      </c>
      <c r="P66" s="56">
        <v>0.10888714601460912</v>
      </c>
      <c r="Q66" s="56"/>
      <c r="R66" s="56"/>
      <c r="S66" s="56"/>
      <c r="T66" s="56"/>
      <c r="U66" s="56"/>
      <c r="V66" s="56"/>
      <c r="W66" s="56"/>
      <c r="X66" s="56"/>
      <c r="Y66" s="56"/>
      <c r="Z66" s="56"/>
    </row>
    <row r="67" spans="2:26">
      <c r="B67" s="242"/>
      <c r="C67" s="56" t="s">
        <v>299</v>
      </c>
      <c r="D67" s="56" t="s">
        <v>359</v>
      </c>
      <c r="E67" s="56" t="s">
        <v>357</v>
      </c>
      <c r="F67" s="56">
        <v>8.5805589551968084E-2</v>
      </c>
      <c r="G67" s="1">
        <v>7.5929437439067077E-2</v>
      </c>
      <c r="H67" s="56">
        <v>8.514465991491757E-2</v>
      </c>
      <c r="I67" s="56">
        <v>8.7503693234208854E-2</v>
      </c>
      <c r="J67" s="56">
        <v>8.4344600691053831E-2</v>
      </c>
      <c r="K67" s="56">
        <v>7.5780229689853401E-2</v>
      </c>
      <c r="L67" s="56">
        <v>7.8492266268236979E-2</v>
      </c>
      <c r="M67" s="56">
        <v>8.1245709757649165E-2</v>
      </c>
      <c r="N67" s="56">
        <v>7.8492266341715702E-2</v>
      </c>
      <c r="O67" s="56">
        <v>7.8492266341715702E-2</v>
      </c>
      <c r="P67" s="56">
        <v>7.8492266341715702E-2</v>
      </c>
      <c r="Q67" s="56"/>
      <c r="R67" s="56"/>
      <c r="S67" s="56"/>
      <c r="T67" s="56"/>
      <c r="U67" s="56"/>
      <c r="V67" s="56"/>
      <c r="W67" s="56"/>
      <c r="X67" s="56"/>
      <c r="Y67" s="56"/>
      <c r="Z67" s="56"/>
    </row>
    <row r="68" spans="2:26">
      <c r="B68" s="242"/>
      <c r="C68" s="56" t="s">
        <v>301</v>
      </c>
      <c r="D68" s="56" t="s">
        <v>360</v>
      </c>
      <c r="E68" s="56" t="s">
        <v>357</v>
      </c>
      <c r="F68" s="56">
        <v>3.8172620602696196E-2</v>
      </c>
      <c r="G68" s="1">
        <v>3.7973374933672942E-2</v>
      </c>
      <c r="H68" s="56">
        <v>4.4859693176593024E-2</v>
      </c>
      <c r="I68" s="56">
        <v>4.4859693176593024E-2</v>
      </c>
      <c r="J68" s="56">
        <v>5.4188314512789909E-2</v>
      </c>
      <c r="K68" s="56">
        <v>5.9091684649062455E-2</v>
      </c>
      <c r="L68" s="56">
        <v>5.0683925103064187E-2</v>
      </c>
      <c r="M68" s="56">
        <v>5.3791614430781218E-2</v>
      </c>
      <c r="N68" s="56">
        <v>5.0683925103064187E-2</v>
      </c>
      <c r="O68" s="56">
        <v>5.0683925103064187E-2</v>
      </c>
      <c r="P68" s="56">
        <v>5.0683925103064187E-2</v>
      </c>
      <c r="Q68" s="56"/>
      <c r="R68" s="56"/>
      <c r="S68" s="56"/>
      <c r="T68" s="56"/>
      <c r="U68" s="56"/>
      <c r="V68" s="56"/>
      <c r="W68" s="56"/>
      <c r="X68" s="56"/>
      <c r="Y68" s="56"/>
      <c r="Z68" s="56"/>
    </row>
    <row r="69" spans="2:26">
      <c r="B69" s="242"/>
      <c r="C69" s="56" t="s">
        <v>361</v>
      </c>
      <c r="D69" s="56" t="s">
        <v>362</v>
      </c>
      <c r="E69" s="56" t="s">
        <v>51</v>
      </c>
      <c r="F69" s="56">
        <v>2.4586244303371366E-2</v>
      </c>
      <c r="G69" s="1">
        <v>2.5400195265692326E-2</v>
      </c>
      <c r="H69" s="56">
        <v>1.6883925147005055E-2</v>
      </c>
      <c r="I69" s="56">
        <v>2.0891845066662008E-2</v>
      </c>
      <c r="J69" s="56">
        <v>2.700464340732707E-2</v>
      </c>
      <c r="K69" s="56">
        <v>1.9246178282943501E-2</v>
      </c>
      <c r="L69" s="56">
        <v>1.4609803781242738E-2</v>
      </c>
      <c r="M69" s="56">
        <v>1.7977683005341426E-2</v>
      </c>
      <c r="N69" s="56">
        <v>1.833623693228548E-2</v>
      </c>
      <c r="O69" s="56">
        <v>1.9029566101812397E-2</v>
      </c>
      <c r="P69" s="56">
        <v>2.1598977553327306E-2</v>
      </c>
      <c r="Q69" s="56"/>
      <c r="R69" s="56"/>
      <c r="S69" s="56"/>
      <c r="T69" s="56"/>
      <c r="U69" s="56"/>
      <c r="V69" s="56"/>
      <c r="W69" s="56"/>
      <c r="X69" s="56"/>
      <c r="Y69" s="56"/>
      <c r="Z69" s="56"/>
    </row>
    <row r="70" spans="2:26">
      <c r="B70" s="242"/>
      <c r="C70" s="56" t="s">
        <v>296</v>
      </c>
      <c r="D70" s="56" t="s">
        <v>363</v>
      </c>
      <c r="E70" s="56" t="s">
        <v>51</v>
      </c>
      <c r="F70" s="56">
        <v>1.7113168423305021E-2</v>
      </c>
      <c r="G70" s="1">
        <v>1.8476000854648834E-2</v>
      </c>
      <c r="H70" s="56">
        <v>1.0858153475370291E-2</v>
      </c>
      <c r="I70" s="56">
        <v>1.4480626253271449E-2</v>
      </c>
      <c r="J70" s="56">
        <v>2.16275929469061E-2</v>
      </c>
      <c r="K70" s="56">
        <v>1.4187463673077026E-2</v>
      </c>
      <c r="L70" s="56">
        <v>1.1964276319624713E-2</v>
      </c>
      <c r="M70" s="56">
        <v>1.3410295971976124E-2</v>
      </c>
      <c r="N70" s="56">
        <v>1.3999642604226066E-2</v>
      </c>
      <c r="O70" s="56">
        <v>1.5001352600841939E-2</v>
      </c>
      <c r="P70" s="56">
        <v>1.7373362208508655E-2</v>
      </c>
      <c r="Q70" s="56"/>
      <c r="R70" s="56"/>
      <c r="S70" s="56"/>
      <c r="T70" s="56"/>
      <c r="U70" s="56"/>
      <c r="V70" s="56"/>
      <c r="W70" s="56"/>
      <c r="X70" s="56"/>
      <c r="Y70" s="56"/>
      <c r="Z70" s="56"/>
    </row>
    <row r="71" spans="2:26">
      <c r="B71" s="242"/>
      <c r="C71" s="56" t="s">
        <v>299</v>
      </c>
      <c r="D71" s="56" t="s">
        <v>364</v>
      </c>
      <c r="E71" s="56" t="s">
        <v>51</v>
      </c>
      <c r="F71" s="56">
        <v>9.3619884584271104E-3</v>
      </c>
      <c r="G71" s="1">
        <v>8.4402488272241772E-3</v>
      </c>
      <c r="H71" s="56">
        <v>7.4624279567092455E-3</v>
      </c>
      <c r="I71" s="56">
        <v>1.0672391889346024E-2</v>
      </c>
      <c r="J71" s="56">
        <v>1.4315481593539282E-2</v>
      </c>
      <c r="K71" s="56">
        <v>1.2843563962288657E-2</v>
      </c>
      <c r="L71" s="56">
        <v>1.3450839511804251E-2</v>
      </c>
      <c r="M71" s="56">
        <v>1.247658728967543E-2</v>
      </c>
      <c r="N71" s="56">
        <v>1.2705848998838821E-2</v>
      </c>
      <c r="O71" s="56">
        <v>1.1778432817228986E-2</v>
      </c>
      <c r="P71" s="56">
        <v>1.1340906504749983E-2</v>
      </c>
      <c r="Q71" s="56"/>
      <c r="R71" s="56"/>
      <c r="S71" s="56"/>
      <c r="T71" s="56"/>
      <c r="U71" s="56"/>
      <c r="V71" s="56"/>
      <c r="W71" s="56"/>
      <c r="X71" s="56"/>
      <c r="Y71" s="56"/>
      <c r="Z71" s="56"/>
    </row>
    <row r="72" spans="2:26">
      <c r="B72" s="242"/>
      <c r="C72" s="56" t="s">
        <v>301</v>
      </c>
      <c r="D72" s="56" t="s">
        <v>365</v>
      </c>
      <c r="E72" s="56" t="s">
        <v>51</v>
      </c>
      <c r="F72" s="56">
        <v>8.867077996424633E-3</v>
      </c>
      <c r="G72" s="1">
        <v>1.2361311155327367E-2</v>
      </c>
      <c r="H72" s="56">
        <v>8.8474419386210413E-3</v>
      </c>
      <c r="I72" s="56">
        <v>1.1948743953588643E-2</v>
      </c>
      <c r="J72" s="56">
        <v>1.5964930119893229E-2</v>
      </c>
      <c r="K72" s="56">
        <v>1.5379800048954029E-2</v>
      </c>
      <c r="L72" s="56">
        <v>1.5111839261076759E-2</v>
      </c>
      <c r="M72" s="56">
        <v>1.5800325577597366E-2</v>
      </c>
      <c r="N72" s="56">
        <v>1.5607690220090443E-2</v>
      </c>
      <c r="O72" s="56">
        <v>1.583954007527542E-2</v>
      </c>
      <c r="P72" s="56">
        <v>1.6075946859339992E-2</v>
      </c>
      <c r="Q72" s="56"/>
      <c r="R72" s="56"/>
      <c r="S72" s="56"/>
      <c r="T72" s="56"/>
      <c r="U72" s="56"/>
      <c r="V72" s="56"/>
      <c r="W72" s="56"/>
      <c r="X72" s="56"/>
      <c r="Y72" s="56"/>
      <c r="Z72" s="56"/>
    </row>
    <row r="73" spans="2:26">
      <c r="B73" s="242"/>
      <c r="C73" s="56" t="s">
        <v>47</v>
      </c>
      <c r="D73" s="56" t="s">
        <v>366</v>
      </c>
      <c r="E73" s="56" t="s">
        <v>51</v>
      </c>
      <c r="F73" s="56">
        <v>0.2</v>
      </c>
      <c r="G73" s="1">
        <v>0.2</v>
      </c>
      <c r="H73" s="56">
        <v>0.20307417424463414</v>
      </c>
      <c r="I73" s="56">
        <v>0.20307417424463414</v>
      </c>
      <c r="J73" s="56">
        <v>0.11253363853407559</v>
      </c>
      <c r="K73" s="56">
        <v>0.10821367481029676</v>
      </c>
      <c r="L73" s="56">
        <v>4.2650289058750408E-2</v>
      </c>
      <c r="M73" s="56">
        <v>9.7400202198944769E-2</v>
      </c>
      <c r="N73" s="56">
        <v>9.6467577533459026E-2</v>
      </c>
      <c r="O73" s="56">
        <v>9.0536675891477375E-2</v>
      </c>
      <c r="P73" s="56">
        <v>9.6427263948913433E-2</v>
      </c>
      <c r="Q73" s="56"/>
      <c r="R73" s="56"/>
      <c r="S73" s="56"/>
      <c r="T73" s="56"/>
      <c r="U73" s="56"/>
      <c r="V73" s="56"/>
      <c r="W73" s="56"/>
      <c r="X73" s="56"/>
      <c r="Y73" s="56"/>
      <c r="Z73" s="56"/>
    </row>
    <row r="74" spans="2:26">
      <c r="B74" s="242"/>
      <c r="C74" s="56" t="s">
        <v>367</v>
      </c>
      <c r="D74" s="56" t="s">
        <v>368</v>
      </c>
      <c r="E74" s="56" t="s">
        <v>51</v>
      </c>
      <c r="F74" s="56">
        <v>0.20472728608752949</v>
      </c>
      <c r="G74" s="1">
        <v>0.20433083126946039</v>
      </c>
      <c r="H74" s="56">
        <v>0.20228944613939059</v>
      </c>
      <c r="I74" s="56">
        <v>0.20246292449307876</v>
      </c>
      <c r="J74" s="56">
        <v>1</v>
      </c>
      <c r="K74" s="56">
        <v>1</v>
      </c>
      <c r="L74" s="56">
        <v>1</v>
      </c>
      <c r="M74" s="56">
        <v>1</v>
      </c>
      <c r="N74" s="56">
        <v>1</v>
      </c>
      <c r="O74" s="56">
        <v>1</v>
      </c>
      <c r="P74" s="56">
        <v>1</v>
      </c>
      <c r="Q74" s="56"/>
      <c r="R74" s="56"/>
      <c r="S74" s="56"/>
      <c r="T74" s="56"/>
      <c r="U74" s="56"/>
      <c r="V74" s="56"/>
      <c r="W74" s="56"/>
      <c r="X74" s="56"/>
      <c r="Y74" s="56"/>
      <c r="Z74" s="56"/>
    </row>
    <row r="75" spans="2:26">
      <c r="B75" s="242"/>
      <c r="C75" s="56" t="s">
        <v>369</v>
      </c>
      <c r="D75" s="56" t="s">
        <v>370</v>
      </c>
      <c r="E75" s="56" t="s">
        <v>51</v>
      </c>
      <c r="F75" s="56">
        <v>1.2</v>
      </c>
      <c r="G75" s="1">
        <v>1.2</v>
      </c>
      <c r="H75" s="56">
        <v>1.2</v>
      </c>
      <c r="I75" s="56">
        <v>1.2</v>
      </c>
      <c r="J75" s="56">
        <v>1.2</v>
      </c>
      <c r="K75" s="56">
        <v>1.2</v>
      </c>
      <c r="L75" s="56">
        <v>1.2</v>
      </c>
      <c r="M75" s="56">
        <v>1.2</v>
      </c>
      <c r="N75" s="56">
        <v>1.2</v>
      </c>
      <c r="O75" s="56">
        <v>1.2</v>
      </c>
      <c r="P75" s="56">
        <v>1.2</v>
      </c>
      <c r="Q75" s="56"/>
      <c r="R75" s="56"/>
      <c r="S75" s="56"/>
      <c r="T75" s="56"/>
      <c r="U75" s="56"/>
      <c r="V75" s="56"/>
      <c r="W75" s="56"/>
      <c r="X75" s="56"/>
      <c r="Y75" s="56"/>
      <c r="Z75" s="56"/>
    </row>
    <row r="76" spans="2:26">
      <c r="B76" s="242"/>
      <c r="C76" s="56" t="s">
        <v>371</v>
      </c>
      <c r="D76" s="56" t="s">
        <v>372</v>
      </c>
      <c r="E76" s="56" t="s">
        <v>51</v>
      </c>
      <c r="F76" s="56">
        <v>48.86585600467933</v>
      </c>
      <c r="G76" s="1">
        <v>51.054795874434618</v>
      </c>
      <c r="H76" s="56">
        <v>68.419686714309421</v>
      </c>
      <c r="I76" s="56">
        <v>61.016281531367596</v>
      </c>
      <c r="J76" s="56">
        <v>56.004072703101656</v>
      </c>
      <c r="K76" s="56">
        <v>56.840933983222001</v>
      </c>
      <c r="L76" s="56">
        <v>52.748899444464207</v>
      </c>
      <c r="M76" s="56">
        <v>56.094667669967592</v>
      </c>
      <c r="N76" s="56">
        <v>52.731662474475193</v>
      </c>
      <c r="O76" s="56">
        <v>54.743115805968664</v>
      </c>
      <c r="P76" s="56">
        <v>54.288584977975084</v>
      </c>
      <c r="Q76" s="56"/>
      <c r="R76" s="56"/>
      <c r="S76" s="56"/>
      <c r="T76" s="56"/>
      <c r="U76" s="56"/>
      <c r="V76" s="56"/>
      <c r="W76" s="56"/>
      <c r="X76" s="56"/>
      <c r="Y76" s="56"/>
      <c r="Z76" s="56"/>
    </row>
    <row r="77" spans="2:26">
      <c r="B77" s="242"/>
      <c r="C77" s="56" t="s">
        <v>373</v>
      </c>
      <c r="D77" s="56" t="s">
        <v>171</v>
      </c>
      <c r="E77" s="56" t="s">
        <v>51</v>
      </c>
      <c r="F77" s="56">
        <v>7.9321225425896518E-4</v>
      </c>
      <c r="G77" s="1">
        <v>1.1196133917099668E-4</v>
      </c>
      <c r="H77" s="56">
        <v>5.0388112890804772E-4</v>
      </c>
      <c r="I77" s="56">
        <v>-3.1383800751981668E-4</v>
      </c>
      <c r="J77" s="56">
        <v>-1.2981101169055875E-4</v>
      </c>
      <c r="K77" s="56">
        <v>3.0913437415344691E-4</v>
      </c>
      <c r="L77" s="56">
        <v>-1.3604911429110356E-4</v>
      </c>
      <c r="M77" s="56">
        <v>-4.1431794856480741E-5</v>
      </c>
      <c r="N77" s="56">
        <v>-3.7852648738045946E-4</v>
      </c>
      <c r="O77" s="56">
        <v>-2.3021686617781534E-4</v>
      </c>
      <c r="P77" s="56">
        <v>-4.3738887125700787E-5</v>
      </c>
      <c r="Q77" s="56"/>
      <c r="R77" s="56"/>
      <c r="S77" s="56"/>
      <c r="T77" s="56"/>
      <c r="U77" s="56"/>
      <c r="V77" s="56"/>
      <c r="W77" s="56"/>
      <c r="X77" s="56"/>
      <c r="Y77" s="56"/>
      <c r="Z77" s="56"/>
    </row>
    <row r="78" spans="2:26">
      <c r="B78" s="242"/>
      <c r="C78" s="56" t="s">
        <v>374</v>
      </c>
      <c r="D78" s="56" t="s">
        <v>375</v>
      </c>
      <c r="E78" s="56" t="s">
        <v>285</v>
      </c>
      <c r="F78" s="56">
        <v>1012.6935801942534</v>
      </c>
      <c r="G78" s="1">
        <v>985.53351320983711</v>
      </c>
      <c r="H78" s="56">
        <v>1084.7096188961623</v>
      </c>
      <c r="I78" s="56">
        <v>970.26660603808079</v>
      </c>
      <c r="J78" s="56">
        <v>959.83579788656823</v>
      </c>
      <c r="K78" s="56">
        <v>935.25114416985036</v>
      </c>
      <c r="L78" s="56">
        <v>900.1665385883714</v>
      </c>
      <c r="M78" s="56">
        <v>938.12185616804322</v>
      </c>
      <c r="N78" s="56">
        <v>861.45006221899473</v>
      </c>
      <c r="O78" s="56">
        <v>868.62231422494881</v>
      </c>
      <c r="P78" s="56">
        <v>879.17731923931979</v>
      </c>
      <c r="Q78" s="56"/>
      <c r="R78" s="56"/>
      <c r="S78" s="56"/>
      <c r="T78" s="56"/>
      <c r="U78" s="56"/>
      <c r="V78" s="56"/>
      <c r="W78" s="56"/>
      <c r="X78" s="56"/>
      <c r="Y78" s="56"/>
      <c r="Z78" s="56"/>
    </row>
    <row r="79" spans="2:26">
      <c r="B79" s="242"/>
      <c r="C79" s="56"/>
      <c r="D79" s="56"/>
      <c r="E79" s="56" t="s">
        <v>376</v>
      </c>
      <c r="F79" s="56">
        <v>103.36772279210507</v>
      </c>
      <c r="G79" s="1">
        <v>100.61597888819163</v>
      </c>
      <c r="H79" s="56">
        <v>110.74115557898543</v>
      </c>
      <c r="I79" s="56">
        <v>99.057335991636634</v>
      </c>
      <c r="J79" s="56">
        <v>97.992424490716516</v>
      </c>
      <c r="K79" s="56">
        <v>95.482505785589623</v>
      </c>
      <c r="L79" s="56">
        <v>91.900616497026178</v>
      </c>
      <c r="M79" s="56">
        <v>95.775585111591951</v>
      </c>
      <c r="N79" s="56">
        <v>87.947938970800891</v>
      </c>
      <c r="O79" s="56">
        <v>88.680175010204067</v>
      </c>
      <c r="P79" s="56">
        <v>89.757766129588546</v>
      </c>
      <c r="Q79" s="56"/>
      <c r="R79" s="56"/>
      <c r="S79" s="56"/>
      <c r="T79" s="56"/>
      <c r="U79" s="56"/>
      <c r="V79" s="56"/>
      <c r="W79" s="56"/>
      <c r="X79" s="56"/>
      <c r="Y79" s="56"/>
      <c r="Z79" s="56"/>
    </row>
    <row r="80" spans="2:26">
      <c r="B80" s="242"/>
      <c r="C80" s="56" t="s">
        <v>377</v>
      </c>
      <c r="D80" s="56" t="s">
        <v>378</v>
      </c>
      <c r="E80" s="56" t="s">
        <v>285</v>
      </c>
      <c r="F80" s="56">
        <v>27.870993542684378</v>
      </c>
      <c r="G80" s="1">
        <v>25.153973663853844</v>
      </c>
      <c r="H80" s="56">
        <v>22.672898143692077</v>
      </c>
      <c r="I80" s="56">
        <v>21.095578247058995</v>
      </c>
      <c r="J80" s="56">
        <v>19.8465607772658</v>
      </c>
      <c r="K80" s="56">
        <v>20.233671044581762</v>
      </c>
      <c r="L80" s="56">
        <v>18.867721278748267</v>
      </c>
      <c r="M80" s="56">
        <v>20.474754261099356</v>
      </c>
      <c r="N80" s="56">
        <v>19.706041351315328</v>
      </c>
      <c r="O80" s="56">
        <v>18.721302135709376</v>
      </c>
      <c r="P80" s="56">
        <v>18.922714589331328</v>
      </c>
      <c r="Q80" s="56"/>
      <c r="R80" s="56"/>
      <c r="S80" s="56"/>
      <c r="T80" s="56"/>
      <c r="U80" s="56"/>
      <c r="V80" s="56"/>
      <c r="W80" s="56"/>
      <c r="X80" s="56"/>
      <c r="Y80" s="56"/>
      <c r="Z80" s="56"/>
    </row>
    <row r="81" spans="2:26">
      <c r="B81" s="242"/>
      <c r="C81" s="56"/>
      <c r="D81" s="56"/>
      <c r="E81" s="56" t="s">
        <v>376</v>
      </c>
      <c r="F81" s="56">
        <v>2.8448498053163598</v>
      </c>
      <c r="G81" s="1">
        <v>2.5680422321443435</v>
      </c>
      <c r="H81" s="56">
        <v>2.314742025900161</v>
      </c>
      <c r="I81" s="56">
        <v>2.1537088562592133</v>
      </c>
      <c r="J81" s="56">
        <v>2.0261930349429096</v>
      </c>
      <c r="K81" s="56">
        <v>2.0657142465116651</v>
      </c>
      <c r="L81" s="56">
        <v>1.9262604674577097</v>
      </c>
      <c r="M81" s="56">
        <v>2.0903271323225479</v>
      </c>
      <c r="N81" s="56">
        <v>2.0118469986028922</v>
      </c>
      <c r="O81" s="56">
        <v>1.9113121118641527</v>
      </c>
      <c r="P81" s="56">
        <v>1.931874894265577</v>
      </c>
      <c r="Q81" s="56"/>
      <c r="R81" s="56"/>
      <c r="S81" s="56"/>
      <c r="T81" s="56"/>
      <c r="U81" s="56"/>
      <c r="V81" s="56"/>
      <c r="W81" s="56"/>
      <c r="X81" s="56"/>
      <c r="Y81" s="56"/>
      <c r="Z81" s="56"/>
    </row>
    <row r="82" spans="2:26" ht="20.25" thickBot="1">
      <c r="B82" s="243"/>
      <c r="C82" s="58" t="s">
        <v>379</v>
      </c>
      <c r="D82" s="58" t="s">
        <v>380</v>
      </c>
      <c r="E82" s="58" t="s">
        <v>376</v>
      </c>
      <c r="F82" s="58">
        <v>-0.20647239167934117</v>
      </c>
      <c r="G82" s="20">
        <v>1.4859788881916387</v>
      </c>
      <c r="H82" s="58">
        <v>0.80471277406977038</v>
      </c>
      <c r="I82" s="58">
        <v>0.26027246743649357</v>
      </c>
      <c r="J82" s="58">
        <v>0.48038061687513789</v>
      </c>
      <c r="K82" s="58">
        <v>0.1386330001715379</v>
      </c>
      <c r="L82" s="58">
        <v>0.35630493645642503</v>
      </c>
      <c r="M82" s="58">
        <v>0.617681543862588</v>
      </c>
      <c r="N82" s="58">
        <v>0.46634046987051647</v>
      </c>
      <c r="O82" s="58">
        <v>0.54978971282646683</v>
      </c>
      <c r="P82" s="58">
        <v>0.97263371839990498</v>
      </c>
      <c r="Q82" s="58"/>
      <c r="R82" s="58"/>
      <c r="S82" s="58"/>
      <c r="T82" s="58"/>
      <c r="U82" s="58"/>
      <c r="V82" s="58"/>
      <c r="W82" s="58"/>
      <c r="X82" s="58"/>
      <c r="Y82" s="58"/>
      <c r="Z82" s="58"/>
    </row>
    <row r="83" spans="2:26" ht="20.25" thickTop="1">
      <c r="B83" s="242" t="s">
        <v>30</v>
      </c>
      <c r="C83" s="56" t="s">
        <v>381</v>
      </c>
      <c r="D83" s="56" t="s">
        <v>31</v>
      </c>
      <c r="E83" s="56" t="s">
        <v>382</v>
      </c>
      <c r="F83" s="57">
        <v>918.40715156383294</v>
      </c>
      <c r="G83" s="2">
        <v>833.81063889746554</v>
      </c>
      <c r="H83" s="57">
        <v>941.40599435392676</v>
      </c>
      <c r="I83" s="57">
        <v>1010.1455163950034</v>
      </c>
      <c r="J83" s="57">
        <v>904.52562693682296</v>
      </c>
      <c r="K83" s="57">
        <v>885.1284285239492</v>
      </c>
      <c r="L83" s="57">
        <v>805.38723643263461</v>
      </c>
      <c r="M83" s="57">
        <v>815.91501256870231</v>
      </c>
      <c r="N83" s="57">
        <v>832.47226848351579</v>
      </c>
      <c r="O83" s="57">
        <v>892.78855554089125</v>
      </c>
      <c r="P83" s="57">
        <v>891.80653593857642</v>
      </c>
      <c r="Q83" s="57"/>
      <c r="R83" s="57"/>
      <c r="S83" s="57"/>
      <c r="T83" s="57"/>
      <c r="U83" s="57"/>
      <c r="V83" s="57"/>
      <c r="W83" s="57"/>
      <c r="X83" s="57"/>
      <c r="Y83" s="57"/>
      <c r="Z83" s="57"/>
    </row>
    <row r="84" spans="2:26">
      <c r="B84" s="242"/>
      <c r="C84" s="56"/>
      <c r="D84" s="56" t="s">
        <v>33</v>
      </c>
      <c r="E84" s="56" t="s">
        <v>382</v>
      </c>
      <c r="F84" s="57">
        <v>55.530862171617095</v>
      </c>
      <c r="G84" s="1">
        <v>72.911848683691176</v>
      </c>
      <c r="H84" s="57">
        <v>58.680109429353045</v>
      </c>
      <c r="I84" s="57">
        <v>57.72518969576015</v>
      </c>
      <c r="J84" s="57">
        <v>52.359348891475904</v>
      </c>
      <c r="K84" s="57">
        <v>57.310584566883882</v>
      </c>
      <c r="L84" s="57">
        <v>61.608111818404758</v>
      </c>
      <c r="M84" s="57">
        <v>61.309209303595203</v>
      </c>
      <c r="N84" s="57">
        <v>61.555242693094755</v>
      </c>
      <c r="O84" s="57">
        <v>61.979275376536179</v>
      </c>
      <c r="P84" s="57">
        <v>61.134686718395209</v>
      </c>
      <c r="Q84" s="57"/>
      <c r="R84" s="57"/>
      <c r="S84" s="57"/>
      <c r="T84" s="57"/>
      <c r="U84" s="57"/>
      <c r="V84" s="57"/>
      <c r="W84" s="57"/>
      <c r="X84" s="57"/>
      <c r="Y84" s="57"/>
      <c r="Z84" s="57"/>
    </row>
    <row r="85" spans="2:26">
      <c r="B85" s="242"/>
      <c r="C85" s="56"/>
      <c r="D85" s="56" t="s">
        <v>35</v>
      </c>
      <c r="E85" s="56" t="s">
        <v>382</v>
      </c>
      <c r="F85" s="57">
        <v>963.51180413877057</v>
      </c>
      <c r="G85" s="1">
        <v>896.99496843978659</v>
      </c>
      <c r="H85" s="57">
        <v>982.70276637670884</v>
      </c>
      <c r="I85" s="57">
        <v>1050.537846066663</v>
      </c>
      <c r="J85" s="57">
        <v>938.77426688646835</v>
      </c>
      <c r="K85" s="57">
        <v>935.64369229074987</v>
      </c>
      <c r="L85" s="57">
        <v>859.90611138054135</v>
      </c>
      <c r="M85" s="57">
        <v>871.2826765478984</v>
      </c>
      <c r="N85" s="57">
        <v>887.03226452233321</v>
      </c>
      <c r="O85" s="57">
        <v>946.92451889626716</v>
      </c>
      <c r="P85" s="57">
        <v>946.7870879520932</v>
      </c>
      <c r="Q85" s="57"/>
      <c r="R85" s="57"/>
      <c r="S85" s="57"/>
      <c r="T85" s="57"/>
      <c r="U85" s="57"/>
      <c r="V85" s="57"/>
      <c r="W85" s="57"/>
      <c r="X85" s="57"/>
      <c r="Y85" s="57"/>
      <c r="Z85" s="57"/>
    </row>
    <row r="86" spans="2:26">
      <c r="B86" s="242"/>
      <c r="C86" s="56"/>
      <c r="D86" s="56" t="s">
        <v>37</v>
      </c>
      <c r="E86" s="56" t="s">
        <v>382</v>
      </c>
      <c r="F86" s="56">
        <v>0</v>
      </c>
      <c r="G86" s="1">
        <v>0</v>
      </c>
      <c r="H86" s="56">
        <v>0</v>
      </c>
      <c r="I86" s="56">
        <v>0</v>
      </c>
      <c r="J86" s="56">
        <v>0</v>
      </c>
      <c r="K86" s="56">
        <v>0</v>
      </c>
      <c r="L86" s="56">
        <v>0</v>
      </c>
      <c r="M86" s="56">
        <v>0</v>
      </c>
      <c r="N86" s="56">
        <v>0</v>
      </c>
      <c r="O86" s="56">
        <v>0</v>
      </c>
      <c r="P86" s="56">
        <v>0</v>
      </c>
      <c r="Q86" s="56"/>
      <c r="R86" s="56"/>
      <c r="S86" s="56"/>
      <c r="T86" s="56"/>
      <c r="U86" s="56"/>
      <c r="V86" s="56"/>
      <c r="W86" s="56"/>
      <c r="X86" s="56"/>
      <c r="Y86" s="56"/>
      <c r="Z86" s="56"/>
    </row>
    <row r="87" spans="2:26">
      <c r="B87" s="242"/>
      <c r="C87" s="56"/>
      <c r="D87" s="56" t="s">
        <v>39</v>
      </c>
      <c r="E87" s="56" t="s">
        <v>382</v>
      </c>
      <c r="F87" s="56">
        <v>0</v>
      </c>
      <c r="G87" s="1">
        <v>0</v>
      </c>
      <c r="H87" s="56">
        <v>0</v>
      </c>
      <c r="I87" s="56">
        <v>0</v>
      </c>
      <c r="J87" s="56">
        <v>0</v>
      </c>
      <c r="K87" s="56">
        <v>0</v>
      </c>
      <c r="L87" s="56">
        <v>0</v>
      </c>
      <c r="M87" s="56">
        <v>0</v>
      </c>
      <c r="N87" s="56">
        <v>0</v>
      </c>
      <c r="O87" s="56">
        <v>0</v>
      </c>
      <c r="P87" s="56">
        <v>0</v>
      </c>
      <c r="Q87" s="56"/>
      <c r="R87" s="56"/>
      <c r="S87" s="56"/>
      <c r="T87" s="56"/>
      <c r="U87" s="56"/>
      <c r="V87" s="56"/>
      <c r="W87" s="56"/>
      <c r="X87" s="56"/>
      <c r="Y87" s="56"/>
      <c r="Z87" s="56"/>
    </row>
    <row r="88" spans="2:26" ht="20.25" thickBot="1">
      <c r="B88" s="243"/>
      <c r="C88" s="58"/>
      <c r="D88" s="58" t="s">
        <v>383</v>
      </c>
      <c r="E88" s="58" t="s">
        <v>382</v>
      </c>
      <c r="F88" s="58">
        <v>-5.6196454676211225</v>
      </c>
      <c r="G88" s="20">
        <v>-6.0825334963457909</v>
      </c>
      <c r="H88" s="58">
        <v>-6.9131857565410044</v>
      </c>
      <c r="I88" s="58">
        <v>-6.5852125029812028</v>
      </c>
      <c r="J88" s="58">
        <v>-4.987654749548712</v>
      </c>
      <c r="K88" s="58">
        <v>-7.6748803539465982</v>
      </c>
      <c r="L88" s="58">
        <v>-5.784948570851979</v>
      </c>
      <c r="M88" s="58">
        <v>-5.6420922591709717</v>
      </c>
      <c r="N88" s="58">
        <v>-5.7208954706653863</v>
      </c>
      <c r="O88" s="58">
        <v>-5.6642768869536919</v>
      </c>
      <c r="P88" s="58">
        <v>-5.8243628376211198</v>
      </c>
      <c r="Q88" s="58"/>
      <c r="R88" s="58"/>
      <c r="S88" s="58"/>
      <c r="T88" s="58"/>
      <c r="U88" s="58"/>
      <c r="V88" s="58"/>
      <c r="W88" s="58"/>
      <c r="X88" s="58"/>
      <c r="Y88" s="58"/>
      <c r="Z88" s="58"/>
    </row>
    <row r="89" spans="2:26" ht="20.25" thickTop="1">
      <c r="B89" s="242" t="s">
        <v>384</v>
      </c>
      <c r="C89" s="56"/>
      <c r="D89" s="56" t="s">
        <v>173</v>
      </c>
      <c r="E89" s="56" t="s">
        <v>357</v>
      </c>
      <c r="F89" s="56">
        <v>-2.1235387044881707E-2</v>
      </c>
      <c r="G89" s="2">
        <v>-2.0820816650685955E-2</v>
      </c>
      <c r="H89" s="56">
        <v>-2.130043362118501E-2</v>
      </c>
      <c r="I89" s="56">
        <v>-2.2167204650325574E-2</v>
      </c>
      <c r="J89" s="56">
        <v>-2.0018827319272563E-2</v>
      </c>
      <c r="K89" s="56">
        <v>-2.0535400940715834E-2</v>
      </c>
      <c r="L89" s="56">
        <v>-2.1866528705799238E-2</v>
      </c>
      <c r="M89" s="56">
        <v>-2.0430634259647602E-2</v>
      </c>
      <c r="N89" s="56">
        <v>-2.1374283181142786E-2</v>
      </c>
      <c r="O89" s="56">
        <v>-2.1277877173263921E-2</v>
      </c>
      <c r="P89" s="56">
        <v>-2.1202289228846573E-2</v>
      </c>
      <c r="Q89" s="56"/>
      <c r="R89" s="56"/>
      <c r="S89" s="56"/>
      <c r="T89" s="56"/>
      <c r="U89" s="56"/>
      <c r="V89" s="56"/>
      <c r="W89" s="56"/>
      <c r="X89" s="56"/>
      <c r="Y89" s="56"/>
      <c r="Z89" s="56"/>
    </row>
    <row r="90" spans="2:26">
      <c r="B90" s="242"/>
      <c r="C90" s="56"/>
      <c r="D90" s="56" t="s">
        <v>385</v>
      </c>
      <c r="E90" s="56" t="s">
        <v>357</v>
      </c>
      <c r="F90" s="56">
        <v>-3.3102396725761384E-3</v>
      </c>
      <c r="G90" s="1">
        <v>-3.4932616092385018E-3</v>
      </c>
      <c r="H90" s="56">
        <v>-4.0605550085478061E-3</v>
      </c>
      <c r="I90" s="56">
        <v>-3.9301510675748665E-3</v>
      </c>
      <c r="J90" s="56">
        <v>-4.5244603596246253E-3</v>
      </c>
      <c r="K90" s="56">
        <v>-1.6261031494530539E-3</v>
      </c>
      <c r="L90" s="56">
        <v>-2.8747141341960475E-3</v>
      </c>
      <c r="M90" s="56">
        <v>-2.3232525096361562E-3</v>
      </c>
      <c r="N90" s="56">
        <v>-2.6407031537638032E-3</v>
      </c>
      <c r="O90" s="56">
        <v>-2.8537063442499789E-3</v>
      </c>
      <c r="P90" s="56">
        <v>-2.1937912085889066E-3</v>
      </c>
      <c r="Q90" s="56"/>
      <c r="R90" s="56"/>
      <c r="S90" s="56"/>
      <c r="T90" s="56"/>
      <c r="U90" s="56"/>
      <c r="V90" s="56"/>
      <c r="W90" s="56"/>
      <c r="X90" s="56"/>
      <c r="Y90" s="56"/>
      <c r="Z90" s="56"/>
    </row>
    <row r="91" spans="2:26" ht="20.25" thickBot="1">
      <c r="B91" s="243"/>
      <c r="C91" s="58"/>
      <c r="D91" s="58" t="s">
        <v>386</v>
      </c>
      <c r="E91" s="58" t="s">
        <v>357</v>
      </c>
      <c r="F91" s="58">
        <v>-3.1702415539934146E-4</v>
      </c>
      <c r="G91" s="20">
        <v>-3.7529757345022873E-4</v>
      </c>
      <c r="H91" s="58">
        <v>1.8555211084135206E-4</v>
      </c>
      <c r="I91" s="58">
        <v>1.8096809282457506E-4</v>
      </c>
      <c r="J91" s="58">
        <v>1.9831791090086103E-4</v>
      </c>
      <c r="K91" s="58">
        <v>2.557796675998126E-4</v>
      </c>
      <c r="L91" s="58">
        <v>1.5474625405552511E-4</v>
      </c>
      <c r="M91" s="58">
        <v>1.8960206754604588E-4</v>
      </c>
      <c r="N91" s="58">
        <v>1.5444168419411308E-4</v>
      </c>
      <c r="O91" s="58">
        <v>1.45882241211397E-4</v>
      </c>
      <c r="P91" s="58">
        <v>1.5323418589440656E-4</v>
      </c>
      <c r="Q91" s="58"/>
      <c r="R91" s="58"/>
      <c r="S91" s="58"/>
      <c r="T91" s="58"/>
      <c r="U91" s="58"/>
      <c r="V91" s="58"/>
      <c r="W91" s="58"/>
      <c r="X91" s="58"/>
      <c r="Y91" s="58"/>
      <c r="Z91" s="58"/>
    </row>
    <row r="92" spans="2:26" ht="20.25" thickTop="1">
      <c r="B92" s="242" t="s">
        <v>387</v>
      </c>
      <c r="C92" s="56" t="s">
        <v>388</v>
      </c>
      <c r="D92" s="56" t="s">
        <v>389</v>
      </c>
      <c r="E92" s="56" t="s">
        <v>390</v>
      </c>
      <c r="F92" s="56">
        <v>8.7453503909277899</v>
      </c>
      <c r="G92" s="2">
        <v>8.2104818110790951</v>
      </c>
      <c r="H92" s="56">
        <v>9.4963161479902265</v>
      </c>
      <c r="I92" s="56">
        <v>8.3860722086699404</v>
      </c>
      <c r="J92" s="56">
        <v>7.0458658976119821</v>
      </c>
      <c r="K92" s="56">
        <v>9.2901291803350876</v>
      </c>
      <c r="L92" s="56">
        <v>10.401330090247521</v>
      </c>
      <c r="M92" s="56">
        <v>8.7455376688500372</v>
      </c>
      <c r="N92" s="56">
        <v>9.7013471072537136</v>
      </c>
      <c r="O92" s="56">
        <v>9.2531089919488565</v>
      </c>
      <c r="P92" s="56">
        <v>8.6584587070829002</v>
      </c>
      <c r="Q92" s="56"/>
      <c r="R92" s="56"/>
      <c r="S92" s="56"/>
      <c r="T92" s="56"/>
      <c r="U92" s="56"/>
      <c r="V92" s="56"/>
      <c r="W92" s="56"/>
      <c r="X92" s="56"/>
      <c r="Y92" s="56"/>
      <c r="Z92" s="56"/>
    </row>
    <row r="93" spans="2:26">
      <c r="B93" s="242"/>
      <c r="C93" s="56"/>
      <c r="D93" s="56" t="s">
        <v>391</v>
      </c>
      <c r="E93" s="56" t="s">
        <v>51</v>
      </c>
      <c r="F93" s="56">
        <v>0.87466672375566978</v>
      </c>
      <c r="G93" s="1">
        <v>0.90435520631105559</v>
      </c>
      <c r="H93" s="56">
        <v>0.87289716628344272</v>
      </c>
      <c r="I93" s="56">
        <v>0.87324814934969552</v>
      </c>
      <c r="J93" s="56">
        <v>0.92923133755955545</v>
      </c>
      <c r="K93" s="56">
        <v>0.9925505543187817</v>
      </c>
      <c r="L93" s="56">
        <v>0.98803141841708864</v>
      </c>
      <c r="M93" s="56">
        <v>0.95074838866354594</v>
      </c>
      <c r="N93" s="56">
        <v>0.98825436767997343</v>
      </c>
      <c r="O93" s="56">
        <v>0.98368694325554928</v>
      </c>
      <c r="P93" s="56">
        <v>0.98948080665334137</v>
      </c>
      <c r="Q93" s="56"/>
      <c r="R93" s="56"/>
      <c r="S93" s="56"/>
      <c r="T93" s="56"/>
      <c r="U93" s="56"/>
      <c r="V93" s="56"/>
      <c r="W93" s="56"/>
      <c r="X93" s="56"/>
      <c r="Y93" s="56"/>
      <c r="Z93" s="56"/>
    </row>
    <row r="94" spans="2:26">
      <c r="B94" s="242"/>
      <c r="C94" s="56"/>
      <c r="D94" s="56" t="s">
        <v>392</v>
      </c>
      <c r="E94" s="56" t="s">
        <v>390</v>
      </c>
      <c r="F94" s="56">
        <v>4.2390881345512756</v>
      </c>
      <c r="G94" s="1">
        <v>3.5040741639495896</v>
      </c>
      <c r="H94" s="56">
        <v>4.6332928125957356</v>
      </c>
      <c r="I94" s="56">
        <v>4.0863297379258734</v>
      </c>
      <c r="J94" s="56">
        <v>2.6034366877272448</v>
      </c>
      <c r="K94" s="56">
        <v>1.1318487780818216</v>
      </c>
      <c r="L94" s="56">
        <v>1.6044339500554228</v>
      </c>
      <c r="M94" s="56">
        <v>2.7107993008886107</v>
      </c>
      <c r="N94" s="56">
        <v>1.4825393080339162</v>
      </c>
      <c r="O94" s="56">
        <v>1.6645311178490798</v>
      </c>
      <c r="P94" s="56">
        <v>1.2525690769984914</v>
      </c>
      <c r="Q94" s="56"/>
      <c r="R94" s="56"/>
      <c r="S94" s="56"/>
      <c r="T94" s="56"/>
      <c r="U94" s="56"/>
      <c r="V94" s="56"/>
      <c r="W94" s="56"/>
      <c r="X94" s="56"/>
      <c r="Y94" s="56"/>
      <c r="Z94" s="56"/>
    </row>
    <row r="95" spans="2:26">
      <c r="B95" s="242"/>
      <c r="C95" s="56"/>
      <c r="D95" s="56" t="s">
        <v>393</v>
      </c>
      <c r="E95" s="56" t="s">
        <v>394</v>
      </c>
      <c r="F95" s="56">
        <v>1.4822020934095739</v>
      </c>
      <c r="G95" s="1">
        <v>1.7931085397169628</v>
      </c>
      <c r="H95" s="56">
        <v>1.3560950195287835</v>
      </c>
      <c r="I95" s="56">
        <v>1.5376109394365189</v>
      </c>
      <c r="J95" s="56">
        <v>2.413419668240405</v>
      </c>
      <c r="K95" s="56">
        <v>5.5512586388332643</v>
      </c>
      <c r="L95" s="56">
        <v>3.9161383408538213</v>
      </c>
      <c r="M95" s="56">
        <v>2.3178349297640493</v>
      </c>
      <c r="N95" s="56">
        <v>4.2381239223343714</v>
      </c>
      <c r="O95" s="56">
        <v>3.7747478793299867</v>
      </c>
      <c r="P95" s="56">
        <v>5.0162385632542277</v>
      </c>
      <c r="Q95" s="56"/>
      <c r="R95" s="56"/>
      <c r="S95" s="56"/>
      <c r="T95" s="56"/>
      <c r="U95" s="56"/>
      <c r="V95" s="56"/>
      <c r="W95" s="56"/>
      <c r="X95" s="56"/>
      <c r="Y95" s="56"/>
      <c r="Z95" s="56"/>
    </row>
    <row r="96" spans="2:26">
      <c r="B96" s="242"/>
      <c r="C96" s="56" t="s">
        <v>395</v>
      </c>
      <c r="D96" s="56" t="s">
        <v>396</v>
      </c>
      <c r="E96" s="56" t="s">
        <v>390</v>
      </c>
      <c r="F96" s="56">
        <v>0.65326714854755707</v>
      </c>
      <c r="G96" s="1">
        <v>0.62732315975683761</v>
      </c>
      <c r="H96" s="56">
        <v>0.62382508504723611</v>
      </c>
      <c r="I96" s="56">
        <v>0.70448947113508698</v>
      </c>
      <c r="J96" s="56">
        <v>0.82248996349895132</v>
      </c>
      <c r="K96" s="56">
        <v>0.60563290975250206</v>
      </c>
      <c r="L96" s="56">
        <v>0.53340329177995904</v>
      </c>
      <c r="M96" s="56">
        <v>0.60440909762581829</v>
      </c>
      <c r="N96" s="56">
        <v>0.5686171003563496</v>
      </c>
      <c r="O96" s="56">
        <v>0.5943886699925105</v>
      </c>
      <c r="P96" s="56">
        <v>0.64010513773290212</v>
      </c>
      <c r="Q96" s="56"/>
      <c r="R96" s="56"/>
      <c r="S96" s="56"/>
      <c r="T96" s="56"/>
      <c r="U96" s="56"/>
      <c r="V96" s="56"/>
      <c r="W96" s="56"/>
      <c r="X96" s="56"/>
      <c r="Y96" s="56"/>
      <c r="Z96" s="56"/>
    </row>
    <row r="97" spans="2:27">
      <c r="B97" s="242"/>
      <c r="C97" s="56"/>
      <c r="D97" s="56" t="s">
        <v>397</v>
      </c>
      <c r="E97" s="56" t="s">
        <v>51</v>
      </c>
      <c r="F97" s="56">
        <v>3.9293704054904489E-2</v>
      </c>
      <c r="G97" s="1">
        <v>4.1935643099854196E-2</v>
      </c>
      <c r="H97" s="56">
        <v>2.9829612677350483E-2</v>
      </c>
      <c r="I97" s="56">
        <v>3.148157310602704E-2</v>
      </c>
      <c r="J97" s="56">
        <v>3.2163274407309643E-2</v>
      </c>
      <c r="K97" s="56">
        <v>3.7242807874262492E-2</v>
      </c>
      <c r="L97" s="56">
        <v>3.6480889219473393E-2</v>
      </c>
      <c r="M97" s="56">
        <v>3.5390909123463973E-2</v>
      </c>
      <c r="N97" s="56">
        <v>4.1291947701511719E-2</v>
      </c>
      <c r="O97" s="56">
        <v>3.9216782953523835E-2</v>
      </c>
      <c r="P97" s="56">
        <v>3.8981032713419926E-2</v>
      </c>
      <c r="Q97" s="56"/>
      <c r="R97" s="56"/>
      <c r="S97" s="56"/>
      <c r="T97" s="56"/>
      <c r="U97" s="56"/>
      <c r="V97" s="56"/>
      <c r="W97" s="56"/>
      <c r="X97" s="56"/>
      <c r="Y97" s="56"/>
      <c r="Z97" s="56"/>
    </row>
    <row r="98" spans="2:27">
      <c r="B98" s="242"/>
      <c r="C98" s="56"/>
      <c r="D98" s="56" t="s">
        <v>398</v>
      </c>
      <c r="E98" s="56" t="s">
        <v>390</v>
      </c>
      <c r="F98" s="56">
        <v>0.65276263306619364</v>
      </c>
      <c r="G98" s="1">
        <v>0.62677131235269212</v>
      </c>
      <c r="H98" s="56">
        <v>0.62354748169313978</v>
      </c>
      <c r="I98" s="56">
        <v>0.70414027855380978</v>
      </c>
      <c r="J98" s="56">
        <v>0.82206443026501153</v>
      </c>
      <c r="K98" s="56">
        <v>0.6052127494888383</v>
      </c>
      <c r="L98" s="56">
        <v>0.53304823231428844</v>
      </c>
      <c r="M98" s="56">
        <v>0.60403046285887607</v>
      </c>
      <c r="N98" s="56">
        <v>0.56813214038081983</v>
      </c>
      <c r="O98" s="56">
        <v>0.59393142228808504</v>
      </c>
      <c r="P98" s="56">
        <v>0.63961862627541599</v>
      </c>
      <c r="Q98" s="56"/>
      <c r="R98" s="56"/>
      <c r="S98" s="56"/>
      <c r="T98" s="56"/>
      <c r="U98" s="56"/>
      <c r="V98" s="56"/>
      <c r="W98" s="56"/>
      <c r="X98" s="56"/>
      <c r="Y98" s="56"/>
      <c r="Z98" s="56"/>
    </row>
    <row r="99" spans="2:27">
      <c r="B99" s="242"/>
      <c r="C99" s="56"/>
      <c r="D99" s="56" t="s">
        <v>399</v>
      </c>
      <c r="E99" s="56" t="s">
        <v>394</v>
      </c>
      <c r="F99" s="56">
        <v>9.6255284676236013</v>
      </c>
      <c r="G99" s="1">
        <v>10.024685532582192</v>
      </c>
      <c r="H99" s="56">
        <v>10.07651460658399</v>
      </c>
      <c r="I99" s="56">
        <v>8.9232010986280077</v>
      </c>
      <c r="J99" s="56">
        <v>7.6431786559042045</v>
      </c>
      <c r="K99" s="56">
        <v>10.381779485786369</v>
      </c>
      <c r="L99" s="56">
        <v>11.78727350787833</v>
      </c>
      <c r="M99" s="56">
        <v>10.402100048797656</v>
      </c>
      <c r="N99" s="56">
        <v>11.059373094026959</v>
      </c>
      <c r="O99" s="56">
        <v>10.57897439231956</v>
      </c>
      <c r="P99" s="56">
        <v>9.8233307303250488</v>
      </c>
      <c r="Q99" s="56"/>
      <c r="R99" s="56"/>
      <c r="S99" s="56"/>
      <c r="T99" s="56"/>
      <c r="U99" s="56"/>
      <c r="V99" s="56"/>
      <c r="W99" s="56"/>
      <c r="X99" s="56"/>
      <c r="Y99" s="56"/>
      <c r="Z99" s="56"/>
    </row>
    <row r="100" spans="2:27">
      <c r="B100" s="242"/>
      <c r="C100" s="56" t="s">
        <v>400</v>
      </c>
      <c r="D100" s="56" t="s">
        <v>401</v>
      </c>
      <c r="E100" s="56" t="s">
        <v>390</v>
      </c>
      <c r="F100" s="56">
        <v>0.71452193292878585</v>
      </c>
      <c r="G100" s="1">
        <v>0.72438011711662642</v>
      </c>
      <c r="H100" s="56">
        <v>1.2535547569359917</v>
      </c>
      <c r="I100" s="56">
        <v>1.1385918604631449</v>
      </c>
      <c r="J100" s="56">
        <v>1.2646822697445395</v>
      </c>
      <c r="K100" s="56">
        <v>0.92879097528311116</v>
      </c>
      <c r="L100" s="56">
        <v>1.0987067653094216</v>
      </c>
      <c r="M100" s="56">
        <v>1.0366318104894019</v>
      </c>
      <c r="N100" s="56">
        <v>1.0300195391903519</v>
      </c>
      <c r="O100" s="56">
        <v>1.0391027576319321</v>
      </c>
      <c r="P100" s="56">
        <v>0.91300620956946987</v>
      </c>
      <c r="Q100" s="56"/>
      <c r="R100" s="56"/>
      <c r="S100" s="56"/>
      <c r="T100" s="56"/>
      <c r="U100" s="56"/>
      <c r="V100" s="56"/>
      <c r="W100" s="56"/>
      <c r="X100" s="56"/>
      <c r="Y100" s="56"/>
      <c r="Z100" s="56"/>
    </row>
    <row r="101" spans="2:27">
      <c r="B101" s="242"/>
      <c r="C101" s="56"/>
      <c r="D101" s="56" t="s">
        <v>402</v>
      </c>
      <c r="E101" s="56"/>
      <c r="F101" s="56">
        <v>0.15159055837003976</v>
      </c>
      <c r="G101" s="1">
        <v>0.18493539126626099</v>
      </c>
      <c r="H101" s="56">
        <v>0.20060718601528893</v>
      </c>
      <c r="I101" s="56">
        <v>0.20270423647798141</v>
      </c>
      <c r="J101" s="56">
        <v>0.2034993555069157</v>
      </c>
      <c r="K101" s="56">
        <v>0.25141588908449458</v>
      </c>
      <c r="L101" s="56">
        <v>0.22647111129224112</v>
      </c>
      <c r="M101" s="56">
        <v>0.22202189401394098</v>
      </c>
      <c r="N101" s="56">
        <v>0.21710302695420797</v>
      </c>
      <c r="O101" s="56">
        <v>0.21427229647500562</v>
      </c>
      <c r="P101" s="56">
        <v>0.21084076252157694</v>
      </c>
      <c r="Q101" s="56"/>
      <c r="R101" s="56"/>
      <c r="S101" s="56"/>
      <c r="T101" s="56"/>
      <c r="U101" s="56"/>
      <c r="V101" s="56"/>
      <c r="W101" s="56"/>
      <c r="X101" s="56"/>
      <c r="Y101" s="56"/>
      <c r="Z101" s="56"/>
    </row>
    <row r="102" spans="2:27">
      <c r="B102" s="242"/>
      <c r="C102" s="56"/>
      <c r="D102" s="56" t="s">
        <v>401</v>
      </c>
      <c r="E102" s="56" t="s">
        <v>390</v>
      </c>
      <c r="F102" s="56">
        <v>0.70626446982278512</v>
      </c>
      <c r="G102" s="1">
        <v>0.71188505341810548</v>
      </c>
      <c r="H102" s="56">
        <v>1.2280721947135658</v>
      </c>
      <c r="I102" s="56">
        <v>1.1149547021103381</v>
      </c>
      <c r="J102" s="56">
        <v>1.2382188944449084</v>
      </c>
      <c r="K102" s="56">
        <v>0.8989574205057016</v>
      </c>
      <c r="L102" s="56">
        <v>1.070160037215744</v>
      </c>
      <c r="M102" s="56">
        <v>1.0107592224882171</v>
      </c>
      <c r="N102" s="56">
        <v>1.0054522294995805</v>
      </c>
      <c r="O102" s="56">
        <v>1.0149685228812946</v>
      </c>
      <c r="P102" s="56">
        <v>0.89248221406783212</v>
      </c>
      <c r="Q102" s="56"/>
      <c r="R102" s="56"/>
      <c r="S102" s="56"/>
      <c r="T102" s="56"/>
      <c r="U102" s="56"/>
      <c r="V102" s="56"/>
      <c r="W102" s="56"/>
      <c r="X102" s="56"/>
      <c r="Y102" s="56"/>
      <c r="Z102" s="56"/>
    </row>
    <row r="103" spans="2:27">
      <c r="B103" s="242"/>
      <c r="C103" s="56"/>
      <c r="D103" s="56" t="s">
        <v>403</v>
      </c>
      <c r="E103" s="56" t="s">
        <v>394</v>
      </c>
      <c r="F103" s="56">
        <v>8.8963632968201765</v>
      </c>
      <c r="G103" s="1">
        <v>8.8261233706354218</v>
      </c>
      <c r="H103" s="56">
        <v>5.1162996232848261</v>
      </c>
      <c r="I103" s="56">
        <v>5.635372715400047</v>
      </c>
      <c r="J103" s="56">
        <v>5.0743736308403919</v>
      </c>
      <c r="K103" s="56">
        <v>6.9894136961960092</v>
      </c>
      <c r="L103" s="56">
        <v>5.8712576518243669</v>
      </c>
      <c r="M103" s="56">
        <v>6.2163027231273489</v>
      </c>
      <c r="N103" s="56">
        <v>6.2491137050904593</v>
      </c>
      <c r="O103" s="56">
        <v>6.1905223320057923</v>
      </c>
      <c r="P103" s="56">
        <v>7.0401238345597328</v>
      </c>
      <c r="Q103" s="56"/>
      <c r="R103" s="56"/>
      <c r="S103" s="56"/>
      <c r="T103" s="56"/>
      <c r="U103" s="56"/>
      <c r="V103" s="56"/>
      <c r="W103" s="56"/>
      <c r="X103" s="56"/>
      <c r="Y103" s="56"/>
      <c r="Z103" s="56"/>
    </row>
    <row r="104" spans="2:27">
      <c r="B104" s="242"/>
      <c r="C104" s="56" t="s">
        <v>404</v>
      </c>
      <c r="D104" s="56" t="s">
        <v>405</v>
      </c>
      <c r="E104" s="56"/>
      <c r="F104" s="56">
        <v>0.24829176159103347</v>
      </c>
      <c r="G104" s="1">
        <v>0.36269510456588794</v>
      </c>
      <c r="H104" s="56">
        <v>-1.9216585040664196E-2</v>
      </c>
      <c r="I104" s="56">
        <v>-2.7297176747471005E-2</v>
      </c>
      <c r="J104" s="56">
        <v>-4.372860158895997E-2</v>
      </c>
      <c r="K104" s="56">
        <v>-9.0773124665995492E-2</v>
      </c>
      <c r="L104" s="56">
        <v>-8.6694976076733751E-3</v>
      </c>
      <c r="M104" s="56">
        <v>-3.4806930541028493E-2</v>
      </c>
      <c r="N104" s="56">
        <v>-2.1839647168287717E-2</v>
      </c>
      <c r="O104" s="56">
        <v>-1.7593155317140192E-2</v>
      </c>
      <c r="P104" s="56">
        <v>-4.9245769222332134E-2</v>
      </c>
      <c r="Q104" s="56"/>
      <c r="R104" s="56"/>
      <c r="S104" s="56"/>
      <c r="T104" s="56"/>
      <c r="U104" s="56"/>
      <c r="V104" s="56"/>
      <c r="W104" s="56"/>
      <c r="X104" s="56"/>
      <c r="Y104" s="56"/>
      <c r="Z104" s="56"/>
    </row>
    <row r="105" spans="2:27">
      <c r="B105" s="242"/>
      <c r="C105" s="56"/>
      <c r="D105" s="56" t="s">
        <v>406</v>
      </c>
      <c r="E105" s="56" t="s">
        <v>394</v>
      </c>
      <c r="F105" s="56">
        <v>-2.7916640331451772</v>
      </c>
      <c r="G105" s="1">
        <v>-1.9111015611572082</v>
      </c>
      <c r="H105" s="56">
        <v>36.070258013751001</v>
      </c>
      <c r="I105" s="56">
        <v>25.392632614439261</v>
      </c>
      <c r="J105" s="56">
        <v>15.851117012050578</v>
      </c>
      <c r="K105" s="56">
        <v>7.6360396660401078</v>
      </c>
      <c r="L105" s="56">
        <v>79.952404617591739</v>
      </c>
      <c r="M105" s="56">
        <v>19.914056476278528</v>
      </c>
      <c r="N105" s="56">
        <v>31.738021004589779</v>
      </c>
      <c r="O105" s="56">
        <v>39.398684776268887</v>
      </c>
      <c r="P105" s="56">
        <v>14.075263550672991</v>
      </c>
      <c r="Q105" s="56"/>
      <c r="R105" s="56"/>
      <c r="S105" s="56"/>
      <c r="T105" s="56"/>
      <c r="U105" s="56"/>
      <c r="V105" s="56"/>
      <c r="W105" s="56"/>
      <c r="X105" s="56"/>
      <c r="Y105" s="56"/>
      <c r="Z105" s="56"/>
    </row>
    <row r="106" spans="2:27" ht="20.25" thickBot="1">
      <c r="B106" s="243"/>
      <c r="C106" s="58" t="s">
        <v>407</v>
      </c>
      <c r="D106" s="58" t="s">
        <v>408</v>
      </c>
      <c r="E106" s="58"/>
      <c r="F106" s="58">
        <v>30.228339155625207</v>
      </c>
      <c r="G106" s="20">
        <v>36.246940958040639</v>
      </c>
      <c r="H106" s="58">
        <v>36.670209300235157</v>
      </c>
      <c r="I106" s="58">
        <v>30.660436314858401</v>
      </c>
      <c r="J106" s="58">
        <v>28.448149995144675</v>
      </c>
      <c r="K106" s="58">
        <v>33.360693861526748</v>
      </c>
      <c r="L106" s="58">
        <v>44.430982222470632</v>
      </c>
      <c r="M106" s="58">
        <v>39.510875685444965</v>
      </c>
      <c r="N106" s="58">
        <v>40.323482713556857</v>
      </c>
      <c r="O106" s="58">
        <v>39.16291360077927</v>
      </c>
      <c r="P106" s="58">
        <v>33.317151314646928</v>
      </c>
      <c r="Q106" s="58"/>
      <c r="R106" s="58"/>
      <c r="S106" s="58"/>
      <c r="T106" s="58"/>
      <c r="U106" s="58"/>
      <c r="V106" s="58"/>
      <c r="W106" s="58"/>
      <c r="X106" s="58"/>
      <c r="Y106" s="58"/>
      <c r="Z106" s="58"/>
    </row>
    <row r="107" spans="2:27" ht="20.25" thickTop="1">
      <c r="B107" s="26"/>
      <c r="C107" s="3"/>
      <c r="D107" s="3"/>
      <c r="E107" s="3"/>
      <c r="F107" s="3"/>
      <c r="H107" s="3"/>
      <c r="I107" s="53"/>
      <c r="J107" s="53"/>
      <c r="K107" s="53"/>
      <c r="L107" s="53"/>
      <c r="M107" s="53"/>
      <c r="N107" s="53"/>
      <c r="O107" s="53"/>
      <c r="P107" s="53"/>
      <c r="Q107" s="53"/>
      <c r="R107" s="53"/>
      <c r="S107" s="53"/>
      <c r="T107" s="53"/>
      <c r="U107" s="53"/>
      <c r="V107" s="53"/>
      <c r="W107" s="53"/>
      <c r="X107" s="53"/>
      <c r="Y107" s="53"/>
      <c r="Z107" s="53"/>
      <c r="AA107" s="53"/>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tabColor theme="4" tint="0.59999389629810485"/>
  </sheetPr>
  <dimension ref="A1"/>
  <sheetViews>
    <sheetView workbookViewId="0"/>
  </sheetViews>
  <sheetFormatPr defaultColWidth="8.6640625" defaultRowHeight="19.5"/>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全機諸元</vt:lpstr>
      <vt:lpstr>フライトプラン</vt:lpstr>
      <vt:lpstr>重量分布</vt:lpstr>
      <vt:lpstr>荷重評価</vt:lpstr>
      <vt:lpstr>主翼</vt:lpstr>
      <vt:lpstr>水平尾翼</vt:lpstr>
      <vt:lpstr>垂直尾翼</vt:lpstr>
      <vt:lpstr>カウル</vt:lpstr>
      <vt:lpstr>胴接桁</vt:lpstr>
      <vt:lpstr>主桁</vt:lpstr>
      <vt:lpstr>積層構成</vt:lpstr>
      <vt:lpstr>翼型</vt:lpstr>
      <vt:lpstr>物性値</vt:lpstr>
      <vt:lpstr>簡易計算ツール</vt:lpstr>
      <vt:lpstr>歴代主要諸元</vt:lpstr>
      <vt:lpstr>垂直尾翼（通常配置）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森 隼人</cp:lastModifiedBy>
  <dcterms:created xsi:type="dcterms:W3CDTF">2023-05-20T09:09:36Z</dcterms:created>
  <dcterms:modified xsi:type="dcterms:W3CDTF">2023-07-09T06:24:35Z</dcterms:modified>
</cp:coreProperties>
</file>