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omments4.xml" ContentType="application/vnd.openxmlformats-officedocument.spreadsheetml.comments+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omments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codeName="ThisWorkbook" defaultThemeVersion="166925"/>
  <mc:AlternateContent xmlns:mc="http://schemas.openxmlformats.org/markup-compatibility/2006">
    <mc:Choice Requires="x15">
      <x15ac:absPath xmlns:x15ac="http://schemas.microsoft.com/office/spreadsheetml/2010/11/ac" url="/Users/morihayato/GitHub/QX-design/"/>
    </mc:Choice>
  </mc:AlternateContent>
  <xr:revisionPtr revIDLastSave="0" documentId="13_ncr:1_{39777AF0-975E-F140-A9DE-AE5989243FE1}" xr6:coauthVersionLast="47" xr6:coauthVersionMax="47" xr10:uidLastSave="{00000000-0000-0000-0000-000000000000}"/>
  <bookViews>
    <workbookView xWindow="0" yWindow="500" windowWidth="28640" windowHeight="17500" tabRatio="1000" activeTab="4" xr2:uid="{BFAAB446-3423-2144-9A78-B75F1F696C9D}"/>
  </bookViews>
  <sheets>
    <sheet name="全機諸元" sheetId="11" r:id="rId1"/>
    <sheet name="フライトプラン" sheetId="17" r:id="rId2"/>
    <sheet name="重量分布" sheetId="1" r:id="rId3"/>
    <sheet name="荷重評価" sheetId="7" r:id="rId4"/>
    <sheet name="主翼" sheetId="6" r:id="rId5"/>
    <sheet name="水平尾翼" sheetId="8" r:id="rId6"/>
    <sheet name="垂直尾翼" sheetId="9" r:id="rId7"/>
    <sheet name="カウル" sheetId="10" r:id="rId8"/>
    <sheet name="胴接桁" sheetId="24" r:id="rId9"/>
    <sheet name="主桁" sheetId="21" r:id="rId10"/>
    <sheet name="積層構成" sheetId="15" r:id="rId11"/>
    <sheet name="翼型" sheetId="4" r:id="rId12"/>
    <sheet name="パラメータ" sheetId="2" r:id="rId13"/>
    <sheet name="歴代主要諸元" sheetId="5" r:id="rId14"/>
    <sheet name="垂直尾翼（通常配置）" sheetId="20" r:id="rId15"/>
  </sheets>
  <functionGroups builtInGroupCount="19"/>
  <externalReferences>
    <externalReference r:id="rId16"/>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E49" i="6" l="1"/>
  <c r="BE50" i="6"/>
  <c r="BE51" i="6"/>
  <c r="BE52" i="6"/>
  <c r="BE53" i="6"/>
  <c r="BE54" i="6"/>
  <c r="BE55" i="6"/>
  <c r="BE56" i="6"/>
  <c r="BE57" i="6"/>
  <c r="BE58" i="6"/>
  <c r="BE59" i="6"/>
  <c r="BE60" i="6"/>
  <c r="BE61" i="6"/>
  <c r="BE62" i="6"/>
  <c r="BE63" i="6"/>
  <c r="BE64" i="6"/>
  <c r="BE65" i="6"/>
  <c r="BE66" i="6"/>
  <c r="BE67" i="6"/>
  <c r="BE68" i="6"/>
  <c r="BE69" i="6"/>
  <c r="BE70" i="6"/>
  <c r="BE71" i="6"/>
  <c r="BE72" i="6"/>
  <c r="BE73" i="6"/>
  <c r="BE74" i="6"/>
  <c r="BE75" i="6"/>
  <c r="BE76" i="6"/>
  <c r="BE77" i="6"/>
  <c r="BE78" i="6"/>
  <c r="BE79" i="6"/>
  <c r="BE80" i="6"/>
  <c r="BE81" i="6"/>
  <c r="BE82" i="6"/>
  <c r="BE83" i="6"/>
  <c r="BE84" i="6"/>
  <c r="BE85" i="6"/>
  <c r="BE86" i="6"/>
  <c r="BE87" i="6"/>
  <c r="BE88" i="6"/>
  <c r="BE89" i="6"/>
  <c r="BE90" i="6"/>
  <c r="BE91" i="6"/>
  <c r="BE92" i="6"/>
  <c r="BE93" i="6"/>
  <c r="BE94" i="6"/>
  <c r="BE95" i="6"/>
  <c r="BE96" i="6"/>
  <c r="BE97" i="6"/>
  <c r="BE98" i="6"/>
  <c r="BE99" i="6"/>
  <c r="BE100" i="6"/>
  <c r="BE101" i="6"/>
  <c r="BE102" i="6"/>
  <c r="BE103" i="6"/>
  <c r="BE104" i="6"/>
  <c r="BE105" i="6"/>
  <c r="BE106" i="6"/>
  <c r="BE107" i="6"/>
  <c r="BE44" i="6"/>
  <c r="BE45" i="6"/>
  <c r="BE46" i="6"/>
  <c r="BE47" i="6"/>
  <c r="BE48" i="6"/>
  <c r="AV45" i="6"/>
  <c r="AW45" i="6"/>
  <c r="AV46" i="6"/>
  <c r="AW46" i="6"/>
  <c r="AV47" i="6"/>
  <c r="AW47" i="6"/>
  <c r="AV48" i="6"/>
  <c r="AW48" i="6"/>
  <c r="AV49" i="6"/>
  <c r="AW49" i="6"/>
  <c r="AV50" i="6"/>
  <c r="AW50" i="6"/>
  <c r="AV51" i="6"/>
  <c r="AW51" i="6"/>
  <c r="AV52" i="6"/>
  <c r="AW52" i="6"/>
  <c r="AV53" i="6"/>
  <c r="AW53" i="6"/>
  <c r="AV54" i="6"/>
  <c r="AW54" i="6"/>
  <c r="AV55" i="6"/>
  <c r="AW55" i="6"/>
  <c r="AV56" i="6"/>
  <c r="AW56" i="6"/>
  <c r="AV57" i="6"/>
  <c r="AW57" i="6"/>
  <c r="AV58" i="6"/>
  <c r="AW58" i="6"/>
  <c r="AV59" i="6"/>
  <c r="AW59" i="6"/>
  <c r="AV60" i="6"/>
  <c r="AW60" i="6"/>
  <c r="AV61" i="6"/>
  <c r="AW61" i="6"/>
  <c r="AV62" i="6"/>
  <c r="AW62" i="6"/>
  <c r="AV63" i="6"/>
  <c r="AW63" i="6"/>
  <c r="AV64" i="6"/>
  <c r="AW64" i="6"/>
  <c r="AV65" i="6"/>
  <c r="AW65" i="6"/>
  <c r="AV66" i="6"/>
  <c r="AW66" i="6"/>
  <c r="AV67" i="6"/>
  <c r="AW67" i="6"/>
  <c r="AV68" i="6"/>
  <c r="AW68" i="6"/>
  <c r="AV69" i="6"/>
  <c r="AW69" i="6"/>
  <c r="AV70" i="6"/>
  <c r="AW70" i="6"/>
  <c r="AV71" i="6"/>
  <c r="AW71" i="6"/>
  <c r="AV72" i="6"/>
  <c r="AW72" i="6"/>
  <c r="AV73" i="6"/>
  <c r="AW73" i="6"/>
  <c r="AV74" i="6"/>
  <c r="AW74" i="6"/>
  <c r="AV75" i="6"/>
  <c r="AW75" i="6"/>
  <c r="AV76" i="6"/>
  <c r="AW76" i="6"/>
  <c r="AV77" i="6"/>
  <c r="AW77" i="6"/>
  <c r="AV78" i="6"/>
  <c r="AW78" i="6"/>
  <c r="AV79" i="6"/>
  <c r="AW79" i="6"/>
  <c r="AV80" i="6"/>
  <c r="AW80" i="6"/>
  <c r="AV81" i="6"/>
  <c r="AW81" i="6"/>
  <c r="AV82" i="6"/>
  <c r="AW82" i="6"/>
  <c r="AV83" i="6"/>
  <c r="AW83" i="6"/>
  <c r="AV84" i="6"/>
  <c r="AW84" i="6"/>
  <c r="AV85" i="6"/>
  <c r="AW85" i="6"/>
  <c r="AV86" i="6"/>
  <c r="AW86" i="6"/>
  <c r="AV87" i="6"/>
  <c r="AW87" i="6"/>
  <c r="AV88" i="6"/>
  <c r="AW88" i="6"/>
  <c r="AV89" i="6"/>
  <c r="AW89" i="6"/>
  <c r="AV90" i="6"/>
  <c r="AW90" i="6"/>
  <c r="AV91" i="6"/>
  <c r="AW91" i="6"/>
  <c r="AV92" i="6"/>
  <c r="AW92" i="6"/>
  <c r="AV93" i="6"/>
  <c r="AW93" i="6"/>
  <c r="AV94" i="6"/>
  <c r="AW94" i="6"/>
  <c r="AV95" i="6"/>
  <c r="AW95" i="6"/>
  <c r="AV96" i="6"/>
  <c r="AW96" i="6"/>
  <c r="AV97" i="6"/>
  <c r="AW97" i="6"/>
  <c r="AV98" i="6"/>
  <c r="AW98" i="6"/>
  <c r="AV99" i="6"/>
  <c r="AW99" i="6"/>
  <c r="AV100" i="6"/>
  <c r="AW100" i="6"/>
  <c r="AV101" i="6"/>
  <c r="AW101" i="6"/>
  <c r="AV102" i="6"/>
  <c r="AW102" i="6"/>
  <c r="AV103" i="6"/>
  <c r="AW103" i="6"/>
  <c r="AV104" i="6"/>
  <c r="AW104" i="6"/>
  <c r="AV105" i="6"/>
  <c r="AW105" i="6"/>
  <c r="AV106" i="6"/>
  <c r="AW106" i="6"/>
  <c r="AV107" i="6"/>
  <c r="AW107" i="6"/>
  <c r="AW44" i="6"/>
  <c r="AV44" i="6"/>
  <c r="AU53" i="6"/>
  <c r="AU54" i="6"/>
  <c r="AU55" i="6"/>
  <c r="AU56" i="6"/>
  <c r="AU57" i="6"/>
  <c r="AU58" i="6"/>
  <c r="AU59" i="6"/>
  <c r="AU60" i="6"/>
  <c r="AU61" i="6"/>
  <c r="AU62" i="6"/>
  <c r="AU63" i="6"/>
  <c r="AU64" i="6"/>
  <c r="AU65" i="6"/>
  <c r="AU66" i="6"/>
  <c r="AU67" i="6"/>
  <c r="AU68" i="6"/>
  <c r="AU69" i="6"/>
  <c r="AU70" i="6"/>
  <c r="AU71" i="6"/>
  <c r="AU72" i="6"/>
  <c r="AU73" i="6"/>
  <c r="AU74" i="6"/>
  <c r="AU75" i="6"/>
  <c r="AU76" i="6"/>
  <c r="AU77" i="6"/>
  <c r="AU78" i="6"/>
  <c r="AU79" i="6"/>
  <c r="AU80" i="6"/>
  <c r="AU81" i="6"/>
  <c r="AU82" i="6"/>
  <c r="AU83" i="6"/>
  <c r="AU84" i="6"/>
  <c r="AU85" i="6"/>
  <c r="AU86" i="6"/>
  <c r="AU87" i="6"/>
  <c r="AU88" i="6"/>
  <c r="AU89" i="6"/>
  <c r="AY89" i="6" s="1"/>
  <c r="AU90" i="6"/>
  <c r="AU91" i="6"/>
  <c r="AU92" i="6"/>
  <c r="AU93" i="6"/>
  <c r="AU94" i="6"/>
  <c r="AU95" i="6"/>
  <c r="AU96" i="6"/>
  <c r="AU97" i="6"/>
  <c r="AY97" i="6" s="1"/>
  <c r="AU98" i="6"/>
  <c r="AU99" i="6"/>
  <c r="AU100" i="6"/>
  <c r="AU101" i="6"/>
  <c r="AU102" i="6"/>
  <c r="AU103" i="6"/>
  <c r="AU104" i="6"/>
  <c r="AU105" i="6"/>
  <c r="AY105" i="6" s="1"/>
  <c r="AU106" i="6"/>
  <c r="AU107" i="6"/>
  <c r="AU45" i="6"/>
  <c r="AU46" i="6"/>
  <c r="AU47" i="6"/>
  <c r="AY47" i="6" s="1"/>
  <c r="AU48" i="6"/>
  <c r="AU49" i="6"/>
  <c r="AU50" i="6"/>
  <c r="AY50" i="6" s="1"/>
  <c r="AU51" i="6"/>
  <c r="AU52" i="6"/>
  <c r="AY52" i="6" s="1"/>
  <c r="AU44" i="6"/>
  <c r="AY44" i="6" s="1"/>
  <c r="AS46" i="6"/>
  <c r="AT46" i="6"/>
  <c r="AS47" i="6"/>
  <c r="AT47" i="6"/>
  <c r="AS48" i="6"/>
  <c r="AT48" i="6"/>
  <c r="AS49" i="6"/>
  <c r="AT49" i="6"/>
  <c r="AS50" i="6"/>
  <c r="AT50" i="6"/>
  <c r="AS51" i="6"/>
  <c r="AT51" i="6"/>
  <c r="AS52" i="6"/>
  <c r="AT52" i="6"/>
  <c r="AS53" i="6"/>
  <c r="AT53" i="6"/>
  <c r="AS54" i="6"/>
  <c r="AT54" i="6"/>
  <c r="AS55" i="6"/>
  <c r="AT55" i="6"/>
  <c r="AS56" i="6"/>
  <c r="AT56" i="6"/>
  <c r="AS57" i="6"/>
  <c r="AT57" i="6"/>
  <c r="AS58" i="6"/>
  <c r="AT58" i="6"/>
  <c r="AS59" i="6"/>
  <c r="AT59" i="6"/>
  <c r="AS60" i="6"/>
  <c r="AT60" i="6"/>
  <c r="AS61" i="6"/>
  <c r="AT61" i="6"/>
  <c r="AS62" i="6"/>
  <c r="AT62" i="6"/>
  <c r="AS63" i="6"/>
  <c r="AT63" i="6"/>
  <c r="AS64" i="6"/>
  <c r="AT64" i="6"/>
  <c r="AS65" i="6"/>
  <c r="AT65" i="6"/>
  <c r="AS66" i="6"/>
  <c r="AT66" i="6"/>
  <c r="AS67" i="6"/>
  <c r="AT67" i="6"/>
  <c r="AS68" i="6"/>
  <c r="AT68" i="6"/>
  <c r="AS69" i="6"/>
  <c r="AT69" i="6"/>
  <c r="AS70" i="6"/>
  <c r="AT70" i="6"/>
  <c r="AS71" i="6"/>
  <c r="AT71" i="6"/>
  <c r="AS72" i="6"/>
  <c r="AT72" i="6"/>
  <c r="AS73" i="6"/>
  <c r="AT73" i="6"/>
  <c r="AS74" i="6"/>
  <c r="AT74" i="6"/>
  <c r="AS75" i="6"/>
  <c r="AT75" i="6"/>
  <c r="AS76" i="6"/>
  <c r="AT76" i="6"/>
  <c r="AS77" i="6"/>
  <c r="AT77" i="6"/>
  <c r="AS78" i="6"/>
  <c r="AT78" i="6"/>
  <c r="AS79" i="6"/>
  <c r="AT79" i="6"/>
  <c r="AS80" i="6"/>
  <c r="AT80" i="6"/>
  <c r="AS81" i="6"/>
  <c r="AT81" i="6"/>
  <c r="AS82" i="6"/>
  <c r="AT82" i="6"/>
  <c r="AS83" i="6"/>
  <c r="AT83" i="6"/>
  <c r="AS84" i="6"/>
  <c r="AT84" i="6"/>
  <c r="AS85" i="6"/>
  <c r="AT85" i="6"/>
  <c r="AS86" i="6"/>
  <c r="AT86" i="6"/>
  <c r="AS87" i="6"/>
  <c r="AT87" i="6"/>
  <c r="AS88" i="6"/>
  <c r="AT88" i="6"/>
  <c r="AS89" i="6"/>
  <c r="AT89" i="6"/>
  <c r="AS90" i="6"/>
  <c r="AT90" i="6"/>
  <c r="AS91" i="6"/>
  <c r="AT91" i="6"/>
  <c r="AS92" i="6"/>
  <c r="AT92" i="6"/>
  <c r="AS93" i="6"/>
  <c r="AT93" i="6"/>
  <c r="AS94" i="6"/>
  <c r="AT94" i="6"/>
  <c r="AS95" i="6"/>
  <c r="AT95" i="6"/>
  <c r="AS96" i="6"/>
  <c r="AT96" i="6"/>
  <c r="AS97" i="6"/>
  <c r="AT97" i="6"/>
  <c r="AS98" i="6"/>
  <c r="AT98" i="6"/>
  <c r="AS99" i="6"/>
  <c r="AT99" i="6"/>
  <c r="AS100" i="6"/>
  <c r="AT100" i="6"/>
  <c r="AS101" i="6"/>
  <c r="AT101" i="6"/>
  <c r="AS102" i="6"/>
  <c r="AT102" i="6"/>
  <c r="AS103" i="6"/>
  <c r="AT103" i="6"/>
  <c r="AS104" i="6"/>
  <c r="AT104" i="6"/>
  <c r="AS105" i="6"/>
  <c r="AT105" i="6"/>
  <c r="AS106" i="6"/>
  <c r="AT106" i="6"/>
  <c r="AS107" i="6"/>
  <c r="AT107" i="6"/>
  <c r="AS45" i="6"/>
  <c r="AT45" i="6"/>
  <c r="AT44" i="6"/>
  <c r="AS44" i="6"/>
  <c r="AX38" i="6"/>
  <c r="AP7" i="21"/>
  <c r="AP8" i="21"/>
  <c r="AP9" i="21"/>
  <c r="AP10" i="21"/>
  <c r="AP11" i="21"/>
  <c r="AP12" i="21"/>
  <c r="AP13" i="21"/>
  <c r="AP14" i="21"/>
  <c r="AP15" i="21"/>
  <c r="AP16" i="21"/>
  <c r="AP17" i="21"/>
  <c r="AP18" i="21"/>
  <c r="AP19" i="21"/>
  <c r="AP20" i="21"/>
  <c r="AP21" i="21"/>
  <c r="AP22" i="21"/>
  <c r="AP23" i="21"/>
  <c r="AP24" i="21"/>
  <c r="AP25" i="21"/>
  <c r="AP26" i="21"/>
  <c r="AP27" i="21"/>
  <c r="AP28" i="21"/>
  <c r="AP29" i="21"/>
  <c r="AP30" i="21"/>
  <c r="AP31" i="21"/>
  <c r="AP32" i="21"/>
  <c r="AP33" i="21"/>
  <c r="AP34" i="21"/>
  <c r="AP35" i="21"/>
  <c r="AP36" i="21"/>
  <c r="AP37" i="21"/>
  <c r="AP38" i="21"/>
  <c r="AP39" i="21"/>
  <c r="AP40" i="21"/>
  <c r="AP41" i="21"/>
  <c r="AP42" i="21"/>
  <c r="AP43" i="21"/>
  <c r="AP44" i="21"/>
  <c r="AP45" i="21"/>
  <c r="AP46" i="21"/>
  <c r="AP47" i="21"/>
  <c r="AP48" i="21"/>
  <c r="AP49" i="21"/>
  <c r="AP50" i="21"/>
  <c r="AP51" i="21"/>
  <c r="AP52" i="21"/>
  <c r="AP53" i="21"/>
  <c r="AP54" i="21"/>
  <c r="AP55" i="21"/>
  <c r="AP56" i="21"/>
  <c r="AP57" i="21"/>
  <c r="AP58" i="21"/>
  <c r="AP59" i="21"/>
  <c r="AP60" i="21"/>
  <c r="AP61" i="21"/>
  <c r="AP62" i="21"/>
  <c r="AP63" i="21"/>
  <c r="AP64" i="21"/>
  <c r="AP65" i="21"/>
  <c r="AP66" i="21"/>
  <c r="AP67" i="21"/>
  <c r="AP6" i="21"/>
  <c r="BF106" i="6"/>
  <c r="BF107" i="6"/>
  <c r="I45" i="6"/>
  <c r="J45" i="6"/>
  <c r="I46" i="6"/>
  <c r="J46" i="6"/>
  <c r="I47" i="6"/>
  <c r="J47" i="6"/>
  <c r="I48" i="6"/>
  <c r="J48" i="6"/>
  <c r="I49" i="6"/>
  <c r="J49" i="6"/>
  <c r="I50" i="6"/>
  <c r="J50" i="6"/>
  <c r="I51" i="6"/>
  <c r="J51" i="6"/>
  <c r="I52" i="6"/>
  <c r="J52" i="6"/>
  <c r="I53" i="6"/>
  <c r="J53" i="6"/>
  <c r="I54" i="6"/>
  <c r="J54" i="6"/>
  <c r="I55" i="6"/>
  <c r="J55" i="6"/>
  <c r="I56" i="6"/>
  <c r="J56" i="6"/>
  <c r="I57" i="6"/>
  <c r="J57" i="6"/>
  <c r="I58" i="6"/>
  <c r="J58" i="6"/>
  <c r="I59" i="6"/>
  <c r="J59" i="6"/>
  <c r="I60" i="6"/>
  <c r="J60" i="6"/>
  <c r="I61" i="6"/>
  <c r="J61" i="6"/>
  <c r="I62" i="6"/>
  <c r="J62" i="6"/>
  <c r="I63" i="6"/>
  <c r="J63" i="6"/>
  <c r="I64" i="6"/>
  <c r="J64" i="6"/>
  <c r="I65" i="6"/>
  <c r="J65" i="6"/>
  <c r="I66" i="6"/>
  <c r="J66" i="6"/>
  <c r="I67" i="6"/>
  <c r="J67" i="6"/>
  <c r="I68" i="6"/>
  <c r="J68" i="6"/>
  <c r="I69" i="6"/>
  <c r="J69" i="6"/>
  <c r="I70" i="6"/>
  <c r="J70" i="6"/>
  <c r="I71" i="6"/>
  <c r="J71" i="6"/>
  <c r="I72" i="6"/>
  <c r="J72" i="6"/>
  <c r="I73" i="6"/>
  <c r="J73" i="6"/>
  <c r="I74" i="6"/>
  <c r="J74" i="6"/>
  <c r="I75" i="6"/>
  <c r="J75" i="6"/>
  <c r="I76" i="6"/>
  <c r="J76" i="6"/>
  <c r="I77" i="6"/>
  <c r="J77" i="6"/>
  <c r="I78" i="6"/>
  <c r="J78" i="6"/>
  <c r="I79" i="6"/>
  <c r="J79" i="6"/>
  <c r="I80" i="6"/>
  <c r="J80" i="6"/>
  <c r="I81" i="6"/>
  <c r="J81" i="6"/>
  <c r="I82" i="6"/>
  <c r="J82" i="6"/>
  <c r="I83" i="6"/>
  <c r="J83" i="6"/>
  <c r="I84" i="6"/>
  <c r="J84" i="6"/>
  <c r="I85" i="6"/>
  <c r="J85" i="6"/>
  <c r="I86" i="6"/>
  <c r="J86" i="6"/>
  <c r="I87" i="6"/>
  <c r="J87" i="6"/>
  <c r="I88" i="6"/>
  <c r="J88" i="6"/>
  <c r="I89" i="6"/>
  <c r="J89" i="6"/>
  <c r="I90" i="6"/>
  <c r="J90" i="6"/>
  <c r="I91" i="6"/>
  <c r="J91" i="6"/>
  <c r="I92" i="6"/>
  <c r="J92" i="6"/>
  <c r="I93" i="6"/>
  <c r="J93" i="6"/>
  <c r="I94" i="6"/>
  <c r="J94" i="6"/>
  <c r="I95" i="6"/>
  <c r="J95" i="6"/>
  <c r="I96" i="6"/>
  <c r="J96" i="6"/>
  <c r="I97" i="6"/>
  <c r="J97" i="6"/>
  <c r="I98" i="6"/>
  <c r="J98" i="6"/>
  <c r="I99" i="6"/>
  <c r="J99" i="6"/>
  <c r="I100" i="6"/>
  <c r="J100" i="6"/>
  <c r="I101" i="6"/>
  <c r="J101" i="6"/>
  <c r="I102" i="6"/>
  <c r="J102" i="6"/>
  <c r="I103" i="6"/>
  <c r="J103" i="6"/>
  <c r="I104" i="6"/>
  <c r="J104" i="6"/>
  <c r="J44" i="6"/>
  <c r="I44" i="6"/>
  <c r="C13" i="21"/>
  <c r="C12" i="21"/>
  <c r="C10" i="21"/>
  <c r="C8" i="21"/>
  <c r="AA6" i="21"/>
  <c r="AN66" i="21"/>
  <c r="AO66" i="21"/>
  <c r="C45" i="6"/>
  <c r="AA7" i="21" s="1"/>
  <c r="E44" i="6"/>
  <c r="F44" i="6"/>
  <c r="AC44" i="6"/>
  <c r="AE44" i="6"/>
  <c r="AL44" i="6"/>
  <c r="AX44" i="6"/>
  <c r="AZ44" i="6"/>
  <c r="BB44" i="6"/>
  <c r="BC44" i="6"/>
  <c r="BD44" i="6"/>
  <c r="BK44" i="6"/>
  <c r="C14" i="21"/>
  <c r="BK46" i="6"/>
  <c r="BK47" i="6"/>
  <c r="BK48" i="6"/>
  <c r="BK49" i="6"/>
  <c r="BK50" i="6"/>
  <c r="BK51" i="6"/>
  <c r="BK52" i="6"/>
  <c r="BK53" i="6"/>
  <c r="BK54" i="6"/>
  <c r="BK55" i="6"/>
  <c r="BK56" i="6"/>
  <c r="BK57" i="6"/>
  <c r="BK58" i="6"/>
  <c r="BK59" i="6"/>
  <c r="BK60" i="6"/>
  <c r="BK61" i="6"/>
  <c r="BK62" i="6"/>
  <c r="BK63" i="6"/>
  <c r="BK64" i="6"/>
  <c r="BK65" i="6"/>
  <c r="BK66" i="6"/>
  <c r="BK67" i="6"/>
  <c r="BK68" i="6"/>
  <c r="BK69" i="6"/>
  <c r="BK70" i="6"/>
  <c r="BK71" i="6"/>
  <c r="BK72" i="6"/>
  <c r="BK73" i="6"/>
  <c r="BK74" i="6"/>
  <c r="BK75" i="6"/>
  <c r="BK76" i="6"/>
  <c r="BK77" i="6"/>
  <c r="BK78" i="6"/>
  <c r="BK79" i="6"/>
  <c r="BK80" i="6"/>
  <c r="BK81" i="6"/>
  <c r="BK82" i="6"/>
  <c r="BK83" i="6"/>
  <c r="BK84" i="6"/>
  <c r="BK85" i="6"/>
  <c r="BK86" i="6"/>
  <c r="BK87" i="6"/>
  <c r="BK88" i="6"/>
  <c r="BK89" i="6"/>
  <c r="BK90" i="6"/>
  <c r="BK91" i="6"/>
  <c r="BK92" i="6"/>
  <c r="BK93" i="6"/>
  <c r="BK94" i="6"/>
  <c r="BK95" i="6"/>
  <c r="BK96" i="6"/>
  <c r="BK97" i="6"/>
  <c r="BK98" i="6"/>
  <c r="BK99" i="6"/>
  <c r="BK100" i="6"/>
  <c r="BK101" i="6"/>
  <c r="BK102" i="6"/>
  <c r="BK103" i="6"/>
  <c r="BK104" i="6"/>
  <c r="BK105" i="6"/>
  <c r="BK106" i="6"/>
  <c r="BK107" i="6"/>
  <c r="BK45" i="6"/>
  <c r="AX46" i="6"/>
  <c r="AY46" i="6"/>
  <c r="AZ46" i="6"/>
  <c r="BB46" i="6"/>
  <c r="BC46" i="6"/>
  <c r="BD46" i="6"/>
  <c r="AX47" i="6"/>
  <c r="AZ47" i="6"/>
  <c r="BB47" i="6"/>
  <c r="BC47" i="6"/>
  <c r="BD47" i="6"/>
  <c r="AX48" i="6"/>
  <c r="AY48" i="6"/>
  <c r="AZ48" i="6"/>
  <c r="BB48" i="6"/>
  <c r="BC48" i="6"/>
  <c r="BD48" i="6"/>
  <c r="AX49" i="6"/>
  <c r="AY49" i="6"/>
  <c r="AZ49" i="6"/>
  <c r="BB49" i="6"/>
  <c r="BC49" i="6"/>
  <c r="BD49" i="6"/>
  <c r="AX50" i="6"/>
  <c r="AZ50" i="6"/>
  <c r="BB50" i="6"/>
  <c r="BC50" i="6"/>
  <c r="BD50" i="6"/>
  <c r="AX51" i="6"/>
  <c r="AY51" i="6"/>
  <c r="AZ51" i="6"/>
  <c r="BB51" i="6"/>
  <c r="BC51" i="6"/>
  <c r="BD51" i="6"/>
  <c r="AX52" i="6"/>
  <c r="AZ52" i="6"/>
  <c r="BB52" i="6"/>
  <c r="BC52" i="6"/>
  <c r="BD52" i="6"/>
  <c r="AX53" i="6"/>
  <c r="AY53" i="6"/>
  <c r="AZ53" i="6"/>
  <c r="BB53" i="6"/>
  <c r="BC53" i="6"/>
  <c r="BD53" i="6"/>
  <c r="AX54" i="6"/>
  <c r="AY54" i="6"/>
  <c r="AZ54" i="6"/>
  <c r="BB54" i="6"/>
  <c r="BC54" i="6"/>
  <c r="BD54" i="6"/>
  <c r="AX55" i="6"/>
  <c r="AY55" i="6"/>
  <c r="AZ55" i="6"/>
  <c r="BB55" i="6"/>
  <c r="BC55" i="6"/>
  <c r="BD55" i="6"/>
  <c r="AX56" i="6"/>
  <c r="AY56" i="6"/>
  <c r="AZ56" i="6"/>
  <c r="BB56" i="6"/>
  <c r="BC56" i="6"/>
  <c r="BD56" i="6"/>
  <c r="AX57" i="6"/>
  <c r="AY57" i="6"/>
  <c r="AZ57" i="6"/>
  <c r="BB57" i="6"/>
  <c r="BC57" i="6"/>
  <c r="BD57" i="6"/>
  <c r="AX58" i="6"/>
  <c r="AY58" i="6"/>
  <c r="AZ58" i="6"/>
  <c r="BB58" i="6"/>
  <c r="BC58" i="6"/>
  <c r="BD58" i="6"/>
  <c r="AX59" i="6"/>
  <c r="AY59" i="6"/>
  <c r="AZ59" i="6"/>
  <c r="BB59" i="6"/>
  <c r="BC59" i="6"/>
  <c r="BD59" i="6"/>
  <c r="AX60" i="6"/>
  <c r="AY60" i="6"/>
  <c r="AZ60" i="6"/>
  <c r="BB60" i="6"/>
  <c r="BC60" i="6"/>
  <c r="BD60" i="6"/>
  <c r="AX61" i="6"/>
  <c r="AY61" i="6"/>
  <c r="AZ61" i="6"/>
  <c r="BB61" i="6"/>
  <c r="BC61" i="6"/>
  <c r="BD61" i="6"/>
  <c r="AX62" i="6"/>
  <c r="AY62" i="6"/>
  <c r="AZ62" i="6"/>
  <c r="BB62" i="6"/>
  <c r="BC62" i="6"/>
  <c r="BD62" i="6"/>
  <c r="AX63" i="6"/>
  <c r="AY63" i="6"/>
  <c r="AZ63" i="6"/>
  <c r="BB63" i="6"/>
  <c r="BC63" i="6"/>
  <c r="BD63" i="6"/>
  <c r="AX64" i="6"/>
  <c r="AY64" i="6"/>
  <c r="AZ64" i="6"/>
  <c r="BB64" i="6"/>
  <c r="BC64" i="6"/>
  <c r="BD64" i="6"/>
  <c r="AX65" i="6"/>
  <c r="AY65" i="6"/>
  <c r="AZ65" i="6"/>
  <c r="BB65" i="6"/>
  <c r="BC65" i="6"/>
  <c r="BD65" i="6"/>
  <c r="AX66" i="6"/>
  <c r="AY66" i="6"/>
  <c r="AZ66" i="6"/>
  <c r="BB66" i="6"/>
  <c r="BC66" i="6"/>
  <c r="BD66" i="6"/>
  <c r="AX67" i="6"/>
  <c r="AY67" i="6"/>
  <c r="AZ67" i="6"/>
  <c r="BB67" i="6"/>
  <c r="BC67" i="6"/>
  <c r="BD67" i="6"/>
  <c r="AX68" i="6"/>
  <c r="AY68" i="6"/>
  <c r="AZ68" i="6"/>
  <c r="BB68" i="6"/>
  <c r="BC68" i="6"/>
  <c r="BD68" i="6"/>
  <c r="AX69" i="6"/>
  <c r="AY69" i="6"/>
  <c r="AZ69" i="6"/>
  <c r="BB69" i="6"/>
  <c r="BC69" i="6"/>
  <c r="BD69" i="6"/>
  <c r="AX70" i="6"/>
  <c r="AY70" i="6"/>
  <c r="AZ70" i="6"/>
  <c r="BB70" i="6"/>
  <c r="BC70" i="6"/>
  <c r="BD70" i="6"/>
  <c r="AX71" i="6"/>
  <c r="AY71" i="6"/>
  <c r="AZ71" i="6"/>
  <c r="BB71" i="6"/>
  <c r="BC71" i="6"/>
  <c r="BD71" i="6"/>
  <c r="AX72" i="6"/>
  <c r="AY72" i="6"/>
  <c r="AZ72" i="6"/>
  <c r="BB72" i="6"/>
  <c r="BC72" i="6"/>
  <c r="BD72" i="6"/>
  <c r="AX73" i="6"/>
  <c r="AY73" i="6"/>
  <c r="AZ73" i="6"/>
  <c r="BB73" i="6"/>
  <c r="BC73" i="6"/>
  <c r="BD73" i="6"/>
  <c r="AX74" i="6"/>
  <c r="AY74" i="6"/>
  <c r="AZ74" i="6"/>
  <c r="BB74" i="6"/>
  <c r="BC74" i="6"/>
  <c r="BD74" i="6"/>
  <c r="AX75" i="6"/>
  <c r="AY75" i="6"/>
  <c r="AZ75" i="6"/>
  <c r="BB75" i="6"/>
  <c r="BC75" i="6"/>
  <c r="BD75" i="6"/>
  <c r="AX76" i="6"/>
  <c r="AY76" i="6"/>
  <c r="AZ76" i="6"/>
  <c r="BB76" i="6"/>
  <c r="BC76" i="6"/>
  <c r="BD76" i="6"/>
  <c r="AX77" i="6"/>
  <c r="AY77" i="6"/>
  <c r="AZ77" i="6"/>
  <c r="BB77" i="6"/>
  <c r="BC77" i="6"/>
  <c r="BD77" i="6"/>
  <c r="AX78" i="6"/>
  <c r="AY78" i="6"/>
  <c r="AZ78" i="6"/>
  <c r="BB78" i="6"/>
  <c r="BC78" i="6"/>
  <c r="BD78" i="6"/>
  <c r="AX79" i="6"/>
  <c r="AY79" i="6"/>
  <c r="AZ79" i="6"/>
  <c r="BB79" i="6"/>
  <c r="BC79" i="6"/>
  <c r="BD79" i="6"/>
  <c r="AX80" i="6"/>
  <c r="AY80" i="6"/>
  <c r="AZ80" i="6"/>
  <c r="BB80" i="6"/>
  <c r="BC80" i="6"/>
  <c r="BD80" i="6"/>
  <c r="AX81" i="6"/>
  <c r="AY81" i="6"/>
  <c r="AZ81" i="6"/>
  <c r="BB81" i="6"/>
  <c r="BC81" i="6"/>
  <c r="BD81" i="6"/>
  <c r="AX82" i="6"/>
  <c r="AY82" i="6"/>
  <c r="AZ82" i="6"/>
  <c r="BB82" i="6"/>
  <c r="BC82" i="6"/>
  <c r="BD82" i="6"/>
  <c r="AX83" i="6"/>
  <c r="AY83" i="6"/>
  <c r="AZ83" i="6"/>
  <c r="BB83" i="6"/>
  <c r="BC83" i="6"/>
  <c r="BD83" i="6"/>
  <c r="AX84" i="6"/>
  <c r="AY84" i="6"/>
  <c r="AZ84" i="6"/>
  <c r="BB84" i="6"/>
  <c r="BC84" i="6"/>
  <c r="BD84" i="6"/>
  <c r="AX85" i="6"/>
  <c r="AY85" i="6"/>
  <c r="AZ85" i="6"/>
  <c r="BB85" i="6"/>
  <c r="BC85" i="6"/>
  <c r="BD85" i="6"/>
  <c r="AX86" i="6"/>
  <c r="AY86" i="6"/>
  <c r="AZ86" i="6"/>
  <c r="BB86" i="6"/>
  <c r="BC86" i="6"/>
  <c r="BD86" i="6"/>
  <c r="AX87" i="6"/>
  <c r="AY87" i="6"/>
  <c r="AZ87" i="6"/>
  <c r="BB87" i="6"/>
  <c r="BC87" i="6"/>
  <c r="BD87" i="6"/>
  <c r="AX88" i="6"/>
  <c r="AY88" i="6"/>
  <c r="AZ88" i="6"/>
  <c r="BB88" i="6"/>
  <c r="BC88" i="6"/>
  <c r="BD88" i="6"/>
  <c r="AX89" i="6"/>
  <c r="AZ89" i="6"/>
  <c r="BB89" i="6"/>
  <c r="BC89" i="6"/>
  <c r="BD89" i="6"/>
  <c r="AX90" i="6"/>
  <c r="AY90" i="6"/>
  <c r="AZ90" i="6"/>
  <c r="BB90" i="6"/>
  <c r="BC90" i="6"/>
  <c r="BD90" i="6"/>
  <c r="AX91" i="6"/>
  <c r="AY91" i="6"/>
  <c r="AZ91" i="6"/>
  <c r="BB91" i="6"/>
  <c r="BC91" i="6"/>
  <c r="BD91" i="6"/>
  <c r="AX92" i="6"/>
  <c r="AY92" i="6"/>
  <c r="AZ92" i="6"/>
  <c r="BB92" i="6"/>
  <c r="BC92" i="6"/>
  <c r="BD92" i="6"/>
  <c r="AX93" i="6"/>
  <c r="AY93" i="6"/>
  <c r="AZ93" i="6"/>
  <c r="BB93" i="6"/>
  <c r="BC93" i="6"/>
  <c r="BD93" i="6"/>
  <c r="AX94" i="6"/>
  <c r="AY94" i="6"/>
  <c r="AZ94" i="6"/>
  <c r="BB94" i="6"/>
  <c r="BC94" i="6"/>
  <c r="BD94" i="6"/>
  <c r="AX95" i="6"/>
  <c r="AY95" i="6"/>
  <c r="AZ95" i="6"/>
  <c r="BB95" i="6"/>
  <c r="BC95" i="6"/>
  <c r="BD95" i="6"/>
  <c r="AX96" i="6"/>
  <c r="AY96" i="6"/>
  <c r="AZ96" i="6"/>
  <c r="BB96" i="6"/>
  <c r="BC96" i="6"/>
  <c r="BD96" i="6"/>
  <c r="AX97" i="6"/>
  <c r="AZ97" i="6"/>
  <c r="BB97" i="6"/>
  <c r="BC97" i="6"/>
  <c r="BD97" i="6"/>
  <c r="AX98" i="6"/>
  <c r="AY98" i="6"/>
  <c r="AZ98" i="6"/>
  <c r="BB98" i="6"/>
  <c r="BC98" i="6"/>
  <c r="BD98" i="6"/>
  <c r="AX99" i="6"/>
  <c r="AY99" i="6"/>
  <c r="AZ99" i="6"/>
  <c r="BB99" i="6"/>
  <c r="BC99" i="6"/>
  <c r="BD99" i="6"/>
  <c r="AX100" i="6"/>
  <c r="AY100" i="6"/>
  <c r="AZ100" i="6"/>
  <c r="BB100" i="6"/>
  <c r="BC100" i="6"/>
  <c r="BD100" i="6"/>
  <c r="AX101" i="6"/>
  <c r="AY101" i="6"/>
  <c r="AZ101" i="6"/>
  <c r="BB101" i="6"/>
  <c r="BC101" i="6"/>
  <c r="BD101" i="6"/>
  <c r="AX102" i="6"/>
  <c r="AY102" i="6"/>
  <c r="AZ102" i="6"/>
  <c r="BB102" i="6"/>
  <c r="BC102" i="6"/>
  <c r="BD102" i="6"/>
  <c r="AX103" i="6"/>
  <c r="AY103" i="6"/>
  <c r="AZ103" i="6"/>
  <c r="BB103" i="6"/>
  <c r="BC103" i="6"/>
  <c r="BD103" i="6"/>
  <c r="AX104" i="6"/>
  <c r="AY104" i="6"/>
  <c r="AZ104" i="6"/>
  <c r="BB104" i="6"/>
  <c r="BC104" i="6"/>
  <c r="BD104" i="6"/>
  <c r="AX105" i="6"/>
  <c r="AZ105" i="6"/>
  <c r="BB105" i="6"/>
  <c r="BC105" i="6"/>
  <c r="BD105" i="6"/>
  <c r="AX106" i="6"/>
  <c r="AY106" i="6"/>
  <c r="AZ106" i="6"/>
  <c r="BB106" i="6"/>
  <c r="BC106" i="6"/>
  <c r="BD106" i="6"/>
  <c r="AX107" i="6"/>
  <c r="AY107" i="6"/>
  <c r="AZ107" i="6"/>
  <c r="BB107" i="6"/>
  <c r="BC107" i="6"/>
  <c r="BD107" i="6"/>
  <c r="BD45" i="6"/>
  <c r="BC45" i="6"/>
  <c r="BB45" i="6"/>
  <c r="AX45" i="6"/>
  <c r="AY45" i="6"/>
  <c r="AZ45" i="6"/>
  <c r="Y6" i="6"/>
  <c r="BA46" i="6" s="1"/>
  <c r="BA44" i="6" l="1"/>
  <c r="AF44" i="6"/>
  <c r="AD44" i="6" s="1"/>
  <c r="BA45" i="6"/>
  <c r="BA107" i="6"/>
  <c r="BG107" i="6" s="1"/>
  <c r="BH107" i="6" s="1"/>
  <c r="BA106" i="6"/>
  <c r="BG106" i="6" s="1"/>
  <c r="BA105" i="6"/>
  <c r="BG105" i="6" s="1"/>
  <c r="BA104" i="6"/>
  <c r="BA103" i="6"/>
  <c r="BA102" i="6"/>
  <c r="BA101" i="6"/>
  <c r="BA100" i="6"/>
  <c r="BA99" i="6"/>
  <c r="BA98" i="6"/>
  <c r="BA97" i="6"/>
  <c r="BA96" i="6"/>
  <c r="BA95" i="6"/>
  <c r="BA94" i="6"/>
  <c r="BA93" i="6"/>
  <c r="BA92" i="6"/>
  <c r="BA91" i="6"/>
  <c r="BA90" i="6"/>
  <c r="BA89" i="6"/>
  <c r="BA88" i="6"/>
  <c r="BA87" i="6"/>
  <c r="BA86" i="6"/>
  <c r="BA85" i="6"/>
  <c r="BA84" i="6"/>
  <c r="BA83" i="6"/>
  <c r="BA82" i="6"/>
  <c r="BA81" i="6"/>
  <c r="BA80" i="6"/>
  <c r="BA79" i="6"/>
  <c r="BA78" i="6"/>
  <c r="BA77" i="6"/>
  <c r="BA76" i="6"/>
  <c r="BA75" i="6"/>
  <c r="BA74" i="6"/>
  <c r="BA73" i="6"/>
  <c r="BA72" i="6"/>
  <c r="BA71" i="6"/>
  <c r="BA70" i="6"/>
  <c r="BA69" i="6"/>
  <c r="BA68" i="6"/>
  <c r="BA67" i="6"/>
  <c r="BA66" i="6"/>
  <c r="BA65" i="6"/>
  <c r="BA64" i="6"/>
  <c r="BA63" i="6"/>
  <c r="BA62" i="6"/>
  <c r="BA61" i="6"/>
  <c r="BA60" i="6"/>
  <c r="BA59" i="6"/>
  <c r="BA58" i="6"/>
  <c r="BA57" i="6"/>
  <c r="BA56" i="6"/>
  <c r="BA55" i="6"/>
  <c r="BA54" i="6"/>
  <c r="BA53" i="6"/>
  <c r="BA52" i="6"/>
  <c r="BA51" i="6"/>
  <c r="BA50" i="6"/>
  <c r="BA49" i="6"/>
  <c r="BA48" i="6"/>
  <c r="BA47" i="6"/>
  <c r="Z7" i="21" l="1"/>
  <c r="K21" i="6" a="1"/>
  <c r="K21" i="6" s="1"/>
  <c r="K22" i="6" a="1"/>
  <c r="K22" i="6" s="1"/>
  <c r="K23" i="6" a="1"/>
  <c r="K23" i="6" s="1"/>
  <c r="K24" i="6" a="1"/>
  <c r="K24" i="6" s="1"/>
  <c r="K25" i="6" a="1"/>
  <c r="K25" i="6" s="1"/>
  <c r="K26" i="6" a="1"/>
  <c r="K26" i="6" s="1"/>
  <c r="H44" i="6" s="1"/>
  <c r="K20" i="6" a="1"/>
  <c r="K20" i="6" s="1"/>
  <c r="I21" i="6" a="1"/>
  <c r="I21" i="6" s="1"/>
  <c r="I22" i="6" a="1"/>
  <c r="I22" i="6" s="1"/>
  <c r="I23" i="6" a="1"/>
  <c r="I23" i="6" s="1"/>
  <c r="I24" i="6" a="1"/>
  <c r="I24" i="6" s="1"/>
  <c r="I25" i="6" a="1"/>
  <c r="I25" i="6" s="1"/>
  <c r="I26" i="6" a="1"/>
  <c r="I26" i="6" s="1"/>
  <c r="I20" i="6" a="1"/>
  <c r="I20" i="6" s="1"/>
  <c r="G26" i="6" a="1"/>
  <c r="G26" i="6" s="1"/>
  <c r="G25" i="6" a="1"/>
  <c r="G25" i="6" s="1"/>
  <c r="O7" i="6"/>
  <c r="O8" i="6"/>
  <c r="O9" i="6"/>
  <c r="O10" i="6"/>
  <c r="O11" i="6"/>
  <c r="O12" i="6"/>
  <c r="O6" i="6"/>
  <c r="G20" i="6" a="1"/>
  <c r="G20" i="6" s="1"/>
  <c r="N10" i="6"/>
  <c r="N12" i="6"/>
  <c r="P12" i="6"/>
  <c r="Q12" i="6" s="1"/>
  <c r="N11" i="6"/>
  <c r="C46" i="6"/>
  <c r="AA8" i="21" s="1"/>
  <c r="Z8" i="21" s="1"/>
  <c r="I38" i="6"/>
  <c r="H38" i="6"/>
  <c r="G38" i="6"/>
  <c r="F38" i="6"/>
  <c r="G21" i="6" a="1"/>
  <c r="G21" i="6" s="1"/>
  <c r="G22" i="6" a="1"/>
  <c r="G22" i="6" s="1"/>
  <c r="G23" i="6" a="1"/>
  <c r="G23" i="6" s="1"/>
  <c r="G24" i="6" a="1"/>
  <c r="G24" i="6" s="1"/>
  <c r="R10" i="6" s="1"/>
  <c r="T17" i="21"/>
  <c r="AN7" i="21"/>
  <c r="AO7" i="21"/>
  <c r="AN8" i="21"/>
  <c r="AO8" i="21"/>
  <c r="AN9" i="21"/>
  <c r="AO9" i="21"/>
  <c r="AN10" i="21"/>
  <c r="AO10" i="21"/>
  <c r="AN11" i="21"/>
  <c r="AO11" i="21"/>
  <c r="AN12" i="21"/>
  <c r="AO12" i="21"/>
  <c r="AN13" i="21"/>
  <c r="AO13" i="21"/>
  <c r="AN14" i="21"/>
  <c r="AO14" i="21"/>
  <c r="AN15" i="21"/>
  <c r="AO15" i="21"/>
  <c r="AN16" i="21"/>
  <c r="AO16" i="21"/>
  <c r="AN17" i="21"/>
  <c r="AO17" i="21"/>
  <c r="AN18" i="21"/>
  <c r="AO18" i="21"/>
  <c r="AN19" i="21"/>
  <c r="AO19" i="21"/>
  <c r="AN20" i="21"/>
  <c r="AO20" i="21"/>
  <c r="AN21" i="21"/>
  <c r="AO21" i="21"/>
  <c r="AN22" i="21"/>
  <c r="AO22" i="21"/>
  <c r="AN23" i="21"/>
  <c r="AO23" i="21"/>
  <c r="AN24" i="21"/>
  <c r="AO24" i="21"/>
  <c r="AN25" i="21"/>
  <c r="AO25" i="21"/>
  <c r="AN26" i="21"/>
  <c r="AO26" i="21"/>
  <c r="AN27" i="21"/>
  <c r="AO27" i="21"/>
  <c r="AN28" i="21"/>
  <c r="AO28" i="21"/>
  <c r="AN29" i="21"/>
  <c r="AO29" i="21"/>
  <c r="AN30" i="21"/>
  <c r="AO30" i="21"/>
  <c r="AN31" i="21"/>
  <c r="AO31" i="21"/>
  <c r="AN32" i="21"/>
  <c r="AO32" i="21"/>
  <c r="AN33" i="21"/>
  <c r="AO33" i="21"/>
  <c r="AN34" i="21"/>
  <c r="AO34" i="21"/>
  <c r="AN35" i="21"/>
  <c r="AO35" i="21"/>
  <c r="AN36" i="21"/>
  <c r="AO36" i="21"/>
  <c r="AN37" i="21"/>
  <c r="AO37" i="21"/>
  <c r="AN38" i="21"/>
  <c r="AO38" i="21"/>
  <c r="AN39" i="21"/>
  <c r="AO39" i="21"/>
  <c r="AN40" i="21"/>
  <c r="AO40" i="21"/>
  <c r="AN41" i="21"/>
  <c r="AO41" i="21"/>
  <c r="AN42" i="21"/>
  <c r="AO42" i="21"/>
  <c r="AN43" i="21"/>
  <c r="AO43" i="21"/>
  <c r="AN44" i="21"/>
  <c r="AO44" i="21"/>
  <c r="AN45" i="21"/>
  <c r="AO45" i="21"/>
  <c r="AN46" i="21"/>
  <c r="AO46" i="21"/>
  <c r="AN47" i="21"/>
  <c r="AO47" i="21"/>
  <c r="AN48" i="21"/>
  <c r="AO48" i="21"/>
  <c r="AN49" i="21"/>
  <c r="AO49" i="21"/>
  <c r="AN50" i="21"/>
  <c r="AO50" i="21"/>
  <c r="AN51" i="21"/>
  <c r="AO51" i="21"/>
  <c r="AN52" i="21"/>
  <c r="AO52" i="21"/>
  <c r="AN53" i="21"/>
  <c r="AO53" i="21"/>
  <c r="AN54" i="21"/>
  <c r="AO54" i="21"/>
  <c r="AN55" i="21"/>
  <c r="AO55" i="21"/>
  <c r="AN56" i="21"/>
  <c r="AO56" i="21"/>
  <c r="AN57" i="21"/>
  <c r="AO57" i="21"/>
  <c r="AN58" i="21"/>
  <c r="AO58" i="21"/>
  <c r="AN59" i="21"/>
  <c r="AO59" i="21"/>
  <c r="AN60" i="21"/>
  <c r="AO60" i="21"/>
  <c r="AN61" i="21"/>
  <c r="AO61" i="21"/>
  <c r="AN62" i="21"/>
  <c r="AO62" i="21"/>
  <c r="AN63" i="21"/>
  <c r="AO63" i="21"/>
  <c r="AN64" i="21"/>
  <c r="AO64" i="21"/>
  <c r="AN65" i="21"/>
  <c r="AO65" i="21"/>
  <c r="AO6" i="21"/>
  <c r="AN6" i="21"/>
  <c r="AV6" i="21" l="1"/>
  <c r="BF44" i="6" s="1"/>
  <c r="AV7" i="21"/>
  <c r="BF45" i="6" s="1"/>
  <c r="D44" i="6"/>
  <c r="AK44" i="6"/>
  <c r="AV8" i="21"/>
  <c r="BF46" i="6" s="1"/>
  <c r="AG44" i="6"/>
  <c r="AH44" i="6" s="1"/>
  <c r="AK46" i="6"/>
  <c r="G44" i="6"/>
  <c r="BG44" i="6" s="1"/>
  <c r="H45" i="6"/>
  <c r="AL45" i="6"/>
  <c r="AJ46" i="6" s="1"/>
  <c r="H46" i="6"/>
  <c r="AE46" i="6"/>
  <c r="AC46" i="6"/>
  <c r="AC45" i="6"/>
  <c r="D45" i="6"/>
  <c r="AE45" i="6"/>
  <c r="C47" i="6"/>
  <c r="AA9" i="21" s="1"/>
  <c r="Z9" i="21" s="1"/>
  <c r="AL46" i="6"/>
  <c r="AK45" i="6"/>
  <c r="G45" i="6"/>
  <c r="BG45" i="6" s="1"/>
  <c r="Z6" i="21"/>
  <c r="R12" i="6"/>
  <c r="S12" i="6"/>
  <c r="F45" i="6"/>
  <c r="F46" i="6"/>
  <c r="S11" i="6"/>
  <c r="R11" i="6"/>
  <c r="R8" i="6"/>
  <c r="S8" i="6"/>
  <c r="R7" i="6"/>
  <c r="S7" i="6"/>
  <c r="R6" i="6"/>
  <c r="S6" i="6"/>
  <c r="S10" i="6"/>
  <c r="S9" i="6"/>
  <c r="AV9" i="21" l="1"/>
  <c r="BF47" i="6" s="1"/>
  <c r="BH45" i="6"/>
  <c r="AG45" i="6"/>
  <c r="AH45" i="6" s="1"/>
  <c r="AI46" i="6"/>
  <c r="AI47" i="6" s="1"/>
  <c r="AJ47" i="6"/>
  <c r="AF46" i="6"/>
  <c r="AD46" i="6" s="1"/>
  <c r="AF45" i="6"/>
  <c r="AD45" i="6" s="1"/>
  <c r="AC47" i="6"/>
  <c r="H47" i="6"/>
  <c r="AE47" i="6"/>
  <c r="C48" i="6"/>
  <c r="AA10" i="21" s="1"/>
  <c r="AK47" i="6"/>
  <c r="AL47" i="6"/>
  <c r="G46" i="6"/>
  <c r="BG46" i="6" s="1"/>
  <c r="BH46" i="6" s="1"/>
  <c r="D46" i="6"/>
  <c r="AG46" i="6" s="1"/>
  <c r="AH46" i="6" s="1"/>
  <c r="D47" i="6"/>
  <c r="R9" i="6"/>
  <c r="Z10" i="21" l="1"/>
  <c r="AV10" i="21"/>
  <c r="BF48" i="6" s="1"/>
  <c r="AI48" i="6"/>
  <c r="AG47" i="6"/>
  <c r="AH47" i="6" s="1"/>
  <c r="AJ48" i="6"/>
  <c r="AE48" i="6"/>
  <c r="AC48" i="6"/>
  <c r="H48" i="6"/>
  <c r="AF47" i="6"/>
  <c r="AD47" i="6" s="1"/>
  <c r="C49" i="6"/>
  <c r="AA11" i="21" s="1"/>
  <c r="AL48" i="6"/>
  <c r="AK48" i="6"/>
  <c r="G47" i="6"/>
  <c r="BG47" i="6" s="1"/>
  <c r="BH47" i="6" s="1"/>
  <c r="D48" i="6"/>
  <c r="F48" i="6"/>
  <c r="Z11" i="21" l="1"/>
  <c r="AV11" i="21"/>
  <c r="BF49" i="6" s="1"/>
  <c r="AI49" i="6"/>
  <c r="AF48" i="6"/>
  <c r="AD48" i="6" s="1"/>
  <c r="AJ49" i="6"/>
  <c r="AG48" i="6"/>
  <c r="AH48" i="6" s="1"/>
  <c r="AE49" i="6"/>
  <c r="H49" i="6"/>
  <c r="AC49" i="6"/>
  <c r="C50" i="6"/>
  <c r="AA12" i="21" s="1"/>
  <c r="AL49" i="6"/>
  <c r="AK49" i="6"/>
  <c r="G48" i="6"/>
  <c r="BG48" i="6" s="1"/>
  <c r="BH48" i="6" s="1"/>
  <c r="D49" i="6"/>
  <c r="AI50" i="6" l="1"/>
  <c r="Z12" i="21"/>
  <c r="AV12" i="21"/>
  <c r="BF50" i="6" s="1"/>
  <c r="AF49" i="6"/>
  <c r="AD49" i="6" s="1"/>
  <c r="AJ50" i="6"/>
  <c r="AG49" i="6"/>
  <c r="AH49" i="6" s="1"/>
  <c r="AC50" i="6"/>
  <c r="AE50" i="6"/>
  <c r="H50" i="6"/>
  <c r="C51" i="6"/>
  <c r="AA13" i="21" s="1"/>
  <c r="AL50" i="6"/>
  <c r="AI51" i="6" s="1"/>
  <c r="AK50" i="6"/>
  <c r="G49" i="6"/>
  <c r="BG49" i="6" s="1"/>
  <c r="BH49" i="6" s="1"/>
  <c r="D50" i="6"/>
  <c r="F50" i="6"/>
  <c r="Z13" i="21" l="1"/>
  <c r="AV13" i="21"/>
  <c r="BF51" i="6" s="1"/>
  <c r="AJ51" i="6"/>
  <c r="AF50" i="6"/>
  <c r="AD50" i="6" s="1"/>
  <c r="AG50" i="6"/>
  <c r="AH50" i="6" s="1"/>
  <c r="AE51" i="6"/>
  <c r="H51" i="6"/>
  <c r="AC51" i="6"/>
  <c r="C52" i="6"/>
  <c r="AA14" i="21" s="1"/>
  <c r="AL51" i="6"/>
  <c r="AI52" i="6" s="1"/>
  <c r="AK51" i="6"/>
  <c r="G50" i="6"/>
  <c r="BG50" i="6" s="1"/>
  <c r="BH50" i="6" s="1"/>
  <c r="D51" i="6"/>
  <c r="F51" i="6"/>
  <c r="Z14" i="21" l="1"/>
  <c r="AV14" i="21"/>
  <c r="BF52" i="6" s="1"/>
  <c r="AF51" i="6"/>
  <c r="AD51" i="6" s="1"/>
  <c r="AJ52" i="6"/>
  <c r="AG51" i="6"/>
  <c r="AH51" i="6" s="1"/>
  <c r="AE52" i="6"/>
  <c r="AC52" i="6"/>
  <c r="H52" i="6"/>
  <c r="C53" i="6"/>
  <c r="AA15" i="21" s="1"/>
  <c r="AL52" i="6"/>
  <c r="AI53" i="6" s="1"/>
  <c r="AK52" i="6"/>
  <c r="G51" i="6"/>
  <c r="BG51" i="6" s="1"/>
  <c r="BH51" i="6" s="1"/>
  <c r="D52" i="6"/>
  <c r="F52" i="6"/>
  <c r="Z15" i="21" l="1"/>
  <c r="AV15" i="21"/>
  <c r="BF53" i="6" s="1"/>
  <c r="AF52" i="6"/>
  <c r="AD52" i="6" s="1"/>
  <c r="AJ53" i="6"/>
  <c r="AG52" i="6"/>
  <c r="AH52" i="6" s="1"/>
  <c r="AC53" i="6"/>
  <c r="H53" i="6"/>
  <c r="AE53" i="6"/>
  <c r="C54" i="6"/>
  <c r="AA16" i="21" s="1"/>
  <c r="AK53" i="6"/>
  <c r="AL53" i="6"/>
  <c r="AI54" i="6" s="1"/>
  <c r="F53" i="6"/>
  <c r="G52" i="6"/>
  <c r="BG52" i="6" s="1"/>
  <c r="BH52" i="6" s="1"/>
  <c r="Z16" i="21" l="1"/>
  <c r="AV16" i="21"/>
  <c r="BF54" i="6" s="1"/>
  <c r="AJ54" i="6"/>
  <c r="AC54" i="6"/>
  <c r="H54" i="6"/>
  <c r="AE54" i="6"/>
  <c r="AF53" i="6"/>
  <c r="AD53" i="6" s="1"/>
  <c r="C55" i="6"/>
  <c r="AK54" i="6"/>
  <c r="AL54" i="6"/>
  <c r="AI55" i="6" s="1"/>
  <c r="D53" i="6"/>
  <c r="AG53" i="6" s="1"/>
  <c r="AH53" i="6" s="1"/>
  <c r="G53" i="6"/>
  <c r="BG53" i="6" s="1"/>
  <c r="BH53" i="6" s="1"/>
  <c r="G54" i="6"/>
  <c r="BG54" i="6" s="1"/>
  <c r="BH54" i="6" s="1"/>
  <c r="G55" i="6" l="1"/>
  <c r="BG55" i="6" s="1"/>
  <c r="AA17" i="21"/>
  <c r="F55" i="6"/>
  <c r="AJ55" i="6"/>
  <c r="AC55" i="6"/>
  <c r="H55" i="6"/>
  <c r="AE55" i="6"/>
  <c r="D55" i="6"/>
  <c r="AF54" i="6"/>
  <c r="AD54" i="6" s="1"/>
  <c r="C56" i="6"/>
  <c r="AK55" i="6"/>
  <c r="AL55" i="6"/>
  <c r="AI56" i="6" s="1"/>
  <c r="D54" i="6"/>
  <c r="AG54" i="6" s="1"/>
  <c r="AH54" i="6" s="1"/>
  <c r="F54" i="6"/>
  <c r="F56" i="6" l="1"/>
  <c r="AA18" i="21"/>
  <c r="Z17" i="21"/>
  <c r="AV17" i="21"/>
  <c r="BF55" i="6" s="1"/>
  <c r="BH55" i="6" s="1"/>
  <c r="AG55" i="6"/>
  <c r="AH55" i="6" s="1"/>
  <c r="AJ56" i="6"/>
  <c r="AC56" i="6"/>
  <c r="H56" i="6"/>
  <c r="AE56" i="6"/>
  <c r="D56" i="6"/>
  <c r="AF55" i="6"/>
  <c r="AD55" i="6" s="1"/>
  <c r="C57" i="6"/>
  <c r="AA19" i="21" s="1"/>
  <c r="AL56" i="6"/>
  <c r="AI57" i="6" s="1"/>
  <c r="AK56" i="6"/>
  <c r="G56" i="6"/>
  <c r="BG56" i="6" s="1"/>
  <c r="Z19" i="21" l="1"/>
  <c r="AV19" i="21"/>
  <c r="BF57" i="6" s="1"/>
  <c r="Z18" i="21"/>
  <c r="AV18" i="21"/>
  <c r="BF56" i="6" s="1"/>
  <c r="BH56" i="6" s="1"/>
  <c r="AG56" i="6"/>
  <c r="AH56" i="6" s="1"/>
  <c r="AJ57" i="6"/>
  <c r="AE57" i="6"/>
  <c r="AC57" i="6"/>
  <c r="H57" i="6"/>
  <c r="D57" i="6"/>
  <c r="F57" i="6"/>
  <c r="AF56" i="6"/>
  <c r="AD56" i="6" s="1"/>
  <c r="C58" i="6"/>
  <c r="AL57" i="6"/>
  <c r="AI58" i="6" s="1"/>
  <c r="AK57" i="6"/>
  <c r="G57" i="6"/>
  <c r="BG57" i="6" s="1"/>
  <c r="BH57" i="6" l="1"/>
  <c r="F58" i="6"/>
  <c r="AA20" i="21"/>
  <c r="AF57" i="6"/>
  <c r="AD57" i="6" s="1"/>
  <c r="AJ58" i="6"/>
  <c r="AG57" i="6"/>
  <c r="AH57" i="6" s="1"/>
  <c r="H58" i="6"/>
  <c r="AE58" i="6"/>
  <c r="AC58" i="6"/>
  <c r="D58" i="6"/>
  <c r="C59" i="6"/>
  <c r="AA21" i="21" s="1"/>
  <c r="AL58" i="6"/>
  <c r="AI59" i="6" s="1"/>
  <c r="AK58" i="6"/>
  <c r="G58" i="6"/>
  <c r="BG58" i="6" s="1"/>
  <c r="Z21" i="21" l="1"/>
  <c r="AV21" i="21"/>
  <c r="BF59" i="6" s="1"/>
  <c r="Z20" i="21"/>
  <c r="AV20" i="21"/>
  <c r="BF58" i="6" s="1"/>
  <c r="BH58" i="6" s="1"/>
  <c r="AG58" i="6"/>
  <c r="AH58" i="6" s="1"/>
  <c r="AJ59" i="6"/>
  <c r="AF58" i="6"/>
  <c r="AD58" i="6" s="1"/>
  <c r="AE59" i="6"/>
  <c r="AC59" i="6"/>
  <c r="H59" i="6"/>
  <c r="D59" i="6"/>
  <c r="F59" i="6"/>
  <c r="C60" i="6"/>
  <c r="AL59" i="6"/>
  <c r="AI60" i="6" s="1"/>
  <c r="AK59" i="6"/>
  <c r="G59" i="6"/>
  <c r="BG59" i="6" s="1"/>
  <c r="BH59" i="6" l="1"/>
  <c r="F60" i="6"/>
  <c r="AA22" i="21"/>
  <c r="AG59" i="6"/>
  <c r="AH59" i="6" s="1"/>
  <c r="AF59" i="6"/>
  <c r="AD59" i="6" s="1"/>
  <c r="AJ60" i="6"/>
  <c r="D60" i="6"/>
  <c r="AC60" i="6"/>
  <c r="AE60" i="6"/>
  <c r="H60" i="6"/>
  <c r="C61" i="6"/>
  <c r="AL60" i="6"/>
  <c r="AI61" i="6" s="1"/>
  <c r="AK60" i="6"/>
  <c r="G60" i="6"/>
  <c r="BG60" i="6" s="1"/>
  <c r="D61" i="6" l="1"/>
  <c r="AA23" i="21"/>
  <c r="Z22" i="21"/>
  <c r="AV22" i="21"/>
  <c r="BF60" i="6" s="1"/>
  <c r="BH60" i="6" s="1"/>
  <c r="AJ61" i="6"/>
  <c r="AG60" i="6"/>
  <c r="AH60" i="6" s="1"/>
  <c r="AF60" i="6"/>
  <c r="AD60" i="6" s="1"/>
  <c r="AC61" i="6"/>
  <c r="H61" i="6"/>
  <c r="AG61" i="6" s="1"/>
  <c r="AH61" i="6" s="1"/>
  <c r="AE61" i="6"/>
  <c r="F61" i="6"/>
  <c r="C62" i="6"/>
  <c r="AL61" i="6"/>
  <c r="AI62" i="6" s="1"/>
  <c r="AK61" i="6"/>
  <c r="G61" i="6"/>
  <c r="BG61" i="6" s="1"/>
  <c r="F62" i="6" l="1"/>
  <c r="AA24" i="21"/>
  <c r="Z23" i="21"/>
  <c r="AV23" i="21"/>
  <c r="BF61" i="6" s="1"/>
  <c r="BH61" i="6" s="1"/>
  <c r="AJ62" i="6"/>
  <c r="AF61" i="6"/>
  <c r="AD61" i="6" s="1"/>
  <c r="AC62" i="6"/>
  <c r="H62" i="6"/>
  <c r="AE62" i="6"/>
  <c r="D62" i="6"/>
  <c r="C63" i="6"/>
  <c r="AA25" i="21" s="1"/>
  <c r="AK62" i="6"/>
  <c r="AL62" i="6"/>
  <c r="AI63" i="6" s="1"/>
  <c r="G62" i="6"/>
  <c r="BG62" i="6" s="1"/>
  <c r="Z25" i="21" l="1"/>
  <c r="AV25" i="21"/>
  <c r="BF63" i="6" s="1"/>
  <c r="Z24" i="21"/>
  <c r="AV24" i="21"/>
  <c r="BF62" i="6" s="1"/>
  <c r="BH62" i="6" s="1"/>
  <c r="AG62" i="6"/>
  <c r="AH62" i="6" s="1"/>
  <c r="AJ63" i="6"/>
  <c r="AF62" i="6"/>
  <c r="AD62" i="6" s="1"/>
  <c r="AE63" i="6"/>
  <c r="AC63" i="6"/>
  <c r="H63" i="6"/>
  <c r="F63" i="6"/>
  <c r="D63" i="6"/>
  <c r="C64" i="6"/>
  <c r="AK63" i="6"/>
  <c r="AL63" i="6"/>
  <c r="AI64" i="6" s="1"/>
  <c r="G63" i="6"/>
  <c r="BG63" i="6" s="1"/>
  <c r="BH63" i="6" l="1"/>
  <c r="D64" i="6"/>
  <c r="AA26" i="21"/>
  <c r="AG63" i="6"/>
  <c r="AH63" i="6" s="1"/>
  <c r="G64" i="6"/>
  <c r="BG64" i="6" s="1"/>
  <c r="AJ64" i="6"/>
  <c r="AF63" i="6"/>
  <c r="AD63" i="6" s="1"/>
  <c r="AE64" i="6"/>
  <c r="AC64" i="6"/>
  <c r="H64" i="6"/>
  <c r="AG64" i="6" s="1"/>
  <c r="AH64" i="6" s="1"/>
  <c r="C65" i="6"/>
  <c r="AL64" i="6"/>
  <c r="AI65" i="6" s="1"/>
  <c r="AK64" i="6"/>
  <c r="F65" i="6" l="1"/>
  <c r="AA27" i="21"/>
  <c r="Z26" i="21"/>
  <c r="AV26" i="21"/>
  <c r="BF64" i="6" s="1"/>
  <c r="BH64" i="6" s="1"/>
  <c r="AF64" i="6"/>
  <c r="AD64" i="6" s="1"/>
  <c r="AJ65" i="6"/>
  <c r="D65" i="6"/>
  <c r="H65" i="6"/>
  <c r="AC65" i="6"/>
  <c r="AE65" i="6"/>
  <c r="C66" i="6"/>
  <c r="AL65" i="6"/>
  <c r="AI66" i="6" s="1"/>
  <c r="AK65" i="6"/>
  <c r="G65" i="6"/>
  <c r="BG65" i="6" s="1"/>
  <c r="D66" i="6" l="1"/>
  <c r="AA28" i="21"/>
  <c r="Z27" i="21"/>
  <c r="AV27" i="21"/>
  <c r="BF65" i="6" s="1"/>
  <c r="BH65" i="6" s="1"/>
  <c r="AG65" i="6"/>
  <c r="AH65" i="6" s="1"/>
  <c r="AJ66" i="6"/>
  <c r="AC66" i="6"/>
  <c r="H66" i="6"/>
  <c r="AG66" i="6" s="1"/>
  <c r="AH66" i="6" s="1"/>
  <c r="AE66" i="6"/>
  <c r="AF65" i="6"/>
  <c r="AD65" i="6" s="1"/>
  <c r="F66" i="6"/>
  <c r="C67" i="6"/>
  <c r="AL66" i="6"/>
  <c r="AI67" i="6" s="1"/>
  <c r="AK66" i="6"/>
  <c r="G66" i="6"/>
  <c r="BG66" i="6" s="1"/>
  <c r="F67" i="6" l="1"/>
  <c r="AA29" i="21"/>
  <c r="Z28" i="21"/>
  <c r="AV28" i="21"/>
  <c r="BF66" i="6" s="1"/>
  <c r="BH66" i="6" s="1"/>
  <c r="AJ67" i="6"/>
  <c r="D67" i="6"/>
  <c r="AE67" i="6"/>
  <c r="AC67" i="6"/>
  <c r="H67" i="6"/>
  <c r="AF66" i="6"/>
  <c r="AD66" i="6" s="1"/>
  <c r="C68" i="6"/>
  <c r="AA30" i="21" s="1"/>
  <c r="AL67" i="6"/>
  <c r="AI68" i="6" s="1"/>
  <c r="AK67" i="6"/>
  <c r="G67" i="6"/>
  <c r="BG67" i="6" s="1"/>
  <c r="Z30" i="21" l="1"/>
  <c r="AV30" i="21"/>
  <c r="BF68" i="6" s="1"/>
  <c r="Z29" i="21"/>
  <c r="AV29" i="21"/>
  <c r="BF67" i="6" s="1"/>
  <c r="BH67" i="6" s="1"/>
  <c r="AJ68" i="6"/>
  <c r="AG67" i="6"/>
  <c r="AH67" i="6" s="1"/>
  <c r="AE68" i="6"/>
  <c r="AC68" i="6"/>
  <c r="H68" i="6"/>
  <c r="AF67" i="6"/>
  <c r="AD67" i="6" s="1"/>
  <c r="D68" i="6"/>
  <c r="C69" i="6"/>
  <c r="AA31" i="21" s="1"/>
  <c r="AL68" i="6"/>
  <c r="AI69" i="6" s="1"/>
  <c r="AK68" i="6"/>
  <c r="G68" i="6"/>
  <c r="BG68" i="6" s="1"/>
  <c r="BH68" i="6" l="1"/>
  <c r="Z31" i="21"/>
  <c r="AV31" i="21"/>
  <c r="BF69" i="6" s="1"/>
  <c r="AG68" i="6"/>
  <c r="AH68" i="6" s="1"/>
  <c r="AJ69" i="6"/>
  <c r="AC69" i="6"/>
  <c r="H69" i="6"/>
  <c r="AE69" i="6"/>
  <c r="F69" i="6"/>
  <c r="D69" i="6"/>
  <c r="AF68" i="6"/>
  <c r="AD68" i="6" s="1"/>
  <c r="C70" i="6"/>
  <c r="AA32" i="21" s="1"/>
  <c r="AL69" i="6"/>
  <c r="AI70" i="6" s="1"/>
  <c r="AK69" i="6"/>
  <c r="G69" i="6"/>
  <c r="BG69" i="6" s="1"/>
  <c r="BH69" i="6" l="1"/>
  <c r="Z32" i="21"/>
  <c r="AV32" i="21"/>
  <c r="BF70" i="6" s="1"/>
  <c r="AG69" i="6"/>
  <c r="AH69" i="6" s="1"/>
  <c r="AJ70" i="6"/>
  <c r="F70" i="6"/>
  <c r="AC70" i="6"/>
  <c r="H70" i="6"/>
  <c r="AE70" i="6"/>
  <c r="AF69" i="6"/>
  <c r="AD69" i="6" s="1"/>
  <c r="D70" i="6"/>
  <c r="C71" i="6"/>
  <c r="AA33" i="21" s="1"/>
  <c r="AK70" i="6"/>
  <c r="AL70" i="6"/>
  <c r="AI71" i="6" s="1"/>
  <c r="G70" i="6"/>
  <c r="BG70" i="6" s="1"/>
  <c r="BH70" i="6" l="1"/>
  <c r="Z33" i="21"/>
  <c r="AV33" i="21"/>
  <c r="BF71" i="6" s="1"/>
  <c r="AG70" i="6"/>
  <c r="AH70" i="6" s="1"/>
  <c r="AF70" i="6"/>
  <c r="AD70" i="6" s="1"/>
  <c r="AJ71" i="6"/>
  <c r="AE71" i="6"/>
  <c r="AC71" i="6"/>
  <c r="H71" i="6"/>
  <c r="F71" i="6"/>
  <c r="D71" i="6"/>
  <c r="C72" i="6"/>
  <c r="AA34" i="21" s="1"/>
  <c r="AK71" i="6"/>
  <c r="AL71" i="6"/>
  <c r="AI72" i="6" s="1"/>
  <c r="G71" i="6"/>
  <c r="BG71" i="6" s="1"/>
  <c r="BH71" i="6" l="1"/>
  <c r="Z34" i="21"/>
  <c r="AV34" i="21"/>
  <c r="BF72" i="6" s="1"/>
  <c r="AG71" i="6"/>
  <c r="AH71" i="6" s="1"/>
  <c r="AJ72" i="6"/>
  <c r="AF71" i="6"/>
  <c r="AD71" i="6" s="1"/>
  <c r="AE72" i="6"/>
  <c r="AC72" i="6"/>
  <c r="H72" i="6"/>
  <c r="D72" i="6"/>
  <c r="F72" i="6"/>
  <c r="C73" i="6"/>
  <c r="AA35" i="21" s="1"/>
  <c r="AL72" i="6"/>
  <c r="AI73" i="6" s="1"/>
  <c r="AK72" i="6"/>
  <c r="G72" i="6"/>
  <c r="BG72" i="6" s="1"/>
  <c r="BH72" i="6" l="1"/>
  <c r="Z35" i="21"/>
  <c r="AV35" i="21"/>
  <c r="BF73" i="6" s="1"/>
  <c r="AG72" i="6"/>
  <c r="AH72" i="6" s="1"/>
  <c r="AF72" i="6"/>
  <c r="AD72" i="6" s="1"/>
  <c r="AJ73" i="6"/>
  <c r="H73" i="6"/>
  <c r="AE73" i="6"/>
  <c r="AC73" i="6"/>
  <c r="F73" i="6"/>
  <c r="D73" i="6"/>
  <c r="C74" i="6"/>
  <c r="AA36" i="21" s="1"/>
  <c r="AL73" i="6"/>
  <c r="AI74" i="6" s="1"/>
  <c r="AK73" i="6"/>
  <c r="G73" i="6"/>
  <c r="BG73" i="6" s="1"/>
  <c r="BH73" i="6" s="1"/>
  <c r="Z36" i="21" l="1"/>
  <c r="AV36" i="21"/>
  <c r="BF74" i="6" s="1"/>
  <c r="AG73" i="6"/>
  <c r="AH73" i="6" s="1"/>
  <c r="AF73" i="6"/>
  <c r="AD73" i="6" s="1"/>
  <c r="AJ74" i="6"/>
  <c r="H74" i="6"/>
  <c r="AE74" i="6"/>
  <c r="AC74" i="6"/>
  <c r="D74" i="6"/>
  <c r="F74" i="6"/>
  <c r="C75" i="6"/>
  <c r="AA37" i="21" s="1"/>
  <c r="AL74" i="6"/>
  <c r="AI75" i="6" s="1"/>
  <c r="AK74" i="6"/>
  <c r="G74" i="6"/>
  <c r="BG74" i="6" s="1"/>
  <c r="BH74" i="6" s="1"/>
  <c r="Z37" i="21" l="1"/>
  <c r="AV37" i="21"/>
  <c r="BF75" i="6" s="1"/>
  <c r="AG74" i="6"/>
  <c r="AH74" i="6" s="1"/>
  <c r="AF74" i="6"/>
  <c r="AD74" i="6" s="1"/>
  <c r="AJ75" i="6"/>
  <c r="AE75" i="6"/>
  <c r="AC75" i="6"/>
  <c r="H75" i="6"/>
  <c r="D75" i="6"/>
  <c r="F75" i="6"/>
  <c r="C76" i="6"/>
  <c r="AA38" i="21" s="1"/>
  <c r="AL75" i="6"/>
  <c r="AI76" i="6" s="1"/>
  <c r="AK75" i="6"/>
  <c r="G75" i="6"/>
  <c r="BG75" i="6" s="1"/>
  <c r="BH75" i="6" l="1"/>
  <c r="Z38" i="21"/>
  <c r="AV38" i="21"/>
  <c r="BF76" i="6" s="1"/>
  <c r="AG75" i="6"/>
  <c r="AH75" i="6" s="1"/>
  <c r="AF75" i="6"/>
  <c r="AD75" i="6" s="1"/>
  <c r="AJ76" i="6"/>
  <c r="AE76" i="6"/>
  <c r="AC76" i="6"/>
  <c r="H76" i="6"/>
  <c r="F76" i="6"/>
  <c r="D76" i="6"/>
  <c r="C77" i="6"/>
  <c r="AA39" i="21" s="1"/>
  <c r="AL76" i="6"/>
  <c r="AI77" i="6" s="1"/>
  <c r="AK76" i="6"/>
  <c r="G76" i="6"/>
  <c r="BG76" i="6" s="1"/>
  <c r="BH76" i="6" l="1"/>
  <c r="Z39" i="21"/>
  <c r="AV39" i="21"/>
  <c r="BF77" i="6" s="1"/>
  <c r="AG76" i="6"/>
  <c r="AH76" i="6" s="1"/>
  <c r="AF76" i="6"/>
  <c r="AD76" i="6" s="1"/>
  <c r="AJ77" i="6"/>
  <c r="AC77" i="6"/>
  <c r="H77" i="6"/>
  <c r="AE77" i="6"/>
  <c r="D77" i="6"/>
  <c r="F77" i="6"/>
  <c r="C78" i="6"/>
  <c r="AA40" i="21" s="1"/>
  <c r="AL77" i="6"/>
  <c r="AK77" i="6"/>
  <c r="G77" i="6"/>
  <c r="BG77" i="6" s="1"/>
  <c r="BH77" i="6" l="1"/>
  <c r="Z40" i="21"/>
  <c r="AV40" i="21"/>
  <c r="BF78" i="6" s="1"/>
  <c r="AJ78" i="6"/>
  <c r="AG77" i="6"/>
  <c r="AH77" i="6" s="1"/>
  <c r="AI78" i="6"/>
  <c r="AC78" i="6"/>
  <c r="H78" i="6"/>
  <c r="AE78" i="6"/>
  <c r="D78" i="6"/>
  <c r="AF77" i="6"/>
  <c r="AD77" i="6" s="1"/>
  <c r="C79" i="6"/>
  <c r="AA41" i="21" s="1"/>
  <c r="AK78" i="6"/>
  <c r="AL78" i="6"/>
  <c r="G78" i="6"/>
  <c r="BG78" i="6" s="1"/>
  <c r="BH78" i="6" l="1"/>
  <c r="Z41" i="21"/>
  <c r="AV41" i="21"/>
  <c r="BF79" i="6" s="1"/>
  <c r="AG78" i="6"/>
  <c r="AH78" i="6" s="1"/>
  <c r="AI79" i="6"/>
  <c r="AJ79" i="6"/>
  <c r="H79" i="6"/>
  <c r="AE79" i="6"/>
  <c r="AC79" i="6"/>
  <c r="D79" i="6"/>
  <c r="F79" i="6"/>
  <c r="AF78" i="6"/>
  <c r="AD78" i="6" s="1"/>
  <c r="C80" i="6"/>
  <c r="AA42" i="21" s="1"/>
  <c r="AL79" i="6"/>
  <c r="AK79" i="6"/>
  <c r="G79" i="6"/>
  <c r="BG79" i="6" s="1"/>
  <c r="BH79" i="6" l="1"/>
  <c r="Z42" i="21"/>
  <c r="AV42" i="21"/>
  <c r="BF80" i="6" s="1"/>
  <c r="AG79" i="6"/>
  <c r="AH79" i="6" s="1"/>
  <c r="AI80" i="6"/>
  <c r="AJ80" i="6"/>
  <c r="AF79" i="6"/>
  <c r="AD79" i="6" s="1"/>
  <c r="AE80" i="6"/>
  <c r="AC80" i="6"/>
  <c r="H80" i="6"/>
  <c r="D80" i="6"/>
  <c r="F80" i="6"/>
  <c r="C81" i="6"/>
  <c r="AL80" i="6"/>
  <c r="AI81" i="6" s="1"/>
  <c r="AK80" i="6"/>
  <c r="G80" i="6"/>
  <c r="BG80" i="6" s="1"/>
  <c r="BH80" i="6" l="1"/>
  <c r="F81" i="6"/>
  <c r="AA43" i="21"/>
  <c r="AG80" i="6"/>
  <c r="AH80" i="6" s="1"/>
  <c r="AJ81" i="6"/>
  <c r="AF80" i="6"/>
  <c r="AD80" i="6" s="1"/>
  <c r="AC81" i="6"/>
  <c r="H81" i="6"/>
  <c r="AE81" i="6"/>
  <c r="D81" i="6"/>
  <c r="C82" i="6"/>
  <c r="AL81" i="6"/>
  <c r="AI82" i="6" s="1"/>
  <c r="AK81" i="6"/>
  <c r="G81" i="6"/>
  <c r="BG81" i="6" s="1"/>
  <c r="F82" i="6" l="1"/>
  <c r="AA44" i="21"/>
  <c r="Z43" i="21"/>
  <c r="AV43" i="21"/>
  <c r="BF81" i="6" s="1"/>
  <c r="BH81" i="6" s="1"/>
  <c r="AJ82" i="6"/>
  <c r="AF81" i="6"/>
  <c r="AD81" i="6" s="1"/>
  <c r="AG81" i="6"/>
  <c r="AH81" i="6" s="1"/>
  <c r="H82" i="6"/>
  <c r="AE82" i="6"/>
  <c r="AC82" i="6"/>
  <c r="D82" i="6"/>
  <c r="C83" i="6"/>
  <c r="AA45" i="21" s="1"/>
  <c r="AL82" i="6"/>
  <c r="AI83" i="6" s="1"/>
  <c r="AK82" i="6"/>
  <c r="G82" i="6"/>
  <c r="BG82" i="6" s="1"/>
  <c r="Z45" i="21" l="1"/>
  <c r="AV45" i="21"/>
  <c r="BF83" i="6" s="1"/>
  <c r="Z44" i="21"/>
  <c r="AV44" i="21"/>
  <c r="BF82" i="6" s="1"/>
  <c r="BH82" i="6" s="1"/>
  <c r="AG82" i="6"/>
  <c r="AH82" i="6" s="1"/>
  <c r="AJ83" i="6"/>
  <c r="AF82" i="6"/>
  <c r="AD82" i="6" s="1"/>
  <c r="AE83" i="6"/>
  <c r="H83" i="6"/>
  <c r="AC83" i="6"/>
  <c r="D83" i="6"/>
  <c r="C84" i="6"/>
  <c r="AA46" i="21" s="1"/>
  <c r="AL83" i="6"/>
  <c r="AI84" i="6" s="1"/>
  <c r="AK83" i="6"/>
  <c r="G83" i="6"/>
  <c r="BG83" i="6" s="1"/>
  <c r="BH83" i="6" s="1"/>
  <c r="Z46" i="21" l="1"/>
  <c r="AV46" i="21"/>
  <c r="BF84" i="6" s="1"/>
  <c r="AF83" i="6"/>
  <c r="AD83" i="6" s="1"/>
  <c r="AJ84" i="6"/>
  <c r="AG83" i="6"/>
  <c r="AH83" i="6" s="1"/>
  <c r="AE84" i="6"/>
  <c r="H84" i="6"/>
  <c r="AC84" i="6"/>
  <c r="F84" i="6"/>
  <c r="D84" i="6"/>
  <c r="C85" i="6"/>
  <c r="AA47" i="21" s="1"/>
  <c r="AL84" i="6"/>
  <c r="AI85" i="6" s="1"/>
  <c r="AK84" i="6"/>
  <c r="G84" i="6"/>
  <c r="BG84" i="6" s="1"/>
  <c r="BH84" i="6" s="1"/>
  <c r="Z47" i="21" l="1"/>
  <c r="AV47" i="21"/>
  <c r="BF85" i="6" s="1"/>
  <c r="AG84" i="6"/>
  <c r="AH84" i="6" s="1"/>
  <c r="AJ85" i="6"/>
  <c r="AF84" i="6"/>
  <c r="AD84" i="6" s="1"/>
  <c r="AC85" i="6"/>
  <c r="H85" i="6"/>
  <c r="AE85" i="6"/>
  <c r="D85" i="6"/>
  <c r="C86" i="6"/>
  <c r="AK85" i="6"/>
  <c r="AL85" i="6"/>
  <c r="AI86" i="6" s="1"/>
  <c r="G85" i="6"/>
  <c r="BG85" i="6" s="1"/>
  <c r="BH85" i="6" s="1"/>
  <c r="F86" i="6" l="1"/>
  <c r="AA48" i="21"/>
  <c r="AJ86" i="6"/>
  <c r="AG85" i="6"/>
  <c r="AH85" i="6" s="1"/>
  <c r="AC86" i="6"/>
  <c r="H86" i="6"/>
  <c r="AE86" i="6"/>
  <c r="D86" i="6"/>
  <c r="AF85" i="6"/>
  <c r="AD85" i="6" s="1"/>
  <c r="C87" i="6"/>
  <c r="AK86" i="6"/>
  <c r="AL86" i="6"/>
  <c r="AI87" i="6" s="1"/>
  <c r="G86" i="6"/>
  <c r="BG86" i="6" s="1"/>
  <c r="D87" i="6" l="1"/>
  <c r="AA49" i="21"/>
  <c r="Z48" i="21"/>
  <c r="AV48" i="21"/>
  <c r="BF86" i="6" s="1"/>
  <c r="BH86" i="6" s="1"/>
  <c r="AG86" i="6"/>
  <c r="AH86" i="6" s="1"/>
  <c r="AJ87" i="6"/>
  <c r="AC87" i="6"/>
  <c r="H87" i="6"/>
  <c r="AG87" i="6" s="1"/>
  <c r="AH87" i="6" s="1"/>
  <c r="AE87" i="6"/>
  <c r="F87" i="6"/>
  <c r="AF86" i="6"/>
  <c r="AD86" i="6" s="1"/>
  <c r="C88" i="6"/>
  <c r="AA50" i="21" s="1"/>
  <c r="AK87" i="6"/>
  <c r="AL87" i="6"/>
  <c r="AI88" i="6" s="1"/>
  <c r="G87" i="6"/>
  <c r="BG87" i="6" s="1"/>
  <c r="Z50" i="21" l="1"/>
  <c r="AV50" i="21"/>
  <c r="BF88" i="6" s="1"/>
  <c r="Z49" i="21"/>
  <c r="AV49" i="21"/>
  <c r="BF87" i="6" s="1"/>
  <c r="BH87" i="6" s="1"/>
  <c r="AJ88" i="6"/>
  <c r="AC88" i="6"/>
  <c r="H88" i="6"/>
  <c r="AE88" i="6"/>
  <c r="F88" i="6"/>
  <c r="D88" i="6"/>
  <c r="AF87" i="6"/>
  <c r="AD87" i="6" s="1"/>
  <c r="C89" i="6"/>
  <c r="AA51" i="21" s="1"/>
  <c r="AL88" i="6"/>
  <c r="AI89" i="6" s="1"/>
  <c r="AK88" i="6"/>
  <c r="G88" i="6"/>
  <c r="BG88" i="6" s="1"/>
  <c r="BH88" i="6" l="1"/>
  <c r="Z51" i="21"/>
  <c r="AV51" i="21"/>
  <c r="BF89" i="6" s="1"/>
  <c r="AJ89" i="6"/>
  <c r="AG88" i="6"/>
  <c r="AH88" i="6" s="1"/>
  <c r="AC89" i="6"/>
  <c r="AE89" i="6"/>
  <c r="H89" i="6"/>
  <c r="D89" i="6"/>
  <c r="F89" i="6"/>
  <c r="AF88" i="6"/>
  <c r="AD88" i="6" s="1"/>
  <c r="C90" i="6"/>
  <c r="AL89" i="6"/>
  <c r="AI90" i="6" s="1"/>
  <c r="AK89" i="6"/>
  <c r="G89" i="6"/>
  <c r="BG89" i="6" s="1"/>
  <c r="BH89" i="6" s="1"/>
  <c r="F90" i="6" l="1"/>
  <c r="AA52" i="21"/>
  <c r="AG89" i="6"/>
  <c r="AH89" i="6" s="1"/>
  <c r="AJ90" i="6"/>
  <c r="AC90" i="6"/>
  <c r="H90" i="6"/>
  <c r="AE90" i="6"/>
  <c r="D90" i="6"/>
  <c r="AF89" i="6"/>
  <c r="AD89" i="6" s="1"/>
  <c r="C91" i="6"/>
  <c r="AA53" i="21" s="1"/>
  <c r="AL90" i="6"/>
  <c r="AI91" i="6" s="1"/>
  <c r="AK90" i="6"/>
  <c r="G90" i="6"/>
  <c r="BG90" i="6" s="1"/>
  <c r="Z53" i="21" l="1"/>
  <c r="AV53" i="21"/>
  <c r="BF91" i="6" s="1"/>
  <c r="Z52" i="21"/>
  <c r="AV52" i="21"/>
  <c r="BF90" i="6" s="1"/>
  <c r="BH90" i="6" s="1"/>
  <c r="AG90" i="6"/>
  <c r="AH90" i="6" s="1"/>
  <c r="AJ91" i="6"/>
  <c r="AE91" i="6"/>
  <c r="AC91" i="6"/>
  <c r="H91" i="6"/>
  <c r="F91" i="6"/>
  <c r="D91" i="6"/>
  <c r="AF90" i="6"/>
  <c r="AD90" i="6" s="1"/>
  <c r="C92" i="6"/>
  <c r="AA54" i="21" s="1"/>
  <c r="AL91" i="6"/>
  <c r="AI92" i="6" s="1"/>
  <c r="AK91" i="6"/>
  <c r="G91" i="6"/>
  <c r="BG91" i="6" s="1"/>
  <c r="BH91" i="6" l="1"/>
  <c r="Z54" i="21"/>
  <c r="AV54" i="21"/>
  <c r="BF92" i="6" s="1"/>
  <c r="AG91" i="6"/>
  <c r="AH91" i="6" s="1"/>
  <c r="AF91" i="6"/>
  <c r="AD91" i="6" s="1"/>
  <c r="AJ92" i="6"/>
  <c r="AE92" i="6"/>
  <c r="AC92" i="6"/>
  <c r="H92" i="6"/>
  <c r="D92" i="6"/>
  <c r="F92" i="6"/>
  <c r="C93" i="6"/>
  <c r="AL92" i="6"/>
  <c r="AI93" i="6" s="1"/>
  <c r="AK92" i="6"/>
  <c r="G92" i="6"/>
  <c r="BG92" i="6" s="1"/>
  <c r="BH92" i="6" l="1"/>
  <c r="F93" i="6"/>
  <c r="AA55" i="21"/>
  <c r="AF92" i="6"/>
  <c r="AD92" i="6" s="1"/>
  <c r="AG92" i="6"/>
  <c r="AH92" i="6" s="1"/>
  <c r="AJ93" i="6"/>
  <c r="AC93" i="6"/>
  <c r="H93" i="6"/>
  <c r="AE93" i="6"/>
  <c r="D93" i="6"/>
  <c r="C94" i="6"/>
  <c r="AA56" i="21" s="1"/>
  <c r="AK93" i="6"/>
  <c r="AL93" i="6"/>
  <c r="AI94" i="6" s="1"/>
  <c r="G93" i="6"/>
  <c r="BG93" i="6" s="1"/>
  <c r="Z56" i="21" l="1"/>
  <c r="AV56" i="21"/>
  <c r="BF94" i="6" s="1"/>
  <c r="Z55" i="21"/>
  <c r="AV55" i="21"/>
  <c r="BF93" i="6" s="1"/>
  <c r="BH93" i="6" s="1"/>
  <c r="AG93" i="6"/>
  <c r="AH93" i="6" s="1"/>
  <c r="AJ94" i="6"/>
  <c r="AC94" i="6"/>
  <c r="H94" i="6"/>
  <c r="AE94" i="6"/>
  <c r="F94" i="6"/>
  <c r="D94" i="6"/>
  <c r="AF93" i="6"/>
  <c r="AD93" i="6" s="1"/>
  <c r="C95" i="6"/>
  <c r="AA57" i="21" s="1"/>
  <c r="AK94" i="6"/>
  <c r="AL94" i="6"/>
  <c r="AI95" i="6" s="1"/>
  <c r="G94" i="6"/>
  <c r="BG94" i="6" s="1"/>
  <c r="BH94" i="6" l="1"/>
  <c r="Z57" i="21"/>
  <c r="AV57" i="21"/>
  <c r="BF95" i="6" s="1"/>
  <c r="AG94" i="6"/>
  <c r="AH94" i="6" s="1"/>
  <c r="AJ95" i="6"/>
  <c r="AC95" i="6"/>
  <c r="H95" i="6"/>
  <c r="AE95" i="6"/>
  <c r="F95" i="6"/>
  <c r="D95" i="6"/>
  <c r="AF94" i="6"/>
  <c r="AD94" i="6" s="1"/>
  <c r="C96" i="6"/>
  <c r="AK95" i="6"/>
  <c r="AL95" i="6"/>
  <c r="AI96" i="6" s="1"/>
  <c r="G95" i="6"/>
  <c r="BG95" i="6" s="1"/>
  <c r="BH95" i="6" l="1"/>
  <c r="D96" i="6"/>
  <c r="AA58" i="21"/>
  <c r="AG95" i="6"/>
  <c r="AH95" i="6" s="1"/>
  <c r="AJ96" i="6"/>
  <c r="AE96" i="6"/>
  <c r="AC96" i="6"/>
  <c r="H96" i="6"/>
  <c r="AG96" i="6" s="1"/>
  <c r="AH96" i="6" s="1"/>
  <c r="F96" i="6"/>
  <c r="AF95" i="6"/>
  <c r="AD95" i="6" s="1"/>
  <c r="C97" i="6"/>
  <c r="AA59" i="21" s="1"/>
  <c r="AL96" i="6"/>
  <c r="AI97" i="6" s="1"/>
  <c r="AK96" i="6"/>
  <c r="G96" i="6"/>
  <c r="BG96" i="6" s="1"/>
  <c r="Z59" i="21" l="1"/>
  <c r="AV59" i="21"/>
  <c r="BF97" i="6" s="1"/>
  <c r="Z58" i="21"/>
  <c r="AV58" i="21"/>
  <c r="BF96" i="6" s="1"/>
  <c r="BH96" i="6" s="1"/>
  <c r="AF96" i="6"/>
  <c r="AD96" i="6" s="1"/>
  <c r="AJ97" i="6"/>
  <c r="AC97" i="6"/>
  <c r="AE97" i="6"/>
  <c r="H97" i="6"/>
  <c r="D97" i="6"/>
  <c r="F97" i="6"/>
  <c r="C98" i="6"/>
  <c r="AA60" i="21" s="1"/>
  <c r="AL97" i="6"/>
  <c r="AI98" i="6" s="1"/>
  <c r="AK97" i="6"/>
  <c r="G97" i="6"/>
  <c r="BG97" i="6" s="1"/>
  <c r="BH97" i="6" l="1"/>
  <c r="Z60" i="21"/>
  <c r="AV60" i="21"/>
  <c r="BF98" i="6" s="1"/>
  <c r="AG97" i="6"/>
  <c r="AH97" i="6" s="1"/>
  <c r="AJ98" i="6"/>
  <c r="AC98" i="6"/>
  <c r="H98" i="6"/>
  <c r="AE98" i="6"/>
  <c r="F98" i="6"/>
  <c r="D98" i="6"/>
  <c r="AF97" i="6"/>
  <c r="AD97" i="6" s="1"/>
  <c r="C99" i="6"/>
  <c r="AA61" i="21" s="1"/>
  <c r="AL98" i="6"/>
  <c r="AI99" i="6" s="1"/>
  <c r="AK98" i="6"/>
  <c r="G98" i="6"/>
  <c r="BG98" i="6" s="1"/>
  <c r="BH98" i="6" l="1"/>
  <c r="Z61" i="21"/>
  <c r="AV61" i="21"/>
  <c r="BF99" i="6" s="1"/>
  <c r="AG98" i="6"/>
  <c r="AH98" i="6" s="1"/>
  <c r="AJ99" i="6"/>
  <c r="AE99" i="6"/>
  <c r="H99" i="6"/>
  <c r="AC99" i="6"/>
  <c r="D99" i="6"/>
  <c r="F99" i="6"/>
  <c r="AF98" i="6"/>
  <c r="AD98" i="6" s="1"/>
  <c r="C100" i="6"/>
  <c r="AL99" i="6"/>
  <c r="AI100" i="6" s="1"/>
  <c r="AK99" i="6"/>
  <c r="G99" i="6"/>
  <c r="BG99" i="6" s="1"/>
  <c r="BH99" i="6" s="1"/>
  <c r="F100" i="6" l="1"/>
  <c r="AA62" i="21"/>
  <c r="AG99" i="6"/>
  <c r="AH99" i="6" s="1"/>
  <c r="AJ100" i="6"/>
  <c r="AE100" i="6"/>
  <c r="AC100" i="6"/>
  <c r="H100" i="6"/>
  <c r="D100" i="6"/>
  <c r="AF99" i="6"/>
  <c r="AD99" i="6" s="1"/>
  <c r="C101" i="6"/>
  <c r="AA63" i="21" s="1"/>
  <c r="AL100" i="6"/>
  <c r="AI101" i="6" s="1"/>
  <c r="AK100" i="6"/>
  <c r="G100" i="6"/>
  <c r="BG100" i="6" s="1"/>
  <c r="Z63" i="21" l="1"/>
  <c r="AV63" i="21"/>
  <c r="BF101" i="6" s="1"/>
  <c r="Z62" i="21"/>
  <c r="AV62" i="21"/>
  <c r="BF100" i="6" s="1"/>
  <c r="BH100" i="6" s="1"/>
  <c r="AF100" i="6"/>
  <c r="AD100" i="6" s="1"/>
  <c r="AJ101" i="6"/>
  <c r="AG100" i="6"/>
  <c r="AH100" i="6" s="1"/>
  <c r="AC101" i="6"/>
  <c r="H101" i="6"/>
  <c r="AE101" i="6"/>
  <c r="D101" i="6"/>
  <c r="F101" i="6"/>
  <c r="C102" i="6"/>
  <c r="AA64" i="21" s="1"/>
  <c r="AL101" i="6"/>
  <c r="AI102" i="6" s="1"/>
  <c r="AK101" i="6"/>
  <c r="G101" i="6"/>
  <c r="BG101" i="6" s="1"/>
  <c r="BH101" i="6" l="1"/>
  <c r="Z64" i="21"/>
  <c r="AV64" i="21"/>
  <c r="BF102" i="6" s="1"/>
  <c r="AG101" i="6"/>
  <c r="AH101" i="6" s="1"/>
  <c r="AJ102" i="6"/>
  <c r="AC102" i="6"/>
  <c r="H102" i="6"/>
  <c r="AE102" i="6"/>
  <c r="D102" i="6"/>
  <c r="AF101" i="6"/>
  <c r="AD101" i="6" s="1"/>
  <c r="C103" i="6"/>
  <c r="AK102" i="6"/>
  <c r="AL102" i="6"/>
  <c r="AI103" i="6" s="1"/>
  <c r="G102" i="6"/>
  <c r="BG102" i="6" s="1"/>
  <c r="BH102" i="6" s="1"/>
  <c r="AL103" i="6" l="1"/>
  <c r="AA65" i="21"/>
  <c r="AG102" i="6"/>
  <c r="AH102" i="6" s="1"/>
  <c r="AI104" i="6"/>
  <c r="AJ103" i="6"/>
  <c r="AJ104" i="6" s="1"/>
  <c r="AE103" i="6"/>
  <c r="AC103" i="6"/>
  <c r="H103" i="6"/>
  <c r="F103" i="6"/>
  <c r="D103" i="6"/>
  <c r="G103" i="6"/>
  <c r="BG103" i="6" s="1"/>
  <c r="AF102" i="6"/>
  <c r="AD102" i="6" s="1"/>
  <c r="C104" i="6"/>
  <c r="AK103" i="6"/>
  <c r="F104" i="6" l="1"/>
  <c r="AA66" i="21"/>
  <c r="Z65" i="21"/>
  <c r="AV65" i="21"/>
  <c r="BF103" i="6" s="1"/>
  <c r="BH103" i="6" s="1"/>
  <c r="AG103" i="6"/>
  <c r="AH103" i="6" s="1"/>
  <c r="AF103" i="6"/>
  <c r="AD103" i="6" s="1"/>
  <c r="AE104" i="6"/>
  <c r="AC104" i="6"/>
  <c r="H104" i="6"/>
  <c r="D104" i="6"/>
  <c r="AL104" i="6"/>
  <c r="F15" i="1" s="1" a="1"/>
  <c r="F15" i="1" s="1"/>
  <c r="AK104" i="6"/>
  <c r="G104" i="6"/>
  <c r="BG104" i="6" s="1"/>
  <c r="BG40" i="6" s="1"/>
  <c r="BI44" i="6" l="1"/>
  <c r="BJ44" i="6"/>
  <c r="AV66" i="21"/>
  <c r="AV67" i="21"/>
  <c r="Z66" i="21"/>
  <c r="BI62" i="6"/>
  <c r="BI94" i="6"/>
  <c r="BJ54" i="6"/>
  <c r="BJ86" i="6"/>
  <c r="BJ80" i="6"/>
  <c r="BJ73" i="6"/>
  <c r="BJ105" i="6"/>
  <c r="BJ68" i="6"/>
  <c r="BJ100" i="6"/>
  <c r="BJ55" i="6"/>
  <c r="BJ87" i="6"/>
  <c r="BI67" i="6"/>
  <c r="BJ74" i="6"/>
  <c r="BJ106" i="6"/>
  <c r="BI56" i="6"/>
  <c r="BI75" i="6"/>
  <c r="BJ58" i="6"/>
  <c r="BJ67" i="6"/>
  <c r="BJ99" i="6"/>
  <c r="BI57" i="6"/>
  <c r="BI89" i="6"/>
  <c r="BJ104" i="6"/>
  <c r="BI76" i="6"/>
  <c r="BJ88" i="6"/>
  <c r="BI71" i="6"/>
  <c r="BI103" i="6"/>
  <c r="BI58" i="6"/>
  <c r="BI90" i="6"/>
  <c r="BI91" i="6"/>
  <c r="BI77" i="6"/>
  <c r="BI72" i="6"/>
  <c r="BJ61" i="6"/>
  <c r="BI70" i="6"/>
  <c r="BI102" i="6"/>
  <c r="BJ62" i="6"/>
  <c r="BJ94" i="6"/>
  <c r="BJ49" i="6"/>
  <c r="BJ81" i="6"/>
  <c r="BI107" i="6"/>
  <c r="BJ76" i="6"/>
  <c r="BJ45" i="6"/>
  <c r="BJ63" i="6"/>
  <c r="BJ95" i="6"/>
  <c r="BJ50" i="6"/>
  <c r="BJ82" i="6"/>
  <c r="BJ101" i="6"/>
  <c r="BI64" i="6"/>
  <c r="BJ48" i="6"/>
  <c r="BJ52" i="6"/>
  <c r="BJ71" i="6"/>
  <c r="BJ90" i="6"/>
  <c r="BJ53" i="6"/>
  <c r="BI45" i="6"/>
  <c r="BJ75" i="6"/>
  <c r="BJ107" i="6"/>
  <c r="BI65" i="6"/>
  <c r="BI97" i="6"/>
  <c r="BI52" i="6"/>
  <c r="BI84" i="6"/>
  <c r="BI47" i="6"/>
  <c r="BI79" i="6"/>
  <c r="BJ69" i="6"/>
  <c r="BI66" i="6"/>
  <c r="BI98" i="6"/>
  <c r="BI53" i="6"/>
  <c r="BI85" i="6"/>
  <c r="BJ56" i="6"/>
  <c r="BI80" i="6"/>
  <c r="BJ57" i="6"/>
  <c r="BJ103" i="6"/>
  <c r="BJ85" i="6"/>
  <c r="BI101" i="6"/>
  <c r="BI46" i="6"/>
  <c r="BI78" i="6"/>
  <c r="BJ70" i="6"/>
  <c r="BJ102" i="6"/>
  <c r="BJ89" i="6"/>
  <c r="BJ84" i="6"/>
  <c r="BI59" i="6"/>
  <c r="BJ72" i="6"/>
  <c r="BJ51" i="6"/>
  <c r="BJ83" i="6"/>
  <c r="BI83" i="6"/>
  <c r="BI73" i="6"/>
  <c r="BI105" i="6"/>
  <c r="BI60" i="6"/>
  <c r="BI92" i="6"/>
  <c r="BI55" i="6"/>
  <c r="BI87" i="6"/>
  <c r="BI99" i="6"/>
  <c r="BI74" i="6"/>
  <c r="BI106" i="6"/>
  <c r="BI61" i="6"/>
  <c r="BI93" i="6"/>
  <c r="BJ96" i="6"/>
  <c r="BI88" i="6"/>
  <c r="BJ64" i="6"/>
  <c r="BI54" i="6"/>
  <c r="BI86" i="6"/>
  <c r="BJ46" i="6"/>
  <c r="BJ78" i="6"/>
  <c r="BJ77" i="6"/>
  <c r="BJ65" i="6"/>
  <c r="BJ97" i="6"/>
  <c r="BJ60" i="6"/>
  <c r="BJ92" i="6"/>
  <c r="BJ47" i="6"/>
  <c r="BJ79" i="6"/>
  <c r="BJ93" i="6"/>
  <c r="BJ66" i="6"/>
  <c r="BJ98" i="6"/>
  <c r="BI48" i="6"/>
  <c r="BI96" i="6"/>
  <c r="BJ59" i="6"/>
  <c r="BJ91" i="6"/>
  <c r="BI49" i="6"/>
  <c r="BI81" i="6"/>
  <c r="BI51" i="6"/>
  <c r="BI68" i="6"/>
  <c r="BI100" i="6"/>
  <c r="BI63" i="6"/>
  <c r="BI95" i="6"/>
  <c r="BI50" i="6"/>
  <c r="BI82" i="6"/>
  <c r="BI104" i="6"/>
  <c r="BI69" i="6"/>
  <c r="AG104" i="6"/>
  <c r="AH104" i="6" s="1"/>
  <c r="AF104" i="6"/>
  <c r="AD104" i="6" s="1"/>
  <c r="BH106" i="6" l="1"/>
  <c r="BF105" i="6"/>
  <c r="BH105" i="6"/>
  <c r="BF104" i="6"/>
  <c r="BH104" i="6" s="1"/>
  <c r="G15" i="1"/>
  <c r="G7" i="1" s="1" a="1"/>
  <c r="G7" i="1" s="1"/>
  <c r="G6" i="1" s="1" a="1"/>
  <c r="G6" i="1" s="1"/>
  <c r="I15" i="1"/>
  <c r="I7" i="1" s="1" a="1"/>
  <c r="I7" i="1" s="1"/>
  <c r="H15" i="1"/>
  <c r="H7" i="1" s="1" a="1"/>
  <c r="H7" i="1" s="1"/>
  <c r="K15" i="1" a="1"/>
  <c r="K15" i="1" s="1"/>
  <c r="K7" i="1" s="1" a="1"/>
  <c r="K7" i="1" s="1"/>
  <c r="L7" i="1" a="1"/>
  <c r="L7" i="1" s="1"/>
  <c r="J7" i="1" a="1"/>
  <c r="J7" i="1" s="1"/>
  <c r="T5" i="1"/>
  <c r="U13" i="1"/>
  <c r="U14" i="1"/>
  <c r="U15" i="1"/>
  <c r="U16" i="1"/>
  <c r="U17" i="1"/>
  <c r="U18" i="1"/>
  <c r="U19" i="1"/>
  <c r="U20" i="1"/>
  <c r="U21" i="1"/>
  <c r="U22" i="1"/>
  <c r="U23" i="1"/>
  <c r="U24" i="1"/>
  <c r="U25" i="1"/>
  <c r="U26" i="1"/>
  <c r="U27" i="1"/>
  <c r="U28" i="1"/>
  <c r="U31" i="1"/>
  <c r="U32" i="1"/>
  <c r="U33" i="1"/>
  <c r="U34" i="1"/>
  <c r="U35" i="1"/>
  <c r="U36" i="1"/>
  <c r="U37" i="1"/>
  <c r="U39" i="1"/>
  <c r="U40" i="1"/>
  <c r="U41" i="1"/>
  <c r="U42" i="1"/>
  <c r="U43" i="1"/>
  <c r="U44" i="1"/>
  <c r="U45" i="1"/>
  <c r="U46" i="1"/>
  <c r="U47" i="1"/>
  <c r="U48" i="1"/>
  <c r="U49" i="1"/>
  <c r="U52" i="1"/>
  <c r="U53" i="1"/>
  <c r="U54" i="1"/>
  <c r="U55" i="1"/>
  <c r="U56" i="1"/>
  <c r="U57" i="1"/>
  <c r="U58" i="1"/>
  <c r="U59" i="1"/>
  <c r="U60" i="1"/>
  <c r="U61" i="1"/>
  <c r="U62" i="1"/>
  <c r="D16" i="11"/>
  <c r="BF40" i="6" l="1"/>
  <c r="BH40" i="6" s="1"/>
  <c r="S11" i="21"/>
  <c r="R13" i="21"/>
  <c r="S13" i="21" s="1"/>
  <c r="R14" i="21"/>
  <c r="S14" i="21" s="1"/>
  <c r="R12" i="21"/>
  <c r="S12" i="21" s="1"/>
  <c r="G6" i="21"/>
  <c r="K7" i="21"/>
  <c r="O9" i="21"/>
  <c r="N11" i="21"/>
  <c r="O11" i="21" s="1"/>
  <c r="N12" i="21"/>
  <c r="O12" i="21" s="1"/>
  <c r="N10" i="21"/>
  <c r="O10" i="21" s="1"/>
  <c r="J10" i="21"/>
  <c r="K10" i="21" s="1"/>
  <c r="J9" i="21"/>
  <c r="K9" i="21" s="1"/>
  <c r="J8" i="21"/>
  <c r="K8" i="21" s="1"/>
  <c r="F8" i="21"/>
  <c r="F7" i="21"/>
  <c r="D21" i="21"/>
  <c r="E21" i="21"/>
  <c r="D22" i="21"/>
  <c r="L7" i="21" s="1"/>
  <c r="E22" i="21"/>
  <c r="D23" i="21"/>
  <c r="E23" i="21"/>
  <c r="D24" i="21"/>
  <c r="E24" i="21"/>
  <c r="D25" i="21"/>
  <c r="E25" i="21"/>
  <c r="D26" i="21"/>
  <c r="T11" i="21" s="1"/>
  <c r="E26" i="21"/>
  <c r="D27" i="21"/>
  <c r="E27" i="21"/>
  <c r="E20" i="21"/>
  <c r="D20" i="21"/>
  <c r="H6" i="21" s="1"/>
  <c r="H36" i="9"/>
  <c r="H37" i="9" s="1"/>
  <c r="V34" i="9"/>
  <c r="W34" i="9" s="1"/>
  <c r="V33" i="9"/>
  <c r="W33" i="9" s="1"/>
  <c r="V32" i="9"/>
  <c r="W32" i="9" s="1"/>
  <c r="V31" i="9"/>
  <c r="W31" i="9" s="1"/>
  <c r="L29" i="9"/>
  <c r="L30" i="9" s="1"/>
  <c r="L31" i="9" s="1"/>
  <c r="P11" i="8"/>
  <c r="O11" i="8"/>
  <c r="W10" i="8"/>
  <c r="P10" i="8"/>
  <c r="O10" i="8"/>
  <c r="P9" i="8"/>
  <c r="O9" i="8"/>
  <c r="W8" i="8"/>
  <c r="P8" i="8"/>
  <c r="O8" i="8"/>
  <c r="W7" i="8"/>
  <c r="P7" i="8"/>
  <c r="O7" i="8"/>
  <c r="P6" i="8"/>
  <c r="O6" i="8"/>
  <c r="W5" i="8"/>
  <c r="W4" i="8"/>
  <c r="Q45" i="24"/>
  <c r="R45" i="24" s="1"/>
  <c r="Q44" i="24"/>
  <c r="R44" i="24" s="1"/>
  <c r="Q43" i="24"/>
  <c r="R43" i="24" s="1"/>
  <c r="Q42" i="24"/>
  <c r="R42" i="24" s="1"/>
  <c r="G41" i="24"/>
  <c r="G42" i="24" s="1"/>
  <c r="G40" i="24"/>
  <c r="T9" i="24"/>
  <c r="T10" i="24" s="1"/>
  <c r="U8" i="24"/>
  <c r="S8" i="24"/>
  <c r="R8" i="24"/>
  <c r="P8" i="24"/>
  <c r="N8" i="24" s="1"/>
  <c r="P7" i="24"/>
  <c r="Q7" i="24" s="1"/>
  <c r="O7" i="24" s="1"/>
  <c r="N7" i="24"/>
  <c r="M7" i="24"/>
  <c r="K7" i="24" s="1"/>
  <c r="L7" i="24"/>
  <c r="J7" i="24"/>
  <c r="H6" i="24"/>
  <c r="I6" i="24" s="1"/>
  <c r="G6" i="24" s="1"/>
  <c r="F6" i="24"/>
  <c r="H7" i="24" s="1"/>
  <c r="Q58" i="21"/>
  <c r="R58" i="21" s="1"/>
  <c r="Q57" i="21"/>
  <c r="R57" i="21" s="1"/>
  <c r="Q56" i="21"/>
  <c r="R56" i="21" s="1"/>
  <c r="Q55" i="21"/>
  <c r="R55" i="21" s="1"/>
  <c r="G52" i="21"/>
  <c r="G53" i="21" s="1"/>
  <c r="U5" i="1"/>
  <c r="P11" i="21" l="1"/>
  <c r="D11" i="21" s="1"/>
  <c r="U13" i="21"/>
  <c r="U14" i="21"/>
  <c r="T14" i="21"/>
  <c r="M9" i="21"/>
  <c r="E9" i="21" s="1"/>
  <c r="M10" i="21"/>
  <c r="E10" i="21" s="1"/>
  <c r="T13" i="21"/>
  <c r="M7" i="21"/>
  <c r="U12" i="21"/>
  <c r="T12" i="21"/>
  <c r="P10" i="21"/>
  <c r="U11" i="21"/>
  <c r="Q12" i="21"/>
  <c r="E12" i="21" s="1"/>
  <c r="M8" i="21"/>
  <c r="Q11" i="21"/>
  <c r="E11" i="21" s="1"/>
  <c r="L10" i="21"/>
  <c r="D10" i="21" s="1"/>
  <c r="Q10" i="21"/>
  <c r="P9" i="21"/>
  <c r="L9" i="21"/>
  <c r="D9" i="21" s="1"/>
  <c r="Q9" i="21"/>
  <c r="P12" i="21"/>
  <c r="D12" i="21" s="1"/>
  <c r="L8" i="21"/>
  <c r="I6" i="21"/>
  <c r="G8" i="21"/>
  <c r="I8" i="21" s="1"/>
  <c r="E8" i="21" s="1"/>
  <c r="G7" i="21"/>
  <c r="I7" i="21" s="1"/>
  <c r="E7" i="21" s="1"/>
  <c r="H7" i="21"/>
  <c r="D7" i="21" s="1"/>
  <c r="H8" i="21"/>
  <c r="D8" i="21" s="1"/>
  <c r="V35" i="9"/>
  <c r="H38" i="9"/>
  <c r="F7" i="24"/>
  <c r="I7" i="24"/>
  <c r="G7" i="24" s="1"/>
  <c r="C47" i="24" s="1"/>
  <c r="U10" i="24"/>
  <c r="S10" i="24" s="1"/>
  <c r="R10" i="24"/>
  <c r="U9" i="24"/>
  <c r="S9" i="24" s="1"/>
  <c r="Q8" i="24"/>
  <c r="O8" i="24" s="1"/>
  <c r="P9" i="24"/>
  <c r="R9" i="24"/>
  <c r="I36" i="9" l="1"/>
  <c r="H39" i="9"/>
  <c r="W35" i="9"/>
  <c r="V36" i="9"/>
  <c r="W36" i="9" s="1"/>
  <c r="C49" i="24"/>
  <c r="Q46" i="24"/>
  <c r="C48" i="24"/>
  <c r="Q9" i="24"/>
  <c r="O9" i="24" s="1"/>
  <c r="N9" i="24"/>
  <c r="I37" i="9" l="1"/>
  <c r="I38" i="9"/>
  <c r="Q47" i="24"/>
  <c r="R47" i="24" s="1"/>
  <c r="R46" i="24"/>
  <c r="D47" i="24"/>
  <c r="C50" i="24"/>
  <c r="I39" i="9" l="1"/>
  <c r="J36" i="9"/>
  <c r="D48" i="24"/>
  <c r="D49" i="24"/>
  <c r="J37" i="9" l="1"/>
  <c r="J38" i="9"/>
  <c r="D50" i="24"/>
  <c r="E47" i="24"/>
  <c r="J39" i="9" l="1"/>
  <c r="K36" i="9"/>
  <c r="E48" i="24"/>
  <c r="E49" i="24"/>
  <c r="K38" i="9" l="1"/>
  <c r="K37" i="9"/>
  <c r="E50" i="24"/>
  <c r="F47" i="24"/>
  <c r="K39" i="9" l="1"/>
  <c r="L36" i="9"/>
  <c r="F49" i="24"/>
  <c r="F48" i="24"/>
  <c r="L37" i="9" l="1"/>
  <c r="L38" i="9"/>
  <c r="F50" i="24"/>
  <c r="G47" i="24"/>
  <c r="L39" i="9" l="1"/>
  <c r="M36" i="9"/>
  <c r="G48" i="24"/>
  <c r="G49" i="24"/>
  <c r="M37" i="9" l="1"/>
  <c r="M38" i="9"/>
  <c r="G50" i="24"/>
  <c r="H47" i="24"/>
  <c r="N36" i="9" l="1"/>
  <c r="M39" i="9"/>
  <c r="H48" i="24"/>
  <c r="H49" i="24"/>
  <c r="N37" i="9" l="1"/>
  <c r="N38" i="9"/>
  <c r="I47" i="24"/>
  <c r="H50" i="24"/>
  <c r="O36" i="9" l="1"/>
  <c r="N39" i="9"/>
  <c r="I48" i="24"/>
  <c r="I49" i="24"/>
  <c r="O37" i="9" l="1"/>
  <c r="O38" i="9"/>
  <c r="J47" i="24"/>
  <c r="I50" i="24"/>
  <c r="V37" i="9" l="1"/>
  <c r="P36" i="9"/>
  <c r="O39" i="9"/>
  <c r="J48" i="24"/>
  <c r="J49" i="24"/>
  <c r="P37" i="9" l="1"/>
  <c r="P38" i="9"/>
  <c r="P39" i="9" s="1"/>
  <c r="W37" i="9"/>
  <c r="V38" i="9"/>
  <c r="W38" i="9" s="1"/>
  <c r="Q48" i="24"/>
  <c r="J50" i="24"/>
  <c r="K47" i="24"/>
  <c r="K48" i="24" l="1"/>
  <c r="K49" i="24"/>
  <c r="K50" i="24" s="1"/>
  <c r="R48" i="24"/>
  <c r="Q49" i="24"/>
  <c r="R49" i="24" s="1"/>
  <c r="N6" i="6" l="1"/>
  <c r="C59" i="21" l="1"/>
  <c r="C61" i="21" l="1"/>
  <c r="C60" i="21"/>
  <c r="Q59" i="21"/>
  <c r="Q60" i="21" l="1"/>
  <c r="R60" i="21" s="1"/>
  <c r="R59" i="21"/>
  <c r="D59" i="21"/>
  <c r="C62" i="21"/>
  <c r="D61" i="21" l="1"/>
  <c r="D60" i="21"/>
  <c r="D62" i="21" l="1"/>
  <c r="E59" i="21"/>
  <c r="E60" i="21" l="1"/>
  <c r="E61" i="21"/>
  <c r="E62" i="21" l="1"/>
  <c r="F59" i="21"/>
  <c r="F60" i="21" l="1"/>
  <c r="F61" i="21"/>
  <c r="F62" i="21" l="1"/>
  <c r="G59" i="21"/>
  <c r="G60" i="21" l="1"/>
  <c r="G61" i="21"/>
  <c r="G62" i="21" l="1"/>
  <c r="H59" i="21"/>
  <c r="H61" i="21" l="1"/>
  <c r="H60" i="21"/>
  <c r="I59" i="21" l="1"/>
  <c r="H62" i="21"/>
  <c r="P11" i="6"/>
  <c r="Q11" i="6" s="1"/>
  <c r="P10" i="6"/>
  <c r="Q10" i="6" s="1"/>
  <c r="P9" i="6"/>
  <c r="Q9" i="6" s="1"/>
  <c r="N9" i="6"/>
  <c r="P8" i="6"/>
  <c r="Q8" i="6" s="1"/>
  <c r="N8" i="6"/>
  <c r="P7" i="6"/>
  <c r="Q7" i="6" s="1"/>
  <c r="N7" i="6"/>
  <c r="P6" i="6"/>
  <c r="Q6" i="6" s="1"/>
  <c r="AH19" i="11"/>
  <c r="AH7" i="11"/>
  <c r="AH6" i="11"/>
  <c r="AH4" i="11"/>
  <c r="AC20" i="11"/>
  <c r="AC13" i="11"/>
  <c r="AC12" i="11"/>
  <c r="AC11" i="11"/>
  <c r="AC10" i="11"/>
  <c r="AC9" i="11"/>
  <c r="AC5" i="11"/>
  <c r="AC4" i="11"/>
  <c r="AC8" i="11" s="1"/>
  <c r="N5" i="11"/>
  <c r="N4" i="11"/>
  <c r="AH42" i="1"/>
  <c r="S39" i="1" s="1"/>
  <c r="AF42" i="1"/>
  <c r="AD42" i="1"/>
  <c r="S51" i="1" s="1"/>
  <c r="U51" i="1" s="1"/>
  <c r="AB42" i="1"/>
  <c r="S38" i="1" s="1"/>
  <c r="U38" i="1" s="1"/>
  <c r="X11" i="1"/>
  <c r="W11" i="1"/>
  <c r="AF23" i="1"/>
  <c r="S30" i="1" s="1"/>
  <c r="U30" i="1" s="1"/>
  <c r="AD23" i="1"/>
  <c r="S29" i="1" s="1"/>
  <c r="U29" i="1" s="1"/>
  <c r="AB23" i="1"/>
  <c r="S24" i="1" s="1"/>
  <c r="AH3" i="1"/>
  <c r="S18" i="1" s="1"/>
  <c r="AF3" i="1"/>
  <c r="S16" i="1" s="1"/>
  <c r="AD3" i="1"/>
  <c r="S14" i="1" s="1"/>
  <c r="AB3" i="1"/>
  <c r="S12" i="1" s="1"/>
  <c r="U12" i="1" s="1"/>
  <c r="I61" i="21" l="1"/>
  <c r="I60" i="21"/>
  <c r="S13" i="1"/>
  <c r="AC6" i="11"/>
  <c r="AC7" i="11"/>
  <c r="X18" i="11"/>
  <c r="S17" i="1"/>
  <c r="S50" i="1"/>
  <c r="U50" i="1" s="1"/>
  <c r="U11" i="1" s="1"/>
  <c r="S15" i="1"/>
  <c r="D11" i="2"/>
  <c r="D9" i="2"/>
  <c r="D14" i="2" s="1"/>
  <c r="V11" i="1" l="1"/>
  <c r="D7" i="1" s="1" a="1"/>
  <c r="D7" i="1" s="1"/>
  <c r="D4" i="2"/>
  <c r="D6" i="2"/>
  <c r="D7" i="2" s="1"/>
  <c r="I4" i="11" s="1" a="1"/>
  <c r="I4" i="11" s="1"/>
  <c r="I17" i="11" s="1"/>
  <c r="J59" i="21"/>
  <c r="I62" i="21"/>
  <c r="T11" i="1"/>
  <c r="X16" i="11"/>
  <c r="X17" i="11"/>
  <c r="C7" i="1"/>
  <c r="D15" i="11" l="1"/>
  <c r="D17" i="11" s="1"/>
  <c r="D8" i="1"/>
  <c r="D6" i="1"/>
  <c r="J61" i="21"/>
  <c r="J60" i="21"/>
  <c r="S11" i="1"/>
  <c r="F6" i="1"/>
  <c r="E6" i="1"/>
  <c r="C6" i="1"/>
  <c r="Q61" i="21" l="1"/>
  <c r="K59" i="21"/>
  <c r="J62" i="21"/>
  <c r="K60" i="21" l="1"/>
  <c r="K61" i="21"/>
  <c r="K62" i="21" s="1"/>
  <c r="R61" i="21"/>
  <c r="Q62" i="21"/>
  <c r="R62" i="21" s="1"/>
  <c r="K6" i="1" a="1"/>
  <c r="K6" i="1" s="1"/>
  <c r="L6" i="1" a="1"/>
  <c r="L6" i="1" s="1"/>
  <c r="J6" i="1" a="1"/>
  <c r="J6" i="1" s="1"/>
  <c r="I6" i="1" a="1"/>
  <c r="I6" i="1" s="1"/>
  <c r="H6" i="1" a="1"/>
  <c r="H6" i="1" s="1"/>
  <c r="BH4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沖本和貴</author>
    <author>@mtk_birdman</author>
  </authors>
  <commentList>
    <comment ref="AG4" authorId="0"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I21" authorId="1" shapeId="0" xr:uid="{4A9182D3-4838-4B1C-8C2A-BE8CEE7802B3}">
      <text>
        <r>
          <rPr>
            <b/>
            <sz val="9"/>
            <color rgb="FF000000"/>
            <rFont val="游ゴシック"/>
            <family val="3"/>
            <charset val="128"/>
          </rPr>
          <t>@mtk_birdman:</t>
        </r>
        <r>
          <rPr>
            <sz val="9"/>
            <color rgb="FF000000"/>
            <rFont val="游ゴシック"/>
            <family val="3"/>
            <charset val="128"/>
          </rPr>
          <t xml:space="preserve">
</t>
        </r>
        <r>
          <rPr>
            <sz val="9"/>
            <color rgb="FF000000"/>
            <rFont val="MS P ゴシック"/>
            <charset val="128"/>
          </rPr>
          <t>定常滑空とは</t>
        </r>
        <r>
          <rPr>
            <sz val="9"/>
            <color rgb="FF000000"/>
            <rFont val="游ゴシック"/>
            <family val="3"/>
            <charset val="128"/>
          </rPr>
          <t xml:space="preserve">
</t>
        </r>
        <r>
          <rPr>
            <sz val="9"/>
            <color rgb="FF000000"/>
            <rFont val="游ゴシック"/>
            <family val="3"/>
            <charset val="128"/>
          </rPr>
          <t>θ=0</t>
        </r>
        <r>
          <rPr>
            <sz val="9"/>
            <color rgb="FF000000"/>
            <rFont val="MS P ゴシック"/>
            <charset val="128"/>
          </rPr>
          <t>，</t>
        </r>
        <r>
          <rPr>
            <sz val="9"/>
            <color rgb="FF000000"/>
            <rFont val="游ゴシック"/>
            <family val="3"/>
            <charset val="128"/>
          </rPr>
          <t xml:space="preserve">α=-γ
</t>
        </r>
        <r>
          <rPr>
            <sz val="9"/>
            <color rgb="FF000000"/>
            <rFont val="MS P ゴシック"/>
            <charset val="128"/>
          </rPr>
          <t>の状態である</t>
        </r>
      </text>
    </comment>
    <comment ref="L21" authorId="0" shapeId="0" xr:uid="{025AC85D-9F44-4DF7-A460-3CEE865E7FB8}">
      <text>
        <r>
          <rPr>
            <b/>
            <sz val="9"/>
            <color indexed="81"/>
            <rFont val="MS P ゴシック"/>
            <family val="3"/>
            <charset val="128"/>
          </rPr>
          <t>沖本和貴:</t>
        </r>
        <r>
          <rPr>
            <sz val="9"/>
            <color indexed="81"/>
            <rFont val="MS P ゴシック"/>
            <family val="3"/>
            <charset val="128"/>
          </rPr>
          <t xml:space="preserve">
0番桁中心からの距離</t>
        </r>
      </text>
    </comment>
    <comment ref="AH27" authorId="0"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AF28" authorId="1"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AF29" authorId="0"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AF30" authorId="0"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AH31" authorId="0"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D12" authorId="0" shapeId="0" xr:uid="{3BF1B8BE-A509-4007-8FA5-EE59E9A6C97F}">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H3" authorId="0" shapeId="0" xr:uid="{1E820009-CCEC-F748-A3CA-61D3DD05923C}">
      <text>
        <r>
          <rPr>
            <sz val="10"/>
            <color rgb="FF000000"/>
            <rFont val="Yu Gothic UI"/>
          </rPr>
          <t>後縁から翼上面を通って前縁を回り、翼下面を通って再び後縁に戻る軌道を</t>
        </r>
        <r>
          <rPr>
            <sz val="10"/>
            <color rgb="FF000000"/>
            <rFont val="Yu Gothic UI"/>
          </rPr>
          <t>-1~1</t>
        </r>
        <r>
          <rPr>
            <sz val="10"/>
            <color rgb="FF000000"/>
            <rFont val="Yu Gothic UI"/>
          </rPr>
          <t>で表す。</t>
        </r>
        <r>
          <rPr>
            <sz val="10"/>
            <color rgb="FF000000"/>
            <rFont val="Yu Gothic UI"/>
          </rPr>
          <t xml:space="preserve">
</t>
        </r>
        <r>
          <rPr>
            <sz val="10"/>
            <color rgb="FF000000"/>
            <rFont val="Yu Gothic UI"/>
          </rPr>
          <t>例えば上面の</t>
        </r>
        <r>
          <rPr>
            <sz val="10"/>
            <color rgb="FF000000"/>
            <rFont val="Yu Gothic UI"/>
          </rPr>
          <t>60%</t>
        </r>
        <r>
          <rPr>
            <sz val="10"/>
            <color rgb="FF000000"/>
            <rFont val="Yu Gothic UI"/>
          </rPr>
          <t>位置は</t>
        </r>
        <r>
          <rPr>
            <sz val="10"/>
            <color rgb="FF000000"/>
            <rFont val="Yu Gothic UI"/>
          </rPr>
          <t>-0.6</t>
        </r>
        <r>
          <rPr>
            <sz val="10"/>
            <color rgb="FF000000"/>
            <rFont val="Yu Gothic UI"/>
          </rPr>
          <t>となる。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B4" authorId="0" shapeId="0" xr:uid="{F358353B-3254-2C4D-8A7D-BD75F2766E10}">
      <text>
        <r>
          <rPr>
            <b/>
            <sz val="9"/>
            <color indexed="81"/>
            <rFont val="MS P ゴシック"/>
            <family val="3"/>
            <charset val="128"/>
          </rPr>
          <t>沖本和貴:</t>
        </r>
        <r>
          <rPr>
            <sz val="9"/>
            <color indexed="81"/>
            <rFont val="MS P ゴシック"/>
            <family val="3"/>
            <charset val="128"/>
          </rPr>
          <t xml:space="preserve">
側面翼型のコード長 [m]</t>
        </r>
      </text>
    </comment>
    <comment ref="B5" authorId="0" shapeId="0" xr:uid="{B02C4217-5892-3948-A1C2-F8DCEEB27B49}">
      <text>
        <r>
          <rPr>
            <b/>
            <sz val="9"/>
            <color indexed="81"/>
            <rFont val="MS P ゴシック"/>
            <family val="3"/>
            <charset val="128"/>
          </rPr>
          <t>沖本和貴:</t>
        </r>
        <r>
          <rPr>
            <sz val="9"/>
            <color indexed="81"/>
            <rFont val="MS P ゴシック"/>
            <family val="3"/>
            <charset val="128"/>
          </rPr>
          <t xml:space="preserve">
桁中心を原点としたカウルの前縁位置</t>
        </r>
      </text>
    </comment>
    <comment ref="B8" authorId="0" shapeId="0" xr:uid="{4CCF7704-6632-8D47-ACC3-0E7CC23FED8B}">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B11" authorId="0" shapeId="0" xr:uid="{A01369A7-3177-CD48-9ABF-D3E4C5A86C66}">
      <text>
        <r>
          <rPr>
            <b/>
            <sz val="9"/>
            <color indexed="81"/>
            <rFont val="MS P ゴシック"/>
            <family val="3"/>
            <charset val="128"/>
          </rPr>
          <t>沖本和貴:</t>
        </r>
        <r>
          <rPr>
            <sz val="9"/>
            <color indexed="81"/>
            <rFont val="MS P ゴシック"/>
            <family val="3"/>
            <charset val="128"/>
          </rPr>
          <t xml:space="preserve">
Fusion360用にフレームをcsvファイルで出力する
0:する．1：しない</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F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Z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<sst xmlns="http://schemas.openxmlformats.org/spreadsheetml/2006/main" count="3130" uniqueCount="1264">
  <si>
    <t>名前</t>
    <rPh sb="0" eb="2">
      <t>ナマエ</t>
    </rPh>
    <phoneticPr fontId="3"/>
  </si>
  <si>
    <t>推算</t>
    <rPh sb="0" eb="2">
      <t>スイサn</t>
    </rPh>
    <phoneticPr fontId="3"/>
  </si>
  <si>
    <t>重心位置</t>
    <rPh sb="0" eb="4">
      <t>ジュウシn</t>
    </rPh>
    <phoneticPr fontId="3"/>
  </si>
  <si>
    <t>脚</t>
    <rPh sb="0" eb="1">
      <t xml:space="preserve">アシ </t>
    </rPh>
    <phoneticPr fontId="3"/>
  </si>
  <si>
    <t>合計</t>
    <rPh sb="0" eb="2">
      <t>ゴウケイ</t>
    </rPh>
    <phoneticPr fontId="3"/>
  </si>
  <si>
    <t>m</t>
    <phoneticPr fontId="3"/>
  </si>
  <si>
    <t>kg</t>
    <phoneticPr fontId="3"/>
  </si>
  <si>
    <t>カウル</t>
    <phoneticPr fontId="3"/>
  </si>
  <si>
    <t>脚マウント</t>
    <rPh sb="0" eb="1">
      <t xml:space="preserve">アシ </t>
    </rPh>
    <phoneticPr fontId="3"/>
  </si>
  <si>
    <t>サーボマウント</t>
    <phoneticPr fontId="3"/>
  </si>
  <si>
    <t>さすまた</t>
    <phoneticPr fontId="3"/>
  </si>
  <si>
    <t>桁</t>
    <rPh sb="0" eb="1">
      <t>ケタ</t>
    </rPh>
    <phoneticPr fontId="3"/>
  </si>
  <si>
    <t>リブ</t>
    <phoneticPr fontId="3"/>
  </si>
  <si>
    <t>プランク</t>
    <phoneticPr fontId="3"/>
  </si>
  <si>
    <t>リブ材</t>
    <rPh sb="2" eb="3">
      <t>ザイ</t>
    </rPh>
    <phoneticPr fontId="3"/>
  </si>
  <si>
    <t>後縁材</t>
    <rPh sb="0" eb="3">
      <t>コウエンザイ</t>
    </rPh>
    <phoneticPr fontId="3"/>
  </si>
  <si>
    <t>縦通材</t>
    <rPh sb="0" eb="3">
      <t>ジュウツウザイ</t>
    </rPh>
    <phoneticPr fontId="3"/>
  </si>
  <si>
    <t>接着剤</t>
    <rPh sb="0" eb="3">
      <t>セッチャクザイ</t>
    </rPh>
    <phoneticPr fontId="3"/>
  </si>
  <si>
    <t>ねじり止め</t>
    <rPh sb="3" eb="4">
      <t>ド</t>
    </rPh>
    <phoneticPr fontId="3"/>
  </si>
  <si>
    <t>重量</t>
    <rPh sb="0" eb="2">
      <t>ジュウリョウ</t>
    </rPh>
    <phoneticPr fontId="3"/>
  </si>
  <si>
    <t>x</t>
    <phoneticPr fontId="3"/>
  </si>
  <si>
    <t>M</t>
    <phoneticPr fontId="3"/>
  </si>
  <si>
    <t>y</t>
    <phoneticPr fontId="3"/>
  </si>
  <si>
    <t>z</t>
    <phoneticPr fontId="3"/>
  </si>
  <si>
    <t>慣性モーメント</t>
    <rPh sb="0" eb="2">
      <t>カンセイ</t>
    </rPh>
    <phoneticPr fontId="3"/>
  </si>
  <si>
    <t>Ixx</t>
  </si>
  <si>
    <t>Ixx</t>
    <phoneticPr fontId="3"/>
  </si>
  <si>
    <t>Iyy</t>
  </si>
  <si>
    <t>Iyy</t>
    <phoneticPr fontId="3"/>
  </si>
  <si>
    <t>Izz</t>
  </si>
  <si>
    <t>Izz</t>
    <phoneticPr fontId="3"/>
  </si>
  <si>
    <t>Ixy</t>
  </si>
  <si>
    <t>Ixy</t>
    <phoneticPr fontId="3"/>
  </si>
  <si>
    <t>Iyz</t>
  </si>
  <si>
    <t>Iyz</t>
    <phoneticPr fontId="3"/>
  </si>
  <si>
    <t>Izx</t>
    <phoneticPr fontId="3"/>
  </si>
  <si>
    <t>kg</t>
  </si>
  <si>
    <t>m</t>
  </si>
  <si>
    <t>kg*m^2</t>
    <phoneticPr fontId="3"/>
  </si>
  <si>
    <t>全機</t>
    <rPh sb="0" eb="2">
      <t>ゼンキ</t>
    </rPh>
    <phoneticPr fontId="3"/>
  </si>
  <si>
    <t>主翼</t>
    <rPh sb="0" eb="2">
      <t>シュヨク</t>
    </rPh>
    <phoneticPr fontId="3"/>
  </si>
  <si>
    <t>カウル</t>
  </si>
  <si>
    <t>脚</t>
    <rPh sb="0" eb="1">
      <t>アシ</t>
    </rPh>
    <phoneticPr fontId="3"/>
  </si>
  <si>
    <t>その他</t>
    <rPh sb="2" eb="3">
      <t>タ</t>
    </rPh>
    <phoneticPr fontId="3"/>
  </si>
  <si>
    <t>要素</t>
    <rPh sb="0" eb="2">
      <t>ヨウソ</t>
    </rPh>
    <phoneticPr fontId="3"/>
  </si>
  <si>
    <t>-</t>
  </si>
  <si>
    <t>-</t>
    <phoneticPr fontId="3"/>
  </si>
  <si>
    <t>パイロット</t>
  </si>
  <si>
    <t>パイロット（服、ヘルメット、靴込み）</t>
    <rPh sb="6" eb="7">
      <t>フク</t>
    </rPh>
    <rPh sb="14" eb="15">
      <t>クツ</t>
    </rPh>
    <rPh sb="15" eb="16">
      <t>コ</t>
    </rPh>
    <phoneticPr fontId="3"/>
  </si>
  <si>
    <t>水平尾翼</t>
  </si>
  <si>
    <t>水平尾翼</t>
    <rPh sb="0" eb="2">
      <t>スイヘイ</t>
    </rPh>
    <rPh sb="2" eb="4">
      <t>ビヨク</t>
    </rPh>
    <phoneticPr fontId="3"/>
  </si>
  <si>
    <t>垂直尾翼</t>
    <rPh sb="0" eb="2">
      <t>スイチョク</t>
    </rPh>
    <rPh sb="2" eb="4">
      <t>ビヨク</t>
    </rPh>
    <phoneticPr fontId="3"/>
  </si>
  <si>
    <t>軸受け</t>
    <rPh sb="0" eb="2">
      <t>ジクウ</t>
    </rPh>
    <phoneticPr fontId="3"/>
  </si>
  <si>
    <t>ダイワニャン</t>
    <phoneticPr fontId="3"/>
  </si>
  <si>
    <t>安定板</t>
    <rPh sb="0" eb="3">
      <t>アンテイバン</t>
    </rPh>
    <phoneticPr fontId="3"/>
  </si>
  <si>
    <t>舵面</t>
    <rPh sb="0" eb="2">
      <t>ダメン</t>
    </rPh>
    <phoneticPr fontId="3"/>
  </si>
  <si>
    <t>胴体</t>
    <rPh sb="0" eb="2">
      <t>ドウタイ</t>
    </rPh>
    <phoneticPr fontId="3"/>
  </si>
  <si>
    <t>テールバー</t>
    <phoneticPr fontId="3"/>
  </si>
  <si>
    <t>環境条件</t>
    <rPh sb="0" eb="2">
      <t>カンキョウ</t>
    </rPh>
    <rPh sb="2" eb="4">
      <t>ジョウケン</t>
    </rPh>
    <phoneticPr fontId="3"/>
  </si>
  <si>
    <t>名</t>
    <rPh sb="0" eb="1">
      <t>メイ</t>
    </rPh>
    <phoneticPr fontId="3"/>
  </si>
  <si>
    <t>記号</t>
    <rPh sb="0" eb="2">
      <t>キゴウ</t>
    </rPh>
    <phoneticPr fontId="3"/>
  </si>
  <si>
    <t>値</t>
    <rPh sb="0" eb="1">
      <t>アタイ</t>
    </rPh>
    <phoneticPr fontId="3"/>
  </si>
  <si>
    <t>単位</t>
    <rPh sb="0" eb="2">
      <t>タンイ</t>
    </rPh>
    <phoneticPr fontId="3"/>
  </si>
  <si>
    <t>備考</t>
    <rPh sb="0" eb="2">
      <t>ビコウ</t>
    </rPh>
    <phoneticPr fontId="3"/>
  </si>
  <si>
    <t>空気密度</t>
    <rPh sb="0" eb="2">
      <t>クウキ</t>
    </rPh>
    <rPh sb="2" eb="4">
      <t>ミツド</t>
    </rPh>
    <phoneticPr fontId="3"/>
  </si>
  <si>
    <t>ρ</t>
    <phoneticPr fontId="3"/>
  </si>
  <si>
    <t>kg/m^3</t>
    <phoneticPr fontId="3"/>
  </si>
  <si>
    <t>https://pigeon-poppo.com/standard-atmosphere/</t>
    <phoneticPr fontId="3"/>
  </si>
  <si>
    <t>重力加速度</t>
    <rPh sb="0" eb="2">
      <t>ジュウリョク</t>
    </rPh>
    <rPh sb="2" eb="5">
      <t>カソクド</t>
    </rPh>
    <phoneticPr fontId="3"/>
  </si>
  <si>
    <t>g</t>
    <phoneticPr fontId="3"/>
  </si>
  <si>
    <t>m/s^2</t>
    <phoneticPr fontId="3"/>
  </si>
  <si>
    <t>https://unit.aist.go.jp/riem/lgl-apr/requirement/mass/approval/GravityAria_info2.pdf</t>
    <phoneticPr fontId="3"/>
  </si>
  <si>
    <t>粘性係数</t>
    <rPh sb="0" eb="2">
      <t>ネンセイ</t>
    </rPh>
    <rPh sb="2" eb="4">
      <t>ケイスウ</t>
    </rPh>
    <phoneticPr fontId="3"/>
  </si>
  <si>
    <t>μ</t>
    <phoneticPr fontId="3"/>
  </si>
  <si>
    <t>N・s/m^2</t>
    <phoneticPr fontId="3"/>
  </si>
  <si>
    <t>https://pigeon-poppo.com/standard-atmosphere/</t>
  </si>
  <si>
    <t>動粘性係数</t>
    <rPh sb="0" eb="5">
      <t>ドウネンセイケイスウ</t>
    </rPh>
    <phoneticPr fontId="3"/>
  </si>
  <si>
    <t>ν</t>
    <phoneticPr fontId="3"/>
  </si>
  <si>
    <t>m^2/s</t>
    <phoneticPr fontId="3"/>
  </si>
  <si>
    <t>気温</t>
    <rPh sb="0" eb="2">
      <t>キオン</t>
    </rPh>
    <phoneticPr fontId="3"/>
  </si>
  <si>
    <t>T</t>
    <phoneticPr fontId="3"/>
  </si>
  <si>
    <t>℃</t>
    <phoneticPr fontId="3"/>
  </si>
  <si>
    <t>K</t>
    <phoneticPr fontId="3"/>
  </si>
  <si>
    <t>圧力</t>
    <rPh sb="0" eb="2">
      <t>アツリョク</t>
    </rPh>
    <phoneticPr fontId="3"/>
  </si>
  <si>
    <t>P</t>
    <phoneticPr fontId="3"/>
  </si>
  <si>
    <t>hPa</t>
    <phoneticPr fontId="3"/>
  </si>
  <si>
    <t>Pa</t>
    <phoneticPr fontId="3"/>
  </si>
  <si>
    <t>一般気体定数</t>
    <rPh sb="0" eb="2">
      <t>イッパン</t>
    </rPh>
    <rPh sb="2" eb="4">
      <t>キタイ</t>
    </rPh>
    <rPh sb="4" eb="6">
      <t>テイスウ</t>
    </rPh>
    <phoneticPr fontId="3"/>
  </si>
  <si>
    <t>R</t>
    <phoneticPr fontId="3"/>
  </si>
  <si>
    <t>J/kg・K</t>
    <phoneticPr fontId="3"/>
  </si>
  <si>
    <t>比熱比</t>
    <rPh sb="0" eb="2">
      <t>ヒネツ</t>
    </rPh>
    <rPh sb="2" eb="3">
      <t>ヒ</t>
    </rPh>
    <phoneticPr fontId="3"/>
  </si>
  <si>
    <t>κ</t>
    <phoneticPr fontId="3"/>
  </si>
  <si>
    <t>音速</t>
    <rPh sb="0" eb="2">
      <t>オンソク</t>
    </rPh>
    <phoneticPr fontId="3"/>
  </si>
  <si>
    <t>a</t>
    <phoneticPr fontId="3"/>
  </si>
  <si>
    <t>m/s</t>
    <phoneticPr fontId="3"/>
  </si>
  <si>
    <t>カルマン定数</t>
    <rPh sb="4" eb="6">
      <t>テイスウ</t>
    </rPh>
    <phoneticPr fontId="3"/>
  </si>
  <si>
    <t>k</t>
    <phoneticPr fontId="3"/>
  </si>
  <si>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3"/>
  </si>
  <si>
    <t>粗度</t>
    <rPh sb="0" eb="1">
      <t>アラ</t>
    </rPh>
    <rPh sb="1" eb="2">
      <t>ド</t>
    </rPh>
    <phoneticPr fontId="3"/>
  </si>
  <si>
    <t>z0</t>
    <phoneticPr fontId="3"/>
  </si>
  <si>
    <t>プリプレグ</t>
    <phoneticPr fontId="3"/>
  </si>
  <si>
    <t>品番</t>
    <rPh sb="0" eb="2">
      <t>ヒンバン</t>
    </rPh>
    <phoneticPr fontId="3"/>
  </si>
  <si>
    <t>MR380G150S</t>
    <phoneticPr fontId="3"/>
  </si>
  <si>
    <t>HRX350G125S</t>
    <phoneticPr fontId="3"/>
  </si>
  <si>
    <t>Carbon</t>
    <phoneticPr fontId="3"/>
  </si>
  <si>
    <t>MR60H</t>
    <phoneticPr fontId="3"/>
  </si>
  <si>
    <t>M40J相当</t>
    <rPh sb="4" eb="6">
      <t>ソウトウ</t>
    </rPh>
    <phoneticPr fontId="3"/>
  </si>
  <si>
    <t>Resin</t>
    <phoneticPr fontId="3"/>
  </si>
  <si>
    <t>#350</t>
    <phoneticPr fontId="3"/>
  </si>
  <si>
    <t>FAW</t>
    <phoneticPr fontId="3"/>
  </si>
  <si>
    <t>g/m^2</t>
    <phoneticPr fontId="3"/>
  </si>
  <si>
    <t>Resin Content</t>
    <phoneticPr fontId="3"/>
  </si>
  <si>
    <t>Curing Condition</t>
    <phoneticPr fontId="3"/>
  </si>
  <si>
    <t xml:space="preserve"> </t>
    <phoneticPr fontId="3"/>
  </si>
  <si>
    <t>強度</t>
    <rPh sb="0" eb="2">
      <t>キョウド</t>
    </rPh>
    <phoneticPr fontId="3"/>
  </si>
  <si>
    <t>FLt</t>
    <phoneticPr fontId="3"/>
  </si>
  <si>
    <t>GPa</t>
    <phoneticPr fontId="3"/>
  </si>
  <si>
    <t>ヤング率</t>
    <rPh sb="3" eb="4">
      <t>リツ</t>
    </rPh>
    <phoneticPr fontId="3"/>
  </si>
  <si>
    <t>ELt</t>
    <phoneticPr fontId="3"/>
  </si>
  <si>
    <t>ポアソン比</t>
    <rPh sb="4" eb="5">
      <t>ヒ</t>
    </rPh>
    <phoneticPr fontId="3"/>
  </si>
  <si>
    <t>νLt</t>
    <phoneticPr fontId="3"/>
  </si>
  <si>
    <t>FTt</t>
    <phoneticPr fontId="3"/>
  </si>
  <si>
    <t>νTt</t>
    <phoneticPr fontId="3"/>
  </si>
  <si>
    <t>FLc</t>
    <phoneticPr fontId="3"/>
  </si>
  <si>
    <t>νLc</t>
    <phoneticPr fontId="3"/>
  </si>
  <si>
    <t>FTc</t>
    <phoneticPr fontId="3"/>
  </si>
  <si>
    <t>FLT</t>
    <phoneticPr fontId="3"/>
  </si>
  <si>
    <t>せん断</t>
    <rPh sb="2" eb="3">
      <t>ダン</t>
    </rPh>
    <phoneticPr fontId="3"/>
  </si>
  <si>
    <t>GLT</t>
    <phoneticPr fontId="3"/>
  </si>
  <si>
    <t>F1</t>
    <phoneticPr fontId="3"/>
  </si>
  <si>
    <t>層間せん断</t>
    <rPh sb="0" eb="2">
      <t>ソウカン</t>
    </rPh>
    <rPh sb="4" eb="5">
      <t>ダン</t>
    </rPh>
    <phoneticPr fontId="3"/>
  </si>
  <si>
    <t>厚さ</t>
    <rPh sb="0" eb="1">
      <t>アツ</t>
    </rPh>
    <phoneticPr fontId="3"/>
  </si>
  <si>
    <t>t</t>
    <phoneticPr fontId="3"/>
  </si>
  <si>
    <t>mm/ply</t>
    <phoneticPr fontId="3"/>
  </si>
  <si>
    <t>計算条件</t>
    <rPh sb="0" eb="2">
      <t>ケイサン</t>
    </rPh>
    <rPh sb="2" eb="4">
      <t>ジョウケン</t>
    </rPh>
    <phoneticPr fontId="3"/>
  </si>
  <si>
    <t>購入先</t>
    <rPh sb="0" eb="3">
      <t>コウニュウサキ</t>
    </rPh>
    <phoneticPr fontId="3"/>
  </si>
  <si>
    <t>密度</t>
    <rPh sb="0" eb="2">
      <t>ミツド</t>
    </rPh>
    <phoneticPr fontId="3"/>
  </si>
  <si>
    <t>CFRP</t>
    <phoneticPr fontId="3"/>
  </si>
  <si>
    <t>50倍発泡</t>
    <rPh sb="2" eb="3">
      <t>バイ</t>
    </rPh>
    <rPh sb="3" eb="5">
      <t>ハッポウ</t>
    </rPh>
    <phoneticPr fontId="3"/>
  </si>
  <si>
    <t>30倍発泡</t>
    <rPh sb="2" eb="3">
      <t>バイ</t>
    </rPh>
    <rPh sb="3" eb="5">
      <t>ハッポウ</t>
    </rPh>
    <phoneticPr fontId="3"/>
  </si>
  <si>
    <t>ヒノキ</t>
    <phoneticPr fontId="3"/>
  </si>
  <si>
    <t>エスレン</t>
    <phoneticPr fontId="3"/>
  </si>
  <si>
    <t>ソプラ</t>
    <phoneticPr fontId="3"/>
  </si>
  <si>
    <t>トーラミ</t>
    <phoneticPr fontId="3"/>
  </si>
  <si>
    <t>アルミ</t>
    <phoneticPr fontId="3"/>
  </si>
  <si>
    <t>ジュラルミン</t>
    <phoneticPr fontId="3"/>
  </si>
  <si>
    <t>引張強度</t>
    <rPh sb="0" eb="2">
      <t>ヒッパリ</t>
    </rPh>
    <rPh sb="2" eb="4">
      <t>キョウド</t>
    </rPh>
    <phoneticPr fontId="3"/>
  </si>
  <si>
    <t>せん断強度</t>
    <rPh sb="2" eb="3">
      <t>ダン</t>
    </rPh>
    <rPh sb="3" eb="5">
      <t>キョウド</t>
    </rPh>
    <phoneticPr fontId="3"/>
  </si>
  <si>
    <t>繊維方向・圧縮</t>
    <rPh sb="5" eb="7">
      <t>アッシュク</t>
    </rPh>
    <phoneticPr fontId="3"/>
  </si>
  <si>
    <t>直交方向・引張</t>
    <rPh sb="0" eb="2">
      <t>チョッコウ</t>
    </rPh>
    <phoneticPr fontId="3"/>
  </si>
  <si>
    <t>繊維方向・引張</t>
    <phoneticPr fontId="3"/>
  </si>
  <si>
    <t>直交方向・圧縮</t>
    <rPh sb="0" eb="2">
      <t>チョッコウ</t>
    </rPh>
    <rPh sb="5" eb="7">
      <t>アッシュク</t>
    </rPh>
    <phoneticPr fontId="3"/>
  </si>
  <si>
    <t>νTc</t>
    <phoneticPr fontId="3"/>
  </si>
  <si>
    <t>記号</t>
  </si>
  <si>
    <t>値</t>
  </si>
  <si>
    <t>単位</t>
  </si>
  <si>
    <t>三菱ケミカル：https://www.m-chemical.co.jp/products/field/carbon/index.html
株式会社カナエ：https://www.kanae-kbs.co.jp/chemical/</t>
    <rPh sb="0" eb="2">
      <t>ミツビシ</t>
    </rPh>
    <rPh sb="69" eb="73">
      <t>カブシキガイシャ</t>
    </rPh>
    <phoneticPr fontId="3"/>
  </si>
  <si>
    <t>%</t>
    <phoneticPr fontId="3"/>
  </si>
  <si>
    <t xml:space="preserve">Autoclave Curing for 60 minutes at 80℃ and 90 minutes at 130℃ </t>
  </si>
  <si>
    <t>三菱レーヨン：https://www.m-chemical.co.jp/carbon-fiber/product/prepreg/
スリーホープ：http://www4.tokai.or.jp/three-hope/</t>
    <rPh sb="0" eb="2">
      <t>ミツビシ</t>
    </rPh>
    <phoneticPr fontId="3"/>
  </si>
  <si>
    <t>キャンバー</t>
    <phoneticPr fontId="3"/>
  </si>
  <si>
    <t>位置</t>
    <rPh sb="0" eb="2">
      <t>イチ</t>
    </rPh>
    <phoneticPr fontId="3"/>
  </si>
  <si>
    <t>％</t>
    <phoneticPr fontId="3"/>
  </si>
  <si>
    <t>XCp</t>
    <phoneticPr fontId="3"/>
  </si>
  <si>
    <t>Xtr top</t>
    <phoneticPr fontId="3"/>
  </si>
  <si>
    <t>Cm</t>
  </si>
  <si>
    <t>Cm</t>
    <phoneticPr fontId="3"/>
  </si>
  <si>
    <t>Cmα</t>
  </si>
  <si>
    <t>ピッチングモーメント係数</t>
  </si>
  <si>
    <t>ピッチングモーメント係数</t>
    <rPh sb="10" eb="12">
      <t>ケイスウ</t>
    </rPh>
    <phoneticPr fontId="3"/>
  </si>
  <si>
    <t>Clｍax</t>
    <phoneticPr fontId="3"/>
  </si>
  <si>
    <t>解析値</t>
    <rPh sb="0" eb="2">
      <t>カイセキ</t>
    </rPh>
    <rPh sb="2" eb="3">
      <t>チ</t>
    </rPh>
    <phoneticPr fontId="3"/>
  </si>
  <si>
    <t>幾何値</t>
    <rPh sb="0" eb="2">
      <t>キカ</t>
    </rPh>
    <rPh sb="2" eb="3">
      <t>アタイ</t>
    </rPh>
    <phoneticPr fontId="3"/>
  </si>
  <si>
    <t>解析範囲</t>
    <rPh sb="0" eb="2">
      <t>カイセキ</t>
    </rPh>
    <rPh sb="2" eb="4">
      <t>ハンイ</t>
    </rPh>
    <phoneticPr fontId="3"/>
  </si>
  <si>
    <t>最小</t>
    <rPh sb="0" eb="2">
      <t>サイショウ</t>
    </rPh>
    <phoneticPr fontId="3"/>
  </si>
  <si>
    <t>最大</t>
    <rPh sb="0" eb="2">
      <t>サイダイ</t>
    </rPh>
    <phoneticPr fontId="3"/>
  </si>
  <si>
    <t>Δ</t>
    <phoneticPr fontId="3"/>
  </si>
  <si>
    <t>α</t>
    <phoneticPr fontId="3"/>
  </si>
  <si>
    <t>Re</t>
    <phoneticPr fontId="3"/>
  </si>
  <si>
    <t>α</t>
  </si>
  <si>
    <t>名</t>
    <rPh sb="0" eb="1">
      <t>メイ</t>
    </rPh>
    <phoneticPr fontId="2"/>
  </si>
  <si>
    <t>記号</t>
    <rPh sb="0" eb="2">
      <t>キゴウ</t>
    </rPh>
    <phoneticPr fontId="2"/>
  </si>
  <si>
    <t>単位</t>
    <rPh sb="0" eb="2">
      <t>タンイ</t>
    </rPh>
    <phoneticPr fontId="2"/>
  </si>
  <si>
    <t>年</t>
    <rPh sb="0" eb="1">
      <t>トシ</t>
    </rPh>
    <phoneticPr fontId="3"/>
  </si>
  <si>
    <t>機体名</t>
    <rPh sb="0" eb="2">
      <t>キタイ</t>
    </rPh>
    <rPh sb="2" eb="3">
      <t>メイ</t>
    </rPh>
    <phoneticPr fontId="3"/>
  </si>
  <si>
    <t>QX-23</t>
    <phoneticPr fontId="3"/>
  </si>
  <si>
    <t>QX-22</t>
    <phoneticPr fontId="3"/>
  </si>
  <si>
    <t>QX-21</t>
  </si>
  <si>
    <t>QX-20</t>
  </si>
  <si>
    <t>QX-19</t>
    <phoneticPr fontId="11"/>
  </si>
  <si>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</si>
  <si>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</si>
  <si>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</si>
  <si>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</si>
  <si>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</si>
  <si>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</si>
  <si>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</si>
  <si>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</si>
  <si>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</si>
  <si>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</si>
  <si>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</si>
  <si>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</si>
  <si>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</si>
  <si>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</si>
  <si>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</si>
  <si>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</si>
  <si>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3"/>
  </si>
  <si>
    <t>川野聖人</t>
    <rPh sb="0" eb="2">
      <t>カワノ</t>
    </rPh>
    <rPh sb="2" eb="4">
      <t>マサト</t>
    </rPh>
    <phoneticPr fontId="3"/>
  </si>
  <si>
    <t>菊池正真</t>
    <rPh sb="0" eb="2">
      <t>キクチ</t>
    </rPh>
    <rPh sb="2" eb="4">
      <t>ショウマ</t>
    </rPh>
    <phoneticPr fontId="3"/>
  </si>
  <si>
    <t>大島茜理</t>
    <rPh sb="0" eb="2">
      <t>オオシマ</t>
    </rPh>
    <rPh sb="2" eb="3">
      <t>アカネ</t>
    </rPh>
    <rPh sb="3" eb="4">
      <t>リ</t>
    </rPh>
    <phoneticPr fontId="3"/>
  </si>
  <si>
    <t>永田優希</t>
  </si>
  <si>
    <t>坂口光輝</t>
  </si>
  <si>
    <t>石丸隆宏</t>
  </si>
  <si>
    <t>日下部紘亮</t>
  </si>
  <si>
    <t>柿木基志</t>
  </si>
  <si>
    <t>三浦亮介</t>
  </si>
  <si>
    <t>池田大輔</t>
  </si>
  <si>
    <t>設計責任者</t>
  </si>
  <si>
    <t>森隼人</t>
    <rPh sb="0" eb="3">
      <t>モリハヤト</t>
    </rPh>
    <phoneticPr fontId="3"/>
  </si>
  <si>
    <t>山下湧</t>
    <rPh sb="0" eb="2">
      <t>ヤマシタ</t>
    </rPh>
    <rPh sb="2" eb="3">
      <t>ユウ</t>
    </rPh>
    <phoneticPr fontId="3"/>
  </si>
  <si>
    <t>清水俊太郎</t>
    <rPh sb="0" eb="2">
      <t>シミズ</t>
    </rPh>
    <rPh sb="2" eb="5">
      <t>シュンタロウ</t>
    </rPh>
    <phoneticPr fontId="3"/>
  </si>
  <si>
    <t>沖本和貴</t>
    <rPh sb="0" eb="2">
      <t>オキモト</t>
    </rPh>
    <rPh sb="2" eb="4">
      <t>カズキ</t>
    </rPh>
    <phoneticPr fontId="3"/>
  </si>
  <si>
    <t>(空力) 馬場清希/(構造) 辻大樹</t>
    <rPh sb="1" eb="3">
      <t>クウリキ</t>
    </rPh>
    <rPh sb="5" eb="7">
      <t>ババ</t>
    </rPh>
    <rPh sb="7" eb="8">
      <t>キヨ</t>
    </rPh>
    <rPh sb="8" eb="9">
      <t>キ</t>
    </rPh>
    <phoneticPr fontId="11"/>
  </si>
  <si>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</si>
  <si>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</si>
  <si>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</si>
  <si>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</si>
  <si>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</si>
  <si>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</si>
  <si>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</si>
  <si>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</si>
  <si>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</si>
  <si>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</si>
  <si>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</si>
  <si>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</si>
  <si>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</si>
  <si>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</si>
  <si>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</si>
  <si>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</si>
  <si>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</si>
  <si>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</si>
  <si>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3"/>
  </si>
  <si>
    <t>村上大祐</t>
    <rPh sb="0" eb="2">
      <t>ムラカミ</t>
    </rPh>
    <rPh sb="2" eb="4">
      <t>ダイスケ</t>
    </rPh>
    <phoneticPr fontId="11"/>
  </si>
  <si>
    <t>江口弘人</t>
  </si>
  <si>
    <t>大澤啓介</t>
  </si>
  <si>
    <t>吉松佑樹</t>
  </si>
  <si>
    <t>行武紀昭</t>
  </si>
  <si>
    <t>和田優登</t>
  </si>
  <si>
    <t>後藤浩輝</t>
  </si>
  <si>
    <t>飛距離</t>
    <rPh sb="0" eb="3">
      <t>ヒキョリ</t>
    </rPh>
    <phoneticPr fontId="3"/>
  </si>
  <si>
    <t>未定</t>
    <rPh sb="0" eb="2">
      <t>ミテイ</t>
    </rPh>
    <phoneticPr fontId="3"/>
  </si>
  <si>
    <t>大会中止</t>
    <rPh sb="0" eb="2">
      <t>タイカイ</t>
    </rPh>
    <rPh sb="2" eb="4">
      <t>チュウシ</t>
    </rPh>
    <phoneticPr fontId="3"/>
  </si>
  <si>
    <t>リーマンショック</t>
  </si>
  <si>
    <t>順位</t>
    <rPh sb="0" eb="2">
      <t>ジュンイ</t>
    </rPh>
    <phoneticPr fontId="3"/>
  </si>
  <si>
    <t>大会中止</t>
  </si>
  <si>
    <t>操縦方法</t>
    <rPh sb="0" eb="2">
      <t>ソウジュウ</t>
    </rPh>
    <rPh sb="2" eb="4">
      <t>ホウホウ</t>
    </rPh>
    <phoneticPr fontId="3"/>
  </si>
  <si>
    <t>elevetor</t>
    <phoneticPr fontId="3"/>
  </si>
  <si>
    <t>重心移動（エレベーター搭載）</t>
    <rPh sb="0" eb="2">
      <t>ジュウシン</t>
    </rPh>
    <rPh sb="2" eb="4">
      <t>イドウ</t>
    </rPh>
    <rPh sb="11" eb="13">
      <t>トウサイ</t>
    </rPh>
    <phoneticPr fontId="3"/>
  </si>
  <si>
    <t>エレベータ</t>
    <phoneticPr fontId="11"/>
  </si>
  <si>
    <t>エレベータ</t>
  </si>
  <si>
    <t>ladder</t>
    <phoneticPr fontId="3"/>
  </si>
  <si>
    <t>ラダー</t>
    <phoneticPr fontId="3"/>
  </si>
  <si>
    <t>ラダー</t>
  </si>
  <si>
    <t>ラダー</t>
    <phoneticPr fontId="11"/>
  </si>
  <si>
    <t>基準状態</t>
    <rPh sb="0" eb="2">
      <t>キジュン</t>
    </rPh>
    <rPh sb="2" eb="4">
      <t>ジョウタイ</t>
    </rPh>
    <phoneticPr fontId="3"/>
  </si>
  <si>
    <t>全機迎角</t>
  </si>
  <si>
    <t>deg</t>
  </si>
  <si>
    <t>横滑り角</t>
  </si>
  <si>
    <t>β</t>
  </si>
  <si>
    <t>対気速度</t>
  </si>
  <si>
    <t>V</t>
  </si>
  <si>
    <t>m/s</t>
  </si>
  <si>
    <t>高度</t>
  </si>
  <si>
    <t>hE</t>
  </si>
  <si>
    <t>機体重量</t>
    <rPh sb="0" eb="2">
      <t>キタイ</t>
    </rPh>
    <rPh sb="2" eb="4">
      <t>ジュウリョウ</t>
    </rPh>
    <phoneticPr fontId="2"/>
  </si>
  <si>
    <t>パイロット重量</t>
    <rPh sb="5" eb="7">
      <t>ジュウリョウ</t>
    </rPh>
    <phoneticPr fontId="2"/>
  </si>
  <si>
    <t>全備重量（質量）</t>
    <rPh sb="0" eb="2">
      <t>ゼンビ</t>
    </rPh>
    <rPh sb="2" eb="4">
      <t>ジュウリョウ</t>
    </rPh>
    <rPh sb="5" eb="7">
      <t>シツリョウ</t>
    </rPh>
    <phoneticPr fontId="2"/>
  </si>
  <si>
    <t>全備重量（重量）</t>
    <rPh sb="0" eb="2">
      <t>ゼンビ</t>
    </rPh>
    <rPh sb="2" eb="4">
      <t>ジュウリョウ</t>
    </rPh>
    <rPh sb="5" eb="7">
      <t>ジュウリョウ</t>
    </rPh>
    <phoneticPr fontId="2"/>
  </si>
  <si>
    <t>W</t>
  </si>
  <si>
    <t>N</t>
  </si>
  <si>
    <t>翼面荷重</t>
    <rPh sb="0" eb="1">
      <t>ヨク</t>
    </rPh>
    <rPh sb="1" eb="2">
      <t>メン</t>
    </rPh>
    <rPh sb="2" eb="4">
      <t>カジュウ</t>
    </rPh>
    <phoneticPr fontId="2"/>
  </si>
  <si>
    <t>W/S</t>
  </si>
  <si>
    <t>kg/m^2</t>
  </si>
  <si>
    <t>重心位置</t>
    <rPh sb="0" eb="2">
      <t>ジュウシン</t>
    </rPh>
    <rPh sb="2" eb="4">
      <t>イチ</t>
    </rPh>
    <phoneticPr fontId="3"/>
  </si>
  <si>
    <t>重心位置</t>
    <rPh sb="0" eb="2">
      <t>ジュウシン</t>
    </rPh>
    <rPh sb="2" eb="4">
      <t>イチ</t>
    </rPh>
    <phoneticPr fontId="2"/>
  </si>
  <si>
    <t>Zcg</t>
  </si>
  <si>
    <t>hcg</t>
  </si>
  <si>
    <t>全機空力中心位置</t>
    <rPh sb="0" eb="6">
      <t>ゼンキクウリキチュウシン</t>
    </rPh>
    <rPh sb="6" eb="8">
      <t>イチ</t>
    </rPh>
    <phoneticPr fontId="2"/>
  </si>
  <si>
    <t>hn</t>
  </si>
  <si>
    <t>面積</t>
    <rPh sb="0" eb="2">
      <t>メンセキ</t>
    </rPh>
    <phoneticPr fontId="3"/>
  </si>
  <si>
    <t>主翼</t>
    <rPh sb="0" eb="2">
      <t>シュヨク</t>
    </rPh>
    <phoneticPr fontId="2"/>
  </si>
  <si>
    <t>S</t>
  </si>
  <si>
    <t>m^2</t>
  </si>
  <si>
    <t>水平尾翼</t>
    <rPh sb="0" eb="2">
      <t>スイヘイ</t>
    </rPh>
    <rPh sb="2" eb="4">
      <t>ビヨク</t>
    </rPh>
    <phoneticPr fontId="2"/>
  </si>
  <si>
    <t>St</t>
  </si>
  <si>
    <t>垂直尾翼</t>
    <rPh sb="0" eb="2">
      <t>スイチョク</t>
    </rPh>
    <rPh sb="2" eb="4">
      <t>ビヨク</t>
    </rPh>
    <phoneticPr fontId="2"/>
  </si>
  <si>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</si>
  <si>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</si>
  <si>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</si>
  <si>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</si>
  <si>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</si>
  <si>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</si>
  <si>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</si>
  <si>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</si>
  <si>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</si>
  <si>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</si>
  <si>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</si>
  <si>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</si>
  <si>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</si>
  <si>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3"/>
  </si>
  <si>
    <t>Cla</t>
    <phoneticPr fontId="3"/>
  </si>
  <si>
    <t>平均誘導迎え角</t>
  </si>
  <si>
    <t>αi_</t>
  </si>
  <si>
    <t>桁位置</t>
    <rPh sb="0" eb="1">
      <t>ケタ</t>
    </rPh>
    <rPh sb="1" eb="3">
      <t>イチ</t>
    </rPh>
    <phoneticPr fontId="2"/>
  </si>
  <si>
    <t>翼端たわみ</t>
    <rPh sb="0" eb="2">
      <t>ヨクタン</t>
    </rPh>
    <phoneticPr fontId="3"/>
  </si>
  <si>
    <t>w</t>
    <phoneticPr fontId="3"/>
  </si>
  <si>
    <t>翼端ねじれ角</t>
    <rPh sb="0" eb="1">
      <t>ヨク</t>
    </rPh>
    <rPh sb="1" eb="2">
      <t>タン</t>
    </rPh>
    <rPh sb="5" eb="6">
      <t>カク</t>
    </rPh>
    <phoneticPr fontId="3"/>
  </si>
  <si>
    <t>Φ</t>
    <phoneticPr fontId="3"/>
  </si>
  <si>
    <t>deg</t>
    <phoneticPr fontId="3"/>
  </si>
  <si>
    <t>容積比</t>
    <rPh sb="0" eb="2">
      <t>ヨウセキ</t>
    </rPh>
    <rPh sb="2" eb="3">
      <t>ヒ</t>
    </rPh>
    <phoneticPr fontId="3"/>
  </si>
  <si>
    <t>水平尾翼容積比</t>
    <rPh sb="0" eb="2">
      <t>スイヘイ</t>
    </rPh>
    <rPh sb="2" eb="4">
      <t>ビヨク</t>
    </rPh>
    <rPh sb="4" eb="6">
      <t>ヨウセキ</t>
    </rPh>
    <rPh sb="6" eb="7">
      <t>ヒ</t>
    </rPh>
    <phoneticPr fontId="2"/>
  </si>
  <si>
    <t>VH or VH*</t>
  </si>
  <si>
    <t>VH' or VH*'</t>
  </si>
  <si>
    <t>垂直尾翼容積比</t>
    <rPh sb="0" eb="2">
      <t>スイチョク</t>
    </rPh>
    <rPh sb="2" eb="4">
      <t>ビヨク</t>
    </rPh>
    <rPh sb="4" eb="6">
      <t>ヨウセキ</t>
    </rPh>
    <rPh sb="6" eb="7">
      <t>ヒ</t>
    </rPh>
    <phoneticPr fontId="2"/>
  </si>
  <si>
    <t>VF or VF*</t>
  </si>
  <si>
    <t>∂ε/∂α</t>
  </si>
  <si>
    <t>尾翼形式</t>
    <rPh sb="0" eb="2">
      <t>ビヨク</t>
    </rPh>
    <rPh sb="2" eb="4">
      <t>ケイシキ</t>
    </rPh>
    <phoneticPr fontId="2"/>
  </si>
  <si>
    <t>T-Tail</t>
  </si>
  <si>
    <t>Conventional</t>
  </si>
  <si>
    <t>尾翼配置</t>
    <rPh sb="0" eb="2">
      <t>ビヨク</t>
    </rPh>
    <rPh sb="2" eb="4">
      <t>ハイチ</t>
    </rPh>
    <phoneticPr fontId="3"/>
  </si>
  <si>
    <t>全機cg-水平ac間距離</t>
    <rPh sb="0" eb="2">
      <t>ゼンキ</t>
    </rPh>
    <rPh sb="5" eb="7">
      <t>スイヘイ</t>
    </rPh>
    <rPh sb="9" eb="10">
      <t>カン</t>
    </rPh>
    <rPh sb="10" eb="12">
      <t>キョリ</t>
    </rPh>
    <phoneticPr fontId="2"/>
  </si>
  <si>
    <t>lt</t>
  </si>
  <si>
    <t>全機ac-水平ac間距離</t>
    <rPh sb="0" eb="2">
      <t>ゼンキ</t>
    </rPh>
    <rPh sb="5" eb="7">
      <t>スイヘイ</t>
    </rPh>
    <rPh sb="9" eb="10">
      <t>カン</t>
    </rPh>
    <rPh sb="10" eb="12">
      <t>キョリ</t>
    </rPh>
    <phoneticPr fontId="2"/>
  </si>
  <si>
    <t>lt'</t>
  </si>
  <si>
    <t>全機cg－垂直ac間距離</t>
    <rPh sb="0" eb="2">
      <t>ゼンキ</t>
    </rPh>
    <rPh sb="5" eb="7">
      <t>スイチョク</t>
    </rPh>
    <rPh sb="9" eb="10">
      <t>カン</t>
    </rPh>
    <rPh sb="10" eb="12">
      <t>キョリ</t>
    </rPh>
    <phoneticPr fontId="2"/>
  </si>
  <si>
    <t>lf</t>
  </si>
  <si>
    <t>垂直尾翼下端位置</t>
    <rPh sb="0" eb="2">
      <t>スイチョク</t>
    </rPh>
    <rPh sb="2" eb="4">
      <t>ビヨク</t>
    </rPh>
    <rPh sb="4" eb="6">
      <t>カタン</t>
    </rPh>
    <rPh sb="6" eb="8">
      <t>イチ</t>
    </rPh>
    <phoneticPr fontId="2"/>
  </si>
  <si>
    <t>zf</t>
  </si>
  <si>
    <t>垂直尾翼面積重心</t>
    <rPh sb="0" eb="2">
      <t>スイチョク</t>
    </rPh>
    <rPh sb="2" eb="4">
      <t>ビヨク</t>
    </rPh>
    <rPh sb="4" eb="6">
      <t>メンセキ</t>
    </rPh>
    <rPh sb="6" eb="8">
      <t>ジュウシン</t>
    </rPh>
    <phoneticPr fontId="2"/>
  </si>
  <si>
    <t>取り付け角</t>
    <rPh sb="0" eb="1">
      <t>ト</t>
    </rPh>
    <rPh sb="2" eb="3">
      <t>ツ</t>
    </rPh>
    <rPh sb="4" eb="5">
      <t>カク</t>
    </rPh>
    <phoneticPr fontId="2"/>
  </si>
  <si>
    <t>i</t>
  </si>
  <si>
    <t>空気力</t>
    <rPh sb="0" eb="2">
      <t>クウキ</t>
    </rPh>
    <rPh sb="2" eb="3">
      <t>リョク</t>
    </rPh>
    <phoneticPr fontId="3"/>
  </si>
  <si>
    <t>揚力係数</t>
    <rPh sb="0" eb="2">
      <t>ヨウリョク</t>
    </rPh>
    <rPh sb="2" eb="4">
      <t>ケイスウ</t>
    </rPh>
    <phoneticPr fontId="2"/>
  </si>
  <si>
    <t>CL</t>
  </si>
  <si>
    <t>最大揚力係数</t>
    <rPh sb="0" eb="2">
      <t>サイダイ</t>
    </rPh>
    <rPh sb="2" eb="4">
      <t>ヨウリョク</t>
    </rPh>
    <rPh sb="4" eb="6">
      <t>ケイスウ</t>
    </rPh>
    <phoneticPr fontId="2"/>
  </si>
  <si>
    <t>CL_max</t>
  </si>
  <si>
    <t>CL_wing</t>
  </si>
  <si>
    <t>CL_tail</t>
  </si>
  <si>
    <t>CL_fin</t>
  </si>
  <si>
    <t>揚力傾斜</t>
    <rPh sb="0" eb="2">
      <t>ヨウリョク</t>
    </rPh>
    <rPh sb="2" eb="4">
      <t>ケイシャ</t>
    </rPh>
    <phoneticPr fontId="2"/>
  </si>
  <si>
    <t>CL_alpha</t>
  </si>
  <si>
    <t>1/deg</t>
  </si>
  <si>
    <t>aw</t>
  </si>
  <si>
    <t>at</t>
  </si>
  <si>
    <t>af</t>
  </si>
  <si>
    <t>抗力係数</t>
    <rPh sb="0" eb="2">
      <t>コウリョク</t>
    </rPh>
    <rPh sb="2" eb="4">
      <t>ケイスウ</t>
    </rPh>
    <phoneticPr fontId="2"/>
  </si>
  <si>
    <t>CD</t>
  </si>
  <si>
    <t>CD_wing</t>
  </si>
  <si>
    <t>CD_tail</t>
  </si>
  <si>
    <t>CD_fin</t>
  </si>
  <si>
    <t>CD_cowl</t>
  </si>
  <si>
    <t>胴体</t>
    <rPh sb="0" eb="2">
      <t>ドウタイ</t>
    </rPh>
    <phoneticPr fontId="2"/>
  </si>
  <si>
    <t>CD_body</t>
  </si>
  <si>
    <t>干渉抗力</t>
    <rPh sb="0" eb="2">
      <t>カンショウ</t>
    </rPh>
    <rPh sb="2" eb="4">
      <t>コウリョク</t>
    </rPh>
    <phoneticPr fontId="2"/>
  </si>
  <si>
    <t>CD_Interference</t>
  </si>
  <si>
    <t>揚抗比</t>
    <rPh sb="0" eb="3">
      <t>ヨウコウヒ</t>
    </rPh>
    <phoneticPr fontId="2"/>
  </si>
  <si>
    <t>L/D</t>
  </si>
  <si>
    <t>ピッチングモーメント係数</t>
    <rPh sb="10" eb="12">
      <t>ケイスウ</t>
    </rPh>
    <phoneticPr fontId="2"/>
  </si>
  <si>
    <t>揚力</t>
    <rPh sb="0" eb="2">
      <t>ヨウリョク</t>
    </rPh>
    <phoneticPr fontId="2"/>
  </si>
  <si>
    <t>L</t>
  </si>
  <si>
    <t>kgf</t>
  </si>
  <si>
    <t>抗力</t>
    <rPh sb="0" eb="2">
      <t>コウリョク</t>
    </rPh>
    <phoneticPr fontId="2"/>
  </si>
  <si>
    <t>D</t>
  </si>
  <si>
    <t>余剰揚力</t>
    <rPh sb="0" eb="2">
      <t>ヨジョウ</t>
    </rPh>
    <rPh sb="2" eb="4">
      <t>ヨウリョク</t>
    </rPh>
    <phoneticPr fontId="2"/>
  </si>
  <si>
    <t>ΔL</t>
  </si>
  <si>
    <t>慣性モーメント</t>
    <rPh sb="0" eb="2">
      <t>カンセイ</t>
    </rPh>
    <phoneticPr fontId="2"/>
  </si>
  <si>
    <t>kg・m^2</t>
  </si>
  <si>
    <t>Ixz</t>
  </si>
  <si>
    <t>静安定</t>
    <rPh sb="0" eb="1">
      <t>セイ</t>
    </rPh>
    <rPh sb="1" eb="3">
      <t>アンテイ</t>
    </rPh>
    <phoneticPr fontId="3"/>
  </si>
  <si>
    <t>Clβ</t>
  </si>
  <si>
    <t>Cnβ</t>
  </si>
  <si>
    <t>動安定</t>
    <rPh sb="0" eb="3">
      <t>ドウアンテイ</t>
    </rPh>
    <phoneticPr fontId="3"/>
  </si>
  <si>
    <t>短周期モード</t>
    <rPh sb="0" eb="3">
      <t>タンシュウキ</t>
    </rPh>
    <phoneticPr fontId="2"/>
  </si>
  <si>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</si>
  <si>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</si>
  <si>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</si>
  <si>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</si>
  <si>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</si>
  <si>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</si>
  <si>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</si>
  <si>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</si>
  <si>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</si>
  <si>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</si>
  <si>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</si>
  <si>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</si>
  <si>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</si>
  <si>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</si>
  <si>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</si>
  <si>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</si>
  <si>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</si>
  <si>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2"/>
  </si>
  <si>
    <t>ロールモード</t>
  </si>
  <si>
    <t>1/TR</t>
  </si>
  <si>
    <t>全周</t>
    <rPh sb="0" eb="2">
      <t>ゼンシュウ</t>
    </rPh>
    <phoneticPr fontId="3"/>
  </si>
  <si>
    <t>m^2</t>
    <phoneticPr fontId="3"/>
  </si>
  <si>
    <t>グラフ</t>
    <phoneticPr fontId="3"/>
  </si>
  <si>
    <t>速度</t>
    <rPh sb="0" eb="2">
      <t>ソクド</t>
    </rPh>
    <phoneticPr fontId="3"/>
  </si>
  <si>
    <t>迎角</t>
    <rPh sb="0" eb="2">
      <t>ゲイカク</t>
    </rPh>
    <phoneticPr fontId="3"/>
  </si>
  <si>
    <t>巡航速度</t>
    <rPh sb="0" eb="2">
      <t>ジュンコウ</t>
    </rPh>
    <rPh sb="2" eb="4">
      <t>ソクド</t>
    </rPh>
    <phoneticPr fontId="3"/>
  </si>
  <si>
    <t>V</t>
    <phoneticPr fontId="3"/>
  </si>
  <si>
    <t>機体重量</t>
    <rPh sb="0" eb="2">
      <t>キタイ</t>
    </rPh>
    <rPh sb="2" eb="4">
      <t>ジュウリョウ</t>
    </rPh>
    <phoneticPr fontId="3"/>
  </si>
  <si>
    <t>α_stall</t>
    <phoneticPr fontId="3"/>
  </si>
  <si>
    <t>設計運動速度</t>
    <rPh sb="0" eb="2">
      <t>セッケイ</t>
    </rPh>
    <rPh sb="2" eb="4">
      <t>ウンドウ</t>
    </rPh>
    <rPh sb="4" eb="6">
      <t>ソクド</t>
    </rPh>
    <phoneticPr fontId="3"/>
  </si>
  <si>
    <t>Va</t>
    <phoneticPr fontId="3"/>
  </si>
  <si>
    <t>パイロット重量(服，靴，ヘルメットを含む）</t>
    <rPh sb="5" eb="7">
      <t>ジュウリョウ</t>
    </rPh>
    <rPh sb="8" eb="9">
      <t>フク</t>
    </rPh>
    <rPh sb="10" eb="11">
      <t>クツ</t>
    </rPh>
    <rPh sb="18" eb="19">
      <t>フク</t>
    </rPh>
    <phoneticPr fontId="3"/>
  </si>
  <si>
    <t>α_0</t>
    <phoneticPr fontId="3"/>
  </si>
  <si>
    <t>失速速度</t>
    <rPh sb="0" eb="2">
      <t>シッソク</t>
    </rPh>
    <rPh sb="2" eb="4">
      <t>ソクド</t>
    </rPh>
    <phoneticPr fontId="3"/>
  </si>
  <si>
    <t>Vs</t>
    <phoneticPr fontId="3"/>
  </si>
  <si>
    <t>最大速度</t>
    <rPh sb="0" eb="2">
      <t>サイダイ</t>
    </rPh>
    <rPh sb="2" eb="4">
      <t>ソクド</t>
    </rPh>
    <phoneticPr fontId="3"/>
  </si>
  <si>
    <t>Vd</t>
    <phoneticPr fontId="3"/>
  </si>
  <si>
    <t>W</t>
    <phoneticPr fontId="3"/>
  </si>
  <si>
    <t>N</t>
    <phoneticPr fontId="3"/>
  </si>
  <si>
    <t>抗力最小速度</t>
    <rPh sb="0" eb="2">
      <t>コウリョク</t>
    </rPh>
    <rPh sb="2" eb="4">
      <t>サイショウ</t>
    </rPh>
    <rPh sb="4" eb="6">
      <t>ソクド</t>
    </rPh>
    <phoneticPr fontId="3"/>
  </si>
  <si>
    <t>V_Dmin</t>
    <phoneticPr fontId="3"/>
  </si>
  <si>
    <t>翼面荷重</t>
    <rPh sb="0" eb="1">
      <t>ヨク</t>
    </rPh>
    <rPh sb="1" eb="2">
      <t>メン</t>
    </rPh>
    <rPh sb="2" eb="4">
      <t>カジュウ</t>
    </rPh>
    <phoneticPr fontId="3"/>
  </si>
  <si>
    <t>W/S</t>
    <phoneticPr fontId="3"/>
  </si>
  <si>
    <t>kg/m^2</t>
    <phoneticPr fontId="3"/>
  </si>
  <si>
    <t>y_</t>
    <phoneticPr fontId="3"/>
  </si>
  <si>
    <t>取り付け角</t>
    <rPh sb="0" eb="1">
      <t>ト</t>
    </rPh>
    <rPh sb="2" eb="3">
      <t>ツ</t>
    </rPh>
    <rPh sb="4" eb="5">
      <t>カク</t>
    </rPh>
    <phoneticPr fontId="3"/>
  </si>
  <si>
    <t>Cyp</t>
    <phoneticPr fontId="3"/>
  </si>
  <si>
    <t>1/rad</t>
    <phoneticPr fontId="3"/>
  </si>
  <si>
    <t>Cyr</t>
    <phoneticPr fontId="3"/>
  </si>
  <si>
    <t>揚力係数</t>
    <rPh sb="0" eb="2">
      <t>ヨウリョク</t>
    </rPh>
    <rPh sb="2" eb="4">
      <t>ケイスウ</t>
    </rPh>
    <phoneticPr fontId="3"/>
  </si>
  <si>
    <t>CL</t>
    <phoneticPr fontId="3"/>
  </si>
  <si>
    <t>Cnβ</t>
    <phoneticPr fontId="3"/>
  </si>
  <si>
    <t>1/deg</t>
    <phoneticPr fontId="3"/>
  </si>
  <si>
    <t>kg・m^2</t>
    <phoneticPr fontId="3"/>
  </si>
  <si>
    <t>水平尾翼容積比</t>
    <rPh sb="0" eb="2">
      <t>スイヘイ</t>
    </rPh>
    <rPh sb="2" eb="4">
      <t>ビヨク</t>
    </rPh>
    <rPh sb="4" eb="6">
      <t>ヨウセキ</t>
    </rPh>
    <rPh sb="6" eb="7">
      <t>ヒ</t>
    </rPh>
    <phoneticPr fontId="3"/>
  </si>
  <si>
    <t>VH or VH*</t>
    <phoneticPr fontId="3"/>
  </si>
  <si>
    <t>VH' or VH*'</t>
    <phoneticPr fontId="3"/>
  </si>
  <si>
    <t>垂直尾翼容積比</t>
    <rPh sb="0" eb="2">
      <t>スイチョク</t>
    </rPh>
    <rPh sb="2" eb="4">
      <t>ビヨク</t>
    </rPh>
    <rPh sb="4" eb="6">
      <t>ヨウセキ</t>
    </rPh>
    <rPh sb="6" eb="7">
      <t>ヒ</t>
    </rPh>
    <phoneticPr fontId="3"/>
  </si>
  <si>
    <t>VF or VF*</t>
    <phoneticPr fontId="3"/>
  </si>
  <si>
    <t>∂ε/∂α</t>
    <phoneticPr fontId="3"/>
  </si>
  <si>
    <t>水平尾翼効率</t>
    <rPh sb="0" eb="2">
      <t>スイヘイ</t>
    </rPh>
    <rPh sb="2" eb="4">
      <t>ビヨク</t>
    </rPh>
    <rPh sb="4" eb="6">
      <t>コウリツ</t>
    </rPh>
    <phoneticPr fontId="3"/>
  </si>
  <si>
    <t>η</t>
    <phoneticPr fontId="3"/>
  </si>
  <si>
    <t>動圧</t>
    <rPh sb="0" eb="2">
      <t>ドウアツ</t>
    </rPh>
    <phoneticPr fontId="3"/>
  </si>
  <si>
    <t>Q</t>
    <phoneticPr fontId="3"/>
  </si>
  <si>
    <t>N/m^2</t>
    <phoneticPr fontId="3"/>
  </si>
  <si>
    <t>aw</t>
    <phoneticPr fontId="3"/>
  </si>
  <si>
    <t>Ixz</t>
    <phoneticPr fontId="3"/>
  </si>
  <si>
    <t>サイドウォッシュ</t>
    <phoneticPr fontId="3"/>
  </si>
  <si>
    <t>∂σ/∂β</t>
    <phoneticPr fontId="3"/>
  </si>
  <si>
    <t>運動解析用</t>
    <rPh sb="0" eb="2">
      <t>ウンドウ</t>
    </rPh>
    <rPh sb="2" eb="5">
      <t>カイセキヨウ</t>
    </rPh>
    <phoneticPr fontId="3"/>
  </si>
  <si>
    <t>Ix~</t>
  </si>
  <si>
    <t>kg*m^4</t>
  </si>
  <si>
    <t>尾翼形式</t>
    <rPh sb="0" eb="2">
      <t>ビヨク</t>
    </rPh>
    <rPh sb="2" eb="4">
      <t>ケイシキ</t>
    </rPh>
    <phoneticPr fontId="3"/>
  </si>
  <si>
    <t>Iz~</t>
  </si>
  <si>
    <t>ε</t>
  </si>
  <si>
    <t>抗力係数</t>
    <rPh sb="0" eb="2">
      <t>コウリョク</t>
    </rPh>
    <rPh sb="2" eb="4">
      <t>ケイスウ</t>
    </rPh>
    <phoneticPr fontId="3"/>
  </si>
  <si>
    <t>CD</t>
    <phoneticPr fontId="3"/>
  </si>
  <si>
    <t>Ixz/Ix</t>
    <phoneticPr fontId="3"/>
  </si>
  <si>
    <t>空力微係数</t>
    <rPh sb="0" eb="2">
      <t>クウリキ</t>
    </rPh>
    <rPh sb="2" eb="3">
      <t>ビ</t>
    </rPh>
    <rPh sb="3" eb="5">
      <t>ケイスウ</t>
    </rPh>
    <phoneticPr fontId="3"/>
  </si>
  <si>
    <t>Cyβ</t>
    <phoneticPr fontId="3"/>
  </si>
  <si>
    <t>Ixz/Iz</t>
    <phoneticPr fontId="3"/>
  </si>
  <si>
    <t>Clβ</t>
    <phoneticPr fontId="3"/>
  </si>
  <si>
    <t>CD_tail</t>
    <phoneticPr fontId="3"/>
  </si>
  <si>
    <t>CDp</t>
    <phoneticPr fontId="3"/>
  </si>
  <si>
    <t>Clp</t>
    <phoneticPr fontId="3"/>
  </si>
  <si>
    <t>CD_fin</t>
    <phoneticPr fontId="3"/>
  </si>
  <si>
    <t>CDp_wing</t>
    <phoneticPr fontId="3"/>
  </si>
  <si>
    <t>Cnp</t>
    <phoneticPr fontId="3"/>
  </si>
  <si>
    <t>角速度</t>
    <rPh sb="0" eb="3">
      <t>カクソクド</t>
    </rPh>
    <phoneticPr fontId="3"/>
  </si>
  <si>
    <t>p</t>
    <phoneticPr fontId="3"/>
  </si>
  <si>
    <t>deg/s</t>
    <phoneticPr fontId="3"/>
  </si>
  <si>
    <t>名</t>
  </si>
  <si>
    <t>Clr</t>
    <phoneticPr fontId="3"/>
  </si>
  <si>
    <t>S</t>
    <phoneticPr fontId="3"/>
  </si>
  <si>
    <t>q</t>
    <phoneticPr fontId="3"/>
  </si>
  <si>
    <t>Xcg</t>
    <phoneticPr fontId="3"/>
  </si>
  <si>
    <t>Cnr</t>
    <phoneticPr fontId="3"/>
  </si>
  <si>
    <t>r</t>
    <phoneticPr fontId="3"/>
  </si>
  <si>
    <t>　</t>
    <phoneticPr fontId="3"/>
  </si>
  <si>
    <t>Ycg</t>
    <phoneticPr fontId="3"/>
  </si>
  <si>
    <t>重心移動距離</t>
    <rPh sb="0" eb="2">
      <t>ジュウシン</t>
    </rPh>
    <rPh sb="2" eb="4">
      <t>イドウ</t>
    </rPh>
    <rPh sb="4" eb="6">
      <t>キョリ</t>
    </rPh>
    <phoneticPr fontId="3"/>
  </si>
  <si>
    <t>dh</t>
    <phoneticPr fontId="3"/>
  </si>
  <si>
    <t>L/D</t>
    <phoneticPr fontId="3"/>
  </si>
  <si>
    <t>Zcg</t>
    <phoneticPr fontId="3"/>
  </si>
  <si>
    <t>エレベータ舵角</t>
    <rPh sb="5" eb="7">
      <t>ダカク</t>
    </rPh>
    <phoneticPr fontId="3"/>
  </si>
  <si>
    <t>de</t>
    <phoneticPr fontId="3"/>
  </si>
  <si>
    <t>hcg</t>
    <phoneticPr fontId="3"/>
  </si>
  <si>
    <t>ラダー舵角</t>
    <rPh sb="3" eb="5">
      <t>ダカク</t>
    </rPh>
    <phoneticPr fontId="3"/>
  </si>
  <si>
    <t>dr</t>
    <phoneticPr fontId="3"/>
  </si>
  <si>
    <t>全機空力中心位置</t>
    <rPh sb="0" eb="6">
      <t>ゼンキクウリキチュウシン</t>
    </rPh>
    <rPh sb="6" eb="8">
      <t>イチ</t>
    </rPh>
    <phoneticPr fontId="3"/>
  </si>
  <si>
    <t>hn</t>
    <phoneticPr fontId="3"/>
  </si>
  <si>
    <t>L</t>
    <phoneticPr fontId="3"/>
  </si>
  <si>
    <t>St</t>
    <phoneticPr fontId="3"/>
  </si>
  <si>
    <t>kgf</t>
    <phoneticPr fontId="3"/>
  </si>
  <si>
    <t>Sf</t>
    <phoneticPr fontId="3"/>
  </si>
  <si>
    <t>Sc</t>
    <phoneticPr fontId="3"/>
  </si>
  <si>
    <t>翼幅</t>
    <rPh sb="0" eb="1">
      <t>ヨク</t>
    </rPh>
    <rPh sb="1" eb="2">
      <t>ハバ</t>
    </rPh>
    <phoneticPr fontId="3"/>
  </si>
  <si>
    <t>CD0_cowl</t>
    <phoneticPr fontId="3"/>
  </si>
  <si>
    <t>Sb</t>
    <phoneticPr fontId="3"/>
  </si>
  <si>
    <t>Cm_fuselage</t>
    <phoneticPr fontId="3"/>
  </si>
  <si>
    <t>エレベータ</t>
    <phoneticPr fontId="3"/>
  </si>
  <si>
    <t>Sδe</t>
    <phoneticPr fontId="3"/>
  </si>
  <si>
    <t>プラットホーム</t>
    <phoneticPr fontId="3"/>
  </si>
  <si>
    <t>ローリングモーメント</t>
    <phoneticPr fontId="3"/>
  </si>
  <si>
    <t>N*m</t>
    <phoneticPr fontId="3"/>
  </si>
  <si>
    <t>全長</t>
    <rPh sb="0" eb="2">
      <t>ゼンチョウ</t>
    </rPh>
    <phoneticPr fontId="3"/>
  </si>
  <si>
    <t>l</t>
    <phoneticPr fontId="3"/>
  </si>
  <si>
    <t>Sδr</t>
    <phoneticPr fontId="3"/>
  </si>
  <si>
    <t>ピッチングモーメント</t>
    <phoneticPr fontId="3"/>
  </si>
  <si>
    <t>係数</t>
    <rPh sb="0" eb="2">
      <t>ケイスウ</t>
    </rPh>
    <phoneticPr fontId="3"/>
  </si>
  <si>
    <t>τe</t>
    <phoneticPr fontId="3"/>
  </si>
  <si>
    <t>高度</t>
    <rPh sb="0" eb="2">
      <t>コウド</t>
    </rPh>
    <phoneticPr fontId="3"/>
  </si>
  <si>
    <t>hE_platform</t>
    <phoneticPr fontId="3"/>
  </si>
  <si>
    <t>ヨーイングモーメント</t>
    <phoneticPr fontId="3"/>
  </si>
  <si>
    <t>体積</t>
    <rPh sb="0" eb="2">
      <t>タイセキ</t>
    </rPh>
    <phoneticPr fontId="3"/>
  </si>
  <si>
    <t>m^3</t>
    <phoneticPr fontId="3"/>
  </si>
  <si>
    <t>τt</t>
    <phoneticPr fontId="3"/>
  </si>
  <si>
    <t>傾斜</t>
    <rPh sb="0" eb="2">
      <t>ケイシャ</t>
    </rPh>
    <phoneticPr fontId="3"/>
  </si>
  <si>
    <t>γ_platform</t>
    <phoneticPr fontId="3"/>
  </si>
  <si>
    <t>機体</t>
    <rPh sb="0" eb="2">
      <t>キタイ</t>
    </rPh>
    <phoneticPr fontId="3"/>
  </si>
  <si>
    <t>0番</t>
    <rPh sb="1" eb="2">
      <t>バン</t>
    </rPh>
    <phoneticPr fontId="3"/>
  </si>
  <si>
    <t>1番</t>
    <rPh sb="1" eb="2">
      <t>バン</t>
    </rPh>
    <phoneticPr fontId="3"/>
  </si>
  <si>
    <t>2番</t>
    <rPh sb="1" eb="2">
      <t>バン</t>
    </rPh>
    <phoneticPr fontId="3"/>
  </si>
  <si>
    <t>3番</t>
    <rPh sb="1" eb="2">
      <t>バン</t>
    </rPh>
    <phoneticPr fontId="3"/>
  </si>
  <si>
    <t>垂直安定板</t>
    <rPh sb="0" eb="2">
      <t>スイチョク</t>
    </rPh>
    <rPh sb="2" eb="5">
      <t>アンテイバン</t>
    </rPh>
    <phoneticPr fontId="3"/>
  </si>
  <si>
    <t>発泡</t>
    <rPh sb="0" eb="2">
      <t>ハッポウ</t>
    </rPh>
    <phoneticPr fontId="3"/>
  </si>
  <si>
    <t>バルサ</t>
    <phoneticPr fontId="3"/>
  </si>
  <si>
    <t>0番</t>
  </si>
  <si>
    <t>金具</t>
    <rPh sb="0" eb="2">
      <t>カナグ</t>
    </rPh>
    <phoneticPr fontId="3"/>
  </si>
  <si>
    <t>1番(右)</t>
  </si>
  <si>
    <t>背板</t>
    <rPh sb="0" eb="2">
      <t>セイタ</t>
    </rPh>
    <phoneticPr fontId="3"/>
  </si>
  <si>
    <t>1番(左)</t>
  </si>
  <si>
    <t>サーボ</t>
    <phoneticPr fontId="3"/>
  </si>
  <si>
    <t>2番(右)</t>
  </si>
  <si>
    <t>カウルマウント</t>
    <phoneticPr fontId="3"/>
  </si>
  <si>
    <t>2番(左)</t>
  </si>
  <si>
    <t>3番(右)</t>
  </si>
  <si>
    <t>3番(左)</t>
  </si>
  <si>
    <t>フタサット</t>
    <phoneticPr fontId="3"/>
  </si>
  <si>
    <t>主翼蓋(窓)</t>
    <phoneticPr fontId="3"/>
  </si>
  <si>
    <t>水平尾翼</t>
    <rPh sb="0" eb="4">
      <t>スイヘイビヨク</t>
    </rPh>
    <phoneticPr fontId="3"/>
  </si>
  <si>
    <t>蓋</t>
    <rPh sb="0" eb="1">
      <t>フタ</t>
    </rPh>
    <phoneticPr fontId="3"/>
  </si>
  <si>
    <t>足置き</t>
    <rPh sb="0" eb="2">
      <t>アシオ</t>
    </rPh>
    <phoneticPr fontId="3"/>
  </si>
  <si>
    <t>垂直尾翼</t>
    <rPh sb="0" eb="4">
      <t>スイチョクビヨク</t>
    </rPh>
    <phoneticPr fontId="3"/>
  </si>
  <si>
    <t>垂直安定板</t>
    <rPh sb="2" eb="5">
      <t>アンテイ</t>
    </rPh>
    <phoneticPr fontId="3"/>
  </si>
  <si>
    <t>舵面</t>
    <rPh sb="0" eb="2">
      <t>ダメn</t>
    </rPh>
    <phoneticPr fontId="3"/>
  </si>
  <si>
    <t>上脚</t>
    <rPh sb="0" eb="2">
      <t>ウエアシ</t>
    </rPh>
    <phoneticPr fontId="3"/>
  </si>
  <si>
    <t>ドーサルフィン</t>
    <phoneticPr fontId="3"/>
  </si>
  <si>
    <t>安定板マウント</t>
    <rPh sb="0" eb="3">
      <t>アンテイバン</t>
    </rPh>
    <phoneticPr fontId="3"/>
  </si>
  <si>
    <t>下脚</t>
    <rPh sb="0" eb="2">
      <t>シタアシ</t>
    </rPh>
    <phoneticPr fontId="3"/>
  </si>
  <si>
    <t>機構</t>
    <rPh sb="0" eb="2">
      <t>キコウ</t>
    </rPh>
    <phoneticPr fontId="3"/>
  </si>
  <si>
    <t>車輪</t>
    <rPh sb="0" eb="2">
      <t>シャリン</t>
    </rPh>
    <phoneticPr fontId="3"/>
  </si>
  <si>
    <t>ピン</t>
    <phoneticPr fontId="3"/>
  </si>
  <si>
    <t>ボルトナット（ねじり止め用）</t>
    <rPh sb="10" eb="11">
      <t>ド</t>
    </rPh>
    <rPh sb="12" eb="13">
      <t>ヨウ</t>
    </rPh>
    <phoneticPr fontId="3"/>
  </si>
  <si>
    <t>胴体</t>
    <phoneticPr fontId="3"/>
  </si>
  <si>
    <t>胴体フィレット</t>
    <rPh sb="0" eb="2">
      <t>ドウタイ</t>
    </rPh>
    <phoneticPr fontId="3"/>
  </si>
  <si>
    <t>足おき</t>
    <rPh sb="0" eb="1">
      <t>アシオキ</t>
    </rPh>
    <phoneticPr fontId="3"/>
  </si>
  <si>
    <t>フィレット</t>
  </si>
  <si>
    <t>脚(右)</t>
    <rPh sb="2" eb="3">
      <t>ミギ</t>
    </rPh>
    <phoneticPr fontId="3"/>
  </si>
  <si>
    <t>脚(左)</t>
    <rPh sb="2" eb="3">
      <t>ヒダリ</t>
    </rPh>
    <phoneticPr fontId="3"/>
  </si>
  <si>
    <t>電装</t>
    <rPh sb="0" eb="2">
      <t>デンソウ</t>
    </rPh>
    <phoneticPr fontId="3"/>
  </si>
  <si>
    <t>電装基盤</t>
    <rPh sb="2" eb="4">
      <t>キバン</t>
    </rPh>
    <phoneticPr fontId="3"/>
  </si>
  <si>
    <t>電装バッテリー</t>
    <rPh sb="0" eb="2">
      <t>デンソウ</t>
    </rPh>
    <phoneticPr fontId="3"/>
  </si>
  <si>
    <t>オンボードカメラ</t>
    <phoneticPr fontId="3"/>
  </si>
  <si>
    <t>主要諸元</t>
    <rPh sb="0" eb="4">
      <t>シュヨウショゲン</t>
    </rPh>
    <phoneticPr fontId="3"/>
  </si>
  <si>
    <t>項目</t>
    <rPh sb="0" eb="1">
      <t>コウ</t>
    </rPh>
    <rPh sb="1" eb="2">
      <t>モク</t>
    </rPh>
    <phoneticPr fontId="3"/>
  </si>
  <si>
    <t>揚抗比</t>
    <rPh sb="0" eb="3">
      <t>ヨウコウヒ</t>
    </rPh>
    <phoneticPr fontId="3"/>
  </si>
  <si>
    <t>空気力</t>
    <rPh sb="0" eb="3">
      <t>クウキリョク</t>
    </rPh>
    <phoneticPr fontId="3"/>
  </si>
  <si>
    <t>主翼面積</t>
    <rPh sb="0" eb="4">
      <t>シュヨクメンセキ</t>
    </rPh>
    <phoneticPr fontId="3"/>
  </si>
  <si>
    <t>アスペクト比</t>
    <rPh sb="5" eb="6">
      <t>ヒ</t>
    </rPh>
    <phoneticPr fontId="3"/>
  </si>
  <si>
    <t>平均空力翼弦長</t>
    <rPh sb="0" eb="7">
      <t>ヘイキンクウリキヨクゲンチョウ</t>
    </rPh>
    <phoneticPr fontId="3"/>
  </si>
  <si>
    <t>翼面荷重</t>
    <rPh sb="0" eb="4">
      <t>ヨクメンカジュウ</t>
    </rPh>
    <phoneticPr fontId="3"/>
  </si>
  <si>
    <t>巡航速度</t>
    <rPh sb="0" eb="4">
      <t>ジュンコウソクド</t>
    </rPh>
    <phoneticPr fontId="3"/>
  </si>
  <si>
    <t>機体重量</t>
    <rPh sb="0" eb="4">
      <t>キタイジュウリョウ</t>
    </rPh>
    <phoneticPr fontId="3"/>
  </si>
  <si>
    <t>パイロット重量（服、靴、ヘルメットを含む）</t>
    <rPh sb="5" eb="7">
      <t>ジュウリョウ</t>
    </rPh>
    <rPh sb="8" eb="9">
      <t>フク</t>
    </rPh>
    <rPh sb="10" eb="11">
      <t>クツ</t>
    </rPh>
    <rPh sb="18" eb="19">
      <t>フク</t>
    </rPh>
    <phoneticPr fontId="3"/>
  </si>
  <si>
    <t>AR</t>
    <phoneticPr fontId="3"/>
  </si>
  <si>
    <t>c_</t>
    <phoneticPr fontId="3"/>
  </si>
  <si>
    <t>kgf/m^2</t>
    <phoneticPr fontId="3"/>
  </si>
  <si>
    <t>全機重心位置</t>
    <rPh sb="0" eb="2">
      <t>ゼンキ</t>
    </rPh>
    <rPh sb="2" eb="6">
      <t>ジュウシンイチ</t>
    </rPh>
    <phoneticPr fontId="3"/>
  </si>
  <si>
    <t>水平尾翼面積</t>
    <rPh sb="0" eb="4">
      <t>スイヘイビヨク</t>
    </rPh>
    <rPh sb="4" eb="6">
      <t>メンセキ</t>
    </rPh>
    <phoneticPr fontId="3"/>
  </si>
  <si>
    <t>水平尾翼容積比</t>
    <rPh sb="0" eb="4">
      <t>スイヘイビヨク</t>
    </rPh>
    <rPh sb="4" eb="7">
      <t>ヨウセキヒ</t>
    </rPh>
    <phoneticPr fontId="3"/>
  </si>
  <si>
    <t>垂直尾翼面積</t>
    <rPh sb="0" eb="4">
      <t>スイチョクビヨク</t>
    </rPh>
    <rPh sb="4" eb="6">
      <t>メンセキ</t>
    </rPh>
    <phoneticPr fontId="3"/>
  </si>
  <si>
    <t>垂直尾翼容積比</t>
    <rPh sb="0" eb="4">
      <t>スイチョクビヨク</t>
    </rPh>
    <rPh sb="4" eb="7">
      <t>ヨウセキヒ</t>
    </rPh>
    <phoneticPr fontId="3"/>
  </si>
  <si>
    <t>主翼翼型</t>
    <rPh sb="0" eb="4">
      <t>シュヨクヨクガタ</t>
    </rPh>
    <phoneticPr fontId="3"/>
  </si>
  <si>
    <t>水平尾翼翼型</t>
    <rPh sb="0" eb="4">
      <t>スイヘイビヨク</t>
    </rPh>
    <rPh sb="4" eb="6">
      <t>ヨクガタ</t>
    </rPh>
    <phoneticPr fontId="3"/>
  </si>
  <si>
    <t>垂直尾翼翼型</t>
    <rPh sb="0" eb="6">
      <t>スイチョクビヨクヨクガタ</t>
    </rPh>
    <phoneticPr fontId="3"/>
  </si>
  <si>
    <t>操縦方法</t>
    <rPh sb="0" eb="4">
      <t>ソウジュウホウホウ</t>
    </rPh>
    <phoneticPr fontId="3"/>
  </si>
  <si>
    <t>全機空力中心位置</t>
    <rPh sb="0" eb="2">
      <t>ゼンキ</t>
    </rPh>
    <rPh sb="2" eb="4">
      <t>クウリキ</t>
    </rPh>
    <rPh sb="4" eb="6">
      <t>チュウシン</t>
    </rPh>
    <rPh sb="6" eb="8">
      <t>イチ</t>
    </rPh>
    <phoneticPr fontId="3"/>
  </si>
  <si>
    <t>設計コンセプト</t>
    <rPh sb="0" eb="2">
      <t>セッケイ</t>
    </rPh>
    <phoneticPr fontId="3"/>
  </si>
  <si>
    <t>全機揚抗比</t>
    <rPh sb="0" eb="2">
      <t>ゼンキ</t>
    </rPh>
    <rPh sb="2" eb="5">
      <t>ヨウコウヒ</t>
    </rPh>
    <phoneticPr fontId="2"/>
  </si>
  <si>
    <t>項目</t>
    <rPh sb="0" eb="2">
      <t>コウモク</t>
    </rPh>
    <phoneticPr fontId="3"/>
  </si>
  <si>
    <t>制限荷重倍数</t>
    <rPh sb="0" eb="2">
      <t>セイゲン</t>
    </rPh>
    <rPh sb="2" eb="4">
      <t>カジュウ</t>
    </rPh>
    <rPh sb="4" eb="6">
      <t>バイスウ</t>
    </rPh>
    <phoneticPr fontId="2"/>
  </si>
  <si>
    <t>Nmax</t>
    <phoneticPr fontId="3"/>
  </si>
  <si>
    <t>G</t>
    <phoneticPr fontId="3"/>
  </si>
  <si>
    <t>最小沈下率</t>
    <rPh sb="0" eb="5">
      <t>サイショウチンカリツ</t>
    </rPh>
    <phoneticPr fontId="3"/>
  </si>
  <si>
    <t>全備重量</t>
    <rPh sb="0" eb="2">
      <t>ゼンビ</t>
    </rPh>
    <rPh sb="2" eb="4">
      <t>ジュウリョウ</t>
    </rPh>
    <phoneticPr fontId="2"/>
  </si>
  <si>
    <t>全機迎角</t>
    <rPh sb="0" eb="4">
      <t>ゼンキゲイカク</t>
    </rPh>
    <phoneticPr fontId="2"/>
  </si>
  <si>
    <t>失速角</t>
    <rPh sb="0" eb="2">
      <t>シッソク</t>
    </rPh>
    <rPh sb="2" eb="3">
      <t>カク</t>
    </rPh>
    <phoneticPr fontId="2"/>
  </si>
  <si>
    <t>ゼロ揚力角</t>
    <rPh sb="2" eb="5">
      <t>ヨウリョクカク</t>
    </rPh>
    <phoneticPr fontId="2"/>
  </si>
  <si>
    <t>D_wing</t>
    <phoneticPr fontId="3"/>
  </si>
  <si>
    <t>D_tail</t>
    <phoneticPr fontId="3"/>
  </si>
  <si>
    <t>D_fin</t>
    <phoneticPr fontId="3"/>
  </si>
  <si>
    <t>D_cowl</t>
    <phoneticPr fontId="3"/>
  </si>
  <si>
    <t>D_body</t>
    <phoneticPr fontId="3"/>
  </si>
  <si>
    <t>D_Interference</t>
    <phoneticPr fontId="3"/>
  </si>
  <si>
    <t>設計値</t>
    <rPh sb="0" eb="3">
      <t>セッケイチ</t>
    </rPh>
    <phoneticPr fontId="3"/>
  </si>
  <si>
    <t>翼面積</t>
    <rPh sb="0" eb="1">
      <t>ヨク</t>
    </rPh>
    <rPh sb="1" eb="3">
      <t>メンセキ</t>
    </rPh>
    <phoneticPr fontId="3"/>
  </si>
  <si>
    <t>b</t>
    <phoneticPr fontId="3"/>
  </si>
  <si>
    <t>平均空力翼弦長</t>
    <rPh sb="0" eb="6">
      <t>ヘイキンクウリキヨクゲン</t>
    </rPh>
    <rPh sb="6" eb="7">
      <t>チョウ</t>
    </rPh>
    <phoneticPr fontId="3"/>
  </si>
  <si>
    <t>cMAC</t>
    <phoneticPr fontId="3"/>
  </si>
  <si>
    <t>片翼面積重心</t>
    <rPh sb="0" eb="2">
      <t>カタヨク</t>
    </rPh>
    <rPh sb="2" eb="4">
      <t>メンセキ</t>
    </rPh>
    <rPh sb="4" eb="6">
      <t>ジュウシン</t>
    </rPh>
    <phoneticPr fontId="3"/>
  </si>
  <si>
    <t>変形考慮</t>
    <rPh sb="0" eb="2">
      <t>ヘンケイ</t>
    </rPh>
    <rPh sb="2" eb="4">
      <t>コウリョ</t>
    </rPh>
    <phoneticPr fontId="3"/>
  </si>
  <si>
    <t>LLT</t>
    <phoneticPr fontId="3"/>
  </si>
  <si>
    <t>空力中心</t>
    <rPh sb="0" eb="2">
      <t>クウリキ</t>
    </rPh>
    <rPh sb="2" eb="4">
      <t>チュウシン</t>
    </rPh>
    <phoneticPr fontId="3"/>
  </si>
  <si>
    <t>hac</t>
    <phoneticPr fontId="3"/>
  </si>
  <si>
    <t>翼効率</t>
    <rPh sb="0" eb="1">
      <t>ヨク</t>
    </rPh>
    <rPh sb="1" eb="3">
      <t>コウリツ</t>
    </rPh>
    <phoneticPr fontId="3"/>
  </si>
  <si>
    <t>e</t>
    <phoneticPr fontId="3"/>
  </si>
  <si>
    <t>主翼二次元揚力傾斜</t>
    <rPh sb="0" eb="2">
      <t>シュヨク</t>
    </rPh>
    <rPh sb="2" eb="3">
      <t>ニ</t>
    </rPh>
    <rPh sb="3" eb="5">
      <t>ジゲン</t>
    </rPh>
    <rPh sb="5" eb="7">
      <t>ヨウリョク</t>
    </rPh>
    <rPh sb="7" eb="9">
      <t>ケイシャ</t>
    </rPh>
    <phoneticPr fontId="3"/>
  </si>
  <si>
    <t>Clα</t>
    <phoneticPr fontId="3"/>
  </si>
  <si>
    <t>主翼三次元揚力傾斜</t>
    <rPh sb="0" eb="2">
      <t>シュヨク</t>
    </rPh>
    <rPh sb="2" eb="3">
      <t>サン</t>
    </rPh>
    <rPh sb="3" eb="5">
      <t>ジゲン</t>
    </rPh>
    <rPh sb="5" eb="7">
      <t>ヨウリョク</t>
    </rPh>
    <rPh sb="7" eb="9">
      <t>ケイシャ</t>
    </rPh>
    <phoneticPr fontId="3"/>
  </si>
  <si>
    <t>平均誘導迎え角</t>
    <rPh sb="0" eb="2">
      <t>ヘイキン</t>
    </rPh>
    <rPh sb="2" eb="4">
      <t>ユウドウ</t>
    </rPh>
    <rPh sb="4" eb="5">
      <t>ムカ</t>
    </rPh>
    <rPh sb="6" eb="7">
      <t>カク</t>
    </rPh>
    <phoneticPr fontId="3"/>
  </si>
  <si>
    <t>ε</t>
    <phoneticPr fontId="3"/>
  </si>
  <si>
    <t>静安定性</t>
    <rPh sb="0" eb="4">
      <t>セイアンテイセイ</t>
    </rPh>
    <phoneticPr fontId="3"/>
  </si>
  <si>
    <t>主翼揚力</t>
    <rPh sb="0" eb="2">
      <t>シュヨク</t>
    </rPh>
    <rPh sb="2" eb="4">
      <t>ヨウリョク</t>
    </rPh>
    <phoneticPr fontId="2"/>
  </si>
  <si>
    <t>ラダー横力</t>
    <rPh sb="3" eb="5">
      <t>ヨコリョク</t>
    </rPh>
    <phoneticPr fontId="3"/>
  </si>
  <si>
    <t>エレベーター揚力</t>
    <rPh sb="6" eb="8">
      <t>ヨウリョク</t>
    </rPh>
    <phoneticPr fontId="2"/>
  </si>
  <si>
    <t>全備重量</t>
    <rPh sb="0" eb="2">
      <t>ゼンビ</t>
    </rPh>
    <rPh sb="2" eb="4">
      <t>ジュウリョウ</t>
    </rPh>
    <phoneticPr fontId="3"/>
  </si>
  <si>
    <t>重量・重心位置・慣性モーメント</t>
    <rPh sb="0" eb="2">
      <t>ジュウリョウ</t>
    </rPh>
    <phoneticPr fontId="3"/>
  </si>
  <si>
    <t>動安定</t>
    <rPh sb="0" eb="1">
      <t>ドウ</t>
    </rPh>
    <rPh sb="1" eb="3">
      <t>アンテイ</t>
    </rPh>
    <phoneticPr fontId="3"/>
  </si>
  <si>
    <t>主翼誘導抗力</t>
    <rPh sb="0" eb="2">
      <t>シュヨク</t>
    </rPh>
    <rPh sb="2" eb="4">
      <t>ユウドウ</t>
    </rPh>
    <rPh sb="4" eb="6">
      <t>コウリョク</t>
    </rPh>
    <phoneticPr fontId="2"/>
  </si>
  <si>
    <t>主翼有害抗力</t>
    <rPh sb="0" eb="2">
      <t>シュヨク</t>
    </rPh>
    <rPh sb="2" eb="4">
      <t>ユウガイ</t>
    </rPh>
    <rPh sb="4" eb="6">
      <t>コウリョク</t>
    </rPh>
    <phoneticPr fontId="2"/>
  </si>
  <si>
    <t>主翼揚抗比</t>
    <rPh sb="0" eb="2">
      <t>シュヨク</t>
    </rPh>
    <rPh sb="2" eb="5">
      <t>ヨウコウヒ</t>
    </rPh>
    <phoneticPr fontId="3"/>
  </si>
  <si>
    <t>無次元化用面積</t>
    <rPh sb="0" eb="4">
      <t>ムジゲンカ</t>
    </rPh>
    <rPh sb="4" eb="5">
      <t>ヨウ</t>
    </rPh>
    <rPh sb="5" eb="7">
      <t>メンセキ</t>
    </rPh>
    <phoneticPr fontId="3"/>
  </si>
  <si>
    <t>テーパー比</t>
    <rPh sb="4" eb="5">
      <t>ヒ</t>
    </rPh>
    <phoneticPr fontId="3"/>
  </si>
  <si>
    <t>n</t>
    <phoneticPr fontId="3"/>
  </si>
  <si>
    <t xml:space="preserve">y </t>
    <phoneticPr fontId="3"/>
  </si>
  <si>
    <t>c</t>
    <phoneticPr fontId="3"/>
  </si>
  <si>
    <t>αs</t>
    <phoneticPr fontId="3"/>
  </si>
  <si>
    <t>Γd</t>
    <phoneticPr fontId="3"/>
  </si>
  <si>
    <t>λ</t>
    <phoneticPr fontId="3"/>
  </si>
  <si>
    <t xml:space="preserve">Δy </t>
    <phoneticPr fontId="3"/>
  </si>
  <si>
    <t>積層数</t>
    <rPh sb="0" eb="2">
      <t>セキソウ</t>
    </rPh>
    <rPh sb="2" eb="3">
      <t>スウ</t>
    </rPh>
    <phoneticPr fontId="3"/>
  </si>
  <si>
    <t>オビ</t>
    <phoneticPr fontId="3"/>
  </si>
  <si>
    <t>長軸外径</t>
    <rPh sb="0" eb="2">
      <t>チョウジク</t>
    </rPh>
    <rPh sb="2" eb="4">
      <t>ガイケイ</t>
    </rPh>
    <phoneticPr fontId="3"/>
  </si>
  <si>
    <t>短軸外径</t>
    <rPh sb="0" eb="2">
      <t>タンジク</t>
    </rPh>
    <rPh sb="2" eb="4">
      <t>ガイケイ</t>
    </rPh>
    <phoneticPr fontId="3"/>
  </si>
  <si>
    <t>長軸内径</t>
    <rPh sb="0" eb="2">
      <t>チョウジク</t>
    </rPh>
    <rPh sb="2" eb="4">
      <t>ナイケイ</t>
    </rPh>
    <phoneticPr fontId="3"/>
  </si>
  <si>
    <t>短軸内径</t>
    <rPh sb="0" eb="2">
      <t>タンジク</t>
    </rPh>
    <rPh sb="2" eb="4">
      <t>ナイケイ</t>
    </rPh>
    <phoneticPr fontId="3"/>
  </si>
  <si>
    <t>ply</t>
    <phoneticPr fontId="3"/>
  </si>
  <si>
    <t>長軸mm/スパー位置m</t>
    <rPh sb="0" eb="2">
      <t>チョウジク</t>
    </rPh>
    <rPh sb="8" eb="10">
      <t>イチ</t>
    </rPh>
    <phoneticPr fontId="3"/>
  </si>
  <si>
    <t>0番flat</t>
    <rPh sb="1" eb="2">
      <t>バン</t>
    </rPh>
    <phoneticPr fontId="3"/>
  </si>
  <si>
    <t>1-2接合</t>
  </si>
  <si>
    <t>2-3接合</t>
  </si>
  <si>
    <t>横桁</t>
    <rPh sb="0" eb="2">
      <t>ヨコケタ</t>
    </rPh>
    <phoneticPr fontId="3"/>
  </si>
  <si>
    <t>上桁</t>
    <rPh sb="0" eb="2">
      <t>ウエケタ</t>
    </rPh>
    <phoneticPr fontId="3"/>
  </si>
  <si>
    <t>胴接</t>
    <rPh sb="0" eb="2">
      <t>ドウセツ</t>
    </rPh>
    <phoneticPr fontId="3"/>
  </si>
  <si>
    <t>2*bo</t>
  </si>
  <si>
    <t>2*ao</t>
  </si>
  <si>
    <t>2*bi</t>
  </si>
  <si>
    <t>2*ai</t>
  </si>
  <si>
    <t>ai</t>
  </si>
  <si>
    <t>bo</t>
  </si>
  <si>
    <t>ao</t>
  </si>
  <si>
    <t>bi</t>
  </si>
  <si>
    <t>ply</t>
  </si>
  <si>
    <t>mm</t>
  </si>
  <si>
    <t>パイプ</t>
    <phoneticPr fontId="3"/>
  </si>
  <si>
    <t>胴体太端</t>
    <rPh sb="0" eb="2">
      <t>ドウタイ</t>
    </rPh>
    <rPh sb="2" eb="3">
      <t>フト</t>
    </rPh>
    <rPh sb="3" eb="4">
      <t>ハシ</t>
    </rPh>
    <phoneticPr fontId="3"/>
  </si>
  <si>
    <t>胴接細端</t>
    <rPh sb="0" eb="2">
      <t>ドウセツ</t>
    </rPh>
    <rPh sb="2" eb="3">
      <t>ホソ</t>
    </rPh>
    <rPh sb="3" eb="4">
      <t>ハシ</t>
    </rPh>
    <phoneticPr fontId="3"/>
  </si>
  <si>
    <t>胴体細端</t>
    <rPh sb="0" eb="2">
      <t>ドウタイ</t>
    </rPh>
    <rPh sb="2" eb="3">
      <t>ホソ</t>
    </rPh>
    <rPh sb="3" eb="4">
      <t>ハシ</t>
    </rPh>
    <phoneticPr fontId="3"/>
  </si>
  <si>
    <t>Δy</t>
  </si>
  <si>
    <t>Ex</t>
    <phoneticPr fontId="3"/>
  </si>
  <si>
    <t>Gxy</t>
    <phoneticPr fontId="3"/>
  </si>
  <si>
    <t>νxy</t>
    <phoneticPr fontId="3"/>
  </si>
  <si>
    <t>QX0023</t>
    <phoneticPr fontId="3"/>
  </si>
  <si>
    <t>QX0123</t>
    <phoneticPr fontId="3"/>
  </si>
  <si>
    <t>全機重心位置・慣性モーメント</t>
    <rPh sb="0" eb="2">
      <t>ゼンキ</t>
    </rPh>
    <rPh sb="2" eb="6">
      <t>ジュウシンイチ</t>
    </rPh>
    <rPh sb="7" eb="9">
      <t>カンセイ</t>
    </rPh>
    <phoneticPr fontId="3"/>
  </si>
  <si>
    <t>機体内訳</t>
    <rPh sb="0" eb="2">
      <t>キタイ</t>
    </rPh>
    <rPh sb="2" eb="4">
      <t>ウチワケ</t>
    </rPh>
    <phoneticPr fontId="3"/>
  </si>
  <si>
    <t>リブ番号</t>
  </si>
  <si>
    <t>コード長</t>
  </si>
  <si>
    <t>cn</t>
  </si>
  <si>
    <t>←Fusion360等で推算</t>
    <rPh sb="10" eb="11">
      <t>トウ</t>
    </rPh>
    <rPh sb="12" eb="14">
      <t>スイサn</t>
    </rPh>
    <phoneticPr fontId="3"/>
  </si>
  <si>
    <t>尾翼諸元</t>
    <rPh sb="0" eb="4">
      <t>ビヨクス</t>
    </rPh>
    <phoneticPr fontId="3"/>
  </si>
  <si>
    <t>ポーラーカーブ</t>
    <phoneticPr fontId="3"/>
  </si>
  <si>
    <t>極配置</t>
    <rPh sb="0" eb="3">
      <t>キョクハイチ</t>
    </rPh>
    <phoneticPr fontId="3"/>
  </si>
  <si>
    <t>フライトプラン</t>
    <phoneticPr fontId="3"/>
  </si>
  <si>
    <t>飛行経路最適化</t>
    <rPh sb="0" eb="4">
      <t>ヒコウケイロ</t>
    </rPh>
    <rPh sb="4" eb="7">
      <t>サイテキカ</t>
    </rPh>
    <phoneticPr fontId="3"/>
  </si>
  <si>
    <t>3面図</t>
    <rPh sb="1" eb="3">
      <t>メンズ</t>
    </rPh>
    <phoneticPr fontId="3"/>
  </si>
  <si>
    <t>機速</t>
    <rPh sb="0" eb="1">
      <t>キ</t>
    </rPh>
    <rPh sb="1" eb="2">
      <t>ソク</t>
    </rPh>
    <phoneticPr fontId="3"/>
  </si>
  <si>
    <t>全機重量</t>
    <rPh sb="0" eb="2">
      <t>ゼンキ</t>
    </rPh>
    <rPh sb="2" eb="4">
      <t>ジュウリョウ</t>
    </rPh>
    <phoneticPr fontId="3"/>
  </si>
  <si>
    <t>揚力係数</t>
    <rPh sb="0" eb="4">
      <t>ヨウリョクケイスウ</t>
    </rPh>
    <phoneticPr fontId="3"/>
  </si>
  <si>
    <t>NACA0009</t>
  </si>
  <si>
    <t>安定微係数</t>
    <rPh sb="0" eb="5">
      <t>アンテイビケイスウ</t>
    </rPh>
    <phoneticPr fontId="3"/>
  </si>
  <si>
    <t>重量分布</t>
  </si>
  <si>
    <t>位置</t>
  </si>
  <si>
    <t>翼端</t>
  </si>
  <si>
    <t>0番中央</t>
  </si>
  <si>
    <t>0番細端</t>
  </si>
  <si>
    <t>1番細端</t>
  </si>
  <si>
    <t>2番細端</t>
  </si>
  <si>
    <t>3番細端</t>
  </si>
  <si>
    <t>桁名</t>
  </si>
  <si>
    <t>z桁厚余裕</t>
  </si>
  <si>
    <t>x桁厚余裕</t>
  </si>
  <si>
    <t>翼型名</t>
  </si>
  <si>
    <t>桁中心</t>
  </si>
  <si>
    <t>%</t>
  </si>
  <si>
    <t>y位置</t>
  </si>
  <si>
    <t>QX0023</t>
  </si>
  <si>
    <t>QX0123</t>
  </si>
  <si>
    <t>リブ諸元</t>
  </si>
  <si>
    <t>リブ番号</t>
    <rPh sb="2" eb="4">
      <t>バンゴウ</t>
    </rPh>
    <phoneticPr fontId="2"/>
  </si>
  <si>
    <t>上反角</t>
    <rPh sb="0" eb="3">
      <t>ジョウハンカク</t>
    </rPh>
    <phoneticPr fontId="2"/>
  </si>
  <si>
    <t>前縁位置</t>
    <rPh sb="0" eb="2">
      <t>ゼンエン</t>
    </rPh>
    <rPh sb="2" eb="4">
      <t>イチ</t>
    </rPh>
    <phoneticPr fontId="2"/>
  </si>
  <si>
    <t>後縁位置</t>
    <rPh sb="0" eb="2">
      <t>コウエン</t>
    </rPh>
    <rPh sb="2" eb="4">
      <t>イチ</t>
    </rPh>
    <phoneticPr fontId="2"/>
  </si>
  <si>
    <t>頂点1</t>
  </si>
  <si>
    <t>頂点2</t>
  </si>
  <si>
    <t>頂点3</t>
  </si>
  <si>
    <t>頂点4</t>
  </si>
  <si>
    <t>頂点5</t>
  </si>
  <si>
    <t>n</t>
    <phoneticPr fontId="2"/>
  </si>
  <si>
    <t>-</t>
    <phoneticPr fontId="2"/>
  </si>
  <si>
    <t>m</t>
    <phoneticPr fontId="2"/>
  </si>
  <si>
    <t>リブ間隔（一つ前との距離）</t>
  </si>
  <si>
    <t>翼厚チェック</t>
  </si>
  <si>
    <t>翼厚余裕</t>
  </si>
  <si>
    <t>z桁径</t>
  </si>
  <si>
    <t>x桁径</t>
  </si>
  <si>
    <t>解析値</t>
  </si>
  <si>
    <t>有効迎角</t>
    <rPh sb="0" eb="2">
      <t>ユウコウ</t>
    </rPh>
    <rPh sb="2" eb="4">
      <t>ゲイカク</t>
    </rPh>
    <phoneticPr fontId="2"/>
  </si>
  <si>
    <t>レイノルズ数</t>
    <rPh sb="5" eb="6">
      <t>スウ</t>
    </rPh>
    <phoneticPr fontId="2"/>
  </si>
  <si>
    <t>抗力傾斜</t>
    <rPh sb="0" eb="2">
      <t>コウリョク</t>
    </rPh>
    <rPh sb="2" eb="4">
      <t>ケイシャ</t>
    </rPh>
    <phoneticPr fontId="2"/>
  </si>
  <si>
    <t>楕円循環</t>
    <rPh sb="0" eb="2">
      <t>ダエン</t>
    </rPh>
    <rPh sb="2" eb="4">
      <t>ジュンカン</t>
    </rPh>
    <phoneticPr fontId="2"/>
  </si>
  <si>
    <t>循環</t>
    <rPh sb="0" eb="2">
      <t>ジュンカン</t>
    </rPh>
    <phoneticPr fontId="2"/>
  </si>
  <si>
    <t>吹きおろし</t>
    <rPh sb="0" eb="1">
      <t>フ</t>
    </rPh>
    <phoneticPr fontId="2"/>
  </si>
  <si>
    <t>誘導迎角</t>
    <rPh sb="0" eb="2">
      <t>ユウドウ</t>
    </rPh>
    <rPh sb="2" eb="4">
      <t>ゲイカク</t>
    </rPh>
    <phoneticPr fontId="2"/>
  </si>
  <si>
    <t>最適循環</t>
    <rPh sb="0" eb="2">
      <t>サイテキ</t>
    </rPh>
    <rPh sb="2" eb="4">
      <t>ジュンカン</t>
    </rPh>
    <phoneticPr fontId="2"/>
  </si>
  <si>
    <t>α</t>
    <phoneticPr fontId="2"/>
  </si>
  <si>
    <t>Re</t>
    <phoneticPr fontId="2"/>
  </si>
  <si>
    <t>Cl</t>
    <phoneticPr fontId="2"/>
  </si>
  <si>
    <t>Cdo</t>
    <phoneticPr fontId="2"/>
  </si>
  <si>
    <t>Cm</t>
    <phoneticPr fontId="2"/>
  </si>
  <si>
    <t>Clα</t>
    <phoneticPr fontId="2"/>
  </si>
  <si>
    <t>Cd0α</t>
    <phoneticPr fontId="2"/>
  </si>
  <si>
    <t>Cm_cg</t>
    <phoneticPr fontId="2"/>
  </si>
  <si>
    <t>Γd</t>
    <phoneticPr fontId="2"/>
  </si>
  <si>
    <t>Γc_opt</t>
    <phoneticPr fontId="2"/>
  </si>
  <si>
    <t>Γc</t>
    <phoneticPr fontId="2"/>
  </si>
  <si>
    <t>wi</t>
    <phoneticPr fontId="2"/>
  </si>
  <si>
    <t>αi</t>
    <phoneticPr fontId="2"/>
  </si>
  <si>
    <t>Γ_TR797</t>
    <phoneticPr fontId="2"/>
  </si>
  <si>
    <t>deg</t>
    <phoneticPr fontId="2"/>
  </si>
  <si>
    <t>1/deg</t>
    <phoneticPr fontId="2"/>
  </si>
  <si>
    <t>m^2/s</t>
    <phoneticPr fontId="2"/>
  </si>
  <si>
    <t>m/s</t>
    <phoneticPr fontId="2"/>
  </si>
  <si>
    <t>揚力</t>
  </si>
  <si>
    <t>抗力</t>
  </si>
  <si>
    <t>ピッチングモーメント</t>
  </si>
  <si>
    <t>wi_TR797</t>
  </si>
  <si>
    <t>基準？</t>
  </si>
  <si>
    <t>変形考慮</t>
  </si>
  <si>
    <t>最適吹きおろし</t>
  </si>
  <si>
    <t>0-1</t>
  </si>
  <si>
    <t>1-2</t>
  </si>
  <si>
    <t>2-3</t>
  </si>
  <si>
    <t>主翼二次構造</t>
    <rPh sb="0" eb="2">
      <t>シュヨク</t>
    </rPh>
    <rPh sb="2" eb="4">
      <t>ニジ</t>
    </rPh>
    <rPh sb="4" eb="6">
      <t>コウゾウ</t>
    </rPh>
    <phoneticPr fontId="2"/>
  </si>
  <si>
    <t>m^2</t>
    <phoneticPr fontId="2"/>
  </si>
  <si>
    <t>リブ</t>
    <phoneticPr fontId="2"/>
  </si>
  <si>
    <t>厚さ</t>
    <rPh sb="0" eb="1">
      <t>アツ</t>
    </rPh>
    <phoneticPr fontId="2"/>
  </si>
  <si>
    <t>プランク</t>
    <phoneticPr fontId="2"/>
  </si>
  <si>
    <t>縦通材</t>
    <rPh sb="0" eb="3">
      <t>ジュウツウザイ</t>
    </rPh>
    <phoneticPr fontId="2"/>
  </si>
  <si>
    <t>本数</t>
    <rPh sb="0" eb="2">
      <t>ホンスウ</t>
    </rPh>
    <phoneticPr fontId="2"/>
  </si>
  <si>
    <t>断面積</t>
    <rPh sb="0" eb="3">
      <t>ダンメンセキ</t>
    </rPh>
    <phoneticPr fontId="2"/>
  </si>
  <si>
    <t>リブ材</t>
    <rPh sb="2" eb="3">
      <t>ザイ</t>
    </rPh>
    <phoneticPr fontId="2"/>
  </si>
  <si>
    <t>後縁材</t>
    <rPh sb="0" eb="3">
      <t>コウエンザイ</t>
    </rPh>
    <phoneticPr fontId="2"/>
  </si>
  <si>
    <t>幅</t>
    <rPh sb="0" eb="1">
      <t>ハバ</t>
    </rPh>
    <phoneticPr fontId="2"/>
  </si>
  <si>
    <t>接着剤①</t>
    <rPh sb="0" eb="3">
      <t>セッチャクザイ</t>
    </rPh>
    <phoneticPr fontId="2"/>
  </si>
  <si>
    <t>リブ面積に比例するもの</t>
    <rPh sb="2" eb="4">
      <t>メンセキ</t>
    </rPh>
    <rPh sb="5" eb="7">
      <t>ヒレイ</t>
    </rPh>
    <phoneticPr fontId="2"/>
  </si>
  <si>
    <t>kg</t>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</si>
  <si>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</si>
  <si>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</si>
  <si>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</si>
  <si>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</si>
  <si>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バルサチップ</t>
    <phoneticPr fontId="2"/>
  </si>
  <si>
    <t>長さ</t>
    <rPh sb="0" eb="1">
      <t>ナガ</t>
    </rPh>
    <phoneticPr fontId="2"/>
  </si>
  <si>
    <t>端？</t>
  </si>
  <si>
    <t>桁接合位置</t>
  </si>
  <si>
    <t>プランク位置</t>
  </si>
  <si>
    <t>ストリンガー位置</t>
  </si>
  <si>
    <t>プランク長さ</t>
  </si>
  <si>
    <t>腹側リブ材長さ</t>
  </si>
  <si>
    <t>背側リブ材長さ</t>
  </si>
  <si>
    <t>重量推算</t>
  </si>
  <si>
    <t>接着剤</t>
    <rPh sb="0" eb="3">
      <t>セッチャクザイ</t>
    </rPh>
    <phoneticPr fontId="2"/>
  </si>
  <si>
    <t>合計</t>
  </si>
  <si>
    <t>g</t>
  </si>
  <si>
    <t>カーボンリブ</t>
  </si>
  <si>
    <t>ガラスクロス</t>
  </si>
  <si>
    <t>桁穴</t>
  </si>
  <si>
    <t>長さ</t>
  </si>
  <si>
    <t>最大揚力係数</t>
  </si>
  <si>
    <t>Clmax</t>
  </si>
  <si>
    <t>N m</t>
  </si>
  <si>
    <t>誘導抗力係数</t>
  </si>
  <si>
    <t>Cdi</t>
  </si>
  <si>
    <t>桁位置まわりピッチングモーメント</t>
  </si>
  <si>
    <t>スパー詳細</t>
  </si>
  <si>
    <t>重量</t>
  </si>
  <si>
    <t>z軸内径</t>
  </si>
  <si>
    <t>x軸内径</t>
  </si>
  <si>
    <t>z軸外径</t>
  </si>
  <si>
    <t>x軸外径</t>
  </si>
  <si>
    <t>差ししろ</t>
  </si>
  <si>
    <t>楕円率</t>
  </si>
  <si>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</si>
  <si>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</si>
  <si>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</si>
  <si>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</si>
  <si>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ヤング率</t>
    <rPh sb="3" eb="4">
      <t>リツ</t>
    </rPh>
    <phoneticPr fontId="2"/>
  </si>
  <si>
    <t>横弾性係数</t>
    <rPh sb="0" eb="1">
      <t>ヨコ</t>
    </rPh>
    <rPh sb="1" eb="3">
      <t>ダンセイ</t>
    </rPh>
    <rPh sb="3" eb="5">
      <t>ケイスウ</t>
    </rPh>
    <phoneticPr fontId="2"/>
  </si>
  <si>
    <t>曲げ剛性</t>
    <rPh sb="0" eb="1">
      <t>マ</t>
    </rPh>
    <rPh sb="2" eb="4">
      <t>ゴウセイ</t>
    </rPh>
    <phoneticPr fontId="2"/>
  </si>
  <si>
    <t>ねじれ剛性</t>
    <rPh sb="3" eb="5">
      <t>ゴウセイ</t>
    </rPh>
    <phoneticPr fontId="2"/>
  </si>
  <si>
    <t>Ix</t>
    <phoneticPr fontId="2"/>
  </si>
  <si>
    <t>Iy</t>
    <phoneticPr fontId="2"/>
  </si>
  <si>
    <t>J</t>
    <phoneticPr fontId="2"/>
  </si>
  <si>
    <t>A</t>
    <phoneticPr fontId="2"/>
  </si>
  <si>
    <t>Am</t>
    <phoneticPr fontId="2"/>
  </si>
  <si>
    <t>L</t>
    <phoneticPr fontId="2"/>
  </si>
  <si>
    <t>E</t>
    <phoneticPr fontId="2"/>
  </si>
  <si>
    <t>G</t>
    <phoneticPr fontId="2"/>
  </si>
  <si>
    <t>Eix</t>
    <phoneticPr fontId="2"/>
  </si>
  <si>
    <t>GJ</t>
    <phoneticPr fontId="2"/>
  </si>
  <si>
    <t>mm^4</t>
    <phoneticPr fontId="2"/>
  </si>
  <si>
    <t>mm^2</t>
    <phoneticPr fontId="2"/>
  </si>
  <si>
    <t xml:space="preserve">mm^2 </t>
    <phoneticPr fontId="2"/>
  </si>
  <si>
    <t>mm</t>
    <phoneticPr fontId="2"/>
  </si>
  <si>
    <t>GPa</t>
    <phoneticPr fontId="2"/>
  </si>
  <si>
    <t>N*m^2</t>
    <phoneticPr fontId="2"/>
  </si>
  <si>
    <t>強度計算</t>
    <rPh sb="0" eb="2">
      <t>キョウド</t>
    </rPh>
    <rPh sb="2" eb="4">
      <t>ケイサン</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</si>
  <si>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</si>
  <si>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</si>
  <si>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</si>
  <si>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最大合力</t>
    <rPh sb="0" eb="2">
      <t>サイダイ</t>
    </rPh>
    <rPh sb="2" eb="4">
      <t>ゴウリョク</t>
    </rPh>
    <phoneticPr fontId="2"/>
  </si>
  <si>
    <t>比率</t>
    <rPh sb="0" eb="2">
      <t>ヒリツ</t>
    </rPh>
    <phoneticPr fontId="2"/>
  </si>
  <si>
    <t>Nf</t>
    <phoneticPr fontId="2"/>
  </si>
  <si>
    <t>M</t>
    <phoneticPr fontId="2"/>
  </si>
  <si>
    <t>σmax</t>
    <phoneticPr fontId="2"/>
  </si>
  <si>
    <t>Nmax</t>
    <phoneticPr fontId="2"/>
  </si>
  <si>
    <t>Nf/Nmax</t>
    <phoneticPr fontId="2"/>
  </si>
  <si>
    <t>N/mm</t>
    <phoneticPr fontId="2"/>
  </si>
  <si>
    <t>N*mm</t>
    <phoneticPr fontId="2"/>
  </si>
  <si>
    <t>N/mm^2</t>
    <phoneticPr fontId="2"/>
  </si>
  <si>
    <t>たわみ</t>
  </si>
  <si>
    <t>ねじれ</t>
  </si>
  <si>
    <t>SFD</t>
  </si>
  <si>
    <t>BMD</t>
  </si>
  <si>
    <t>トルク</t>
  </si>
  <si>
    <t>荷重試験結果</t>
  </si>
  <si>
    <t>補正係数</t>
  </si>
  <si>
    <t>最大</t>
  </si>
  <si>
    <t>カウル</t>
    <phoneticPr fontId="2"/>
  </si>
  <si>
    <t>値</t>
    <rPh sb="0" eb="1">
      <t>アタイ</t>
    </rPh>
    <phoneticPr fontId="2"/>
  </si>
  <si>
    <t>全長</t>
    <rPh sb="0" eb="2">
      <t>ゼンチョウ</t>
    </rPh>
    <phoneticPr fontId="2"/>
  </si>
  <si>
    <t>chord</t>
    <phoneticPr fontId="2"/>
  </si>
  <si>
    <t>X0</t>
    <phoneticPr fontId="2"/>
  </si>
  <si>
    <t>Y0</t>
    <phoneticPr fontId="2"/>
  </si>
  <si>
    <t>Z0</t>
    <phoneticPr fontId="2"/>
  </si>
  <si>
    <t>フレーム数</t>
    <rPh sb="4" eb="5">
      <t>スウ</t>
    </rPh>
    <phoneticPr fontId="2"/>
  </si>
  <si>
    <t>frame</t>
    <phoneticPr fontId="2"/>
  </si>
  <si>
    <t>周方向分割数</t>
    <rPh sb="0" eb="1">
      <t>シュウ</t>
    </rPh>
    <rPh sb="1" eb="3">
      <t>ホウコウ</t>
    </rPh>
    <rPh sb="3" eb="6">
      <t>ブンカツスウ</t>
    </rPh>
    <phoneticPr fontId="2"/>
  </si>
  <si>
    <t>circumferencial_division</t>
    <phoneticPr fontId="2"/>
  </si>
  <si>
    <t>フレーム出力</t>
    <rPh sb="4" eb="6">
      <t>シュツリョク</t>
    </rPh>
    <phoneticPr fontId="2"/>
  </si>
  <si>
    <t>なし</t>
  </si>
  <si>
    <t>データ貼り付け</t>
    <rPh sb="3" eb="4">
      <t>ハ</t>
    </rPh>
    <rPh sb="5" eb="6">
      <t>ツ</t>
    </rPh>
    <phoneticPr fontId="2"/>
  </si>
  <si>
    <t>あり</t>
  </si>
  <si>
    <t>最大断面積</t>
    <rPh sb="0" eb="2">
      <t>サイダイ</t>
    </rPh>
    <rPh sb="2" eb="5">
      <t>ダンメンセキ</t>
    </rPh>
    <phoneticPr fontId="2"/>
  </si>
  <si>
    <t>Sπ</t>
    <phoneticPr fontId="2"/>
  </si>
  <si>
    <t>体積</t>
    <rPh sb="0" eb="2">
      <t>タイセキ</t>
    </rPh>
    <phoneticPr fontId="2"/>
  </si>
  <si>
    <t>Δ</t>
    <phoneticPr fontId="2"/>
  </si>
  <si>
    <t>m^3</t>
    <phoneticPr fontId="2"/>
  </si>
  <si>
    <t>濡れ面積</t>
    <rPh sb="0" eb="1">
      <t>ヌ</t>
    </rPh>
    <rPh sb="2" eb="4">
      <t>メンセキ</t>
    </rPh>
    <phoneticPr fontId="2"/>
  </si>
  <si>
    <t>Swet</t>
    <phoneticPr fontId="2"/>
  </si>
  <si>
    <t>平板摩擦力係数</t>
    <rPh sb="0" eb="2">
      <t>ヘイバン</t>
    </rPh>
    <rPh sb="2" eb="5">
      <t>マサツリョク</t>
    </rPh>
    <rPh sb="5" eb="7">
      <t>ケイスウ</t>
    </rPh>
    <phoneticPr fontId="2"/>
  </si>
  <si>
    <t>Cf</t>
    <phoneticPr fontId="2"/>
  </si>
  <si>
    <t>相当直径</t>
    <rPh sb="0" eb="2">
      <t>ソウトウ</t>
    </rPh>
    <rPh sb="2" eb="4">
      <t>チョッケイ</t>
    </rPh>
    <phoneticPr fontId="2"/>
  </si>
  <si>
    <t>d_</t>
    <phoneticPr fontId="2"/>
  </si>
  <si>
    <t>リブ枚数</t>
  </si>
  <si>
    <t>重心計算補助ツール</t>
    <rPh sb="0" eb="2">
      <t>ジュウシン</t>
    </rPh>
    <rPh sb="2" eb="4">
      <t>ケイサn</t>
    </rPh>
    <rPh sb="4" eb="6">
      <t>ホジョ</t>
    </rPh>
    <phoneticPr fontId="2"/>
  </si>
  <si>
    <t>始点質量</t>
    <rPh sb="0" eb="2">
      <t>シテn</t>
    </rPh>
    <rPh sb="2" eb="4">
      <t>シツリョウ</t>
    </rPh>
    <phoneticPr fontId="2"/>
  </si>
  <si>
    <t>終点質量</t>
    <rPh sb="0" eb="2">
      <t>シュウテn</t>
    </rPh>
    <rPh sb="2" eb="4">
      <t>シツリョウ</t>
    </rPh>
    <phoneticPr fontId="2"/>
  </si>
  <si>
    <t>部材長さ</t>
    <rPh sb="0" eb="2">
      <t>ブザイ</t>
    </rPh>
    <rPh sb="2" eb="3">
      <t>ナガサ</t>
    </rPh>
    <phoneticPr fontId="2"/>
  </si>
  <si>
    <t>合計質量</t>
    <rPh sb="0" eb="2">
      <t>ゴウケイ</t>
    </rPh>
    <rPh sb="2" eb="4">
      <t>シツリョウ</t>
    </rPh>
    <phoneticPr fontId="2"/>
  </si>
  <si>
    <t>重心位置</t>
    <rPh sb="0" eb="2">
      <t>ジュウシn</t>
    </rPh>
    <rPh sb="2" eb="4">
      <t>イティ</t>
    </rPh>
    <phoneticPr fontId="2"/>
  </si>
  <si>
    <t>g</t>
    <phoneticPr fontId="2"/>
  </si>
  <si>
    <t>初期間隔</t>
  </si>
  <si>
    <t>余剰揚力</t>
  </si>
  <si>
    <t>揚抗比</t>
  </si>
  <si>
    <t>w</t>
  </si>
  <si>
    <t>φ</t>
  </si>
  <si>
    <t>高さ</t>
  </si>
  <si>
    <t>zn</t>
  </si>
  <si>
    <t>yn</t>
  </si>
  <si>
    <t>Γ</t>
  </si>
  <si>
    <t>取り付け角</t>
  </si>
  <si>
    <t>上反角</t>
  </si>
  <si>
    <t>諸元詳細</t>
  </si>
  <si>
    <t>T字配置</t>
  </si>
  <si>
    <t>重心移動</t>
  </si>
  <si>
    <t>M</t>
  </si>
  <si>
    <t>Cl/Cd vs Cl</t>
  </si>
  <si>
    <t>Cl vs alpha</t>
  </si>
  <si>
    <t>Cm vs alpha</t>
  </si>
  <si>
    <t>平面形</t>
  </si>
  <si>
    <t>0番</t>
    <rPh sb="1" eb="2">
      <t>バン</t>
    </rPh>
    <phoneticPr fontId="2"/>
  </si>
  <si>
    <t>1番</t>
    <rPh sb="1" eb="2">
      <t>バン</t>
    </rPh>
    <phoneticPr fontId="2"/>
  </si>
  <si>
    <t>2番</t>
    <rPh sb="1" eb="2">
      <t>バン</t>
    </rPh>
    <phoneticPr fontId="2"/>
  </si>
  <si>
    <t>3番</t>
    <rPh sb="1" eb="2">
      <t>バン</t>
    </rPh>
    <phoneticPr fontId="2"/>
  </si>
  <si>
    <t>位置</t>
    <rPh sb="0" eb="2">
      <t>イチ</t>
    </rPh>
    <phoneticPr fontId="2"/>
  </si>
  <si>
    <t>y</t>
    <phoneticPr fontId="2"/>
  </si>
  <si>
    <t>0-1接合</t>
    <phoneticPr fontId="2"/>
  </si>
  <si>
    <t>剛性計算</t>
  </si>
  <si>
    <t>積層構成</t>
  </si>
  <si>
    <t>一本あたりマンドレル長さ</t>
    <rPh sb="0" eb="2">
      <t>イッポn</t>
    </rPh>
    <rPh sb="10" eb="11">
      <t>ナガサ</t>
    </rPh>
    <phoneticPr fontId="2"/>
  </si>
  <si>
    <t>ほぞ深さ</t>
    <rPh sb="2" eb="3">
      <t>フカサ</t>
    </rPh>
    <phoneticPr fontId="2"/>
  </si>
  <si>
    <t>マンドレル本数</t>
    <rPh sb="5" eb="7">
      <t>ホn</t>
    </rPh>
    <phoneticPr fontId="2"/>
  </si>
  <si>
    <t>本</t>
    <rPh sb="0" eb="1">
      <t>ホn</t>
    </rPh>
    <phoneticPr fontId="2"/>
  </si>
  <si>
    <t>マンドレル-積層端マージン</t>
    <rPh sb="6" eb="8">
      <t>セキソウ</t>
    </rPh>
    <rPh sb="8" eb="9">
      <t xml:space="preserve">ハシ </t>
    </rPh>
    <phoneticPr fontId="2"/>
  </si>
  <si>
    <t>マンドレル番号</t>
    <rPh sb="5" eb="7">
      <t>バンゴウ</t>
    </rPh>
    <phoneticPr fontId="2"/>
  </si>
  <si>
    <t>太-長軸</t>
    <rPh sb="0" eb="1">
      <t xml:space="preserve">フト </t>
    </rPh>
    <rPh sb="2" eb="4">
      <t>チョウジク</t>
    </rPh>
    <phoneticPr fontId="2"/>
  </si>
  <si>
    <t>太-短軸</t>
    <rPh sb="2" eb="4">
      <t>タンジク</t>
    </rPh>
    <phoneticPr fontId="2"/>
  </si>
  <si>
    <t>細-長軸</t>
    <rPh sb="0" eb="1">
      <t xml:space="preserve">ホソ </t>
    </rPh>
    <rPh sb="2" eb="4">
      <t>チョウジク</t>
    </rPh>
    <phoneticPr fontId="2"/>
  </si>
  <si>
    <t>細-短軸</t>
    <rPh sb="0" eb="1">
      <t xml:space="preserve">ホソ </t>
    </rPh>
    <rPh sb="2" eb="4">
      <t>タンジク</t>
    </rPh>
    <phoneticPr fontId="2"/>
  </si>
  <si>
    <t>内径</t>
    <rPh sb="0" eb="2">
      <t>ナイケイ</t>
    </rPh>
    <phoneticPr fontId="2"/>
  </si>
  <si>
    <t>外径</t>
    <rPh sb="0" eb="2">
      <t>ガイケイ</t>
    </rPh>
    <phoneticPr fontId="2"/>
  </si>
  <si>
    <t>総マンドレル長さ</t>
    <rPh sb="0" eb="1">
      <t xml:space="preserve">ソウ </t>
    </rPh>
    <rPh sb="6" eb="7">
      <t>ナガサ</t>
    </rPh>
    <phoneticPr fontId="2"/>
  </si>
  <si>
    <t>設計値</t>
    <rPh sb="0" eb="3">
      <t>セッケイ</t>
    </rPh>
    <phoneticPr fontId="2"/>
  </si>
  <si>
    <t>焼き桁長さ</t>
    <rPh sb="0" eb="1">
      <t>ヤキ</t>
    </rPh>
    <rPh sb="2" eb="4">
      <t>ケタ</t>
    </rPh>
    <phoneticPr fontId="2"/>
  </si>
  <si>
    <t>太-短軸</t>
    <rPh sb="0" eb="1">
      <t>フトガ</t>
    </rPh>
    <rPh sb="2" eb="4">
      <t>タンジク</t>
    </rPh>
    <phoneticPr fontId="2"/>
  </si>
  <si>
    <t>切り落とし量（片側）</t>
    <rPh sb="0" eb="1">
      <t>キリオトセィ</t>
    </rPh>
    <rPh sb="7" eb="9">
      <t>カタガワ</t>
    </rPh>
    <phoneticPr fontId="2"/>
  </si>
  <si>
    <t>細-長軸</t>
    <rPh sb="0" eb="1">
      <t>ホソガワ</t>
    </rPh>
    <rPh sb="2" eb="4">
      <t>チョウジク</t>
    </rPh>
    <phoneticPr fontId="2"/>
  </si>
  <si>
    <t>焼き上がり</t>
    <rPh sb="0" eb="1">
      <t>ヤキ</t>
    </rPh>
    <phoneticPr fontId="2"/>
  </si>
  <si>
    <t>軸方向重ねしろ</t>
    <rPh sb="0" eb="3">
      <t>ジクホウコウ</t>
    </rPh>
    <rPh sb="3" eb="4">
      <t>カサ</t>
    </rPh>
    <phoneticPr fontId="2"/>
  </si>
  <si>
    <t>周方向重ねしろ</t>
    <rPh sb="0" eb="1">
      <t>シュウ</t>
    </rPh>
    <rPh sb="1" eb="3">
      <t>ホウコウ</t>
    </rPh>
    <rPh sb="3" eb="4">
      <t>カサ</t>
    </rPh>
    <phoneticPr fontId="2"/>
  </si>
  <si>
    <t>プリプレグシート幅</t>
    <rPh sb="8" eb="9">
      <t>ハバ</t>
    </rPh>
    <phoneticPr fontId="2"/>
  </si>
  <si>
    <t>焼き後重量</t>
  </si>
  <si>
    <t>厚さマージン</t>
  </si>
  <si>
    <t>始点</t>
  </si>
  <si>
    <t>終点</t>
  </si>
  <si>
    <t>コード長 [m]</t>
    <rPh sb="3" eb="4">
      <t>チョウ</t>
    </rPh>
    <phoneticPr fontId="2"/>
  </si>
  <si>
    <t>c</t>
    <phoneticPr fontId="2"/>
  </si>
  <si>
    <t>cf/c</t>
    <phoneticPr fontId="2"/>
  </si>
  <si>
    <t>z</t>
  </si>
  <si>
    <t>翼根</t>
  </si>
  <si>
    <t>安定板平面形</t>
  </si>
  <si>
    <t>舵面平面形</t>
  </si>
  <si>
    <t>テーパー</t>
  </si>
  <si>
    <t>安定板底面高さ</t>
  </si>
  <si>
    <t>安定板-背板間隙間</t>
  </si>
  <si>
    <t>尾翼位置</t>
  </si>
  <si>
    <t>背板厚さ</t>
  </si>
  <si>
    <t>舵面割合</t>
  </si>
  <si>
    <t>安定板詳細</t>
  </si>
  <si>
    <t>舵面詳細</t>
  </si>
  <si>
    <t>テーパー区間</t>
    <rPh sb="4" eb="6">
      <t>クカn</t>
    </rPh>
    <phoneticPr fontId="3"/>
  </si>
  <si>
    <t>桁区間</t>
    <rPh sb="0" eb="1">
      <t>ケタ</t>
    </rPh>
    <rPh sb="1" eb="3">
      <t>クカn</t>
    </rPh>
    <phoneticPr fontId="3"/>
  </si>
  <si>
    <t>基準</t>
  </si>
  <si>
    <t>1番</t>
  </si>
  <si>
    <t>リブ間隔（一つ前のリブとの距離）</t>
    <phoneticPr fontId="3"/>
  </si>
  <si>
    <t>xLE</t>
    <phoneticPr fontId="1"/>
  </si>
  <si>
    <t>xTE</t>
    <phoneticPr fontId="1"/>
  </si>
  <si>
    <t>mm/m</t>
    <phoneticPr fontId="3"/>
  </si>
  <si>
    <t>幾何値</t>
    <rPh sb="0" eb="3">
      <t xml:space="preserve">キカ </t>
    </rPh>
    <phoneticPr fontId="3"/>
  </si>
  <si>
    <t>リブ面積</t>
    <phoneticPr fontId="3"/>
  </si>
  <si>
    <t>全周長さ</t>
    <rPh sb="0" eb="2">
      <t>ゼンシュウ</t>
    </rPh>
    <rPh sb="2" eb="3">
      <t xml:space="preserve">ナガサ </t>
    </rPh>
    <phoneticPr fontId="3"/>
  </si>
  <si>
    <t>リブ材腹</t>
    <rPh sb="3" eb="4">
      <t xml:space="preserve">ハラ </t>
    </rPh>
    <phoneticPr fontId="3"/>
  </si>
  <si>
    <t>リブ材背</t>
    <rPh sb="3" eb="4">
      <t xml:space="preserve">セ </t>
    </rPh>
    <phoneticPr fontId="3"/>
  </si>
  <si>
    <t>プランク長</t>
    <phoneticPr fontId="3"/>
  </si>
  <si>
    <t>mm</t>
    <phoneticPr fontId="1"/>
  </si>
  <si>
    <t>g</t>
    <phoneticPr fontId="1"/>
  </si>
  <si>
    <t>素材</t>
    <rPh sb="0" eb="2">
      <t>ソザイ</t>
    </rPh>
    <phoneticPr fontId="3"/>
  </si>
  <si>
    <t>スタイロフォーム</t>
  </si>
  <si>
    <t>エスレン</t>
  </si>
  <si>
    <t>CFRP</t>
  </si>
  <si>
    <t>バルサ</t>
  </si>
  <si>
    <t>30分エポ</t>
    <phoneticPr fontId="3"/>
  </si>
  <si>
    <t>5分エポ</t>
    <phoneticPr fontId="3"/>
  </si>
  <si>
    <t>スチのり（発泡ボンド）</t>
    <phoneticPr fontId="3"/>
  </si>
  <si>
    <t>高剪断エポキシ</t>
    <rPh sb="0" eb="3">
      <t xml:space="preserve">コウセンダン </t>
    </rPh>
    <phoneticPr fontId="3"/>
  </si>
  <si>
    <t>ウレタンフォーム</t>
    <phoneticPr fontId="3"/>
  </si>
  <si>
    <t>バブルス</t>
    <phoneticPr fontId="3"/>
  </si>
  <si>
    <t>tmax_at</t>
    <phoneticPr fontId="3"/>
  </si>
  <si>
    <t>cmax_at</t>
    <phoneticPr fontId="3"/>
  </si>
  <si>
    <t>翼型名</t>
    <phoneticPr fontId="3"/>
  </si>
  <si>
    <t>翼厚</t>
    <phoneticPr fontId="3"/>
  </si>
  <si>
    <t>後縁角</t>
    <phoneticPr fontId="3"/>
  </si>
  <si>
    <t>Re数</t>
    <phoneticPr fontId="3"/>
  </si>
  <si>
    <t>最大揚力係数</t>
    <phoneticPr fontId="3"/>
  </si>
  <si>
    <t>最大揚抗比</t>
    <phoneticPr fontId="3"/>
  </si>
  <si>
    <t>迎角</t>
    <phoneticPr fontId="3"/>
  </si>
  <si>
    <t>揚力係数</t>
    <phoneticPr fontId="3"/>
  </si>
  <si>
    <t>揚抗比</t>
    <phoneticPr fontId="3"/>
  </si>
  <si>
    <t>ピッチングモーメント係数</t>
    <phoneticPr fontId="3"/>
  </si>
  <si>
    <t>風圧中心</t>
    <phoneticPr fontId="3"/>
  </si>
  <si>
    <t>遷移位置</t>
    <phoneticPr fontId="3"/>
  </si>
  <si>
    <t>外形</t>
    <phoneticPr fontId="3"/>
  </si>
  <si>
    <t>cam</t>
    <phoneticPr fontId="3"/>
  </si>
  <si>
    <t>l/dmax</t>
    <phoneticPr fontId="3"/>
  </si>
  <si>
    <t>Cl</t>
    <phoneticPr fontId="3"/>
  </si>
  <si>
    <t>l/d</t>
    <phoneticPr fontId="3"/>
  </si>
  <si>
    <t>l_dmax_at</t>
    <phoneticPr fontId="3"/>
  </si>
  <si>
    <t>NACA 0009</t>
    <phoneticPr fontId="3"/>
  </si>
  <si>
    <t>NACA 0012</t>
    <phoneticPr fontId="3"/>
  </si>
  <si>
    <t>積層構成</t>
    <phoneticPr fontId="3"/>
  </si>
  <si>
    <t>（内から外に向かって）</t>
  </si>
  <si>
    <t>ETt</t>
    <phoneticPr fontId="3"/>
  </si>
  <si>
    <t>ELc</t>
    <phoneticPr fontId="3"/>
  </si>
  <si>
    <t>ETc</t>
    <phoneticPr fontId="3"/>
  </si>
  <si>
    <t>名前</t>
    <phoneticPr fontId="3"/>
  </si>
  <si>
    <t>積層数</t>
    <phoneticPr fontId="3"/>
  </si>
  <si>
    <t>全周</t>
    <phoneticPr fontId="3"/>
  </si>
  <si>
    <t>相当縦弾性率</t>
    <phoneticPr fontId="3"/>
  </si>
  <si>
    <t>相当横弾性率</t>
    <phoneticPr fontId="3"/>
  </si>
  <si>
    <t>ポアソン比</t>
    <phoneticPr fontId="3"/>
  </si>
  <si>
    <t>最大合力</t>
    <phoneticPr fontId="3"/>
  </si>
  <si>
    <t>0番</t>
    <phoneticPr fontId="3"/>
  </si>
  <si>
    <t>90,45,-45,0,0,0,0,45,-45,0,0,0,0,0,90</t>
    <phoneticPr fontId="3"/>
  </si>
  <si>
    <t>90,45,-45,0,0オビ,0オビ,0オビ,0オビ,0オビ,0オビ,0オビ,0,-45,45,90</t>
    <phoneticPr fontId="3"/>
  </si>
  <si>
    <t>90,45,-45,0,0オビ,0オビ,0オビ,0オビ,0,-45,45,90</t>
    <phoneticPr fontId="3"/>
  </si>
  <si>
    <t>90,45,0,0,0,0,-45,90</t>
    <phoneticPr fontId="3"/>
  </si>
  <si>
    <t>90,0,0,90</t>
    <phoneticPr fontId="3"/>
  </si>
  <si>
    <t>90,0,0,0,90</t>
    <phoneticPr fontId="3"/>
  </si>
  <si>
    <t>90,0,0,60,-60,0オビ,0オビ,0オビ,0オビ,0オビ,0オビ,-60,60,0,0,90</t>
    <phoneticPr fontId="3"/>
  </si>
  <si>
    <t>90,0,0,0,60,-60,-60,60,0,0,0,90,0オビ,0オビ,0オビ,90オビ</t>
    <phoneticPr fontId="3"/>
  </si>
  <si>
    <t>90,45,-45,0,0オビ,0オビ,0オビ,0オビ,0,-45,45,90,90,90</t>
    <phoneticPr fontId="3"/>
  </si>
  <si>
    <t>90,45,-45,0,0オビ,0オビ,0オビ,0オビ,0オビ,0オビ,0オビ,0,-45,45,90,90,90</t>
    <phoneticPr fontId="3"/>
  </si>
  <si>
    <t>90,-45,0,0オビ,0オビ,0,45,90</t>
    <phoneticPr fontId="3"/>
  </si>
  <si>
    <t>90,45,0,0,0,-45,90</t>
    <phoneticPr fontId="3"/>
  </si>
  <si>
    <t>1番</t>
    <phoneticPr fontId="3"/>
  </si>
  <si>
    <t>1番強化積層</t>
    <phoneticPr fontId="3"/>
  </si>
  <si>
    <t>2番</t>
  </si>
  <si>
    <t>2番</t>
    <phoneticPr fontId="3"/>
  </si>
  <si>
    <t>2番強化積層</t>
    <phoneticPr fontId="3"/>
  </si>
  <si>
    <t>3番</t>
  </si>
  <si>
    <t>3番</t>
    <phoneticPr fontId="3"/>
  </si>
  <si>
    <t>水平</t>
    <phoneticPr fontId="3"/>
  </si>
  <si>
    <t>垂直</t>
    <phoneticPr fontId="3"/>
  </si>
  <si>
    <t>上脚</t>
    <phoneticPr fontId="3"/>
  </si>
  <si>
    <t>下脚</t>
    <phoneticPr fontId="3"/>
  </si>
  <si>
    <t>胴接</t>
    <phoneticPr fontId="3"/>
  </si>
  <si>
    <t>横</t>
    <phoneticPr fontId="3"/>
  </si>
  <si>
    <t>T字</t>
    <phoneticPr fontId="3"/>
  </si>
  <si>
    <t>端リブ</t>
    <phoneticPr fontId="3"/>
  </si>
  <si>
    <t>mm</t>
    <phoneticPr fontId="3"/>
  </si>
  <si>
    <t>厚さ</t>
    <phoneticPr fontId="3"/>
  </si>
  <si>
    <t>x軸/z軸</t>
    <rPh sb="1" eb="2">
      <t>ジク</t>
    </rPh>
    <rPh sb="4" eb="5">
      <t>ジク</t>
    </rPh>
    <phoneticPr fontId="3"/>
  </si>
  <si>
    <t>翼端</t>
    <rPh sb="0" eb="2">
      <t>ヨクタン</t>
    </rPh>
    <phoneticPr fontId="3"/>
  </si>
  <si>
    <t>t_z</t>
    <phoneticPr fontId="3"/>
  </si>
  <si>
    <t>t_x</t>
    <phoneticPr fontId="3"/>
  </si>
  <si>
    <t>全周厚さ</t>
    <rPh sb="0" eb="2">
      <t>ゼンシュウ</t>
    </rPh>
    <rPh sb="2" eb="3">
      <t>アツ</t>
    </rPh>
    <phoneticPr fontId="3"/>
  </si>
  <si>
    <t>全周厚さ</t>
    <phoneticPr fontId="3"/>
  </si>
  <si>
    <t>前縁曲率半径比</t>
    <phoneticPr fontId="3"/>
  </si>
  <si>
    <t>オビ部厚さ</t>
    <rPh sb="2" eb="3">
      <t>ブ</t>
    </rPh>
    <rPh sb="3" eb="4">
      <t>アツ</t>
    </rPh>
    <phoneticPr fontId="3"/>
  </si>
  <si>
    <t>長軸mm/m</t>
    <rPh sb="0" eb="2">
      <t>チョウジク</t>
    </rPh>
    <phoneticPr fontId="3"/>
  </si>
  <si>
    <t>長さ</t>
    <rPh sb="0" eb="1">
      <t>ナガサ</t>
    </rPh>
    <phoneticPr fontId="3"/>
  </si>
  <si>
    <t>y断面二次モーメント</t>
    <phoneticPr fontId="3"/>
  </si>
  <si>
    <t>margin_z</t>
    <phoneticPr fontId="2"/>
  </si>
  <si>
    <t>margin_x</t>
    <phoneticPr fontId="2"/>
  </si>
  <si>
    <t>2*zi</t>
    <phoneticPr fontId="2"/>
  </si>
  <si>
    <t>2*xo</t>
    <phoneticPr fontId="2"/>
  </si>
  <si>
    <t>2*zo</t>
    <phoneticPr fontId="2"/>
  </si>
  <si>
    <t>2*xi</t>
    <phoneticPr fontId="2"/>
  </si>
  <si>
    <t>スパー</t>
    <phoneticPr fontId="3"/>
  </si>
  <si>
    <t>Ix</t>
    <phoneticPr fontId="3"/>
  </si>
  <si>
    <t>Iy</t>
    <phoneticPr fontId="3"/>
  </si>
  <si>
    <t>J</t>
    <phoneticPr fontId="3"/>
  </si>
  <si>
    <t>A</t>
    <phoneticPr fontId="3"/>
  </si>
  <si>
    <t>Am</t>
    <phoneticPr fontId="3"/>
  </si>
  <si>
    <t>E</t>
    <phoneticPr fontId="3"/>
  </si>
  <si>
    <t>Eix</t>
    <phoneticPr fontId="3"/>
  </si>
  <si>
    <t>GJ</t>
    <phoneticPr fontId="3"/>
  </si>
  <si>
    <t>Nf</t>
    <phoneticPr fontId="3"/>
  </si>
  <si>
    <t>σmax</t>
    <phoneticPr fontId="3"/>
  </si>
  <si>
    <t>Nf/Nmax</t>
    <phoneticPr fontId="3"/>
  </si>
  <si>
    <t>mm^4</t>
    <phoneticPr fontId="3"/>
  </si>
  <si>
    <t>mm^2</t>
    <phoneticPr fontId="3"/>
  </si>
  <si>
    <t xml:space="preserve">mm^2 </t>
    <phoneticPr fontId="3"/>
  </si>
  <si>
    <t>N*m^2</t>
    <phoneticPr fontId="3"/>
  </si>
  <si>
    <t>N/mm</t>
    <phoneticPr fontId="3"/>
  </si>
  <si>
    <t>N*mm</t>
    <phoneticPr fontId="3"/>
  </si>
  <si>
    <t>N/mm^2</t>
    <phoneticPr fontId="3"/>
  </si>
  <si>
    <t>名</t>
    <rPh sb="0" eb="1">
      <t>ナ</t>
    </rPh>
    <phoneticPr fontId="3"/>
  </si>
  <si>
    <t>スタイロフォーム</t>
    <phoneticPr fontId="3"/>
  </si>
  <si>
    <t>10mmスタイロ</t>
    <phoneticPr fontId="3"/>
  </si>
  <si>
    <t>実測値</t>
    <rPh sb="0" eb="3">
      <t>ジッソク</t>
    </rPh>
    <phoneticPr fontId="3"/>
  </si>
  <si>
    <t>右翼ウイングレット (トリム用重り含む)</t>
    <rPh sb="0" eb="2">
      <t>ウヨク</t>
    </rPh>
    <rPh sb="15" eb="16">
      <t xml:space="preserve">オモリコミ </t>
    </rPh>
    <rPh sb="17" eb="18">
      <t>フクム</t>
    </rPh>
    <phoneticPr fontId="3"/>
  </si>
  <si>
    <t>左翼ウイングレット (トリム用重り含む)</t>
    <rPh sb="0" eb="1">
      <t>ヒダリ</t>
    </rPh>
    <rPh sb="11" eb="12">
      <t>ヒダリ</t>
    </rPh>
    <phoneticPr fontId="3"/>
  </si>
  <si>
    <t>右翼ウイングレット</t>
    <rPh sb="0" eb="2">
      <t>ウヨク</t>
    </rPh>
    <phoneticPr fontId="3"/>
  </si>
  <si>
    <t>左翼ウイングレット</t>
    <rPh sb="0" eb="2">
      <t>サヨク</t>
    </rPh>
    <phoneticPr fontId="3"/>
  </si>
  <si>
    <t>かまぼこ君</t>
    <rPh sb="4" eb="5">
      <t xml:space="preserve">クン </t>
    </rPh>
    <phoneticPr fontId="3"/>
  </si>
  <si>
    <t>ピトー管</t>
    <rPh sb="3" eb="4">
      <t xml:space="preserve">カン </t>
    </rPh>
    <phoneticPr fontId="3"/>
  </si>
  <si>
    <t>ピン（安定板との固定用）</t>
    <rPh sb="3" eb="6">
      <t>アンテイ</t>
    </rPh>
    <rPh sb="8" eb="11">
      <t>コテイ</t>
    </rPh>
    <phoneticPr fontId="3"/>
  </si>
  <si>
    <t>ピン（舵面固定用）</t>
    <rPh sb="3" eb="5">
      <t>ダメn</t>
    </rPh>
    <rPh sb="5" eb="8">
      <t>コテイ</t>
    </rPh>
    <phoneticPr fontId="3"/>
  </si>
  <si>
    <t>ボルトナット（安定板固定用）</t>
    <rPh sb="7" eb="10">
      <t>アンテイ</t>
    </rPh>
    <rPh sb="10" eb="13">
      <t>コテイ</t>
    </rPh>
    <phoneticPr fontId="3"/>
  </si>
  <si>
    <t>全組にて計測→全組で測るものを一つのアイテムとする</t>
    <rPh sb="0" eb="2">
      <t>ゼングミ</t>
    </rPh>
    <rPh sb="4" eb="6">
      <t>ケイソク</t>
    </rPh>
    <rPh sb="7" eb="9">
      <t>ゼングミ</t>
    </rPh>
    <rPh sb="10" eb="11">
      <t>ハカル</t>
    </rPh>
    <rPh sb="15" eb="16">
      <t>ヒトテゥ</t>
    </rPh>
    <phoneticPr fontId="3"/>
  </si>
  <si>
    <t>ワイヤー</t>
    <phoneticPr fontId="3"/>
  </si>
  <si>
    <t>蓋</t>
    <rPh sb="0" eb="1">
      <t xml:space="preserve">フタ </t>
    </rPh>
    <phoneticPr fontId="3"/>
  </si>
  <si>
    <t>カウル頭</t>
    <rPh sb="3" eb="4">
      <t>アタマ</t>
    </rPh>
    <phoneticPr fontId="3"/>
  </si>
  <si>
    <t>カウル尻尾</t>
    <rPh sb="3" eb="5">
      <t>シッポ</t>
    </rPh>
    <phoneticPr fontId="3"/>
  </si>
  <si>
    <t>キャノピー</t>
    <phoneticPr fontId="3"/>
  </si>
  <si>
    <t>スタイロ</t>
    <phoneticPr fontId="3"/>
  </si>
  <si>
    <t>乗り込み部アルミフレーム</t>
    <rPh sb="0" eb="1">
      <t>ノ</t>
    </rPh>
    <rPh sb="2" eb="3">
      <t>コ</t>
    </rPh>
    <rPh sb="4" eb="5">
      <t>ブ</t>
    </rPh>
    <phoneticPr fontId="3"/>
  </si>
  <si>
    <t>配線</t>
    <rPh sb="0" eb="2">
      <t>ハイセn</t>
    </rPh>
    <phoneticPr fontId="3"/>
  </si>
  <si>
    <t>ボルトナット（胴接・足おき）</t>
    <rPh sb="7" eb="9">
      <t>ドウセテゥ</t>
    </rPh>
    <rPh sb="10" eb="11">
      <t>アシオキ</t>
    </rPh>
    <phoneticPr fontId="3"/>
  </si>
  <si>
    <t>ボルトナット・ピン(接合部)</t>
    <rPh sb="10" eb="13">
      <t>セツゴウ</t>
    </rPh>
    <phoneticPr fontId="3"/>
  </si>
  <si>
    <t>乗り込み</t>
    <rPh sb="0" eb="1">
      <t>ノリコミ</t>
    </rPh>
    <phoneticPr fontId="3"/>
  </si>
  <si>
    <t>カウル胴体前</t>
    <rPh sb="3" eb="4">
      <t>ドウタイ</t>
    </rPh>
    <rPh sb="5" eb="6">
      <t>マエ</t>
    </rPh>
    <phoneticPr fontId="3"/>
  </si>
  <si>
    <t>カウル胴体後ろ</t>
    <rPh sb="3" eb="5">
      <t>ドウタイ</t>
    </rPh>
    <rPh sb="5" eb="6">
      <t>ウシロ</t>
    </rPh>
    <phoneticPr fontId="3"/>
  </si>
  <si>
    <t>電装基板マウント</t>
    <rPh sb="0" eb="2">
      <t>デンソウ</t>
    </rPh>
    <rPh sb="2" eb="4">
      <t xml:space="preserve">キバン </t>
    </rPh>
    <phoneticPr fontId="3"/>
  </si>
  <si>
    <t>P保護緩衝材</t>
    <rPh sb="1" eb="3">
      <t>ホゴ</t>
    </rPh>
    <rPh sb="3" eb="6">
      <t>カンショウザイ</t>
    </rPh>
    <phoneticPr fontId="3"/>
  </si>
  <si>
    <t>↑パイロット重心位置</t>
    <rPh sb="6" eb="10">
      <t>ジュウシn</t>
    </rPh>
    <phoneticPr fontId="3"/>
  </si>
  <si>
    <t>↓機体後方・右翼・上方向をそれぞれ正</t>
    <rPh sb="1" eb="5">
      <t>キタイ</t>
    </rPh>
    <rPh sb="6" eb="8">
      <t>ウヨク</t>
    </rPh>
    <rPh sb="9" eb="10">
      <t>ウエ</t>
    </rPh>
    <rPh sb="10" eb="12">
      <t>ホウコウ</t>
    </rPh>
    <rPh sb="17" eb="18">
      <t xml:space="preserve">セイ </t>
    </rPh>
    <phoneticPr fontId="3"/>
  </si>
  <si>
    <t>内訳アリ</t>
    <rPh sb="0" eb="2">
      <t>ウチワケ</t>
    </rPh>
    <phoneticPr fontId="3"/>
  </si>
  <si>
    <t>主翼関係</t>
    <rPh sb="0" eb="1">
      <t>シュヨク</t>
    </rPh>
    <rPh sb="1" eb="2">
      <t>ヨク</t>
    </rPh>
    <rPh sb="2" eb="4">
      <t>カンケイ</t>
    </rPh>
    <phoneticPr fontId="3"/>
  </si>
  <si>
    <t>尾翼関係</t>
    <rPh sb="0" eb="2">
      <t>ビヨク</t>
    </rPh>
    <rPh sb="2" eb="4">
      <t>カンケイ</t>
    </rPh>
    <phoneticPr fontId="3"/>
  </si>
  <si>
    <t>https://www.b-cep.org/image/plastic/a.pdf</t>
    <phoneticPr fontId="3"/>
  </si>
  <si>
    <t>剪断弾性率</t>
    <rPh sb="0" eb="2">
      <t>センダn</t>
    </rPh>
    <rPh sb="2" eb="4">
      <t>👨‍🦱</t>
    </rPh>
    <rPh sb="4" eb="5">
      <t>リツ</t>
    </rPh>
    <phoneticPr fontId="3"/>
  </si>
  <si>
    <t>弾性率</t>
    <rPh sb="0" eb="2">
      <t>ダンセイ</t>
    </rPh>
    <rPh sb="2" eb="3">
      <t>リツ</t>
    </rPh>
    <phoneticPr fontId="3"/>
  </si>
  <si>
    <t>非線形</t>
    <rPh sb="0" eb="3">
      <t>ヒセn</t>
    </rPh>
    <phoneticPr fontId="3"/>
  </si>
  <si>
    <t>30分エポ</t>
  </si>
  <si>
    <t>位置</t>
    <rPh sb="0" eb="2">
      <t xml:space="preserve">イチ </t>
    </rPh>
    <phoneticPr fontId="3"/>
  </si>
  <si>
    <t>開始</t>
    <rPh sb="0" eb="2">
      <t xml:space="preserve">カイシ </t>
    </rPh>
    <phoneticPr fontId="3"/>
  </si>
  <si>
    <t>終了</t>
    <rPh sb="0" eb="2">
      <t>シュウリョウ</t>
    </rPh>
    <phoneticPr fontId="3"/>
  </si>
  <si>
    <t>番号</t>
    <rPh sb="0" eb="2">
      <t>バンゴウ</t>
    </rPh>
    <phoneticPr fontId="3"/>
  </si>
  <si>
    <t>幅</t>
    <rPh sb="0" eb="1">
      <t>ハバ</t>
    </rPh>
    <phoneticPr fontId="3"/>
  </si>
  <si>
    <t>深さ</t>
    <rPh sb="0" eb="1">
      <t xml:space="preserve">フカサ </t>
    </rPh>
    <phoneticPr fontId="3"/>
  </si>
  <si>
    <t>カーボンリブ</t>
    <phoneticPr fontId="2"/>
  </si>
  <si>
    <t>ガラスクロス（エポ、グルーガンを含む）</t>
    <rPh sb="16" eb="17">
      <t>フクム</t>
    </rPh>
    <phoneticPr fontId="2"/>
  </si>
  <si>
    <t>重さ</t>
    <rPh sb="0" eb="1">
      <t>オモサ</t>
    </rPh>
    <phoneticPr fontId="2"/>
  </si>
  <si>
    <t>線密度</t>
    <rPh sb="0" eb="3">
      <t xml:space="preserve">センミツド </t>
    </rPh>
    <phoneticPr fontId="2"/>
  </si>
  <si>
    <t>g/m</t>
    <phoneticPr fontId="1"/>
  </si>
  <si>
    <t>zi</t>
    <phoneticPr fontId="3"/>
  </si>
  <si>
    <t>xi</t>
    <phoneticPr fontId="3"/>
  </si>
  <si>
    <t>zo</t>
    <phoneticPr fontId="3"/>
  </si>
  <si>
    <t>xo</t>
    <phoneticPr fontId="3"/>
  </si>
  <si>
    <t>z桁直径</t>
    <rPh sb="2" eb="3">
      <t>チョッケイ</t>
    </rPh>
    <phoneticPr fontId="3"/>
  </si>
  <si>
    <t>x桁直径</t>
    <rPh sb="2" eb="3">
      <t>チョッケイ</t>
    </rPh>
    <phoneticPr fontId="3"/>
  </si>
  <si>
    <t>y位置</t>
    <phoneticPr fontId="3"/>
  </si>
  <si>
    <t>リブ番号</t>
    <phoneticPr fontId="3"/>
  </si>
  <si>
    <t>z桁内半径</t>
    <phoneticPr fontId="3"/>
  </si>
  <si>
    <t>x桁内半径</t>
    <phoneticPr fontId="3"/>
  </si>
  <si>
    <t>z桁外半径</t>
    <phoneticPr fontId="3"/>
  </si>
  <si>
    <t>x桁外半径</t>
    <phoneticPr fontId="3"/>
  </si>
  <si>
    <t>x断面二次モーメント</t>
    <phoneticPr fontId="3"/>
  </si>
  <si>
    <t>ねじれ定数</t>
    <phoneticPr fontId="3"/>
  </si>
  <si>
    <t>断面積</t>
    <phoneticPr fontId="3"/>
  </si>
  <si>
    <t>囲まれる面積</t>
    <phoneticPr fontId="3"/>
  </si>
  <si>
    <t>周長</t>
    <phoneticPr fontId="3"/>
  </si>
  <si>
    <t>ヤング率</t>
    <phoneticPr fontId="3"/>
  </si>
  <si>
    <t>横弾性係数</t>
    <phoneticPr fontId="3"/>
  </si>
  <si>
    <t>曲げ剛性</t>
    <phoneticPr fontId="3"/>
  </si>
  <si>
    <t>ねじれ剛性</t>
    <phoneticPr fontId="3"/>
  </si>
  <si>
    <t>翼厚-長軸径</t>
    <phoneticPr fontId="3"/>
  </si>
  <si>
    <t>破断合力</t>
    <phoneticPr fontId="3"/>
  </si>
  <si>
    <t>曲げ応力</t>
    <phoneticPr fontId="3"/>
  </si>
  <si>
    <t>最大曲げ応力(圧縮)</t>
    <phoneticPr fontId="3"/>
  </si>
  <si>
    <t>比率</t>
    <phoneticPr fontId="3"/>
  </si>
  <si>
    <t>重量</t>
    <phoneticPr fontId="3"/>
  </si>
  <si>
    <t>CFRP密度</t>
    <rPh sb="4" eb="6">
      <t>ミツド</t>
    </rPh>
    <phoneticPr fontId="3"/>
  </si>
  <si>
    <t>ΔS</t>
    <phoneticPr fontId="3"/>
  </si>
  <si>
    <t>∫c(y)^2dy</t>
  </si>
  <si>
    <t>∫c(y)*(y^2) dy</t>
    <phoneticPr fontId="3"/>
  </si>
  <si>
    <t>m^4</t>
    <phoneticPr fontId="3"/>
  </si>
  <si>
    <t>3番端</t>
    <rPh sb="0" eb="2">
      <t>バn</t>
    </rPh>
    <phoneticPr fontId="3"/>
  </si>
  <si>
    <t>リブ開始位置</t>
    <rPh sb="2" eb="4">
      <t>カイセィ</t>
    </rPh>
    <rPh sb="4" eb="6">
      <t>イティ</t>
    </rPh>
    <phoneticPr fontId="3"/>
  </si>
  <si>
    <t>y位置</t>
    <rPh sb="1" eb="3">
      <t>イチ</t>
    </rPh>
    <phoneticPr fontId="2"/>
  </si>
  <si>
    <t>yn</t>
    <phoneticPr fontId="1"/>
  </si>
  <si>
    <t>リブ位置</t>
    <phoneticPr fontId="3"/>
  </si>
  <si>
    <t>リブ枚数</t>
    <rPh sb="2" eb="4">
      <t>マイスウ</t>
    </rPh>
    <phoneticPr fontId="3"/>
  </si>
  <si>
    <t>m/m</t>
    <phoneticPr fontId="3"/>
  </si>
  <si>
    <t>deg/m</t>
    <phoneticPr fontId="3"/>
  </si>
  <si>
    <t>コード長傾き</t>
    <rPh sb="4" eb="5">
      <t>カタム</t>
    </rPh>
    <phoneticPr fontId="3"/>
  </si>
  <si>
    <t>切片</t>
    <rPh sb="0" eb="2">
      <t>セッペン</t>
    </rPh>
    <phoneticPr fontId="3"/>
  </si>
  <si>
    <t>取り付け角傾き</t>
    <rPh sb="0" eb="1">
      <t>トリツケ</t>
    </rPh>
    <rPh sb="5" eb="6">
      <t>カタム</t>
    </rPh>
    <phoneticPr fontId="3"/>
  </si>
  <si>
    <t>桁中心傾き</t>
    <rPh sb="0" eb="3">
      <t>ケタ</t>
    </rPh>
    <rPh sb="3" eb="4">
      <t>カタム</t>
    </rPh>
    <phoneticPr fontId="3"/>
  </si>
  <si>
    <t>頂点6</t>
    <rPh sb="0" eb="2">
      <t>チョウテn</t>
    </rPh>
    <phoneticPr fontId="3"/>
  </si>
  <si>
    <t>コード長変化率</t>
    <rPh sb="4" eb="7">
      <t>ヘンカリ</t>
    </rPh>
    <phoneticPr fontId="3"/>
  </si>
  <si>
    <t>Δ翼面積</t>
    <rPh sb="1" eb="2">
      <t>ヨク</t>
    </rPh>
    <rPh sb="2" eb="4">
      <t>メンセキ</t>
    </rPh>
    <phoneticPr fontId="3"/>
  </si>
  <si>
    <t>翼型1</t>
    <phoneticPr fontId="3"/>
  </si>
  <si>
    <t>翼型1配合率</t>
    <rPh sb="3" eb="6">
      <t>ハイゴウ</t>
    </rPh>
    <phoneticPr fontId="3"/>
  </si>
  <si>
    <t>翼型2</t>
    <phoneticPr fontId="3"/>
  </si>
  <si>
    <t>翼型2配合率</t>
    <rPh sb="3" eb="6">
      <t>ハイゴウ</t>
    </rPh>
    <phoneticPr fontId="3"/>
  </si>
  <si>
    <t>二次構造</t>
    <rPh sb="0" eb="4">
      <t>ニジコウゾウ</t>
    </rPh>
    <phoneticPr fontId="3"/>
  </si>
  <si>
    <t>一次構造</t>
    <rPh sb="0" eb="4">
      <t>イチジコウ</t>
    </rPh>
    <phoneticPr fontId="2"/>
  </si>
  <si>
    <t>主翼重心からの距離の2乗</t>
    <rPh sb="0" eb="2">
      <t>シュヨク</t>
    </rPh>
    <rPh sb="2" eb="4">
      <t>ジュウシン</t>
    </rPh>
    <rPh sb="7" eb="9">
      <t>キョリ</t>
    </rPh>
    <rPh sb="11" eb="12">
      <t>ジョウ</t>
    </rPh>
    <phoneticPr fontId="3"/>
  </si>
  <si>
    <t>y^2+z^2</t>
    <phoneticPr fontId="3"/>
  </si>
  <si>
    <t>z^2+x^2</t>
    <phoneticPr fontId="3"/>
  </si>
  <si>
    <t>x^2+y^2</t>
    <phoneticPr fontId="3"/>
  </si>
  <si>
    <t>ストリンガー</t>
    <phoneticPr fontId="3"/>
  </si>
  <si>
    <t>後縁材&amp;ピッコロ</t>
    <rPh sb="0" eb="3">
      <t>コウエンザイ</t>
    </rPh>
    <phoneticPr fontId="2"/>
  </si>
  <si>
    <t>後縁角</t>
    <rPh sb="0" eb="2">
      <t>コウエn</t>
    </rPh>
    <rPh sb="2" eb="3">
      <t xml:space="preserve">カク </t>
    </rPh>
    <phoneticPr fontId="2"/>
  </si>
  <si>
    <t>deg</t>
    <phoneticPr fontId="1"/>
  </si>
  <si>
    <t>接着剤、両面（リブ付け除く）</t>
    <rPh sb="0" eb="3">
      <t>セッチャク</t>
    </rPh>
    <rPh sb="4" eb="6">
      <t>リョウメn</t>
    </rPh>
    <rPh sb="11" eb="12">
      <t>ノゾク</t>
    </rPh>
    <phoneticPr fontId="2"/>
  </si>
  <si>
    <t>接着剤、両面</t>
    <rPh sb="0" eb="3">
      <t>セッチャク</t>
    </rPh>
    <rPh sb="4" eb="6">
      <t>リョウメn</t>
    </rPh>
    <phoneticPr fontId="2"/>
  </si>
  <si>
    <t>薄さ</t>
    <rPh sb="0" eb="1">
      <t xml:space="preserve">ウスサ </t>
    </rPh>
    <phoneticPr fontId="2"/>
  </si>
  <si>
    <t>m^3</t>
  </si>
  <si>
    <t>変形後面積</t>
    <rPh sb="0" eb="2">
      <t>ヘンケイ</t>
    </rPh>
    <rPh sb="2" eb="3">
      <t>g</t>
    </rPh>
    <rPh sb="3" eb="5">
      <t>シュヨクメンセキ</t>
    </rPh>
    <phoneticPr fontId="3"/>
  </si>
  <si>
    <t>ガラスクロス(エポ、グルーガン含む）</t>
    <rPh sb="15" eb="16">
      <t>フクム</t>
    </rPh>
    <phoneticPr fontId="3"/>
  </si>
  <si>
    <t>合計 kg</t>
    <rPh sb="0" eb="2">
      <t>ゴウケイ</t>
    </rPh>
    <phoneticPr fontId="3"/>
  </si>
  <si>
    <t>重量合計</t>
    <rPh sb="0" eb="2">
      <t>ジュウリョウ</t>
    </rPh>
    <phoneticPr fontId="3"/>
  </si>
  <si>
    <t>1G変形</t>
    <rPh sb="2" eb="4">
      <t>ヘンケイ</t>
    </rPh>
    <phoneticPr fontId="3"/>
  </si>
  <si>
    <t>変形後上反角</t>
    <rPh sb="0" eb="3">
      <t>ヘンケイ</t>
    </rPh>
    <rPh sb="3" eb="6">
      <t>ジョウハンカク</t>
    </rPh>
    <phoneticPr fontId="1"/>
  </si>
  <si>
    <t>たわみ</t>
    <phoneticPr fontId="1"/>
  </si>
  <si>
    <t>ねじれ角</t>
    <rPh sb="3" eb="4">
      <t xml:space="preserve">カク </t>
    </rPh>
    <phoneticPr fontId="1"/>
  </si>
  <si>
    <t>Φ</t>
    <phoneticPr fontId="2"/>
  </si>
  <si>
    <t>w</t>
    <phoneticPr fontId="2"/>
  </si>
  <si>
    <t>変形後取り付け角</t>
    <rPh sb="0" eb="3">
      <t>ヘンケイ</t>
    </rPh>
    <rPh sb="3" eb="4">
      <t>ト</t>
    </rPh>
    <rPh sb="5" eb="6">
      <t>ツ</t>
    </rPh>
    <rPh sb="7" eb="8">
      <t>カク</t>
    </rPh>
    <phoneticPr fontId="1"/>
  </si>
  <si>
    <t>変形後y位置</t>
    <rPh sb="0" eb="3">
      <t>ヘンケイ</t>
    </rPh>
    <rPh sb="4" eb="6">
      <t xml:space="preserve">イチ </t>
    </rPh>
    <phoneticPr fontId="1"/>
  </si>
  <si>
    <t>変形後高さ</t>
    <rPh sb="0" eb="3">
      <t>ヘンケイ</t>
    </rPh>
    <rPh sb="3" eb="4">
      <t>タカサ</t>
    </rPh>
    <phoneticPr fontId="1"/>
  </si>
  <si>
    <t>αd</t>
    <phoneticPr fontId="3"/>
  </si>
  <si>
    <t>ynd</t>
    <phoneticPr fontId="2"/>
  </si>
  <si>
    <t>znd</t>
    <phoneticPr fontId="2"/>
  </si>
  <si>
    <t>面積など</t>
    <rPh sb="0" eb="2">
      <t>メンセキ</t>
    </rPh>
    <phoneticPr fontId="3"/>
  </si>
  <si>
    <t>重ねしろ係数</t>
    <rPh sb="0" eb="1">
      <t>カサネ</t>
    </rPh>
    <rPh sb="4" eb="6">
      <t>ケイスウ</t>
    </rPh>
    <phoneticPr fontId="3"/>
  </si>
  <si>
    <t>確定質量</t>
    <rPh sb="0" eb="2">
      <t>カクテイ</t>
    </rPh>
    <rPh sb="2" eb="4">
      <t>シツリョウ</t>
    </rPh>
    <phoneticPr fontId="3"/>
  </si>
  <si>
    <t>型紙＆カット表出力</t>
    <rPh sb="0" eb="2">
      <t>カタガ</t>
    </rPh>
    <rPh sb="7" eb="9">
      <t>シュテゥ</t>
    </rPh>
    <phoneticPr fontId="3"/>
  </si>
  <si>
    <t>0-1接合</t>
    <rPh sb="3" eb="5">
      <t>セテゥ</t>
    </rPh>
    <phoneticPr fontId="3"/>
  </si>
  <si>
    <t>1-2接合</t>
    <phoneticPr fontId="3"/>
  </si>
  <si>
    <t>2-3接合</t>
    <rPh sb="3" eb="5">
      <t>セテゥ</t>
    </rPh>
    <phoneticPr fontId="3"/>
  </si>
  <si>
    <t>挿ししろ長さ</t>
    <rPh sb="0" eb="1">
      <t>サシシロ</t>
    </rPh>
    <rPh sb="4" eb="5">
      <t>ナガサ</t>
    </rPh>
    <phoneticPr fontId="3"/>
  </si>
  <si>
    <t>実測</t>
    <rPh sb="0" eb="2">
      <t>ジッソク</t>
    </rPh>
    <phoneticPr fontId="3"/>
  </si>
  <si>
    <t>接合部</t>
    <rPh sb="0" eb="2">
      <t>セツゴウ</t>
    </rPh>
    <rPh sb="2" eb="3">
      <t>b</t>
    </rPh>
    <phoneticPr fontId="3"/>
  </si>
  <si>
    <t>バブルス質量</t>
    <rPh sb="4" eb="6">
      <t>シツリョウ</t>
    </rPh>
    <phoneticPr fontId="3"/>
  </si>
  <si>
    <t>強化積層長さ</t>
    <rPh sb="0" eb="4">
      <t>キョウカセ</t>
    </rPh>
    <rPh sb="4" eb="5">
      <t>ナガサ</t>
    </rPh>
    <phoneticPr fontId="3"/>
  </si>
  <si>
    <t>強化積層数</t>
    <rPh sb="0" eb="2">
      <t>キョウ</t>
    </rPh>
    <rPh sb="4" eb="5">
      <t>スウ</t>
    </rPh>
    <phoneticPr fontId="3"/>
  </si>
  <si>
    <t>焼き後推算重量</t>
    <rPh sb="3" eb="5">
      <t>スイサn</t>
    </rPh>
    <phoneticPr fontId="3"/>
  </si>
  <si>
    <t>直径</t>
    <rPh sb="0" eb="2">
      <t>チョッケイ</t>
    </rPh>
    <phoneticPr fontId="3"/>
  </si>
  <si>
    <t>詳細</t>
    <rPh sb="0" eb="2">
      <t>ショウサイ</t>
    </rPh>
    <phoneticPr fontId="3"/>
  </si>
  <si>
    <t>番</t>
    <rPh sb="0" eb="1">
      <t>🚐</t>
    </rPh>
    <phoneticPr fontId="3"/>
  </si>
  <si>
    <t>上反</t>
    <rPh sb="0" eb="2">
      <t>ジョウハン</t>
    </rPh>
    <phoneticPr fontId="3"/>
  </si>
  <si>
    <t>たわみ</t>
    <phoneticPr fontId="3"/>
  </si>
  <si>
    <t>ねじれ</t>
    <phoneticPr fontId="3"/>
  </si>
  <si>
    <t>曲げモーメントの制限</t>
    <rPh sb="0" eb="1">
      <t>マ</t>
    </rPh>
    <rPh sb="8" eb="10">
      <t>セイゲン</t>
    </rPh>
    <phoneticPr fontId="3"/>
  </si>
  <si>
    <t>翼根曲げモーメントの制約</t>
    <rPh sb="0" eb="1">
      <t>ヨク</t>
    </rPh>
    <rPh sb="1" eb="2">
      <t>コン</t>
    </rPh>
    <rPh sb="2" eb="3">
      <t>マ</t>
    </rPh>
    <rPh sb="10" eb="12">
      <t>セイヤク</t>
    </rPh>
    <phoneticPr fontId="3"/>
  </si>
  <si>
    <t>TR797</t>
    <phoneticPr fontId="3"/>
  </si>
  <si>
    <t>手法</t>
    <rPh sb="0" eb="2">
      <t>シュホウ</t>
    </rPh>
    <phoneticPr fontId="3"/>
  </si>
  <si>
    <r>
      <t xml:space="preserve">強豪他チームに追いつき、追い越す
</t>
    </r>
    <r>
      <rPr>
        <sz val="12"/>
        <color theme="1"/>
        <rFont val="ＭＳ ゴシック"/>
        <family val="3"/>
        <charset val="128"/>
      </rPr>
      <t>・低翼高胴</t>
    </r>
    <r>
      <rPr>
        <sz val="12"/>
        <color theme="1"/>
        <rFont val="Arial"/>
        <family val="2"/>
      </rPr>
      <t>T</t>
    </r>
    <r>
      <rPr>
        <sz val="12"/>
        <color theme="1"/>
        <rFont val="ＭＳ ゴシック"/>
        <family val="3"/>
        <charset val="128"/>
      </rPr>
      <t>字尾翼で</t>
    </r>
    <r>
      <rPr>
        <sz val="12"/>
        <color theme="1"/>
        <rFont val="Arial"/>
        <family val="2"/>
      </rPr>
      <t>400m</t>
    </r>
    <r>
      <rPr>
        <sz val="12"/>
        <color theme="1"/>
        <rFont val="ＭＳ ゴシック"/>
        <family val="3"/>
        <charset val="128"/>
      </rPr>
      <t>を狙う</t>
    </r>
    <r>
      <rPr>
        <b/>
        <u/>
        <sz val="12"/>
        <color theme="1"/>
        <rFont val="游ゴシック"/>
        <family val="3"/>
        <charset val="128"/>
        <scheme val="minor"/>
      </rPr>
      <t xml:space="preserve">
</t>
    </r>
    <r>
      <rPr>
        <sz val="12"/>
        <color theme="1"/>
        <rFont val="游ゴシック"/>
        <family val="3"/>
        <charset val="128"/>
        <scheme val="minor"/>
      </rPr>
      <t>・高剛性高速棒飛び機（ゆるいダイブ）
・短いテールで操作性up
・外注桁と自作桁による効率的な構造
・高揚力翼型による安心・安全なフライト
・足おき、カーボンリブを導入</t>
    </r>
    <rPh sb="20" eb="22">
      <t>コウドウ</t>
    </rPh>
    <rPh sb="55" eb="56">
      <t>ミジカイ</t>
    </rPh>
    <rPh sb="61" eb="64">
      <t>ソウサ</t>
    </rPh>
    <rPh sb="77" eb="80">
      <t>コウリテゥ</t>
    </rPh>
    <rPh sb="93" eb="95">
      <t>アンシn</t>
    </rPh>
    <rPh sb="96" eb="98">
      <t>アンゼn</t>
    </rPh>
    <rPh sb="106" eb="107">
      <t>アシオキ</t>
    </rPh>
    <rPh sb="117" eb="119">
      <t>ハツドウ</t>
    </rPh>
    <phoneticPr fontId="3"/>
  </si>
  <si>
    <t>翼面荷重</t>
    <rPh sb="0" eb="4">
      <t>ヨクメn</t>
    </rPh>
    <phoneticPr fontId="3"/>
  </si>
  <si>
    <t>簡易計算ツール</t>
    <rPh sb="0" eb="2">
      <t>カンイ</t>
    </rPh>
    <rPh sb="2" eb="4">
      <t>ケイサn</t>
    </rPh>
    <phoneticPr fontId="3"/>
  </si>
  <si>
    <t>↓未知量を空白にする</t>
    <rPh sb="1" eb="4">
      <t>ミチリョウ</t>
    </rPh>
    <rPh sb="5" eb="7">
      <t>クウハク</t>
    </rPh>
    <phoneticPr fontId="3"/>
  </si>
  <si>
    <t>二次構造</t>
    <rPh sb="0" eb="2">
      <t>ニジ</t>
    </rPh>
    <rPh sb="2" eb="4">
      <t>コウゾウ</t>
    </rPh>
    <phoneticPr fontId="2"/>
  </si>
  <si>
    <t>優先事項</t>
    <rPh sb="0" eb="4">
      <t>ユウセn</t>
    </rPh>
    <phoneticPr fontId="3"/>
  </si>
  <si>
    <t>1. Clmax　　　：低速でも浮けるため最後の伸びやダイブの難易度に影響する。去年の反省を生かして。
2. 設計ClでのL/D：性能は譲れない
3. 失速特性　　：急な失速がないようにしたい。
3. L/Dmax　　 ：L/Dは大きいほうがいい
3. 製作性　　　：翼型の再現性に関わるので、「後縁がとがりすぎていない」「キャンバーはほどほど」を意識
4. 翼厚　　　　：無いと作れないが、そんなに余裕は残していない
5. Cmが小さい ：真円桁でねじりに強くなったので、Cmはある程度大きくても許容</t>
    <rPh sb="12" eb="14">
      <t>テイソク</t>
    </rPh>
    <rPh sb="16" eb="17">
      <t>ウケル</t>
    </rPh>
    <rPh sb="21" eb="23">
      <t>サイゴ</t>
    </rPh>
    <rPh sb="31" eb="34">
      <t>ナンイ</t>
    </rPh>
    <rPh sb="35" eb="37">
      <t>エイキョウ</t>
    </rPh>
    <rPh sb="40" eb="42">
      <t>キョネn</t>
    </rPh>
    <rPh sb="43" eb="45">
      <t>ハンセイ</t>
    </rPh>
    <rPh sb="46" eb="47">
      <t>イカシテ</t>
    </rPh>
    <rPh sb="55" eb="57">
      <t>セッケイ</t>
    </rPh>
    <rPh sb="65" eb="67">
      <t>セイノウ</t>
    </rPh>
    <rPh sb="68" eb="69">
      <t>ユズレ</t>
    </rPh>
    <rPh sb="76" eb="80">
      <t>シッソク</t>
    </rPh>
    <rPh sb="83" eb="84">
      <t>キュウ</t>
    </rPh>
    <rPh sb="114" eb="115">
      <t>オオキ</t>
    </rPh>
    <rPh sb="123" eb="126">
      <t>セイサク</t>
    </rPh>
    <rPh sb="127" eb="129">
      <t>ヨクガタ</t>
    </rPh>
    <rPh sb="133" eb="136">
      <t>サイゲn</t>
    </rPh>
    <rPh sb="137" eb="138">
      <t>カカワル</t>
    </rPh>
    <rPh sb="144" eb="146">
      <t>コウエn</t>
    </rPh>
    <rPh sb="176" eb="178">
      <t>ヨクアテゥ</t>
    </rPh>
    <rPh sb="186" eb="187">
      <t xml:space="preserve">ナイト </t>
    </rPh>
    <rPh sb="189" eb="190">
      <t>ツクレ</t>
    </rPh>
    <rPh sb="199" eb="201">
      <t>ヨユウ</t>
    </rPh>
    <rPh sb="202" eb="203">
      <t>ノコセィ</t>
    </rPh>
    <rPh sb="212" eb="213">
      <t>チイサイ</t>
    </rPh>
    <rPh sb="220" eb="223">
      <t>シンエn</t>
    </rPh>
    <rPh sb="228" eb="229">
      <t>ツヨク</t>
    </rPh>
    <rPh sb="243" eb="244">
      <t>オオキ</t>
    </rPh>
    <rPh sb="248" eb="250">
      <t>キョヨウ</t>
    </rPh>
    <phoneticPr fontId="3"/>
  </si>
  <si>
    <t>0,0,90,0,0</t>
    <phoneticPr fontId="3"/>
  </si>
  <si>
    <t>i</t>
    <phoneticPr fontId="3"/>
  </si>
  <si>
    <t>リンク機構計算</t>
    <rPh sb="5" eb="7">
      <t>ケイサn</t>
    </rPh>
    <phoneticPr fontId="3"/>
  </si>
  <si>
    <t>リブ周長</t>
    <rPh sb="2" eb="4">
      <t>シュウチョウ</t>
    </rPh>
    <phoneticPr fontId="3"/>
  </si>
  <si>
    <t>接着剤①</t>
    <rPh sb="0" eb="3">
      <t>セッチャクザイ</t>
    </rPh>
    <phoneticPr fontId="3"/>
  </si>
  <si>
    <t>リブ面積に比例するもの</t>
    <rPh sb="2" eb="4">
      <t>メンセキ</t>
    </rPh>
    <rPh sb="5" eb="7">
      <t>ヒレイ</t>
    </rPh>
    <phoneticPr fontId="3"/>
  </si>
  <si>
    <t>接着剤②</t>
    <rPh sb="0" eb="3">
      <t>セッチャクザイ</t>
    </rPh>
    <phoneticPr fontId="3"/>
  </si>
  <si>
    <t>コード長に比例するもの</t>
    <rPh sb="3" eb="4">
      <t>チョウ</t>
    </rPh>
    <rPh sb="5" eb="7">
      <t>ヒレイ</t>
    </rPh>
    <phoneticPr fontId="3"/>
  </si>
  <si>
    <t>接着剤③</t>
    <rPh sb="0" eb="3">
      <t>セッチャクザイ</t>
    </rPh>
    <phoneticPr fontId="3"/>
  </si>
  <si>
    <t>スパンに比例するもの</t>
    <rPh sb="4" eb="6">
      <t>ヒレイ</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</si>
</sst>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Red]\-0.000\ "/>
    <numFmt numFmtId="177" formatCode="0.0.E+00"/>
    <numFmt numFmtId="178" formatCode="0_ ;[Red]\-0\ "/>
    <numFmt numFmtId="179" formatCode="0.00000_ ;[Red]\-0.00000\ "/>
    <numFmt numFmtId="180" formatCode="0.00_ "/>
    <numFmt numFmtId="181" formatCode="0.00_);[Red]\(0.00\)"/>
    <numFmt numFmtId="182" formatCode="0_);[Red]\(0\)"/>
  </numFmts>
  <fonts count="33">
    <font>
      <sz val="12"/>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color theme="10"/>
      <name val="游ゴシック"/>
      <family val="2"/>
      <charset val="128"/>
      <scheme val="minor"/>
    </font>
    <font>
      <sz val="11"/>
      <name val="游ゴシック"/>
      <family val="2"/>
      <charset val="128"/>
      <scheme val="minor"/>
    </font>
    <font>
      <sz val="11"/>
      <name val="游ゴシック"/>
      <family val="3"/>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
      <sz val="12"/>
      <name val="游ゴシック"/>
      <family val="2"/>
      <charset val="128"/>
      <scheme val="minor"/>
    </font>
    <font>
      <sz val="12"/>
      <name val="游ゴシック"/>
      <family val="3"/>
      <charset val="128"/>
      <scheme val="minor"/>
    </font>
    <font>
      <sz val="12"/>
      <color theme="1"/>
      <name val="ＭＳ ゴシック"/>
      <family val="3"/>
      <charset val="128"/>
    </font>
    <font>
      <sz val="12"/>
      <color theme="1"/>
      <name val="Arial"/>
      <family val="2"/>
    </font>
    <font>
      <b/>
      <sz val="9"/>
      <color rgb="FF000000"/>
      <name val="游ゴシック"/>
      <family val="3"/>
      <charset val="128"/>
    </font>
    <font>
      <sz val="9"/>
      <color rgb="FF000000"/>
      <name val="游ゴシック"/>
      <family val="3"/>
      <charset val="128"/>
    </font>
    <font>
      <sz val="9"/>
      <color rgb="FF000000"/>
      <name val="MS P ゴシック"/>
      <charset val="128"/>
    </font>
    <font>
      <sz val="10"/>
      <color rgb="FF000000"/>
      <name val="Yu Gothic UI"/>
    </font>
    <font>
      <b/>
      <sz val="9"/>
      <color rgb="FF000000"/>
      <name val="MS P ゴシック"/>
      <charset val="128"/>
    </font>
  </fonts>
  <fills count="6">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0" tint="-4.9989318521683403E-2"/>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double">
        <color indexed="64"/>
      </right>
      <top/>
      <bottom style="double">
        <color indexed="64"/>
      </bottom>
      <diagonal/>
    </border>
    <border>
      <left style="double">
        <color indexed="64"/>
      </left>
      <right/>
      <top style="thin">
        <color indexed="64"/>
      </top>
      <bottom style="double">
        <color indexed="64"/>
      </bottom>
      <diagonal/>
    </border>
    <border>
      <left/>
      <right style="thin">
        <color indexed="64"/>
      </right>
      <top/>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293">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3" borderId="17"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20" xfId="0" applyNumberFormat="1" applyBorder="1">
      <alignment vertical="center"/>
    </xf>
    <xf numFmtId="176" fontId="0" fillId="0" borderId="19" xfId="0" applyNumberFormat="1" applyBorder="1">
      <alignment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176" fontId="8" fillId="0" borderId="4" xfId="1" applyNumberFormat="1" applyFont="1" applyBorder="1" applyAlignment="1">
      <alignment horizontal="left" vertical="center"/>
    </xf>
    <xf numFmtId="176" fontId="9" fillId="0" borderId="16" xfId="1" applyNumberFormat="1" applyFont="1" applyBorder="1" applyAlignment="1">
      <alignment horizontal="left" vertical="center"/>
    </xf>
    <xf numFmtId="176" fontId="9" fillId="0" borderId="13" xfId="1" applyNumberFormat="1" applyFont="1" applyBorder="1" applyAlignment="1">
      <alignment horizontal="left" vertical="center"/>
    </xf>
    <xf numFmtId="176" fontId="9" fillId="0" borderId="4" xfId="1" applyNumberFormat="1" applyFont="1" applyBorder="1" applyAlignment="1">
      <alignment horizontal="left" vertical="center"/>
    </xf>
    <xf numFmtId="0" fontId="0" fillId="0" borderId="19" xfId="0" applyBorder="1">
      <alignment vertical="center"/>
    </xf>
    <xf numFmtId="0" fontId="0" fillId="0" borderId="1" xfId="0" applyBorder="1">
      <alignment vertical="center"/>
    </xf>
    <xf numFmtId="0" fontId="0" fillId="0" borderId="17"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2" xfId="0" applyNumberFormat="1" applyFill="1" applyBorder="1">
      <alignment vertical="center"/>
    </xf>
    <xf numFmtId="176" fontId="0" fillId="3" borderId="24" xfId="0" applyNumberFormat="1" applyFill="1" applyBorder="1">
      <alignment vertical="center"/>
    </xf>
    <xf numFmtId="176" fontId="0" fillId="3" borderId="23" xfId="0" applyNumberFormat="1" applyFill="1" applyBorder="1">
      <alignment vertical="center"/>
    </xf>
    <xf numFmtId="176" fontId="0" fillId="3" borderId="21" xfId="0" applyNumberFormat="1" applyFill="1" applyBorder="1">
      <alignment vertical="center"/>
    </xf>
    <xf numFmtId="176" fontId="5"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6" fontId="10" fillId="0" borderId="0" xfId="0" applyNumberFormat="1" applyFont="1">
      <alignment vertical="center"/>
    </xf>
    <xf numFmtId="178" fontId="10" fillId="0" borderId="0" xfId="0" applyNumberFormat="1" applyFont="1" applyAlignment="1">
      <alignment horizontal="left" vertical="center"/>
    </xf>
    <xf numFmtId="178" fontId="10" fillId="0" borderId="1" xfId="0" applyNumberFormat="1" applyFont="1" applyBorder="1" applyAlignment="1">
      <alignment horizontal="left" vertical="center"/>
    </xf>
    <xf numFmtId="176" fontId="10" fillId="0" borderId="1" xfId="0" applyNumberFormat="1" applyFont="1" applyBorder="1">
      <alignment vertical="center"/>
    </xf>
    <xf numFmtId="178" fontId="10" fillId="0" borderId="1" xfId="0" applyNumberFormat="1" applyFont="1" applyBorder="1">
      <alignment vertical="center"/>
    </xf>
    <xf numFmtId="176" fontId="10" fillId="0" borderId="2" xfId="0" applyNumberFormat="1" applyFont="1" applyBorder="1">
      <alignment vertical="center"/>
    </xf>
    <xf numFmtId="176" fontId="10" fillId="0" borderId="1" xfId="0" applyNumberFormat="1" applyFont="1" applyBorder="1" applyAlignment="1">
      <alignment horizontal="left" vertical="center"/>
    </xf>
    <xf numFmtId="176" fontId="10" fillId="0" borderId="19" xfId="0" applyNumberFormat="1" applyFont="1" applyBorder="1">
      <alignment vertical="center"/>
    </xf>
    <xf numFmtId="176" fontId="10" fillId="0" borderId="19" xfId="0" applyNumberFormat="1" applyFont="1" applyBorder="1" applyAlignment="1">
      <alignment horizontal="right" vertical="center"/>
    </xf>
    <xf numFmtId="176" fontId="10" fillId="0" borderId="1" xfId="0" applyNumberFormat="1" applyFont="1" applyBorder="1" applyAlignment="1">
      <alignment horizontal="right" vertical="center"/>
    </xf>
    <xf numFmtId="176" fontId="10" fillId="0" borderId="2" xfId="0" applyNumberFormat="1" applyFont="1" applyBorder="1" applyAlignment="1">
      <alignment horizontal="right" vertical="center"/>
    </xf>
    <xf numFmtId="176" fontId="10" fillId="0" borderId="3" xfId="0" applyNumberFormat="1" applyFont="1" applyBorder="1">
      <alignment vertical="center"/>
    </xf>
    <xf numFmtId="176" fontId="0" fillId="0" borderId="1" xfId="0" applyNumberFormat="1" applyBorder="1" applyAlignment="1">
      <alignment horizontal="left" vertical="center"/>
    </xf>
    <xf numFmtId="179" fontId="0" fillId="0" borderId="1" xfId="0" applyNumberFormat="1" applyBorder="1">
      <alignment vertical="center"/>
    </xf>
    <xf numFmtId="176" fontId="0" fillId="2" borderId="3" xfId="0" applyNumberFormat="1" applyFill="1" applyBorder="1" applyAlignment="1">
      <alignment horizontal="lef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8" fillId="2" borderId="1" xfId="0" applyNumberFormat="1" applyFont="1" applyFill="1" applyBorder="1">
      <alignment vertical="center"/>
    </xf>
    <xf numFmtId="176" fontId="0" fillId="0" borderId="22" xfId="0" applyNumberFormat="1" applyBorder="1">
      <alignment vertical="center"/>
    </xf>
    <xf numFmtId="176" fontId="0" fillId="0" borderId="8" xfId="0" applyNumberFormat="1" applyBorder="1">
      <alignment vertical="center"/>
    </xf>
    <xf numFmtId="176" fontId="0" fillId="2" borderId="33" xfId="0" applyNumberFormat="1" applyFill="1" applyBorder="1">
      <alignment vertical="center"/>
    </xf>
    <xf numFmtId="176" fontId="0" fillId="0" borderId="34" xfId="0" applyNumberFormat="1" applyBorder="1">
      <alignment vertical="center"/>
    </xf>
    <xf numFmtId="176" fontId="0" fillId="2" borderId="22" xfId="0" applyNumberFormat="1" applyFill="1" applyBorder="1">
      <alignment vertical="center"/>
    </xf>
    <xf numFmtId="176" fontId="0" fillId="2" borderId="35" xfId="0" applyNumberFormat="1" applyFill="1" applyBorder="1">
      <alignment vertical="center"/>
    </xf>
    <xf numFmtId="176" fontId="4" fillId="0" borderId="0" xfId="0" applyNumberFormat="1" applyFont="1">
      <alignment vertical="center"/>
    </xf>
    <xf numFmtId="176" fontId="10" fillId="0" borderId="11" xfId="0" applyNumberFormat="1" applyFont="1" applyBorder="1">
      <alignment vertical="center"/>
    </xf>
    <xf numFmtId="176" fontId="10" fillId="2" borderId="1" xfId="0" applyNumberFormat="1" applyFont="1" applyFill="1" applyBorder="1">
      <alignment vertical="center"/>
    </xf>
    <xf numFmtId="176" fontId="10" fillId="0" borderId="17" xfId="0" applyNumberFormat="1" applyFont="1" applyBorder="1">
      <alignment vertical="center"/>
    </xf>
    <xf numFmtId="0" fontId="0" fillId="0" borderId="0" xfId="0" applyAlignment="1">
      <alignment vertical="top"/>
    </xf>
    <xf numFmtId="0" fontId="0" fillId="0" borderId="2" xfId="0" applyBorder="1">
      <alignment vertical="center"/>
    </xf>
    <xf numFmtId="176" fontId="0" fillId="3" borderId="3" xfId="0" applyNumberFormat="1" applyFill="1" applyBorder="1">
      <alignment vertical="center"/>
    </xf>
    <xf numFmtId="176" fontId="10" fillId="2" borderId="11" xfId="0" applyNumberFormat="1" applyFont="1" applyFill="1" applyBorder="1">
      <alignment vertical="center"/>
    </xf>
    <xf numFmtId="176" fontId="10" fillId="2" borderId="3" xfId="0" applyNumberFormat="1" applyFont="1" applyFill="1" applyBorder="1">
      <alignment vertical="center"/>
    </xf>
    <xf numFmtId="176" fontId="0" fillId="0" borderId="3" xfId="0" applyNumberFormat="1" applyBorder="1" applyAlignment="1">
      <alignment horizontal="right" vertical="center"/>
    </xf>
    <xf numFmtId="176" fontId="0" fillId="4" borderId="1" xfId="0" applyNumberFormat="1" applyFill="1" applyBorder="1">
      <alignment vertical="center"/>
    </xf>
    <xf numFmtId="176" fontId="0" fillId="3" borderId="36" xfId="0" applyNumberFormat="1" applyFill="1" applyBorder="1">
      <alignment vertical="center"/>
    </xf>
    <xf numFmtId="176" fontId="0" fillId="3" borderId="37" xfId="0" applyNumberFormat="1" applyFill="1" applyBorder="1">
      <alignment vertical="center"/>
    </xf>
    <xf numFmtId="176" fontId="0" fillId="3" borderId="38" xfId="0" applyNumberFormat="1" applyFill="1" applyBorder="1">
      <alignment vertical="center"/>
    </xf>
    <xf numFmtId="176" fontId="10" fillId="0" borderId="39" xfId="0" applyNumberFormat="1" applyFont="1" applyBorder="1">
      <alignment vertical="center"/>
    </xf>
    <xf numFmtId="176" fontId="10" fillId="0" borderId="40" xfId="0" applyNumberFormat="1" applyFont="1" applyBorder="1">
      <alignment vertical="center"/>
    </xf>
    <xf numFmtId="176" fontId="10" fillId="0" borderId="41" xfId="0" applyNumberFormat="1" applyFont="1" applyBorder="1">
      <alignment vertical="center"/>
    </xf>
    <xf numFmtId="176" fontId="10" fillId="0" borderId="42" xfId="0" applyNumberFormat="1" applyFont="1" applyBorder="1">
      <alignment vertical="center"/>
    </xf>
    <xf numFmtId="176" fontId="10" fillId="0" borderId="43" xfId="0" applyNumberFormat="1" applyFont="1" applyBorder="1">
      <alignment vertical="center"/>
    </xf>
    <xf numFmtId="176" fontId="10" fillId="0" borderId="44" xfId="0" applyNumberFormat="1" applyFont="1" applyBorder="1">
      <alignment vertical="center"/>
    </xf>
    <xf numFmtId="176" fontId="10" fillId="0" borderId="45" xfId="0" applyNumberFormat="1" applyFont="1" applyBorder="1">
      <alignment vertical="center"/>
    </xf>
    <xf numFmtId="176" fontId="10" fillId="0" borderId="46" xfId="0" applyNumberFormat="1" applyFont="1" applyBorder="1">
      <alignment vertical="center"/>
    </xf>
    <xf numFmtId="176" fontId="10" fillId="0" borderId="39" xfId="0" applyNumberFormat="1" applyFont="1" applyBorder="1" applyAlignment="1">
      <alignment horizontal="left" vertical="center"/>
    </xf>
    <xf numFmtId="0" fontId="0" fillId="0" borderId="40" xfId="0" applyBorder="1">
      <alignment vertical="center"/>
    </xf>
    <xf numFmtId="176" fontId="10" fillId="0" borderId="47" xfId="0" applyNumberFormat="1" applyFont="1" applyBorder="1" applyAlignment="1">
      <alignment horizontal="left" vertical="center"/>
    </xf>
    <xf numFmtId="176" fontId="10" fillId="0" borderId="49" xfId="0" applyNumberFormat="1" applyFont="1" applyBorder="1">
      <alignment vertical="center"/>
    </xf>
    <xf numFmtId="176" fontId="10" fillId="0" borderId="50" xfId="0" applyNumberFormat="1" applyFont="1" applyBorder="1" applyAlignment="1">
      <alignment horizontal="left" vertical="center"/>
    </xf>
    <xf numFmtId="176" fontId="10" fillId="0" borderId="45" xfId="0" applyNumberFormat="1" applyFont="1" applyBorder="1" applyAlignment="1">
      <alignment horizontal="left" vertical="center"/>
    </xf>
    <xf numFmtId="0" fontId="0" fillId="0" borderId="46" xfId="0" applyBorder="1">
      <alignment vertical="center"/>
    </xf>
    <xf numFmtId="176" fontId="10" fillId="0" borderId="43" xfId="0" applyNumberFormat="1" applyFont="1" applyBorder="1" applyAlignment="1">
      <alignment horizontal="left" vertical="center"/>
    </xf>
    <xf numFmtId="0" fontId="0" fillId="0" borderId="44" xfId="0" applyBorder="1">
      <alignment vertical="center"/>
    </xf>
    <xf numFmtId="0" fontId="0" fillId="0" borderId="48" xfId="0" applyBorder="1">
      <alignment vertical="center"/>
    </xf>
    <xf numFmtId="0" fontId="0" fillId="0" borderId="49" xfId="0" applyBorder="1">
      <alignment vertical="center"/>
    </xf>
    <xf numFmtId="176" fontId="10" fillId="0" borderId="51" xfId="0" applyNumberFormat="1" applyFont="1" applyBorder="1" applyAlignment="1">
      <alignment horizontal="left" vertical="center"/>
    </xf>
    <xf numFmtId="0" fontId="0" fillId="0" borderId="52" xfId="0" applyBorder="1">
      <alignment vertical="center"/>
    </xf>
    <xf numFmtId="0" fontId="0" fillId="0" borderId="53" xfId="0" applyBorder="1">
      <alignment vertical="center"/>
    </xf>
    <xf numFmtId="176" fontId="0" fillId="5" borderId="1" xfId="0" applyNumberFormat="1" applyFill="1" applyBorder="1">
      <alignment vertical="center"/>
    </xf>
    <xf numFmtId="178" fontId="0" fillId="0" borderId="3" xfId="0" applyNumberFormat="1" applyBorder="1">
      <alignment vertical="center"/>
    </xf>
    <xf numFmtId="0" fontId="0" fillId="3" borderId="13" xfId="0" applyFill="1" applyBorder="1">
      <alignment vertical="center"/>
    </xf>
    <xf numFmtId="0" fontId="0" fillId="3" borderId="14" xfId="0" applyFill="1" applyBorder="1">
      <alignment vertical="center"/>
    </xf>
    <xf numFmtId="0" fontId="0" fillId="0" borderId="13" xfId="0" applyBorder="1">
      <alignment vertical="center"/>
    </xf>
    <xf numFmtId="0" fontId="0" fillId="3" borderId="22" xfId="0" applyFill="1" applyBorder="1">
      <alignment vertical="center"/>
    </xf>
    <xf numFmtId="0" fontId="0" fillId="3" borderId="23" xfId="0" applyFill="1" applyBorder="1">
      <alignment vertical="center"/>
    </xf>
    <xf numFmtId="0" fontId="0" fillId="2" borderId="33" xfId="0" applyFill="1" applyBorder="1">
      <alignment vertical="center"/>
    </xf>
    <xf numFmtId="0" fontId="0" fillId="2" borderId="22" xfId="0" applyFill="1" applyBorder="1">
      <alignment vertical="center"/>
    </xf>
    <xf numFmtId="0" fontId="0" fillId="3" borderId="16" xfId="0" applyFill="1" applyBorder="1">
      <alignment vertical="center"/>
    </xf>
    <xf numFmtId="0" fontId="0" fillId="3" borderId="56" xfId="0" applyFill="1" applyBorder="1">
      <alignment vertical="center"/>
    </xf>
    <xf numFmtId="0" fontId="0" fillId="0" borderId="54" xfId="0" applyBorder="1">
      <alignment vertical="center"/>
    </xf>
    <xf numFmtId="0" fontId="0" fillId="0" borderId="55" xfId="0" applyBorder="1">
      <alignment vertical="center"/>
    </xf>
    <xf numFmtId="0" fontId="0" fillId="0" borderId="16" xfId="0" applyBorder="1">
      <alignment vertical="center"/>
    </xf>
    <xf numFmtId="0" fontId="0" fillId="0" borderId="12" xfId="0" applyBorder="1">
      <alignment vertical="center"/>
    </xf>
    <xf numFmtId="0" fontId="0" fillId="0" borderId="8" xfId="0" applyBorder="1">
      <alignment vertical="center"/>
    </xf>
    <xf numFmtId="0" fontId="0" fillId="0" borderId="15" xfId="0" applyBorder="1">
      <alignment vertical="center"/>
    </xf>
    <xf numFmtId="0" fontId="0" fillId="3" borderId="8" xfId="0" applyFill="1" applyBorder="1" applyAlignment="1">
      <alignment horizontal="center" vertical="center"/>
    </xf>
    <xf numFmtId="176" fontId="0" fillId="0" borderId="2" xfId="0" applyNumberFormat="1" applyBorder="1" applyAlignment="1">
      <alignment horizontal="left" vertical="center"/>
    </xf>
    <xf numFmtId="176" fontId="0" fillId="0" borderId="17" xfId="0" applyNumberFormat="1" applyBorder="1" applyAlignment="1">
      <alignment horizontal="left" vertical="center"/>
    </xf>
    <xf numFmtId="176" fontId="0" fillId="0" borderId="10" xfId="0" applyNumberFormat="1" applyBorder="1">
      <alignment vertical="center"/>
    </xf>
    <xf numFmtId="176" fontId="0" fillId="0" borderId="57" xfId="0" applyNumberFormat="1" applyBorder="1">
      <alignment vertical="center"/>
    </xf>
    <xf numFmtId="0" fontId="0" fillId="2" borderId="1" xfId="0" applyFill="1" applyBorder="1">
      <alignment vertical="center"/>
    </xf>
    <xf numFmtId="178" fontId="0" fillId="2" borderId="3" xfId="0" applyNumberFormat="1" applyFill="1" applyBorder="1">
      <alignment vertical="center"/>
    </xf>
    <xf numFmtId="176" fontId="0" fillId="3" borderId="1" xfId="0" quotePrefix="1" applyNumberFormat="1" applyFill="1" applyBorder="1">
      <alignment vertical="center"/>
    </xf>
    <xf numFmtId="176" fontId="0" fillId="0" borderId="2" xfId="0" applyNumberFormat="1" applyBorder="1" applyAlignment="1"/>
    <xf numFmtId="176" fontId="10" fillId="0" borderId="47" xfId="0" applyNumberFormat="1" applyFont="1" applyBorder="1">
      <alignment vertical="center"/>
    </xf>
    <xf numFmtId="0" fontId="2" fillId="2" borderId="2" xfId="0" applyFont="1" applyFill="1" applyBorder="1">
      <alignment vertical="center"/>
    </xf>
    <xf numFmtId="0" fontId="0" fillId="2" borderId="3" xfId="0" applyFill="1" applyBorder="1">
      <alignment vertical="center"/>
    </xf>
    <xf numFmtId="180" fontId="0" fillId="0" borderId="1" xfId="0" applyNumberFormat="1" applyBorder="1">
      <alignment vertical="center"/>
    </xf>
    <xf numFmtId="181" fontId="0" fillId="0" borderId="1" xfId="0" applyNumberFormat="1" applyBorder="1">
      <alignment vertical="center"/>
    </xf>
    <xf numFmtId="38" fontId="0" fillId="2" borderId="1" xfId="0" applyNumberFormat="1" applyFill="1" applyBorder="1">
      <alignment vertical="center"/>
    </xf>
    <xf numFmtId="3" fontId="0" fillId="0" borderId="0" xfId="0" applyNumberFormat="1">
      <alignment vertical="center"/>
    </xf>
    <xf numFmtId="3" fontId="0" fillId="3" borderId="13" xfId="0" applyNumberFormat="1" applyFill="1" applyBorder="1">
      <alignment vertical="center"/>
    </xf>
    <xf numFmtId="3" fontId="0" fillId="3" borderId="14" xfId="0" applyNumberFormat="1" applyFill="1" applyBorder="1">
      <alignment vertical="center"/>
    </xf>
    <xf numFmtId="3" fontId="0" fillId="2" borderId="7" xfId="0" applyNumberFormat="1" applyFill="1" applyBorder="1">
      <alignment vertical="center"/>
    </xf>
    <xf numFmtId="3" fontId="0" fillId="2" borderId="13" xfId="0" applyNumberFormat="1" applyFill="1" applyBorder="1">
      <alignment vertical="center"/>
    </xf>
    <xf numFmtId="176" fontId="23" fillId="0" borderId="1" xfId="0" applyNumberFormat="1" applyFont="1" applyBorder="1">
      <alignment vertical="center"/>
    </xf>
    <xf numFmtId="0" fontId="23" fillId="0" borderId="0" xfId="0" applyFont="1">
      <alignment vertical="center"/>
    </xf>
    <xf numFmtId="176" fontId="23" fillId="0" borderId="0" xfId="0" applyNumberFormat="1" applyFont="1">
      <alignment vertical="center"/>
    </xf>
    <xf numFmtId="176" fontId="23" fillId="3" borderId="2" xfId="0" applyNumberFormat="1" applyFont="1" applyFill="1" applyBorder="1">
      <alignment vertical="center"/>
    </xf>
    <xf numFmtId="176" fontId="23" fillId="3" borderId="1" xfId="0" applyNumberFormat="1" applyFont="1" applyFill="1" applyBorder="1">
      <alignment vertical="center"/>
    </xf>
    <xf numFmtId="0" fontId="23" fillId="0" borderId="1" xfId="0" applyFont="1" applyBorder="1">
      <alignment vertical="center"/>
    </xf>
    <xf numFmtId="176" fontId="23" fillId="0" borderId="1" xfId="0" applyNumberFormat="1" applyFont="1" applyBorder="1" applyAlignment="1">
      <alignment horizontal="left" vertical="center"/>
    </xf>
    <xf numFmtId="176" fontId="23" fillId="0" borderId="3" xfId="0" applyNumberFormat="1" applyFont="1" applyBorder="1">
      <alignment vertical="center"/>
    </xf>
    <xf numFmtId="176" fontId="23" fillId="2" borderId="3" xfId="0" applyNumberFormat="1" applyFont="1" applyFill="1" applyBorder="1">
      <alignment vertical="center"/>
    </xf>
    <xf numFmtId="176" fontId="23" fillId="0" borderId="2" xfId="0" applyNumberFormat="1" applyFont="1" applyBorder="1">
      <alignment vertical="center"/>
    </xf>
    <xf numFmtId="176" fontId="23" fillId="0" borderId="2" xfId="0" applyNumberFormat="1" applyFont="1" applyBorder="1" applyAlignment="1">
      <alignment horizontal="left" vertical="center"/>
    </xf>
    <xf numFmtId="176" fontId="23" fillId="2" borderId="1" xfId="0" applyNumberFormat="1" applyFont="1" applyFill="1" applyBorder="1">
      <alignment vertical="center"/>
    </xf>
    <xf numFmtId="176" fontId="23" fillId="3" borderId="3" xfId="0" applyNumberFormat="1" applyFont="1" applyFill="1" applyBorder="1">
      <alignment vertical="center"/>
    </xf>
    <xf numFmtId="178" fontId="23" fillId="0" borderId="3" xfId="0" applyNumberFormat="1" applyFont="1" applyBorder="1">
      <alignment vertical="center"/>
    </xf>
    <xf numFmtId="178" fontId="23" fillId="2" borderId="3" xfId="0" applyNumberFormat="1" applyFont="1" applyFill="1" applyBorder="1">
      <alignment vertical="center"/>
    </xf>
    <xf numFmtId="178" fontId="23" fillId="0" borderId="1" xfId="0" applyNumberFormat="1" applyFont="1" applyBorder="1">
      <alignment vertical="center"/>
    </xf>
    <xf numFmtId="176" fontId="23" fillId="0" borderId="17" xfId="0" applyNumberFormat="1" applyFont="1" applyBorder="1">
      <alignment vertical="center"/>
    </xf>
    <xf numFmtId="176" fontId="23" fillId="0" borderId="0" xfId="0" applyNumberFormat="1" applyFont="1" applyAlignment="1">
      <alignment vertical="center" wrapText="1"/>
    </xf>
    <xf numFmtId="176" fontId="23" fillId="4" borderId="1" xfId="0" applyNumberFormat="1" applyFont="1" applyFill="1" applyBorder="1">
      <alignment vertical="center"/>
    </xf>
    <xf numFmtId="0" fontId="23" fillId="3" borderId="1" xfId="0" applyFont="1" applyFill="1" applyBorder="1">
      <alignment vertical="center"/>
    </xf>
    <xf numFmtId="0" fontId="25" fillId="2" borderId="1" xfId="0" applyFont="1" applyFill="1" applyBorder="1">
      <alignment vertical="center"/>
    </xf>
    <xf numFmtId="0" fontId="25" fillId="0" borderId="1" xfId="0" applyFont="1" applyBorder="1">
      <alignment vertical="center"/>
    </xf>
    <xf numFmtId="176" fontId="23" fillId="3" borderId="4" xfId="0" applyNumberFormat="1" applyFont="1" applyFill="1" applyBorder="1">
      <alignment vertical="center"/>
    </xf>
    <xf numFmtId="176" fontId="23" fillId="3" borderId="13" xfId="0" applyNumberFormat="1" applyFont="1" applyFill="1" applyBorder="1">
      <alignment vertical="center"/>
    </xf>
    <xf numFmtId="176" fontId="23" fillId="0" borderId="4" xfId="0" applyNumberFormat="1" applyFont="1" applyBorder="1">
      <alignment vertical="center"/>
    </xf>
    <xf numFmtId="176" fontId="23" fillId="0" borderId="13" xfId="0" applyNumberFormat="1" applyFont="1" applyBorder="1">
      <alignment vertical="center"/>
    </xf>
    <xf numFmtId="176" fontId="23" fillId="0" borderId="17" xfId="0" applyNumberFormat="1" applyFont="1" applyBorder="1" applyAlignment="1">
      <alignment horizontal="left" vertical="center"/>
    </xf>
    <xf numFmtId="176" fontId="23" fillId="0" borderId="10" xfId="0" applyNumberFormat="1" applyFont="1" applyBorder="1">
      <alignment vertical="center"/>
    </xf>
    <xf numFmtId="176" fontId="23" fillId="0" borderId="57" xfId="0" applyNumberFormat="1" applyFont="1" applyBorder="1">
      <alignment vertical="center"/>
    </xf>
    <xf numFmtId="176" fontId="23" fillId="0" borderId="2" xfId="0" applyNumberFormat="1" applyFont="1" applyBorder="1" applyAlignment="1"/>
    <xf numFmtId="0" fontId="23" fillId="0" borderId="19" xfId="0" applyFont="1" applyBorder="1">
      <alignment vertical="center"/>
    </xf>
    <xf numFmtId="0" fontId="23" fillId="2" borderId="19" xfId="0" applyFont="1" applyFill="1" applyBorder="1">
      <alignment vertical="center"/>
    </xf>
    <xf numFmtId="0" fontId="23" fillId="0" borderId="3" xfId="0" applyFont="1" applyBorder="1">
      <alignment vertical="center"/>
    </xf>
    <xf numFmtId="0" fontId="23" fillId="2" borderId="1" xfId="0" applyFont="1" applyFill="1" applyBorder="1">
      <alignment vertical="center"/>
    </xf>
    <xf numFmtId="176" fontId="0" fillId="0" borderId="14" xfId="0" applyNumberFormat="1" applyBorder="1">
      <alignment vertical="center"/>
    </xf>
    <xf numFmtId="176" fontId="0" fillId="0" borderId="59" xfId="0" applyNumberFormat="1" applyBorder="1">
      <alignment vertical="center"/>
    </xf>
    <xf numFmtId="176" fontId="0" fillId="0" borderId="22" xfId="0" applyNumberFormat="1" applyBorder="1" applyAlignment="1">
      <alignment horizontal="left" vertical="center"/>
    </xf>
    <xf numFmtId="176" fontId="0" fillId="0" borderId="4" xfId="0" applyNumberFormat="1" applyBorder="1" applyAlignment="1">
      <alignment horizontal="left" vertical="center"/>
    </xf>
    <xf numFmtId="176" fontId="0" fillId="0" borderId="10" xfId="0" applyNumberFormat="1" applyBorder="1" applyAlignment="1">
      <alignment horizontal="left" vertical="center"/>
    </xf>
    <xf numFmtId="176" fontId="0" fillId="0" borderId="14" xfId="0" applyNumberFormat="1" applyBorder="1" applyAlignment="1"/>
    <xf numFmtId="176" fontId="0" fillId="3" borderId="16" xfId="0" applyNumberFormat="1" applyFill="1" applyBorder="1">
      <alignment vertical="center"/>
    </xf>
    <xf numFmtId="176" fontId="0" fillId="0" borderId="16" xfId="0" applyNumberFormat="1" applyBorder="1">
      <alignment vertical="center"/>
    </xf>
    <xf numFmtId="176" fontId="0" fillId="0" borderId="60" xfId="0" applyNumberFormat="1" applyBorder="1">
      <alignment vertical="center"/>
    </xf>
    <xf numFmtId="176" fontId="0" fillId="0" borderId="5" xfId="0" applyNumberFormat="1" applyBorder="1">
      <alignment vertical="center"/>
    </xf>
    <xf numFmtId="178" fontId="0" fillId="2" borderId="19" xfId="0" applyNumberFormat="1" applyFill="1" applyBorder="1">
      <alignment vertical="center"/>
    </xf>
    <xf numFmtId="178" fontId="0" fillId="2" borderId="11" xfId="0" applyNumberFormat="1" applyFill="1" applyBorder="1">
      <alignment vertical="center"/>
    </xf>
    <xf numFmtId="176" fontId="0" fillId="2" borderId="11" xfId="0" applyNumberFormat="1" applyFill="1" applyBorder="1">
      <alignment vertical="center"/>
    </xf>
    <xf numFmtId="176" fontId="0" fillId="0" borderId="11" xfId="0" applyNumberFormat="1" applyBorder="1">
      <alignment vertical="center"/>
    </xf>
    <xf numFmtId="177" fontId="0" fillId="4" borderId="3" xfId="0" applyNumberFormat="1" applyFill="1" applyBorder="1">
      <alignment vertical="center"/>
    </xf>
    <xf numFmtId="178" fontId="0" fillId="4" borderId="3" xfId="0" applyNumberFormat="1" applyFill="1" applyBorder="1">
      <alignment vertical="center"/>
    </xf>
    <xf numFmtId="176" fontId="0" fillId="4" borderId="3" xfId="0" applyNumberFormat="1" applyFill="1" applyBorder="1">
      <alignment vertical="center"/>
    </xf>
    <xf numFmtId="177" fontId="0" fillId="0" borderId="3" xfId="0" applyNumberFormat="1" applyBorder="1">
      <alignment vertical="center"/>
    </xf>
    <xf numFmtId="177" fontId="0" fillId="4" borderId="1" xfId="0" applyNumberFormat="1" applyFill="1" applyBorder="1">
      <alignment vertical="center"/>
    </xf>
    <xf numFmtId="178" fontId="0" fillId="4" borderId="1" xfId="0" applyNumberFormat="1" applyFill="1" applyBorder="1">
      <alignment vertical="center"/>
    </xf>
    <xf numFmtId="176" fontId="0" fillId="2" borderId="4" xfId="0" applyNumberFormat="1" applyFill="1" applyBorder="1">
      <alignment vertical="center"/>
    </xf>
    <xf numFmtId="176" fontId="0" fillId="2" borderId="61" xfId="0" applyNumberFormat="1" applyFill="1" applyBorder="1">
      <alignment vertical="center"/>
    </xf>
    <xf numFmtId="0" fontId="0" fillId="4" borderId="7" xfId="0" applyFill="1" applyBorder="1">
      <alignment vertical="center"/>
    </xf>
    <xf numFmtId="0" fontId="0" fillId="4" borderId="3" xfId="0" applyFill="1" applyBorder="1">
      <alignment vertical="center"/>
    </xf>
    <xf numFmtId="0" fontId="0" fillId="4" borderId="35" xfId="0" applyFill="1" applyBorder="1">
      <alignment vertical="center"/>
    </xf>
    <xf numFmtId="0" fontId="0" fillId="4" borderId="13" xfId="0" applyFill="1" applyBorder="1">
      <alignment vertical="center"/>
    </xf>
    <xf numFmtId="0" fontId="0" fillId="4" borderId="1" xfId="0" applyFill="1" applyBorder="1">
      <alignment vertical="center"/>
    </xf>
    <xf numFmtId="0" fontId="0" fillId="4" borderId="22" xfId="0" applyFill="1" applyBorder="1">
      <alignment vertical="center"/>
    </xf>
    <xf numFmtId="0" fontId="0" fillId="4" borderId="6" xfId="0" applyFill="1" applyBorder="1">
      <alignment vertical="center"/>
    </xf>
    <xf numFmtId="0" fontId="0" fillId="4" borderId="4" xfId="0" applyFill="1" applyBorder="1">
      <alignment vertical="center"/>
    </xf>
    <xf numFmtId="176" fontId="5" fillId="0" borderId="1" xfId="1" applyNumberFormat="1" applyBorder="1">
      <alignment vertical="center"/>
    </xf>
    <xf numFmtId="176" fontId="0" fillId="0" borderId="1" xfId="0" applyNumberFormat="1" applyBorder="1" applyAlignment="1">
      <alignment horizontal="center" vertical="center"/>
    </xf>
    <xf numFmtId="176" fontId="0" fillId="0" borderId="23" xfId="0" applyNumberFormat="1" applyBorder="1" applyAlignment="1">
      <alignment horizontal="left" vertical="center"/>
    </xf>
    <xf numFmtId="182" fontId="0" fillId="0" borderId="0" xfId="0" applyNumberFormat="1">
      <alignment vertical="center"/>
    </xf>
    <xf numFmtId="182" fontId="0" fillId="3" borderId="1" xfId="0" applyNumberFormat="1" applyFill="1" applyBorder="1">
      <alignment vertical="center"/>
    </xf>
    <xf numFmtId="182" fontId="0" fillId="0" borderId="1" xfId="0" applyNumberFormat="1" applyBorder="1">
      <alignment vertical="center"/>
    </xf>
    <xf numFmtId="182" fontId="0" fillId="0" borderId="2" xfId="0" applyNumberFormat="1" applyBorder="1">
      <alignment vertical="center"/>
    </xf>
    <xf numFmtId="182" fontId="0" fillId="0" borderId="3" xfId="0" applyNumberFormat="1" applyBorder="1">
      <alignment vertical="center"/>
    </xf>
    <xf numFmtId="176" fontId="0" fillId="0" borderId="58" xfId="0" applyNumberFormat="1" applyBorder="1">
      <alignment vertical="center"/>
    </xf>
    <xf numFmtId="176" fontId="24" fillId="2" borderId="1" xfId="0" applyNumberFormat="1" applyFont="1" applyFill="1" applyBorder="1">
      <alignment vertical="center"/>
    </xf>
    <xf numFmtId="176" fontId="24" fillId="0" borderId="1" xfId="0" applyNumberFormat="1" applyFont="1" applyBorder="1">
      <alignment vertical="center"/>
    </xf>
    <xf numFmtId="176" fontId="0" fillId="0" borderId="55" xfId="0" applyNumberFormat="1" applyBorder="1">
      <alignment vertical="center"/>
    </xf>
    <xf numFmtId="178" fontId="0" fillId="0" borderId="19" xfId="0" applyNumberFormat="1" applyBorder="1">
      <alignment vertical="center"/>
    </xf>
    <xf numFmtId="176" fontId="0" fillId="4" borderId="33" xfId="0" applyNumberFormat="1" applyFill="1" applyBorder="1">
      <alignment vertical="center"/>
    </xf>
    <xf numFmtId="176" fontId="0" fillId="4" borderId="22" xfId="0" applyNumberFormat="1" applyFill="1" applyBorder="1">
      <alignment vertical="center"/>
    </xf>
    <xf numFmtId="176" fontId="0" fillId="4" borderId="58" xfId="0" applyNumberFormat="1" applyFill="1" applyBorder="1">
      <alignment vertical="center"/>
    </xf>
    <xf numFmtId="176" fontId="0" fillId="4" borderId="19" xfId="0" applyNumberFormat="1" applyFill="1" applyBorder="1">
      <alignment vertical="center"/>
    </xf>
    <xf numFmtId="176" fontId="0" fillId="4" borderId="55" xfId="0" applyNumberFormat="1" applyFill="1" applyBorder="1">
      <alignment vertical="center"/>
    </xf>
    <xf numFmtId="176" fontId="0" fillId="4" borderId="4" xfId="0" applyNumberFormat="1" applyFill="1" applyBorder="1">
      <alignment vertical="center"/>
    </xf>
    <xf numFmtId="176" fontId="0" fillId="4" borderId="13" xfId="0" applyNumberFormat="1" applyFill="1" applyBorder="1">
      <alignment vertical="center"/>
    </xf>
    <xf numFmtId="176" fontId="0" fillId="0" borderId="13" xfId="0" applyNumberFormat="1" applyBorder="1" applyAlignment="1">
      <alignment horizontal="left" vertical="center"/>
    </xf>
    <xf numFmtId="176" fontId="0" fillId="0" borderId="57" xfId="0" applyNumberFormat="1" applyBorder="1" applyAlignment="1">
      <alignment horizontal="left" vertical="center"/>
    </xf>
    <xf numFmtId="176" fontId="0" fillId="5" borderId="22" xfId="0" applyNumberFormat="1" applyFill="1" applyBorder="1">
      <alignment vertical="center"/>
    </xf>
    <xf numFmtId="176" fontId="0" fillId="0" borderId="23" xfId="0" applyNumberFormat="1" applyBorder="1">
      <alignment vertical="center"/>
    </xf>
    <xf numFmtId="176" fontId="0" fillId="0" borderId="35" xfId="0" applyNumberFormat="1" applyBorder="1">
      <alignment vertical="center"/>
    </xf>
    <xf numFmtId="178" fontId="24" fillId="2" borderId="1" xfId="0" applyNumberFormat="1" applyFont="1" applyFill="1" applyBorder="1">
      <alignment vertical="center"/>
    </xf>
    <xf numFmtId="0" fontId="22" fillId="0" borderId="25" xfId="0" applyFont="1" applyBorder="1" applyAlignment="1">
      <alignment horizontal="left" vertical="top" wrapText="1"/>
    </xf>
    <xf numFmtId="0" fontId="22" fillId="0" borderId="26" xfId="0" applyFont="1" applyBorder="1" applyAlignment="1">
      <alignment horizontal="left" vertical="top" wrapText="1"/>
    </xf>
    <xf numFmtId="0" fontId="22" fillId="0" borderId="27" xfId="0" applyFont="1" applyBorder="1" applyAlignment="1">
      <alignment horizontal="left" vertical="top" wrapText="1"/>
    </xf>
    <xf numFmtId="0" fontId="22" fillId="0" borderId="28" xfId="0" applyFont="1" applyBorder="1" applyAlignment="1">
      <alignment horizontal="left" vertical="top" wrapText="1"/>
    </xf>
    <xf numFmtId="0" fontId="22" fillId="0" borderId="0" xfId="0" applyFont="1" applyAlignment="1">
      <alignment horizontal="left" vertical="top" wrapText="1"/>
    </xf>
    <xf numFmtId="0" fontId="22" fillId="0" borderId="29" xfId="0" applyFont="1" applyBorder="1" applyAlignment="1">
      <alignment horizontal="left" vertical="top" wrapText="1"/>
    </xf>
    <xf numFmtId="0" fontId="22" fillId="0" borderId="30" xfId="0" applyFont="1" applyBorder="1" applyAlignment="1">
      <alignment horizontal="left" vertical="top" wrapText="1"/>
    </xf>
    <xf numFmtId="0" fontId="22" fillId="0" borderId="31" xfId="0" applyFont="1" applyBorder="1" applyAlignment="1">
      <alignment horizontal="left" vertical="top" wrapText="1"/>
    </xf>
    <xf numFmtId="0" fontId="22" fillId="0" borderId="32" xfId="0" applyFont="1" applyBorder="1" applyAlignment="1">
      <alignment horizontal="left" vertical="top" wrapText="1"/>
    </xf>
    <xf numFmtId="176" fontId="0" fillId="3" borderId="4" xfId="0" applyNumberFormat="1" applyFill="1" applyBorder="1" applyAlignment="1">
      <alignment horizontal="center" vertical="center"/>
    </xf>
    <xf numFmtId="176" fontId="0" fillId="3" borderId="16" xfId="0" applyNumberFormat="1" applyFill="1" applyBorder="1" applyAlignment="1">
      <alignment horizontal="center" vertical="center"/>
    </xf>
    <xf numFmtId="176" fontId="0" fillId="3" borderId="13" xfId="0" applyNumberFormat="1" applyFill="1" applyBorder="1" applyAlignment="1">
      <alignment horizontal="center" vertical="center"/>
    </xf>
    <xf numFmtId="176" fontId="7" fillId="0" borderId="4" xfId="1" applyNumberFormat="1" applyFont="1" applyBorder="1" applyAlignment="1">
      <alignment horizontal="left" vertical="center"/>
    </xf>
    <xf numFmtId="176" fontId="7" fillId="0" borderId="16" xfId="1" applyNumberFormat="1" applyFont="1" applyBorder="1" applyAlignment="1">
      <alignment horizontal="left" vertical="center"/>
    </xf>
    <xf numFmtId="176" fontId="7" fillId="0" borderId="13" xfId="1" applyNumberFormat="1" applyFont="1" applyBorder="1" applyAlignment="1">
      <alignment horizontal="left" vertical="center"/>
    </xf>
    <xf numFmtId="176" fontId="0" fillId="3" borderId="1" xfId="0" applyNumberFormat="1" applyFill="1" applyBorder="1" applyAlignment="1">
      <alignment horizontal="left" vertical="center"/>
    </xf>
    <xf numFmtId="176" fontId="5" fillId="0" borderId="4" xfId="1" applyNumberFormat="1" applyBorder="1" applyAlignment="1">
      <alignment horizontal="left" vertical="center"/>
    </xf>
    <xf numFmtId="176" fontId="10" fillId="0" borderId="1" xfId="0" applyNumberFormat="1" applyFont="1" applyBorder="1" applyAlignment="1">
      <alignment horizontal="left" vertical="center"/>
    </xf>
    <xf numFmtId="176" fontId="10" fillId="0" borderId="2" xfId="0" applyNumberFormat="1" applyFont="1" applyBorder="1" applyAlignment="1">
      <alignment horizontal="left" vertical="center"/>
    </xf>
    <xf numFmtId="178" fontId="10" fillId="0" borderId="1" xfId="0" applyNumberFormat="1" applyFont="1" applyBorder="1" applyAlignment="1">
      <alignment horizontal="center" vertical="center"/>
    </xf>
    <xf numFmtId="176" fontId="10" fillId="0" borderId="1" xfId="0" applyNumberFormat="1" applyFont="1" applyBorder="1" applyAlignment="1">
      <alignment horizontal="center" vertical="center"/>
    </xf>
    <xf numFmtId="176" fontId="10" fillId="0" borderId="19" xfId="0" applyNumberFormat="1" applyFont="1" applyBorder="1" applyAlignment="1">
      <alignment horizontal="left" vertical="center"/>
    </xf>
    <xf numFmtId="176" fontId="10" fillId="0" borderId="3" xfId="0" applyNumberFormat="1" applyFont="1" applyBorder="1" applyAlignment="1">
      <alignment horizontal="left" vertical="center"/>
    </xf>
    <xf numFmtId="176" fontId="0" fillId="0" borderId="3" xfId="0" applyNumberFormat="1" applyFill="1" applyBorder="1">
      <alignment vertical="center"/>
    </xf>
    <xf numFmtId="176" fontId="0" fillId="2" borderId="13" xfId="0" applyNumberFormat="1" applyFill="1" applyBorder="1">
      <alignment vertical="center"/>
    </xf>
    <xf numFmtId="176" fontId="0" fillId="4" borderId="35" xfId="0" applyNumberFormat="1" applyFill="1" applyBorder="1">
      <alignment vertical="center"/>
    </xf>
    <xf numFmtId="176" fontId="0" fillId="4" borderId="6" xfId="0" applyNumberFormat="1" applyFill="1" applyBorder="1">
      <alignment vertical="center"/>
    </xf>
    <xf numFmtId="176" fontId="0" fillId="4" borderId="7" xfId="0" applyNumberFormat="1" applyFill="1" applyBorder="1">
      <alignment vertical="center"/>
    </xf>
    <xf numFmtId="176" fontId="0" fillId="0" borderId="33" xfId="0" applyNumberFormat="1" applyBorder="1">
      <alignment vertical="center"/>
    </xf>
    <xf numFmtId="176" fontId="0" fillId="0" borderId="9" xfId="0" applyNumberFormat="1" applyBorder="1">
      <alignment vertical="center"/>
    </xf>
    <xf numFmtId="176" fontId="0" fillId="0" borderId="1" xfId="0" applyNumberFormat="1" applyFill="1" applyBorder="1">
      <alignment vertical="center"/>
    </xf>
    <xf numFmtId="176" fontId="0" fillId="0" borderId="19" xfId="0" applyNumberFormat="1" applyFill="1" applyBorder="1">
      <alignment vertical="center"/>
    </xf>
    <xf numFmtId="0" fontId="0" fillId="0" borderId="0" xfId="0" applyAlignment="1">
      <alignment horizontal="right" vertical="center"/>
    </xf>
    <xf numFmtId="0" fontId="0" fillId="0" borderId="5" xfId="0" applyBorder="1">
      <alignment vertical="center"/>
    </xf>
    <xf numFmtId="0" fontId="0" fillId="0" borderId="56" xfId="0" applyBorder="1">
      <alignment vertical="center"/>
    </xf>
    <xf numFmtId="176" fontId="0" fillId="0" borderId="55" xfId="0" applyNumberFormat="1" applyFill="1" applyBorder="1">
      <alignment vertical="center"/>
    </xf>
    <xf numFmtId="176" fontId="0" fillId="0" borderId="62" xfId="0" applyNumberFormat="1" applyBorder="1">
      <alignment vertical="center"/>
    </xf>
    <xf numFmtId="176" fontId="0" fillId="0" borderId="7" xfId="0" applyNumberFormat="1" applyFill="1" applyBorder="1">
      <alignment vertical="center"/>
    </xf>
    <xf numFmtId="0" fontId="0" fillId="0" borderId="63" xfId="0" applyBorder="1">
      <alignment vertical="center"/>
    </xf>
    <xf numFmtId="176" fontId="0" fillId="0" borderId="64" xfId="0" applyNumberFormat="1" applyFill="1" applyBorder="1">
      <alignment vertical="center"/>
    </xf>
    <xf numFmtId="176" fontId="0" fillId="2" borderId="1" xfId="0" applyNumberFormat="1" applyFill="1" applyBorder="1" applyAlignment="1">
      <alignment horizontal="center" vertical="center"/>
    </xf>
    <xf numFmtId="176" fontId="5" fillId="0" borderId="1" xfId="1" applyNumberFormat="1" applyBorder="1" applyAlignment="1">
      <alignment horizontal="center" vertical="center"/>
    </xf>
    <xf numFmtId="176" fontId="0" fillId="0" borderId="6" xfId="0" applyNumberFormat="1" applyFill="1" applyBorder="1">
      <alignment vertical="center"/>
    </xf>
    <xf numFmtId="0" fontId="0" fillId="0" borderId="25" xfId="0" applyBorder="1" applyAlignment="1">
      <alignment horizontal="left" vertical="top" wrapText="1"/>
    </xf>
    <xf numFmtId="0" fontId="0" fillId="0" borderId="26" xfId="0" applyBorder="1" applyAlignment="1">
      <alignment horizontal="left" vertical="top" wrapText="1"/>
    </xf>
    <xf numFmtId="0" fontId="0" fillId="0" borderId="27" xfId="0" applyBorder="1" applyAlignment="1">
      <alignment horizontal="left" vertical="top" wrapText="1"/>
    </xf>
    <xf numFmtId="0" fontId="0" fillId="0" borderId="28" xfId="0" applyBorder="1" applyAlignment="1">
      <alignment horizontal="left" vertical="top" wrapText="1"/>
    </xf>
    <xf numFmtId="0" fontId="0" fillId="0" borderId="0" xfId="0" applyBorder="1" applyAlignment="1">
      <alignment horizontal="left" vertical="top"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176" fontId="0" fillId="2" borderId="58" xfId="0" applyNumberFormat="1" applyFill="1" applyBorder="1">
      <alignment vertical="center"/>
    </xf>
    <xf numFmtId="176" fontId="0" fillId="0" borderId="4" xfId="0" applyNumberFormat="1" applyFill="1" applyBorder="1">
      <alignment vertical="center"/>
    </xf>
  </cellXfs>
  <cellStyles count="2">
    <cellStyle name="ハイパーリンク" xfId="1" builtinId="8"/>
    <cellStyle name="標準" xfId="0" builtinId="0"/>
  </cellStyles>
  <dxfs count="4">
    <dxf>
      <fill>
        <patternFill>
          <bgColor rgb="FFFFC7CE"/>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6654533374191314E-2"/>
          <c:y val="0.10781626227854844"/>
          <c:w val="0.80797022910917715"/>
          <c:h val="0.75494544938241315"/>
        </c:manualLayout>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A601-8A40-BDCF-89F60405A3A3}"/>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A601-8A40-BDCF-89F60405A3A3}"/>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A601-8A40-BDCF-89F60405A3A3}"/>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誘導・有効迎角分布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5A50-444F-9B4B-2367D34FF293}"/>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5A50-444F-9B4B-2367D34FF293}"/>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高さ</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70796071842080543"/>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F1E2-5041-9B3A-FF171DA103CA}"/>
            </c:ext>
          </c:extLst>
        </c:ser>
        <c:ser>
          <c:idx val="1"/>
          <c:order val="1"/>
          <c:tx>
            <c:strRef>
              <c:f>'[1]主翼(sht1)'!$AD$41</c:f>
              <c:strCache>
                <c:ptCount val="1"/>
                <c:pt idx="0">
                  <c:v>1G</c:v>
                </c:pt>
              </c:strCache>
            </c:strRef>
          </c:tx>
          <c:spPr>
            <a:ln w="25400" cap="rnd">
              <a:solidFill>
                <a:schemeClr val="accent6"/>
              </a:solidFill>
              <a:round/>
            </a:ln>
            <a:effectLst/>
          </c:spPr>
          <c:marker>
            <c:symbol val="circle"/>
            <c:size val="5"/>
            <c:spPr>
              <a:solidFill>
                <a:schemeClr val="accent6"/>
              </a:solidFill>
              <a:ln w="9525">
                <a:solidFill>
                  <a:schemeClr val="accent6"/>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F1E2-5041-9B3A-FF171DA103C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strRef>
              <c:f>主翼!$AG$41</c:f>
              <c:strCache>
                <c:ptCount val="1"/>
                <c:pt idx="0">
                  <c:v>前縁位置</c:v>
                </c:pt>
              </c:strCache>
            </c:strRef>
          </c:tx>
          <c:spPr>
            <a:ln w="19050" cap="rnd">
              <a:solidFill>
                <a:schemeClr val="accent1"/>
              </a:solidFill>
              <a:round/>
            </a:ln>
            <a:effectLst/>
          </c:spPr>
          <c:marker>
            <c:symbol val="none"/>
          </c:marker>
          <c:xVal>
            <c:numRef>
              <c:f>主翼!$C$54:$C$150</c:f>
              <c:numCache>
                <c:formatCode>0.000_ ;[Red]\-0.000\ </c:formatCode>
                <c:ptCount val="97"/>
                <c:pt idx="0">
                  <c:v>2.6</c:v>
                </c:pt>
                <c:pt idx="1">
                  <c:v>2.8000000000000003</c:v>
                </c:pt>
                <c:pt idx="2">
                  <c:v>3.0000000000000004</c:v>
                </c:pt>
                <c:pt idx="3">
                  <c:v>3.2000000000000006</c:v>
                </c:pt>
                <c:pt idx="4">
                  <c:v>3.4000000000000008</c:v>
                </c:pt>
                <c:pt idx="5">
                  <c:v>3.600000000000001</c:v>
                </c:pt>
                <c:pt idx="6">
                  <c:v>3.8000000000000012</c:v>
                </c:pt>
                <c:pt idx="7">
                  <c:v>4.0000000000000009</c:v>
                </c:pt>
                <c:pt idx="8">
                  <c:v>4.2000000000000011</c:v>
                </c:pt>
                <c:pt idx="9">
                  <c:v>4.4000000000000012</c:v>
                </c:pt>
                <c:pt idx="10">
                  <c:v>4.6000000000000014</c:v>
                </c:pt>
                <c:pt idx="11">
                  <c:v>4.7500000000000018</c:v>
                </c:pt>
                <c:pt idx="12">
                  <c:v>4.9000000000000021</c:v>
                </c:pt>
                <c:pt idx="13">
                  <c:v>5.0500000000000025</c:v>
                </c:pt>
                <c:pt idx="14">
                  <c:v>5.2000000000000028</c:v>
                </c:pt>
                <c:pt idx="15">
                  <c:v>5.400000000000003</c:v>
                </c:pt>
                <c:pt idx="16">
                  <c:v>5.6000000000000032</c:v>
                </c:pt>
                <c:pt idx="17">
                  <c:v>5.8000000000000034</c:v>
                </c:pt>
                <c:pt idx="18">
                  <c:v>6.0000000000000036</c:v>
                </c:pt>
                <c:pt idx="19">
                  <c:v>6.2000000000000037</c:v>
                </c:pt>
                <c:pt idx="20">
                  <c:v>6.4000000000000039</c:v>
                </c:pt>
                <c:pt idx="21">
                  <c:v>6.6000000000000041</c:v>
                </c:pt>
                <c:pt idx="22">
                  <c:v>6.8000000000000043</c:v>
                </c:pt>
                <c:pt idx="23">
                  <c:v>7.0000000000000044</c:v>
                </c:pt>
                <c:pt idx="24">
                  <c:v>7.2000000000000046</c:v>
                </c:pt>
                <c:pt idx="25">
                  <c:v>7.4000000000000048</c:v>
                </c:pt>
                <c:pt idx="26">
                  <c:v>7.600000000000005</c:v>
                </c:pt>
                <c:pt idx="27">
                  <c:v>7.8000000000000052</c:v>
                </c:pt>
                <c:pt idx="28">
                  <c:v>8.0000000000000053</c:v>
                </c:pt>
                <c:pt idx="29">
                  <c:v>8.2000000000000046</c:v>
                </c:pt>
                <c:pt idx="30">
                  <c:v>8.4000000000000039</c:v>
                </c:pt>
                <c:pt idx="31">
                  <c:v>8.6000000000000032</c:v>
                </c:pt>
                <c:pt idx="32">
                  <c:v>8.8000000000000025</c:v>
                </c:pt>
                <c:pt idx="33">
                  <c:v>9.0000000000000018</c:v>
                </c:pt>
                <c:pt idx="34">
                  <c:v>9.2000000000000011</c:v>
                </c:pt>
                <c:pt idx="35">
                  <c:v>9.4</c:v>
                </c:pt>
                <c:pt idx="36">
                  <c:v>9.6</c:v>
                </c:pt>
                <c:pt idx="37">
                  <c:v>9.7999999999999989</c:v>
                </c:pt>
                <c:pt idx="38">
                  <c:v>9.9999999999999982</c:v>
                </c:pt>
                <c:pt idx="39">
                  <c:v>10.199999999999998</c:v>
                </c:pt>
                <c:pt idx="40">
                  <c:v>10.399999999999997</c:v>
                </c:pt>
                <c:pt idx="41">
                  <c:v>10.599999999999996</c:v>
                </c:pt>
                <c:pt idx="42">
                  <c:v>10.799999999999995</c:v>
                </c:pt>
                <c:pt idx="43">
                  <c:v>10.999999999999995</c:v>
                </c:pt>
                <c:pt idx="44">
                  <c:v>11.199999999999994</c:v>
                </c:pt>
                <c:pt idx="45">
                  <c:v>11.399999999999993</c:v>
                </c:pt>
                <c:pt idx="46">
                  <c:v>11.599999999999993</c:v>
                </c:pt>
                <c:pt idx="47">
                  <c:v>11.799999999999992</c:v>
                </c:pt>
                <c:pt idx="48">
                  <c:v>11.999999999999991</c:v>
                </c:pt>
                <c:pt idx="49">
                  <c:v>12.19999999999999</c:v>
                </c:pt>
                <c:pt idx="50">
                  <c:v>12.79999999999999</c:v>
                </c:pt>
              </c:numCache>
            </c:numRef>
          </c:xVal>
          <c:yVal>
            <c:numRef>
              <c:f>主翼!$P$132:$P$150</c:f>
              <c:numCache>
                <c:formatCode>0.000_ ;[Red]\-0.000\ </c:formatCode>
                <c:ptCount val="19"/>
              </c:numCache>
            </c:numRef>
          </c:yVal>
          <c:smooth val="0"/>
          <c:extLst>
            <c:ext xmlns:c16="http://schemas.microsoft.com/office/drawing/2014/chart" uri="{C3380CC4-5D6E-409C-BE32-E72D297353CC}">
              <c16:uniqueId val="{00000000-6747-374A-94B5-4049C31C14AE}"/>
            </c:ext>
          </c:extLst>
        </c:ser>
        <c:ser>
          <c:idx val="3"/>
          <c:order val="1"/>
          <c:tx>
            <c:strRef>
              <c:f>主翼!$AH$41</c:f>
              <c:strCache>
                <c:ptCount val="1"/>
                <c:pt idx="0">
                  <c:v>後縁位置</c:v>
                </c:pt>
              </c:strCache>
            </c:strRef>
          </c:tx>
          <c:spPr>
            <a:ln w="19050" cap="rnd">
              <a:solidFill>
                <a:srgbClr val="0070C0"/>
              </a:solidFill>
              <a:round/>
            </a:ln>
            <a:effectLst/>
          </c:spPr>
          <c:marker>
            <c:symbol val="none"/>
          </c:marker>
          <c:xVal>
            <c:numRef>
              <c:f>主翼!$C$54:$C$150</c:f>
              <c:numCache>
                <c:formatCode>0.000_ ;[Red]\-0.000\ </c:formatCode>
                <c:ptCount val="97"/>
                <c:pt idx="0">
                  <c:v>2.6</c:v>
                </c:pt>
                <c:pt idx="1">
                  <c:v>2.8000000000000003</c:v>
                </c:pt>
                <c:pt idx="2">
                  <c:v>3.0000000000000004</c:v>
                </c:pt>
                <c:pt idx="3">
                  <c:v>3.2000000000000006</c:v>
                </c:pt>
                <c:pt idx="4">
                  <c:v>3.4000000000000008</c:v>
                </c:pt>
                <c:pt idx="5">
                  <c:v>3.600000000000001</c:v>
                </c:pt>
                <c:pt idx="6">
                  <c:v>3.8000000000000012</c:v>
                </c:pt>
                <c:pt idx="7">
                  <c:v>4.0000000000000009</c:v>
                </c:pt>
                <c:pt idx="8">
                  <c:v>4.2000000000000011</c:v>
                </c:pt>
                <c:pt idx="9">
                  <c:v>4.4000000000000012</c:v>
                </c:pt>
                <c:pt idx="10">
                  <c:v>4.6000000000000014</c:v>
                </c:pt>
                <c:pt idx="11">
                  <c:v>4.7500000000000018</c:v>
                </c:pt>
                <c:pt idx="12">
                  <c:v>4.9000000000000021</c:v>
                </c:pt>
                <c:pt idx="13">
                  <c:v>5.0500000000000025</c:v>
                </c:pt>
                <c:pt idx="14">
                  <c:v>5.2000000000000028</c:v>
                </c:pt>
                <c:pt idx="15">
                  <c:v>5.400000000000003</c:v>
                </c:pt>
                <c:pt idx="16">
                  <c:v>5.6000000000000032</c:v>
                </c:pt>
                <c:pt idx="17">
                  <c:v>5.8000000000000034</c:v>
                </c:pt>
                <c:pt idx="18">
                  <c:v>6.0000000000000036</c:v>
                </c:pt>
                <c:pt idx="19">
                  <c:v>6.2000000000000037</c:v>
                </c:pt>
                <c:pt idx="20">
                  <c:v>6.4000000000000039</c:v>
                </c:pt>
                <c:pt idx="21">
                  <c:v>6.6000000000000041</c:v>
                </c:pt>
                <c:pt idx="22">
                  <c:v>6.8000000000000043</c:v>
                </c:pt>
                <c:pt idx="23">
                  <c:v>7.0000000000000044</c:v>
                </c:pt>
                <c:pt idx="24">
                  <c:v>7.2000000000000046</c:v>
                </c:pt>
                <c:pt idx="25">
                  <c:v>7.4000000000000048</c:v>
                </c:pt>
                <c:pt idx="26">
                  <c:v>7.600000000000005</c:v>
                </c:pt>
                <c:pt idx="27">
                  <c:v>7.8000000000000052</c:v>
                </c:pt>
                <c:pt idx="28">
                  <c:v>8.0000000000000053</c:v>
                </c:pt>
                <c:pt idx="29">
                  <c:v>8.2000000000000046</c:v>
                </c:pt>
                <c:pt idx="30">
                  <c:v>8.4000000000000039</c:v>
                </c:pt>
                <c:pt idx="31">
                  <c:v>8.6000000000000032</c:v>
                </c:pt>
                <c:pt idx="32">
                  <c:v>8.8000000000000025</c:v>
                </c:pt>
                <c:pt idx="33">
                  <c:v>9.0000000000000018</c:v>
                </c:pt>
                <c:pt idx="34">
                  <c:v>9.2000000000000011</c:v>
                </c:pt>
                <c:pt idx="35">
                  <c:v>9.4</c:v>
                </c:pt>
                <c:pt idx="36">
                  <c:v>9.6</c:v>
                </c:pt>
                <c:pt idx="37">
                  <c:v>9.7999999999999989</c:v>
                </c:pt>
                <c:pt idx="38">
                  <c:v>9.9999999999999982</c:v>
                </c:pt>
                <c:pt idx="39">
                  <c:v>10.199999999999998</c:v>
                </c:pt>
                <c:pt idx="40">
                  <c:v>10.399999999999997</c:v>
                </c:pt>
                <c:pt idx="41">
                  <c:v>10.599999999999996</c:v>
                </c:pt>
                <c:pt idx="42">
                  <c:v>10.799999999999995</c:v>
                </c:pt>
                <c:pt idx="43">
                  <c:v>10.999999999999995</c:v>
                </c:pt>
                <c:pt idx="44">
                  <c:v>11.199999999999994</c:v>
                </c:pt>
                <c:pt idx="45">
                  <c:v>11.399999999999993</c:v>
                </c:pt>
                <c:pt idx="46">
                  <c:v>11.599999999999993</c:v>
                </c:pt>
                <c:pt idx="47">
                  <c:v>11.799999999999992</c:v>
                </c:pt>
                <c:pt idx="48">
                  <c:v>11.999999999999991</c:v>
                </c:pt>
                <c:pt idx="49">
                  <c:v>12.19999999999999</c:v>
                </c:pt>
                <c:pt idx="50">
                  <c:v>12.79999999999999</c:v>
                </c:pt>
              </c:numCache>
            </c:numRef>
          </c:xVal>
          <c:yVal>
            <c:numRef>
              <c:f>主翼!$Q$132:$Q$150</c:f>
              <c:numCache>
                <c:formatCode>0.000_ ;[Red]\-0.000\ </c:formatCode>
                <c:ptCount val="19"/>
              </c:numCache>
            </c:numRef>
          </c:yVal>
          <c:smooth val="0"/>
          <c:extLst>
            <c:ext xmlns:c16="http://schemas.microsoft.com/office/drawing/2014/chart" uri="{C3380CC4-5D6E-409C-BE32-E72D297353CC}">
              <c16:uniqueId val="{00000001-6747-374A-94B5-4049C31C14AE}"/>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a:t>
            </a:r>
            <a:r>
              <a:rPr lang="ja-JP" altLang="en-US"/>
              <a:t>・</a:t>
            </a:r>
            <a:r>
              <a:rPr lang="en-US" altLang="ja-JP"/>
              <a:t>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5C3C-B14A-9B6C-82482586781E}"/>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5C3C-B14A-9B6C-82482586781E}"/>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0425-B849-86FD-E6782687904E}"/>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0425-B849-86FD-E6782687904E}"/>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0425-B849-86FD-E6782687904E}"/>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誘導迎角分布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E634-844E-995F-B447BF3454BA}"/>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E634-844E-995F-B447BF3454B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高さ</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58204813837084468"/>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2B77-9342-89FF-2182CBE00268}"/>
            </c:ext>
          </c:extLst>
        </c:ser>
        <c:ser>
          <c:idx val="1"/>
          <c:order val="1"/>
          <c:tx>
            <c:strRef>
              <c:f>'[1]主翼(sht1)'!$AD$41</c:f>
              <c:strCache>
                <c:ptCount val="1"/>
                <c:pt idx="0">
                  <c:v>1G</c:v>
                </c:pt>
              </c:strCache>
            </c:strRef>
          </c:tx>
          <c:spPr>
            <a:ln w="25400" cap="rnd">
              <a:solidFill>
                <a:schemeClr val="accent6"/>
              </a:solidFill>
              <a:round/>
            </a:ln>
            <a:effectLst/>
          </c:spPr>
          <c:marker>
            <c:symbol val="circle"/>
            <c:size val="5"/>
            <c:spPr>
              <a:solidFill>
                <a:schemeClr val="accent6"/>
              </a:solidFill>
              <a:ln w="9525">
                <a:solidFill>
                  <a:schemeClr val="accent6"/>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2B77-9342-89FF-2182CBE00268}"/>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'[1]主翼(sht1)'!$Q$42:$Q$44</c:f>
              <c:strCache>
                <c:ptCount val="1"/>
                <c:pt idx="0">
                  <c:v>前縁位置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'[1]主翼(sht1)'!$Q$45:$Q$107</c:f>
              <c:numCache>
                <c:formatCode>General</c:formatCode>
                <c:ptCount val="63"/>
                <c:pt idx="0">
                  <c:v>0.32550000000000001</c:v>
                </c:pt>
                <c:pt idx="1">
                  <c:v>0.32550000000000001</c:v>
                </c:pt>
                <c:pt idx="2">
                  <c:v>0.32550000000000001</c:v>
                </c:pt>
                <c:pt idx="3">
                  <c:v>0.32550000000000001</c:v>
                </c:pt>
                <c:pt idx="4">
                  <c:v>0.32550000000000001</c:v>
                </c:pt>
                <c:pt idx="5">
                  <c:v>0.32550000000000001</c:v>
                </c:pt>
                <c:pt idx="6">
                  <c:v>0.32550000000000001</c:v>
                </c:pt>
                <c:pt idx="7">
                  <c:v>0.32550000000000001</c:v>
                </c:pt>
                <c:pt idx="8">
                  <c:v>0.32550000000000001</c:v>
                </c:pt>
                <c:pt idx="9">
                  <c:v>0.32258333333333328</c:v>
                </c:pt>
                <c:pt idx="10">
                  <c:v>0.31966666666666665</c:v>
                </c:pt>
                <c:pt idx="11">
                  <c:v>0.31674999999999998</c:v>
                </c:pt>
                <c:pt idx="12">
                  <c:v>0.31383333333333335</c:v>
                </c:pt>
                <c:pt idx="13">
                  <c:v>0.31091666666666662</c:v>
                </c:pt>
                <c:pt idx="14">
                  <c:v>0.308</c:v>
                </c:pt>
                <c:pt idx="15">
                  <c:v>0.30508333333333332</c:v>
                </c:pt>
                <c:pt idx="16">
                  <c:v>0.30216666666666664</c:v>
                </c:pt>
                <c:pt idx="17">
                  <c:v>0.29924999999999996</c:v>
                </c:pt>
                <c:pt idx="18">
                  <c:v>0.29633333333333334</c:v>
                </c:pt>
                <c:pt idx="19">
                  <c:v>0.29341666666666666</c:v>
                </c:pt>
                <c:pt idx="20">
                  <c:v>0.29049999999999998</c:v>
                </c:pt>
                <c:pt idx="21">
                  <c:v>0.2875833333333333</c:v>
                </c:pt>
                <c:pt idx="22">
                  <c:v>0.28466666666666668</c:v>
                </c:pt>
                <c:pt idx="23">
                  <c:v>0.28174999999999994</c:v>
                </c:pt>
                <c:pt idx="24">
                  <c:v>0.27883333333333332</c:v>
                </c:pt>
                <c:pt idx="25">
                  <c:v>0.27591666666666664</c:v>
                </c:pt>
                <c:pt idx="26">
                  <c:v>0.27299999999999996</c:v>
                </c:pt>
                <c:pt idx="27">
                  <c:v>0.26949999999999996</c:v>
                </c:pt>
                <c:pt idx="28">
                  <c:v>0.26599999999999996</c:v>
                </c:pt>
                <c:pt idx="29">
                  <c:v>0.26249999999999996</c:v>
                </c:pt>
                <c:pt idx="30">
                  <c:v>0.25900000000000001</c:v>
                </c:pt>
                <c:pt idx="31">
                  <c:v>0.2555</c:v>
                </c:pt>
                <c:pt idx="32">
                  <c:v>0.252</c:v>
                </c:pt>
                <c:pt idx="33">
                  <c:v>0.24849999999999997</c:v>
                </c:pt>
                <c:pt idx="34">
                  <c:v>0.24499999999999997</c:v>
                </c:pt>
                <c:pt idx="35">
                  <c:v>0.24149999999999999</c:v>
                </c:pt>
                <c:pt idx="36">
                  <c:v>0.23799999999999996</c:v>
                </c:pt>
                <c:pt idx="37">
                  <c:v>0.23449999999999996</c:v>
                </c:pt>
                <c:pt idx="38">
                  <c:v>0.23099999999999996</c:v>
                </c:pt>
                <c:pt idx="39">
                  <c:v>0.22749999999999995</c:v>
                </c:pt>
                <c:pt idx="40">
                  <c:v>0.22399999999999995</c:v>
                </c:pt>
                <c:pt idx="41">
                  <c:v>0.22049999999999995</c:v>
                </c:pt>
                <c:pt idx="42">
                  <c:v>0.21699999999999994</c:v>
                </c:pt>
                <c:pt idx="43">
                  <c:v>0.21349999999999994</c:v>
                </c:pt>
                <c:pt idx="44">
                  <c:v>0.21063636363636359</c:v>
                </c:pt>
                <c:pt idx="45">
                  <c:v>0.20777272727272722</c:v>
                </c:pt>
                <c:pt idx="46">
                  <c:v>0.20490909090909085</c:v>
                </c:pt>
                <c:pt idx="47">
                  <c:v>0.2020454545454545</c:v>
                </c:pt>
                <c:pt idx="48">
                  <c:v>0.19918181818181813</c:v>
                </c:pt>
                <c:pt idx="49">
                  <c:v>0.19631818181818178</c:v>
                </c:pt>
                <c:pt idx="50">
                  <c:v>0.19345454545454543</c:v>
                </c:pt>
                <c:pt idx="51">
                  <c:v>0.19059090909090903</c:v>
                </c:pt>
                <c:pt idx="52">
                  <c:v>0.18772727272727271</c:v>
                </c:pt>
                <c:pt idx="53">
                  <c:v>0.18486363636363631</c:v>
                </c:pt>
                <c:pt idx="54">
                  <c:v>0.182</c:v>
                </c:pt>
                <c:pt idx="55">
                  <c:v>0.175875</c:v>
                </c:pt>
                <c:pt idx="56">
                  <c:v>0.16974999999999998</c:v>
                </c:pt>
                <c:pt idx="57">
                  <c:v>0.16362499999999999</c:v>
                </c:pt>
                <c:pt idx="58">
                  <c:v>0.15749999999999997</c:v>
                </c:pt>
                <c:pt idx="59">
                  <c:v>0.15137499999999995</c:v>
                </c:pt>
                <c:pt idx="60">
                  <c:v>0.14524999999999999</c:v>
                </c:pt>
                <c:pt idx="61">
                  <c:v>0.13912499999999997</c:v>
                </c:pt>
                <c:pt idx="62">
                  <c:v>0.13299999999999995</c:v>
                </c:pt>
              </c:numCache>
            </c:numRef>
          </c:yVal>
          <c:smooth val="0"/>
          <c:extLst>
            <c:ext xmlns:c16="http://schemas.microsoft.com/office/drawing/2014/chart" uri="{C3380CC4-5D6E-409C-BE32-E72D297353CC}">
              <c16:uniqueId val="{00000000-2879-8C4A-97C4-0E6760A393E0}"/>
            </c:ext>
          </c:extLst>
        </c:ser>
        <c:ser>
          <c:idx val="3"/>
          <c:order val="1"/>
          <c:tx>
            <c:strRef>
              <c:f>'[1]主翼(sht1)'!$R$42:$R$44</c:f>
              <c:strCache>
                <c:ptCount val="1"/>
                <c:pt idx="0">
                  <c:v>後縁位置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'[1]主翼(sht1)'!$R$45:$R$107</c:f>
              <c:numCache>
                <c:formatCode>General</c:formatCode>
                <c:ptCount val="63"/>
                <c:pt idx="0">
                  <c:v>-0.60450000000000004</c:v>
                </c:pt>
                <c:pt idx="1">
                  <c:v>-0.60450000000000004</c:v>
                </c:pt>
                <c:pt idx="2">
                  <c:v>-0.60450000000000004</c:v>
                </c:pt>
                <c:pt idx="3">
                  <c:v>-0.60450000000000004</c:v>
                </c:pt>
                <c:pt idx="4">
                  <c:v>-0.60450000000000004</c:v>
                </c:pt>
                <c:pt idx="5">
                  <c:v>-0.60450000000000004</c:v>
                </c:pt>
                <c:pt idx="6">
                  <c:v>-0.60450000000000004</c:v>
                </c:pt>
                <c:pt idx="7">
                  <c:v>-0.60450000000000004</c:v>
                </c:pt>
                <c:pt idx="8">
                  <c:v>-0.60450000000000004</c:v>
                </c:pt>
                <c:pt idx="9">
                  <c:v>-0.59908333333333341</c:v>
                </c:pt>
                <c:pt idx="10">
                  <c:v>-0.59366666666666668</c:v>
                </c:pt>
                <c:pt idx="11">
                  <c:v>-0.58825000000000005</c:v>
                </c:pt>
                <c:pt idx="12">
                  <c:v>-0.58283333333333331</c:v>
                </c:pt>
                <c:pt idx="13">
                  <c:v>-0.57741666666666669</c:v>
                </c:pt>
                <c:pt idx="14">
                  <c:v>-0.57200000000000006</c:v>
                </c:pt>
                <c:pt idx="15">
                  <c:v>-0.56658333333333344</c:v>
                </c:pt>
                <c:pt idx="16">
                  <c:v>-0.56116666666666659</c:v>
                </c:pt>
                <c:pt idx="17">
                  <c:v>-0.55574999999999997</c:v>
                </c:pt>
                <c:pt idx="18">
                  <c:v>-0.55033333333333334</c:v>
                </c:pt>
                <c:pt idx="19">
                  <c:v>-0.54491666666666672</c:v>
                </c:pt>
                <c:pt idx="20">
                  <c:v>-0.53950000000000009</c:v>
                </c:pt>
                <c:pt idx="21">
                  <c:v>-0.53408333333333335</c:v>
                </c:pt>
                <c:pt idx="22">
                  <c:v>-0.52866666666666662</c:v>
                </c:pt>
                <c:pt idx="23">
                  <c:v>-0.52324999999999999</c:v>
                </c:pt>
                <c:pt idx="24">
                  <c:v>-0.51783333333333337</c:v>
                </c:pt>
                <c:pt idx="25">
                  <c:v>-0.51241666666666674</c:v>
                </c:pt>
                <c:pt idx="26">
                  <c:v>-0.50700000000000012</c:v>
                </c:pt>
                <c:pt idx="27">
                  <c:v>-0.50050000000000006</c:v>
                </c:pt>
                <c:pt idx="28">
                  <c:v>-0.49400000000000005</c:v>
                </c:pt>
                <c:pt idx="29">
                  <c:v>-0.48750000000000004</c:v>
                </c:pt>
                <c:pt idx="30">
                  <c:v>-0.48099999999999998</c:v>
                </c:pt>
                <c:pt idx="31">
                  <c:v>-0.47449999999999998</c:v>
                </c:pt>
                <c:pt idx="32">
                  <c:v>-0.46799999999999997</c:v>
                </c:pt>
                <c:pt idx="33">
                  <c:v>-0.46150000000000002</c:v>
                </c:pt>
                <c:pt idx="34">
                  <c:v>-0.45499999999999996</c:v>
                </c:pt>
                <c:pt idx="35">
                  <c:v>-0.44850000000000007</c:v>
                </c:pt>
                <c:pt idx="36">
                  <c:v>-0.44199999999999995</c:v>
                </c:pt>
                <c:pt idx="37">
                  <c:v>-0.4355</c:v>
                </c:pt>
                <c:pt idx="38">
                  <c:v>-0.42899999999999994</c:v>
                </c:pt>
                <c:pt idx="39">
                  <c:v>-0.42249999999999999</c:v>
                </c:pt>
                <c:pt idx="40">
                  <c:v>-0.41599999999999993</c:v>
                </c:pt>
                <c:pt idx="41">
                  <c:v>-0.40949999999999998</c:v>
                </c:pt>
                <c:pt idx="42">
                  <c:v>-0.40299999999999991</c:v>
                </c:pt>
                <c:pt idx="43">
                  <c:v>-0.39649999999999996</c:v>
                </c:pt>
                <c:pt idx="44">
                  <c:v>-0.39118181818181808</c:v>
                </c:pt>
                <c:pt idx="45">
                  <c:v>-0.3858636363636363</c:v>
                </c:pt>
                <c:pt idx="46">
                  <c:v>-0.38054545454545452</c:v>
                </c:pt>
                <c:pt idx="47">
                  <c:v>-0.37522727272727263</c:v>
                </c:pt>
                <c:pt idx="48">
                  <c:v>-0.36990909090909085</c:v>
                </c:pt>
                <c:pt idx="49">
                  <c:v>-0.36459090909090902</c:v>
                </c:pt>
                <c:pt idx="50">
                  <c:v>-0.3592727272727273</c:v>
                </c:pt>
                <c:pt idx="51">
                  <c:v>-0.35395454545454541</c:v>
                </c:pt>
                <c:pt idx="52">
                  <c:v>-0.34863636363636363</c:v>
                </c:pt>
                <c:pt idx="53">
                  <c:v>-0.34331818181818174</c:v>
                </c:pt>
                <c:pt idx="54">
                  <c:v>-0.33800000000000002</c:v>
                </c:pt>
                <c:pt idx="55">
                  <c:v>-0.32662500000000005</c:v>
                </c:pt>
                <c:pt idx="56">
                  <c:v>-0.31525000000000003</c:v>
                </c:pt>
                <c:pt idx="57">
                  <c:v>-0.30387500000000001</c:v>
                </c:pt>
                <c:pt idx="58">
                  <c:v>-0.29249999999999998</c:v>
                </c:pt>
                <c:pt idx="59">
                  <c:v>-0.28112499999999996</c:v>
                </c:pt>
                <c:pt idx="60">
                  <c:v>-0.26975000000000005</c:v>
                </c:pt>
                <c:pt idx="61">
                  <c:v>-0.25837500000000002</c:v>
                </c:pt>
                <c:pt idx="62">
                  <c:v>-0.24699999999999994</c:v>
                </c:pt>
              </c:numCache>
            </c:numRef>
          </c:yVal>
          <c:smooth val="0"/>
          <c:extLst>
            <c:ext xmlns:c16="http://schemas.microsoft.com/office/drawing/2014/chart" uri="{C3380CC4-5D6E-409C-BE32-E72D297353CC}">
              <c16:uniqueId val="{00000001-2879-8C4A-97C4-0E6760A393E0}"/>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0335-7F41-815D-01A2AFC03B27}"/>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0335-7F41-815D-01A2AFC03B27}"/>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垂直尾翼平面形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5.3727582404098521E-2"/>
          <c:y val="9.9527086598657694E-2"/>
          <c:w val="0.82033917814526336"/>
          <c:h val="0.79871533132268147"/>
        </c:manualLayout>
      </c:layout>
      <c:scatterChart>
        <c:scatterStyle val="lineMarker"/>
        <c:varyColors val="0"/>
        <c:ser>
          <c:idx val="0"/>
          <c:order val="0"/>
          <c:tx>
            <c:strRef>
              <c:f>'[1]垂直尾翼(sht4)'!$N$42:$N$44</c:f>
              <c:strCache>
                <c:ptCount val="1"/>
                <c:pt idx="0">
                  <c:v>前縁位置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'[1]垂直尾翼(sht4)'!$Q$45:$Q$130</c:f>
              <c:numCache>
                <c:formatCode>General</c:formatCode>
                <c:ptCount val="86"/>
                <c:pt idx="0">
                  <c:v>0.27075000000000005</c:v>
                </c:pt>
                <c:pt idx="1">
                  <c:v>0.27063598615916951</c:v>
                </c:pt>
                <c:pt idx="2">
                  <c:v>0.27051747404844295</c:v>
                </c:pt>
                <c:pt idx="3">
                  <c:v>0.27039446366782005</c:v>
                </c:pt>
                <c:pt idx="4">
                  <c:v>0.27026695501730108</c:v>
                </c:pt>
                <c:pt idx="5">
                  <c:v>0.27013494809688582</c:v>
                </c:pt>
                <c:pt idx="6">
                  <c:v>0.26999844290657443</c:v>
                </c:pt>
                <c:pt idx="7">
                  <c:v>0.26985743944636675</c:v>
                </c:pt>
                <c:pt idx="8">
                  <c:v>0.26971193771626301</c:v>
                </c:pt>
                <c:pt idx="9">
                  <c:v>0.26956193771626297</c:v>
                </c:pt>
                <c:pt idx="10">
                  <c:v>0.2694074394463668</c:v>
                </c:pt>
                <c:pt idx="11">
                  <c:v>0.2692484429065744</c:v>
                </c:pt>
                <c:pt idx="12">
                  <c:v>0.26908494809688588</c:v>
                </c:pt>
                <c:pt idx="13">
                  <c:v>0.26891695501730106</c:v>
                </c:pt>
                <c:pt idx="14">
                  <c:v>0.26874446366782007</c:v>
                </c:pt>
                <c:pt idx="15">
                  <c:v>0.26856747404844294</c:v>
                </c:pt>
                <c:pt idx="16">
                  <c:v>0.26838598615916953</c:v>
                </c:pt>
                <c:pt idx="17">
                  <c:v>0.26819999999999999</c:v>
                </c:pt>
                <c:pt idx="18">
                  <c:v>0.26800951557093422</c:v>
                </c:pt>
                <c:pt idx="19">
                  <c:v>0.26781453287197232</c:v>
                </c:pt>
                <c:pt idx="20">
                  <c:v>0.26761505190311419</c:v>
                </c:pt>
                <c:pt idx="21">
                  <c:v>0.26741107266435987</c:v>
                </c:pt>
                <c:pt idx="22">
                  <c:v>0.26720259515570932</c:v>
                </c:pt>
                <c:pt idx="23">
                  <c:v>0.2669896193771627</c:v>
                </c:pt>
                <c:pt idx="24">
                  <c:v>0.26677214532871973</c:v>
                </c:pt>
                <c:pt idx="25">
                  <c:v>0.26655017301038059</c:v>
                </c:pt>
                <c:pt idx="26">
                  <c:v>0.26632370242214537</c:v>
                </c:pt>
                <c:pt idx="27">
                  <c:v>0.26609273356401381</c:v>
                </c:pt>
                <c:pt idx="28">
                  <c:v>0.26585726643598617</c:v>
                </c:pt>
                <c:pt idx="29">
                  <c:v>0.26561730103806225</c:v>
                </c:pt>
                <c:pt idx="30">
                  <c:v>0.26537283737024225</c:v>
                </c:pt>
                <c:pt idx="31">
                  <c:v>0.26512387543252591</c:v>
                </c:pt>
                <c:pt idx="32">
                  <c:v>0.26487041522491356</c:v>
                </c:pt>
                <c:pt idx="33">
                  <c:v>0.2646124567474048</c:v>
                </c:pt>
                <c:pt idx="34">
                  <c:v>0.26435000000000003</c:v>
                </c:pt>
                <c:pt idx="35">
                  <c:v>0.26408304498269897</c:v>
                </c:pt>
                <c:pt idx="36">
                  <c:v>0.26381159169550178</c:v>
                </c:pt>
                <c:pt idx="37">
                  <c:v>0.2635356401384083</c:v>
                </c:pt>
                <c:pt idx="38">
                  <c:v>0.26325519031141864</c:v>
                </c:pt>
                <c:pt idx="39">
                  <c:v>0.26297024221453286</c:v>
                </c:pt>
                <c:pt idx="40">
                  <c:v>0.26268079584775084</c:v>
                </c:pt>
                <c:pt idx="41">
                  <c:v>0.26238685121107269</c:v>
                </c:pt>
                <c:pt idx="42">
                  <c:v>0.2620884083044982</c:v>
                </c:pt>
                <c:pt idx="43">
                  <c:v>0.26178546712802769</c:v>
                </c:pt>
                <c:pt idx="44">
                  <c:v>0.26147802768166084</c:v>
                </c:pt>
                <c:pt idx="45">
                  <c:v>0.26116608996539797</c:v>
                </c:pt>
                <c:pt idx="46">
                  <c:v>0.26084965397923876</c:v>
                </c:pt>
                <c:pt idx="47">
                  <c:v>0.26052871972318342</c:v>
                </c:pt>
                <c:pt idx="48">
                  <c:v>0.26020328719723185</c:v>
                </c:pt>
                <c:pt idx="49">
                  <c:v>0.25987335640138398</c:v>
                </c:pt>
                <c:pt idx="50">
                  <c:v>0.2595389273356401</c:v>
                </c:pt>
                <c:pt idx="51">
                  <c:v>0.25919999999999993</c:v>
                </c:pt>
                <c:pt idx="52">
                  <c:v>0.25885657439446369</c:v>
                </c:pt>
                <c:pt idx="53">
                  <c:v>0.2585086505190311</c:v>
                </c:pt>
                <c:pt idx="54">
                  <c:v>0.25815622837370245</c:v>
                </c:pt>
                <c:pt idx="55">
                  <c:v>0.2577993079584775</c:v>
                </c:pt>
                <c:pt idx="56">
                  <c:v>0.25743788927335637</c:v>
                </c:pt>
                <c:pt idx="57">
                  <c:v>0.25707197231833906</c:v>
                </c:pt>
                <c:pt idx="58">
                  <c:v>0.25670155709342557</c:v>
                </c:pt>
                <c:pt idx="59">
                  <c:v>0.2563266435986159</c:v>
                </c:pt>
                <c:pt idx="60">
                  <c:v>0.25594723183391005</c:v>
                </c:pt>
                <c:pt idx="61">
                  <c:v>0.25556332179930791</c:v>
                </c:pt>
                <c:pt idx="62">
                  <c:v>0.25517491349480964</c:v>
                </c:pt>
                <c:pt idx="63">
                  <c:v>0.25478200692041519</c:v>
                </c:pt>
                <c:pt idx="64">
                  <c:v>0.25438460207612451</c:v>
                </c:pt>
                <c:pt idx="65">
                  <c:v>0.2539826989619377</c:v>
                </c:pt>
                <c:pt idx="66">
                  <c:v>0.25357629757785466</c:v>
                </c:pt>
                <c:pt idx="67">
                  <c:v>0.25316539792387543</c:v>
                </c:pt>
                <c:pt idx="68">
                  <c:v>0.25274999999999997</c:v>
                </c:pt>
                <c:pt idx="69">
                  <c:v>0.25233010380622839</c:v>
                </c:pt>
                <c:pt idx="70">
                  <c:v>0.25190570934256051</c:v>
                </c:pt>
                <c:pt idx="71">
                  <c:v>0.25147681660899657</c:v>
                </c:pt>
                <c:pt idx="72">
                  <c:v>0.25104342560553627</c:v>
                </c:pt>
                <c:pt idx="73">
                  <c:v>0.25060553633217986</c:v>
                </c:pt>
                <c:pt idx="74">
                  <c:v>0.25016314878892731</c:v>
                </c:pt>
                <c:pt idx="75">
                  <c:v>0.24971626297577851</c:v>
                </c:pt>
                <c:pt idx="76">
                  <c:v>0.24926487889273358</c:v>
                </c:pt>
                <c:pt idx="77">
                  <c:v>0.24880899653979235</c:v>
                </c:pt>
                <c:pt idx="78">
                  <c:v>0.24834861591695501</c:v>
                </c:pt>
                <c:pt idx="79">
                  <c:v>0.24788373702422137</c:v>
                </c:pt>
                <c:pt idx="80">
                  <c:v>0.24741435986159169</c:v>
                </c:pt>
                <c:pt idx="81">
                  <c:v>0.24694048442906569</c:v>
                </c:pt>
                <c:pt idx="82">
                  <c:v>0.24646211072664359</c:v>
                </c:pt>
                <c:pt idx="83">
                  <c:v>0.2459792387543252</c:v>
                </c:pt>
                <c:pt idx="84">
                  <c:v>0.24549186851211074</c:v>
                </c:pt>
                <c:pt idx="85">
                  <c:v>0.245</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0-1E83-534D-A991-3BDC4505DEB9}"/>
            </c:ext>
          </c:extLst>
        </c:ser>
        <c:ser>
          <c:idx val="3"/>
          <c:order val="1"/>
          <c:tx>
            <c:strRef>
              <c:f>'[1]垂直尾翼(sht4)'!$R$42:$R$44</c:f>
              <c:strCache>
                <c:ptCount val="1"/>
                <c:pt idx="0">
                  <c:v>後縁位置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'[1]垂直尾翼(sht4)'!$R$45:$R$130</c:f>
              <c:numCache>
                <c:formatCode>General</c:formatCode>
                <c:ptCount val="86"/>
                <c:pt idx="0">
                  <c:v>-0.67924999999999991</c:v>
                </c:pt>
                <c:pt idx="1">
                  <c:v>-0.67642283737024222</c:v>
                </c:pt>
                <c:pt idx="2">
                  <c:v>-0.67360017301038055</c:v>
                </c:pt>
                <c:pt idx="3">
                  <c:v>-0.67078200692041523</c:v>
                </c:pt>
                <c:pt idx="4">
                  <c:v>-0.66796833910034592</c:v>
                </c:pt>
                <c:pt idx="5">
                  <c:v>-0.66515916955017307</c:v>
                </c:pt>
                <c:pt idx="6">
                  <c:v>-0.66235449826989612</c:v>
                </c:pt>
                <c:pt idx="7">
                  <c:v>-0.65955432525951552</c:v>
                </c:pt>
                <c:pt idx="8">
                  <c:v>-0.65675865051903104</c:v>
                </c:pt>
                <c:pt idx="9">
                  <c:v>-0.65396747404844291</c:v>
                </c:pt>
                <c:pt idx="10">
                  <c:v>-0.65118079584775079</c:v>
                </c:pt>
                <c:pt idx="11">
                  <c:v>-0.64839861591695502</c:v>
                </c:pt>
                <c:pt idx="12">
                  <c:v>-0.64562093425605527</c:v>
                </c:pt>
                <c:pt idx="13">
                  <c:v>-0.64284775086505186</c:v>
                </c:pt>
                <c:pt idx="14">
                  <c:v>-0.64007906574394458</c:v>
                </c:pt>
                <c:pt idx="15">
                  <c:v>-0.63731487889273353</c:v>
                </c:pt>
                <c:pt idx="16">
                  <c:v>-0.6345551903114186</c:v>
                </c:pt>
                <c:pt idx="17">
                  <c:v>-0.63179999999999992</c:v>
                </c:pt>
                <c:pt idx="18">
                  <c:v>-0.62904930795847747</c:v>
                </c:pt>
                <c:pt idx="19">
                  <c:v>-0.62630311418685114</c:v>
                </c:pt>
                <c:pt idx="20">
                  <c:v>-0.62356141868512105</c:v>
                </c:pt>
                <c:pt idx="21">
                  <c:v>-0.62082422145328708</c:v>
                </c:pt>
                <c:pt idx="22">
                  <c:v>-0.61809152249134947</c:v>
                </c:pt>
                <c:pt idx="23">
                  <c:v>-0.61536332179930786</c:v>
                </c:pt>
                <c:pt idx="24">
                  <c:v>-0.6126396193771626</c:v>
                </c:pt>
                <c:pt idx="25">
                  <c:v>-0.60992041522491358</c:v>
                </c:pt>
                <c:pt idx="26">
                  <c:v>-0.60720570934256046</c:v>
                </c:pt>
                <c:pt idx="27">
                  <c:v>-0.60449550173010369</c:v>
                </c:pt>
                <c:pt idx="28">
                  <c:v>-0.60178979238754315</c:v>
                </c:pt>
                <c:pt idx="29">
                  <c:v>-0.59908858131487885</c:v>
                </c:pt>
                <c:pt idx="30">
                  <c:v>-0.59639186851211057</c:v>
                </c:pt>
                <c:pt idx="31">
                  <c:v>-0.59369965397923874</c:v>
                </c:pt>
                <c:pt idx="32">
                  <c:v>-0.59101193771626281</c:v>
                </c:pt>
                <c:pt idx="33">
                  <c:v>-0.58832871972318346</c:v>
                </c:pt>
                <c:pt idx="34">
                  <c:v>-0.58565</c:v>
                </c:pt>
                <c:pt idx="35">
                  <c:v>-0.58297577854671279</c:v>
                </c:pt>
                <c:pt idx="36">
                  <c:v>-0.58030605536332169</c:v>
                </c:pt>
                <c:pt idx="37">
                  <c:v>-0.57764083044982684</c:v>
                </c:pt>
                <c:pt idx="38">
                  <c:v>-0.57498010380622833</c:v>
                </c:pt>
                <c:pt idx="39">
                  <c:v>-0.57232387543252594</c:v>
                </c:pt>
                <c:pt idx="40">
                  <c:v>-0.56967214532871968</c:v>
                </c:pt>
                <c:pt idx="41">
                  <c:v>-0.56702491349480955</c:v>
                </c:pt>
                <c:pt idx="42">
                  <c:v>-0.56438217993079587</c:v>
                </c:pt>
                <c:pt idx="43">
                  <c:v>-0.56174394463667809</c:v>
                </c:pt>
                <c:pt idx="44">
                  <c:v>-0.55911020761245678</c:v>
                </c:pt>
                <c:pt idx="45">
                  <c:v>-0.55648096885813136</c:v>
                </c:pt>
                <c:pt idx="46">
                  <c:v>-0.55385622837370241</c:v>
                </c:pt>
                <c:pt idx="47">
                  <c:v>-0.55123598615916958</c:v>
                </c:pt>
                <c:pt idx="48">
                  <c:v>-0.54862024221453287</c:v>
                </c:pt>
                <c:pt idx="49">
                  <c:v>-0.5460089965397924</c:v>
                </c:pt>
                <c:pt idx="50">
                  <c:v>-0.54340224913494806</c:v>
                </c:pt>
                <c:pt idx="51">
                  <c:v>-0.54079999999999995</c:v>
                </c:pt>
                <c:pt idx="52">
                  <c:v>-0.53820224913494807</c:v>
                </c:pt>
                <c:pt idx="53">
                  <c:v>-0.53560899653979233</c:v>
                </c:pt>
                <c:pt idx="54">
                  <c:v>-0.53302024221453281</c:v>
                </c:pt>
                <c:pt idx="55">
                  <c:v>-0.53043598615916954</c:v>
                </c:pt>
                <c:pt idx="56">
                  <c:v>-0.52785622837370227</c:v>
                </c:pt>
                <c:pt idx="57">
                  <c:v>-0.52528096885813147</c:v>
                </c:pt>
                <c:pt idx="58">
                  <c:v>-0.52271020761245668</c:v>
                </c:pt>
                <c:pt idx="59">
                  <c:v>-0.52014394463667812</c:v>
                </c:pt>
                <c:pt idx="60">
                  <c:v>-0.5175821799307958</c:v>
                </c:pt>
                <c:pt idx="61">
                  <c:v>-0.51502491349480972</c:v>
                </c:pt>
                <c:pt idx="62">
                  <c:v>-0.51247214532871976</c:v>
                </c:pt>
                <c:pt idx="63">
                  <c:v>-0.50992387543252593</c:v>
                </c:pt>
                <c:pt idx="64">
                  <c:v>-0.50738010380622844</c:v>
                </c:pt>
                <c:pt idx="65">
                  <c:v>-0.50484083044982697</c:v>
                </c:pt>
                <c:pt idx="66">
                  <c:v>-0.50230605536332185</c:v>
                </c:pt>
                <c:pt idx="67">
                  <c:v>-0.49977577854671279</c:v>
                </c:pt>
                <c:pt idx="68">
                  <c:v>-0.49725000000000003</c:v>
                </c:pt>
                <c:pt idx="69">
                  <c:v>-0.49472871972318327</c:v>
                </c:pt>
                <c:pt idx="70">
                  <c:v>-0.49221193771626293</c:v>
                </c:pt>
                <c:pt idx="71">
                  <c:v>-0.48969965397923865</c:v>
                </c:pt>
                <c:pt idx="72">
                  <c:v>-0.48719186851211072</c:v>
                </c:pt>
                <c:pt idx="73">
                  <c:v>-0.48468858131487891</c:v>
                </c:pt>
                <c:pt idx="74">
                  <c:v>-0.48218979238754323</c:v>
                </c:pt>
                <c:pt idx="75">
                  <c:v>-0.47969550173010378</c:v>
                </c:pt>
                <c:pt idx="76">
                  <c:v>-0.47720570934256051</c:v>
                </c:pt>
                <c:pt idx="77">
                  <c:v>-0.47472041522491348</c:v>
                </c:pt>
                <c:pt idx="78">
                  <c:v>-0.47223961937716252</c:v>
                </c:pt>
                <c:pt idx="79">
                  <c:v>-0.46976332179930791</c:v>
                </c:pt>
                <c:pt idx="80">
                  <c:v>-0.46729152249134942</c:v>
                </c:pt>
                <c:pt idx="81">
                  <c:v>-0.46482422145328717</c:v>
                </c:pt>
                <c:pt idx="82">
                  <c:v>-0.46236141868512104</c:v>
                </c:pt>
                <c:pt idx="83">
                  <c:v>-0.4599031141868512</c:v>
                </c:pt>
                <c:pt idx="84">
                  <c:v>-0.45744930795847744</c:v>
                </c:pt>
                <c:pt idx="85">
                  <c:v>-0.45499999999999996</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1-1E83-534D-A991-3BDC4505DEB9}"/>
            </c:ext>
          </c:extLst>
        </c:ser>
        <c:ser>
          <c:idx val="1"/>
          <c:order val="2"/>
          <c:tx>
            <c:strRef>
              <c:f>'[1]垂直尾翼(sht4)'!$AS$42:$AS$44</c:f>
              <c:strCache>
                <c:ptCount val="1"/>
                <c:pt idx="0">
                  <c:v>せん断中心位置(舵面開始位置を原点として) e m</c:v>
                </c:pt>
              </c:strCache>
            </c:strRef>
          </c:tx>
          <c:spPr>
            <a:ln w="38100" cap="rnd">
              <a:solidFill>
                <a:schemeClr val="accent6">
                  <a:lumMod val="60000"/>
                  <a:lumOff val="40000"/>
                </a:schemeClr>
              </a:solidFill>
              <a:prstDash val="dash"/>
              <a:round/>
            </a:ln>
            <a:effectLst/>
          </c:spPr>
          <c:marker>
            <c:symbol val="none"/>
          </c:marker>
          <c:xVal>
            <c:numRef>
              <c:f>'[1]垂直尾翼(sht4)'!$AS$45:$AS$130</c:f>
              <c:numCache>
                <c:formatCode>General</c:formatCode>
                <c:ptCount val="86"/>
                <c:pt idx="0">
                  <c:v>8.8221757635580475E-2</c:v>
                </c:pt>
                <c:pt idx="1">
                  <c:v>8.8672846712287867E-2</c:v>
                </c:pt>
                <c:pt idx="2">
                  <c:v>8.8616612680168086E-2</c:v>
                </c:pt>
                <c:pt idx="3">
                  <c:v>8.8560312640092287E-2</c:v>
                </c:pt>
                <c:pt idx="4">
                  <c:v>8.850393758557136E-2</c:v>
                </c:pt>
                <c:pt idx="5">
                  <c:v>8.8941720688452436E-2</c:v>
                </c:pt>
                <c:pt idx="6">
                  <c:v>8.8882317522621532E-2</c:v>
                </c:pt>
                <c:pt idx="7">
                  <c:v>8.882281711507764E-2</c:v>
                </c:pt>
                <c:pt idx="8">
                  <c:v>8.876321032568342E-2</c:v>
                </c:pt>
                <c:pt idx="9">
                  <c:v>8.9187650730097504E-2</c:v>
                </c:pt>
                <c:pt idx="10">
                  <c:v>8.9124972027306751E-2</c:v>
                </c:pt>
                <c:pt idx="11">
                  <c:v>8.9062164418821074E-2</c:v>
                </c:pt>
                <c:pt idx="12">
                  <c:v>8.8999218631392749E-2</c:v>
                </c:pt>
                <c:pt idx="13">
                  <c:v>8.9410279344301305E-2</c:v>
                </c:pt>
                <c:pt idx="14">
                  <c:v>8.9344217322845879E-2</c:v>
                </c:pt>
                <c:pt idx="15">
                  <c:v>8.9277994303113076E-2</c:v>
                </c:pt>
                <c:pt idx="16">
                  <c:v>8.9211600879254616E-2</c:v>
                </c:pt>
                <c:pt idx="17">
                  <c:v>8.9145027604631069E-2</c:v>
                </c:pt>
                <c:pt idx="18">
                  <c:v>8.9539690144176551E-2</c:v>
                </c:pt>
                <c:pt idx="19">
                  <c:v>8.94699421308712E-2</c:v>
                </c:pt>
                <c:pt idx="20">
                  <c:v>8.939999106167934E-2</c:v>
                </c:pt>
                <c:pt idx="21">
                  <c:v>8.932982735799995E-2</c:v>
                </c:pt>
                <c:pt idx="22">
                  <c:v>8.9711022847052249E-2</c:v>
                </c:pt>
                <c:pt idx="23">
                  <c:v>8.9637638890387492E-2</c:v>
                </c:pt>
                <c:pt idx="24">
                  <c:v>8.956401880093641E-2</c:v>
                </c:pt>
                <c:pt idx="25">
                  <c:v>8.9490152868582043E-2</c:v>
                </c:pt>
                <c:pt idx="26">
                  <c:v>8.9857843421762701E-2</c:v>
                </c:pt>
                <c:pt idx="27">
                  <c:v>8.978071120880933E-2</c:v>
                </c:pt>
                <c:pt idx="28">
                  <c:v>8.9703309362382466E-2</c:v>
                </c:pt>
                <c:pt idx="29">
                  <c:v>8.9625628041280936E-2</c:v>
                </c:pt>
                <c:pt idx="30">
                  <c:v>8.9979775506103879E-2</c:v>
                </c:pt>
                <c:pt idx="31">
                  <c:v>8.9898781364866551E-2</c:v>
                </c:pt>
                <c:pt idx="32">
                  <c:v>8.9817483666965819E-2</c:v>
                </c:pt>
                <c:pt idx="33">
                  <c:v>8.9735872440518769E-2</c:v>
                </c:pt>
                <c:pt idx="34">
                  <c:v>8.9653937673455905E-2</c:v>
                </c:pt>
                <c:pt idx="35">
                  <c:v>8.9991467300884503E-2</c:v>
                </c:pt>
                <c:pt idx="36">
                  <c:v>8.9906158303000305E-2</c:v>
                </c:pt>
                <c:pt idx="37">
                  <c:v>8.9820501301783498E-2</c:v>
                </c:pt>
                <c:pt idx="38">
                  <c:v>8.9734486154980656E-2</c:v>
                </c:pt>
                <c:pt idx="39">
                  <c:v>9.0058382634082723E-2</c:v>
                </c:pt>
                <c:pt idx="40">
                  <c:v>8.9968945537247311E-2</c:v>
                </c:pt>
                <c:pt idx="41">
                  <c:v>8.9879125542491417E-2</c:v>
                </c:pt>
                <c:pt idx="42">
                  <c:v>8.9788912377732774E-2</c:v>
                </c:pt>
                <c:pt idx="43">
                  <c:v>9.0099136667193588E-2</c:v>
                </c:pt>
                <c:pt idx="44">
                  <c:v>9.0005453325306406E-2</c:v>
                </c:pt>
                <c:pt idx="45">
                  <c:v>8.991135177216289E-2</c:v>
                </c:pt>
                <c:pt idx="46">
                  <c:v>8.98168216061737E-2</c:v>
                </c:pt>
                <c:pt idx="47">
                  <c:v>9.0113334398396847E-2</c:v>
                </c:pt>
                <c:pt idx="48">
                  <c:v>9.0015285321353458E-2</c:v>
                </c:pt>
                <c:pt idx="49">
                  <c:v>8.9916782301942416E-2</c:v>
                </c:pt>
                <c:pt idx="50">
                  <c:v>8.9817814809379365E-2</c:v>
                </c:pt>
                <c:pt idx="51">
                  <c:v>9.0100576530611529E-2</c:v>
                </c:pt>
                <c:pt idx="52">
                  <c:v>8.999804088720971E-2</c:v>
                </c:pt>
                <c:pt idx="53">
                  <c:v>8.9895015153470897E-2</c:v>
                </c:pt>
                <c:pt idx="54">
                  <c:v>8.9791488669700478E-2</c:v>
                </c:pt>
                <c:pt idx="55">
                  <c:v>8.968745073657812E-2</c:v>
                </c:pt>
                <c:pt idx="56">
                  <c:v>8.9953315100792311E-2</c:v>
                </c:pt>
                <c:pt idx="57">
                  <c:v>8.984564406712689E-2</c:v>
                </c:pt>
                <c:pt idx="58">
                  <c:v>8.9737435590809253E-2</c:v>
                </c:pt>
                <c:pt idx="59">
                  <c:v>8.9628678843956477E-2</c:v>
                </c:pt>
                <c:pt idx="60">
                  <c:v>8.988069876392818E-2</c:v>
                </c:pt>
                <c:pt idx="61">
                  <c:v>8.9768258509649895E-2</c:v>
                </c:pt>
                <c:pt idx="62">
                  <c:v>8.9655243705119056E-2</c:v>
                </c:pt>
                <c:pt idx="63">
                  <c:v>8.9541643394138157E-2</c:v>
                </c:pt>
                <c:pt idx="64">
                  <c:v>8.9779778409564748E-2</c:v>
                </c:pt>
                <c:pt idx="65">
                  <c:v>8.9662443681148493E-2</c:v>
                </c:pt>
                <c:pt idx="66">
                  <c:v>8.9544496880610253E-2</c:v>
                </c:pt>
                <c:pt idx="67">
                  <c:v>8.9425926923657487E-2</c:v>
                </c:pt>
                <c:pt idx="68">
                  <c:v>8.9650136308376649E-2</c:v>
                </c:pt>
                <c:pt idx="69">
                  <c:v>8.9527780521527489E-2</c:v>
                </c:pt>
                <c:pt idx="70">
                  <c:v>8.940477472706243E-2</c:v>
                </c:pt>
                <c:pt idx="71">
                  <c:v>8.9281107712790728E-2</c:v>
                </c:pt>
                <c:pt idx="72">
                  <c:v>8.9156790021132928E-2</c:v>
                </c:pt>
                <c:pt idx="73">
                  <c:v>8.9363867423411653E-2</c:v>
                </c:pt>
                <c:pt idx="74">
                  <c:v>8.9235674247135119E-2</c:v>
                </c:pt>
                <c:pt idx="75">
                  <c:v>8.9106781374281255E-2</c:v>
                </c:pt>
                <c:pt idx="76">
                  <c:v>8.8977177425697815E-2</c:v>
                </c:pt>
                <c:pt idx="77">
                  <c:v>8.9170233135376531E-2</c:v>
                </c:pt>
                <c:pt idx="78">
                  <c:v>8.9036722984378883E-2</c:v>
                </c:pt>
                <c:pt idx="79">
                  <c:v>8.8902474248220634E-2</c:v>
                </c:pt>
                <c:pt idx="80">
                  <c:v>8.8767475420257091E-2</c:v>
                </c:pt>
                <c:pt idx="81">
                  <c:v>8.8946467824938633E-2</c:v>
                </c:pt>
                <c:pt idx="82">
                  <c:v>8.8807509721137073E-2</c:v>
                </c:pt>
                <c:pt idx="83">
                  <c:v>8.8667773731702093E-2</c:v>
                </c:pt>
                <c:pt idx="84">
                  <c:v>8.8527248222630625E-2</c:v>
                </c:pt>
                <c:pt idx="85">
                  <c:v>8.8692135443949438E-2</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2-1E83-534D-A991-3BDC4505DEB9}"/>
            </c:ext>
          </c:extLst>
        </c:ser>
        <c:ser>
          <c:idx val="2"/>
          <c:order val="3"/>
          <c:tx>
            <c:strRef>
              <c:f>'[1]垂直尾翼(sht4)'!$L$42:$L$44</c:f>
              <c:strCache>
                <c:ptCount val="1"/>
                <c:pt idx="0">
                  <c:v>原点 - m</c:v>
                </c:pt>
              </c:strCache>
            </c:strRef>
          </c:tx>
          <c:spPr>
            <a:ln w="19050" cap="rnd">
              <a:solidFill>
                <a:schemeClr val="tx1"/>
              </a:solidFill>
              <a:prstDash val="lgDashDot"/>
              <a:round/>
            </a:ln>
            <a:effectLst/>
          </c:spPr>
          <c:marker>
            <c:symbol val="none"/>
          </c:marker>
          <c:xVal>
            <c:numRef>
              <c:f>'[1]垂直尾翼(sht4)'!$L$45:$L$130</c:f>
              <c:numCache>
                <c:formatCode>General</c:formatCode>
                <c:ptCount val="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3-1E83-534D-A991-3BDC4505DEB9}"/>
            </c:ext>
          </c:extLst>
        </c:ser>
        <c:dLbls>
          <c:showLegendKey val="0"/>
          <c:showVal val="0"/>
          <c:showCatName val="0"/>
          <c:showSerName val="0"/>
          <c:showPercent val="0"/>
          <c:showBubbleSize val="0"/>
        </c:dLbls>
        <c:axId val="264265904"/>
        <c:axId val="264284208"/>
      </c:scatterChart>
      <c:valAx>
        <c:axId val="264284208"/>
        <c:scaling>
          <c:orientation val="minMax"/>
          <c:max val="1"/>
          <c:min val="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65904"/>
        <c:crosses val="autoZero"/>
        <c:crossBetween val="midCat"/>
        <c:majorUnit val="0.1"/>
      </c:valAx>
      <c:valAx>
        <c:axId val="264265904"/>
        <c:scaling>
          <c:orientation val="maxMin"/>
          <c:max val="0.30000000000000004"/>
          <c:min val="-0.70000000000000007"/>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84208"/>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正面図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0-A066-9B4F-89F8-D8B9B73A85B3}"/>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1-A066-9B4F-89F8-D8B9B73A85B3}"/>
            </c:ext>
          </c:extLst>
        </c:ser>
        <c:ser>
          <c:idx val="2"/>
          <c:order val="2"/>
          <c:spPr>
            <a:ln w="76200" cap="rnd">
              <a:solidFill>
                <a:sysClr val="windowText" lastClr="000000"/>
              </a:solidFill>
              <a:round/>
            </a:ln>
            <a:effectLst/>
          </c:spPr>
          <c:marker>
            <c:symbol val="none"/>
          </c:marker>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2-A066-9B4F-89F8-D8B9B73A85B3}"/>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側面図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F083-F245-BE4E-5FF6E46F1EF4}"/>
            </c:ext>
          </c:extLst>
        </c:ser>
        <c:ser>
          <c:idx val="1"/>
          <c:order val="1"/>
          <c:spPr>
            <a:ln w="19050" cap="rnd">
              <a:solidFill>
                <a:schemeClr val="accent2"/>
              </a:solidFill>
              <a:round/>
            </a:ln>
            <a:effectLst/>
          </c:spPr>
          <c:marker>
            <c:symbol val="none"/>
          </c:marker>
          <c:xVal>
            <c:numLit>
              <c:formatCode>0.000_ ;[Red]\-0.000\ </c:formatCode>
              <c:ptCount val="2"/>
              <c:pt idx="0">
                <c:v>0</c:v>
              </c:pt>
              <c:pt idx="1">
                <c:v>0</c:v>
              </c:pt>
            </c:numLit>
          </c:xVal>
          <c:yVal>
            <c:numLit>
              <c:formatCode>0.000_ ;[Red]\-0.000\ </c:formatCode>
              <c:ptCount val="2"/>
              <c:pt idx="0">
                <c:v>0</c:v>
              </c:pt>
              <c:pt idx="1">
                <c:v>0</c:v>
              </c:pt>
            </c:numLit>
          </c:yVal>
          <c:smooth val="0"/>
          <c:extLst>
            <c:ext xmlns:c16="http://schemas.microsoft.com/office/drawing/2014/chart" uri="{C3380CC4-5D6E-409C-BE32-E72D297353CC}">
              <c16:uniqueId val="{00000001-F083-F245-BE4E-5FF6E46F1EF4}"/>
            </c:ext>
          </c:extLst>
        </c:ser>
        <c:dLbls>
          <c:showLegendKey val="0"/>
          <c:showVal val="0"/>
          <c:showCatName val="0"/>
          <c:showSerName val="0"/>
          <c:showPercent val="0"/>
          <c:showBubbleSize val="0"/>
        </c:dLbls>
        <c:axId val="1294617680"/>
        <c:axId val="1291233840"/>
      </c:scatterChart>
      <c:valAx>
        <c:axId val="1294617680"/>
        <c:scaling>
          <c:orientation val="maxMin"/>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r"/>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上面図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BB0E-0744-A0DC-C4386760963D}"/>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numLit>
          </c:yVal>
          <c:smooth val="0"/>
          <c:extLst>
            <c:ext xmlns:c16="http://schemas.microsoft.com/office/drawing/2014/chart" uri="{C3380CC4-5D6E-409C-BE32-E72D297353CC}">
              <c16:uniqueId val="{00000001-BB0E-0744-A0DC-C4386760963D}"/>
            </c:ext>
          </c:extLst>
        </c:ser>
        <c:ser>
          <c:idx val="2"/>
          <c:order val="2"/>
          <c:spPr>
            <a:ln w="19050" cap="rnd">
              <a:solidFill>
                <a:schemeClr val="accent3"/>
              </a:solidFill>
              <a:round/>
            </a:ln>
            <a:effectLst/>
          </c:spPr>
          <c:marker>
            <c:symbol val="none"/>
          </c:marker>
          <c:dPt>
            <c:idx val="1"/>
            <c:marker>
              <c:symbol val="none"/>
            </c:marker>
            <c:bubble3D val="0"/>
            <c:spPr>
              <a:ln w="76200" cap="rnd">
                <a:solidFill>
                  <a:sysClr val="windowText" lastClr="000000"/>
                </a:solidFill>
                <a:round/>
              </a:ln>
              <a:effectLst/>
            </c:spPr>
            <c:extLst>
              <c:ext xmlns:c16="http://schemas.microsoft.com/office/drawing/2014/chart" uri="{C3380CC4-5D6E-409C-BE32-E72D297353CC}">
                <c16:uniqueId val="{00000003-BB0E-0744-A0DC-C4386760963D}"/>
              </c:ext>
            </c:extLst>
          </c:dPt>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4-BB0E-0744-A0DC-C4386760963D}"/>
            </c:ext>
          </c:extLst>
        </c:ser>
        <c:ser>
          <c:idx val="3"/>
          <c:order val="3"/>
          <c:tx>
            <c:v>カウル</c:v>
          </c:tx>
          <c:spPr>
            <a:ln w="57150" cap="rnd">
              <a:solidFill>
                <a:schemeClr val="accent4"/>
              </a:solidFill>
              <a:round/>
            </a:ln>
            <a:effectLst/>
          </c:spPr>
          <c:marker>
            <c:symbol val="none"/>
          </c:marker>
          <c:dPt>
            <c:idx val="31"/>
            <c:marker>
              <c:symbol val="none"/>
            </c:marker>
            <c:bubble3D val="0"/>
            <c:spPr>
              <a:ln w="57150" cap="rnd">
                <a:solidFill>
                  <a:srgbClr val="FFC000"/>
                </a:solidFill>
                <a:round/>
              </a:ln>
              <a:effectLst/>
            </c:spPr>
            <c:extLst>
              <c:ext xmlns:c16="http://schemas.microsoft.com/office/drawing/2014/chart" uri="{C3380CC4-5D6E-409C-BE32-E72D297353CC}">
                <c16:uniqueId val="{00000006-BB0E-0744-A0DC-C4386760963D}"/>
              </c:ext>
            </c:extLst>
          </c:dPt>
          <c:xVal>
            <c:numLit>
              <c:formatCode>0.000_ ;[Red]\-0.000\ </c:formatCode>
              <c:ptCount val="300"/>
              <c:pt idx="0">
                <c:v>0</c:v>
              </c:pt>
              <c:pt idx="1">
                <c:v>1.4084000000000001E-4</c:v>
              </c:pt>
              <c:pt idx="2">
                <c:v>5.6336000000000005E-4</c:v>
              </c:pt>
              <c:pt idx="3">
                <c:v>1.2323499999999999E-3</c:v>
              </c:pt>
              <c:pt idx="4">
                <c:v>2.2182299999999999E-3</c:v>
              </c:pt>
              <c:pt idx="5">
                <c:v>3.5914200000000001E-3</c:v>
              </c:pt>
              <c:pt idx="6">
                <c:v>5.2814999999999997E-3</c:v>
              </c:pt>
              <c:pt idx="7">
                <c:v>7.3940999999999989E-3</c:v>
              </c:pt>
              <c:pt idx="8">
                <c:v>9.929219999999999E-3</c:v>
              </c:pt>
              <c:pt idx="9">
                <c:v>1.2851649999999999E-2</c:v>
              </c:pt>
              <c:pt idx="10">
                <c:v>1.6196599999999998E-2</c:v>
              </c:pt>
              <c:pt idx="11">
                <c:v>1.992886E-2</c:v>
              </c:pt>
              <c:pt idx="12">
                <c:v>2.4048429999999999E-2</c:v>
              </c:pt>
              <c:pt idx="13">
                <c:v>2.8590520000000001E-2</c:v>
              </c:pt>
              <c:pt idx="14">
                <c:v>3.3484709999999994E-2</c:v>
              </c:pt>
              <c:pt idx="15">
                <c:v>3.8766210000000002E-2</c:v>
              </c:pt>
              <c:pt idx="16">
                <c:v>4.4399809999999998E-2</c:v>
              </c:pt>
              <c:pt idx="17">
                <c:v>5.0350300000000001E-2</c:v>
              </c:pt>
              <c:pt idx="18">
                <c:v>5.6617680000000004E-2</c:v>
              </c:pt>
              <c:pt idx="19">
                <c:v>6.3201950000000007E-2</c:v>
              </c:pt>
              <c:pt idx="20">
                <c:v>7.0067900000000002E-2</c:v>
              </c:pt>
              <c:pt idx="21">
                <c:v>7.7215530000000004E-2</c:v>
              </c:pt>
              <c:pt idx="22">
                <c:v>8.4574419999999997E-2</c:v>
              </c:pt>
              <c:pt idx="23">
                <c:v>9.2179779999999989E-2</c:v>
              </c:pt>
              <c:pt idx="24">
                <c:v>9.9996399999999999E-2</c:v>
              </c:pt>
              <c:pt idx="25">
                <c:v>0.10798906999999999</c:v>
              </c:pt>
              <c:pt idx="26">
                <c:v>0.11612258</c:v>
              </c:pt>
              <c:pt idx="27">
                <c:v>0.12432651</c:v>
              </c:pt>
              <c:pt idx="28">
                <c:v>0.13256565000000001</c:v>
              </c:pt>
              <c:pt idx="29">
                <c:v>0.14073437</c:v>
              </c:pt>
              <c:pt idx="30">
                <c:v>0.14879745999999999</c:v>
              </c:pt>
              <c:pt idx="31">
                <c:v>0.15679013</c:v>
              </c:pt>
              <c:pt idx="32">
                <c:v>0.16464196</c:v>
              </c:pt>
              <c:pt idx="33">
                <c:v>0.17242336999999999</c:v>
              </c:pt>
              <c:pt idx="34">
                <c:v>0.18006393999999998</c:v>
              </c:pt>
              <c:pt idx="35">
                <c:v>0.18759888</c:v>
              </c:pt>
              <c:pt idx="36">
                <c:v>0.19499297999999998</c:v>
              </c:pt>
              <c:pt idx="37">
                <c:v>0.20221103000000001</c:v>
              </c:pt>
              <c:pt idx="38">
                <c:v>0.20932344999999999</c:v>
              </c:pt>
              <c:pt idx="39">
                <c:v>0.21622460999999998</c:v>
              </c:pt>
              <c:pt idx="40">
                <c:v>0.22298493</c:v>
              </c:pt>
              <c:pt idx="41">
                <c:v>0.22953398999999999</c:v>
              </c:pt>
              <c:pt idx="42">
                <c:v>0.23587178999999997</c:v>
              </c:pt>
              <c:pt idx="43">
                <c:v>0.24199832999999998</c:v>
              </c:pt>
              <c:pt idx="44">
                <c:v>0.24784318999999996</c:v>
              </c:pt>
              <c:pt idx="45">
                <c:v>0.25340636999999999</c:v>
              </c:pt>
              <c:pt idx="46">
                <c:v>0.25868786999999999</c:v>
              </c:pt>
              <c:pt idx="47">
                <c:v>0.26368768999999997</c:v>
              </c:pt>
              <c:pt idx="48">
                <c:v>0.26837062</c:v>
              </c:pt>
              <c:pt idx="49">
                <c:v>0.27273666000000002</c:v>
              </c:pt>
              <c:pt idx="50">
                <c:v>0.27678580999999997</c:v>
              </c:pt>
              <c:pt idx="51">
                <c:v>0.28055328000000002</c:v>
              </c:pt>
              <c:pt idx="52">
                <c:v>0.28403907</c:v>
              </c:pt>
              <c:pt idx="53">
                <c:v>0.28720796999999998</c:v>
              </c:pt>
              <c:pt idx="54">
                <c:v>0.29013040000000001</c:v>
              </c:pt>
              <c:pt idx="55">
                <c:v>0.29273594000000003</c:v>
              </c:pt>
              <c:pt idx="56">
                <c:v>0.29509500999999999</c:v>
              </c:pt>
              <c:pt idx="57">
                <c:v>0.29720761000000001</c:v>
              </c:pt>
              <c:pt idx="58">
                <c:v>0.29907373999999998</c:v>
              </c:pt>
              <c:pt idx="59">
                <c:v>0.3006934</c:v>
              </c:pt>
              <c:pt idx="60">
                <c:v>0.30210179999999998</c:v>
              </c:pt>
              <c:pt idx="61">
                <c:v>0.30329893999999996</c:v>
              </c:pt>
              <c:pt idx="62">
                <c:v>0.30432003000000002</c:v>
              </c:pt>
              <c:pt idx="63">
                <c:v>0.30516506999999998</c:v>
              </c:pt>
              <c:pt idx="64">
                <c:v>0.30583406000000002</c:v>
              </c:pt>
              <c:pt idx="65">
                <c:v>0.30636221000000002</c:v>
              </c:pt>
              <c:pt idx="66">
                <c:v>0.30674952</c:v>
              </c:pt>
              <c:pt idx="67">
                <c:v>0.30699599</c:v>
              </c:pt>
              <c:pt idx="68">
                <c:v>0.30713682999999997</c:v>
              </c:pt>
              <c:pt idx="69">
                <c:v>0.30713682999999997</c:v>
              </c:pt>
              <c:pt idx="70">
                <c:v>0.30699599</c:v>
              </c:pt>
              <c:pt idx="71">
                <c:v>0.30671430999999999</c:v>
              </c:pt>
              <c:pt idx="72">
                <c:v>0.30625658</c:v>
              </c:pt>
              <c:pt idx="73">
                <c:v>0.30565800999999998</c:v>
              </c:pt>
              <c:pt idx="74">
                <c:v>0.30491859999999998</c:v>
              </c:pt>
              <c:pt idx="75">
                <c:v>0.30400314000000001</c:v>
              </c:pt>
              <c:pt idx="76">
                <c:v>0.30291162999999999</c:v>
              </c:pt>
              <c:pt idx="77">
                <c:v>0.30167927999999999</c:v>
              </c:pt>
              <c:pt idx="78">
                <c:v>0.30030609000000003</c:v>
              </c:pt>
              <c:pt idx="79">
                <c:v>0.29872164000000001</c:v>
              </c:pt>
              <c:pt idx="80">
                <c:v>0.29699634999999996</c:v>
              </c:pt>
              <c:pt idx="81">
                <c:v>0.29509500999999999</c:v>
              </c:pt>
              <c:pt idx="82">
                <c:v>0.29305282999999999</c:v>
              </c:pt>
              <c:pt idx="83">
                <c:v>0.29086981000000001</c:v>
              </c:pt>
              <c:pt idx="84">
                <c:v>0.28851073999999999</c:v>
              </c:pt>
              <c:pt idx="85">
                <c:v>0.28601082999999999</c:v>
              </c:pt>
              <c:pt idx="86">
                <c:v>0.28337007999999997</c:v>
              </c:pt>
              <c:pt idx="87">
                <c:v>0.28058848999999997</c:v>
              </c:pt>
              <c:pt idx="88">
                <c:v>0.27763084999999998</c:v>
              </c:pt>
              <c:pt idx="89">
                <c:v>0.27456757999999998</c:v>
              </c:pt>
              <c:pt idx="90">
                <c:v>0.27129304999999998</c:v>
              </c:pt>
              <c:pt idx="91">
                <c:v>0.26787767999999995</c:v>
              </c:pt>
              <c:pt idx="92">
                <c:v>0.26428626</c:v>
              </c:pt>
              <c:pt idx="93">
                <c:v>0.26051879</c:v>
              </c:pt>
              <c:pt idx="94">
                <c:v>0.25657527000000002</c:v>
              </c:pt>
              <c:pt idx="95">
                <c:v>0.25245570000000001</c:v>
              </c:pt>
              <c:pt idx="96">
                <c:v>0.24816008000000001</c:v>
              </c:pt>
              <c:pt idx="97">
                <c:v>0.24368840999999997</c:v>
              </c:pt>
              <c:pt idx="98">
                <c:v>0.23900547999999999</c:v>
              </c:pt>
              <c:pt idx="99">
                <c:v>0.23414650000000001</c:v>
              </c:pt>
              <c:pt idx="100">
                <c:v>0.22911147000000001</c:v>
              </c:pt>
              <c:pt idx="101">
                <c:v>0.22390038999999998</c:v>
              </c:pt>
              <c:pt idx="102">
                <c:v>0.21847805000000001</c:v>
              </c:pt>
              <c:pt idx="103">
                <c:v>0.21291487000000001</c:v>
              </c:pt>
              <c:pt idx="104">
                <c:v>0.20721085</c:v>
              </c:pt>
              <c:pt idx="105">
                <c:v>0.20133077999999999</c:v>
              </c:pt>
              <c:pt idx="106">
                <c:v>0.19527466000000002</c:v>
              </c:pt>
              <c:pt idx="107">
                <c:v>0.18911291</c:v>
              </c:pt>
              <c:pt idx="108">
                <c:v>0.18277510999999999</c:v>
              </c:pt>
              <c:pt idx="109">
                <c:v>0.17629647000000001</c:v>
              </c:pt>
              <c:pt idx="110">
                <c:v>0.16974741000000002</c:v>
              </c:pt>
              <c:pt idx="111">
                <c:v>0.16312793</c:v>
              </c:pt>
              <c:pt idx="112">
                <c:v>0.15650845000000002</c:v>
              </c:pt>
              <c:pt idx="113">
                <c:v>0.14995939</c:v>
              </c:pt>
              <c:pt idx="114">
                <c:v>0.14351596</c:v>
              </c:pt>
              <c:pt idx="115">
                <c:v>0.13728378999999999</c:v>
              </c:pt>
              <c:pt idx="116">
                <c:v>0.13126288</c:v>
              </c:pt>
              <c:pt idx="117">
                <c:v>0.12552365000000001</c:v>
              </c:pt>
              <c:pt idx="118">
                <c:v>0.12013651999999998</c:v>
              </c:pt>
              <c:pt idx="119">
                <c:v>0.11506627999999999</c:v>
              </c:pt>
              <c:pt idx="120">
                <c:v>0.11031292999999999</c:v>
              </c:pt>
              <c:pt idx="121">
                <c:v>0.10591167999999999</c:v>
              </c:pt>
              <c:pt idx="122">
                <c:v>0.10182732</c:v>
              </c:pt>
              <c:pt idx="123">
                <c:v>9.7989430000000002E-2</c:v>
              </c:pt>
              <c:pt idx="124">
                <c:v>9.4327590000000003E-2</c:v>
              </c:pt>
              <c:pt idx="125">
                <c:v>9.0771379999999999E-2</c:v>
              </c:pt>
              <c:pt idx="126">
                <c:v>8.7250380000000002E-2</c:v>
              </c:pt>
              <c:pt idx="127">
                <c:v>8.3729379999999992E-2</c:v>
              </c:pt>
              <c:pt idx="128">
                <c:v>8.020838000000001E-2</c:v>
              </c:pt>
              <c:pt idx="129">
                <c:v>7.6722589999999993E-2</c:v>
              </c:pt>
              <c:pt idx="130">
                <c:v>7.3201589999999997E-2</c:v>
              </c:pt>
              <c:pt idx="131">
                <c:v>6.9645379999999993E-2</c:v>
              </c:pt>
              <c:pt idx="132">
                <c:v>6.6053959999999995E-2</c:v>
              </c:pt>
              <c:pt idx="133">
                <c:v>6.2462539999999997E-2</c:v>
              </c:pt>
              <c:pt idx="134">
                <c:v>5.8835909999999998E-2</c:v>
              </c:pt>
              <c:pt idx="135">
                <c:v>5.5174069999999999E-2</c:v>
              </c:pt>
              <c:pt idx="136">
                <c:v>5.1441809999999998E-2</c:v>
              </c:pt>
              <c:pt idx="137">
                <c:v>4.7709549999999996E-2</c:v>
              </c:pt>
              <c:pt idx="138">
                <c:v>4.3977289999999995E-2</c:v>
              </c:pt>
              <c:pt idx="139">
                <c:v>4.0174609999999999E-2</c:v>
              </c:pt>
              <c:pt idx="140">
                <c:v>3.6371930000000004E-2</c:v>
              </c:pt>
              <c:pt idx="141">
                <c:v>3.253404E-2</c:v>
              </c:pt>
              <c:pt idx="142">
                <c:v>2.8731360000000001E-2</c:v>
              </c:pt>
              <c:pt idx="143">
                <c:v>2.4928680000000002E-2</c:v>
              </c:pt>
              <c:pt idx="144">
                <c:v>2.1090789999999998E-2</c:v>
              </c:pt>
              <c:pt idx="145">
                <c:v>1.732332E-2</c:v>
              </c:pt>
              <c:pt idx="146">
                <c:v>1.3555849999999999E-2</c:v>
              </c:pt>
              <c:pt idx="147">
                <c:v>9.8235900000000001E-3</c:v>
              </c:pt>
              <c:pt idx="148">
                <c:v>6.1969600000000005E-3</c:v>
              </c:pt>
              <c:pt idx="149">
                <c:v>2.57033E-3</c:v>
              </c:pt>
              <c:pt idx="150">
                <c:v>0</c:v>
              </c:pt>
              <c:pt idx="151">
                <c:v>-4.5772999999999994E-3</c:v>
              </c:pt>
              <c:pt idx="152">
                <c:v>-8.1687199999999991E-3</c:v>
              </c:pt>
              <c:pt idx="153">
                <c:v>-1.183056E-2</c:v>
              </c:pt>
              <c:pt idx="154">
                <c:v>-1.54924E-2</c:v>
              </c:pt>
              <c:pt idx="155">
                <c:v>-1.918945E-2</c:v>
              </c:pt>
              <c:pt idx="156">
                <c:v>-2.285129E-2</c:v>
              </c:pt>
              <c:pt idx="157">
                <c:v>-2.6513129999999999E-2</c:v>
              </c:pt>
              <c:pt idx="158">
                <c:v>-3.0139759999999998E-2</c:v>
              </c:pt>
              <c:pt idx="159">
                <c:v>-3.3801599999999994E-2</c:v>
              </c:pt>
              <c:pt idx="160">
                <c:v>-3.742823E-2</c:v>
              </c:pt>
              <c:pt idx="161">
                <c:v>-4.1054859999999999E-2</c:v>
              </c:pt>
              <c:pt idx="162">
                <c:v>-4.4681489999999997E-2</c:v>
              </c:pt>
              <c:pt idx="163">
                <c:v>-4.8308119999999996E-2</c:v>
              </c:pt>
              <c:pt idx="164">
                <c:v>-5.1899539999999994E-2</c:v>
              </c:pt>
              <c:pt idx="165">
                <c:v>-5.5490959999999999E-2</c:v>
              </c:pt>
              <c:pt idx="166">
                <c:v>-5.9082379999999997E-2</c:v>
              </c:pt>
              <c:pt idx="167">
                <c:v>-6.2638589999999994E-2</c:v>
              </c:pt>
              <c:pt idx="168">
                <c:v>-6.6230010000000006E-2</c:v>
              </c:pt>
              <c:pt idx="169">
                <c:v>-6.9856639999999998E-2</c:v>
              </c:pt>
              <c:pt idx="170">
                <c:v>-7.3518479999999997E-2</c:v>
              </c:pt>
              <c:pt idx="171">
                <c:v>-7.7250739999999998E-2</c:v>
              </c:pt>
              <c:pt idx="172">
                <c:v>-8.1088629999999995E-2</c:v>
              </c:pt>
              <c:pt idx="173">
                <c:v>-8.5032150000000001E-2</c:v>
              </c:pt>
              <c:pt idx="174">
                <c:v>-8.9116509999999996E-2</c:v>
              </c:pt>
              <c:pt idx="175">
                <c:v>-9.3271289999999993E-2</c:v>
              </c:pt>
              <c:pt idx="176">
                <c:v>-9.7566909999999993E-2</c:v>
              </c:pt>
              <c:pt idx="177">
                <c:v>-0.10193294999999999</c:v>
              </c:pt>
              <c:pt idx="178">
                <c:v>-0.10636941</c:v>
              </c:pt>
              <c:pt idx="179">
                <c:v>-0.11087628999999999</c:v>
              </c:pt>
              <c:pt idx="180">
                <c:v>-0.11541837999999999</c:v>
              </c:pt>
              <c:pt idx="181">
                <c:v>-0.12003089</c:v>
              </c:pt>
              <c:pt idx="182">
                <c:v>-0.12478423999999999</c:v>
              </c:pt>
              <c:pt idx="183">
                <c:v>-0.12971363999999999</c:v>
              </c:pt>
              <c:pt idx="184">
                <c:v>-0.13495993000000001</c:v>
              </c:pt>
              <c:pt idx="185">
                <c:v>-0.14055831999999999</c:v>
              </c:pt>
              <c:pt idx="186">
                <c:v>-0.14657923</c:v>
              </c:pt>
              <c:pt idx="187">
                <c:v>-0.15305787000000001</c:v>
              </c:pt>
              <c:pt idx="188">
                <c:v>-0.15981819</c:v>
              </c:pt>
              <c:pt idx="189">
                <c:v>-0.16668414000000001</c:v>
              </c:pt>
              <c:pt idx="190">
                <c:v>-0.17347967</c:v>
              </c:pt>
              <c:pt idx="191">
                <c:v>-0.18013435999999999</c:v>
              </c:pt>
              <c:pt idx="192">
                <c:v>-0.186613</c:v>
              </c:pt>
              <c:pt idx="193">
                <c:v>-0.19284516999999998</c:v>
              </c:pt>
              <c:pt idx="194">
                <c:v>-0.19883086999999999</c:v>
              </c:pt>
              <c:pt idx="195">
                <c:v>-0.20467573</c:v>
              </c:pt>
              <c:pt idx="196">
                <c:v>-0.21034454</c:v>
              </c:pt>
              <c:pt idx="197">
                <c:v>-0.21583729999999998</c:v>
              </c:pt>
              <c:pt idx="198">
                <c:v>-0.22122442999999997</c:v>
              </c:pt>
              <c:pt idx="199">
                <c:v>-0.22643551000000001</c:v>
              </c:pt>
              <c:pt idx="200">
                <c:v>-0.23150575000000001</c:v>
              </c:pt>
              <c:pt idx="201">
                <c:v>-0.23639994</c:v>
              </c:pt>
              <c:pt idx="202">
                <c:v>-0.24115328999999996</c:v>
              </c:pt>
              <c:pt idx="203">
                <c:v>-0.24569537999999996</c:v>
              </c:pt>
              <c:pt idx="204">
                <c:v>-0.25009662999999999</c:v>
              </c:pt>
              <c:pt idx="205">
                <c:v>-0.25428662000000002</c:v>
              </c:pt>
              <c:pt idx="206">
                <c:v>-0.25833577000000002</c:v>
              </c:pt>
              <c:pt idx="207">
                <c:v>-0.26224407999999999</c:v>
              </c:pt>
              <c:pt idx="208">
                <c:v>-0.26597633999999998</c:v>
              </c:pt>
              <c:pt idx="209">
                <c:v>-0.26953255000000004</c:v>
              </c:pt>
              <c:pt idx="210">
                <c:v>-0.27294792000000001</c:v>
              </c:pt>
              <c:pt idx="211">
                <c:v>-0.27618724</c:v>
              </c:pt>
              <c:pt idx="212">
                <c:v>-0.27928572000000002</c:v>
              </c:pt>
              <c:pt idx="213">
                <c:v>-0.28220814999999999</c:v>
              </c:pt>
              <c:pt idx="214">
                <c:v>-0.28495452999999998</c:v>
              </c:pt>
              <c:pt idx="215">
                <c:v>-0.28752485999999999</c:v>
              </c:pt>
              <c:pt idx="216">
                <c:v>-0.28991913999999996</c:v>
              </c:pt>
              <c:pt idx="217">
                <c:v>-0.29217257999999996</c:v>
              </c:pt>
              <c:pt idx="218">
                <c:v>-0.29421475999999996</c:v>
              </c:pt>
              <c:pt idx="219">
                <c:v>-0.29608088999999999</c:v>
              </c:pt>
              <c:pt idx="220">
                <c:v>-0.29784138999999998</c:v>
              </c:pt>
              <c:pt idx="221">
                <c:v>-0.29939062999999999</c:v>
              </c:pt>
              <c:pt idx="222">
                <c:v>-0.30083423999999998</c:v>
              </c:pt>
              <c:pt idx="223">
                <c:v>-0.30213700999999998</c:v>
              </c:pt>
              <c:pt idx="224">
                <c:v>-0.30326373000000001</c:v>
              </c:pt>
              <c:pt idx="225">
                <c:v>-0.30428481999999996</c:v>
              </c:pt>
              <c:pt idx="226">
                <c:v>-0.30512985999999997</c:v>
              </c:pt>
              <c:pt idx="227">
                <c:v>-0.30579884999999996</c:v>
              </c:pt>
              <c:pt idx="228">
                <c:v>-0.30632699999999996</c:v>
              </c:pt>
              <c:pt idx="229">
                <c:v>-0.30671430999999999</c:v>
              </c:pt>
              <c:pt idx="230">
                <c:v>-0.30692556999999998</c:v>
              </c:pt>
              <c:pt idx="231">
                <c:v>-0.30696077999999999</c:v>
              </c:pt>
              <c:pt idx="232">
                <c:v>-0.30689035999999997</c:v>
              </c:pt>
              <c:pt idx="233">
                <c:v>-0.30667909999999998</c:v>
              </c:pt>
              <c:pt idx="234">
                <c:v>-0.30636221000000002</c:v>
              </c:pt>
              <c:pt idx="235">
                <c:v>-0.30590447999999998</c:v>
              </c:pt>
              <c:pt idx="236">
                <c:v>-0.30530590999999996</c:v>
              </c:pt>
              <c:pt idx="237">
                <c:v>-0.30456649999999996</c:v>
              </c:pt>
              <c:pt idx="238">
                <c:v>-0.30365103999999998</c:v>
              </c:pt>
              <c:pt idx="239">
                <c:v>-0.30255953000000002</c:v>
              </c:pt>
              <c:pt idx="240">
                <c:v>-0.30125675999999996</c:v>
              </c:pt>
              <c:pt idx="241">
                <c:v>-0.29974272999999996</c:v>
              </c:pt>
              <c:pt idx="242">
                <c:v>-0.29801744000000002</c:v>
              </c:pt>
              <c:pt idx="243">
                <c:v>-0.29604567999999998</c:v>
              </c:pt>
              <c:pt idx="244">
                <c:v>-0.29379223999999998</c:v>
              </c:pt>
              <c:pt idx="245">
                <c:v>-0.29125711999999998</c:v>
              </c:pt>
              <c:pt idx="246">
                <c:v>-0.28844032000000003</c:v>
              </c:pt>
              <c:pt idx="247">
                <c:v>-0.28534184000000001</c:v>
              </c:pt>
              <c:pt idx="248">
                <c:v>-0.28189126000000003</c:v>
              </c:pt>
              <c:pt idx="249">
                <c:v>-0.27812378999999998</c:v>
              </c:pt>
              <c:pt idx="250">
                <c:v>-0.27407464000000004</c:v>
              </c:pt>
              <c:pt idx="251">
                <c:v>-0.26967339000000001</c:v>
              </c:pt>
              <c:pt idx="252">
                <c:v>-0.26502566999999999</c:v>
              </c:pt>
              <c:pt idx="253">
                <c:v>-0.26009627000000002</c:v>
              </c:pt>
              <c:pt idx="254">
                <c:v>-0.25488518999999998</c:v>
              </c:pt>
              <c:pt idx="255">
                <c:v>-0.24942764000000001</c:v>
              </c:pt>
              <c:pt idx="256">
                <c:v>-0.24368840999999997</c:v>
              </c:pt>
              <c:pt idx="257">
                <c:v>-0.23773791999999999</c:v>
              </c:pt>
              <c:pt idx="258">
                <c:v>-0.23157616999999997</c:v>
              </c:pt>
              <c:pt idx="259">
                <c:v>-0.22520316000000001</c:v>
              </c:pt>
              <c:pt idx="260">
                <c:v>-0.21858368</c:v>
              </c:pt>
              <c:pt idx="261">
                <c:v>-0.21182335999999999</c:v>
              </c:pt>
              <c:pt idx="262">
                <c:v>-0.20485178000000001</c:v>
              </c:pt>
              <c:pt idx="263">
                <c:v>-0.19773936</c:v>
              </c:pt>
              <c:pt idx="264">
                <c:v>-0.19041568</c:v>
              </c:pt>
              <c:pt idx="265">
                <c:v>-0.18295116</c:v>
              </c:pt>
              <c:pt idx="266">
                <c:v>-0.17527537999999998</c:v>
              </c:pt>
              <c:pt idx="267">
                <c:v>-0.16745875999999998</c:v>
              </c:pt>
              <c:pt idx="268">
                <c:v>-0.15950129999999998</c:v>
              </c:pt>
              <c:pt idx="269">
                <c:v>-0.15143820999999999</c:v>
              </c:pt>
              <c:pt idx="270">
                <c:v>-0.14333991000000001</c:v>
              </c:pt>
              <c:pt idx="271">
                <c:v>-0.13527682000000002</c:v>
              </c:pt>
              <c:pt idx="272">
                <c:v>-0.12728415000000001</c:v>
              </c:pt>
              <c:pt idx="273">
                <c:v>-0.11936189999999999</c:v>
              </c:pt>
              <c:pt idx="274">
                <c:v>-0.11151006999999999</c:v>
              </c:pt>
              <c:pt idx="275">
                <c:v>-0.10376386999999999</c:v>
              </c:pt>
              <c:pt idx="276">
                <c:v>-9.6088089999999987E-2</c:v>
              </c:pt>
              <c:pt idx="277">
                <c:v>-8.8553149999999997E-2</c:v>
              </c:pt>
              <c:pt idx="278">
                <c:v>-8.1123840000000003E-2</c:v>
              </c:pt>
              <c:pt idx="279">
                <c:v>-7.3870579999999991E-2</c:v>
              </c:pt>
              <c:pt idx="280">
                <c:v>-6.6722950000000003E-2</c:v>
              </c:pt>
              <c:pt idx="281">
                <c:v>-5.9751369999999998E-2</c:v>
              </c:pt>
              <c:pt idx="282">
                <c:v>-5.2991049999999998E-2</c:v>
              </c:pt>
              <c:pt idx="283">
                <c:v>-4.6477199999999996E-2</c:v>
              </c:pt>
              <c:pt idx="284">
                <c:v>-4.0385869999999997E-2</c:v>
              </c:pt>
              <c:pt idx="285">
                <c:v>-3.468185E-2</c:v>
              </c:pt>
              <c:pt idx="286">
                <c:v>-2.9541189999999998E-2</c:v>
              </c:pt>
              <c:pt idx="287">
                <c:v>-2.4963889999999999E-2</c:v>
              </c:pt>
              <c:pt idx="288">
                <c:v>-2.0949950000000002E-2</c:v>
              </c:pt>
              <c:pt idx="289">
                <c:v>-1.7499369999999997E-2</c:v>
              </c:pt>
              <c:pt idx="290">
                <c:v>-1.4541729999999999E-2</c:v>
              </c:pt>
              <c:pt idx="291">
                <c:v>-1.204182E-2</c:v>
              </c:pt>
              <c:pt idx="292">
                <c:v>-9.8587999999999992E-3</c:v>
              </c:pt>
              <c:pt idx="293">
                <c:v>-7.9926699999999986E-3</c:v>
              </c:pt>
              <c:pt idx="294">
                <c:v>-6.2673799999999995E-3</c:v>
              </c:pt>
              <c:pt idx="295">
                <c:v>-4.71814E-3</c:v>
              </c:pt>
              <c:pt idx="296">
                <c:v>-3.23932E-3</c:v>
              </c:pt>
              <c:pt idx="297">
                <c:v>-1.93655E-3</c:v>
              </c:pt>
              <c:pt idx="298">
                <c:v>-7.3941000000000002E-4</c:v>
              </c:pt>
              <c:pt idx="299">
                <c:v>0</c:v>
              </c:pt>
            </c:numLit>
          </c:xVal>
          <c:yVal>
            <c:numLit>
              <c:formatCode>0.000_ ;[Red]\-0.000\ </c:formatCode>
              <c:ptCount val="300"/>
              <c:pt idx="0">
                <c:v>2.0072783127584382</c:v>
              </c:pt>
              <c:pt idx="1">
                <c:v>1.9954270304203692</c:v>
              </c:pt>
              <c:pt idx="2">
                <c:v>1.976633280913846</c:v>
              </c:pt>
              <c:pt idx="3">
                <c:v>1.956612327614919</c:v>
              </c:pt>
              <c:pt idx="4">
                <c:v>1.9354693594200798</c:v>
              </c:pt>
              <c:pt idx="5">
                <c:v>1.9133446281913185</c:v>
              </c:pt>
              <c:pt idx="6">
                <c:v>1.8903783857906227</c:v>
              </c:pt>
              <c:pt idx="7">
                <c:v>1.8666056951834902</c:v>
              </c:pt>
              <c:pt idx="8">
                <c:v>1.8421317452664132</c:v>
              </c:pt>
              <c:pt idx="9">
                <c:v>1.8170266619703859</c:v>
              </c:pt>
              <c:pt idx="10">
                <c:v>1.791325508260905</c:v>
              </c:pt>
              <c:pt idx="11">
                <c:v>1.7651685359999605</c:v>
              </c:pt>
              <c:pt idx="12">
                <c:v>1.7385557451875511</c:v>
              </c:pt>
              <c:pt idx="13">
                <c:v>1.7115572617546722</c:v>
              </c:pt>
              <c:pt idx="14">
                <c:v>1.6841380227358265</c:v>
              </c:pt>
              <c:pt idx="15">
                <c:v>1.656368154062009</c:v>
              </c:pt>
              <c:pt idx="16">
                <c:v>1.6282125927677202</c:v>
              </c:pt>
              <c:pt idx="17">
                <c:v>1.5997064018184601</c:v>
              </c:pt>
              <c:pt idx="18">
                <c:v>1.5708846441797246</c:v>
              </c:pt>
              <c:pt idx="19">
                <c:v>1.5417122568860169</c:v>
              </c:pt>
              <c:pt idx="20">
                <c:v>1.5121892399373364</c:v>
              </c:pt>
              <c:pt idx="21">
                <c:v>1.4823506562991806</c:v>
              </c:pt>
              <c:pt idx="22">
                <c:v>1.4521965059715503</c:v>
              </c:pt>
              <c:pt idx="23">
                <c:v>1.4217267889544436</c:v>
              </c:pt>
              <c:pt idx="24">
                <c:v>1.3909064422823656</c:v>
              </c:pt>
              <c:pt idx="25">
                <c:v>1.3597354659553149</c:v>
              </c:pt>
              <c:pt idx="26">
                <c:v>1.3282489229387884</c:v>
              </c:pt>
              <c:pt idx="27">
                <c:v>1.2965520021292787</c:v>
              </c:pt>
              <c:pt idx="28">
                <c:v>1.2647849553887749</c:v>
              </c:pt>
              <c:pt idx="29">
                <c:v>1.233123097544762</c:v>
              </c:pt>
              <c:pt idx="30">
                <c:v>1.2016014915627391</c:v>
              </c:pt>
              <c:pt idx="31">
                <c:v>1.1701850744772075</c:v>
              </c:pt>
              <c:pt idx="32">
                <c:v>1.1388738462881678</c:v>
              </c:pt>
              <c:pt idx="33">
                <c:v>1.1075976810646244</c:v>
              </c:pt>
              <c:pt idx="34">
                <c:v>1.0764267047375737</c:v>
              </c:pt>
              <c:pt idx="35">
                <c:v>1.0453258543415171</c:v>
              </c:pt>
              <c:pt idx="36">
                <c:v>1.0143652558074496</c:v>
              </c:pt>
              <c:pt idx="37">
                <c:v>0.98350984616987391</c:v>
              </c:pt>
              <c:pt idx="38">
                <c:v>0.95279468839428727</c:v>
              </c:pt>
              <c:pt idx="39">
                <c:v>0.9222197824806897</c:v>
              </c:pt>
              <c:pt idx="40">
                <c:v>0.89178512842908075</c:v>
              </c:pt>
              <c:pt idx="41">
                <c:v>0.86156085217045497</c:v>
              </c:pt>
              <c:pt idx="42">
                <c:v>0.83151189073931642</c:v>
              </c:pt>
              <c:pt idx="43">
                <c:v>0.80174343303215556</c:v>
              </c:pt>
              <c:pt idx="44">
                <c:v>0.77218535311797787</c:v>
              </c:pt>
              <c:pt idx="45">
                <c:v>0.74290777692777743</c:v>
              </c:pt>
              <c:pt idx="46">
                <c:v>0.7138756414960592</c:v>
              </c:pt>
              <c:pt idx="47">
                <c:v>0.68501882089182642</c:v>
              </c:pt>
              <c:pt idx="48">
                <c:v>0.65633731511507953</c:v>
              </c:pt>
              <c:pt idx="49">
                <c:v>0.62772593526932763</c:v>
              </c:pt>
              <c:pt idx="50">
                <c:v>0.59914961838907299</c:v>
              </c:pt>
              <c:pt idx="51">
                <c:v>0.57057330150881835</c:v>
              </c:pt>
              <c:pt idx="52">
                <c:v>0.541961921663066</c:v>
              </c:pt>
              <c:pt idx="53">
                <c:v>0.51331547885181639</c:v>
              </c:pt>
              <c:pt idx="54">
                <c:v>0.48456384714407541</c:v>
              </c:pt>
              <c:pt idx="55">
                <c:v>0.45570702653984285</c:v>
              </c:pt>
              <c:pt idx="56">
                <c:v>0.42667489110812351</c:v>
              </c:pt>
              <c:pt idx="57">
                <c:v>0.39743237788342101</c:v>
              </c:pt>
              <c:pt idx="58">
                <c:v>0.36797948686573534</c:v>
              </c:pt>
              <c:pt idx="59">
                <c:v>0.33831621805506584</c:v>
              </c:pt>
              <c:pt idx="60">
                <c:v>0.30840750848591592</c:v>
              </c:pt>
              <c:pt idx="61">
                <c:v>0.27825335815828489</c:v>
              </c:pt>
              <c:pt idx="62">
                <c:v>0.2478888300376707</c:v>
              </c:pt>
              <c:pt idx="63">
                <c:v>0.21727886115857564</c:v>
              </c:pt>
              <c:pt idx="64">
                <c:v>0.1864585144864972</c:v>
              </c:pt>
              <c:pt idx="65">
                <c:v>0.15542779002143514</c:v>
              </c:pt>
              <c:pt idx="66">
                <c:v>0.12425681369438424</c:v>
              </c:pt>
              <c:pt idx="67">
                <c:v>9.2945585505344264E-2</c:v>
              </c:pt>
              <c:pt idx="68">
                <c:v>6.1634357316304511E-2</c:v>
              </c:pt>
              <c:pt idx="69">
                <c:v>3.0358192092761804E-2</c:v>
              </c:pt>
              <c:pt idx="70">
                <c:v>-9.1797313078090248E-4</c:v>
              </c:pt>
              <c:pt idx="71">
                <c:v>-3.2124012423329074E-2</c:v>
              </c:pt>
              <c:pt idx="72">
                <c:v>-6.3294988750379977E-2</c:v>
              </c:pt>
              <c:pt idx="73">
                <c:v>-9.4430902111933612E-2</c:v>
              </c:pt>
              <c:pt idx="74">
                <c:v>-0.12556681547348725</c:v>
              </c:pt>
              <c:pt idx="75">
                <c:v>-0.15663260290404657</c:v>
              </c:pt>
              <c:pt idx="76">
                <c:v>-0.18766332736910862</c:v>
              </c:pt>
              <c:pt idx="77">
                <c:v>-0.21869405183417046</c:v>
              </c:pt>
              <c:pt idx="78">
                <c:v>-0.24968971333373524</c:v>
              </c:pt>
              <c:pt idx="79">
                <c:v>-0.28068537483329981</c:v>
              </c:pt>
              <c:pt idx="80">
                <c:v>-0.31171609929836208</c:v>
              </c:pt>
              <c:pt idx="81">
                <c:v>-0.34274682376342391</c:v>
              </c:pt>
              <c:pt idx="82">
                <c:v>-0.37381261119398301</c:v>
              </c:pt>
              <c:pt idx="83">
                <c:v>-0.4049134615900396</c:v>
              </c:pt>
              <c:pt idx="84">
                <c:v>-0.4359792490205987</c:v>
              </c:pt>
              <c:pt idx="85">
                <c:v>-0.46700997348566076</c:v>
              </c:pt>
              <c:pt idx="86">
                <c:v>-0.49800563498522532</c:v>
              </c:pt>
              <c:pt idx="87">
                <c:v>-0.52893117055379546</c:v>
              </c:pt>
              <c:pt idx="88">
                <c:v>-0.55975151722587402</c:v>
              </c:pt>
              <c:pt idx="89">
                <c:v>-0.59046667500146077</c:v>
              </c:pt>
              <c:pt idx="90">
                <c:v>-0.6211117068460531</c:v>
              </c:pt>
              <c:pt idx="91">
                <c:v>-0.65161648682865636</c:v>
              </c:pt>
              <c:pt idx="92">
                <c:v>-0.68201607791476793</c:v>
              </c:pt>
              <c:pt idx="93">
                <c:v>-0.71231048010438769</c:v>
              </c:pt>
              <c:pt idx="94">
                <c:v>-0.74249969339751576</c:v>
              </c:pt>
              <c:pt idx="95">
                <c:v>-0.77254865482865487</c:v>
              </c:pt>
              <c:pt idx="96">
                <c:v>-0.80245736439780502</c:v>
              </c:pt>
              <c:pt idx="97">
                <c:v>-0.83226088507046336</c:v>
              </c:pt>
              <c:pt idx="98">
                <c:v>-0.86185402795013832</c:v>
              </c:pt>
              <c:pt idx="99">
                <c:v>-0.89134198193332148</c:v>
              </c:pt>
              <c:pt idx="100">
                <c:v>-0.92058449515802399</c:v>
              </c:pt>
              <c:pt idx="101">
                <c:v>-0.94965169355524004</c:v>
              </c:pt>
              <c:pt idx="102">
                <c:v>-0.97840332526298124</c:v>
              </c:pt>
              <c:pt idx="103">
                <c:v>-1.0068393902812469</c:v>
              </c:pt>
              <c:pt idx="104">
                <c:v>-1.0348546997135459</c:v>
              </c:pt>
              <c:pt idx="105">
                <c:v>-1.0623791276288832</c:v>
              </c:pt>
              <c:pt idx="106">
                <c:v>-1.0893425480962649</c:v>
              </c:pt>
              <c:pt idx="107">
                <c:v>-1.1156397722191986</c:v>
              </c:pt>
              <c:pt idx="108">
                <c:v>-1.141305862963182</c:v>
              </c:pt>
              <c:pt idx="109">
                <c:v>-1.1662356314317235</c:v>
              </c:pt>
              <c:pt idx="110">
                <c:v>-1.190358951693828</c:v>
              </c:pt>
              <c:pt idx="111">
                <c:v>-1.2135706348530044</c:v>
              </c:pt>
              <c:pt idx="112">
                <c:v>-1.2357654920127605</c:v>
              </c:pt>
              <c:pt idx="113">
                <c:v>-1.2568733972421022</c:v>
              </c:pt>
              <c:pt idx="114">
                <c:v>-1.2767540986790402</c:v>
              </c:pt>
              <c:pt idx="115">
                <c:v>-1.2954075963235745</c:v>
              </c:pt>
              <c:pt idx="116">
                <c:v>-1.3127287012792137</c:v>
              </c:pt>
              <c:pt idx="117">
                <c:v>-1.3287875394769519</c:v>
              </c:pt>
              <c:pt idx="118">
                <c:v>-1.3436191738822867</c:v>
              </c:pt>
              <c:pt idx="119">
                <c:v>-1.3572236044952177</c:v>
              </c:pt>
              <c:pt idx="120">
                <c:v>-1.3697410831777344</c:v>
              </c:pt>
              <c:pt idx="121">
                <c:v>-1.3811716099298361</c:v>
              </c:pt>
              <c:pt idx="122">
                <c:v>-1.3916904995790098</c:v>
              </c:pt>
              <c:pt idx="123">
                <c:v>-1.4013328150907522</c:v>
              </c:pt>
              <c:pt idx="124">
                <c:v>-1.410168682396058</c:v>
              </c:pt>
              <c:pt idx="125">
                <c:v>-1.4182682274259215</c:v>
              </c:pt>
              <c:pt idx="126">
                <c:v>-1.4257717020423319</c:v>
              </c:pt>
              <c:pt idx="127">
                <c:v>-1.4327141692107865</c:v>
              </c:pt>
              <c:pt idx="128">
                <c:v>-1.4391657548622796</c:v>
              </c:pt>
              <c:pt idx="129">
                <c:v>-1.4451615219623086</c:v>
              </c:pt>
              <c:pt idx="130">
                <c:v>-1.4507365334763707</c:v>
              </c:pt>
              <c:pt idx="131">
                <c:v>-1.4559258523699627</c:v>
              </c:pt>
              <c:pt idx="132">
                <c:v>-1.4607294786430853</c:v>
              </c:pt>
              <c:pt idx="133">
                <c:v>-1.4652175382267327</c:v>
              </c:pt>
              <c:pt idx="134">
                <c:v>-1.4693549681554077</c:v>
              </c:pt>
              <c:pt idx="135">
                <c:v>-1.4732118943601047</c:v>
              </c:pt>
              <c:pt idx="136">
                <c:v>-1.4767532538753265</c:v>
              </c:pt>
              <c:pt idx="137">
                <c:v>-1.4800141096665702</c:v>
              </c:pt>
              <c:pt idx="138">
                <c:v>-1.4829593987683389</c:v>
              </c:pt>
              <c:pt idx="139">
                <c:v>-1.4856592471116268</c:v>
              </c:pt>
              <c:pt idx="140">
                <c:v>-1.4880785917309367</c:v>
              </c:pt>
              <c:pt idx="141">
                <c:v>-1.4902174326262687</c:v>
              </c:pt>
              <c:pt idx="142">
                <c:v>-1.4921108327631198</c:v>
              </c:pt>
              <c:pt idx="143">
                <c:v>-1.4937938551069876</c:v>
              </c:pt>
              <c:pt idx="144">
                <c:v>-1.4951963737268774</c:v>
              </c:pt>
              <c:pt idx="145">
                <c:v>-1.4963885145537839</c:v>
              </c:pt>
              <c:pt idx="146">
                <c:v>-1.4973702775877067</c:v>
              </c:pt>
              <c:pt idx="147">
                <c:v>-1.4981065998631489</c:v>
              </c:pt>
              <c:pt idx="148">
                <c:v>-1.4985974813801102</c:v>
              </c:pt>
              <c:pt idx="149">
                <c:v>-1.4989130480695854</c:v>
              </c:pt>
              <c:pt idx="150">
                <c:v>-1.5</c:v>
              </c:pt>
              <c:pt idx="151">
                <c:v>-1.4989130480695854</c:v>
              </c:pt>
              <c:pt idx="152">
                <c:v>-1.4985624184146129</c:v>
              </c:pt>
              <c:pt idx="153">
                <c:v>-1.4979312850356625</c:v>
              </c:pt>
              <c:pt idx="154">
                <c:v>-1.496984584967237</c:v>
              </c:pt>
              <c:pt idx="155">
                <c:v>-1.4957573811748333</c:v>
              </c:pt>
              <c:pt idx="156">
                <c:v>-1.4942146106929546</c:v>
              </c:pt>
              <c:pt idx="157">
                <c:v>-1.492426399452595</c:v>
              </c:pt>
              <c:pt idx="158">
                <c:v>-1.4903576844882576</c:v>
              </c:pt>
              <c:pt idx="159">
                <c:v>-1.4880435287654394</c:v>
              </c:pt>
              <c:pt idx="160">
                <c:v>-1.4854839322841404</c:v>
              </c:pt>
              <c:pt idx="161">
                <c:v>-1.4826788950443608</c:v>
              </c:pt>
              <c:pt idx="162">
                <c:v>-1.4795933540806032</c:v>
              </c:pt>
              <c:pt idx="163">
                <c:v>-1.476262372358365</c:v>
              </c:pt>
              <c:pt idx="164">
                <c:v>-1.4726508869121488</c:v>
              </c:pt>
              <c:pt idx="165">
                <c:v>-1.4687238347764573</c:v>
              </c:pt>
              <c:pt idx="166">
                <c:v>-1.4645162789167878</c:v>
              </c:pt>
              <c:pt idx="167">
                <c:v>-1.4599931563676434</c:v>
              </c:pt>
              <c:pt idx="168">
                <c:v>-1.4551544671290235</c:v>
              </c:pt>
              <c:pt idx="169">
                <c:v>-1.4499300852699339</c:v>
              </c:pt>
              <c:pt idx="170">
                <c:v>-1.4443550737558719</c:v>
              </c:pt>
              <c:pt idx="171">
                <c:v>-1.4383593066558431</c:v>
              </c:pt>
              <c:pt idx="172">
                <c:v>-1.4319778469353444</c:v>
              </c:pt>
              <c:pt idx="173">
                <c:v>-1.4251756316288788</c:v>
              </c:pt>
              <c:pt idx="174">
                <c:v>-1.4178825348054518</c:v>
              </c:pt>
              <c:pt idx="175">
                <c:v>-1.4100634934995662</c:v>
              </c:pt>
              <c:pt idx="176">
                <c:v>-1.4017185077112218</c:v>
              </c:pt>
              <c:pt idx="177">
                <c:v>-1.3927073255784299</c:v>
              </c:pt>
              <c:pt idx="178">
                <c:v>-1.3830299471011902</c:v>
              </c:pt>
              <c:pt idx="179">
                <c:v>-1.372546120417514</c:v>
              </c:pt>
              <c:pt idx="180">
                <c:v>-1.3611506566309093</c:v>
              </c:pt>
              <c:pt idx="181">
                <c:v>-1.3487383668448845</c:v>
              </c:pt>
              <c:pt idx="182">
                <c:v>-1.3351339362319532</c:v>
              </c:pt>
              <c:pt idx="183">
                <c:v>-1.3201620499646296</c:v>
              </c:pt>
              <c:pt idx="184">
                <c:v>-1.3037175191464216</c:v>
              </c:pt>
              <c:pt idx="185">
                <c:v>-1.2855899659843459</c:v>
              </c:pt>
              <c:pt idx="186">
                <c:v>-1.2658495164093968</c:v>
              </c:pt>
              <c:pt idx="187">
                <c:v>-1.244566296352569</c:v>
              </c:pt>
              <c:pt idx="188">
                <c:v>-1.2221259984343322</c:v>
              </c:pt>
              <c:pt idx="189">
                <c:v>-1.1988091263786642</c:v>
              </c:pt>
              <c:pt idx="190">
                <c:v>-1.1748611209440458</c:v>
              </c:pt>
              <c:pt idx="191">
                <c:v>-1.1503521080614714</c:v>
              </c:pt>
              <c:pt idx="192">
                <c:v>-1.1252820877309411</c:v>
              </c:pt>
              <c:pt idx="193">
                <c:v>-1.0996159969869577</c:v>
              </c:pt>
              <c:pt idx="194">
                <c:v>-1.0733187728640239</c:v>
              </c:pt>
              <c:pt idx="195">
                <c:v>-1.0463904153621395</c:v>
              </c:pt>
              <c:pt idx="196">
                <c:v>-1.0187958615158075</c:v>
              </c:pt>
              <c:pt idx="197">
                <c:v>-0.99064030022151972</c:v>
              </c:pt>
              <c:pt idx="198">
                <c:v>-0.96202892037576759</c:v>
              </c:pt>
              <c:pt idx="199">
                <c:v>-0.93299678494404881</c:v>
              </c:pt>
              <c:pt idx="200">
                <c:v>-0.90368414578835177</c:v>
              </c:pt>
              <c:pt idx="201">
                <c:v>-0.87416112883967134</c:v>
              </c:pt>
              <c:pt idx="202">
                <c:v>-0.84446279706350458</c:v>
              </c:pt>
              <c:pt idx="203">
                <c:v>-0.81455408749435465</c:v>
              </c:pt>
              <c:pt idx="204">
                <c:v>-0.78450512606321554</c:v>
              </c:pt>
              <c:pt idx="205">
                <c:v>-0.75431591277008747</c:v>
              </c:pt>
              <c:pt idx="206">
                <c:v>-0.72398644761497044</c:v>
              </c:pt>
              <c:pt idx="207">
                <c:v>-0.6935517935633615</c:v>
              </c:pt>
              <c:pt idx="208">
                <c:v>-0.66301195061526108</c:v>
              </c:pt>
              <c:pt idx="209">
                <c:v>-0.63236691877066886</c:v>
              </c:pt>
              <c:pt idx="210">
                <c:v>-0.60168682396057938</c:v>
              </c:pt>
              <c:pt idx="211">
                <c:v>-0.57093660321949535</c:v>
              </c:pt>
              <c:pt idx="212">
                <c:v>-0.54018638247841133</c:v>
              </c:pt>
              <c:pt idx="213">
                <c:v>-0.50943616173732742</c:v>
              </c:pt>
              <c:pt idx="214">
                <c:v>-0.47872100396174044</c:v>
              </c:pt>
              <c:pt idx="215">
                <c:v>-0.44797078322065653</c:v>
              </c:pt>
              <c:pt idx="216">
                <c:v>-0.41722056247957262</c:v>
              </c:pt>
              <c:pt idx="217">
                <c:v>-0.38643527877299144</c:v>
              </c:pt>
              <c:pt idx="218">
                <c:v>-0.35557986913541573</c:v>
              </c:pt>
              <c:pt idx="219">
                <c:v>-0.32461927060134799</c:v>
              </c:pt>
              <c:pt idx="220">
                <c:v>-0.29358854613628638</c:v>
              </c:pt>
              <c:pt idx="221">
                <c:v>-0.26248769574023001</c:v>
              </c:pt>
              <c:pt idx="222">
                <c:v>-0.23135178237867615</c:v>
              </c:pt>
              <c:pt idx="223">
                <c:v>-0.20014574308612798</c:v>
              </c:pt>
              <c:pt idx="224">
                <c:v>-0.16893970379357959</c:v>
              </c:pt>
              <c:pt idx="225">
                <c:v>-0.13776872746652868</c:v>
              </c:pt>
              <c:pt idx="226">
                <c:v>-0.10663281410497505</c:v>
              </c:pt>
              <c:pt idx="227">
                <c:v>-7.5496900743421191E-2</c:v>
              </c:pt>
              <c:pt idx="228">
                <c:v>-4.4360987381867556E-2</c:v>
              </c:pt>
              <c:pt idx="229">
                <c:v>-1.3190011054816653E-2</c:v>
              </c:pt>
              <c:pt idx="230">
                <c:v>1.7980965272234029E-2</c:v>
              </c:pt>
              <c:pt idx="231">
                <c:v>4.9257130495776957E-2</c:v>
              </c:pt>
              <c:pt idx="232">
                <c:v>8.0568358684816932E-2</c:v>
              </c:pt>
              <c:pt idx="233">
                <c:v>0.11187958687385691</c:v>
              </c:pt>
              <c:pt idx="234">
                <c:v>0.14315575209739939</c:v>
              </c:pt>
              <c:pt idx="235">
                <c:v>0.17436179138994756</c:v>
              </c:pt>
              <c:pt idx="236">
                <c:v>0.20535745288951257</c:v>
              </c:pt>
              <c:pt idx="237">
                <c:v>0.23610767363059648</c:v>
              </c:pt>
              <c:pt idx="238">
                <c:v>0.26657739064770247</c:v>
              </c:pt>
              <c:pt idx="239">
                <c:v>0.29676660394083032</c:v>
              </c:pt>
              <c:pt idx="240">
                <c:v>0.32667531350998047</c:v>
              </c:pt>
              <c:pt idx="241">
                <c:v>0.35633858232064997</c:v>
              </c:pt>
              <c:pt idx="242">
                <c:v>0.38575641037283859</c:v>
              </c:pt>
              <c:pt idx="243">
                <c:v>0.41489373470104907</c:v>
              </c:pt>
              <c:pt idx="244">
                <c:v>0.44378561827077934</c:v>
              </c:pt>
              <c:pt idx="245">
                <c:v>0.47250218701302305</c:v>
              </c:pt>
              <c:pt idx="246">
                <c:v>0.50107850389327835</c:v>
              </c:pt>
              <c:pt idx="247">
                <c:v>0.52958469484253845</c:v>
              </c:pt>
              <c:pt idx="248">
                <c:v>0.55805582282630128</c:v>
              </c:pt>
              <c:pt idx="249">
                <c:v>0.5865970767410591</c:v>
              </c:pt>
              <c:pt idx="250">
                <c:v>0.61524351955230827</c:v>
              </c:pt>
              <c:pt idx="251">
                <c:v>0.64406527719104378</c:v>
              </c:pt>
              <c:pt idx="252">
                <c:v>0.67302728669176792</c:v>
              </c:pt>
              <c:pt idx="253">
                <c:v>0.70216461101997885</c:v>
              </c:pt>
              <c:pt idx="254">
                <c:v>0.73144218721017884</c:v>
              </c:pt>
              <c:pt idx="255">
                <c:v>0.76089507822786473</c:v>
              </c:pt>
              <c:pt idx="256">
                <c:v>0.79052328407303651</c:v>
              </c:pt>
              <c:pt idx="257">
                <c:v>0.82029174178019781</c:v>
              </c:pt>
              <c:pt idx="258">
                <c:v>0.85023551431484545</c:v>
              </c:pt>
              <c:pt idx="259">
                <c:v>0.88035460167697854</c:v>
              </c:pt>
              <c:pt idx="260">
                <c:v>0.91057887793560432</c:v>
              </c:pt>
              <c:pt idx="261">
                <c:v>0.94094340605621873</c:v>
              </c:pt>
              <c:pt idx="262">
                <c:v>0.97141312307332495</c:v>
              </c:pt>
              <c:pt idx="263">
                <c:v>1.0019880289869221</c:v>
              </c:pt>
              <c:pt idx="264">
                <c:v>1.0326681237970119</c:v>
              </c:pt>
              <c:pt idx="265">
                <c:v>1.0635235334345876</c:v>
              </c:pt>
              <c:pt idx="266">
                <c:v>1.0945542578996492</c:v>
              </c:pt>
              <c:pt idx="267">
                <c:v>1.1258654860886894</c:v>
              </c:pt>
              <c:pt idx="268">
                <c:v>1.1574572180017073</c:v>
              </c:pt>
              <c:pt idx="269">
                <c:v>1.1892593277077088</c:v>
              </c:pt>
              <c:pt idx="270">
                <c:v>1.2212016892756989</c:v>
              </c:pt>
              <c:pt idx="271">
                <c:v>1.2531089878781918</c:v>
              </c:pt>
              <c:pt idx="272">
                <c:v>1.284876034618696</c:v>
              </c:pt>
              <c:pt idx="273">
                <c:v>1.3165729554282062</c:v>
              </c:pt>
              <c:pt idx="274">
                <c:v>1.3481646873412236</c:v>
              </c:pt>
              <c:pt idx="275">
                <c:v>1.379686293323247</c:v>
              </c:pt>
              <c:pt idx="276">
                <c:v>1.4111027104087785</c:v>
              </c:pt>
              <c:pt idx="277">
                <c:v>1.4423788756323215</c:v>
              </c:pt>
              <c:pt idx="278">
                <c:v>1.4734446630628804</c:v>
              </c:pt>
              <c:pt idx="279">
                <c:v>1.5043351356659538</c:v>
              </c:pt>
              <c:pt idx="280">
                <c:v>1.5350152304760432</c:v>
              </c:pt>
              <c:pt idx="281">
                <c:v>1.5654148215621548</c:v>
              </c:pt>
              <c:pt idx="282">
                <c:v>1.5953235311313048</c:v>
              </c:pt>
              <c:pt idx="283">
                <c:v>1.6245660443560075</c:v>
              </c:pt>
              <c:pt idx="284">
                <c:v>1.6529670464087758</c:v>
              </c:pt>
              <c:pt idx="285">
                <c:v>1.6804564113586156</c:v>
              </c:pt>
              <c:pt idx="286">
                <c:v>1.7070341392055282</c:v>
              </c:pt>
              <c:pt idx="287">
                <c:v>1.7328755447769977</c:v>
              </c:pt>
              <c:pt idx="288">
                <c:v>1.7581559429005114</c:v>
              </c:pt>
              <c:pt idx="289">
                <c:v>1.7831909002655442</c:v>
              </c:pt>
              <c:pt idx="290">
                <c:v>1.8081907946650797</c:v>
              </c:pt>
              <c:pt idx="291">
                <c:v>1.833225752030113</c:v>
              </c:pt>
              <c:pt idx="292">
                <c:v>1.858365898291638</c:v>
              </c:pt>
              <c:pt idx="293">
                <c:v>1.8834359186221681</c:v>
              </c:pt>
              <c:pt idx="294">
                <c:v>1.9081903722632236</c:v>
              </c:pt>
              <c:pt idx="295">
                <c:v>1.932138377697842</c:v>
              </c:pt>
              <c:pt idx="296">
                <c:v>1.9548942423055538</c:v>
              </c:pt>
              <c:pt idx="297">
                <c:v>1.9760021475348952</c:v>
              </c:pt>
              <c:pt idx="298">
                <c:v>1.9953569044893751</c:v>
              </c:pt>
              <c:pt idx="299">
                <c:v>2.0072783127584382</c:v>
              </c:pt>
            </c:numLit>
          </c:yVal>
          <c:smooth val="0"/>
          <c:extLst>
            <c:ext xmlns:c16="http://schemas.microsoft.com/office/drawing/2014/chart" uri="{C3380CC4-5D6E-409C-BE32-E72D297353CC}">
              <c16:uniqueId val="{00000007-BB0E-0744-A0DC-C4386760963D}"/>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a:t>
            </a:r>
            <a:r>
              <a:rPr lang="en-US" altLang="ja-JP"/>
              <a:t>/</a:t>
            </a:r>
            <a:r>
              <a:rPr lang="ja-JP" altLang="en-US"/>
              <a:t>ねじれ剛性分布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主桁!$AN$3</c:f>
              <c:strCache>
                <c:ptCount val="1"/>
                <c:pt idx="0">
                  <c:v>曲げ剛性</c:v>
                </c:pt>
              </c:strCache>
            </c:strRef>
          </c:tx>
          <c:spPr>
            <a:ln w="25400" cap="rnd">
              <a:noFill/>
              <a:round/>
            </a:ln>
            <a:effectLst/>
          </c:spPr>
          <c:marker>
            <c:symbol val="circle"/>
            <c:size val="5"/>
            <c:spPr>
              <a:solidFill>
                <a:schemeClr val="accent1"/>
              </a:solidFill>
              <a:ln w="9525">
                <a:solidFill>
                  <a:schemeClr val="accent1"/>
                </a:solidFill>
              </a:ln>
              <a:effectLst/>
            </c:spPr>
          </c:marker>
          <c:xVal>
            <c:numRef>
              <c:f>主桁!$AH$6:$AH$70</c:f>
              <c:numCache>
                <c:formatCode>0.0.E+00</c:formatCode>
                <c:ptCount val="6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主桁!$AU$6:$AU$70</c:f>
              <c:numCache>
                <c:formatCode>0.000_ ;[Red]\-0.000\ </c:formatCode>
                <c:ptCount val="65"/>
              </c:numCache>
            </c:numRef>
          </c:yVal>
          <c:smooth val="0"/>
          <c:extLst>
            <c:ext xmlns:c16="http://schemas.microsoft.com/office/drawing/2014/chart" uri="{C3380CC4-5D6E-409C-BE32-E72D297353CC}">
              <c16:uniqueId val="{00000000-A920-444D-A4C9-750B0AC53871}"/>
            </c:ext>
          </c:extLst>
        </c:ser>
        <c:ser>
          <c:idx val="1"/>
          <c:order val="1"/>
          <c:tx>
            <c:strRef>
              <c:f>主桁!$AO$3</c:f>
              <c:strCache>
                <c:ptCount val="1"/>
                <c:pt idx="0">
                  <c:v>ねじれ剛性</c:v>
                </c:pt>
              </c:strCache>
            </c:strRef>
          </c:tx>
          <c:spPr>
            <a:ln w="25400" cap="rnd">
              <a:noFill/>
              <a:round/>
            </a:ln>
            <a:effectLst/>
          </c:spPr>
          <c:marker>
            <c:symbol val="circle"/>
            <c:size val="5"/>
            <c:spPr>
              <a:solidFill>
                <a:schemeClr val="accent2"/>
              </a:solidFill>
              <a:ln w="9525">
                <a:solidFill>
                  <a:schemeClr val="accent2"/>
                </a:solidFill>
              </a:ln>
              <a:effectLst/>
            </c:spPr>
          </c:marker>
          <c:xVal>
            <c:numRef>
              <c:f>主桁!$AH$6:$AH$100</c:f>
              <c:numCache>
                <c:formatCode>0.0.E+00</c:formatCode>
                <c:ptCount val="9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主桁!$AV$6:$AV$100</c:f>
              <c:numCache>
                <c:formatCode>0.000_ ;[Red]\-0.000\ </c:formatCode>
                <c:ptCount val="95"/>
                <c:pt idx="0">
                  <c:v>0</c:v>
                </c:pt>
                <c:pt idx="1">
                  <c:v>0.71375277206480425</c:v>
                </c:pt>
                <c:pt idx="2">
                  <c:v>0.17843819301620101</c:v>
                </c:pt>
                <c:pt idx="3">
                  <c:v>0.17843819301620101</c:v>
                </c:pt>
                <c:pt idx="4">
                  <c:v>0.39496068013732971</c:v>
                </c:pt>
                <c:pt idx="5">
                  <c:v>0.61580267039526659</c:v>
                </c:pt>
                <c:pt idx="6">
                  <c:v>0.36084941929292896</c:v>
                </c:pt>
                <c:pt idx="7">
                  <c:v>0.18510185575069649</c:v>
                </c:pt>
                <c:pt idx="8">
                  <c:v>0.1825339093404548</c:v>
                </c:pt>
                <c:pt idx="9">
                  <c:v>0.17996596197750961</c:v>
                </c:pt>
                <c:pt idx="10">
                  <c:v>0.17739801362094659</c:v>
                </c:pt>
                <c:pt idx="11">
                  <c:v>0.17483006422747499</c:v>
                </c:pt>
                <c:pt idx="12">
                  <c:v>0.1722621137512485</c:v>
                </c:pt>
                <c:pt idx="13">
                  <c:v>0.16969416214367974</c:v>
                </c:pt>
                <c:pt idx="14">
                  <c:v>0.1671262093532295</c:v>
                </c:pt>
                <c:pt idx="15">
                  <c:v>0.16455825532518087</c:v>
                </c:pt>
                <c:pt idx="16">
                  <c:v>0.16199030000138712</c:v>
                </c:pt>
                <c:pt idx="17">
                  <c:v>0.15942234331999941</c:v>
                </c:pt>
                <c:pt idx="18">
                  <c:v>0.15685438521517403</c:v>
                </c:pt>
                <c:pt idx="19">
                  <c:v>0.15428642561673336</c:v>
                </c:pt>
                <c:pt idx="20">
                  <c:v>0.15171846444981305</c:v>
                </c:pt>
                <c:pt idx="21">
                  <c:v>0.11210422601140921</c:v>
                </c:pt>
                <c:pt idx="22">
                  <c:v>0.20990796267063094</c:v>
                </c:pt>
                <c:pt idx="23">
                  <c:v>0.32536232801880438</c:v>
                </c:pt>
                <c:pt idx="24">
                  <c:v>0.2010264245975398</c:v>
                </c:pt>
                <c:pt idx="25">
                  <c:v>0.13215754529569479</c:v>
                </c:pt>
                <c:pt idx="26">
                  <c:v>0.12992743685660443</c:v>
                </c:pt>
                <c:pt idx="27">
                  <c:v>0.12769732729328742</c:v>
                </c:pt>
                <c:pt idx="28">
                  <c:v>0.1254672165461134</c:v>
                </c:pt>
                <c:pt idx="29">
                  <c:v>0.12323710455115688</c:v>
                </c:pt>
                <c:pt idx="30">
                  <c:v>0.12100699123980703</c:v>
                </c:pt>
                <c:pt idx="31">
                  <c:v>0.11877687653832762</c:v>
                </c:pt>
                <c:pt idx="32">
                  <c:v>0.11654676036736915</c:v>
                </c:pt>
                <c:pt idx="33">
                  <c:v>0.11431664264142659</c:v>
                </c:pt>
                <c:pt idx="34">
                  <c:v>0.11208652326822853</c:v>
                </c:pt>
                <c:pt idx="35">
                  <c:v>0.10985640214805552</c:v>
                </c:pt>
                <c:pt idx="36">
                  <c:v>0.10762627917297249</c:v>
                </c:pt>
                <c:pt idx="37">
                  <c:v>0.10539615422596467</c:v>
                </c:pt>
                <c:pt idx="38">
                  <c:v>0.10316602717996205</c:v>
                </c:pt>
                <c:pt idx="39">
                  <c:v>0.10093589789673471</c:v>
                </c:pt>
                <c:pt idx="40">
                  <c:v>0.17613463991361261</c:v>
                </c:pt>
                <c:pt idx="41">
                  <c:v>0.26120931230991251</c:v>
                </c:pt>
                <c:pt idx="42">
                  <c:v>0.16001229732404229</c:v>
                </c:pt>
                <c:pt idx="43">
                  <c:v>7.9054990815865533E-2</c:v>
                </c:pt>
                <c:pt idx="44">
                  <c:v>7.7170686007568129E-2</c:v>
                </c:pt>
                <c:pt idx="45">
                  <c:v>7.5286378911843366E-2</c:v>
                </c:pt>
                <c:pt idx="46">
                  <c:v>7.3402069352507079E-2</c:v>
                </c:pt>
                <c:pt idx="47">
                  <c:v>7.1517757134804766E-2</c:v>
                </c:pt>
                <c:pt idx="48">
                  <c:v>6.9633442042904892E-2</c:v>
                </c:pt>
                <c:pt idx="49">
                  <c:v>6.7749123836975386E-2</c:v>
                </c:pt>
                <c:pt idx="50">
                  <c:v>6.5864802249694335E-2</c:v>
                </c:pt>
                <c:pt idx="51">
                  <c:v>6.3980476982244419E-2</c:v>
                </c:pt>
                <c:pt idx="52">
                  <c:v>6.209614769957382E-2</c:v>
                </c:pt>
                <c:pt idx="53">
                  <c:v>6.0211814024647745E-2</c:v>
                </c:pt>
                <c:pt idx="54">
                  <c:v>5.8327475531702803E-2</c:v>
                </c:pt>
                <c:pt idx="55">
                  <c:v>5.6443131738113106E-2</c:v>
                </c:pt>
                <c:pt idx="56">
                  <c:v>5.4558782094594284E-2</c:v>
                </c:pt>
                <c:pt idx="57">
                  <c:v>5.2674425973154651E-2</c:v>
                </c:pt>
                <c:pt idx="58">
                  <c:v>5.0790062652590492E-2</c:v>
                </c:pt>
                <c:pt idx="59">
                  <c:v>4.890569130059412E-2</c:v>
                </c:pt>
                <c:pt idx="60">
                  <c:v>9.6886244918692702E-2</c:v>
                </c:pt>
                <c:pt idx="61">
                  <c:v>0</c:v>
                </c:pt>
              </c:numCache>
            </c:numRef>
          </c:yVal>
          <c:smooth val="0"/>
          <c:extLst>
            <c:ext xmlns:c16="http://schemas.microsoft.com/office/drawing/2014/chart" uri="{C3380CC4-5D6E-409C-BE32-E72D297353CC}">
              <c16:uniqueId val="{00000000-044A-A949-8AC7-5D8278E37CA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厚さマージン分布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'[1]スパー寸法(sht20)'!$S$43</c:f>
              <c:strCache>
                <c:ptCount val="1"/>
                <c:pt idx="0">
                  <c:v>GJ</c:v>
                </c:pt>
              </c:strCache>
            </c:strRef>
          </c:tx>
          <c:spPr>
            <a:ln w="25400" cap="rnd">
              <a:noFill/>
              <a:round/>
            </a:ln>
            <a:effectLst/>
          </c:spPr>
          <c:marker>
            <c:symbol val="circle"/>
            <c:size val="5"/>
            <c:spPr>
              <a:solidFill>
                <a:schemeClr val="accent1"/>
              </a:solidFill>
              <a:ln w="9525">
                <a:solidFill>
                  <a:schemeClr val="accent1"/>
                </a:solidFill>
              </a:ln>
              <a:effectLst/>
            </c:spPr>
          </c:marker>
          <c:xVal>
            <c:numRef>
              <c:f>'[1]スパー寸法(sht20)'!$E$45:$E$107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'[1]スパー寸法(sht20)'!$S$45:$S$107</c:f>
              <c:numCache>
                <c:formatCode>General</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Cache>
            </c:numRef>
          </c:yVal>
          <c:smooth val="0"/>
          <c:extLst>
            <c:ext xmlns:c16="http://schemas.microsoft.com/office/drawing/2014/chart" uri="{C3380CC4-5D6E-409C-BE32-E72D297353CC}">
              <c16:uniqueId val="{00000000-B52B-E74C-A478-796C8FB65D93}"/>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8">
  <a:schemeClr val="accent5"/>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7</xdr:col>
      <xdr:colOff>0</xdr:colOff>
      <xdr:row>18</xdr:row>
      <xdr:rowOff>0</xdr:rowOff>
    </xdr:from>
    <xdr:to>
      <xdr:col>9</xdr:col>
      <xdr:colOff>0</xdr:colOff>
      <xdr:row>19</xdr:row>
      <xdr:rowOff>0</xdr:rowOff>
    </xdr:to>
    <xdr:sp macro="" textlink="">
      <xdr:nvSpPr>
        <xdr:cNvPr id="3" name="正方形/長方形 1">
          <a:extLst>
            <a:ext uri="{FF2B5EF4-FFF2-40B4-BE49-F238E27FC236}">
              <a16:creationId xmlns:a16="http://schemas.microsoft.com/office/drawing/2014/main" id="{3D6C1B83-FEEB-4942-8A18-624821996123}"/>
            </a:ext>
          </a:extLst>
        </xdr:cNvPr>
        <xdr:cNvSpPr/>
      </xdr:nvSpPr>
      <xdr:spPr>
        <a:xfrm>
          <a:off x="6159500" y="4660900"/>
          <a:ext cx="1498600" cy="26670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l"/>
          <a:r>
            <a:rPr kumimoji="1" lang="ja-JP" altLang="en-US" sz="1100">
              <a:solidFill>
                <a:sysClr val="windowText" lastClr="000000"/>
              </a:solidFill>
            </a:rPr>
            <a:t>線型解析</a:t>
          </a:r>
        </a:p>
      </xdr:txBody>
    </xdr:sp>
    <xdr:clientData/>
  </xdr:twoCellAnchor>
  <xdr:twoCellAnchor>
    <xdr:from>
      <xdr:col>6</xdr:col>
      <xdr:colOff>0</xdr:colOff>
      <xdr:row>18</xdr:row>
      <xdr:rowOff>0</xdr:rowOff>
    </xdr:from>
    <xdr:to>
      <xdr:col>7</xdr:col>
      <xdr:colOff>0</xdr:colOff>
      <xdr:row>19</xdr:row>
      <xdr:rowOff>0</xdr:rowOff>
    </xdr:to>
    <xdr:sp macro="" textlink="">
      <xdr:nvSpPr>
        <xdr:cNvPr id="4" name="正方形/長方形 1">
          <a:extLst>
            <a:ext uri="{FF2B5EF4-FFF2-40B4-BE49-F238E27FC236}">
              <a16:creationId xmlns:a16="http://schemas.microsoft.com/office/drawing/2014/main" id="{DF1998F1-1D7F-D94B-9EF5-4A26324FF780}"/>
            </a:ext>
          </a:extLst>
        </xdr:cNvPr>
        <xdr:cNvSpPr/>
      </xdr:nvSpPr>
      <xdr:spPr>
        <a:xfrm>
          <a:off x="4800600" y="4660900"/>
          <a:ext cx="1358900" cy="26670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l"/>
          <a:r>
            <a:rPr kumimoji="1" lang="ja-JP" altLang="en-US" sz="1100">
              <a:solidFill>
                <a:sysClr val="windowText" lastClr="000000"/>
              </a:solidFill>
            </a:rPr>
            <a:t>トリムセット</a:t>
          </a:r>
        </a:p>
      </xdr:txBody>
    </xdr:sp>
    <xdr:clientData/>
  </xdr:twoCellAnchor>
  <xdr:twoCellAnchor>
    <xdr:from>
      <xdr:col>2</xdr:col>
      <xdr:colOff>0</xdr:colOff>
      <xdr:row>36</xdr:row>
      <xdr:rowOff>0</xdr:rowOff>
    </xdr:from>
    <xdr:to>
      <xdr:col>2</xdr:col>
      <xdr:colOff>740807</xdr:colOff>
      <xdr:row>37</xdr:row>
      <xdr:rowOff>248</xdr:rowOff>
    </xdr:to>
    <xdr:sp macro="" textlink="">
      <xdr:nvSpPr>
        <xdr:cNvPr id="2" name="正方形/長方形 1">
          <a:extLst>
            <a:ext uri="{FF2B5EF4-FFF2-40B4-BE49-F238E27FC236}">
              <a16:creationId xmlns:a16="http://schemas.microsoft.com/office/drawing/2014/main" id="{F3E0D0E3-552A-CD44-B2A2-BF3EFC927AB5}"/>
            </a:ext>
          </a:extLst>
        </xdr:cNvPr>
        <xdr:cNvSpPr/>
      </xdr:nvSpPr>
      <xdr:spPr>
        <a:xfrm>
          <a:off x="1549400" y="254000"/>
          <a:ext cx="740807" cy="254248"/>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計算</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14</xdr:row>
      <xdr:rowOff>0</xdr:rowOff>
    </xdr:from>
    <xdr:to>
      <xdr:col>18</xdr:col>
      <xdr:colOff>787869</xdr:colOff>
      <xdr:row>19</xdr:row>
      <xdr:rowOff>270462</xdr:rowOff>
    </xdr:to>
    <xdr:graphicFrame macro="">
      <xdr:nvGraphicFramePr>
        <xdr:cNvPr id="101" name="グラフ 25">
          <a:extLst>
            <a:ext uri="{FF2B5EF4-FFF2-40B4-BE49-F238E27FC236}">
              <a16:creationId xmlns:a16="http://schemas.microsoft.com/office/drawing/2014/main" id="{99FF61F8-1A49-B94E-9DFF-F55CB93D9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1410</xdr:colOff>
      <xdr:row>20</xdr:row>
      <xdr:rowOff>0</xdr:rowOff>
    </xdr:from>
    <xdr:to>
      <xdr:col>18</xdr:col>
      <xdr:colOff>787869</xdr:colOff>
      <xdr:row>27</xdr:row>
      <xdr:rowOff>33867</xdr:rowOff>
    </xdr:to>
    <xdr:graphicFrame macro="">
      <xdr:nvGraphicFramePr>
        <xdr:cNvPr id="110" name="グラフ 16">
          <a:extLst>
            <a:ext uri="{FF2B5EF4-FFF2-40B4-BE49-F238E27FC236}">
              <a16:creationId xmlns:a16="http://schemas.microsoft.com/office/drawing/2014/main" id="{526DF997-9018-E747-9BD2-31E3FA375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20</xdr:row>
      <xdr:rowOff>0</xdr:rowOff>
    </xdr:from>
    <xdr:to>
      <xdr:col>12</xdr:col>
      <xdr:colOff>1410</xdr:colOff>
      <xdr:row>27</xdr:row>
      <xdr:rowOff>1</xdr:rowOff>
    </xdr:to>
    <xdr:graphicFrame macro="">
      <xdr:nvGraphicFramePr>
        <xdr:cNvPr id="100" name="グラフ 23">
          <a:extLst>
            <a:ext uri="{FF2B5EF4-FFF2-40B4-BE49-F238E27FC236}">
              <a16:creationId xmlns:a16="http://schemas.microsoft.com/office/drawing/2014/main" id="{2DF7371B-54CB-5B48-8A56-6475A670C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34</xdr:row>
      <xdr:rowOff>0</xdr:rowOff>
    </xdr:from>
    <xdr:to>
      <xdr:col>3</xdr:col>
      <xdr:colOff>0</xdr:colOff>
      <xdr:row>35</xdr:row>
      <xdr:rowOff>0</xdr:rowOff>
    </xdr:to>
    <xdr:sp macro="" textlink="">
      <xdr:nvSpPr>
        <xdr:cNvPr id="26" name="正方形/長方形 1">
          <a:extLst>
            <a:ext uri="{FF2B5EF4-FFF2-40B4-BE49-F238E27FC236}">
              <a16:creationId xmlns:a16="http://schemas.microsoft.com/office/drawing/2014/main" id="{0ED41663-A441-9643-AAEC-4C291A558F8D}"/>
            </a:ext>
          </a:extLst>
        </xdr:cNvPr>
        <xdr:cNvSpPr/>
      </xdr:nvSpPr>
      <xdr:spPr>
        <a:xfrm>
          <a:off x="778933" y="8805333"/>
          <a:ext cx="1557867"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27</xdr:row>
      <xdr:rowOff>0</xdr:rowOff>
    </xdr:from>
    <xdr:to>
      <xdr:col>19</xdr:col>
      <xdr:colOff>0</xdr:colOff>
      <xdr:row>33</xdr:row>
      <xdr:rowOff>0</xdr:rowOff>
    </xdr:to>
    <xdr:graphicFrame macro="">
      <xdr:nvGraphicFramePr>
        <xdr:cNvPr id="106" name="グラフ 24">
          <a:extLst>
            <a:ext uri="{FF2B5EF4-FFF2-40B4-BE49-F238E27FC236}">
              <a16:creationId xmlns:a16="http://schemas.microsoft.com/office/drawing/2014/main" id="{2311E428-BF89-B746-B90B-F83039FD1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14</xdr:row>
      <xdr:rowOff>0</xdr:rowOff>
    </xdr:from>
    <xdr:to>
      <xdr:col>12</xdr:col>
      <xdr:colOff>0</xdr:colOff>
      <xdr:row>19</xdr:row>
      <xdr:rowOff>270462</xdr:rowOff>
    </xdr:to>
    <xdr:graphicFrame macro="">
      <xdr:nvGraphicFramePr>
        <xdr:cNvPr id="108" name="グラフ 14">
          <a:extLst>
            <a:ext uri="{FF2B5EF4-FFF2-40B4-BE49-F238E27FC236}">
              <a16:creationId xmlns:a16="http://schemas.microsoft.com/office/drawing/2014/main" id="{A21F1D7C-876E-3E46-9606-1801F3B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xdr:row>
      <xdr:rowOff>0</xdr:rowOff>
    </xdr:from>
    <xdr:to>
      <xdr:col>2</xdr:col>
      <xdr:colOff>0</xdr:colOff>
      <xdr:row>2</xdr:row>
      <xdr:rowOff>0</xdr:rowOff>
    </xdr:to>
    <xdr:sp macro="" textlink="">
      <xdr:nvSpPr>
        <xdr:cNvPr id="28" name="正方形/長方形 1">
          <a:extLst>
            <a:ext uri="{FF2B5EF4-FFF2-40B4-BE49-F238E27FC236}">
              <a16:creationId xmlns:a16="http://schemas.microsoft.com/office/drawing/2014/main" id="{7F6BE153-03A1-EE46-9203-491D69A5082E}"/>
            </a:ext>
          </a:extLst>
        </xdr:cNvPr>
        <xdr:cNvSpPr/>
      </xdr:nvSpPr>
      <xdr:spPr>
        <a:xfrm>
          <a:off x="770106" y="256702"/>
          <a:ext cx="770107" cy="256702"/>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21</xdr:col>
      <xdr:colOff>5158</xdr:colOff>
      <xdr:row>32</xdr:row>
      <xdr:rowOff>0</xdr:rowOff>
    </xdr:from>
    <xdr:to>
      <xdr:col>23</xdr:col>
      <xdr:colOff>0</xdr:colOff>
      <xdr:row>33</xdr:row>
      <xdr:rowOff>0</xdr:rowOff>
    </xdr:to>
    <xdr:sp macro="" textlink="">
      <xdr:nvSpPr>
        <xdr:cNvPr id="2" name="正方形/長方形 1">
          <a:extLst>
            <a:ext uri="{FF2B5EF4-FFF2-40B4-BE49-F238E27FC236}">
              <a16:creationId xmlns:a16="http://schemas.microsoft.com/office/drawing/2014/main" id="{037D5614-D1C1-D840-87D5-3AB54FB5E773}"/>
            </a:ext>
          </a:extLst>
        </xdr:cNvPr>
        <xdr:cNvSpPr/>
      </xdr:nvSpPr>
      <xdr:spPr>
        <a:xfrm>
          <a:off x="17422301" y="8315476"/>
          <a:ext cx="1536985" cy="257024"/>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a:t>
          </a:r>
          <a:endParaRPr kumimoji="1" lang="en-US" altLang="ja-JP" sz="1100">
            <a:solidFill>
              <a:sysClr val="windowText" lastClr="000000"/>
            </a:solidFill>
          </a:endParaRPr>
        </a:p>
      </xdr:txBody>
    </xdr:sp>
    <xdr:clientData/>
  </xdr:twoCellAnchor>
  <xdr:twoCellAnchor>
    <xdr:from>
      <xdr:col>21</xdr:col>
      <xdr:colOff>0</xdr:colOff>
      <xdr:row>15</xdr:row>
      <xdr:rowOff>0</xdr:rowOff>
    </xdr:from>
    <xdr:to>
      <xdr:col>23</xdr:col>
      <xdr:colOff>0</xdr:colOff>
      <xdr:row>16</xdr:row>
      <xdr:rowOff>0</xdr:rowOff>
    </xdr:to>
    <xdr:sp macro="" textlink="">
      <xdr:nvSpPr>
        <xdr:cNvPr id="4" name="正方形/長方形 3">
          <a:extLst>
            <a:ext uri="{FF2B5EF4-FFF2-40B4-BE49-F238E27FC236}">
              <a16:creationId xmlns:a16="http://schemas.microsoft.com/office/drawing/2014/main" id="{79BAB526-BE0E-4642-875F-66153EBF9811}"/>
            </a:ext>
          </a:extLst>
        </xdr:cNvPr>
        <xdr:cNvSpPr/>
      </xdr:nvSpPr>
      <xdr:spPr>
        <a:xfrm>
          <a:off x="17424400" y="3860800"/>
          <a:ext cx="1549400"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プレビュー</a:t>
          </a:r>
          <a:endParaRPr kumimoji="1" lang="en-US" altLang="ja-JP" sz="1100">
            <a:solidFill>
              <a:sysClr val="windowText" lastClr="000000"/>
            </a:solidFill>
          </a:endParaRPr>
        </a:p>
      </xdr:txBody>
    </xdr:sp>
    <xdr:clientData/>
  </xdr:twoCellAnchor>
  <xdr:twoCellAnchor>
    <xdr:from>
      <xdr:col>3</xdr:col>
      <xdr:colOff>0</xdr:colOff>
      <xdr:row>1</xdr:row>
      <xdr:rowOff>0</xdr:rowOff>
    </xdr:from>
    <xdr:to>
      <xdr:col>4</xdr:col>
      <xdr:colOff>1</xdr:colOff>
      <xdr:row>2</xdr:row>
      <xdr:rowOff>0</xdr:rowOff>
    </xdr:to>
    <xdr:sp macro="[0]!Test" textlink="">
      <xdr:nvSpPr>
        <xdr:cNvPr id="6" name="正方形/長方形 1">
          <a:extLst>
            <a:ext uri="{FF2B5EF4-FFF2-40B4-BE49-F238E27FC236}">
              <a16:creationId xmlns:a16="http://schemas.microsoft.com/office/drawing/2014/main" id="{2CB4E46E-9339-484C-B711-1CA28F10A781}"/>
            </a:ext>
          </a:extLst>
        </xdr:cNvPr>
        <xdr:cNvSpPr/>
      </xdr:nvSpPr>
      <xdr:spPr>
        <a:xfrm>
          <a:off x="2403929" y="257024"/>
          <a:ext cx="816429" cy="257024"/>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Test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368300</xdr:colOff>
      <xdr:row>16</xdr:row>
      <xdr:rowOff>0</xdr:rowOff>
    </xdr:from>
    <xdr:to>
      <xdr:col>17</xdr:col>
      <xdr:colOff>0</xdr:colOff>
      <xdr:row>23</xdr:row>
      <xdr:rowOff>178610</xdr:rowOff>
    </xdr:to>
    <xdr:graphicFrame macro="">
      <xdr:nvGraphicFramePr>
        <xdr:cNvPr id="2" name="グラフ 25">
          <a:extLst>
            <a:ext uri="{FF2B5EF4-FFF2-40B4-BE49-F238E27FC236}">
              <a16:creationId xmlns:a16="http://schemas.microsoft.com/office/drawing/2014/main" id="{57E2BF64-6483-4741-9674-899EABBD6D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641003</xdr:colOff>
      <xdr:row>24</xdr:row>
      <xdr:rowOff>0</xdr:rowOff>
    </xdr:from>
    <xdr:to>
      <xdr:col>29</xdr:col>
      <xdr:colOff>76200</xdr:colOff>
      <xdr:row>34</xdr:row>
      <xdr:rowOff>27022</xdr:rowOff>
    </xdr:to>
    <xdr:graphicFrame macro="">
      <xdr:nvGraphicFramePr>
        <xdr:cNvPr id="3" name="グラフ 16">
          <a:extLst>
            <a:ext uri="{FF2B5EF4-FFF2-40B4-BE49-F238E27FC236}">
              <a16:creationId xmlns:a16="http://schemas.microsoft.com/office/drawing/2014/main" id="{EBA4E1B8-AAD1-FF4E-B628-83F858AE62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658302</xdr:colOff>
      <xdr:row>15</xdr:row>
      <xdr:rowOff>177799</xdr:rowOff>
    </xdr:from>
    <xdr:to>
      <xdr:col>9</xdr:col>
      <xdr:colOff>368300</xdr:colOff>
      <xdr:row>23</xdr:row>
      <xdr:rowOff>170924</xdr:rowOff>
    </xdr:to>
    <xdr:graphicFrame macro="">
      <xdr:nvGraphicFramePr>
        <xdr:cNvPr id="4" name="グラフ 23">
          <a:extLst>
            <a:ext uri="{FF2B5EF4-FFF2-40B4-BE49-F238E27FC236}">
              <a16:creationId xmlns:a16="http://schemas.microsoft.com/office/drawing/2014/main" id="{95C7A49C-8275-2144-AD35-6EB2465A14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xdr:row>
      <xdr:rowOff>0</xdr:rowOff>
    </xdr:from>
    <xdr:to>
      <xdr:col>3</xdr:col>
      <xdr:colOff>12699</xdr:colOff>
      <xdr:row>36</xdr:row>
      <xdr:rowOff>12700</xdr:rowOff>
    </xdr:to>
    <xdr:sp macro="" textlink="">
      <xdr:nvSpPr>
        <xdr:cNvPr id="5" name="正方形/長方形 1">
          <a:extLst>
            <a:ext uri="{FF2B5EF4-FFF2-40B4-BE49-F238E27FC236}">
              <a16:creationId xmlns:a16="http://schemas.microsoft.com/office/drawing/2014/main" id="{27BA1FA2-D106-B345-91FF-E7AAA645612B}"/>
            </a:ext>
          </a:extLst>
        </xdr:cNvPr>
        <xdr:cNvSpPr/>
      </xdr:nvSpPr>
      <xdr:spPr>
        <a:xfrm>
          <a:off x="660400" y="7239000"/>
          <a:ext cx="1333499" cy="2159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24</xdr:row>
      <xdr:rowOff>0</xdr:rowOff>
    </xdr:from>
    <xdr:to>
      <xdr:col>17</xdr:col>
      <xdr:colOff>3175</xdr:colOff>
      <xdr:row>34</xdr:row>
      <xdr:rowOff>38100</xdr:rowOff>
    </xdr:to>
    <xdr:graphicFrame macro="">
      <xdr:nvGraphicFramePr>
        <xdr:cNvPr id="6" name="グラフ 24">
          <a:extLst>
            <a:ext uri="{FF2B5EF4-FFF2-40B4-BE49-F238E27FC236}">
              <a16:creationId xmlns:a16="http://schemas.microsoft.com/office/drawing/2014/main" id="{F52E2756-3DFF-7045-A750-36E073F5F4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76200</xdr:colOff>
      <xdr:row>15</xdr:row>
      <xdr:rowOff>127001</xdr:rowOff>
    </xdr:from>
    <xdr:to>
      <xdr:col>29</xdr:col>
      <xdr:colOff>88900</xdr:colOff>
      <xdr:row>23</xdr:row>
      <xdr:rowOff>76201</xdr:rowOff>
    </xdr:to>
    <xdr:graphicFrame macro="">
      <xdr:nvGraphicFramePr>
        <xdr:cNvPr id="7" name="グラフ 14">
          <a:extLst>
            <a:ext uri="{FF2B5EF4-FFF2-40B4-BE49-F238E27FC236}">
              <a16:creationId xmlns:a16="http://schemas.microsoft.com/office/drawing/2014/main" id="{89B38FEA-CDFF-574C-AA53-9DB674F574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xdr:row>
      <xdr:rowOff>0</xdr:rowOff>
    </xdr:from>
    <xdr:to>
      <xdr:col>3</xdr:col>
      <xdr:colOff>3175</xdr:colOff>
      <xdr:row>2</xdr:row>
      <xdr:rowOff>6350</xdr:rowOff>
    </xdr:to>
    <xdr:sp macro="" textlink="">
      <xdr:nvSpPr>
        <xdr:cNvPr id="8" name="正方形/長方形 1">
          <a:extLst>
            <a:ext uri="{FF2B5EF4-FFF2-40B4-BE49-F238E27FC236}">
              <a16:creationId xmlns:a16="http://schemas.microsoft.com/office/drawing/2014/main" id="{5B6B92AF-7C44-894F-BCB1-9B31DDA9F395}"/>
            </a:ext>
          </a:extLst>
        </xdr:cNvPr>
        <xdr:cNvSpPr/>
      </xdr:nvSpPr>
      <xdr:spPr>
        <a:xfrm>
          <a:off x="660400" y="203200"/>
          <a:ext cx="1323975" cy="2095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ysClr val="windowText" lastClr="000000"/>
              </a:solidFill>
            </a:rPr>
            <a:t>Analyze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5934</xdr:colOff>
      <xdr:row>1</xdr:row>
      <xdr:rowOff>11869</xdr:rowOff>
    </xdr:from>
    <xdr:to>
      <xdr:col>2</xdr:col>
      <xdr:colOff>0</xdr:colOff>
      <xdr:row>2</xdr:row>
      <xdr:rowOff>0</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783364" y="267056"/>
          <a:ext cx="771496" cy="243318"/>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14</xdr:col>
      <xdr:colOff>0</xdr:colOff>
      <xdr:row>28</xdr:row>
      <xdr:rowOff>0</xdr:rowOff>
    </xdr:from>
    <xdr:to>
      <xdr:col>16</xdr:col>
      <xdr:colOff>429054</xdr:colOff>
      <xdr:row>29</xdr:row>
      <xdr:rowOff>0</xdr:rowOff>
    </xdr:to>
    <xdr:sp macro="" textlink="">
      <xdr:nvSpPr>
        <xdr:cNvPr id="2" name="正方形/長方形 4">
          <a:extLst>
            <a:ext uri="{FF2B5EF4-FFF2-40B4-BE49-F238E27FC236}">
              <a16:creationId xmlns:a16="http://schemas.microsoft.com/office/drawing/2014/main" id="{872FFCF5-E5F3-D74E-BD75-A05566F34153}"/>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6</xdr:col>
      <xdr:colOff>0</xdr:colOff>
      <xdr:row>1</xdr:row>
      <xdr:rowOff>0</xdr:rowOff>
    </xdr:from>
    <xdr:to>
      <xdr:col>11</xdr:col>
      <xdr:colOff>431321</xdr:colOff>
      <xdr:row>19</xdr:row>
      <xdr:rowOff>107829</xdr:rowOff>
    </xdr:to>
    <xdr:graphicFrame macro="">
      <xdr:nvGraphicFramePr>
        <xdr:cNvPr id="4" name="グラフ 17">
          <a:extLst>
            <a:ext uri="{FF2B5EF4-FFF2-40B4-BE49-F238E27FC236}">
              <a16:creationId xmlns:a16="http://schemas.microsoft.com/office/drawing/2014/main" id="{42D9C548-57EE-8B4F-92DA-8C849C205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33</xdr:row>
      <xdr:rowOff>0</xdr:rowOff>
    </xdr:from>
    <xdr:to>
      <xdr:col>9</xdr:col>
      <xdr:colOff>95698</xdr:colOff>
      <xdr:row>34</xdr:row>
      <xdr:rowOff>5498</xdr:rowOff>
    </xdr:to>
    <xdr:sp macro="" textlink="">
      <xdr:nvSpPr>
        <xdr:cNvPr id="6" name="正方形/長方形 4">
          <a:extLst>
            <a:ext uri="{FF2B5EF4-FFF2-40B4-BE49-F238E27FC236}">
              <a16:creationId xmlns:a16="http://schemas.microsoft.com/office/drawing/2014/main" id="{249E05A8-29F8-6642-A218-10B907D18548}"/>
            </a:ext>
          </a:extLst>
        </xdr:cNvPr>
        <xdr:cNvSpPr/>
      </xdr:nvSpPr>
      <xdr:spPr>
        <a:xfrm>
          <a:off x="3953774" y="735641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429054</xdr:colOff>
      <xdr:row>40</xdr:row>
      <xdr:rowOff>0</xdr:rowOff>
    </xdr:to>
    <xdr:sp macro="" textlink="">
      <xdr:nvSpPr>
        <xdr:cNvPr id="2" name="正方形/長方形 4">
          <a:extLst>
            <a:ext uri="{FF2B5EF4-FFF2-40B4-BE49-F238E27FC236}">
              <a16:creationId xmlns:a16="http://schemas.microsoft.com/office/drawing/2014/main" id="{644D47C2-FC0C-BE4A-88A8-6CF5490FA9E1}"/>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11</xdr:row>
      <xdr:rowOff>-1</xdr:rowOff>
    </xdr:from>
    <xdr:to>
      <xdr:col>4</xdr:col>
      <xdr:colOff>0</xdr:colOff>
      <xdr:row>24</xdr:row>
      <xdr:rowOff>0</xdr:rowOff>
    </xdr:to>
    <xdr:graphicFrame macro="">
      <xdr:nvGraphicFramePr>
        <xdr:cNvPr id="6" name="グラフ 2">
          <a:extLst>
            <a:ext uri="{FF2B5EF4-FFF2-40B4-BE49-F238E27FC236}">
              <a16:creationId xmlns:a16="http://schemas.microsoft.com/office/drawing/2014/main" id="{750A823C-E6A7-7142-8670-A76B792C9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11</xdr:row>
      <xdr:rowOff>0</xdr:rowOff>
    </xdr:from>
    <xdr:to>
      <xdr:col>10</xdr:col>
      <xdr:colOff>1</xdr:colOff>
      <xdr:row>24</xdr:row>
      <xdr:rowOff>0</xdr:rowOff>
    </xdr:to>
    <xdr:graphicFrame macro="">
      <xdr:nvGraphicFramePr>
        <xdr:cNvPr id="7" name="グラフ 3">
          <a:extLst>
            <a:ext uri="{FF2B5EF4-FFF2-40B4-BE49-F238E27FC236}">
              <a16:creationId xmlns:a16="http://schemas.microsoft.com/office/drawing/2014/main" id="{2B7B918B-8186-D141-A02A-909ED70651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11</xdr:row>
      <xdr:rowOff>0</xdr:rowOff>
    </xdr:from>
    <xdr:to>
      <xdr:col>7</xdr:col>
      <xdr:colOff>0</xdr:colOff>
      <xdr:row>24</xdr:row>
      <xdr:rowOff>0</xdr:rowOff>
    </xdr:to>
    <xdr:graphicFrame macro="">
      <xdr:nvGraphicFramePr>
        <xdr:cNvPr id="8" name="グラフ 4">
          <a:extLst>
            <a:ext uri="{FF2B5EF4-FFF2-40B4-BE49-F238E27FC236}">
              <a16:creationId xmlns:a16="http://schemas.microsoft.com/office/drawing/2014/main" id="{9B9A1301-DB86-AC40-8B46-152FBFCFD6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44</xdr:row>
      <xdr:rowOff>0</xdr:rowOff>
    </xdr:from>
    <xdr:to>
      <xdr:col>3</xdr:col>
      <xdr:colOff>429055</xdr:colOff>
      <xdr:row>45</xdr:row>
      <xdr:rowOff>1</xdr:rowOff>
    </xdr:to>
    <xdr:sp macro="" textlink="">
      <xdr:nvSpPr>
        <xdr:cNvPr id="9" name="正方形/長方形 4">
          <a:extLst>
            <a:ext uri="{FF2B5EF4-FFF2-40B4-BE49-F238E27FC236}">
              <a16:creationId xmlns:a16="http://schemas.microsoft.com/office/drawing/2014/main" id="{F1A5DA8B-5F70-4A41-BAEB-4CA268E55853}"/>
            </a:ext>
          </a:extLst>
        </xdr:cNvPr>
        <xdr:cNvSpPr/>
      </xdr:nvSpPr>
      <xdr:spPr>
        <a:xfrm>
          <a:off x="821765" y="920376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1</xdr:rowOff>
    </xdr:from>
    <xdr:to>
      <xdr:col>2</xdr:col>
      <xdr:colOff>0</xdr:colOff>
      <xdr:row>2</xdr:row>
      <xdr:rowOff>1</xdr:rowOff>
    </xdr:to>
    <xdr:sp macro="" textlink="">
      <xdr:nvSpPr>
        <xdr:cNvPr id="10" name="正方形/長方形 4">
          <a:extLst>
            <a:ext uri="{FF2B5EF4-FFF2-40B4-BE49-F238E27FC236}">
              <a16:creationId xmlns:a16="http://schemas.microsoft.com/office/drawing/2014/main" id="{4B9FEDB9-2869-1147-AB23-5DEA814DCDBD}"/>
            </a:ext>
          </a:extLst>
        </xdr:cNvPr>
        <xdr:cNvSpPr/>
      </xdr:nvSpPr>
      <xdr:spPr>
        <a:xfrm>
          <a:off x="986118" y="246530"/>
          <a:ext cx="986117" cy="24653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56</xdr:row>
      <xdr:rowOff>0</xdr:rowOff>
    </xdr:from>
    <xdr:to>
      <xdr:col>6</xdr:col>
      <xdr:colOff>0</xdr:colOff>
      <xdr:row>57</xdr:row>
      <xdr:rowOff>0</xdr:rowOff>
    </xdr:to>
    <xdr:sp macro="" textlink="">
      <xdr:nvSpPr>
        <xdr:cNvPr id="13" name="正方形/長方形 4">
          <a:extLst>
            <a:ext uri="{FF2B5EF4-FFF2-40B4-BE49-F238E27FC236}">
              <a16:creationId xmlns:a16="http://schemas.microsoft.com/office/drawing/2014/main" id="{CD98549D-2AF4-FC42-9845-60F1E21ECB7E}"/>
            </a:ext>
          </a:extLst>
        </xdr:cNvPr>
        <xdr:cNvSpPr/>
      </xdr:nvSpPr>
      <xdr:spPr>
        <a:xfrm>
          <a:off x="4109861" y="14428611"/>
          <a:ext cx="2063750" cy="255764"/>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29</xdr:row>
      <xdr:rowOff>0</xdr:rowOff>
    </xdr:from>
    <xdr:to>
      <xdr:col>11</xdr:col>
      <xdr:colOff>0</xdr:colOff>
      <xdr:row>44</xdr:row>
      <xdr:rowOff>0</xdr:rowOff>
    </xdr:to>
    <xdr:graphicFrame macro="">
      <xdr:nvGraphicFramePr>
        <xdr:cNvPr id="14" name="グラフ 13">
          <a:extLst>
            <a:ext uri="{FF2B5EF4-FFF2-40B4-BE49-F238E27FC236}">
              <a16:creationId xmlns:a16="http://schemas.microsoft.com/office/drawing/2014/main" id="{75876233-7C40-844A-9A4A-CC83BEEAF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56</xdr:row>
      <xdr:rowOff>0</xdr:rowOff>
    </xdr:from>
    <xdr:to>
      <xdr:col>4</xdr:col>
      <xdr:colOff>0</xdr:colOff>
      <xdr:row>57</xdr:row>
      <xdr:rowOff>0</xdr:rowOff>
    </xdr:to>
    <xdr:sp macro="" textlink="">
      <xdr:nvSpPr>
        <xdr:cNvPr id="16" name="正方形/長方形 4">
          <a:extLst>
            <a:ext uri="{FF2B5EF4-FFF2-40B4-BE49-F238E27FC236}">
              <a16:creationId xmlns:a16="http://schemas.microsoft.com/office/drawing/2014/main" id="{01FC33CA-4DA1-8649-BEA6-9B08D919BF4C}"/>
            </a:ext>
          </a:extLst>
        </xdr:cNvPr>
        <xdr:cNvSpPr/>
      </xdr:nvSpPr>
      <xdr:spPr>
        <a:xfrm>
          <a:off x="492672" y="11079655"/>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0</xdr:rowOff>
    </xdr:from>
    <xdr:to>
      <xdr:col>2</xdr:col>
      <xdr:colOff>0</xdr:colOff>
      <xdr:row>2</xdr:row>
      <xdr:rowOff>0</xdr:rowOff>
    </xdr:to>
    <xdr:sp macro="" textlink="">
      <xdr:nvSpPr>
        <xdr:cNvPr id="18" name="正方形/長方形 4">
          <a:extLst>
            <a:ext uri="{FF2B5EF4-FFF2-40B4-BE49-F238E27FC236}">
              <a16:creationId xmlns:a16="http://schemas.microsoft.com/office/drawing/2014/main" id="{95698B8C-6E56-224D-B95F-139A7A71ADFF}"/>
            </a:ext>
          </a:extLst>
        </xdr:cNvPr>
        <xdr:cNvSpPr/>
      </xdr:nvSpPr>
      <xdr:spPr>
        <a:xfrm>
          <a:off x="832069" y="204368"/>
          <a:ext cx="832069" cy="204368"/>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twoCellAnchor>
    <xdr:from>
      <xdr:col>1</xdr:col>
      <xdr:colOff>0</xdr:colOff>
      <xdr:row>1</xdr:row>
      <xdr:rowOff>0</xdr:rowOff>
    </xdr:from>
    <xdr:to>
      <xdr:col>2</xdr:col>
      <xdr:colOff>0</xdr:colOff>
      <xdr:row>2</xdr:row>
      <xdr:rowOff>0</xdr:rowOff>
    </xdr:to>
    <xdr:sp macro="[0]!Spar" textlink="">
      <xdr:nvSpPr>
        <xdr:cNvPr id="2" name="正方形/長方形 4">
          <a:extLst>
            <a:ext uri="{FF2B5EF4-FFF2-40B4-BE49-F238E27FC236}">
              <a16:creationId xmlns:a16="http://schemas.microsoft.com/office/drawing/2014/main" id="{C888D7C7-10F8-4A0E-AB80-40C3C6529D53}"/>
            </a:ext>
          </a:extLst>
        </xdr:cNvPr>
        <xdr:cNvSpPr/>
      </xdr:nvSpPr>
      <xdr:spPr>
        <a:xfrm>
          <a:off x="8255000" y="254000"/>
          <a:ext cx="1034143"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更新</a:t>
          </a:r>
        </a:p>
      </xdr:txBody>
    </xdr:sp>
    <xdr:clientData/>
  </xdr:twoCellAnchor>
  <xdr:twoCellAnchor>
    <xdr:from>
      <xdr:col>11</xdr:col>
      <xdr:colOff>1</xdr:colOff>
      <xdr:row>29</xdr:row>
      <xdr:rowOff>0</xdr:rowOff>
    </xdr:from>
    <xdr:to>
      <xdr:col>21</xdr:col>
      <xdr:colOff>1</xdr:colOff>
      <xdr:row>44</xdr:row>
      <xdr:rowOff>0</xdr:rowOff>
    </xdr:to>
    <xdr:graphicFrame macro="">
      <xdr:nvGraphicFramePr>
        <xdr:cNvPr id="4" name="グラフ 3">
          <a:extLst>
            <a:ext uri="{FF2B5EF4-FFF2-40B4-BE49-F238E27FC236}">
              <a16:creationId xmlns:a16="http://schemas.microsoft.com/office/drawing/2014/main" id="{14C4BD20-7D0A-8747-ACCE-E8BDAECF80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246529</xdr:rowOff>
    </xdr:from>
    <xdr:to>
      <xdr:col>3</xdr:col>
      <xdr:colOff>0</xdr:colOff>
      <xdr:row>2</xdr:row>
      <xdr:rowOff>246528</xdr:rowOff>
    </xdr:to>
    <xdr:sp macro="[0]!CalcLaminate" textlink="">
      <xdr:nvSpPr>
        <xdr:cNvPr id="2" name="正方形/長方形 4">
          <a:extLst>
            <a:ext uri="{FF2B5EF4-FFF2-40B4-BE49-F238E27FC236}">
              <a16:creationId xmlns:a16="http://schemas.microsoft.com/office/drawing/2014/main" id="{16295390-D2A9-4446-B29D-94F98F18E69E}"/>
            </a:ext>
          </a:extLst>
        </xdr:cNvPr>
        <xdr:cNvSpPr/>
      </xdr:nvSpPr>
      <xdr:spPr>
        <a:xfrm>
          <a:off x="739588" y="493058"/>
          <a:ext cx="1479177" cy="2465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6</xdr:row>
      <xdr:rowOff>248160</xdr:rowOff>
    </xdr:from>
    <xdr:to>
      <xdr:col>3</xdr:col>
      <xdr:colOff>0</xdr:colOff>
      <xdr:row>7</xdr:row>
      <xdr:rowOff>262758</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773678" y="1751723"/>
          <a:ext cx="1547356" cy="262759"/>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18</xdr:col>
      <xdr:colOff>127000</xdr:colOff>
      <xdr:row>13</xdr:row>
      <xdr:rowOff>86750</xdr:rowOff>
    </xdr:from>
    <xdr:to>
      <xdr:col>18</xdr:col>
      <xdr:colOff>7391400</xdr:colOff>
      <xdr:row>13</xdr:row>
      <xdr:rowOff>1331350</xdr:rowOff>
    </xdr:to>
    <xdr:pic>
      <xdr:nvPicPr>
        <xdr:cNvPr id="192" name="QX0023">
          <a:extLst>
            <a:ext uri="{FF2B5EF4-FFF2-40B4-BE49-F238E27FC236}">
              <a16:creationId xmlns:a16="http://schemas.microsoft.com/office/drawing/2014/main" id="{82598652-EAD8-30DB-D392-26776381D72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160500" y="3401450"/>
          <a:ext cx="7264400" cy="1244600"/>
        </a:xfrm>
        <a:prstGeom prst="rect">
          <a:avLst/>
        </a:prstGeom>
      </xdr:spPr>
    </xdr:pic>
    <xdr:clientData/>
  </xdr:twoCellAnchor>
  <xdr:twoCellAnchor editAs="oneCell">
    <xdr:from>
      <xdr:col>18</xdr:col>
      <xdr:colOff>127000</xdr:colOff>
      <xdr:row>14</xdr:row>
      <xdr:rowOff>123045</xdr:rowOff>
    </xdr:from>
    <xdr:to>
      <xdr:col>18</xdr:col>
      <xdr:colOff>7391400</xdr:colOff>
      <xdr:row>14</xdr:row>
      <xdr:rowOff>1266045</xdr:rowOff>
    </xdr:to>
    <xdr:pic>
      <xdr:nvPicPr>
        <xdr:cNvPr id="194" name="QX0123">
          <a:extLst>
            <a:ext uri="{FF2B5EF4-FFF2-40B4-BE49-F238E27FC236}">
              <a16:creationId xmlns:a16="http://schemas.microsoft.com/office/drawing/2014/main" id="{1A76761A-6F41-97B7-FC5C-426923F6343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160500" y="4809345"/>
          <a:ext cx="7264400" cy="1143000"/>
        </a:xfrm>
        <a:prstGeom prst="rect">
          <a:avLst/>
        </a:prstGeom>
      </xdr:spPr>
    </xdr:pic>
    <xdr:clientData/>
  </xdr:twoCellAnchor>
  <xdr:twoCellAnchor editAs="oneCell">
    <xdr:from>
      <xdr:col>18</xdr:col>
      <xdr:colOff>127000</xdr:colOff>
      <xdr:row>15</xdr:row>
      <xdr:rowOff>302785</xdr:rowOff>
    </xdr:from>
    <xdr:to>
      <xdr:col>18</xdr:col>
      <xdr:colOff>7391400</xdr:colOff>
      <xdr:row>15</xdr:row>
      <xdr:rowOff>1115585</xdr:rowOff>
    </xdr:to>
    <xdr:pic>
      <xdr:nvPicPr>
        <xdr:cNvPr id="196" name="NACA 0009">
          <a:extLst>
            <a:ext uri="{FF2B5EF4-FFF2-40B4-BE49-F238E27FC236}">
              <a16:creationId xmlns:a16="http://schemas.microsoft.com/office/drawing/2014/main" id="{F8D228F2-BF8F-36B2-E22C-D59D7C5F3E6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160500" y="6360685"/>
          <a:ext cx="7264400" cy="812800"/>
        </a:xfrm>
        <a:prstGeom prst="rect">
          <a:avLst/>
        </a:prstGeom>
      </xdr:spPr>
    </xdr:pic>
    <xdr:clientData/>
  </xdr:twoCellAnchor>
  <xdr:twoCellAnchor editAs="oneCell">
    <xdr:from>
      <xdr:col>18</xdr:col>
      <xdr:colOff>127000</xdr:colOff>
      <xdr:row>16</xdr:row>
      <xdr:rowOff>175113</xdr:rowOff>
    </xdr:from>
    <xdr:to>
      <xdr:col>18</xdr:col>
      <xdr:colOff>7391400</xdr:colOff>
      <xdr:row>16</xdr:row>
      <xdr:rowOff>1203813</xdr:rowOff>
    </xdr:to>
    <xdr:pic>
      <xdr:nvPicPr>
        <xdr:cNvPr id="198" name="NACA 0012">
          <a:extLst>
            <a:ext uri="{FF2B5EF4-FFF2-40B4-BE49-F238E27FC236}">
              <a16:creationId xmlns:a16="http://schemas.microsoft.com/office/drawing/2014/main" id="{DF189BF6-E4A6-DD3E-CE77-CA4972D0B2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160500" y="7604613"/>
          <a:ext cx="7264400" cy="1028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248477</xdr:rowOff>
    </xdr:from>
    <xdr:to>
      <xdr:col>6</xdr:col>
      <xdr:colOff>0</xdr:colOff>
      <xdr:row>2</xdr:row>
      <xdr:rowOff>-1</xdr:rowOff>
    </xdr:to>
    <xdr:sp macro="" textlink="">
      <xdr:nvSpPr>
        <xdr:cNvPr id="2" name="正方形/長方形 1">
          <a:extLst>
            <a:ext uri="{FF2B5EF4-FFF2-40B4-BE49-F238E27FC236}">
              <a16:creationId xmlns:a16="http://schemas.microsoft.com/office/drawing/2014/main" id="{AF41A4E7-FD5C-4875-A4F3-3FA35E0556FD}"/>
            </a:ext>
          </a:extLst>
        </xdr:cNvPr>
        <xdr:cNvSpPr/>
      </xdr:nvSpPr>
      <xdr:spPr>
        <a:xfrm>
          <a:off x="3727174" y="248477"/>
          <a:ext cx="745435" cy="24847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qu365-my.sharepoint.com/personal/mori_hayato_889_s_kyushu-u_ac_jp/Documents/AircraftDesign/QX-23/QX-23_ver202302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row r="41">
          <cell r="G41" t="str">
            <v>0G</v>
          </cell>
          <cell r="AD41" t="str">
            <v>1G</v>
          </cell>
          <cell r="AO41" t="str">
            <v>TR-797</v>
          </cell>
        </row>
        <row r="42">
          <cell r="Q42" t="str">
            <v>前縁位置</v>
          </cell>
          <cell r="R42" t="str">
            <v>後縁位置</v>
          </cell>
          <cell r="AQ42" t="str">
            <v>最大揚力係数</v>
          </cell>
        </row>
        <row r="43">
          <cell r="Q43" t="str">
            <v>-</v>
          </cell>
          <cell r="R43" t="str">
            <v>-</v>
          </cell>
          <cell r="W43" t="str">
            <v>Cl</v>
          </cell>
          <cell r="AM43" t="str">
            <v>wi</v>
          </cell>
          <cell r="AQ43" t="str">
            <v>Cl_max</v>
          </cell>
        </row>
        <row r="44">
          <cell r="Q44" t="str">
            <v>m</v>
          </cell>
          <cell r="R44" t="str">
            <v>m</v>
          </cell>
          <cell r="AM44" t="str">
            <v>m/s</v>
          </cell>
          <cell r="AQ44" t="str">
            <v>-</v>
          </cell>
        </row>
        <row r="45">
          <cell r="E45">
            <v>0</v>
          </cell>
          <cell r="F45">
            <v>0</v>
          </cell>
          <cell r="G45">
            <v>0</v>
          </cell>
          <cell r="Q45">
            <v>0.32550000000000001</v>
          </cell>
          <cell r="R45">
            <v>-0.60450000000000004</v>
          </cell>
          <cell r="W45">
            <v>0.94684293359615535</v>
          </cell>
          <cell r="AC45">
            <v>0</v>
          </cell>
          <cell r="AD45">
            <v>0</v>
          </cell>
          <cell r="AK45">
            <v>4.3374994180241933</v>
          </cell>
          <cell r="AL45">
            <v>4.6229606232832285</v>
          </cell>
          <cell r="AM45">
            <v>0.10866552861115901</v>
          </cell>
          <cell r="AO45">
            <v>4.5394180727612179</v>
          </cell>
          <cell r="AP45">
            <v>6.1667423451219262E-2</v>
          </cell>
          <cell r="AQ45">
            <v>1.6241376704037309</v>
          </cell>
        </row>
        <row r="46">
          <cell r="E46">
            <v>0.2</v>
          </cell>
          <cell r="F46">
            <v>0.2</v>
          </cell>
          <cell r="G46">
            <v>0</v>
          </cell>
          <cell r="Q46">
            <v>0.32550000000000001</v>
          </cell>
          <cell r="R46">
            <v>-0.60450000000000004</v>
          </cell>
          <cell r="W46">
            <v>0.94644282420824766</v>
          </cell>
          <cell r="AC46">
            <v>0.19999981886024121</v>
          </cell>
          <cell r="AD46">
            <v>2.691762818331003E-4</v>
          </cell>
          <cell r="AK46">
            <v>4.3371977672033255</v>
          </cell>
          <cell r="AL46">
            <v>4.6210070891967696</v>
          </cell>
          <cell r="AM46">
            <v>0.10828330281361997</v>
          </cell>
          <cell r="AO46">
            <v>4.5377621745395196</v>
          </cell>
          <cell r="AP46">
            <v>6.1657759713140324E-2</v>
          </cell>
          <cell r="AQ46">
            <v>1.6241376704037309</v>
          </cell>
        </row>
        <row r="47">
          <cell r="E47">
            <v>0.4</v>
          </cell>
          <cell r="F47">
            <v>0.4</v>
          </cell>
          <cell r="G47">
            <v>0</v>
          </cell>
          <cell r="Q47">
            <v>0.32550000000000001</v>
          </cell>
          <cell r="R47">
            <v>-0.60450000000000004</v>
          </cell>
          <cell r="W47">
            <v>0.94574890931123723</v>
          </cell>
          <cell r="AC47">
            <v>0.39999823037226551</v>
          </cell>
          <cell r="AD47">
            <v>1.0662914974665842E-3</v>
          </cell>
          <cell r="AK47">
            <v>4.3362092225500097</v>
          </cell>
          <cell r="AL47">
            <v>4.6176190497121157</v>
          </cell>
          <cell r="AM47">
            <v>0.10840298163972689</v>
          </cell>
          <cell r="AO47">
            <v>4.5344549973943113</v>
          </cell>
          <cell r="AP47">
            <v>6.1662028654210284E-2</v>
          </cell>
          <cell r="AQ47">
            <v>1.6241376704037309</v>
          </cell>
        </row>
        <row r="48">
          <cell r="E48">
            <v>0.60000000000000009</v>
          </cell>
          <cell r="F48">
            <v>0.60000000000000009</v>
          </cell>
          <cell r="G48">
            <v>0</v>
          </cell>
          <cell r="Q48">
            <v>0.32550000000000001</v>
          </cell>
          <cell r="R48">
            <v>-0.60450000000000004</v>
          </cell>
          <cell r="W48">
            <v>0.9447751456585336</v>
          </cell>
          <cell r="AC48">
            <v>0.59999397624079387</v>
          </cell>
          <cell r="AD48">
            <v>2.3707586266079597E-3</v>
          </cell>
          <cell r="AK48">
            <v>4.3343775446386292</v>
          </cell>
          <cell r="AL48">
            <v>4.6128646486777907</v>
          </cell>
          <cell r="AM48">
            <v>0.10900214343055468</v>
          </cell>
          <cell r="AO48">
            <v>4.5294969152299887</v>
          </cell>
          <cell r="AP48">
            <v>6.1666398592313709E-2</v>
          </cell>
          <cell r="AQ48">
            <v>1.6241376704037309</v>
          </cell>
        </row>
        <row r="49">
          <cell r="E49">
            <v>0.8</v>
          </cell>
          <cell r="F49">
            <v>0.8</v>
          </cell>
          <cell r="G49">
            <v>0</v>
          </cell>
          <cell r="Q49">
            <v>0.32550000000000001</v>
          </cell>
          <cell r="R49">
            <v>-0.60450000000000004</v>
          </cell>
          <cell r="W49">
            <v>0.94350404248234365</v>
          </cell>
          <cell r="AC49">
            <v>0.79998595049396048</v>
          </cell>
          <cell r="AD49">
            <v>4.1624713046767301E-3</v>
          </cell>
          <cell r="AK49">
            <v>4.3316031052342145</v>
          </cell>
          <cell r="AL49">
            <v>4.6066584874200434</v>
          </cell>
          <cell r="AM49">
            <v>0.11010895735101645</v>
          </cell>
          <cell r="AO49">
            <v>4.5228898291127146</v>
          </cell>
          <cell r="AP49">
            <v>6.1668386456400819E-2</v>
          </cell>
          <cell r="AQ49">
            <v>1.6241376704037309</v>
          </cell>
        </row>
        <row r="50">
          <cell r="E50">
            <v>1</v>
          </cell>
          <cell r="F50">
            <v>1</v>
          </cell>
          <cell r="G50">
            <v>0</v>
          </cell>
          <cell r="Q50">
            <v>0.32550000000000001</v>
          </cell>
          <cell r="R50">
            <v>-0.60450000000000004</v>
          </cell>
          <cell r="W50">
            <v>0.94188924277577257</v>
          </cell>
          <cell r="AC50">
            <v>0.99997318862423379</v>
          </cell>
          <cell r="AD50">
            <v>6.4218041764308514E-3</v>
          </cell>
          <cell r="AK50">
            <v>4.3278108788656668</v>
          </cell>
          <cell r="AL50">
            <v>4.5987742278527097</v>
          </cell>
          <cell r="AM50">
            <v>0.1117979971026508</v>
          </cell>
          <cell r="AO50">
            <v>4.5146347262897173</v>
          </cell>
          <cell r="AP50">
            <v>6.1671104564282021E-2</v>
          </cell>
          <cell r="AQ50">
            <v>1.6241376704037309</v>
          </cell>
        </row>
        <row r="51">
          <cell r="E51">
            <v>1.2000000000000002</v>
          </cell>
          <cell r="F51">
            <v>1.2</v>
          </cell>
          <cell r="G51">
            <v>0</v>
          </cell>
          <cell r="Q51">
            <v>0.32550000000000001</v>
          </cell>
          <cell r="R51">
            <v>-0.60450000000000004</v>
          </cell>
          <cell r="W51">
            <v>0.93984963041215874</v>
          </cell>
          <cell r="AC51">
            <v>1.1999548572135985</v>
          </cell>
          <cell r="AD51">
            <v>9.1296129240208326E-3</v>
          </cell>
          <cell r="AK51">
            <v>4.3229360465386026</v>
          </cell>
          <cell r="AL51">
            <v>4.5888158204873655</v>
          </cell>
          <cell r="AM51">
            <v>0.11440056901768639</v>
          </cell>
          <cell r="AO51">
            <v>4.50472786858895</v>
          </cell>
          <cell r="AP51">
            <v>6.1678556202888098E-2</v>
          </cell>
          <cell r="AQ51">
            <v>1.6241376704037309</v>
          </cell>
        </row>
        <row r="52">
          <cell r="E52">
            <v>1.4000000000000001</v>
          </cell>
          <cell r="F52">
            <v>1.4</v>
          </cell>
          <cell r="G52">
            <v>0</v>
          </cell>
          <cell r="Q52">
            <v>0.32550000000000001</v>
          </cell>
          <cell r="R52">
            <v>-0.60450000000000004</v>
          </cell>
          <cell r="W52">
            <v>0.93717025224478845</v>
          </cell>
          <cell r="AC52">
            <v>1.3999317140441825</v>
          </cell>
          <cell r="AD52">
            <v>1.2172100748179695E-2</v>
          </cell>
          <cell r="AK52">
            <v>4.3169206989536546</v>
          </cell>
          <cell r="AL52">
            <v>4.5757337565851799</v>
          </cell>
          <cell r="AM52">
            <v>0.11831364387854539</v>
          </cell>
          <cell r="AO52">
            <v>4.4931626141468168</v>
          </cell>
          <cell r="AP52">
            <v>6.1687157680691634E-2</v>
          </cell>
          <cell r="AQ52">
            <v>1.6241376704037309</v>
          </cell>
        </row>
        <row r="53">
          <cell r="E53">
            <v>1.6</v>
          </cell>
          <cell r="F53">
            <v>1.5999999999999999</v>
          </cell>
          <cell r="G53">
            <v>0</v>
          </cell>
          <cell r="Q53">
            <v>0.32550000000000001</v>
          </cell>
          <cell r="R53">
            <v>-0.60450000000000004</v>
          </cell>
          <cell r="W53">
            <v>0.93726723918179577</v>
          </cell>
          <cell r="AC53">
            <v>1.5999054716053762</v>
          </cell>
          <cell r="AD53">
            <v>1.5411898096309004E-2</v>
          </cell>
          <cell r="AK53">
            <v>4.30971581795822</v>
          </cell>
          <cell r="AL53">
            <v>4.5557045744480158</v>
          </cell>
          <cell r="AM53">
            <v>0.11772231960608454</v>
          </cell>
          <cell r="AO53">
            <v>4.4799344861173749</v>
          </cell>
          <cell r="AP53">
            <v>6.1693459396737087E-2</v>
          </cell>
          <cell r="AQ53">
            <v>1.6241376704037309</v>
          </cell>
        </row>
        <row r="54">
          <cell r="E54">
            <v>1.8</v>
          </cell>
          <cell r="F54">
            <v>1.7999999999999998</v>
          </cell>
          <cell r="G54">
            <v>0</v>
          </cell>
          <cell r="Q54">
            <v>0.32258333333333328</v>
          </cell>
          <cell r="R54">
            <v>-0.59908333333333341</v>
          </cell>
          <cell r="W54">
            <v>0.94012592516863236</v>
          </cell>
          <cell r="AC54">
            <v>1.7998757124567093</v>
          </cell>
          <cell r="AD54">
            <v>1.8861937785917795E-2</v>
          </cell>
          <cell r="AK54">
            <v>4.3012838757375675</v>
          </cell>
          <cell r="AL54">
            <v>4.5284690657966555</v>
          </cell>
          <cell r="AM54">
            <v>0.11225624480892264</v>
          </cell>
          <cell r="AO54">
            <v>4.4650459507604259</v>
          </cell>
          <cell r="AP54">
            <v>6.1691975534940262E-2</v>
          </cell>
          <cell r="AQ54">
            <v>1.6241376704037309</v>
          </cell>
        </row>
        <row r="55">
          <cell r="E55">
            <v>2</v>
          </cell>
          <cell r="F55">
            <v>1.9999999999999998</v>
          </cell>
          <cell r="G55">
            <v>0</v>
          </cell>
          <cell r="Q55">
            <v>0.31966666666666665</v>
          </cell>
          <cell r="R55">
            <v>-0.59366666666666668</v>
          </cell>
          <cell r="W55">
            <v>0.942293166832328</v>
          </cell>
          <cell r="AC55">
            <v>1.9998391056294023</v>
          </cell>
          <cell r="AD55">
            <v>2.2688344829484265E-2</v>
          </cell>
          <cell r="AK55">
            <v>4.2915942981092359</v>
          </cell>
          <cell r="AL55">
            <v>4.4976830719365557</v>
          </cell>
          <cell r="AM55">
            <v>0.10757136308632703</v>
          </cell>
          <cell r="AO55">
            <v>4.4485030767862126</v>
          </cell>
          <cell r="AP55">
            <v>6.1689035554797614E-2</v>
          </cell>
          <cell r="AQ55">
            <v>1.6241376704037309</v>
          </cell>
        </row>
        <row r="56">
          <cell r="E56">
            <v>2.2000000000000002</v>
          </cell>
          <cell r="F56">
            <v>2.1999999999999997</v>
          </cell>
          <cell r="G56">
            <v>0</v>
          </cell>
          <cell r="Q56">
            <v>0.31674999999999998</v>
          </cell>
          <cell r="R56">
            <v>-0.58825000000000005</v>
          </cell>
          <cell r="W56">
            <v>0.94401723389279768</v>
          </cell>
          <cell r="AC56">
            <v>2.1997924056361868</v>
          </cell>
          <cell r="AD56">
            <v>2.7010128766342224E-2</v>
          </cell>
          <cell r="AK56">
            <v>4.2806138389309272</v>
          </cell>
          <cell r="AL56">
            <v>4.4646115055417503</v>
          </cell>
          <cell r="AM56">
            <v>0.1035934719820424</v>
          </cell>
          <cell r="AO56">
            <v>4.4303062328085305</v>
          </cell>
          <cell r="AP56">
            <v>6.1688407352974033E-2</v>
          </cell>
          <cell r="AQ56">
            <v>1.6241376704037309</v>
          </cell>
        </row>
        <row r="57">
          <cell r="E57">
            <v>2.4000000000000004</v>
          </cell>
          <cell r="F57">
            <v>2.4</v>
          </cell>
          <cell r="G57">
            <v>0</v>
          </cell>
          <cell r="Q57">
            <v>0.31383333333333335</v>
          </cell>
          <cell r="R57">
            <v>-0.58283333333333331</v>
          </cell>
          <cell r="W57">
            <v>0.94541625058506085</v>
          </cell>
          <cell r="AC57">
            <v>2.399734442104049</v>
          </cell>
          <cell r="AD57">
            <v>3.1824903224613552E-2</v>
          </cell>
          <cell r="AK57">
            <v>4.2683086081642365</v>
          </cell>
          <cell r="AL57">
            <v>4.4298660191476262</v>
          </cell>
          <cell r="AM57">
            <v>0.10013290755829639</v>
          </cell>
          <cell r="AO57">
            <v>4.4104527164011564</v>
          </cell>
          <cell r="AP57">
            <v>6.1686929241852227E-2</v>
          </cell>
          <cell r="AQ57">
            <v>1.6241376704037309</v>
          </cell>
        </row>
        <row r="58">
          <cell r="E58">
            <v>2.6</v>
          </cell>
          <cell r="F58">
            <v>2.6</v>
          </cell>
          <cell r="G58">
            <v>0</v>
          </cell>
          <cell r="Q58">
            <v>0.31091666666666662</v>
          </cell>
          <cell r="R58">
            <v>-0.57741666666666669</v>
          </cell>
          <cell r="W58">
            <v>0.94656032950303171</v>
          </cell>
          <cell r="AC58">
            <v>2.5996640664915587</v>
          </cell>
          <cell r="AD58">
            <v>3.7130116912042307E-2</v>
          </cell>
          <cell r="AK58">
            <v>4.2546475080416091</v>
          </cell>
          <cell r="AL58">
            <v>4.3938147295118855</v>
          </cell>
          <cell r="AM58">
            <v>9.7077170187734291E-2</v>
          </cell>
          <cell r="AO58">
            <v>4.3889408232818345</v>
          </cell>
          <cell r="AP58">
            <v>6.1684470707707842E-2</v>
          </cell>
          <cell r="AQ58">
            <v>1.6241376704037309</v>
          </cell>
        </row>
        <row r="59">
          <cell r="E59">
            <v>2.8000000000000003</v>
          </cell>
          <cell r="F59">
            <v>2.8000000000000003</v>
          </cell>
          <cell r="G59">
            <v>0</v>
          </cell>
          <cell r="Q59">
            <v>0.308</v>
          </cell>
          <cell r="R59">
            <v>-0.57200000000000006</v>
          </cell>
          <cell r="W59">
            <v>0.94749529945761191</v>
          </cell>
          <cell r="AC59">
            <v>2.7995801538048268</v>
          </cell>
          <cell r="AD59">
            <v>4.2923046512321837E-2</v>
          </cell>
          <cell r="AK59">
            <v>4.2396008831785226</v>
          </cell>
          <cell r="AL59">
            <v>4.3567018238185318</v>
          </cell>
          <cell r="AM59">
            <v>9.4352808289505014E-2</v>
          </cell>
          <cell r="AO59">
            <v>4.3657688019967154</v>
          </cell>
          <cell r="AP59">
            <v>6.1680976417668357E-2</v>
          </cell>
          <cell r="AQ59">
            <v>1.6241376704037309</v>
          </cell>
        </row>
        <row r="60">
          <cell r="E60">
            <v>3</v>
          </cell>
          <cell r="F60">
            <v>3.0000000000000004</v>
          </cell>
          <cell r="G60">
            <v>0</v>
          </cell>
          <cell r="Q60">
            <v>0.30508333333333332</v>
          </cell>
          <cell r="R60">
            <v>-0.56658333333333344</v>
          </cell>
          <cell r="W60">
            <v>0.94825279855897038</v>
          </cell>
          <cell r="AC60">
            <v>2.9994816043951378</v>
          </cell>
          <cell r="AD60">
            <v>4.9200789091422774E-2</v>
          </cell>
          <cell r="AK60">
            <v>4.2231399840479273</v>
          </cell>
          <cell r="AL60">
            <v>4.3186988394370101</v>
          </cell>
          <cell r="AM60">
            <v>9.1909207774973689E-2</v>
          </cell>
          <cell r="AO60">
            <v>4.3409345743068384</v>
          </cell>
          <cell r="AP60">
            <v>6.1676404538389386E-2</v>
          </cell>
          <cell r="AQ60">
            <v>1.6241376704037309</v>
          </cell>
        </row>
        <row r="61">
          <cell r="E61">
            <v>3.2</v>
          </cell>
          <cell r="F61">
            <v>3.2000000000000006</v>
          </cell>
          <cell r="G61">
            <v>0</v>
          </cell>
          <cell r="Q61">
            <v>0.30216666666666664</v>
          </cell>
          <cell r="R61">
            <v>-0.56116666666666659</v>
          </cell>
          <cell r="W61">
            <v>0.94885534710217156</v>
          </cell>
          <cell r="AC61">
            <v>3.1993673458420631</v>
          </cell>
          <cell r="AD61">
            <v>5.5960254026829873E-2</v>
          </cell>
          <cell r="AK61">
            <v>4.2052365822702873</v>
          </cell>
          <cell r="AL61">
            <v>4.2799306500227328</v>
          </cell>
          <cell r="AM61">
            <v>8.9710446589017459E-2</v>
          </cell>
          <cell r="AO61">
            <v>4.3144355573931561</v>
          </cell>
          <cell r="AP61">
            <v>6.1670720871396141E-2</v>
          </cell>
          <cell r="AQ61">
            <v>1.6241376704037309</v>
          </cell>
        </row>
        <row r="62">
          <cell r="E62">
            <v>3.4000000000000004</v>
          </cell>
          <cell r="F62">
            <v>3.4000000000000008</v>
          </cell>
          <cell r="G62">
            <v>0</v>
          </cell>
          <cell r="Q62">
            <v>0.29924999999999996</v>
          </cell>
          <cell r="R62">
            <v>-0.55574999999999997</v>
          </cell>
          <cell r="W62">
            <v>0.94931915195454941</v>
          </cell>
          <cell r="AC62">
            <v>3.3992363349255594</v>
          </cell>
          <cell r="AD62">
            <v>6.3198154464199532E-2</v>
          </cell>
          <cell r="AK62">
            <v>4.1858626403148786</v>
          </cell>
          <cell r="AL62">
            <v>4.2404899868869776</v>
          </cell>
          <cell r="AM62">
            <v>8.7730793936001708E-2</v>
          </cell>
          <cell r="AO62">
            <v>4.2862685018512465</v>
          </cell>
          <cell r="AP62">
            <v>6.1663898861110067E-2</v>
          </cell>
          <cell r="AQ62">
            <v>1.6241376704037309</v>
          </cell>
        </row>
        <row r="63">
          <cell r="E63">
            <v>3.6</v>
          </cell>
          <cell r="F63">
            <v>3.600000000000001</v>
          </cell>
          <cell r="G63">
            <v>0</v>
          </cell>
          <cell r="Q63">
            <v>0.29633333333333334</v>
          </cell>
          <cell r="R63">
            <v>-0.55033333333333334</v>
          </cell>
          <cell r="W63">
            <v>0.9496557362190462</v>
          </cell>
          <cell r="AC63">
            <v>3.5990875596902332</v>
          </cell>
          <cell r="AD63">
            <v>7.0910998301578321E-2</v>
          </cell>
          <cell r="AK63">
            <v>4.1649900037789118</v>
          </cell>
          <cell r="AL63">
            <v>4.2004460282638689</v>
          </cell>
          <cell r="AM63">
            <v>8.5952097317729015E-2</v>
          </cell>
          <cell r="AO63">
            <v>4.2564293230495727</v>
          </cell>
          <cell r="AP63">
            <v>6.1655920445967322E-2</v>
          </cell>
          <cell r="AQ63">
            <v>1.6241376704037309</v>
          </cell>
        </row>
        <row r="64">
          <cell r="E64">
            <v>3.8000000000000003</v>
          </cell>
          <cell r="F64">
            <v>3.8000000000000012</v>
          </cell>
          <cell r="G64">
            <v>0</v>
          </cell>
          <cell r="Q64">
            <v>0.29341666666666666</v>
          </cell>
          <cell r="R64">
            <v>-0.54491666666666672</v>
          </cell>
          <cell r="W64">
            <v>0.94987288789008961</v>
          </cell>
          <cell r="AC64">
            <v>3.7989200416045721</v>
          </cell>
          <cell r="AD64">
            <v>7.9095078699244994E-2</v>
          </cell>
          <cell r="AK64">
            <v>4.1425901038577368</v>
          </cell>
          <cell r="AL64">
            <v>4.1598495784036613</v>
          </cell>
          <cell r="AM64">
            <v>8.4362264473151413E-2</v>
          </cell>
          <cell r="AO64">
            <v>4.2249129208097056</v>
          </cell>
          <cell r="AP64">
            <v>6.1646776108866909E-2</v>
          </cell>
          <cell r="AQ64">
            <v>1.6241376704037309</v>
          </cell>
        </row>
        <row r="65">
          <cell r="E65">
            <v>4</v>
          </cell>
          <cell r="F65">
            <v>4.0000000000000009</v>
          </cell>
          <cell r="G65">
            <v>0</v>
          </cell>
          <cell r="Q65">
            <v>0.29049999999999998</v>
          </cell>
          <cell r="R65">
            <v>-0.53950000000000009</v>
          </cell>
          <cell r="W65">
            <v>0.94997516864726694</v>
          </cell>
          <cell r="AC65">
            <v>3.9987328378174989</v>
          </cell>
          <cell r="AD65">
            <v>8.7746464112655062E-2</v>
          </cell>
          <cell r="AK65">
            <v>4.1186336773418413</v>
          </cell>
          <cell r="AL65">
            <v>4.1187360905663075</v>
          </cell>
          <cell r="AM65">
            <v>8.2954453039618209E-2</v>
          </cell>
          <cell r="AO65">
            <v>4.1917130009573418</v>
          </cell>
          <cell r="AP65">
            <v>6.1636459695170731E-2</v>
          </cell>
          <cell r="AQ65">
            <v>1.6241376704037309</v>
          </cell>
        </row>
        <row r="66">
          <cell r="E66">
            <v>4.2</v>
          </cell>
          <cell r="F66">
            <v>4.2000000000000011</v>
          </cell>
          <cell r="G66">
            <v>0</v>
          </cell>
          <cell r="Q66">
            <v>0.2875833333333333</v>
          </cell>
          <cell r="R66">
            <v>-0.53408333333333335</v>
          </cell>
          <cell r="W66">
            <v>0.9499641211559382</v>
          </cell>
          <cell r="AC66">
            <v>4.1985250435140822</v>
          </cell>
          <cell r="AD66">
            <v>9.68609878464574E-2</v>
          </cell>
          <cell r="AK66">
            <v>4.0930905772717683</v>
          </cell>
          <cell r="AL66">
            <v>4.0771272624861421</v>
          </cell>
          <cell r="AM66">
            <v>8.1726745780740961E-2</v>
          </cell>
          <cell r="AO66">
            <v>4.1568219788463701</v>
          </cell>
          <cell r="AP66">
            <v>6.1624919890163013E-2</v>
          </cell>
          <cell r="AQ66">
            <v>1.6241376704037309</v>
          </cell>
        </row>
        <row r="67">
          <cell r="E67">
            <v>4.4000000000000004</v>
          </cell>
          <cell r="F67">
            <v>4.4000000000000012</v>
          </cell>
          <cell r="G67">
            <v>0</v>
          </cell>
          <cell r="Q67">
            <v>0.28466666666666668</v>
          </cell>
          <cell r="R67">
            <v>-0.52866666666666662</v>
          </cell>
          <cell r="W67">
            <v>0.94983837560304318</v>
          </cell>
          <cell r="AC67">
            <v>4.3982957943716015</v>
          </cell>
          <cell r="AD67">
            <v>0.10643423712886031</v>
          </cell>
          <cell r="AK67">
            <v>4.0659302107147344</v>
          </cell>
          <cell r="AL67">
            <v>4.0350321493586776</v>
          </cell>
          <cell r="AM67">
            <v>8.0681988503667854E-2</v>
          </cell>
          <cell r="AO67">
            <v>4.1202315182805691</v>
          </cell>
          <cell r="AP67">
            <v>6.1610326265118254E-2</v>
          </cell>
          <cell r="AQ67">
            <v>1.6241376704037309</v>
          </cell>
        </row>
        <row r="68">
          <cell r="E68">
            <v>4.6000000000000005</v>
          </cell>
          <cell r="F68">
            <v>4.6000000000000014</v>
          </cell>
          <cell r="G68">
            <v>0</v>
          </cell>
          <cell r="Q68">
            <v>0.28174999999999994</v>
          </cell>
          <cell r="R68">
            <v>-0.52324999999999999</v>
          </cell>
          <cell r="W68">
            <v>0.94959477555935978</v>
          </cell>
          <cell r="AC68">
            <v>4.5980442691164294</v>
          </cell>
          <cell r="AD68">
            <v>0.11646154170760768</v>
          </cell>
          <cell r="AK68">
            <v>4.0371201886414037</v>
          </cell>
          <cell r="AL68">
            <v>3.9924525344923829</v>
          </cell>
          <cell r="AM68">
            <v>7.9825986802009155E-2</v>
          </cell>
          <cell r="AO68">
            <v>4.0819313384295395</v>
          </cell>
          <cell r="AP68">
            <v>6.1596920686320208E-2</v>
          </cell>
          <cell r="AQ68">
            <v>1.6241376704037309</v>
          </cell>
        </row>
        <row r="69">
          <cell r="E69">
            <v>4.8000000000000007</v>
          </cell>
          <cell r="F69">
            <v>4.8000000000000016</v>
          </cell>
          <cell r="G69">
            <v>0</v>
          </cell>
          <cell r="Q69">
            <v>0.27883333333333332</v>
          </cell>
          <cell r="R69">
            <v>-0.51783333333333337</v>
          </cell>
          <cell r="W69">
            <v>0.94924711381098648</v>
          </cell>
          <cell r="AC69">
            <v>4.7977696921813129</v>
          </cell>
          <cell r="AD69">
            <v>0.12693796197187029</v>
          </cell>
          <cell r="AK69">
            <v>4.0066179435366065</v>
          </cell>
          <cell r="AL69">
            <v>3.9494612728998355</v>
          </cell>
          <cell r="AM69">
            <v>7.9487641645226648E-2</v>
          </cell>
          <cell r="AO69">
            <v>4.0419005448550909</v>
          </cell>
          <cell r="AP69">
            <v>6.1589910894325098E-2</v>
          </cell>
          <cell r="AQ69">
            <v>1.6241376704037309</v>
          </cell>
        </row>
        <row r="70">
          <cell r="E70">
            <v>5</v>
          </cell>
          <cell r="F70">
            <v>5.0000000000000018</v>
          </cell>
          <cell r="G70">
            <v>0</v>
          </cell>
          <cell r="Q70">
            <v>0.27591666666666664</v>
          </cell>
          <cell r="R70">
            <v>-0.51241666666666674</v>
          </cell>
          <cell r="W70">
            <v>0.94873260404024695</v>
          </cell>
          <cell r="AC70">
            <v>4.9974767668480942</v>
          </cell>
          <cell r="AD70">
            <v>0.13775851316099591</v>
          </cell>
          <cell r="AK70">
            <v>3.9743665202798852</v>
          </cell>
          <cell r="AL70">
            <v>3.9058135392581916</v>
          </cell>
          <cell r="AM70">
            <v>7.9792197913181206E-2</v>
          </cell>
          <cell r="AO70">
            <v>4.000103008428197</v>
          </cell>
          <cell r="AP70">
            <v>6.158166294614717E-2</v>
          </cell>
          <cell r="AQ70">
            <v>1.6241376704037309</v>
          </cell>
        </row>
        <row r="71">
          <cell r="E71">
            <v>5.2</v>
          </cell>
          <cell r="F71">
            <v>5.200000000000002</v>
          </cell>
          <cell r="G71">
            <v>0</v>
          </cell>
          <cell r="Q71">
            <v>0.27299999999999996</v>
          </cell>
          <cell r="R71">
            <v>-0.50700000000000012</v>
          </cell>
          <cell r="W71">
            <v>0.94878580978988636</v>
          </cell>
          <cell r="AC71">
            <v>5.197170671600654</v>
          </cell>
          <cell r="AD71">
            <v>0.14881945365786989</v>
          </cell>
          <cell r="AK71">
            <v>3.9403108258423893</v>
          </cell>
          <cell r="AL71">
            <v>3.8603722635826001</v>
          </cell>
          <cell r="AM71">
            <v>7.8977511985737311E-2</v>
          </cell>
          <cell r="AO71">
            <v>3.9565044980250836</v>
          </cell>
          <cell r="AP71">
            <v>6.1563981635377137E-2</v>
          </cell>
          <cell r="AQ71">
            <v>1.6241376704037309</v>
          </cell>
        </row>
        <row r="72">
          <cell r="E72">
            <v>5.4</v>
          </cell>
          <cell r="F72">
            <v>5.4000000000000021</v>
          </cell>
          <cell r="G72">
            <v>0</v>
          </cell>
          <cell r="Q72">
            <v>0.26949999999999996</v>
          </cell>
          <cell r="R72">
            <v>-0.50050000000000006</v>
          </cell>
          <cell r="W72">
            <v>0.94940838485105028</v>
          </cell>
          <cell r="AC72">
            <v>5.3968444362358516</v>
          </cell>
          <cell r="AD72">
            <v>0.1602381977397572</v>
          </cell>
          <cell r="AK72">
            <v>3.9044016623657796</v>
          </cell>
          <cell r="AL72">
            <v>3.8130614256580309</v>
          </cell>
          <cell r="AM72">
            <v>7.7020038103091062E-2</v>
          </cell>
          <cell r="AO72">
            <v>3.9110774690128829</v>
          </cell>
          <cell r="AP72">
            <v>6.1543686919122466E-2</v>
          </cell>
          <cell r="AQ72">
            <v>1.6241376704037309</v>
          </cell>
        </row>
        <row r="73">
          <cell r="E73">
            <v>5.6000000000000005</v>
          </cell>
          <cell r="F73">
            <v>5.6000000000000023</v>
          </cell>
          <cell r="G73">
            <v>0</v>
          </cell>
          <cell r="Q73">
            <v>0.26599999999999996</v>
          </cell>
          <cell r="R73">
            <v>-0.49400000000000005</v>
          </cell>
          <cell r="W73">
            <v>0.94981094972081082</v>
          </cell>
          <cell r="AC73">
            <v>5.5964906492858839</v>
          </cell>
          <cell r="AD73">
            <v>0.17212893425105258</v>
          </cell>
          <cell r="AK73">
            <v>3.8665752081629683</v>
          </cell>
          <cell r="AL73">
            <v>3.7648131519558641</v>
          </cell>
          <cell r="AM73">
            <v>7.5423145754245455E-2</v>
          </cell>
          <cell r="AO73">
            <v>3.8637799129584613</v>
          </cell>
          <cell r="AP73">
            <v>6.1526289938361685E-2</v>
          </cell>
          <cell r="AQ73">
            <v>1.6241376704037309</v>
          </cell>
        </row>
        <row r="74">
          <cell r="E74">
            <v>5.8000000000000007</v>
          </cell>
          <cell r="F74">
            <v>5.8000000000000025</v>
          </cell>
          <cell r="G74">
            <v>0</v>
          </cell>
          <cell r="Q74">
            <v>0.26249999999999996</v>
          </cell>
          <cell r="R74">
            <v>-0.48750000000000004</v>
          </cell>
          <cell r="W74">
            <v>0.95004980080611823</v>
          </cell>
          <cell r="AC74">
            <v>5.7961087615848239</v>
          </cell>
          <cell r="AD74">
            <v>0.18448244558215598</v>
          </cell>
          <cell r="AK74">
            <v>3.8267431033704571</v>
          </cell>
          <cell r="AL74">
            <v>3.7158822834029297</v>
          </cell>
          <cell r="AM74">
            <v>7.4097038014226541E-2</v>
          </cell>
          <cell r="AO74">
            <v>3.8145451950005009</v>
          </cell>
          <cell r="AP74">
            <v>6.1509978683970012E-2</v>
          </cell>
          <cell r="AQ74">
            <v>1.6241376704037309</v>
          </cell>
        </row>
        <row r="75">
          <cell r="E75">
            <v>6</v>
          </cell>
          <cell r="F75">
            <v>6.0000000000000027</v>
          </cell>
          <cell r="G75">
            <v>0</v>
          </cell>
          <cell r="Q75">
            <v>0.25900000000000001</v>
          </cell>
          <cell r="R75">
            <v>-0.48099999999999998</v>
          </cell>
          <cell r="W75">
            <v>0.95014893144929635</v>
          </cell>
          <cell r="AC75">
            <v>5.9956983114818456</v>
          </cell>
          <cell r="AD75">
            <v>0.19728914585600257</v>
          </cell>
          <cell r="AK75">
            <v>3.7847845233980606</v>
          </cell>
          <cell r="AL75">
            <v>3.6663871892299724</v>
          </cell>
          <cell r="AM75">
            <v>7.3004016399335639E-2</v>
          </cell>
          <cell r="AO75">
            <v>3.7632744491614871</v>
          </cell>
          <cell r="AP75">
            <v>6.1497069284427115E-2</v>
          </cell>
          <cell r="AQ75">
            <v>1.6241376704037309</v>
          </cell>
        </row>
        <row r="76">
          <cell r="E76">
            <v>6.2</v>
          </cell>
          <cell r="F76">
            <v>6.2000000000000028</v>
          </cell>
          <cell r="G76">
            <v>0</v>
          </cell>
          <cell r="Q76">
            <v>0.2555</v>
          </cell>
          <cell r="R76">
            <v>-0.47449999999999998</v>
          </cell>
          <cell r="W76">
            <v>0.95011857348286788</v>
          </cell>
          <cell r="AC76">
            <v>6.1952589275170471</v>
          </cell>
          <cell r="AD76">
            <v>0.21053907142752473</v>
          </cell>
          <cell r="AK76">
            <v>3.7405139553008793</v>
          </cell>
          <cell r="AL76">
            <v>3.6163888203191656</v>
          </cell>
          <cell r="AM76">
            <v>7.2128640702993574E-2</v>
          </cell>
          <cell r="AO76">
            <v>3.7098046628272869</v>
          </cell>
          <cell r="AP76">
            <v>6.149564043629796E-2</v>
          </cell>
          <cell r="AQ76">
            <v>1.6241376704037309</v>
          </cell>
        </row>
        <row r="77">
          <cell r="E77">
            <v>6.4</v>
          </cell>
          <cell r="F77">
            <v>6.400000000000003</v>
          </cell>
          <cell r="G77">
            <v>0</v>
          </cell>
          <cell r="Q77">
            <v>0.252</v>
          </cell>
          <cell r="R77">
            <v>-0.46799999999999997</v>
          </cell>
          <cell r="W77">
            <v>0.94996068495118291</v>
          </cell>
          <cell r="AC77">
            <v>6.3947903309825644</v>
          </cell>
          <cell r="AD77">
            <v>0.2242218719844645</v>
          </cell>
          <cell r="AK77">
            <v>3.6935870539179385</v>
          </cell>
          <cell r="AL77">
            <v>3.5659149211355028</v>
          </cell>
          <cell r="AM77">
            <v>7.1468906993233328E-2</v>
          </cell>
          <cell r="AO77">
            <v>3.6538154174163804</v>
          </cell>
          <cell r="AP77">
            <v>6.1551697719155266E-2</v>
          </cell>
          <cell r="AQ77">
            <v>1.6241376704037309</v>
          </cell>
        </row>
        <row r="78">
          <cell r="E78">
            <v>6.6000000000000005</v>
          </cell>
          <cell r="F78">
            <v>6.6000000000000032</v>
          </cell>
          <cell r="G78">
            <v>0</v>
          </cell>
          <cell r="Q78">
            <v>0.24849999999999997</v>
          </cell>
          <cell r="R78">
            <v>-0.46150000000000002</v>
          </cell>
          <cell r="W78">
            <v>0.94967040957635274</v>
          </cell>
          <cell r="AC78">
            <v>6.5942923383268166</v>
          </cell>
          <cell r="AD78">
            <v>0.23832680252714414</v>
          </cell>
          <cell r="AK78">
            <v>3.6430276565661242</v>
          </cell>
          <cell r="AL78">
            <v>3.5149676034444752</v>
          </cell>
          <cell r="AM78">
            <v>7.1033913109171995E-2</v>
          </cell>
          <cell r="AO78">
            <v>3.5943612325513605</v>
          </cell>
          <cell r="AP78">
            <v>6.2997316631308642E-2</v>
          </cell>
          <cell r="AQ78">
            <v>1.6241376704037309</v>
          </cell>
        </row>
        <row r="79">
          <cell r="E79">
            <v>6.8000000000000007</v>
          </cell>
          <cell r="F79">
            <v>6.8000000000000034</v>
          </cell>
          <cell r="G79">
            <v>0</v>
          </cell>
          <cell r="Q79">
            <v>0.24499999999999997</v>
          </cell>
          <cell r="R79">
            <v>-0.45499999999999996</v>
          </cell>
          <cell r="W79">
            <v>0.94923394752229462</v>
          </cell>
          <cell r="AC79">
            <v>6.7937648633524237</v>
          </cell>
          <cell r="AD79">
            <v>0.25284271654963786</v>
          </cell>
          <cell r="AK79">
            <v>3.5887308664607751</v>
          </cell>
          <cell r="AL79">
            <v>3.4635173660219727</v>
          </cell>
          <cell r="AM79">
            <v>7.0847305142378261E-2</v>
          </cell>
          <cell r="AO79">
            <v>3.5313336382535985</v>
          </cell>
          <cell r="AP79">
            <v>6.4700312387622819E-2</v>
          </cell>
          <cell r="AQ79">
            <v>1.6241376704037309</v>
          </cell>
        </row>
        <row r="80">
          <cell r="E80">
            <v>7</v>
          </cell>
          <cell r="F80">
            <v>7.0000000000000036</v>
          </cell>
          <cell r="G80">
            <v>0</v>
          </cell>
          <cell r="Q80">
            <v>0.24149999999999999</v>
          </cell>
          <cell r="R80">
            <v>-0.44850000000000007</v>
          </cell>
          <cell r="W80">
            <v>0.94859497780172986</v>
          </cell>
          <cell r="AC80">
            <v>6.9932079191481904</v>
          </cell>
          <cell r="AD80">
            <v>0.26775806082480752</v>
          </cell>
          <cell r="AK80">
            <v>3.5362822484947327</v>
          </cell>
          <cell r="AL80">
            <v>3.4113846889194712</v>
          </cell>
          <cell r="AM80">
            <v>7.1002598224963798E-2</v>
          </cell>
          <cell r="AO80">
            <v>3.4702595278104269</v>
          </cell>
          <cell r="AP80">
            <v>5.666830233772123E-2</v>
          </cell>
          <cell r="AQ80">
            <v>1.6241376704037309</v>
          </cell>
        </row>
        <row r="81">
          <cell r="E81">
            <v>7.2</v>
          </cell>
          <cell r="F81">
            <v>7.1989043790736584</v>
          </cell>
          <cell r="G81">
            <v>0</v>
          </cell>
          <cell r="Q81">
            <v>0.23799999999999996</v>
          </cell>
          <cell r="R81">
            <v>-0.44199999999999995</v>
          </cell>
          <cell r="W81">
            <v>0.94778410394894153</v>
          </cell>
          <cell r="AC81">
            <v>7.1915474613760599</v>
          </cell>
          <cell r="AD81">
            <v>0.29347626427759943</v>
          </cell>
          <cell r="AK81">
            <v>3.4872161155041854</v>
          </cell>
          <cell r="AL81">
            <v>3.3587099183690614</v>
          </cell>
          <cell r="AM81">
            <v>7.1454633705502049E-2</v>
          </cell>
          <cell r="AO81">
            <v>3.4127693739728433</v>
          </cell>
          <cell r="AP81">
            <v>5.8734633129996772E-2</v>
          </cell>
          <cell r="AQ81">
            <v>1.6241376704037309</v>
          </cell>
        </row>
        <row r="82">
          <cell r="E82">
            <v>7.4</v>
          </cell>
          <cell r="F82">
            <v>7.3978087581473133</v>
          </cell>
          <cell r="G82">
            <v>2.0905692653530695E-2</v>
          </cell>
          <cell r="Q82">
            <v>0.23449999999999996</v>
          </cell>
          <cell r="R82">
            <v>-0.4355</v>
          </cell>
          <cell r="W82">
            <v>0.94677211279819562</v>
          </cell>
          <cell r="AC82">
            <v>7.3882011124039604</v>
          </cell>
          <cell r="AD82">
            <v>0.32990896301646061</v>
          </cell>
          <cell r="AK82">
            <v>3.4345718586454868</v>
          </cell>
          <cell r="AL82">
            <v>3.3054181388066999</v>
          </cell>
          <cell r="AM82">
            <v>7.2253662005396416E-2</v>
          </cell>
          <cell r="AO82">
            <v>3.3520323268746446</v>
          </cell>
          <cell r="AP82">
            <v>6.0181982357289734E-2</v>
          </cell>
          <cell r="AQ82">
            <v>1.6241376704037309</v>
          </cell>
        </row>
        <row r="83">
          <cell r="E83">
            <v>7.6000000000000005</v>
          </cell>
          <cell r="F83">
            <v>7.5967131372209682</v>
          </cell>
          <cell r="G83">
            <v>4.181138530706139E-2</v>
          </cell>
          <cell r="Q83">
            <v>0.23099999999999996</v>
          </cell>
          <cell r="R83">
            <v>-0.42899999999999994</v>
          </cell>
          <cell r="W83">
            <v>0.94548342740074365</v>
          </cell>
          <cell r="AC83">
            <v>7.5847884362578002</v>
          </cell>
          <cell r="AD83">
            <v>0.36669787574822554</v>
          </cell>
          <cell r="AK83">
            <v>3.3787572012357932</v>
          </cell>
          <cell r="AL83">
            <v>3.251281135974307</v>
          </cell>
          <cell r="AM83">
            <v>7.3523762892446332E-2</v>
          </cell>
          <cell r="AO83">
            <v>3.2884407058411389</v>
          </cell>
          <cell r="AP83">
            <v>6.0169431686834918E-2</v>
          </cell>
          <cell r="AQ83">
            <v>1.6241376704037309</v>
          </cell>
        </row>
        <row r="84">
          <cell r="E84">
            <v>7.8000000000000007</v>
          </cell>
          <cell r="F84">
            <v>7.7956175162946231</v>
          </cell>
          <cell r="G84">
            <v>6.2717077960592088E-2</v>
          </cell>
          <cell r="Q84">
            <v>0.22749999999999995</v>
          </cell>
          <cell r="R84">
            <v>-0.42249999999999999</v>
          </cell>
          <cell r="W84">
            <v>0.94383408427296278</v>
          </cell>
          <cell r="AC84">
            <v>7.7813113573377919</v>
          </cell>
          <cell r="AD84">
            <v>0.40382928415387803</v>
          </cell>
          <cell r="AK84">
            <v>3.3204412051753009</v>
          </cell>
          <cell r="AL84">
            <v>3.1960581678693196</v>
          </cell>
          <cell r="AM84">
            <v>7.5402761771157817E-2</v>
          </cell>
          <cell r="AO84">
            <v>3.2226691021911131</v>
          </cell>
          <cell r="AP84">
            <v>6.0140149644187707E-2</v>
          </cell>
          <cell r="AQ84">
            <v>1.6241376704037309</v>
          </cell>
        </row>
        <row r="85">
          <cell r="E85">
            <v>8</v>
          </cell>
          <cell r="F85">
            <v>7.994521895368278</v>
          </cell>
          <cell r="G85">
            <v>8.3622770614122779E-2</v>
          </cell>
          <cell r="Q85">
            <v>0.22399999999999995</v>
          </cell>
          <cell r="R85">
            <v>-0.41599999999999993</v>
          </cell>
          <cell r="W85">
            <v>0.94169111902784775</v>
          </cell>
          <cell r="AC85">
            <v>7.9777719657994108</v>
          </cell>
          <cell r="AD85">
            <v>0.44128898680740253</v>
          </cell>
          <cell r="AK85">
            <v>3.2596956301270028</v>
          </cell>
          <cell r="AL85">
            <v>3.1393627680590868</v>
          </cell>
          <cell r="AM85">
            <v>7.8107608170144532E-2</v>
          </cell>
          <cell r="AO85">
            <v>3.1548105167025957</v>
          </cell>
          <cell r="AP85">
            <v>6.011572932259128E-2</v>
          </cell>
          <cell r="AQ85">
            <v>1.6241376704037309</v>
          </cell>
        </row>
        <row r="86">
          <cell r="E86">
            <v>8.2000000000000011</v>
          </cell>
          <cell r="F86">
            <v>8.1934262744419328</v>
          </cell>
          <cell r="G86">
            <v>0.10452846326765347</v>
          </cell>
          <cell r="Q86">
            <v>0.22049999999999995</v>
          </cell>
          <cell r="R86">
            <v>-0.40949999999999998</v>
          </cell>
          <cell r="W86">
            <v>0.93882953714940121</v>
          </cell>
          <cell r="AC86">
            <v>8.1741725177130942</v>
          </cell>
          <cell r="AD86">
            <v>0.47906230024427604</v>
          </cell>
          <cell r="AK86">
            <v>3.196470478171701</v>
          </cell>
          <cell r="AL86">
            <v>3.0805344187714723</v>
          </cell>
          <cell r="AM86">
            <v>8.2168921381377977E-2</v>
          </cell>
          <cell r="AO86">
            <v>3.0848408773913074</v>
          </cell>
          <cell r="AP86">
            <v>6.0102034646962621E-2</v>
          </cell>
          <cell r="AQ86">
            <v>1.6241376704037309</v>
          </cell>
        </row>
        <row r="87">
          <cell r="E87">
            <v>8.4</v>
          </cell>
          <cell r="F87">
            <v>8.3923306535155877</v>
          </cell>
          <cell r="G87">
            <v>0.12543415592118418</v>
          </cell>
          <cell r="Q87">
            <v>0.21699999999999994</v>
          </cell>
          <cell r="R87">
            <v>-0.40299999999999991</v>
          </cell>
          <cell r="W87">
            <v>0.93471340846296624</v>
          </cell>
          <cell r="AC87">
            <v>8.3705295674708964</v>
          </cell>
          <cell r="AD87">
            <v>0.5170611029939941</v>
          </cell>
          <cell r="AK87">
            <v>3.1306532557322204</v>
          </cell>
          <cell r="AL87">
            <v>3.0179559175748016</v>
          </cell>
          <cell r="AM87">
            <v>8.8498129368602282E-2</v>
          </cell>
          <cell r="AO87">
            <v>3.0126764259899801</v>
          </cell>
          <cell r="AP87">
            <v>6.0094061755642018E-2</v>
          </cell>
          <cell r="AQ87">
            <v>1.6241376704037309</v>
          </cell>
        </row>
        <row r="88">
          <cell r="E88">
            <v>8.6</v>
          </cell>
          <cell r="F88">
            <v>8.5912350325892426</v>
          </cell>
          <cell r="G88">
            <v>0.14633984857471488</v>
          </cell>
          <cell r="Q88">
            <v>0.21349999999999994</v>
          </cell>
          <cell r="R88">
            <v>-0.39649999999999996</v>
          </cell>
          <cell r="W88">
            <v>0.92584980376216564</v>
          </cell>
          <cell r="AC88">
            <v>8.5668639020300947</v>
          </cell>
          <cell r="AD88">
            <v>0.55517709797243608</v>
          </cell>
          <cell r="AK88">
            <v>3.0620933338044254</v>
          </cell>
          <cell r="AL88">
            <v>2.9451492678084428</v>
          </cell>
          <cell r="AM88">
            <v>8.6909778907593951E-2</v>
          </cell>
          <cell r="AO88">
            <v>2.9381979357129437</v>
          </cell>
          <cell r="AP88">
            <v>6.0083164921764569E-2</v>
          </cell>
          <cell r="AQ88">
            <v>1.6241376704037309</v>
          </cell>
        </row>
        <row r="89">
          <cell r="E89">
            <v>8.8000000000000007</v>
          </cell>
          <cell r="F89">
            <v>8.7901394116628975</v>
          </cell>
          <cell r="G89">
            <v>0.16724554122824559</v>
          </cell>
          <cell r="Q89">
            <v>0.21063636363636359</v>
          </cell>
          <cell r="R89">
            <v>-0.39118181818181808</v>
          </cell>
          <cell r="W89">
            <v>0.91208436612431165</v>
          </cell>
          <cell r="AC89">
            <v>8.7631770455477014</v>
          </cell>
          <cell r="AD89">
            <v>0.593402085640652</v>
          </cell>
          <cell r="AK89">
            <v>2.9906221746717625</v>
          </cell>
          <cell r="AL89">
            <v>2.8621829284685072</v>
          </cell>
          <cell r="AM89">
            <v>7.7450405493302329E-2</v>
          </cell>
          <cell r="AO89">
            <v>2.8612713951169981</v>
          </cell>
          <cell r="AP89">
            <v>6.0065380027753558E-2</v>
          </cell>
          <cell r="AQ89">
            <v>1.6196524276397553</v>
          </cell>
        </row>
        <row r="90">
          <cell r="E90">
            <v>9</v>
          </cell>
          <cell r="F90">
            <v>8.9890437907365524</v>
          </cell>
          <cell r="G90">
            <v>0.18815123388177629</v>
          </cell>
          <cell r="Q90">
            <v>0.20777272727272722</v>
          </cell>
          <cell r="R90">
            <v>-0.3858636363636363</v>
          </cell>
          <cell r="W90">
            <v>0.89678568262323022</v>
          </cell>
          <cell r="AC90">
            <v>8.9594511252947484</v>
          </cell>
          <cell r="AD90">
            <v>0.63182715063018924</v>
          </cell>
          <cell r="AK90">
            <v>2.9160543090945006</v>
          </cell>
          <cell r="AL90">
            <v>2.7756535951828312</v>
          </cell>
          <cell r="AM90">
            <v>7.0343027940571914E-2</v>
          </cell>
          <cell r="AO90">
            <v>2.7817494237169127</v>
          </cell>
          <cell r="AP90">
            <v>6.0046591893775467E-2</v>
          </cell>
          <cell r="AQ90">
            <v>1.6151671848757798</v>
          </cell>
        </row>
        <row r="91">
          <cell r="E91">
            <v>9.2000000000000011</v>
          </cell>
          <cell r="F91">
            <v>9.1879481698102072</v>
          </cell>
          <cell r="G91">
            <v>0.209056926535307</v>
          </cell>
          <cell r="Q91">
            <v>0.20490909090909085</v>
          </cell>
          <cell r="R91">
            <v>-0.38054545454545452</v>
          </cell>
          <cell r="W91">
            <v>0.88047964933345979</v>
          </cell>
          <cell r="AC91">
            <v>9.1556734205779833</v>
          </cell>
          <cell r="AD91">
            <v>0.67051579022605856</v>
          </cell>
          <cell r="AK91">
            <v>2.8381691652707444</v>
          </cell>
          <cell r="AL91">
            <v>2.6873639660735673</v>
          </cell>
          <cell r="AM91">
            <v>6.4888214430150623E-2</v>
          </cell>
          <cell r="AO91">
            <v>2.6994535306492824</v>
          </cell>
          <cell r="AP91">
            <v>6.0030794859609216E-2</v>
          </cell>
          <cell r="AQ91">
            <v>1.6106819421118042</v>
          </cell>
        </row>
        <row r="92">
          <cell r="E92">
            <v>9.4</v>
          </cell>
          <cell r="F92">
            <v>9.3868525488838621</v>
          </cell>
          <cell r="G92">
            <v>0.2299626191888377</v>
          </cell>
          <cell r="Q92">
            <v>0.2020454545454545</v>
          </cell>
          <cell r="R92">
            <v>-0.37522727272727263</v>
          </cell>
          <cell r="W92">
            <v>0.86338406015275748</v>
          </cell>
          <cell r="AC92">
            <v>9.3518468590977744</v>
          </cell>
          <cell r="AD92">
            <v>0.70945140399188733</v>
          </cell>
          <cell r="AK92">
            <v>2.7567006806363166</v>
          </cell>
          <cell r="AL92">
            <v>2.5980992382846777</v>
          </cell>
          <cell r="AM92">
            <v>6.0736786670326177E-2</v>
          </cell>
          <cell r="AO92">
            <v>2.614164429622178</v>
          </cell>
          <cell r="AP92">
            <v>6.0017167030328541E-2</v>
          </cell>
          <cell r="AQ92">
            <v>1.6061966993478287</v>
          </cell>
        </row>
        <row r="93">
          <cell r="E93">
            <v>9.6000000000000014</v>
          </cell>
          <cell r="F93">
            <v>9.585756927957517</v>
          </cell>
          <cell r="G93">
            <v>0.25086831184236841</v>
          </cell>
          <cell r="Q93">
            <v>0.19918181818181813</v>
          </cell>
          <cell r="R93">
            <v>-0.36990909090909085</v>
          </cell>
          <cell r="W93">
            <v>0.84558968758053898</v>
          </cell>
          <cell r="AC93">
            <v>9.547974572451654</v>
          </cell>
          <cell r="AD93">
            <v>0.74861669544463239</v>
          </cell>
          <cell r="AK93">
            <v>2.6713323732374881</v>
          </cell>
          <cell r="AL93">
            <v>2.5082304107857736</v>
          </cell>
          <cell r="AM93">
            <v>5.7742793832381484E-2</v>
          </cell>
          <cell r="AO93">
            <v>2.5256181940328291</v>
          </cell>
          <cell r="AP93">
            <v>6.00056885869737E-2</v>
          </cell>
          <cell r="AQ93">
            <v>1.6017114565838533</v>
          </cell>
        </row>
        <row r="94">
          <cell r="E94">
            <v>9.8000000000000007</v>
          </cell>
          <cell r="F94">
            <v>9.7846613070311719</v>
          </cell>
          <cell r="G94">
            <v>0.27177400449589911</v>
          </cell>
          <cell r="Q94">
            <v>0.19631818181818178</v>
          </cell>
          <cell r="R94">
            <v>-0.36459090909090902</v>
          </cell>
          <cell r="W94">
            <v>0.82710935971589772</v>
          </cell>
          <cell r="AC94">
            <v>9.7440598874962348</v>
          </cell>
          <cell r="AD94">
            <v>0.78799370934700097</v>
          </cell>
          <cell r="AK94">
            <v>2.5816854449958648</v>
          </cell>
          <cell r="AL94">
            <v>2.4178850316694849</v>
          </cell>
          <cell r="AM94">
            <v>5.5885069223571282E-2</v>
          </cell>
          <cell r="AO94">
            <v>2.4334957999128513</v>
          </cell>
          <cell r="AP94">
            <v>5.9996355745592499E-2</v>
          </cell>
          <cell r="AQ94">
            <v>1.5972262138198778</v>
          </cell>
        </row>
        <row r="95">
          <cell r="E95">
            <v>10</v>
          </cell>
          <cell r="F95">
            <v>9.9835656861048268</v>
          </cell>
          <cell r="G95">
            <v>0.29267969714942982</v>
          </cell>
          <cell r="Q95">
            <v>0.19345454545454543</v>
          </cell>
          <cell r="R95">
            <v>-0.3592727272727273</v>
          </cell>
          <cell r="W95">
            <v>0.80788786788065292</v>
          </cell>
          <cell r="AC95">
            <v>9.9401063128024543</v>
          </cell>
          <cell r="AD95">
            <v>0.82756388908696721</v>
          </cell>
          <cell r="AK95">
            <v>2.4873022206255788</v>
          </cell>
          <cell r="AL95">
            <v>2.3269924758148757</v>
          </cell>
          <cell r="AM95">
            <v>5.5251666186646231E-2</v>
          </cell>
          <cell r="AO95">
            <v>2.3374084787433058</v>
          </cell>
          <cell r="AP95">
            <v>5.998916123605387E-2</v>
          </cell>
          <cell r="AQ95">
            <v>1.5927409710559022</v>
          </cell>
        </row>
        <row r="96">
          <cell r="E96">
            <v>10.200000000000001</v>
          </cell>
          <cell r="F96">
            <v>10.182470065178482</v>
          </cell>
          <cell r="G96">
            <v>0.31358538980296052</v>
          </cell>
          <cell r="Q96">
            <v>0.19059090909090903</v>
          </cell>
          <cell r="R96">
            <v>-0.35395454545454541</v>
          </cell>
          <cell r="W96">
            <v>0.7877863595276029</v>
          </cell>
          <cell r="AC96">
            <v>10.136117518903974</v>
          </cell>
          <cell r="AD96">
            <v>0.86730816015372125</v>
          </cell>
          <cell r="AK96">
            <v>2.3876228977761649</v>
          </cell>
          <cell r="AL96">
            <v>2.235254273982354</v>
          </cell>
          <cell r="AM96">
            <v>5.6065457928827979E-2</v>
          </cell>
          <cell r="AO96">
            <v>2.236877091902715</v>
          </cell>
          <cell r="AP96">
            <v>5.9984090839341246E-2</v>
          </cell>
          <cell r="AQ96">
            <v>1.5882557282919265</v>
          </cell>
        </row>
        <row r="97">
          <cell r="E97">
            <v>10.4</v>
          </cell>
          <cell r="F97">
            <v>10.381374444252137</v>
          </cell>
          <cell r="G97">
            <v>0.33449108245649123</v>
          </cell>
          <cell r="Q97">
            <v>0.18772727272727271</v>
          </cell>
          <cell r="R97">
            <v>-0.34863636363636363</v>
          </cell>
          <cell r="W97">
            <v>0.76652613144101611</v>
          </cell>
          <cell r="AC97">
            <v>10.332097310811887</v>
          </cell>
          <cell r="AD97">
            <v>0.90720704690173692</v>
          </cell>
          <cell r="AK97">
            <v>2.281952235177418</v>
          </cell>
          <cell r="AL97">
            <v>2.142005011166594</v>
          </cell>
          <cell r="AM97">
            <v>5.8775544005569121E-2</v>
          </cell>
          <cell r="AO97">
            <v>2.131302517596072</v>
          </cell>
          <cell r="AP97">
            <v>5.998112366650931E-2</v>
          </cell>
          <cell r="AQ97">
            <v>1.5837704855279511</v>
          </cell>
        </row>
        <row r="98">
          <cell r="E98">
            <v>10.600000000000001</v>
          </cell>
          <cell r="F98">
            <v>10.580278823325791</v>
          </cell>
          <cell r="G98">
            <v>0.35539677511002193</v>
          </cell>
          <cell r="Q98">
            <v>0.18486363636363631</v>
          </cell>
          <cell r="R98">
            <v>-0.34331818181818174</v>
          </cell>
          <cell r="W98">
            <v>0.74350123226132536</v>
          </cell>
          <cell r="AC98">
            <v>10.528049591054346</v>
          </cell>
          <cell r="AD98">
            <v>0.94724083098194856</v>
          </cell>
          <cell r="AK98">
            <v>2.169410412467228</v>
          </cell>
          <cell r="AL98">
            <v>2.045726742811758</v>
          </cell>
          <cell r="AM98">
            <v>6.436155274093798E-2</v>
          </cell>
          <cell r="AO98">
            <v>2.0199218914574453</v>
          </cell>
          <cell r="AP98">
            <v>5.9980238684742178E-2</v>
          </cell>
          <cell r="AQ98">
            <v>1.5792852427639754</v>
          </cell>
        </row>
        <row r="99">
          <cell r="E99">
            <v>10.8</v>
          </cell>
          <cell r="F99">
            <v>10.779183202399446</v>
          </cell>
          <cell r="G99">
            <v>0.37630246776355264</v>
          </cell>
          <cell r="Q99">
            <v>0.182</v>
          </cell>
          <cell r="R99">
            <v>-0.33800000000000002</v>
          </cell>
          <cell r="W99">
            <v>0.72301387406687645</v>
          </cell>
          <cell r="AC99">
            <v>10.723978311441311</v>
          </cell>
          <cell r="AD99">
            <v>0.98738976032666237</v>
          </cell>
          <cell r="AK99">
            <v>2.0488578233676766</v>
          </cell>
          <cell r="AL99">
            <v>1.9406144263626255</v>
          </cell>
          <cell r="AM99">
            <v>6.4381626407482503E-2</v>
          </cell>
          <cell r="AO99">
            <v>1.9017415288698709</v>
          </cell>
          <cell r="AP99">
            <v>5.9981438878112289E-2</v>
          </cell>
          <cell r="AQ99">
            <v>1.5748</v>
          </cell>
        </row>
        <row r="100">
          <cell r="E100">
            <v>11</v>
          </cell>
          <cell r="F100">
            <v>10.978087581473101</v>
          </cell>
          <cell r="G100">
            <v>0.39720816041708334</v>
          </cell>
          <cell r="Q100">
            <v>0.175875</v>
          </cell>
          <cell r="R100">
            <v>-0.32662500000000005</v>
          </cell>
          <cell r="W100">
            <v>0.70456166224878192</v>
          </cell>
          <cell r="AC100">
            <v>10.919887412590821</v>
          </cell>
          <cell r="AD100">
            <v>1.0276343138313404</v>
          </cell>
          <cell r="AK100">
            <v>1.9187745971209305</v>
          </cell>
          <cell r="AL100">
            <v>1.8263559338605144</v>
          </cell>
          <cell r="AM100">
            <v>5.9588695213579325E-2</v>
          </cell>
          <cell r="AO100">
            <v>1.7754293074258067</v>
          </cell>
          <cell r="AP100">
            <v>5.9984831077651589E-2</v>
          </cell>
          <cell r="AQ100">
            <v>1.5748</v>
          </cell>
        </row>
        <row r="101">
          <cell r="E101">
            <v>11.200000000000001</v>
          </cell>
          <cell r="F101">
            <v>11.176991960546756</v>
          </cell>
          <cell r="G101">
            <v>0.41811385307061405</v>
          </cell>
          <cell r="Q101">
            <v>0.16974999999999998</v>
          </cell>
          <cell r="R101">
            <v>-0.31525000000000003</v>
          </cell>
          <cell r="W101">
            <v>0.68301575887414434</v>
          </cell>
          <cell r="AC101">
            <v>11.115780751369574</v>
          </cell>
          <cell r="AD101">
            <v>1.0679555219247594</v>
          </cell>
          <cell r="AK101">
            <v>1.7770561856692757</v>
          </cell>
          <cell r="AL101">
            <v>1.707752839610009</v>
          </cell>
          <cell r="AM101">
            <v>5.9727108685761587E-2</v>
          </cell>
          <cell r="AO101">
            <v>1.6391318105768924</v>
          </cell>
          <cell r="AP101">
            <v>5.9990916427748085E-2</v>
          </cell>
          <cell r="AQ101">
            <v>1.5748</v>
          </cell>
        </row>
        <row r="102">
          <cell r="E102">
            <v>11.4</v>
          </cell>
          <cell r="F102">
            <v>11.375896339620411</v>
          </cell>
          <cell r="G102">
            <v>0.43901954572414476</v>
          </cell>
          <cell r="Q102">
            <v>0.16362499999999999</v>
          </cell>
          <cell r="R102">
            <v>-0.30387500000000001</v>
          </cell>
          <cell r="W102">
            <v>0.6579058677826507</v>
          </cell>
          <cell r="AC102">
            <v>11.31166201523307</v>
          </cell>
          <cell r="AD102">
            <v>1.1083353494038262</v>
          </cell>
          <cell r="AK102">
            <v>1.6206396935690015</v>
          </cell>
          <cell r="AL102">
            <v>1.5845251634377777</v>
          </cell>
          <cell r="AM102">
            <v>6.5543526255177051E-2</v>
          </cell>
          <cell r="AO102">
            <v>1.4901395970147053</v>
          </cell>
          <cell r="AP102">
            <v>6.0001921379788346E-2</v>
          </cell>
          <cell r="AQ102">
            <v>1.5748</v>
          </cell>
        </row>
        <row r="103">
          <cell r="E103">
            <v>11.600000000000001</v>
          </cell>
          <cell r="F103">
            <v>11.574800718694066</v>
          </cell>
          <cell r="G103">
            <v>0.45992523837767546</v>
          </cell>
          <cell r="Q103">
            <v>0.15749999999999997</v>
          </cell>
          <cell r="R103">
            <v>-0.29249999999999998</v>
          </cell>
          <cell r="W103">
            <v>0.6276247978895878</v>
          </cell>
          <cell r="AC103">
            <v>11.507534620493399</v>
          </cell>
          <cell r="AD103">
            <v>1.1487571567425798</v>
          </cell>
          <cell r="AK103">
            <v>1.4447471670561076</v>
          </cell>
          <cell r="AL103">
            <v>1.4539320708610979</v>
          </cell>
          <cell r="AM103">
            <v>7.9621362412018767E-2</v>
          </cell>
          <cell r="AO103">
            <v>1.3242084444670321</v>
          </cell>
          <cell r="AP103">
            <v>6.0031277483252973E-2</v>
          </cell>
          <cell r="AQ103">
            <v>1.5748</v>
          </cell>
        </row>
        <row r="104">
          <cell r="E104">
            <v>11.8</v>
          </cell>
          <cell r="F104">
            <v>11.773705097767721</v>
          </cell>
          <cell r="G104">
            <v>0.48083093103120617</v>
          </cell>
          <cell r="Q104">
            <v>0.15137499999999995</v>
          </cell>
          <cell r="R104">
            <v>-0.28112499999999996</v>
          </cell>
          <cell r="W104">
            <v>0.58842943077218024</v>
          </cell>
          <cell r="AC104">
            <v>11.703401592517237</v>
          </cell>
          <cell r="AD104">
            <v>1.1892062515434918</v>
          </cell>
          <cell r="AK104">
            <v>1.2410833041573173</v>
          </cell>
          <cell r="AL104">
            <v>1.3090715992709847</v>
          </cell>
          <cell r="AM104">
            <v>0.10798658679141511</v>
          </cell>
          <cell r="AO104">
            <v>1.1339406289682192</v>
          </cell>
          <cell r="AP104">
            <v>6.0388803065872389E-2</v>
          </cell>
          <cell r="AQ104">
            <v>1.5748</v>
          </cell>
        </row>
        <row r="105">
          <cell r="E105">
            <v>12</v>
          </cell>
          <cell r="F105">
            <v>11.972609476841376</v>
          </cell>
          <cell r="G105">
            <v>0.50173662368473682</v>
          </cell>
          <cell r="Q105">
            <v>0.14524999999999999</v>
          </cell>
          <cell r="R105">
            <v>-0.26975000000000005</v>
          </cell>
          <cell r="W105">
            <v>0.53080980282982104</v>
          </cell>
          <cell r="AC105">
            <v>11.89926543035225</v>
          </cell>
          <cell r="AD105">
            <v>1.2296705200842597</v>
          </cell>
          <cell r="AK105">
            <v>0.99321773604811425</v>
          </cell>
          <cell r="AL105">
            <v>1.1321177825979778</v>
          </cell>
          <cell r="AM105">
            <v>0.16598758959947074</v>
          </cell>
          <cell r="AO105">
            <v>0.90465143981240459</v>
          </cell>
          <cell r="AP105">
            <v>6.2961309767693444E-2</v>
          </cell>
          <cell r="AQ105">
            <v>1.5748</v>
          </cell>
        </row>
        <row r="106">
          <cell r="E106">
            <v>12.200000000000001</v>
          </cell>
          <cell r="F106">
            <v>12.17151385591503</v>
          </cell>
          <cell r="G106">
            <v>0.52264231633826752</v>
          </cell>
          <cell r="Q106">
            <v>0.13912499999999997</v>
          </cell>
          <cell r="R106">
            <v>-0.25837500000000002</v>
          </cell>
          <cell r="W106">
            <v>0.42401985534635173</v>
          </cell>
          <cell r="AC106">
            <v>12.0951279795873</v>
          </cell>
          <cell r="AD106">
            <v>1.2701410254819834</v>
          </cell>
          <cell r="AK106">
            <v>0.66245682850989263</v>
          </cell>
          <cell r="AL106">
            <v>0.86539802352094453</v>
          </cell>
          <cell r="AM106">
            <v>0.32652581922389029</v>
          </cell>
          <cell r="AO106">
            <v>0.60160188269667603</v>
          </cell>
          <cell r="AP106">
            <v>5.668295335730731E-2</v>
          </cell>
          <cell r="AQ106">
            <v>1.5748</v>
          </cell>
        </row>
        <row r="107">
          <cell r="E107">
            <v>12.4</v>
          </cell>
          <cell r="F107">
            <v>12.370418234988685</v>
          </cell>
          <cell r="G107">
            <v>0.54354800899179823</v>
          </cell>
          <cell r="Q107">
            <v>0.13299999999999995</v>
          </cell>
          <cell r="R107">
            <v>-0.24699999999999994</v>
          </cell>
          <cell r="W107"/>
          <cell r="AC107">
            <v>12.292726970006235</v>
          </cell>
          <cell r="AD107">
            <v>1.301038258131813</v>
          </cell>
          <cell r="AK107"/>
          <cell r="AL107"/>
          <cell r="AM107"/>
          <cell r="AO107">
            <v>0</v>
          </cell>
          <cell r="AP107">
            <v>0</v>
          </cell>
          <cell r="AQ107">
            <v>1.5748</v>
          </cell>
        </row>
        <row r="108">
          <cell r="E108">
            <v>12.4</v>
          </cell>
          <cell r="AO108"/>
        </row>
      </sheetData>
      <sheetData sheetId="2"/>
      <sheetData sheetId="3"/>
      <sheetData sheetId="4">
        <row r="42">
          <cell r="L42" t="str">
            <v>原点</v>
          </cell>
          <cell r="N42" t="str">
            <v>前縁位置</v>
          </cell>
          <cell r="R42" t="str">
            <v>後縁位置</v>
          </cell>
          <cell r="AS42" t="str">
            <v>せん断中心位置(舵面開始位置を原点として)</v>
          </cell>
        </row>
        <row r="43">
          <cell r="L43" t="str">
            <v>-</v>
          </cell>
          <cell r="N43" t="str">
            <v>-</v>
          </cell>
          <cell r="R43" t="str">
            <v>-</v>
          </cell>
          <cell r="AS43" t="str">
            <v>e</v>
          </cell>
        </row>
        <row r="44">
          <cell r="L44" t="str">
            <v>m</v>
          </cell>
          <cell r="N44" t="str">
            <v>m</v>
          </cell>
          <cell r="R44" t="str">
            <v>m</v>
          </cell>
          <cell r="AS44" t="str">
            <v>m</v>
          </cell>
        </row>
        <row r="45">
          <cell r="E45">
            <v>0</v>
          </cell>
          <cell r="L45">
            <v>0</v>
          </cell>
          <cell r="Q45">
            <v>0.27075000000000005</v>
          </cell>
          <cell r="R45">
            <v>-0.67924999999999991</v>
          </cell>
          <cell r="AS45">
            <v>8.8221757635580475E-2</v>
          </cell>
        </row>
        <row r="46">
          <cell r="E46">
            <v>0.01</v>
          </cell>
          <cell r="L46">
            <v>0</v>
          </cell>
          <cell r="Q46">
            <v>0.27063598615916951</v>
          </cell>
          <cell r="R46">
            <v>-0.67642283737024222</v>
          </cell>
          <cell r="AS46">
            <v>8.8672846712287867E-2</v>
          </cell>
        </row>
        <row r="47">
          <cell r="E47">
            <v>0.02</v>
          </cell>
          <cell r="L47">
            <v>0</v>
          </cell>
          <cell r="Q47">
            <v>0.27051747404844295</v>
          </cell>
          <cell r="R47">
            <v>-0.67360017301038055</v>
          </cell>
          <cell r="AS47">
            <v>8.8616612680168086E-2</v>
          </cell>
        </row>
        <row r="48">
          <cell r="E48">
            <v>0.03</v>
          </cell>
          <cell r="L48">
            <v>0</v>
          </cell>
          <cell r="Q48">
            <v>0.27039446366782005</v>
          </cell>
          <cell r="R48">
            <v>-0.67078200692041523</v>
          </cell>
          <cell r="AS48">
            <v>8.8560312640092287E-2</v>
          </cell>
        </row>
        <row r="49">
          <cell r="E49">
            <v>0.04</v>
          </cell>
          <cell r="L49">
            <v>0</v>
          </cell>
          <cell r="Q49">
            <v>0.27026695501730108</v>
          </cell>
          <cell r="R49">
            <v>-0.66796833910034592</v>
          </cell>
          <cell r="AS49">
            <v>8.850393758557136E-2</v>
          </cell>
        </row>
        <row r="50">
          <cell r="E50">
            <v>0.05</v>
          </cell>
          <cell r="L50">
            <v>0</v>
          </cell>
          <cell r="Q50">
            <v>0.27013494809688582</v>
          </cell>
          <cell r="R50">
            <v>-0.66515916955017307</v>
          </cell>
          <cell r="AS50">
            <v>8.8941720688452436E-2</v>
          </cell>
        </row>
        <row r="51">
          <cell r="E51">
            <v>0.06</v>
          </cell>
          <cell r="L51">
            <v>0</v>
          </cell>
          <cell r="Q51">
            <v>0.26999844290657443</v>
          </cell>
          <cell r="R51">
            <v>-0.66235449826989612</v>
          </cell>
          <cell r="AS51">
            <v>8.8882317522621532E-2</v>
          </cell>
        </row>
        <row r="52">
          <cell r="E52">
            <v>7.0000000000000007E-2</v>
          </cell>
          <cell r="L52">
            <v>0</v>
          </cell>
          <cell r="Q52">
            <v>0.26985743944636675</v>
          </cell>
          <cell r="R52">
            <v>-0.65955432525951552</v>
          </cell>
          <cell r="AS52">
            <v>8.882281711507764E-2</v>
          </cell>
        </row>
        <row r="53">
          <cell r="E53">
            <v>0.08</v>
          </cell>
          <cell r="L53">
            <v>0</v>
          </cell>
          <cell r="Q53">
            <v>0.26971193771626301</v>
          </cell>
          <cell r="R53">
            <v>-0.65675865051903104</v>
          </cell>
          <cell r="AS53">
            <v>8.876321032568342E-2</v>
          </cell>
        </row>
        <row r="54">
          <cell r="E54">
            <v>0.09</v>
          </cell>
          <cell r="L54">
            <v>0</v>
          </cell>
          <cell r="Q54">
            <v>0.26956193771626297</v>
          </cell>
          <cell r="R54">
            <v>-0.65396747404844291</v>
          </cell>
          <cell r="AS54">
            <v>8.9187650730097504E-2</v>
          </cell>
        </row>
        <row r="55">
          <cell r="E55">
            <v>0.1</v>
          </cell>
          <cell r="L55">
            <v>0</v>
          </cell>
          <cell r="Q55">
            <v>0.2694074394463668</v>
          </cell>
          <cell r="R55">
            <v>-0.65118079584775079</v>
          </cell>
          <cell r="AS55">
            <v>8.9124972027306751E-2</v>
          </cell>
        </row>
        <row r="56">
          <cell r="E56">
            <v>0.11</v>
          </cell>
          <cell r="L56">
            <v>0</v>
          </cell>
          <cell r="Q56">
            <v>0.2692484429065744</v>
          </cell>
          <cell r="R56">
            <v>-0.64839861591695502</v>
          </cell>
          <cell r="AS56">
            <v>8.9062164418821074E-2</v>
          </cell>
        </row>
        <row r="57">
          <cell r="E57">
            <v>0.12</v>
          </cell>
          <cell r="L57">
            <v>0</v>
          </cell>
          <cell r="Q57">
            <v>0.26908494809688588</v>
          </cell>
          <cell r="R57">
            <v>-0.64562093425605527</v>
          </cell>
          <cell r="AS57">
            <v>8.8999218631392749E-2</v>
          </cell>
        </row>
        <row r="58">
          <cell r="E58">
            <v>0.13</v>
          </cell>
          <cell r="L58">
            <v>0</v>
          </cell>
          <cell r="Q58">
            <v>0.26891695501730106</v>
          </cell>
          <cell r="R58">
            <v>-0.64284775086505186</v>
          </cell>
          <cell r="AS58">
            <v>8.9410279344301305E-2</v>
          </cell>
        </row>
        <row r="59">
          <cell r="E59">
            <v>0.14000000000000001</v>
          </cell>
          <cell r="L59">
            <v>0</v>
          </cell>
          <cell r="Q59">
            <v>0.26874446366782007</v>
          </cell>
          <cell r="R59">
            <v>-0.64007906574394458</v>
          </cell>
          <cell r="AS59">
            <v>8.9344217322845879E-2</v>
          </cell>
        </row>
        <row r="60">
          <cell r="E60">
            <v>0.15</v>
          </cell>
          <cell r="L60">
            <v>0</v>
          </cell>
          <cell r="Q60">
            <v>0.26856747404844294</v>
          </cell>
          <cell r="R60">
            <v>-0.63731487889273353</v>
          </cell>
          <cell r="AS60">
            <v>8.9277994303113076E-2</v>
          </cell>
        </row>
        <row r="61">
          <cell r="E61">
            <v>0.16</v>
          </cell>
          <cell r="L61">
            <v>0</v>
          </cell>
          <cell r="Q61">
            <v>0.26838598615916953</v>
          </cell>
          <cell r="R61">
            <v>-0.6345551903114186</v>
          </cell>
          <cell r="AS61">
            <v>8.9211600879254616E-2</v>
          </cell>
        </row>
        <row r="62">
          <cell r="E62">
            <v>0.17</v>
          </cell>
          <cell r="L62">
            <v>0</v>
          </cell>
          <cell r="Q62">
            <v>0.26819999999999999</v>
          </cell>
          <cell r="R62">
            <v>-0.63179999999999992</v>
          </cell>
          <cell r="AS62">
            <v>8.9145027604631069E-2</v>
          </cell>
        </row>
        <row r="63">
          <cell r="E63">
            <v>0.18</v>
          </cell>
          <cell r="L63">
            <v>0</v>
          </cell>
          <cell r="Q63">
            <v>0.26800951557093422</v>
          </cell>
          <cell r="R63">
            <v>-0.62904930795847747</v>
          </cell>
          <cell r="AS63">
            <v>8.9539690144176551E-2</v>
          </cell>
        </row>
        <row r="64">
          <cell r="E64">
            <v>0.19</v>
          </cell>
          <cell r="L64">
            <v>0</v>
          </cell>
          <cell r="Q64">
            <v>0.26781453287197232</v>
          </cell>
          <cell r="R64">
            <v>-0.62630311418685114</v>
          </cell>
          <cell r="AS64">
            <v>8.94699421308712E-2</v>
          </cell>
        </row>
        <row r="65">
          <cell r="E65">
            <v>0.2</v>
          </cell>
          <cell r="L65">
            <v>0</v>
          </cell>
          <cell r="Q65">
            <v>0.26761505190311419</v>
          </cell>
          <cell r="R65">
            <v>-0.62356141868512105</v>
          </cell>
          <cell r="AS65">
            <v>8.939999106167934E-2</v>
          </cell>
        </row>
        <row r="66">
          <cell r="E66">
            <v>0.21</v>
          </cell>
          <cell r="L66">
            <v>0</v>
          </cell>
          <cell r="Q66">
            <v>0.26741107266435987</v>
          </cell>
          <cell r="R66">
            <v>-0.62082422145328708</v>
          </cell>
          <cell r="AS66">
            <v>8.932982735799995E-2</v>
          </cell>
        </row>
        <row r="67">
          <cell r="E67">
            <v>0.22</v>
          </cell>
          <cell r="L67">
            <v>0</v>
          </cell>
          <cell r="Q67">
            <v>0.26720259515570932</v>
          </cell>
          <cell r="R67">
            <v>-0.61809152249134947</v>
          </cell>
          <cell r="AS67">
            <v>8.9711022847052249E-2</v>
          </cell>
        </row>
        <row r="68">
          <cell r="E68">
            <v>0.23</v>
          </cell>
          <cell r="L68">
            <v>0</v>
          </cell>
          <cell r="Q68">
            <v>0.2669896193771627</v>
          </cell>
          <cell r="R68">
            <v>-0.61536332179930786</v>
          </cell>
          <cell r="AS68">
            <v>8.9637638890387492E-2</v>
          </cell>
        </row>
        <row r="69">
          <cell r="E69">
            <v>0.24</v>
          </cell>
          <cell r="L69">
            <v>0</v>
          </cell>
          <cell r="Q69">
            <v>0.26677214532871973</v>
          </cell>
          <cell r="R69">
            <v>-0.6126396193771626</v>
          </cell>
          <cell r="AS69">
            <v>8.956401880093641E-2</v>
          </cell>
        </row>
        <row r="70">
          <cell r="E70">
            <v>0.25</v>
          </cell>
          <cell r="L70">
            <v>0</v>
          </cell>
          <cell r="Q70">
            <v>0.26655017301038059</v>
          </cell>
          <cell r="R70">
            <v>-0.60992041522491358</v>
          </cell>
          <cell r="AS70">
            <v>8.9490152868582043E-2</v>
          </cell>
        </row>
        <row r="71">
          <cell r="E71">
            <v>0.26</v>
          </cell>
          <cell r="L71">
            <v>0</v>
          </cell>
          <cell r="Q71">
            <v>0.26632370242214537</v>
          </cell>
          <cell r="R71">
            <v>-0.60720570934256046</v>
          </cell>
          <cell r="AS71">
            <v>8.9857843421762701E-2</v>
          </cell>
        </row>
        <row r="72">
          <cell r="E72">
            <v>0.27</v>
          </cell>
          <cell r="L72">
            <v>0</v>
          </cell>
          <cell r="Q72">
            <v>0.26609273356401381</v>
          </cell>
          <cell r="R72">
            <v>-0.60449550173010369</v>
          </cell>
          <cell r="AS72">
            <v>8.978071120880933E-2</v>
          </cell>
        </row>
        <row r="73">
          <cell r="E73">
            <v>0.28000000000000003</v>
          </cell>
          <cell r="L73">
            <v>0</v>
          </cell>
          <cell r="Q73">
            <v>0.26585726643598617</v>
          </cell>
          <cell r="R73">
            <v>-0.60178979238754315</v>
          </cell>
          <cell r="AS73">
            <v>8.9703309362382466E-2</v>
          </cell>
        </row>
        <row r="74">
          <cell r="E74">
            <v>0.28999999999999998</v>
          </cell>
          <cell r="L74">
            <v>0</v>
          </cell>
          <cell r="Q74">
            <v>0.26561730103806225</v>
          </cell>
          <cell r="R74">
            <v>-0.59908858131487885</v>
          </cell>
          <cell r="AS74">
            <v>8.9625628041280936E-2</v>
          </cell>
        </row>
        <row r="75">
          <cell r="E75">
            <v>0.3</v>
          </cell>
          <cell r="L75">
            <v>0</v>
          </cell>
          <cell r="Q75">
            <v>0.26537283737024225</v>
          </cell>
          <cell r="R75">
            <v>-0.59639186851211057</v>
          </cell>
          <cell r="AS75">
            <v>8.9979775506103879E-2</v>
          </cell>
        </row>
        <row r="76">
          <cell r="E76">
            <v>0.31</v>
          </cell>
          <cell r="L76">
            <v>0</v>
          </cell>
          <cell r="Q76">
            <v>0.26512387543252591</v>
          </cell>
          <cell r="R76">
            <v>-0.59369965397923874</v>
          </cell>
          <cell r="AS76">
            <v>8.9898781364866551E-2</v>
          </cell>
        </row>
        <row r="77">
          <cell r="E77">
            <v>0.32</v>
          </cell>
          <cell r="L77">
            <v>0</v>
          </cell>
          <cell r="Q77">
            <v>0.26487041522491356</v>
          </cell>
          <cell r="R77">
            <v>-0.59101193771626281</v>
          </cell>
          <cell r="AS77">
            <v>8.9817483666965819E-2</v>
          </cell>
        </row>
        <row r="78">
          <cell r="E78">
            <v>0.33</v>
          </cell>
          <cell r="L78">
            <v>0</v>
          </cell>
          <cell r="Q78">
            <v>0.2646124567474048</v>
          </cell>
          <cell r="R78">
            <v>-0.58832871972318346</v>
          </cell>
          <cell r="AS78">
            <v>8.9735872440518769E-2</v>
          </cell>
        </row>
        <row r="79">
          <cell r="E79">
            <v>0.34</v>
          </cell>
          <cell r="L79">
            <v>0</v>
          </cell>
          <cell r="Q79">
            <v>0.26435000000000003</v>
          </cell>
          <cell r="R79">
            <v>-0.58565</v>
          </cell>
          <cell r="AS79">
            <v>8.9653937673455905E-2</v>
          </cell>
        </row>
        <row r="80">
          <cell r="E80">
            <v>0.35000000000000003</v>
          </cell>
          <cell r="L80">
            <v>0</v>
          </cell>
          <cell r="Q80">
            <v>0.26408304498269897</v>
          </cell>
          <cell r="R80">
            <v>-0.58297577854671279</v>
          </cell>
          <cell r="AS80">
            <v>8.9991467300884503E-2</v>
          </cell>
        </row>
        <row r="81">
          <cell r="E81">
            <v>0.36</v>
          </cell>
          <cell r="L81">
            <v>0</v>
          </cell>
          <cell r="Q81">
            <v>0.26381159169550178</v>
          </cell>
          <cell r="R81">
            <v>-0.58030605536332169</v>
          </cell>
          <cell r="AS81">
            <v>8.9906158303000305E-2</v>
          </cell>
        </row>
        <row r="82">
          <cell r="E82">
            <v>0.37</v>
          </cell>
          <cell r="L82">
            <v>0</v>
          </cell>
          <cell r="Q82">
            <v>0.2635356401384083</v>
          </cell>
          <cell r="R82">
            <v>-0.57764083044982684</v>
          </cell>
          <cell r="AS82">
            <v>8.9820501301783498E-2</v>
          </cell>
        </row>
        <row r="83">
          <cell r="E83">
            <v>0.38</v>
          </cell>
          <cell r="L83">
            <v>0</v>
          </cell>
          <cell r="Q83">
            <v>0.26325519031141864</v>
          </cell>
          <cell r="R83">
            <v>-0.57498010380622833</v>
          </cell>
          <cell r="AS83">
            <v>8.9734486154980656E-2</v>
          </cell>
        </row>
        <row r="84">
          <cell r="E84">
            <v>0.39</v>
          </cell>
          <cell r="L84">
            <v>0</v>
          </cell>
          <cell r="Q84">
            <v>0.26297024221453286</v>
          </cell>
          <cell r="R84">
            <v>-0.57232387543252594</v>
          </cell>
          <cell r="AS84">
            <v>9.0058382634082723E-2</v>
          </cell>
        </row>
        <row r="85">
          <cell r="E85">
            <v>0.4</v>
          </cell>
          <cell r="L85">
            <v>0</v>
          </cell>
          <cell r="Q85">
            <v>0.26268079584775084</v>
          </cell>
          <cell r="R85">
            <v>-0.56967214532871968</v>
          </cell>
          <cell r="AS85">
            <v>8.9968945537247311E-2</v>
          </cell>
        </row>
        <row r="86">
          <cell r="E86">
            <v>0.41000000000000003</v>
          </cell>
          <cell r="L86">
            <v>0</v>
          </cell>
          <cell r="Q86">
            <v>0.26238685121107269</v>
          </cell>
          <cell r="R86">
            <v>-0.56702491349480955</v>
          </cell>
          <cell r="AS86">
            <v>8.9879125542491417E-2</v>
          </cell>
        </row>
        <row r="87">
          <cell r="E87">
            <v>0.42</v>
          </cell>
          <cell r="L87">
            <v>0</v>
          </cell>
          <cell r="Q87">
            <v>0.2620884083044982</v>
          </cell>
          <cell r="R87">
            <v>-0.56438217993079587</v>
          </cell>
          <cell r="AS87">
            <v>8.9788912377732774E-2</v>
          </cell>
        </row>
        <row r="88">
          <cell r="E88">
            <v>0.43</v>
          </cell>
          <cell r="L88">
            <v>0</v>
          </cell>
          <cell r="Q88">
            <v>0.26178546712802769</v>
          </cell>
          <cell r="R88">
            <v>-0.56174394463667809</v>
          </cell>
          <cell r="AS88">
            <v>9.0099136667193588E-2</v>
          </cell>
        </row>
        <row r="89">
          <cell r="E89">
            <v>0.44</v>
          </cell>
          <cell r="L89">
            <v>0</v>
          </cell>
          <cell r="Q89">
            <v>0.26147802768166084</v>
          </cell>
          <cell r="R89">
            <v>-0.55911020761245678</v>
          </cell>
          <cell r="AS89">
            <v>9.0005453325306406E-2</v>
          </cell>
        </row>
        <row r="90">
          <cell r="E90">
            <v>0.45</v>
          </cell>
          <cell r="L90">
            <v>0</v>
          </cell>
          <cell r="Q90">
            <v>0.26116608996539797</v>
          </cell>
          <cell r="R90">
            <v>-0.55648096885813136</v>
          </cell>
          <cell r="AS90">
            <v>8.991135177216289E-2</v>
          </cell>
        </row>
        <row r="91">
          <cell r="E91">
            <v>0.46</v>
          </cell>
          <cell r="L91">
            <v>0</v>
          </cell>
          <cell r="Q91">
            <v>0.26084965397923876</v>
          </cell>
          <cell r="R91">
            <v>-0.55385622837370241</v>
          </cell>
          <cell r="AS91">
            <v>8.98168216061737E-2</v>
          </cell>
        </row>
        <row r="92">
          <cell r="E92">
            <v>0.47000000000000003</v>
          </cell>
          <cell r="L92">
            <v>0</v>
          </cell>
          <cell r="Q92">
            <v>0.26052871972318342</v>
          </cell>
          <cell r="R92">
            <v>-0.55123598615916958</v>
          </cell>
          <cell r="AS92">
            <v>9.0113334398396847E-2</v>
          </cell>
        </row>
        <row r="93">
          <cell r="E93">
            <v>0.48</v>
          </cell>
          <cell r="L93">
            <v>0</v>
          </cell>
          <cell r="Q93">
            <v>0.26020328719723185</v>
          </cell>
          <cell r="R93">
            <v>-0.54862024221453287</v>
          </cell>
          <cell r="AS93">
            <v>9.0015285321353458E-2</v>
          </cell>
        </row>
        <row r="94">
          <cell r="E94">
            <v>0.49</v>
          </cell>
          <cell r="L94">
            <v>0</v>
          </cell>
          <cell r="Q94">
            <v>0.25987335640138398</v>
          </cell>
          <cell r="R94">
            <v>-0.5460089965397924</v>
          </cell>
          <cell r="AS94">
            <v>8.9916782301942416E-2</v>
          </cell>
        </row>
        <row r="95">
          <cell r="E95">
            <v>0.5</v>
          </cell>
          <cell r="L95">
            <v>0</v>
          </cell>
          <cell r="Q95">
            <v>0.2595389273356401</v>
          </cell>
          <cell r="R95">
            <v>-0.54340224913494806</v>
          </cell>
          <cell r="AS95">
            <v>8.9817814809379365E-2</v>
          </cell>
        </row>
        <row r="96">
          <cell r="E96">
            <v>0.51</v>
          </cell>
          <cell r="L96">
            <v>0</v>
          </cell>
          <cell r="Q96">
            <v>0.25919999999999993</v>
          </cell>
          <cell r="R96">
            <v>-0.54079999999999995</v>
          </cell>
          <cell r="AS96">
            <v>9.0100576530611529E-2</v>
          </cell>
        </row>
        <row r="97">
          <cell r="E97">
            <v>0.52</v>
          </cell>
          <cell r="L97">
            <v>0</v>
          </cell>
          <cell r="Q97">
            <v>0.25885657439446369</v>
          </cell>
          <cell r="R97">
            <v>-0.53820224913494807</v>
          </cell>
          <cell r="AS97">
            <v>8.999804088720971E-2</v>
          </cell>
        </row>
        <row r="98">
          <cell r="E98">
            <v>0.53</v>
          </cell>
          <cell r="L98">
            <v>0</v>
          </cell>
          <cell r="Q98">
            <v>0.2585086505190311</v>
          </cell>
          <cell r="R98">
            <v>-0.53560899653979233</v>
          </cell>
          <cell r="AS98">
            <v>8.9895015153470897E-2</v>
          </cell>
        </row>
        <row r="99">
          <cell r="E99">
            <v>0.54</v>
          </cell>
          <cell r="L99">
            <v>0</v>
          </cell>
          <cell r="Q99">
            <v>0.25815622837370245</v>
          </cell>
          <cell r="R99">
            <v>-0.53302024221453281</v>
          </cell>
          <cell r="AS99">
            <v>8.9791488669700478E-2</v>
          </cell>
        </row>
        <row r="100">
          <cell r="E100">
            <v>0.55000000000000004</v>
          </cell>
          <cell r="L100">
            <v>0</v>
          </cell>
          <cell r="Q100">
            <v>0.2577993079584775</v>
          </cell>
          <cell r="R100">
            <v>-0.53043598615916954</v>
          </cell>
          <cell r="AS100">
            <v>8.968745073657812E-2</v>
          </cell>
        </row>
        <row r="101">
          <cell r="E101">
            <v>0.56000000000000005</v>
          </cell>
          <cell r="L101">
            <v>0</v>
          </cell>
          <cell r="Q101">
            <v>0.25743788927335637</v>
          </cell>
          <cell r="R101">
            <v>-0.52785622837370227</v>
          </cell>
          <cell r="AS101">
            <v>8.9953315100792311E-2</v>
          </cell>
        </row>
        <row r="102">
          <cell r="E102">
            <v>0.57000000000000006</v>
          </cell>
          <cell r="L102">
            <v>0</v>
          </cell>
          <cell r="Q102">
            <v>0.25707197231833906</v>
          </cell>
          <cell r="R102">
            <v>-0.52528096885813147</v>
          </cell>
          <cell r="AS102">
            <v>8.984564406712689E-2</v>
          </cell>
        </row>
        <row r="103">
          <cell r="E103">
            <v>0.57999999999999996</v>
          </cell>
          <cell r="L103">
            <v>0</v>
          </cell>
          <cell r="Q103">
            <v>0.25670155709342557</v>
          </cell>
          <cell r="R103">
            <v>-0.52271020761245668</v>
          </cell>
          <cell r="AS103">
            <v>8.9737435590809253E-2</v>
          </cell>
        </row>
        <row r="104">
          <cell r="E104">
            <v>0.59</v>
          </cell>
          <cell r="L104">
            <v>0</v>
          </cell>
          <cell r="Q104">
            <v>0.2563266435986159</v>
          </cell>
          <cell r="R104">
            <v>-0.52014394463667812</v>
          </cell>
          <cell r="AS104">
            <v>8.9628678843956477E-2</v>
          </cell>
        </row>
        <row r="105">
          <cell r="E105">
            <v>0.6</v>
          </cell>
          <cell r="L105">
            <v>0</v>
          </cell>
          <cell r="Q105">
            <v>0.25594723183391005</v>
          </cell>
          <cell r="R105">
            <v>-0.5175821799307958</v>
          </cell>
          <cell r="AS105">
            <v>8.988069876392818E-2</v>
          </cell>
        </row>
        <row r="106">
          <cell r="E106">
            <v>0.61</v>
          </cell>
          <cell r="L106">
            <v>0</v>
          </cell>
          <cell r="Q106">
            <v>0.25556332179930791</v>
          </cell>
          <cell r="R106">
            <v>-0.51502491349480972</v>
          </cell>
          <cell r="AS106">
            <v>8.9768258509649895E-2</v>
          </cell>
        </row>
        <row r="107">
          <cell r="E107">
            <v>0.62</v>
          </cell>
          <cell r="L107">
            <v>0</v>
          </cell>
          <cell r="Q107">
            <v>0.25517491349480964</v>
          </cell>
          <cell r="R107">
            <v>-0.51247214532871976</v>
          </cell>
          <cell r="AS107">
            <v>8.9655243705119056E-2</v>
          </cell>
        </row>
        <row r="108">
          <cell r="E108">
            <v>0.63</v>
          </cell>
          <cell r="L108">
            <v>0</v>
          </cell>
          <cell r="Q108">
            <v>0.25478200692041519</v>
          </cell>
          <cell r="R108">
            <v>-0.50992387543252593</v>
          </cell>
          <cell r="AS108">
            <v>8.9541643394138157E-2</v>
          </cell>
        </row>
        <row r="109">
          <cell r="E109">
            <v>0.64</v>
          </cell>
          <cell r="L109">
            <v>0</v>
          </cell>
          <cell r="Q109">
            <v>0.25438460207612451</v>
          </cell>
          <cell r="R109">
            <v>-0.50738010380622844</v>
          </cell>
          <cell r="AS109">
            <v>8.9779778409564748E-2</v>
          </cell>
        </row>
        <row r="110">
          <cell r="E110">
            <v>0.65</v>
          </cell>
          <cell r="L110">
            <v>0</v>
          </cell>
          <cell r="Q110">
            <v>0.2539826989619377</v>
          </cell>
          <cell r="R110">
            <v>-0.50484083044982697</v>
          </cell>
          <cell r="AS110">
            <v>8.9662443681148493E-2</v>
          </cell>
        </row>
        <row r="111">
          <cell r="E111">
            <v>0.66</v>
          </cell>
          <cell r="L111">
            <v>0</v>
          </cell>
          <cell r="Q111">
            <v>0.25357629757785466</v>
          </cell>
          <cell r="R111">
            <v>-0.50230605536332185</v>
          </cell>
          <cell r="AS111">
            <v>8.9544496880610253E-2</v>
          </cell>
        </row>
        <row r="112">
          <cell r="E112">
            <v>0.67</v>
          </cell>
          <cell r="L112">
            <v>0</v>
          </cell>
          <cell r="Q112">
            <v>0.25316539792387543</v>
          </cell>
          <cell r="R112">
            <v>-0.49977577854671279</v>
          </cell>
          <cell r="AS112">
            <v>8.9425926923657487E-2</v>
          </cell>
        </row>
        <row r="113">
          <cell r="E113">
            <v>0.68</v>
          </cell>
          <cell r="L113">
            <v>0</v>
          </cell>
          <cell r="Q113">
            <v>0.25274999999999997</v>
          </cell>
          <cell r="R113">
            <v>-0.49725000000000003</v>
          </cell>
          <cell r="AS113">
            <v>8.9650136308376649E-2</v>
          </cell>
        </row>
        <row r="114">
          <cell r="E114">
            <v>0.69000000000000006</v>
          </cell>
          <cell r="L114">
            <v>0</v>
          </cell>
          <cell r="Q114">
            <v>0.25233010380622839</v>
          </cell>
          <cell r="R114">
            <v>-0.49472871972318327</v>
          </cell>
          <cell r="AS114">
            <v>8.9527780521527489E-2</v>
          </cell>
        </row>
        <row r="115">
          <cell r="E115">
            <v>0.70000000000000007</v>
          </cell>
          <cell r="L115">
            <v>0</v>
          </cell>
          <cell r="Q115">
            <v>0.25190570934256051</v>
          </cell>
          <cell r="R115">
            <v>-0.49221193771626293</v>
          </cell>
          <cell r="AS115">
            <v>8.940477472706243E-2</v>
          </cell>
        </row>
        <row r="116">
          <cell r="E116">
            <v>0.71</v>
          </cell>
          <cell r="L116">
            <v>0</v>
          </cell>
          <cell r="Q116">
            <v>0.25147681660899657</v>
          </cell>
          <cell r="R116">
            <v>-0.48969965397923865</v>
          </cell>
          <cell r="AS116">
            <v>8.9281107712790728E-2</v>
          </cell>
        </row>
        <row r="117">
          <cell r="E117">
            <v>0.72</v>
          </cell>
          <cell r="L117">
            <v>0</v>
          </cell>
          <cell r="Q117">
            <v>0.25104342560553627</v>
          </cell>
          <cell r="R117">
            <v>-0.48719186851211072</v>
          </cell>
          <cell r="AS117">
            <v>8.9156790021132928E-2</v>
          </cell>
        </row>
        <row r="118">
          <cell r="E118">
            <v>0.73</v>
          </cell>
          <cell r="L118">
            <v>0</v>
          </cell>
          <cell r="Q118">
            <v>0.25060553633217986</v>
          </cell>
          <cell r="R118">
            <v>-0.48468858131487891</v>
          </cell>
          <cell r="AS118">
            <v>8.9363867423411653E-2</v>
          </cell>
        </row>
        <row r="119">
          <cell r="E119">
            <v>0.74</v>
          </cell>
          <cell r="L119">
            <v>0</v>
          </cell>
          <cell r="Q119">
            <v>0.25016314878892731</v>
          </cell>
          <cell r="R119">
            <v>-0.48218979238754323</v>
          </cell>
          <cell r="AS119">
            <v>8.9235674247135119E-2</v>
          </cell>
        </row>
        <row r="120">
          <cell r="E120">
            <v>0.75</v>
          </cell>
          <cell r="L120">
            <v>0</v>
          </cell>
          <cell r="Q120">
            <v>0.24971626297577851</v>
          </cell>
          <cell r="R120">
            <v>-0.47969550173010378</v>
          </cell>
          <cell r="AS120">
            <v>8.9106781374281255E-2</v>
          </cell>
        </row>
        <row r="121">
          <cell r="E121">
            <v>0.76</v>
          </cell>
          <cell r="L121">
            <v>0</v>
          </cell>
          <cell r="Q121">
            <v>0.24926487889273358</v>
          </cell>
          <cell r="R121">
            <v>-0.47720570934256051</v>
          </cell>
          <cell r="AS121">
            <v>8.8977177425697815E-2</v>
          </cell>
        </row>
        <row r="122">
          <cell r="E122">
            <v>0.77</v>
          </cell>
          <cell r="L122">
            <v>0</v>
          </cell>
          <cell r="Q122">
            <v>0.24880899653979235</v>
          </cell>
          <cell r="R122">
            <v>-0.47472041522491348</v>
          </cell>
          <cell r="AS122">
            <v>8.9170233135376531E-2</v>
          </cell>
        </row>
        <row r="123">
          <cell r="E123">
            <v>0.78</v>
          </cell>
          <cell r="L123">
            <v>0</v>
          </cell>
          <cell r="Q123">
            <v>0.24834861591695501</v>
          </cell>
          <cell r="R123">
            <v>-0.47223961937716252</v>
          </cell>
          <cell r="AS123">
            <v>8.9036722984378883E-2</v>
          </cell>
        </row>
        <row r="124">
          <cell r="E124">
            <v>0.79</v>
          </cell>
          <cell r="L124">
            <v>0</v>
          </cell>
          <cell r="Q124">
            <v>0.24788373702422137</v>
          </cell>
          <cell r="R124">
            <v>-0.46976332179930791</v>
          </cell>
          <cell r="AS124">
            <v>8.8902474248220634E-2</v>
          </cell>
        </row>
        <row r="125">
          <cell r="E125">
            <v>0.8</v>
          </cell>
          <cell r="L125">
            <v>0</v>
          </cell>
          <cell r="Q125">
            <v>0.24741435986159169</v>
          </cell>
          <cell r="R125">
            <v>-0.46729152249134942</v>
          </cell>
          <cell r="AS125">
            <v>8.8767475420257091E-2</v>
          </cell>
        </row>
        <row r="126">
          <cell r="E126">
            <v>0.81</v>
          </cell>
          <cell r="L126">
            <v>0</v>
          </cell>
          <cell r="Q126">
            <v>0.24694048442906569</v>
          </cell>
          <cell r="R126">
            <v>-0.46482422145328717</v>
          </cell>
          <cell r="AS126">
            <v>8.8946467824938633E-2</v>
          </cell>
        </row>
        <row r="127">
          <cell r="E127">
            <v>0.82000000000000006</v>
          </cell>
          <cell r="L127">
            <v>0</v>
          </cell>
          <cell r="Q127">
            <v>0.24646211072664359</v>
          </cell>
          <cell r="R127">
            <v>-0.46236141868512104</v>
          </cell>
          <cell r="AS127">
            <v>8.8807509721137073E-2</v>
          </cell>
        </row>
        <row r="128">
          <cell r="E128">
            <v>0.83000000000000007</v>
          </cell>
          <cell r="L128">
            <v>0</v>
          </cell>
          <cell r="Q128">
            <v>0.2459792387543252</v>
          </cell>
          <cell r="R128">
            <v>-0.4599031141868512</v>
          </cell>
          <cell r="AS128">
            <v>8.8667773731702093E-2</v>
          </cell>
        </row>
        <row r="129">
          <cell r="E129">
            <v>0.84</v>
          </cell>
          <cell r="L129">
            <v>0</v>
          </cell>
          <cell r="Q129">
            <v>0.24549186851211074</v>
          </cell>
          <cell r="R129">
            <v>-0.45744930795847744</v>
          </cell>
          <cell r="AS129">
            <v>8.8527248222630625E-2</v>
          </cell>
        </row>
        <row r="130">
          <cell r="E130">
            <v>0.85</v>
          </cell>
          <cell r="L130">
            <v>0</v>
          </cell>
          <cell r="Q130">
            <v>0.245</v>
          </cell>
          <cell r="R130">
            <v>-0.45499999999999996</v>
          </cell>
          <cell r="AS130">
            <v>8.8692135443949438E-2</v>
          </cell>
        </row>
      </sheetData>
      <sheetData sheetId="5"/>
      <sheetData sheetId="6"/>
      <sheetData sheetId="7"/>
      <sheetData sheetId="8"/>
      <sheetData sheetId="9">
        <row r="43">
          <cell r="R43" t="str">
            <v>Eix</v>
          </cell>
          <cell r="S43" t="str">
            <v>GJ</v>
          </cell>
        </row>
        <row r="45">
          <cell r="E45">
            <v>0</v>
          </cell>
          <cell r="S45">
            <v>39886.577468579999</v>
          </cell>
        </row>
        <row r="46">
          <cell r="E46">
            <v>0.2</v>
          </cell>
          <cell r="R46">
            <v>157252.52557154291</v>
          </cell>
          <cell r="S46">
            <v>39886.577468579999</v>
          </cell>
        </row>
        <row r="47">
          <cell r="E47">
            <v>0.4</v>
          </cell>
          <cell r="R47">
            <v>157252.52557154291</v>
          </cell>
          <cell r="S47">
            <v>39886.577468579999</v>
          </cell>
        </row>
        <row r="48">
          <cell r="E48">
            <v>0.60000000000000009</v>
          </cell>
          <cell r="R48">
            <v>157252.52557154291</v>
          </cell>
          <cell r="S48">
            <v>39886.577468579999</v>
          </cell>
        </row>
        <row r="49">
          <cell r="E49">
            <v>0.8</v>
          </cell>
          <cell r="R49">
            <v>157252.52557154291</v>
          </cell>
          <cell r="S49">
            <v>39886.577468579999</v>
          </cell>
        </row>
        <row r="50">
          <cell r="E50">
            <v>1</v>
          </cell>
          <cell r="R50">
            <v>157252.52557154291</v>
          </cell>
          <cell r="S50">
            <v>39886.577468579999</v>
          </cell>
        </row>
        <row r="51">
          <cell r="E51">
            <v>1.2000000000000002</v>
          </cell>
          <cell r="R51">
            <v>157252.52557154291</v>
          </cell>
          <cell r="S51">
            <v>39886.577468579999</v>
          </cell>
        </row>
        <row r="52">
          <cell r="E52">
            <v>1.4000000000000001</v>
          </cell>
          <cell r="R52">
            <v>417047.45359311189</v>
          </cell>
          <cell r="S52">
            <v>109050.18707732446</v>
          </cell>
        </row>
        <row r="53">
          <cell r="E53">
            <v>1.6</v>
          </cell>
          <cell r="R53">
            <v>353770.2049672468</v>
          </cell>
          <cell r="S53">
            <v>92534.111291366906</v>
          </cell>
        </row>
        <row r="54">
          <cell r="E54">
            <v>1.8</v>
          </cell>
          <cell r="R54">
            <v>118947.17316938385</v>
          </cell>
          <cell r="S54">
            <v>26465.605508546225</v>
          </cell>
        </row>
        <row r="55">
          <cell r="E55">
            <v>2</v>
          </cell>
          <cell r="R55">
            <v>114111.32481015197</v>
          </cell>
          <cell r="S55">
            <v>25385.818911375416</v>
          </cell>
        </row>
        <row r="56">
          <cell r="E56">
            <v>2.2000000000000002</v>
          </cell>
          <cell r="R56">
            <v>109408.35420152215</v>
          </cell>
          <cell r="S56">
            <v>24335.808407058183</v>
          </cell>
        </row>
        <row r="57">
          <cell r="E57">
            <v>2.4000000000000004</v>
          </cell>
          <cell r="R57">
            <v>104836.41021226389</v>
          </cell>
          <cell r="S57">
            <v>23315.157686664203</v>
          </cell>
        </row>
        <row r="58">
          <cell r="E58">
            <v>2.6</v>
          </cell>
          <cell r="R58">
            <v>100393.64171114984</v>
          </cell>
          <cell r="S58">
            <v>22323.450441264253</v>
          </cell>
        </row>
        <row r="59">
          <cell r="E59">
            <v>2.8000000000000003</v>
          </cell>
          <cell r="R59">
            <v>96078.197566948424</v>
          </cell>
          <cell r="S59">
            <v>21360.270361928131</v>
          </cell>
        </row>
        <row r="60">
          <cell r="E60">
            <v>3</v>
          </cell>
          <cell r="R60">
            <v>91888.226648431009</v>
          </cell>
          <cell r="S60">
            <v>20425.201139726043</v>
          </cell>
        </row>
        <row r="61">
          <cell r="E61">
            <v>3.2</v>
          </cell>
          <cell r="R61">
            <v>87821.877824366413</v>
          </cell>
          <cell r="S61">
            <v>19517.826465728493</v>
          </cell>
        </row>
        <row r="62">
          <cell r="E62">
            <v>3.4000000000000004</v>
          </cell>
          <cell r="R62">
            <v>83877.299963525147</v>
          </cell>
          <cell r="S62">
            <v>18637.730031005369</v>
          </cell>
        </row>
        <row r="63">
          <cell r="E63">
            <v>3.6</v>
          </cell>
          <cell r="R63">
            <v>80052.641934676431</v>
          </cell>
          <cell r="S63">
            <v>17784.49552662719</v>
          </cell>
        </row>
        <row r="64">
          <cell r="E64">
            <v>3.8000000000000003</v>
          </cell>
          <cell r="R64">
            <v>76346.052606588899</v>
          </cell>
          <cell r="S64">
            <v>16957.706643663827</v>
          </cell>
        </row>
        <row r="65">
          <cell r="E65">
            <v>4</v>
          </cell>
          <cell r="R65">
            <v>72755.680848032353</v>
          </cell>
          <cell r="S65">
            <v>16156.947073185775</v>
          </cell>
        </row>
        <row r="66">
          <cell r="E66">
            <v>4.2</v>
          </cell>
          <cell r="R66">
            <v>69279.675527775617</v>
          </cell>
          <cell r="S66">
            <v>15381.800506262862</v>
          </cell>
        </row>
        <row r="67">
          <cell r="E67">
            <v>4.4000000000000004</v>
          </cell>
          <cell r="R67">
            <v>65916.185514586061</v>
          </cell>
          <cell r="S67">
            <v>14631.850633965598</v>
          </cell>
        </row>
        <row r="68">
          <cell r="E68">
            <v>4.6000000000000005</v>
          </cell>
          <cell r="R68">
            <v>62663.359677233173</v>
          </cell>
          <cell r="S68">
            <v>13906.68114736365</v>
          </cell>
        </row>
        <row r="69">
          <cell r="E69">
            <v>4.8000000000000007</v>
          </cell>
          <cell r="R69">
            <v>59519.346884484214</v>
          </cell>
          <cell r="S69">
            <v>13205.875737527811</v>
          </cell>
        </row>
        <row r="70">
          <cell r="E70">
            <v>5</v>
          </cell>
          <cell r="R70">
            <v>152220.09229710227</v>
          </cell>
          <cell r="S70">
            <v>45438.127640728606</v>
          </cell>
        </row>
        <row r="71">
          <cell r="E71">
            <v>5.2</v>
          </cell>
          <cell r="R71">
            <v>48140.846660076037</v>
          </cell>
          <cell r="S71">
            <v>15414.073763045697</v>
          </cell>
        </row>
        <row r="72">
          <cell r="E72">
            <v>5.4</v>
          </cell>
          <cell r="R72">
            <v>45769.489417668949</v>
          </cell>
          <cell r="S72">
            <v>14652.883790739243</v>
          </cell>
        </row>
        <row r="73">
          <cell r="E73">
            <v>5.6000000000000005</v>
          </cell>
          <cell r="R73">
            <v>43477.312827152295</v>
          </cell>
          <cell r="S73">
            <v>13917.175125948072</v>
          </cell>
        </row>
        <row r="74">
          <cell r="E74">
            <v>5.8000000000000007</v>
          </cell>
          <cell r="R74">
            <v>41262.972377632439</v>
          </cell>
          <cell r="S74">
            <v>13206.513970075668</v>
          </cell>
        </row>
        <row r="75">
          <cell r="E75">
            <v>6</v>
          </cell>
          <cell r="R75">
            <v>39125.123558215448</v>
          </cell>
          <cell r="S75">
            <v>12520.466524526146</v>
          </cell>
        </row>
        <row r="76">
          <cell r="E76">
            <v>6.2</v>
          </cell>
          <cell r="R76">
            <v>37062.421858005924</v>
          </cell>
          <cell r="S76">
            <v>11858.598990702674</v>
          </cell>
        </row>
        <row r="77">
          <cell r="E77">
            <v>6.4</v>
          </cell>
          <cell r="R77">
            <v>35073.522766110633</v>
          </cell>
          <cell r="S77">
            <v>11220.477570008994</v>
          </cell>
        </row>
        <row r="78">
          <cell r="E78">
            <v>6.6000000000000005</v>
          </cell>
          <cell r="R78">
            <v>33157.081771634119</v>
          </cell>
          <cell r="S78">
            <v>10605.668463849037</v>
          </cell>
        </row>
        <row r="79">
          <cell r="E79">
            <v>6.8000000000000007</v>
          </cell>
          <cell r="R79">
            <v>31311.754363682416</v>
          </cell>
          <cell r="S79">
            <v>10013.737873625985</v>
          </cell>
        </row>
        <row r="80">
          <cell r="E80">
            <v>7</v>
          </cell>
          <cell r="R80">
            <v>29536.196031360356</v>
          </cell>
          <cell r="S80">
            <v>9444.2520007437342</v>
          </cell>
        </row>
        <row r="81">
          <cell r="E81">
            <v>7.2</v>
          </cell>
          <cell r="R81">
            <v>27829.062263773772</v>
          </cell>
          <cell r="S81">
            <v>8896.777046605539</v>
          </cell>
        </row>
        <row r="82">
          <cell r="E82">
            <v>7.4</v>
          </cell>
          <cell r="R82">
            <v>26189.008550026636</v>
          </cell>
          <cell r="S82">
            <v>8370.8792126150893</v>
          </cell>
        </row>
        <row r="83">
          <cell r="E83">
            <v>7.6000000000000005</v>
          </cell>
          <cell r="R83">
            <v>24614.690379224387</v>
          </cell>
          <cell r="S83">
            <v>7866.124700175541</v>
          </cell>
        </row>
        <row r="84">
          <cell r="E84">
            <v>7.8000000000000007</v>
          </cell>
          <cell r="R84">
            <v>23104.763240470984</v>
          </cell>
          <cell r="S84">
            <v>7382.079710690432</v>
          </cell>
        </row>
        <row r="85">
          <cell r="E85">
            <v>8</v>
          </cell>
          <cell r="R85">
            <v>21657.882622871333</v>
          </cell>
          <cell r="S85">
            <v>6918.3104455630883</v>
          </cell>
        </row>
        <row r="86">
          <cell r="E86">
            <v>8.2000000000000011</v>
          </cell>
          <cell r="R86">
            <v>20272.70401552914</v>
          </cell>
          <cell r="S86">
            <v>6474.383106196844</v>
          </cell>
        </row>
        <row r="87">
          <cell r="E87">
            <v>8.4</v>
          </cell>
          <cell r="R87">
            <v>58468.440322835304</v>
          </cell>
          <cell r="S87">
            <v>17619.350926818279</v>
          </cell>
        </row>
        <row r="88">
          <cell r="E88">
            <v>8.6</v>
          </cell>
          <cell r="R88">
            <v>54023.488618743169</v>
          </cell>
          <cell r="S88">
            <v>16276.463865549023</v>
          </cell>
        </row>
        <row r="89">
          <cell r="E89">
            <v>8.8000000000000007</v>
          </cell>
          <cell r="R89">
            <v>14740.77884647786</v>
          </cell>
          <cell r="S89">
            <v>5369.852736781555</v>
          </cell>
        </row>
        <row r="90">
          <cell r="E90">
            <v>9</v>
          </cell>
          <cell r="R90">
            <v>13545.204771141358</v>
          </cell>
          <cell r="S90">
            <v>5000.8359593857849</v>
          </cell>
        </row>
        <row r="91">
          <cell r="E91">
            <v>9.2000000000000011</v>
          </cell>
          <cell r="R91">
            <v>12422.882413388887</v>
          </cell>
          <cell r="S91">
            <v>4649.1242975446103</v>
          </cell>
        </row>
        <row r="92">
          <cell r="E92">
            <v>9.4</v>
          </cell>
          <cell r="R92">
            <v>11370.811612208436</v>
          </cell>
          <cell r="S92">
            <v>4314.3021730397259</v>
          </cell>
        </row>
        <row r="93">
          <cell r="E93">
            <v>9.6000000000000014</v>
          </cell>
          <cell r="R93">
            <v>10386.053365267671</v>
          </cell>
          <cell r="S93">
            <v>3995.954007652766</v>
          </cell>
        </row>
        <row r="94">
          <cell r="E94">
            <v>9.8000000000000007</v>
          </cell>
          <cell r="R94">
            <v>9465.7298289131613</v>
          </cell>
          <cell r="S94">
            <v>3693.6642231653177</v>
          </cell>
        </row>
        <row r="95">
          <cell r="E95">
            <v>10</v>
          </cell>
          <cell r="R95">
            <v>8607.0243181712067</v>
          </cell>
          <cell r="S95">
            <v>3407.0172413589221</v>
          </cell>
        </row>
        <row r="96">
          <cell r="E96">
            <v>10.200000000000001</v>
          </cell>
          <cell r="R96">
            <v>7807.1813067472931</v>
          </cell>
          <cell r="S96">
            <v>3135.5974840148019</v>
          </cell>
        </row>
        <row r="97">
          <cell r="E97">
            <v>10.4</v>
          </cell>
          <cell r="R97">
            <v>7063.5064270257726</v>
          </cell>
          <cell r="S97">
            <v>2878.9893729142104</v>
          </cell>
        </row>
        <row r="98">
          <cell r="E98">
            <v>10.600000000000001</v>
          </cell>
          <cell r="R98">
            <v>6373.3664700708432</v>
          </cell>
          <cell r="S98">
            <v>2636.7773298381157</v>
          </cell>
        </row>
        <row r="99">
          <cell r="E99">
            <v>10.8</v>
          </cell>
          <cell r="R99">
            <v>5734.1893856255683</v>
          </cell>
          <cell r="S99">
            <v>2408.545776567295</v>
          </cell>
        </row>
        <row r="100">
          <cell r="E100">
            <v>11</v>
          </cell>
          <cell r="R100">
            <v>5143.4642821121824</v>
          </cell>
          <cell r="S100">
            <v>2193.8791348823111</v>
          </cell>
        </row>
        <row r="101">
          <cell r="E101">
            <v>11.200000000000001</v>
          </cell>
          <cell r="R101">
            <v>4598.7414266321848</v>
          </cell>
          <cell r="S101">
            <v>1992.3618265635157</v>
          </cell>
        </row>
        <row r="102">
          <cell r="E102">
            <v>11.4</v>
          </cell>
          <cell r="R102">
            <v>4097.6322449659183</v>
          </cell>
          <cell r="S102">
            <v>1803.5782733908536</v>
          </cell>
        </row>
        <row r="103">
          <cell r="E103">
            <v>11.600000000000001</v>
          </cell>
          <cell r="R103">
            <v>3637.8093215728741</v>
          </cell>
          <cell r="S103">
            <v>1627.1128971439553</v>
          </cell>
        </row>
        <row r="104">
          <cell r="E104">
            <v>11.8</v>
          </cell>
          <cell r="R104">
            <v>3217.0063995913674</v>
          </cell>
          <cell r="S104">
            <v>1462.550119602005</v>
          </cell>
        </row>
        <row r="105">
          <cell r="E105">
            <v>12</v>
          </cell>
          <cell r="R105">
            <v>2833.0183808385145</v>
          </cell>
          <cell r="S105">
            <v>1309.4743625436779</v>
          </cell>
        </row>
        <row r="106">
          <cell r="E106">
            <v>12.200000000000001</v>
          </cell>
          <cell r="R106">
            <v>2659.3987350928619</v>
          </cell>
          <cell r="S106">
            <v>1167.4700477470926</v>
          </cell>
        </row>
        <row r="107">
          <cell r="E107">
            <v>12.4</v>
          </cell>
          <cell r="R107">
            <v>2323.2356831890775</v>
          </cell>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hyperlink" Target="https://www.b-cep.org/image/plastic/a.pdf" TargetMode="External"/><Relationship Id="rId7" Type="http://schemas.microsoft.com/office/2017/10/relationships/threadedComment" Target="../threadedComments/threadedComment1.x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6" Type="http://schemas.openxmlformats.org/officeDocument/2006/relationships/comments" Target="../comments5.xml"/><Relationship Id="rId5" Type="http://schemas.openxmlformats.org/officeDocument/2006/relationships/vmlDrawing" Target="../drawings/vmlDrawing5.vml"/><Relationship Id="rId4" Type="http://schemas.openxmlformats.org/officeDocument/2006/relationships/hyperlink" Target="https://www.b-cep.org/image/plastic/a.pdf"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2.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B2:AP43"/>
  <sheetViews>
    <sheetView zoomScale="75" zoomScaleNormal="70" workbookViewId="0">
      <selection activeCell="AC15" sqref="AC15"/>
    </sheetView>
  </sheetViews>
  <sheetFormatPr baseColWidth="10" defaultColWidth="7.7109375" defaultRowHeight="20"/>
  <cols>
    <col min="2" max="2" width="15.140625" customWidth="1"/>
    <col min="4" max="4" width="8" customWidth="1"/>
    <col min="7" max="7" width="15.28515625" customWidth="1"/>
    <col min="9" max="9" width="9.140625" customWidth="1"/>
    <col min="14" max="14" width="8" customWidth="1"/>
    <col min="24" max="24" width="7.7109375" customWidth="1"/>
    <col min="29" max="29" width="7.7109375" customWidth="1"/>
    <col min="34" max="34" width="8.42578125" customWidth="1"/>
    <col min="35" max="35" width="7.7109375" customWidth="1"/>
    <col min="39" max="39" width="7.7109375" customWidth="1"/>
  </cols>
  <sheetData>
    <row r="2" spans="2:42" ht="21" thickBot="1">
      <c r="B2" t="s">
        <v>591</v>
      </c>
      <c r="G2" s="3" t="s">
        <v>58</v>
      </c>
      <c r="H2" s="3"/>
      <c r="I2" s="3"/>
      <c r="J2" s="3"/>
      <c r="L2" t="s">
        <v>406</v>
      </c>
      <c r="Q2" t="s">
        <v>378</v>
      </c>
      <c r="V2" t="s">
        <v>432</v>
      </c>
      <c r="AA2" s="3" t="s">
        <v>40</v>
      </c>
      <c r="AB2" s="3"/>
      <c r="AC2" s="3"/>
      <c r="AD2" s="3"/>
      <c r="AF2" s="3" t="s">
        <v>319</v>
      </c>
      <c r="AG2" s="3"/>
      <c r="AH2" s="3"/>
      <c r="AI2" s="3"/>
      <c r="AK2" s="52" t="s">
        <v>329</v>
      </c>
      <c r="AP2" t="s">
        <v>694</v>
      </c>
    </row>
    <row r="3" spans="2:42" ht="19.5" customHeight="1">
      <c r="B3" s="239" t="s">
        <v>1247</v>
      </c>
      <c r="C3" s="240"/>
      <c r="D3" s="240"/>
      <c r="E3" s="241"/>
      <c r="F3" s="80"/>
      <c r="G3" s="10" t="s">
        <v>59</v>
      </c>
      <c r="H3" s="10" t="s">
        <v>60</v>
      </c>
      <c r="I3" s="10" t="s">
        <v>61</v>
      </c>
      <c r="J3" s="10" t="s">
        <v>62</v>
      </c>
      <c r="L3" s="10" t="s">
        <v>593</v>
      </c>
      <c r="M3" s="10" t="s">
        <v>60</v>
      </c>
      <c r="N3" s="10" t="s">
        <v>61</v>
      </c>
      <c r="O3" s="10" t="s">
        <v>62</v>
      </c>
      <c r="Q3" s="10" t="s">
        <v>593</v>
      </c>
      <c r="R3" s="10" t="s">
        <v>60</v>
      </c>
      <c r="S3" s="10" t="s">
        <v>61</v>
      </c>
      <c r="T3" s="10" t="s">
        <v>62</v>
      </c>
      <c r="V3" s="18" t="s">
        <v>568</v>
      </c>
      <c r="W3" s="18" t="s">
        <v>60</v>
      </c>
      <c r="X3" s="18" t="s">
        <v>61</v>
      </c>
      <c r="Y3" s="18" t="s">
        <v>62</v>
      </c>
      <c r="AA3" s="10" t="s">
        <v>59</v>
      </c>
      <c r="AB3" s="10" t="s">
        <v>60</v>
      </c>
      <c r="AC3" s="10" t="s">
        <v>61</v>
      </c>
      <c r="AD3" s="10" t="s">
        <v>62</v>
      </c>
      <c r="AF3" s="10" t="s">
        <v>59</v>
      </c>
      <c r="AG3" s="10" t="s">
        <v>60</v>
      </c>
      <c r="AH3" s="10" t="s">
        <v>61</v>
      </c>
      <c r="AI3" s="10" t="s">
        <v>62</v>
      </c>
      <c r="AK3" s="10" t="s">
        <v>593</v>
      </c>
      <c r="AL3" s="10" t="s">
        <v>60</v>
      </c>
      <c r="AM3" s="10" t="s">
        <v>61</v>
      </c>
      <c r="AN3" s="10" t="s">
        <v>62</v>
      </c>
    </row>
    <row r="4" spans="2:42">
      <c r="B4" s="242"/>
      <c r="C4" s="243"/>
      <c r="D4" s="243"/>
      <c r="E4" s="244"/>
      <c r="F4" s="80"/>
      <c r="G4" s="1" t="s">
        <v>64</v>
      </c>
      <c r="H4" s="1" t="s">
        <v>65</v>
      </c>
      <c r="I4" s="1" cm="1">
        <f t="array" ref="I4:I16">パラメータ!D4:D16</f>
        <v>1.1643136152857254</v>
      </c>
      <c r="J4" s="1" t="s">
        <v>66</v>
      </c>
      <c r="L4" s="1" t="s">
        <v>408</v>
      </c>
      <c r="M4" s="1" t="s">
        <v>409</v>
      </c>
      <c r="N4" s="1">
        <f>D14</f>
        <v>10.5</v>
      </c>
      <c r="O4" s="1" t="s">
        <v>94</v>
      </c>
      <c r="Q4" s="55" t="s">
        <v>625</v>
      </c>
      <c r="R4" s="55" t="s">
        <v>167</v>
      </c>
      <c r="S4" s="55"/>
      <c r="T4" s="55"/>
      <c r="V4" s="55" t="s">
        <v>342</v>
      </c>
      <c r="W4" s="55" t="s">
        <v>343</v>
      </c>
      <c r="X4" s="35"/>
      <c r="Y4" s="35" t="s">
        <v>46</v>
      </c>
      <c r="AA4" s="1" t="s">
        <v>609</v>
      </c>
      <c r="AB4" s="1" t="s">
        <v>476</v>
      </c>
      <c r="AC4" s="1">
        <f>AZ13*2</f>
        <v>0</v>
      </c>
      <c r="AD4" s="1" t="s">
        <v>404</v>
      </c>
      <c r="AE4" s="3" t="s">
        <v>608</v>
      </c>
      <c r="AF4" s="1" t="s">
        <v>437</v>
      </c>
      <c r="AG4" s="1" t="s">
        <v>438</v>
      </c>
      <c r="AH4" s="1" t="e">
        <f>(AH22*AM3)/(AH21*AM22)</f>
        <v>#VALUE!</v>
      </c>
      <c r="AI4" s="1" t="s">
        <v>46</v>
      </c>
      <c r="AK4" s="55" t="s">
        <v>330</v>
      </c>
      <c r="AL4" s="55" t="s">
        <v>331</v>
      </c>
      <c r="AM4" s="55"/>
      <c r="AN4" s="55"/>
    </row>
    <row r="5" spans="2:42">
      <c r="B5" s="242"/>
      <c r="C5" s="243"/>
      <c r="D5" s="243"/>
      <c r="E5" s="244"/>
      <c r="F5" s="80"/>
      <c r="G5" s="1" t="s">
        <v>68</v>
      </c>
      <c r="H5" s="1" t="s">
        <v>69</v>
      </c>
      <c r="I5" s="1">
        <v>9.7970000000000006</v>
      </c>
      <c r="J5" s="1" t="s">
        <v>70</v>
      </c>
      <c r="L5" s="1" t="s">
        <v>412</v>
      </c>
      <c r="M5" s="1" t="s">
        <v>413</v>
      </c>
      <c r="N5" s="1">
        <f>N6*SQRT(D18)</f>
        <v>0</v>
      </c>
      <c r="O5" s="1" t="s">
        <v>94</v>
      </c>
      <c r="Q5" s="55"/>
      <c r="R5" s="55" t="s">
        <v>379</v>
      </c>
      <c r="S5" s="55"/>
      <c r="T5" s="55"/>
      <c r="V5" s="55" t="s">
        <v>344</v>
      </c>
      <c r="W5" s="55" t="s">
        <v>345</v>
      </c>
      <c r="X5" s="35"/>
      <c r="Y5" s="35" t="s">
        <v>46</v>
      </c>
      <c r="AA5" s="1" t="s">
        <v>499</v>
      </c>
      <c r="AB5" s="1" t="s">
        <v>610</v>
      </c>
      <c r="AC5" s="1">
        <f>AY13*2</f>
        <v>0</v>
      </c>
      <c r="AD5" s="1" t="s">
        <v>5</v>
      </c>
      <c r="AE5" s="3"/>
      <c r="AF5" s="1"/>
      <c r="AG5" s="1" t="s">
        <v>439</v>
      </c>
      <c r="AH5" s="1" t="s">
        <v>46</v>
      </c>
      <c r="AI5" s="1" t="s">
        <v>46</v>
      </c>
      <c r="AK5" s="55" t="s">
        <v>334</v>
      </c>
      <c r="AL5" s="55" t="s">
        <v>335</v>
      </c>
      <c r="AM5" s="55"/>
      <c r="AN5" s="55"/>
    </row>
    <row r="6" spans="2:42">
      <c r="B6" s="242"/>
      <c r="C6" s="243"/>
      <c r="D6" s="243"/>
      <c r="E6" s="244"/>
      <c r="F6" s="80"/>
      <c r="G6" s="1" t="s">
        <v>72</v>
      </c>
      <c r="H6" s="1" t="s">
        <v>73</v>
      </c>
      <c r="I6" s="1">
        <v>1.8608692424914869E-5</v>
      </c>
      <c r="J6" s="1" t="s">
        <v>74</v>
      </c>
      <c r="L6" s="1" t="s">
        <v>416</v>
      </c>
      <c r="M6" s="1" t="s">
        <v>417</v>
      </c>
      <c r="N6" s="1"/>
      <c r="O6" s="1" t="s">
        <v>94</v>
      </c>
      <c r="Q6" s="55"/>
      <c r="R6" s="55" t="s">
        <v>380</v>
      </c>
      <c r="S6" s="55"/>
      <c r="T6" s="55"/>
      <c r="V6" s="55" t="s">
        <v>290</v>
      </c>
      <c r="W6" s="55" t="s">
        <v>346</v>
      </c>
      <c r="X6" s="35"/>
      <c r="Y6" s="35" t="s">
        <v>46</v>
      </c>
      <c r="AA6" s="1" t="s">
        <v>572</v>
      </c>
      <c r="AB6" s="1" t="s">
        <v>578</v>
      </c>
      <c r="AC6" s="1" t="e">
        <f>(AC5*AC5)/AC4</f>
        <v>#DIV/0!</v>
      </c>
      <c r="AD6" s="1" t="s">
        <v>46</v>
      </c>
      <c r="AE6" s="3"/>
      <c r="AF6" s="1" t="s">
        <v>440</v>
      </c>
      <c r="AG6" s="1" t="s">
        <v>441</v>
      </c>
      <c r="AH6" s="65" t="e">
        <f>(AM5*AH23)/(AM20*AH21)</f>
        <v>#DIV/0!</v>
      </c>
      <c r="AI6" s="1" t="s">
        <v>46</v>
      </c>
      <c r="AK6" s="55" t="s">
        <v>336</v>
      </c>
      <c r="AL6" s="55" t="s">
        <v>337</v>
      </c>
      <c r="AM6" s="55"/>
      <c r="AN6" s="55"/>
    </row>
    <row r="7" spans="2:42">
      <c r="B7" s="242"/>
      <c r="C7" s="243"/>
      <c r="D7" s="243"/>
      <c r="E7" s="244"/>
      <c r="F7" s="80"/>
      <c r="G7" s="1" t="s">
        <v>76</v>
      </c>
      <c r="H7" s="1" t="s">
        <v>77</v>
      </c>
      <c r="I7" s="1">
        <v>1.5982543002684247E-5</v>
      </c>
      <c r="J7" s="1" t="s">
        <v>78</v>
      </c>
      <c r="L7" s="1" t="s">
        <v>418</v>
      </c>
      <c r="M7" s="1" t="s">
        <v>419</v>
      </c>
      <c r="N7" s="1"/>
      <c r="O7" s="1" t="s">
        <v>94</v>
      </c>
      <c r="V7" s="55" t="s">
        <v>293</v>
      </c>
      <c r="W7" s="55" t="s">
        <v>347</v>
      </c>
      <c r="X7" s="35"/>
      <c r="Y7" s="35" t="s">
        <v>46</v>
      </c>
      <c r="AA7" s="1" t="s">
        <v>611</v>
      </c>
      <c r="AB7" s="1" t="s">
        <v>612</v>
      </c>
      <c r="AC7" s="1" t="e">
        <f>(2/AC4)*BC13</f>
        <v>#DIV/0!</v>
      </c>
      <c r="AD7" s="1" t="s">
        <v>5</v>
      </c>
      <c r="AE7" s="3"/>
      <c r="AF7" s="1" t="s">
        <v>46</v>
      </c>
      <c r="AG7" s="1" t="s">
        <v>442</v>
      </c>
      <c r="AH7" s="1">
        <f>IF(AH10="Conventional",(2*S17*(180/PI()))/(PI()*AM21),0)</f>
        <v>0</v>
      </c>
      <c r="AI7" s="1" t="s">
        <v>46</v>
      </c>
      <c r="AK7" s="55" t="s">
        <v>338</v>
      </c>
      <c r="AL7" s="55" t="s">
        <v>304</v>
      </c>
      <c r="AM7" s="55"/>
      <c r="AN7" s="55"/>
    </row>
    <row r="8" spans="2:42" ht="21" thickBot="1">
      <c r="B8" s="242"/>
      <c r="C8" s="243"/>
      <c r="D8" s="243"/>
      <c r="E8" s="244"/>
      <c r="F8" s="80"/>
      <c r="G8" s="1" t="s">
        <v>79</v>
      </c>
      <c r="H8" s="1" t="s">
        <v>80</v>
      </c>
      <c r="I8" s="1">
        <v>30</v>
      </c>
      <c r="J8" s="1" t="s">
        <v>81</v>
      </c>
      <c r="L8" s="1" t="s">
        <v>422</v>
      </c>
      <c r="M8" s="1" t="s">
        <v>423</v>
      </c>
      <c r="N8" s="1"/>
      <c r="O8" s="1" t="s">
        <v>94</v>
      </c>
      <c r="Q8" t="s">
        <v>631</v>
      </c>
      <c r="V8" s="55" t="s">
        <v>295</v>
      </c>
      <c r="W8" s="55" t="s">
        <v>348</v>
      </c>
      <c r="X8" s="35"/>
      <c r="Y8" s="35" t="s">
        <v>46</v>
      </c>
      <c r="AA8" s="20" t="s">
        <v>613</v>
      </c>
      <c r="AB8" s="20" t="s">
        <v>427</v>
      </c>
      <c r="AC8" s="20" t="e">
        <f>(2*BD13)/AC4</f>
        <v>#DIV/0!</v>
      </c>
      <c r="AD8" s="20" t="s">
        <v>5</v>
      </c>
      <c r="AE8" s="3"/>
      <c r="AF8" s="1" t="s">
        <v>443</v>
      </c>
      <c r="AG8" s="1" t="s">
        <v>444</v>
      </c>
      <c r="AH8" s="22">
        <v>1</v>
      </c>
      <c r="AI8" s="1" t="s">
        <v>46</v>
      </c>
      <c r="AK8" s="55" t="s">
        <v>339</v>
      </c>
      <c r="AL8" s="55" t="s">
        <v>340</v>
      </c>
      <c r="AM8" s="55"/>
      <c r="AN8" s="55"/>
    </row>
    <row r="9" spans="2:42" ht="21" thickTop="1">
      <c r="B9" s="242"/>
      <c r="C9" s="243"/>
      <c r="D9" s="243"/>
      <c r="E9" s="244"/>
      <c r="G9" s="1"/>
      <c r="H9" s="1"/>
      <c r="I9" s="1">
        <v>303.14999999999998</v>
      </c>
      <c r="J9" s="1" t="s">
        <v>82</v>
      </c>
      <c r="Q9" s="10" t="s">
        <v>593</v>
      </c>
      <c r="R9" s="10" t="s">
        <v>60</v>
      </c>
      <c r="S9" s="10" t="s">
        <v>61</v>
      </c>
      <c r="T9" s="10" t="s">
        <v>62</v>
      </c>
      <c r="V9" s="55" t="s">
        <v>349</v>
      </c>
      <c r="W9" s="55" t="s">
        <v>350</v>
      </c>
      <c r="X9" s="35"/>
      <c r="Y9" s="35" t="s">
        <v>435</v>
      </c>
      <c r="AA9" s="2" t="s">
        <v>609</v>
      </c>
      <c r="AB9" s="1" t="s">
        <v>476</v>
      </c>
      <c r="AC9" s="1">
        <f>BV6</f>
        <v>0</v>
      </c>
      <c r="AD9" s="25" t="s">
        <v>404</v>
      </c>
      <c r="AE9" s="3" t="s">
        <v>614</v>
      </c>
      <c r="AF9" s="1" t="s">
        <v>450</v>
      </c>
      <c r="AG9" s="1" t="s">
        <v>451</v>
      </c>
      <c r="AH9" s="22">
        <v>0</v>
      </c>
      <c r="AI9" s="1" t="s">
        <v>46</v>
      </c>
    </row>
    <row r="10" spans="2:42" ht="21" thickBot="1">
      <c r="B10" s="245"/>
      <c r="C10" s="246"/>
      <c r="D10" s="246"/>
      <c r="E10" s="247"/>
      <c r="G10" s="1" t="s">
        <v>83</v>
      </c>
      <c r="H10" s="1" t="s">
        <v>84</v>
      </c>
      <c r="I10" s="29">
        <v>1013</v>
      </c>
      <c r="J10" s="1" t="s">
        <v>85</v>
      </c>
      <c r="L10" s="52" t="s">
        <v>407</v>
      </c>
      <c r="Q10" s="55" t="s">
        <v>382</v>
      </c>
      <c r="R10" s="55" t="s">
        <v>387</v>
      </c>
      <c r="S10" s="55"/>
      <c r="T10" s="55"/>
      <c r="V10" s="55" t="s">
        <v>290</v>
      </c>
      <c r="W10" s="55" t="s">
        <v>352</v>
      </c>
      <c r="X10" s="35"/>
      <c r="Y10" s="35" t="s">
        <v>435</v>
      </c>
      <c r="AA10" s="1" t="s">
        <v>499</v>
      </c>
      <c r="AB10" s="1" t="s">
        <v>610</v>
      </c>
      <c r="AC10" s="1">
        <f>BV7</f>
        <v>0</v>
      </c>
      <c r="AD10" s="1" t="s">
        <v>5</v>
      </c>
      <c r="AE10" s="3"/>
      <c r="AF10" s="2" t="s">
        <v>455</v>
      </c>
      <c r="AG10" s="2" t="s">
        <v>46</v>
      </c>
      <c r="AH10" s="66" t="s">
        <v>327</v>
      </c>
      <c r="AI10" s="1" t="s">
        <v>46</v>
      </c>
      <c r="AK10" s="52" t="s">
        <v>50</v>
      </c>
    </row>
    <row r="11" spans="2:42">
      <c r="G11" s="1"/>
      <c r="H11" s="1"/>
      <c r="I11" s="29">
        <v>101300</v>
      </c>
      <c r="J11" s="1" t="s">
        <v>86</v>
      </c>
      <c r="L11" s="10" t="s">
        <v>593</v>
      </c>
      <c r="M11" s="10" t="s">
        <v>60</v>
      </c>
      <c r="N11" s="10" t="s">
        <v>61</v>
      </c>
      <c r="O11" s="10" t="s">
        <v>62</v>
      </c>
      <c r="Q11" s="55" t="s">
        <v>389</v>
      </c>
      <c r="R11" s="55" t="s">
        <v>393</v>
      </c>
      <c r="S11" s="55"/>
      <c r="T11" s="55"/>
      <c r="V11" s="55" t="s">
        <v>293</v>
      </c>
      <c r="W11" s="55" t="s">
        <v>353</v>
      </c>
      <c r="X11" s="35"/>
      <c r="Y11" s="35" t="s">
        <v>351</v>
      </c>
      <c r="AA11" s="1" t="s">
        <v>572</v>
      </c>
      <c r="AB11" s="1" t="s">
        <v>578</v>
      </c>
      <c r="AC11" s="1">
        <f>BV8</f>
        <v>0</v>
      </c>
      <c r="AD11" s="1" t="s">
        <v>46</v>
      </c>
      <c r="AE11" s="3"/>
      <c r="AK11" s="10" t="s">
        <v>593</v>
      </c>
      <c r="AL11" s="10" t="s">
        <v>60</v>
      </c>
      <c r="AM11" s="10" t="s">
        <v>61</v>
      </c>
      <c r="AN11" s="10" t="s">
        <v>62</v>
      </c>
    </row>
    <row r="12" spans="2:42" ht="21" thickBot="1">
      <c r="B12" t="s">
        <v>567</v>
      </c>
      <c r="G12" s="1" t="s">
        <v>87</v>
      </c>
      <c r="H12" s="1" t="s">
        <v>88</v>
      </c>
      <c r="I12" s="1">
        <v>287</v>
      </c>
      <c r="J12" s="1" t="s">
        <v>89</v>
      </c>
      <c r="L12" s="55" t="s">
        <v>599</v>
      </c>
      <c r="M12" s="55" t="s">
        <v>177</v>
      </c>
      <c r="N12" s="55"/>
      <c r="O12" s="55"/>
      <c r="Q12" s="55" t="s">
        <v>394</v>
      </c>
      <c r="R12" s="55" t="s">
        <v>397</v>
      </c>
      <c r="S12" s="55"/>
      <c r="T12" s="55"/>
      <c r="V12" s="55" t="s">
        <v>295</v>
      </c>
      <c r="W12" s="55" t="s">
        <v>354</v>
      </c>
      <c r="X12" s="35"/>
      <c r="Y12" s="35" t="s">
        <v>351</v>
      </c>
      <c r="AA12" s="1" t="s">
        <v>611</v>
      </c>
      <c r="AB12" s="1" t="s">
        <v>579</v>
      </c>
      <c r="AC12" s="1">
        <f>BV9</f>
        <v>0</v>
      </c>
      <c r="AD12" s="1" t="s">
        <v>5</v>
      </c>
      <c r="AE12" s="3"/>
      <c r="AF12" s="3" t="s">
        <v>635</v>
      </c>
      <c r="AG12" s="3"/>
      <c r="AH12" s="3"/>
      <c r="AI12" s="3"/>
      <c r="AK12" s="63" t="s">
        <v>297</v>
      </c>
      <c r="AL12" s="63" t="s">
        <v>298</v>
      </c>
      <c r="AM12" s="63"/>
      <c r="AN12" s="63"/>
    </row>
    <row r="13" spans="2:42" ht="21" thickBot="1">
      <c r="B13" s="87" t="s">
        <v>568</v>
      </c>
      <c r="C13" s="88" t="s">
        <v>60</v>
      </c>
      <c r="D13" s="88" t="s">
        <v>61</v>
      </c>
      <c r="E13" s="89" t="s">
        <v>62</v>
      </c>
      <c r="G13" s="1" t="s">
        <v>90</v>
      </c>
      <c r="H13" s="1" t="s">
        <v>91</v>
      </c>
      <c r="I13" s="1">
        <v>1.4</v>
      </c>
      <c r="J13" s="1" t="s">
        <v>46</v>
      </c>
      <c r="L13" s="55" t="s">
        <v>600</v>
      </c>
      <c r="M13" s="55" t="s">
        <v>411</v>
      </c>
      <c r="N13" s="55"/>
      <c r="O13" s="55"/>
      <c r="Q13" s="55" t="s">
        <v>398</v>
      </c>
      <c r="R13" s="55" t="s">
        <v>399</v>
      </c>
      <c r="S13" s="55"/>
      <c r="T13" s="55"/>
      <c r="AA13" s="20" t="s">
        <v>613</v>
      </c>
      <c r="AB13" s="20" t="s">
        <v>427</v>
      </c>
      <c r="AC13" s="20">
        <f>BV10</f>
        <v>0</v>
      </c>
      <c r="AD13" s="20" t="s">
        <v>5</v>
      </c>
      <c r="AE13" s="3"/>
      <c r="AF13" s="10" t="s">
        <v>59</v>
      </c>
      <c r="AG13" s="10" t="s">
        <v>60</v>
      </c>
      <c r="AH13" s="10" t="s">
        <v>61</v>
      </c>
      <c r="AI13" s="10" t="s">
        <v>62</v>
      </c>
      <c r="AK13" s="55" t="s">
        <v>299</v>
      </c>
      <c r="AL13" s="55" t="s">
        <v>300</v>
      </c>
      <c r="AM13" s="55"/>
      <c r="AN13" s="55"/>
    </row>
    <row r="14" spans="2:42" ht="21" thickTop="1">
      <c r="B14" s="90" t="s">
        <v>575</v>
      </c>
      <c r="C14" s="55" t="s">
        <v>409</v>
      </c>
      <c r="D14" s="78">
        <v>10.5</v>
      </c>
      <c r="E14" s="91" t="s">
        <v>94</v>
      </c>
      <c r="F14" s="52"/>
      <c r="G14" s="1" t="s">
        <v>92</v>
      </c>
      <c r="H14" s="1" t="s">
        <v>93</v>
      </c>
      <c r="I14" s="1">
        <v>349.00669048028288</v>
      </c>
      <c r="J14" s="1" t="s">
        <v>94</v>
      </c>
      <c r="L14" s="55" t="s">
        <v>601</v>
      </c>
      <c r="M14" s="55" t="s">
        <v>415</v>
      </c>
      <c r="N14" s="55"/>
      <c r="O14" s="55"/>
      <c r="Q14" s="55"/>
      <c r="R14" s="55" t="s">
        <v>400</v>
      </c>
      <c r="S14" s="55"/>
      <c r="T14" s="55"/>
      <c r="V14" s="52" t="s">
        <v>458</v>
      </c>
      <c r="AA14" s="1" t="s">
        <v>424</v>
      </c>
      <c r="AB14" s="1" t="s">
        <v>425</v>
      </c>
      <c r="AC14" s="1"/>
      <c r="AD14" s="1" t="s">
        <v>426</v>
      </c>
      <c r="AF14" s="1" t="s">
        <v>40</v>
      </c>
      <c r="AG14" s="1" t="s">
        <v>476</v>
      </c>
      <c r="AH14" s="67">
        <v>0</v>
      </c>
      <c r="AI14" s="1">
        <v>0</v>
      </c>
      <c r="AK14" s="55" t="s">
        <v>301</v>
      </c>
      <c r="AL14" s="55" t="s">
        <v>302</v>
      </c>
      <c r="AM14" s="55"/>
      <c r="AN14" s="55"/>
    </row>
    <row r="15" spans="2:42">
      <c r="B15" s="90" t="s">
        <v>576</v>
      </c>
      <c r="C15" s="55" t="s">
        <v>46</v>
      </c>
      <c r="D15" s="55">
        <f>重量分布!C7</f>
        <v>45.574000000000005</v>
      </c>
      <c r="E15" s="91" t="s">
        <v>6</v>
      </c>
      <c r="G15" s="1" t="s">
        <v>95</v>
      </c>
      <c r="H15" s="1" t="s">
        <v>96</v>
      </c>
      <c r="I15" s="1">
        <v>0.4</v>
      </c>
      <c r="J15" s="1" t="s">
        <v>46</v>
      </c>
      <c r="Q15" s="55" t="s">
        <v>401</v>
      </c>
      <c r="R15" s="55" t="s">
        <v>402</v>
      </c>
      <c r="S15" s="55"/>
      <c r="T15" s="55"/>
      <c r="V15" s="10" t="s">
        <v>59</v>
      </c>
      <c r="W15" s="10" t="s">
        <v>60</v>
      </c>
      <c r="X15" s="10" t="s">
        <v>61</v>
      </c>
      <c r="Y15" s="10" t="s">
        <v>62</v>
      </c>
      <c r="AA15" s="1" t="s">
        <v>305</v>
      </c>
      <c r="AB15" s="1" t="s">
        <v>306</v>
      </c>
      <c r="AC15" s="22">
        <v>0.25</v>
      </c>
      <c r="AD15" s="1" t="s">
        <v>45</v>
      </c>
      <c r="AF15" s="1" t="s">
        <v>50</v>
      </c>
      <c r="AG15" s="1" t="s">
        <v>495</v>
      </c>
      <c r="AH15" s="67">
        <v>0</v>
      </c>
      <c r="AI15" s="1">
        <v>0</v>
      </c>
      <c r="AK15" s="55" t="s">
        <v>303</v>
      </c>
      <c r="AL15" s="55" t="s">
        <v>304</v>
      </c>
      <c r="AM15" s="55"/>
      <c r="AN15" s="55"/>
    </row>
    <row r="16" spans="2:42">
      <c r="B16" s="90" t="s">
        <v>577</v>
      </c>
      <c r="C16" s="55" t="s">
        <v>46</v>
      </c>
      <c r="D16" s="55">
        <f>重量分布!C8</f>
        <v>61</v>
      </c>
      <c r="E16" s="91" t="s">
        <v>6</v>
      </c>
      <c r="G16" s="1" t="s">
        <v>98</v>
      </c>
      <c r="H16" s="1" t="s">
        <v>99</v>
      </c>
      <c r="I16" s="1">
        <v>0.01</v>
      </c>
      <c r="J16" s="1" t="s">
        <v>46</v>
      </c>
      <c r="L16" s="3" t="s">
        <v>630</v>
      </c>
      <c r="M16" s="3"/>
      <c r="N16" s="3"/>
      <c r="O16" s="3"/>
      <c r="V16" s="2" t="s">
        <v>458</v>
      </c>
      <c r="W16" s="2" t="s">
        <v>466</v>
      </c>
      <c r="X16" s="2" t="e">
        <f>#REF!+#REF!*(#REF!/X26)+X18*(#REF!/X26)+(D25*(#REF!/X26)+D26*(#REF!/X26))*D27</f>
        <v>#REF!</v>
      </c>
      <c r="Y16" s="2" t="s">
        <v>46</v>
      </c>
      <c r="AA16" s="1" t="s">
        <v>307</v>
      </c>
      <c r="AB16" s="1" t="s">
        <v>308</v>
      </c>
      <c r="AC16" s="1"/>
      <c r="AD16" s="1" t="s">
        <v>45</v>
      </c>
      <c r="AF16" s="1" t="s">
        <v>51</v>
      </c>
      <c r="AG16" s="1" t="s">
        <v>497</v>
      </c>
      <c r="AH16" s="67">
        <v>0</v>
      </c>
      <c r="AI16" s="1">
        <v>0</v>
      </c>
      <c r="AK16" s="55" t="s">
        <v>305</v>
      </c>
      <c r="AL16" s="55" t="s">
        <v>306</v>
      </c>
      <c r="AM16" s="55"/>
      <c r="AN16" s="55"/>
    </row>
    <row r="17" spans="2:40">
      <c r="B17" s="90" t="s">
        <v>598</v>
      </c>
      <c r="C17" s="55" t="s">
        <v>420</v>
      </c>
      <c r="D17" s="55">
        <f>D15+D16</f>
        <v>106.57400000000001</v>
      </c>
      <c r="E17" s="91" t="s">
        <v>496</v>
      </c>
      <c r="F17" s="52"/>
      <c r="G17" s="1" t="s">
        <v>445</v>
      </c>
      <c r="H17" s="1" t="s">
        <v>446</v>
      </c>
      <c r="I17" s="1">
        <f>0.5*I4*I23^2</f>
        <v>64.182788042625617</v>
      </c>
      <c r="J17" s="1" t="s">
        <v>447</v>
      </c>
      <c r="L17" s="10" t="s">
        <v>593</v>
      </c>
      <c r="M17" s="10" t="s">
        <v>60</v>
      </c>
      <c r="N17" s="10" t="s">
        <v>61</v>
      </c>
      <c r="O17" s="10" t="s">
        <v>62</v>
      </c>
      <c r="Q17" s="3" t="s">
        <v>570</v>
      </c>
      <c r="V17" s="2" t="s">
        <v>458</v>
      </c>
      <c r="W17" s="2" t="s">
        <v>466</v>
      </c>
      <c r="X17" s="2" t="e">
        <f>#REF!+X18*(#REF!/X27)+X19*(#REF!/X27)+(D26*(#REF!/X27)+D27*(#REF!/X27))*D28</f>
        <v>#REF!</v>
      </c>
      <c r="Y17" s="2" t="s">
        <v>46</v>
      </c>
      <c r="AA17" s="1" t="s">
        <v>168</v>
      </c>
      <c r="AB17" s="1" t="s">
        <v>165</v>
      </c>
      <c r="AC17" s="1"/>
      <c r="AD17" s="1" t="s">
        <v>45</v>
      </c>
      <c r="AF17" s="64" t="s">
        <v>7</v>
      </c>
      <c r="AG17" s="64" t="s">
        <v>498</v>
      </c>
      <c r="AH17" s="67">
        <v>0</v>
      </c>
      <c r="AI17" s="1" t="s">
        <v>404</v>
      </c>
      <c r="AK17" s="55" t="s">
        <v>307</v>
      </c>
      <c r="AL17" s="55" t="s">
        <v>308</v>
      </c>
      <c r="AM17" s="55"/>
      <c r="AN17" s="55"/>
    </row>
    <row r="18" spans="2:40" ht="21" thickBot="1">
      <c r="B18" s="92" t="s">
        <v>594</v>
      </c>
      <c r="C18" s="77" t="s">
        <v>595</v>
      </c>
      <c r="D18" s="83">
        <v>3</v>
      </c>
      <c r="E18" s="93" t="s">
        <v>596</v>
      </c>
      <c r="G18" s="3"/>
      <c r="H18" s="3"/>
      <c r="I18" s="3"/>
      <c r="J18" s="3"/>
      <c r="L18" s="64" t="s">
        <v>410</v>
      </c>
      <c r="M18" s="1" t="s">
        <v>46</v>
      </c>
      <c r="N18" s="1"/>
      <c r="O18" s="1" t="s">
        <v>6</v>
      </c>
      <c r="Q18" s="10" t="s">
        <v>593</v>
      </c>
      <c r="R18" s="10" t="s">
        <v>60</v>
      </c>
      <c r="S18" s="10" t="s">
        <v>61</v>
      </c>
      <c r="T18" s="10" t="s">
        <v>62</v>
      </c>
      <c r="V18" s="2" t="s">
        <v>458</v>
      </c>
      <c r="W18" s="2" t="s">
        <v>466</v>
      </c>
      <c r="X18" s="2" t="e">
        <f>X19+X20*(#REF!/#REF!)+X21*(#REF!/#REF!)+(D28*(#REF!/#REF!)+D29*(#REF!/#REF!))*D30</f>
        <v>#REF!</v>
      </c>
      <c r="Y18" s="2" t="s">
        <v>46</v>
      </c>
      <c r="AA18" s="1" t="s">
        <v>311</v>
      </c>
      <c r="AB18" s="1" t="s">
        <v>457</v>
      </c>
      <c r="AC18" s="1"/>
      <c r="AD18" s="1" t="s">
        <v>266</v>
      </c>
      <c r="AF18" s="64" t="s">
        <v>56</v>
      </c>
      <c r="AG18" s="64" t="s">
        <v>501</v>
      </c>
      <c r="AH18" s="67">
        <v>0</v>
      </c>
      <c r="AI18" s="1" t="s">
        <v>404</v>
      </c>
      <c r="AK18" s="55" t="s">
        <v>313</v>
      </c>
      <c r="AL18" s="55" t="s">
        <v>45</v>
      </c>
      <c r="AM18" s="55"/>
      <c r="AN18" s="55"/>
    </row>
    <row r="19" spans="2:40" ht="21" thickTop="1">
      <c r="B19" s="94" t="s">
        <v>571</v>
      </c>
      <c r="C19" s="59" t="s">
        <v>476</v>
      </c>
      <c r="D19" s="59"/>
      <c r="E19" s="95" t="s">
        <v>404</v>
      </c>
      <c r="G19" s="3"/>
      <c r="I19" s="3"/>
      <c r="J19" s="3"/>
      <c r="L19" s="64" t="s">
        <v>414</v>
      </c>
      <c r="M19" s="1" t="s">
        <v>46</v>
      </c>
      <c r="N19" s="1"/>
      <c r="O19" s="1" t="s">
        <v>6</v>
      </c>
      <c r="Q19" s="55" t="s">
        <v>368</v>
      </c>
      <c r="R19" s="55" t="s">
        <v>369</v>
      </c>
      <c r="S19" s="35"/>
      <c r="T19" s="35" t="s">
        <v>421</v>
      </c>
      <c r="V19" s="1" t="s">
        <v>40</v>
      </c>
      <c r="W19" s="1" t="s">
        <v>469</v>
      </c>
      <c r="X19" s="1">
        <v>1.7113168423305021E-2</v>
      </c>
      <c r="Y19" s="2" t="s">
        <v>46</v>
      </c>
      <c r="AA19" s="55" t="s">
        <v>309</v>
      </c>
      <c r="AB19" s="55" t="s">
        <v>310</v>
      </c>
      <c r="AC19" s="1"/>
      <c r="AD19" s="1" t="s">
        <v>266</v>
      </c>
      <c r="AF19" s="64" t="s">
        <v>503</v>
      </c>
      <c r="AG19" s="64" t="s">
        <v>504</v>
      </c>
      <c r="AH19" s="67">
        <f>AH15</f>
        <v>0</v>
      </c>
      <c r="AI19" s="1" t="s">
        <v>404</v>
      </c>
    </row>
    <row r="20" spans="2:40">
      <c r="B20" s="90" t="s">
        <v>574</v>
      </c>
      <c r="C20" s="55" t="s">
        <v>425</v>
      </c>
      <c r="D20" s="55"/>
      <c r="E20" s="91" t="s">
        <v>580</v>
      </c>
      <c r="G20" s="10" t="s">
        <v>59</v>
      </c>
      <c r="H20" s="10" t="s">
        <v>60</v>
      </c>
      <c r="I20" s="10" t="s">
        <v>61</v>
      </c>
      <c r="J20" s="10" t="s">
        <v>62</v>
      </c>
      <c r="L20" s="64" t="s">
        <v>629</v>
      </c>
      <c r="M20" s="1" t="s">
        <v>420</v>
      </c>
      <c r="N20" s="1"/>
      <c r="O20" s="1" t="s">
        <v>421</v>
      </c>
      <c r="Q20" s="55" t="s">
        <v>626</v>
      </c>
      <c r="R20" s="55" t="s">
        <v>369</v>
      </c>
      <c r="S20" s="35"/>
      <c r="T20" s="35" t="s">
        <v>421</v>
      </c>
      <c r="V20" s="1" t="s">
        <v>50</v>
      </c>
      <c r="W20" s="1" t="s">
        <v>465</v>
      </c>
      <c r="X20" s="1">
        <v>9.3619884584271104E-3</v>
      </c>
      <c r="Y20" s="2" t="s">
        <v>46</v>
      </c>
      <c r="AA20" s="1" t="s">
        <v>622</v>
      </c>
      <c r="AB20" s="1" t="s">
        <v>448</v>
      </c>
      <c r="AC20" s="1">
        <f>BV13</f>
        <v>0</v>
      </c>
      <c r="AD20" s="1" t="s">
        <v>435</v>
      </c>
      <c r="AF20" s="64" t="s">
        <v>261</v>
      </c>
      <c r="AG20" s="64" t="s">
        <v>510</v>
      </c>
      <c r="AH20" s="67">
        <v>0</v>
      </c>
      <c r="AI20" s="1" t="s">
        <v>404</v>
      </c>
      <c r="AK20" s="52" t="s">
        <v>51</v>
      </c>
    </row>
    <row r="21" spans="2:40">
      <c r="B21" s="90" t="s">
        <v>572</v>
      </c>
      <c r="C21" s="55" t="s">
        <v>578</v>
      </c>
      <c r="D21" s="55"/>
      <c r="E21" s="91" t="s">
        <v>46</v>
      </c>
      <c r="G21" s="1" t="s">
        <v>265</v>
      </c>
      <c r="H21" s="1" t="s">
        <v>179</v>
      </c>
      <c r="I21" s="22">
        <v>2</v>
      </c>
      <c r="J21" s="1" t="s">
        <v>266</v>
      </c>
      <c r="L21" s="1" t="s">
        <v>283</v>
      </c>
      <c r="M21" s="1" t="s">
        <v>478</v>
      </c>
      <c r="N21" s="1"/>
      <c r="O21" s="1" t="s">
        <v>5</v>
      </c>
      <c r="Q21" s="55" t="s">
        <v>628</v>
      </c>
      <c r="R21" s="55" t="s">
        <v>369</v>
      </c>
      <c r="S21" s="35"/>
      <c r="T21" s="35" t="s">
        <v>421</v>
      </c>
      <c r="V21" s="1" t="s">
        <v>51</v>
      </c>
      <c r="W21" s="1" t="s">
        <v>468</v>
      </c>
      <c r="X21" s="1">
        <v>8.867077996424633E-3</v>
      </c>
      <c r="Y21" s="2" t="s">
        <v>46</v>
      </c>
      <c r="AA21" s="55" t="s">
        <v>311</v>
      </c>
      <c r="AB21" s="55" t="s">
        <v>312</v>
      </c>
      <c r="AC21" s="1"/>
      <c r="AD21" s="1" t="s">
        <v>266</v>
      </c>
      <c r="AF21" s="64" t="s">
        <v>512</v>
      </c>
      <c r="AG21" s="64" t="s">
        <v>513</v>
      </c>
      <c r="AH21" s="68">
        <v>1</v>
      </c>
      <c r="AI21" s="1" t="s">
        <v>46</v>
      </c>
      <c r="AK21" s="10" t="s">
        <v>593</v>
      </c>
      <c r="AL21" s="10" t="s">
        <v>60</v>
      </c>
      <c r="AM21" s="10" t="s">
        <v>61</v>
      </c>
      <c r="AN21" s="10" t="s">
        <v>62</v>
      </c>
    </row>
    <row r="22" spans="2:40">
      <c r="B22" s="96" t="s">
        <v>573</v>
      </c>
      <c r="C22" s="79" t="s">
        <v>579</v>
      </c>
      <c r="D22" s="79"/>
      <c r="E22" s="97" t="s">
        <v>5</v>
      </c>
      <c r="G22" s="1" t="s">
        <v>267</v>
      </c>
      <c r="H22" s="1" t="s">
        <v>268</v>
      </c>
      <c r="I22" s="22">
        <v>0</v>
      </c>
      <c r="J22" s="1" t="s">
        <v>266</v>
      </c>
      <c r="L22" s="1" t="s">
        <v>481</v>
      </c>
      <c r="M22" s="1" t="s">
        <v>482</v>
      </c>
      <c r="N22" s="1"/>
      <c r="O22" s="1" t="s">
        <v>5</v>
      </c>
      <c r="Q22" s="55" t="s">
        <v>627</v>
      </c>
      <c r="R22" s="55" t="s">
        <v>369</v>
      </c>
      <c r="S22" s="35"/>
      <c r="T22" s="35" t="s">
        <v>421</v>
      </c>
      <c r="V22" s="55" t="s">
        <v>355</v>
      </c>
      <c r="W22" s="55" t="s">
        <v>356</v>
      </c>
      <c r="X22" s="35"/>
      <c r="Y22" s="35" t="s">
        <v>46</v>
      </c>
      <c r="AA22" s="55" t="s">
        <v>313</v>
      </c>
      <c r="AB22" s="55" t="s">
        <v>45</v>
      </c>
      <c r="AC22" s="1"/>
      <c r="AD22" s="1" t="s">
        <v>266</v>
      </c>
      <c r="AF22" s="64"/>
      <c r="AG22" s="64" t="s">
        <v>519</v>
      </c>
      <c r="AH22" s="68">
        <v>0.8</v>
      </c>
      <c r="AI22" s="1" t="s">
        <v>46</v>
      </c>
      <c r="AK22" s="55" t="s">
        <v>297</v>
      </c>
      <c r="AL22" s="55" t="s">
        <v>298</v>
      </c>
      <c r="AM22" s="55"/>
      <c r="AN22" s="55"/>
    </row>
    <row r="23" spans="2:40">
      <c r="B23" s="98" t="s">
        <v>581</v>
      </c>
      <c r="C23" s="55" t="s">
        <v>489</v>
      </c>
      <c r="D23" s="78"/>
      <c r="E23" s="91"/>
      <c r="G23" s="1" t="s">
        <v>269</v>
      </c>
      <c r="H23" s="1" t="s">
        <v>270</v>
      </c>
      <c r="I23" s="22">
        <v>10.5</v>
      </c>
      <c r="J23" s="1" t="s">
        <v>271</v>
      </c>
      <c r="L23" s="1"/>
      <c r="M23" s="1" t="s">
        <v>486</v>
      </c>
      <c r="N23" s="1"/>
      <c r="O23" s="1" t="s">
        <v>5</v>
      </c>
      <c r="Q23" s="55" t="s">
        <v>371</v>
      </c>
      <c r="R23" s="55" t="s">
        <v>372</v>
      </c>
      <c r="S23" s="35"/>
      <c r="T23" s="35" t="s">
        <v>421</v>
      </c>
      <c r="V23" s="55" t="s">
        <v>290</v>
      </c>
      <c r="W23" s="55" t="s">
        <v>357</v>
      </c>
      <c r="X23" s="35"/>
      <c r="Y23" s="35" t="s">
        <v>46</v>
      </c>
      <c r="AA23" s="55" t="s">
        <v>314</v>
      </c>
      <c r="AB23" s="55" t="s">
        <v>315</v>
      </c>
      <c r="AC23" s="1"/>
      <c r="AD23" s="1" t="s">
        <v>266</v>
      </c>
      <c r="AK23" s="55" t="s">
        <v>299</v>
      </c>
      <c r="AL23" s="55" t="s">
        <v>300</v>
      </c>
      <c r="AM23" s="55"/>
      <c r="AN23" s="55"/>
    </row>
    <row r="24" spans="2:40" ht="21" thickBot="1">
      <c r="B24" s="138" t="s">
        <v>590</v>
      </c>
      <c r="C24" s="57" t="s">
        <v>493</v>
      </c>
      <c r="D24" s="81"/>
      <c r="E24" s="107"/>
      <c r="G24" s="1" t="s">
        <v>272</v>
      </c>
      <c r="H24" s="1" t="s">
        <v>273</v>
      </c>
      <c r="I24" s="22">
        <v>100</v>
      </c>
      <c r="J24" s="1" t="s">
        <v>37</v>
      </c>
      <c r="L24" s="1" t="s">
        <v>283</v>
      </c>
      <c r="M24" s="1" t="s">
        <v>489</v>
      </c>
      <c r="N24" s="1"/>
      <c r="O24" s="1" t="s">
        <v>46</v>
      </c>
      <c r="Q24" s="55" t="s">
        <v>632</v>
      </c>
      <c r="R24" s="55" t="s">
        <v>602</v>
      </c>
      <c r="S24" s="35"/>
      <c r="T24" s="35" t="s">
        <v>421</v>
      </c>
      <c r="V24" s="55" t="s">
        <v>293</v>
      </c>
      <c r="W24" s="55" t="s">
        <v>358</v>
      </c>
      <c r="X24" s="35"/>
      <c r="Y24" s="35" t="s">
        <v>46</v>
      </c>
      <c r="AA24" s="57" t="s">
        <v>316</v>
      </c>
      <c r="AB24" s="57" t="s">
        <v>317</v>
      </c>
      <c r="AC24" s="20"/>
      <c r="AD24" s="20" t="s">
        <v>266</v>
      </c>
      <c r="AF24" s="52" t="s">
        <v>7</v>
      </c>
      <c r="AK24" s="55" t="s">
        <v>301</v>
      </c>
      <c r="AL24" s="55" t="s">
        <v>302</v>
      </c>
      <c r="AM24" s="55"/>
      <c r="AN24" s="55"/>
    </row>
    <row r="25" spans="2:40" ht="22" thickTop="1" thickBot="1">
      <c r="B25" s="102" t="s">
        <v>455</v>
      </c>
      <c r="C25" s="63"/>
      <c r="D25" s="84" t="s">
        <v>908</v>
      </c>
      <c r="E25" s="101"/>
      <c r="G25" s="1" t="s">
        <v>471</v>
      </c>
      <c r="H25" s="1" t="s">
        <v>472</v>
      </c>
      <c r="I25" s="22">
        <v>0</v>
      </c>
      <c r="J25" s="1" t="s">
        <v>473</v>
      </c>
      <c r="L25" s="1" t="s">
        <v>492</v>
      </c>
      <c r="M25" s="1" t="s">
        <v>493</v>
      </c>
      <c r="N25" s="1"/>
      <c r="O25" s="1" t="s">
        <v>46</v>
      </c>
      <c r="Q25" s="55" t="s">
        <v>633</v>
      </c>
      <c r="R25" s="55" t="s">
        <v>602</v>
      </c>
      <c r="S25" s="35"/>
      <c r="T25" s="35" t="s">
        <v>421</v>
      </c>
      <c r="V25" s="55" t="s">
        <v>295</v>
      </c>
      <c r="W25" s="55" t="s">
        <v>359</v>
      </c>
      <c r="X25" s="35"/>
      <c r="Y25" s="35" t="s">
        <v>46</v>
      </c>
      <c r="AA25" s="2" t="s">
        <v>461</v>
      </c>
      <c r="AB25" s="2" t="s">
        <v>462</v>
      </c>
      <c r="AC25" s="2"/>
      <c r="AD25" s="2" t="s">
        <v>435</v>
      </c>
      <c r="AF25" s="10" t="s">
        <v>593</v>
      </c>
      <c r="AG25" s="10" t="s">
        <v>60</v>
      </c>
      <c r="AH25" s="10" t="s">
        <v>61</v>
      </c>
      <c r="AI25" s="10" t="s">
        <v>62</v>
      </c>
      <c r="AK25" s="57" t="s">
        <v>303</v>
      </c>
      <c r="AL25" s="57" t="s">
        <v>304</v>
      </c>
      <c r="AM25" s="57"/>
      <c r="AN25" s="57"/>
    </row>
    <row r="26" spans="2:40" ht="21" thickTop="1">
      <c r="B26" s="102" t="s">
        <v>582</v>
      </c>
      <c r="C26" s="35"/>
      <c r="D26" s="35"/>
      <c r="E26" s="99"/>
      <c r="G26" s="1"/>
      <c r="H26" s="1" t="s">
        <v>477</v>
      </c>
      <c r="I26" s="22">
        <v>0</v>
      </c>
      <c r="J26" s="1" t="s">
        <v>473</v>
      </c>
      <c r="L26" s="64" t="s">
        <v>24</v>
      </c>
      <c r="M26" s="1" t="s">
        <v>26</v>
      </c>
      <c r="N26" s="29"/>
      <c r="O26" s="1" t="s">
        <v>436</v>
      </c>
      <c r="Q26" s="55" t="s">
        <v>293</v>
      </c>
      <c r="R26" s="55" t="s">
        <v>603</v>
      </c>
      <c r="S26" s="35"/>
      <c r="T26" s="35" t="s">
        <v>421</v>
      </c>
      <c r="V26" s="55" t="s">
        <v>41</v>
      </c>
      <c r="W26" s="55" t="s">
        <v>360</v>
      </c>
      <c r="X26" s="35"/>
      <c r="Y26" s="35" t="s">
        <v>46</v>
      </c>
      <c r="AA26" s="1"/>
      <c r="AB26" s="1" t="s">
        <v>464</v>
      </c>
      <c r="AC26" s="67"/>
      <c r="AD26" s="1" t="s">
        <v>435</v>
      </c>
      <c r="AF26" s="35" t="s">
        <v>289</v>
      </c>
      <c r="AG26" s="35" t="s">
        <v>498</v>
      </c>
      <c r="AH26" s="35"/>
      <c r="AI26" s="35" t="s">
        <v>404</v>
      </c>
      <c r="AK26" s="2"/>
      <c r="AL26" s="8" t="s">
        <v>462</v>
      </c>
      <c r="AM26" s="85">
        <v>0</v>
      </c>
      <c r="AN26" s="7" t="s">
        <v>435</v>
      </c>
    </row>
    <row r="27" spans="2:40">
      <c r="B27" s="98" t="s">
        <v>583</v>
      </c>
      <c r="C27" s="35"/>
      <c r="D27" s="35"/>
      <c r="E27" s="99"/>
      <c r="G27" s="1"/>
      <c r="H27" s="1" t="s">
        <v>480</v>
      </c>
      <c r="I27" s="22">
        <v>0</v>
      </c>
      <c r="J27" s="1" t="s">
        <v>473</v>
      </c>
      <c r="L27" s="64"/>
      <c r="M27" s="1" t="s">
        <v>28</v>
      </c>
      <c r="N27" s="29"/>
      <c r="O27" s="1" t="s">
        <v>436</v>
      </c>
      <c r="Q27" s="55" t="s">
        <v>295</v>
      </c>
      <c r="R27" s="55" t="s">
        <v>604</v>
      </c>
      <c r="S27" s="35"/>
      <c r="T27" s="35" t="s">
        <v>421</v>
      </c>
      <c r="V27" s="55" t="s">
        <v>361</v>
      </c>
      <c r="W27" s="55" t="s">
        <v>362</v>
      </c>
      <c r="X27" s="35"/>
      <c r="Y27" s="35" t="s">
        <v>46</v>
      </c>
      <c r="AA27" s="1" t="s">
        <v>46</v>
      </c>
      <c r="AB27" s="1" t="s">
        <v>467</v>
      </c>
      <c r="AC27" s="67"/>
      <c r="AD27" s="1" t="s">
        <v>430</v>
      </c>
      <c r="AF27" s="1" t="s">
        <v>458</v>
      </c>
      <c r="AG27" s="1" t="s">
        <v>500</v>
      </c>
      <c r="AH27" s="22">
        <v>0.2</v>
      </c>
      <c r="AI27" s="1" t="s">
        <v>46</v>
      </c>
      <c r="AK27" s="1"/>
      <c r="AL27" s="9" t="s">
        <v>429</v>
      </c>
      <c r="AM27" s="67">
        <v>0</v>
      </c>
      <c r="AN27" s="23" t="s">
        <v>430</v>
      </c>
    </row>
    <row r="28" spans="2:40">
      <c r="B28" s="98" t="s">
        <v>584</v>
      </c>
      <c r="C28" s="35"/>
      <c r="D28" s="35"/>
      <c r="E28" s="99"/>
      <c r="G28" s="1" t="s">
        <v>483</v>
      </c>
      <c r="H28" s="1" t="s">
        <v>484</v>
      </c>
      <c r="I28" s="22">
        <v>0</v>
      </c>
      <c r="J28" s="1" t="s">
        <v>46</v>
      </c>
      <c r="L28" s="64"/>
      <c r="M28" s="1" t="s">
        <v>30</v>
      </c>
      <c r="N28" s="29"/>
      <c r="O28" s="1" t="s">
        <v>436</v>
      </c>
      <c r="Q28" s="55" t="s">
        <v>41</v>
      </c>
      <c r="R28" s="55" t="s">
        <v>605</v>
      </c>
      <c r="S28" s="35"/>
      <c r="T28" s="35" t="s">
        <v>421</v>
      </c>
      <c r="V28" s="55" t="s">
        <v>363</v>
      </c>
      <c r="W28" s="55" t="s">
        <v>364</v>
      </c>
      <c r="X28" s="35"/>
      <c r="Y28" s="35" t="s">
        <v>46</v>
      </c>
      <c r="AA28" s="1" t="s">
        <v>46</v>
      </c>
      <c r="AB28" s="1" t="s">
        <v>470</v>
      </c>
      <c r="AC28" s="67"/>
      <c r="AD28" s="1" t="s">
        <v>430</v>
      </c>
      <c r="AF28" s="1" t="s">
        <v>169</v>
      </c>
      <c r="AG28" s="1" t="s">
        <v>502</v>
      </c>
      <c r="AH28" s="1"/>
      <c r="AI28" s="1" t="s">
        <v>46</v>
      </c>
      <c r="AK28" s="1"/>
      <c r="AL28" s="9" t="s">
        <v>431</v>
      </c>
      <c r="AM28" s="67">
        <v>0</v>
      </c>
      <c r="AN28" s="23" t="s">
        <v>430</v>
      </c>
    </row>
    <row r="29" spans="2:40" ht="21" thickBot="1">
      <c r="B29" s="103" t="s">
        <v>585</v>
      </c>
      <c r="C29" s="36"/>
      <c r="D29" s="36"/>
      <c r="E29" s="104"/>
      <c r="G29" s="1" t="s">
        <v>487</v>
      </c>
      <c r="H29" s="1" t="s">
        <v>488</v>
      </c>
      <c r="I29" s="22">
        <v>0</v>
      </c>
      <c r="J29" s="1" t="s">
        <v>318</v>
      </c>
      <c r="L29" s="64"/>
      <c r="M29" s="1" t="s">
        <v>32</v>
      </c>
      <c r="N29" s="29"/>
      <c r="O29" s="1" t="s">
        <v>436</v>
      </c>
      <c r="Q29" s="55" t="s">
        <v>361</v>
      </c>
      <c r="R29" s="55" t="s">
        <v>606</v>
      </c>
      <c r="S29" s="35"/>
      <c r="T29" s="35" t="s">
        <v>421</v>
      </c>
      <c r="AA29" s="1" t="s">
        <v>46</v>
      </c>
      <c r="AB29" s="1" t="s">
        <v>475</v>
      </c>
      <c r="AC29" s="67"/>
      <c r="AD29" s="1" t="s">
        <v>430</v>
      </c>
      <c r="AF29" s="1" t="s">
        <v>508</v>
      </c>
      <c r="AG29" s="1" t="s">
        <v>509</v>
      </c>
      <c r="AH29" s="1"/>
      <c r="AI29" s="1" t="s">
        <v>5</v>
      </c>
    </row>
    <row r="30" spans="2:40" ht="21" thickTop="1">
      <c r="B30" s="105" t="s">
        <v>586</v>
      </c>
      <c r="C30" s="34"/>
      <c r="D30" s="34"/>
      <c r="E30" s="106"/>
      <c r="G30" s="1" t="s">
        <v>490</v>
      </c>
      <c r="H30" s="1" t="s">
        <v>491</v>
      </c>
      <c r="I30" s="22">
        <v>0</v>
      </c>
      <c r="J30" s="1" t="s">
        <v>318</v>
      </c>
      <c r="L30" s="64"/>
      <c r="M30" s="1" t="s">
        <v>34</v>
      </c>
      <c r="N30" s="29"/>
      <c r="O30" s="1" t="s">
        <v>436</v>
      </c>
      <c r="Q30" s="55" t="s">
        <v>363</v>
      </c>
      <c r="R30" s="55" t="s">
        <v>607</v>
      </c>
      <c r="S30" s="35"/>
      <c r="T30" s="35" t="s">
        <v>421</v>
      </c>
      <c r="V30" s="55" t="s">
        <v>634</v>
      </c>
      <c r="W30" s="35" t="s">
        <v>485</v>
      </c>
      <c r="X30" s="35"/>
      <c r="Y30" s="35"/>
      <c r="AA30" s="1" t="s">
        <v>46</v>
      </c>
      <c r="AB30" s="1" t="s">
        <v>479</v>
      </c>
      <c r="AC30" s="67"/>
      <c r="AD30" s="1" t="s">
        <v>430</v>
      </c>
      <c r="AF30" s="1" t="s">
        <v>428</v>
      </c>
      <c r="AG30" s="1" t="s">
        <v>177</v>
      </c>
      <c r="AH30" s="1"/>
      <c r="AI30" s="1" t="s">
        <v>318</v>
      </c>
    </row>
    <row r="31" spans="2:40">
      <c r="B31" s="98" t="s">
        <v>587</v>
      </c>
      <c r="C31" s="35"/>
      <c r="D31" s="35"/>
      <c r="E31" s="99"/>
      <c r="G31" s="3"/>
      <c r="H31" s="3"/>
      <c r="I31" s="3"/>
      <c r="J31" s="3"/>
      <c r="L31" s="64"/>
      <c r="M31" s="1" t="s">
        <v>449</v>
      </c>
      <c r="N31" s="29"/>
      <c r="O31" s="1" t="s">
        <v>436</v>
      </c>
      <c r="Q31" s="55" t="s">
        <v>373</v>
      </c>
      <c r="R31" s="55" t="s">
        <v>374</v>
      </c>
      <c r="S31" s="35"/>
      <c r="T31" s="35" t="s">
        <v>496</v>
      </c>
      <c r="AA31" s="1" t="s">
        <v>46</v>
      </c>
      <c r="AB31" s="1" t="s">
        <v>429</v>
      </c>
      <c r="AC31" s="1"/>
      <c r="AD31" s="1" t="s">
        <v>430</v>
      </c>
      <c r="AF31" s="1" t="s">
        <v>517</v>
      </c>
      <c r="AG31" s="1" t="s">
        <v>176</v>
      </c>
      <c r="AH31" s="69">
        <v>0.51759999999999995</v>
      </c>
      <c r="AI31" s="1" t="s">
        <v>518</v>
      </c>
    </row>
    <row r="32" spans="2:40">
      <c r="B32" s="103" t="s">
        <v>588</v>
      </c>
      <c r="C32" s="36"/>
      <c r="D32" s="36"/>
      <c r="E32" s="104"/>
      <c r="G32" s="3" t="s">
        <v>505</v>
      </c>
      <c r="H32" s="3"/>
      <c r="I32" s="3"/>
      <c r="J32" s="3"/>
      <c r="L32" s="1" t="s">
        <v>452</v>
      </c>
      <c r="M32" s="1" t="s">
        <v>453</v>
      </c>
      <c r="N32" s="29"/>
      <c r="O32" s="1" t="s">
        <v>454</v>
      </c>
      <c r="Q32" s="1" t="s">
        <v>506</v>
      </c>
      <c r="R32" s="1" t="s">
        <v>494</v>
      </c>
      <c r="S32" s="1"/>
      <c r="T32" s="1" t="s">
        <v>507</v>
      </c>
      <c r="V32" t="s">
        <v>169</v>
      </c>
      <c r="AA32" s="1" t="s">
        <v>46</v>
      </c>
      <c r="AB32" s="1" t="s">
        <v>431</v>
      </c>
      <c r="AC32" s="1"/>
      <c r="AD32" s="1" t="s">
        <v>430</v>
      </c>
      <c r="AF32" s="35"/>
      <c r="AG32" s="35"/>
      <c r="AH32" s="35"/>
      <c r="AI32" s="35"/>
    </row>
    <row r="33" spans="2:35" ht="21" thickBot="1">
      <c r="B33" s="100" t="s">
        <v>589</v>
      </c>
      <c r="C33" s="81"/>
      <c r="D33" s="139" t="s">
        <v>909</v>
      </c>
      <c r="E33" s="107"/>
      <c r="G33" s="10" t="s">
        <v>59</v>
      </c>
      <c r="H33" s="10" t="s">
        <v>60</v>
      </c>
      <c r="I33" s="10" t="s">
        <v>61</v>
      </c>
      <c r="J33" s="10" t="s">
        <v>62</v>
      </c>
      <c r="L33" s="1"/>
      <c r="M33" s="1" t="s">
        <v>456</v>
      </c>
      <c r="N33" s="29"/>
      <c r="O33" s="1" t="s">
        <v>454</v>
      </c>
      <c r="Q33" s="1" t="s">
        <v>511</v>
      </c>
      <c r="R33" s="1" t="s">
        <v>21</v>
      </c>
      <c r="S33" s="1"/>
      <c r="T33" s="1" t="s">
        <v>507</v>
      </c>
      <c r="V33" s="18" t="s">
        <v>568</v>
      </c>
      <c r="W33" s="18" t="s">
        <v>60</v>
      </c>
      <c r="X33" s="18" t="s">
        <v>61</v>
      </c>
      <c r="Y33" s="18" t="s">
        <v>62</v>
      </c>
      <c r="AA33" s="1" t="s">
        <v>46</v>
      </c>
      <c r="AB33" s="1" t="s">
        <v>434</v>
      </c>
      <c r="AC33" s="1"/>
      <c r="AD33" s="1" t="s">
        <v>435</v>
      </c>
      <c r="AF33" s="35"/>
      <c r="AG33" s="35"/>
      <c r="AH33" s="35"/>
      <c r="AI33" s="35"/>
    </row>
    <row r="34" spans="2:35" ht="21" thickTop="1">
      <c r="B34" s="102" t="s">
        <v>569</v>
      </c>
      <c r="C34" s="51"/>
      <c r="D34" s="51"/>
      <c r="E34" s="108"/>
      <c r="G34" s="1" t="s">
        <v>514</v>
      </c>
      <c r="H34" s="1" t="s">
        <v>515</v>
      </c>
      <c r="I34" s="22">
        <v>10.5</v>
      </c>
      <c r="J34" s="1" t="s">
        <v>5</v>
      </c>
      <c r="L34" s="1"/>
      <c r="M34" s="1" t="s">
        <v>460</v>
      </c>
      <c r="N34" s="1"/>
      <c r="O34" s="1" t="s">
        <v>46</v>
      </c>
      <c r="Q34" s="1" t="s">
        <v>516</v>
      </c>
      <c r="R34" s="1" t="s">
        <v>421</v>
      </c>
      <c r="S34" s="1"/>
      <c r="T34" s="1" t="s">
        <v>507</v>
      </c>
      <c r="V34" s="55" t="s">
        <v>367</v>
      </c>
      <c r="W34" s="55" t="s">
        <v>166</v>
      </c>
      <c r="X34" s="35"/>
      <c r="Y34" s="35" t="s">
        <v>46</v>
      </c>
      <c r="AA34" s="35"/>
      <c r="AB34" s="35"/>
      <c r="AC34" s="35"/>
      <c r="AD34" s="35"/>
    </row>
    <row r="35" spans="2:35" ht="21" thickBot="1">
      <c r="B35" s="109" t="s">
        <v>597</v>
      </c>
      <c r="C35" s="110"/>
      <c r="D35" s="110"/>
      <c r="E35" s="111"/>
      <c r="G35" s="1" t="s">
        <v>520</v>
      </c>
      <c r="H35" s="1" t="s">
        <v>521</v>
      </c>
      <c r="I35" s="22">
        <v>-3.5</v>
      </c>
      <c r="J35" s="1" t="s">
        <v>318</v>
      </c>
      <c r="L35" s="1"/>
      <c r="M35" s="1" t="s">
        <v>463</v>
      </c>
      <c r="N35" s="1"/>
      <c r="O35" s="1" t="s">
        <v>46</v>
      </c>
      <c r="Q35" s="55" t="s">
        <v>592</v>
      </c>
      <c r="R35" s="55" t="s">
        <v>366</v>
      </c>
      <c r="S35" s="35"/>
      <c r="T35" s="35" t="s">
        <v>46</v>
      </c>
    </row>
    <row r="37" spans="2:35">
      <c r="B37" t="s">
        <v>1249</v>
      </c>
      <c r="E37" t="s">
        <v>1250</v>
      </c>
    </row>
    <row r="38" spans="2:35">
      <c r="B38" s="10" t="s">
        <v>691</v>
      </c>
      <c r="C38" s="12" t="s">
        <v>690</v>
      </c>
      <c r="D38" s="12" t="s">
        <v>1248</v>
      </c>
      <c r="E38" s="10" t="s">
        <v>692</v>
      </c>
      <c r="F38" s="10" t="s">
        <v>571</v>
      </c>
      <c r="H38" t="s">
        <v>689</v>
      </c>
    </row>
    <row r="39" spans="2:35" ht="21" thickBot="1">
      <c r="B39" s="11" t="s">
        <v>6</v>
      </c>
      <c r="C39" s="15" t="s">
        <v>94</v>
      </c>
      <c r="D39" s="15" t="s">
        <v>580</v>
      </c>
      <c r="E39" s="11" t="s">
        <v>433</v>
      </c>
      <c r="F39" s="11" t="s">
        <v>404</v>
      </c>
      <c r="AA39" t="s">
        <v>686</v>
      </c>
    </row>
    <row r="40" spans="2:35" ht="21" thickTop="1">
      <c r="B40" s="4">
        <v>100</v>
      </c>
      <c r="C40" s="5">
        <v>10</v>
      </c>
      <c r="D40" s="5">
        <v>11</v>
      </c>
      <c r="E40" s="4">
        <v>1</v>
      </c>
      <c r="F40" s="262">
        <v>18</v>
      </c>
    </row>
    <row r="41" spans="2:35">
      <c r="B41" s="4">
        <v>100</v>
      </c>
      <c r="C41" s="5">
        <v>10</v>
      </c>
      <c r="D41" s="281">
        <v>11</v>
      </c>
      <c r="E41" s="4">
        <v>1</v>
      </c>
      <c r="F41" s="4">
        <v>18</v>
      </c>
    </row>
    <row r="43" spans="2:35">
      <c r="B43" t="s">
        <v>685</v>
      </c>
    </row>
  </sheetData>
  <mergeCells count="1">
    <mergeCell ref="B3:E10"/>
  </mergeCells>
  <phoneticPr fontId="3"/>
  <dataValidations count="3">
    <dataValidation type="list" allowBlank="1" showInputMessage="1" showErrorMessage="1" sqref="AH10" xr:uid="{EF33752D-EAF2-48ED-B700-9CCE536D089F}">
      <formula1>"Conventional,T-Tail"</formula1>
    </dataValidation>
    <dataValidation type="list" allowBlank="1" showInputMessage="1" showErrorMessage="1" sqref="D25" xr:uid="{B86DEAC5-5A58-4146-BDAD-BEDB642EB61A}">
      <formula1>"T字配置,通常配置"</formula1>
    </dataValidation>
    <dataValidation type="list" allowBlank="1" showInputMessage="1" showErrorMessage="1" sqref="D33" xr:uid="{39CC11C2-6BA9-944A-A6C5-71F57DF82B14}">
      <formula1>"重心移動,エレベーター"</formula1>
    </dataValidation>
  </dataValidations>
  <pageMargins left="0.7" right="0.7" top="0.75" bottom="0.75" header="0.3" footer="0.3"/>
  <pageSetup paperSize="9"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3" tint="0.59999389629810485"/>
  </sheetPr>
  <dimension ref="B2:B37"/>
  <sheetViews>
    <sheetView zoomScale="70" zoomScaleNormal="70" workbookViewId="0">
      <selection activeCell="F36" sqref="F36"/>
    </sheetView>
  </sheetViews>
  <sheetFormatPr baseColWidth="10" defaultColWidth="8.7109375" defaultRowHeight="20"/>
  <sheetData>
    <row r="2" spans="2:2">
      <c r="B2" t="s">
        <v>687</v>
      </c>
    </row>
    <row r="37" spans="2:2">
      <c r="B37" t="s">
        <v>688</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B2:AS89"/>
  <sheetViews>
    <sheetView topLeftCell="C1" zoomScale="85" zoomScaleNormal="55" workbookViewId="0">
      <selection activeCell="AB9" sqref="AB9"/>
    </sheetView>
  </sheetViews>
  <sheetFormatPr baseColWidth="10" defaultColWidth="9.28515625" defaultRowHeight="20"/>
  <cols>
    <col min="1" max="2" width="9.28515625" style="3"/>
    <col min="3" max="15" width="9.42578125" style="3" bestFit="1" customWidth="1"/>
    <col min="16" max="16" width="9.28515625" style="3"/>
    <col min="17" max="17" width="9.85546875" style="3" bestFit="1" customWidth="1"/>
    <col min="18" max="18" width="16" style="3" customWidth="1"/>
    <col min="19" max="19" width="9.42578125" style="3" customWidth="1"/>
    <col min="20" max="20" width="9.28515625" style="3" customWidth="1"/>
    <col min="21" max="21" width="9.7109375" style="3" bestFit="1" customWidth="1"/>
    <col min="22" max="24" width="9.28515625" style="3"/>
    <col min="25" max="25" width="9.5703125" style="3" bestFit="1" customWidth="1"/>
    <col min="26" max="27" width="9.28515625" style="3"/>
    <col min="28" max="28" width="9.42578125" style="3" bestFit="1" customWidth="1"/>
    <col min="29" max="29" width="9.28515625" style="3"/>
    <col min="30" max="30" width="9.42578125" style="3" bestFit="1" customWidth="1"/>
    <col min="31" max="31" width="9.28515625" style="3"/>
    <col min="32" max="32" width="9.42578125" style="3" bestFit="1" customWidth="1"/>
    <col min="33" max="33" width="9.28515625" style="3"/>
    <col min="34" max="34" width="9.42578125" style="3" bestFit="1" customWidth="1"/>
    <col min="35" max="16384" width="9.28515625" style="3"/>
  </cols>
  <sheetData>
    <row r="2" spans="2:34">
      <c r="B2" s="3" t="s">
        <v>678</v>
      </c>
      <c r="Q2" s="3" t="s">
        <v>889</v>
      </c>
      <c r="Z2" s="3" t="s">
        <v>1123</v>
      </c>
    </row>
    <row r="3" spans="2:34">
      <c r="B3" s="10" t="s">
        <v>0</v>
      </c>
      <c r="C3" s="10" t="s">
        <v>19</v>
      </c>
      <c r="D3" s="248" t="s">
        <v>283</v>
      </c>
      <c r="E3" s="249"/>
      <c r="F3" s="250"/>
      <c r="G3" s="248" t="s">
        <v>24</v>
      </c>
      <c r="H3" s="249"/>
      <c r="I3" s="249"/>
      <c r="J3" s="249"/>
      <c r="K3" s="249"/>
      <c r="L3" s="250"/>
      <c r="Q3" s="10" t="s">
        <v>890</v>
      </c>
      <c r="R3" s="12" t="s">
        <v>891</v>
      </c>
      <c r="S3" s="10" t="s">
        <v>892</v>
      </c>
      <c r="T3" s="13" t="s">
        <v>893</v>
      </c>
      <c r="U3" s="14" t="s">
        <v>894</v>
      </c>
      <c r="Z3" s="3" t="s">
        <v>1124</v>
      </c>
      <c r="AA3" s="1" t="s">
        <v>523</v>
      </c>
      <c r="AB3" s="70">
        <f>SUM(AB5:AB19)</f>
        <v>7.2569951291748316</v>
      </c>
      <c r="AC3" s="71" t="s">
        <v>524</v>
      </c>
      <c r="AD3" s="70">
        <f>SUM(AD5:AD19)</f>
        <v>4.7869951291748318</v>
      </c>
      <c r="AE3" s="71" t="s">
        <v>525</v>
      </c>
      <c r="AF3" s="70">
        <f>SUM(AF5:AF19)</f>
        <v>4.7869951291748318</v>
      </c>
      <c r="AG3" s="71" t="s">
        <v>526</v>
      </c>
      <c r="AH3" s="70">
        <f>SUM(AH5:AH19)</f>
        <v>2.7690000000000001</v>
      </c>
    </row>
    <row r="4" spans="2:34" ht="21" thickBot="1">
      <c r="B4" s="10" t="s">
        <v>46</v>
      </c>
      <c r="C4" s="10" t="s">
        <v>21</v>
      </c>
      <c r="D4" s="10" t="s">
        <v>478</v>
      </c>
      <c r="E4" s="10" t="s">
        <v>482</v>
      </c>
      <c r="F4" s="10" t="s">
        <v>486</v>
      </c>
      <c r="G4" s="10" t="s">
        <v>26</v>
      </c>
      <c r="H4" s="10" t="s">
        <v>28</v>
      </c>
      <c r="I4" s="10" t="s">
        <v>30</v>
      </c>
      <c r="J4" s="10" t="s">
        <v>32</v>
      </c>
      <c r="K4" s="10" t="s">
        <v>34</v>
      </c>
      <c r="L4" s="10" t="s">
        <v>35</v>
      </c>
      <c r="Q4" s="11" t="s">
        <v>895</v>
      </c>
      <c r="R4" s="15" t="s">
        <v>895</v>
      </c>
      <c r="S4" s="11" t="s">
        <v>724</v>
      </c>
      <c r="T4" s="16" t="s">
        <v>780</v>
      </c>
      <c r="U4" s="17" t="s">
        <v>724</v>
      </c>
      <c r="AA4" s="10" t="s">
        <v>44</v>
      </c>
      <c r="AB4" s="44" t="s">
        <v>19</v>
      </c>
      <c r="AC4" s="13" t="s">
        <v>44</v>
      </c>
      <c r="AD4" s="44" t="s">
        <v>19</v>
      </c>
      <c r="AE4" s="13" t="s">
        <v>44</v>
      </c>
      <c r="AF4" s="44" t="s">
        <v>19</v>
      </c>
      <c r="AG4" s="13" t="s">
        <v>44</v>
      </c>
      <c r="AH4" s="44" t="s">
        <v>19</v>
      </c>
    </row>
    <row r="5" spans="2:34" ht="22" thickTop="1" thickBot="1">
      <c r="B5" s="11" t="s">
        <v>46</v>
      </c>
      <c r="C5" s="11" t="s">
        <v>6</v>
      </c>
      <c r="D5" s="11" t="s">
        <v>5</v>
      </c>
      <c r="E5" s="11" t="s">
        <v>5</v>
      </c>
      <c r="F5" s="11" t="s">
        <v>5</v>
      </c>
      <c r="G5" s="11" t="s">
        <v>38</v>
      </c>
      <c r="H5" s="11" t="s">
        <v>38</v>
      </c>
      <c r="I5" s="11" t="s">
        <v>38</v>
      </c>
      <c r="J5" s="11" t="s">
        <v>38</v>
      </c>
      <c r="K5" s="11" t="s">
        <v>38</v>
      </c>
      <c r="L5" s="11" t="s">
        <v>38</v>
      </c>
      <c r="Q5" s="4">
        <v>1176</v>
      </c>
      <c r="R5" s="5">
        <v>930</v>
      </c>
      <c r="S5" s="4">
        <v>3.83</v>
      </c>
      <c r="T5" s="6">
        <f>(Q5+R5)/1000</f>
        <v>2.1059999999999999</v>
      </c>
      <c r="U5" s="7">
        <f>S5*R5/(Q5+R5)</f>
        <v>1.6913105413105414</v>
      </c>
      <c r="AA5" s="25" t="s">
        <v>11</v>
      </c>
      <c r="AB5" s="72">
        <v>3.2229999999999999</v>
      </c>
      <c r="AC5" s="73" t="s">
        <v>11</v>
      </c>
      <c r="AD5" s="72">
        <v>3.2229999999999999</v>
      </c>
      <c r="AE5" s="73" t="s">
        <v>11</v>
      </c>
      <c r="AF5" s="72">
        <v>3.2229999999999999</v>
      </c>
      <c r="AG5" s="73" t="s">
        <v>11</v>
      </c>
      <c r="AH5" s="72">
        <v>1.526</v>
      </c>
    </row>
    <row r="6" spans="2:34" ht="22" thickTop="1" thickBot="1">
      <c r="B6" s="2" t="s">
        <v>39</v>
      </c>
      <c r="C6" s="2">
        <f>SUM(C7:C8)</f>
        <v>106.57400000000001</v>
      </c>
      <c r="D6" s="2">
        <f>SUMPRODUCT($C$7:$C$8,D7:D8)/SUM($C$7:$C$8)</f>
        <v>0</v>
      </c>
      <c r="E6" s="2">
        <f>SUMPRODUCT($C$7:$C$8,E7:E8)/SUM($C$7:$C$8)</f>
        <v>0</v>
      </c>
      <c r="F6" s="2">
        <f>SUMPRODUCT($C$7:$C$8,F7:F8)/SUM($C$7:$C$8)</f>
        <v>0.1144744496781579</v>
      </c>
      <c r="G6" s="2" t="e" cm="1">
        <f t="array" ref="G6">SUM(G7:G8)+SUMPRODUCT($C$7:$C$8,POWER(E7:E8-E$6,2)+POWER(F7:F8-F$6,2))</f>
        <v>#REF!</v>
      </c>
      <c r="H6" s="2" t="e" cm="1">
        <f t="array" ref="H6">SUM(H7:H8)+SUMPRODUCT($C$7:$C$8,POWER(D7:D8-D$6,2)+POWER(F7:F8-F$6,2))</f>
        <v>#REF!</v>
      </c>
      <c r="I6" s="2" t="e" cm="1">
        <f t="array" ref="I6">SUM(I7:I8)+SUMPRODUCT($C$7:$C$8,POWER(D7:D8-D$6,2)+POWER(E7:E8-E$6,2))</f>
        <v>#REF!</v>
      </c>
      <c r="J6" s="2" cm="1">
        <f t="array" ref="J6">SUM(J7:J8)+SUMPRODUCT($C7:$C8,(D7:D8-D$6)*(E7:E8-E$6))</f>
        <v>0</v>
      </c>
      <c r="K6" s="2" t="e" cm="1">
        <f t="array" ref="K6">SUM(K7:K8)+SUMPRODUCT($C$7:$C$8,(E7:E8-E$6)*(F7:F8-F$6))</f>
        <v>#REF!</v>
      </c>
      <c r="L6" s="2" t="e" cm="1">
        <f t="array" ref="L6">SUM(L7:L8)+SUMPRODUCT($C$7:$C$8,(F7:F8-F$6)*(D7:D8-D$6))</f>
        <v>#REF!</v>
      </c>
      <c r="AA6" s="1" t="s">
        <v>10</v>
      </c>
      <c r="AB6" s="74">
        <v>2</v>
      </c>
      <c r="AC6" s="6" t="s">
        <v>12</v>
      </c>
      <c r="AD6" s="75">
        <v>0.2303893725456938</v>
      </c>
      <c r="AE6" s="6" t="s">
        <v>12</v>
      </c>
      <c r="AF6" s="75">
        <v>0.2303893725456938</v>
      </c>
      <c r="AG6" s="6" t="s">
        <v>12</v>
      </c>
      <c r="AH6" s="75">
        <v>0.106</v>
      </c>
    </row>
    <row r="7" spans="2:34" ht="22" thickTop="1" thickBot="1">
      <c r="B7" s="24" t="s">
        <v>522</v>
      </c>
      <c r="C7" s="24">
        <f>U11</f>
        <v>45.574000000000005</v>
      </c>
      <c r="D7" s="24" cm="1">
        <f t="array" ref="D7:F7">V11:X11</f>
        <v>-8.1590380480098285E-2</v>
      </c>
      <c r="E7" s="24">
        <v>0</v>
      </c>
      <c r="F7" s="24">
        <v>0</v>
      </c>
      <c r="G7" s="24" t="e" cm="1">
        <f t="array" ref="G7">SUM(G15:G20)+SUMPRODUCT($C15:$C20,POWER(E15:E20-$E$6,2)+POWER(F15:F20-$F$6,2))</f>
        <v>#REF!</v>
      </c>
      <c r="H7" s="24" t="e" cm="1">
        <f t="array" ref="H7">SUM(H15:H20)+SUMPRODUCT($C15:$C20,POWER(D15:D20-$D$6,2)+POWER(F15:F20-$F$6,2))</f>
        <v>#REF!</v>
      </c>
      <c r="I7" s="24" t="e" cm="1">
        <f t="array" ref="I7">SUM(I15:I20)+SUMPRODUCT($C15:$C20,POWER(D15:D20-$D$6,2)+POWER(E15:E20-$E$6,2))</f>
        <v>#REF!</v>
      </c>
      <c r="J7" s="24" cm="1">
        <f t="array" ref="J7">SUM(J15:J20)+SUMPRODUCT($C15:$C20,(D15:D20-$D$6)*(E15:E20-$E$6))</f>
        <v>0</v>
      </c>
      <c r="K7" s="24" t="e" cm="1">
        <f t="array" ref="K7">SUM(K15:K20)+SUMPRODUCT($C15:$C20,(E15:E20-$E$6)*(F15:F20-$F$6))</f>
        <v>#REF!</v>
      </c>
      <c r="L7" s="24" t="e" cm="1">
        <f t="array" ref="L7">SUM(L15:L20)+SUMPRODUCT($C15:$C20,(D15:D20-$D$6)*(F15:F20-$F$6))</f>
        <v>#REF!</v>
      </c>
      <c r="Q7" s="3" t="s">
        <v>1105</v>
      </c>
      <c r="V7" s="3" t="s">
        <v>1122</v>
      </c>
      <c r="AA7" s="1" t="s">
        <v>8</v>
      </c>
      <c r="AB7" s="74">
        <v>0.3</v>
      </c>
      <c r="AC7" s="71" t="s">
        <v>13</v>
      </c>
      <c r="AD7" s="74">
        <v>0.39606880111426901</v>
      </c>
      <c r="AE7" s="71" t="s">
        <v>13</v>
      </c>
      <c r="AF7" s="74">
        <v>0.39606880111426901</v>
      </c>
      <c r="AG7" s="71" t="s">
        <v>13</v>
      </c>
      <c r="AH7" s="74">
        <v>0.32</v>
      </c>
    </row>
    <row r="8" spans="2:34" ht="21" thickBot="1">
      <c r="B8" s="1" t="s">
        <v>48</v>
      </c>
      <c r="C8" s="203">
        <v>61</v>
      </c>
      <c r="D8" s="204">
        <f>-(C7/C8)*D7</f>
        <v>6.095737704918032E-2</v>
      </c>
      <c r="E8" s="23">
        <v>0</v>
      </c>
      <c r="F8" s="1">
        <v>0.2</v>
      </c>
      <c r="G8" s="22">
        <v>1.3360000000000001</v>
      </c>
      <c r="H8" s="22">
        <v>9.8309999999999995</v>
      </c>
      <c r="I8" s="22">
        <v>10.130000000000001</v>
      </c>
      <c r="J8" s="22">
        <v>0</v>
      </c>
      <c r="K8" s="22">
        <v>0</v>
      </c>
      <c r="L8" s="22">
        <v>1.1559999999999999</v>
      </c>
      <c r="M8" s="3" t="s">
        <v>683</v>
      </c>
      <c r="Q8" s="10" t="s">
        <v>0</v>
      </c>
      <c r="R8" s="10" t="s">
        <v>44</v>
      </c>
      <c r="S8" s="10" t="s">
        <v>1</v>
      </c>
      <c r="T8" s="10" t="s">
        <v>1095</v>
      </c>
      <c r="U8" s="10" t="s">
        <v>19</v>
      </c>
      <c r="V8" s="10" t="s">
        <v>2</v>
      </c>
      <c r="W8" s="10"/>
      <c r="X8" s="10"/>
      <c r="AA8" s="1" t="s">
        <v>9</v>
      </c>
      <c r="AB8" s="74">
        <v>7.0000000000000007E-2</v>
      </c>
      <c r="AC8" s="71" t="s">
        <v>14</v>
      </c>
      <c r="AD8" s="74">
        <v>0.10257245551487038</v>
      </c>
      <c r="AE8" s="71" t="s">
        <v>14</v>
      </c>
      <c r="AF8" s="74">
        <v>0.10257245551487038</v>
      </c>
      <c r="AG8" s="71" t="s">
        <v>14</v>
      </c>
      <c r="AH8" s="74">
        <v>8.5999999999999993E-2</v>
      </c>
    </row>
    <row r="9" spans="2:34">
      <c r="D9" s="3" t="s">
        <v>1121</v>
      </c>
      <c r="Q9" s="10" t="s">
        <v>46</v>
      </c>
      <c r="R9" s="10" t="s">
        <v>46</v>
      </c>
      <c r="S9" s="10" t="s">
        <v>46</v>
      </c>
      <c r="T9" s="10" t="s">
        <v>46</v>
      </c>
      <c r="U9" s="10" t="s">
        <v>46</v>
      </c>
      <c r="V9" s="10" t="s">
        <v>20</v>
      </c>
      <c r="W9" s="10" t="s">
        <v>22</v>
      </c>
      <c r="X9" s="10" t="s">
        <v>23</v>
      </c>
      <c r="AA9" s="1" t="s">
        <v>537</v>
      </c>
      <c r="AB9" s="74">
        <v>0.1</v>
      </c>
      <c r="AC9" s="71" t="s">
        <v>15</v>
      </c>
      <c r="AD9" s="74">
        <v>8.3999999999999991E-2</v>
      </c>
      <c r="AE9" s="71" t="s">
        <v>15</v>
      </c>
      <c r="AF9" s="74">
        <v>8.3999999999999991E-2</v>
      </c>
      <c r="AG9" s="71" t="s">
        <v>15</v>
      </c>
      <c r="AH9" s="74">
        <v>0.125</v>
      </c>
    </row>
    <row r="10" spans="2:34" ht="21" thickBot="1">
      <c r="Q10" s="11" t="s">
        <v>46</v>
      </c>
      <c r="R10" s="11" t="s">
        <v>46</v>
      </c>
      <c r="S10" s="11" t="s">
        <v>36</v>
      </c>
      <c r="T10" s="15" t="s">
        <v>36</v>
      </c>
      <c r="U10" s="11" t="s">
        <v>36</v>
      </c>
      <c r="V10" s="11" t="s">
        <v>5</v>
      </c>
      <c r="W10" s="11" t="s">
        <v>5</v>
      </c>
      <c r="X10" s="11" t="s">
        <v>5</v>
      </c>
      <c r="AA10" s="2" t="s">
        <v>12</v>
      </c>
      <c r="AB10" s="75">
        <v>0.2303893725456938</v>
      </c>
      <c r="AC10" s="71" t="s">
        <v>16</v>
      </c>
      <c r="AD10" s="74">
        <v>0.17850000000000002</v>
      </c>
      <c r="AE10" s="71" t="s">
        <v>16</v>
      </c>
      <c r="AF10" s="74">
        <v>0.17850000000000002</v>
      </c>
      <c r="AG10" s="71" t="s">
        <v>16</v>
      </c>
      <c r="AH10" s="74">
        <v>0.255</v>
      </c>
    </row>
    <row r="11" spans="2:34" ht="22" thickTop="1" thickBot="1">
      <c r="B11" s="3" t="s">
        <v>679</v>
      </c>
      <c r="Q11" s="19"/>
      <c r="R11" s="19" t="s">
        <v>4</v>
      </c>
      <c r="S11" s="19">
        <f>SUM(U12:U62)</f>
        <v>45.574000000000005</v>
      </c>
      <c r="T11" s="19">
        <f>SUM(S12:S36)</f>
        <v>32.662975645874148</v>
      </c>
      <c r="U11" s="19">
        <f>SUM(U12:U62)</f>
        <v>45.574000000000005</v>
      </c>
      <c r="V11" s="19">
        <f>SUMPRODUCT($U$12:$U$62,V12:V62)/SUM($U$12:$U$62)</f>
        <v>-8.1590380480098285E-2</v>
      </c>
      <c r="W11" s="19">
        <f>SUM(W12:W56)</f>
        <v>0</v>
      </c>
      <c r="X11" s="19">
        <f>SUM(X12:X56)</f>
        <v>0</v>
      </c>
      <c r="AA11" s="1" t="s">
        <v>13</v>
      </c>
      <c r="AB11" s="74">
        <v>0.39606880111426901</v>
      </c>
      <c r="AC11" s="71" t="s">
        <v>17</v>
      </c>
      <c r="AD11" s="74">
        <v>0.2724645</v>
      </c>
      <c r="AE11" s="71" t="s">
        <v>17</v>
      </c>
      <c r="AF11" s="74">
        <v>0.2724645</v>
      </c>
      <c r="AG11" s="71" t="s">
        <v>17</v>
      </c>
      <c r="AH11" s="74">
        <v>0.251</v>
      </c>
    </row>
    <row r="12" spans="2:34" ht="21" thickTop="1">
      <c r="B12" s="10" t="s">
        <v>474</v>
      </c>
      <c r="C12" s="10" t="s">
        <v>19</v>
      </c>
      <c r="D12" s="248" t="s">
        <v>283</v>
      </c>
      <c r="E12" s="249"/>
      <c r="F12" s="250"/>
      <c r="G12" s="248" t="s">
        <v>24</v>
      </c>
      <c r="H12" s="249"/>
      <c r="I12" s="249"/>
      <c r="J12" s="249"/>
      <c r="K12" s="249"/>
      <c r="L12" s="250"/>
      <c r="Q12" s="2" t="s">
        <v>40</v>
      </c>
      <c r="R12" s="2" t="s">
        <v>530</v>
      </c>
      <c r="S12" s="2">
        <f>AB3</f>
        <v>7.2569951291748316</v>
      </c>
      <c r="T12" s="4">
        <v>8.06</v>
      </c>
      <c r="U12" s="2">
        <f>IF(T12="",S12,T12)</f>
        <v>8.06</v>
      </c>
      <c r="V12" s="4">
        <v>0</v>
      </c>
      <c r="W12" s="4">
        <v>0</v>
      </c>
      <c r="X12" s="4"/>
      <c r="AA12" s="1" t="s">
        <v>14</v>
      </c>
      <c r="AB12" s="74">
        <v>0.10257245551487038</v>
      </c>
      <c r="AC12" s="71" t="s">
        <v>18</v>
      </c>
      <c r="AD12" s="74">
        <v>0.3</v>
      </c>
      <c r="AE12" s="71" t="s">
        <v>18</v>
      </c>
      <c r="AF12" s="74">
        <v>0.3</v>
      </c>
      <c r="AG12" s="71" t="s">
        <v>18</v>
      </c>
      <c r="AH12" s="74">
        <v>0.1</v>
      </c>
    </row>
    <row r="13" spans="2:34">
      <c r="B13" s="10" t="s">
        <v>153</v>
      </c>
      <c r="C13" s="10" t="s">
        <v>21</v>
      </c>
      <c r="D13" s="10" t="s">
        <v>478</v>
      </c>
      <c r="E13" s="10" t="s">
        <v>482</v>
      </c>
      <c r="F13" s="10" t="s">
        <v>486</v>
      </c>
      <c r="G13" s="10" t="s">
        <v>26</v>
      </c>
      <c r="H13" s="10" t="s">
        <v>28</v>
      </c>
      <c r="I13" s="10" t="s">
        <v>30</v>
      </c>
      <c r="J13" s="10" t="s">
        <v>32</v>
      </c>
      <c r="K13" s="10" t="s">
        <v>34</v>
      </c>
      <c r="L13" s="10" t="s">
        <v>449</v>
      </c>
      <c r="Q13" s="1"/>
      <c r="R13" s="1" t="s">
        <v>532</v>
      </c>
      <c r="S13" s="1">
        <f>AD3</f>
        <v>4.7869951291748318</v>
      </c>
      <c r="T13" s="22">
        <v>5.3159999999999998</v>
      </c>
      <c r="U13" s="2">
        <f t="shared" ref="U13:U62" si="0">IF(T13="",S13,T13)</f>
        <v>5.3159999999999998</v>
      </c>
      <c r="V13" s="22"/>
      <c r="W13" s="22"/>
      <c r="X13" s="22"/>
      <c r="AA13" s="1" t="s">
        <v>15</v>
      </c>
      <c r="AB13" s="74">
        <v>8.3999999999999991E-2</v>
      </c>
      <c r="AC13" s="1"/>
      <c r="AD13" s="74"/>
      <c r="AE13" s="1"/>
      <c r="AF13" s="74"/>
      <c r="AG13" s="1"/>
      <c r="AH13" s="74"/>
    </row>
    <row r="14" spans="2:34" ht="21" thickBot="1">
      <c r="B14" s="11" t="s">
        <v>155</v>
      </c>
      <c r="C14" s="11" t="s">
        <v>6</v>
      </c>
      <c r="D14" s="11" t="s">
        <v>5</v>
      </c>
      <c r="E14" s="11" t="s">
        <v>5</v>
      </c>
      <c r="F14" s="11" t="s">
        <v>5</v>
      </c>
      <c r="G14" s="11" t="s">
        <v>38</v>
      </c>
      <c r="H14" s="11" t="s">
        <v>38</v>
      </c>
      <c r="I14" s="11" t="s">
        <v>38</v>
      </c>
      <c r="J14" s="11" t="s">
        <v>436</v>
      </c>
      <c r="K14" s="11" t="s">
        <v>436</v>
      </c>
      <c r="L14" s="11" t="s">
        <v>436</v>
      </c>
      <c r="Q14" s="1"/>
      <c r="R14" s="1" t="s">
        <v>534</v>
      </c>
      <c r="S14" s="1">
        <f>AD3</f>
        <v>4.7869951291748318</v>
      </c>
      <c r="T14" s="22">
        <v>5.2919999999999998</v>
      </c>
      <c r="U14" s="2">
        <f t="shared" si="0"/>
        <v>5.2919999999999998</v>
      </c>
      <c r="V14" s="22"/>
      <c r="W14" s="22"/>
      <c r="X14" s="22"/>
      <c r="AA14" s="1" t="s">
        <v>16</v>
      </c>
      <c r="AB14" s="74">
        <v>0.17850000000000002</v>
      </c>
      <c r="AC14" s="1"/>
      <c r="AD14" s="74"/>
      <c r="AE14" s="1"/>
      <c r="AF14" s="74"/>
      <c r="AG14" s="1"/>
      <c r="AH14" s="74"/>
    </row>
    <row r="15" spans="2:34" ht="21" thickTop="1">
      <c r="B15" s="2" t="s">
        <v>40</v>
      </c>
      <c r="C15" s="2">
        <v>25.265807182750734</v>
      </c>
      <c r="D15" s="4">
        <v>0</v>
      </c>
      <c r="E15" s="262">
        <v>0</v>
      </c>
      <c r="F15" s="2" t="e" cm="1">
        <f t="array" ref="F15">SUMPRODUCT(主翼!S132:S150,主翼!#REF!/1000)/C15</f>
        <v>#REF!</v>
      </c>
      <c r="G15" s="1" t="e">
        <f>SUMPRODUCT(主翼!#REF!,主翼!#REF!)*2</f>
        <v>#REF!</v>
      </c>
      <c r="H15" s="2" t="e">
        <f>SUMPRODUCT(主翼!#REF!,主翼!#REF!)*2</f>
        <v>#REF!</v>
      </c>
      <c r="I15" s="2" t="e">
        <f>SUMPRODUCT(主翼!#REF!,主翼!B74:B109)*2</f>
        <v>#REF!</v>
      </c>
      <c r="J15" s="2">
        <v>0</v>
      </c>
      <c r="K15" s="2" t="e" cm="1">
        <f t="array" ref="K15">SUMPRODUCT(主翼!#REF!,(X46:X150-重量分布!$E$15)*(Y46:Y150-重量分布!$F$15))</f>
        <v>#REF!</v>
      </c>
      <c r="L15" s="2">
        <v>0</v>
      </c>
      <c r="Q15" s="1"/>
      <c r="R15" s="1" t="s">
        <v>536</v>
      </c>
      <c r="S15" s="1">
        <f>AF3</f>
        <v>4.7869951291748318</v>
      </c>
      <c r="T15" s="22">
        <v>3.98</v>
      </c>
      <c r="U15" s="2">
        <f t="shared" si="0"/>
        <v>3.98</v>
      </c>
      <c r="V15" s="22"/>
      <c r="W15" s="22"/>
      <c r="X15" s="22"/>
      <c r="AA15" s="1" t="s">
        <v>17</v>
      </c>
      <c r="AB15" s="74">
        <v>0.2724645</v>
      </c>
      <c r="AC15" s="1"/>
      <c r="AD15" s="74"/>
      <c r="AE15" s="1"/>
      <c r="AF15" s="74"/>
      <c r="AG15" s="1"/>
      <c r="AH15" s="74"/>
    </row>
    <row r="16" spans="2:34">
      <c r="B16" s="1" t="s">
        <v>50</v>
      </c>
      <c r="C16" s="1">
        <v>1.1759667233453381</v>
      </c>
      <c r="D16" s="1">
        <v>3.2</v>
      </c>
      <c r="E16" s="1">
        <v>0</v>
      </c>
      <c r="F16" s="1">
        <v>1.25</v>
      </c>
      <c r="H16" s="1">
        <v>4.2714103151758623E-8</v>
      </c>
      <c r="I16" s="1">
        <v>1.6148927593375719</v>
      </c>
      <c r="J16" s="1">
        <v>0</v>
      </c>
      <c r="K16" s="1">
        <v>0</v>
      </c>
      <c r="L16" s="1">
        <v>0</v>
      </c>
      <c r="Q16" s="1"/>
      <c r="R16" s="1" t="s">
        <v>538</v>
      </c>
      <c r="S16" s="1">
        <f>AF3</f>
        <v>4.7869951291748318</v>
      </c>
      <c r="T16" s="22">
        <v>3.9460000000000002</v>
      </c>
      <c r="U16" s="2">
        <f t="shared" si="0"/>
        <v>3.9460000000000002</v>
      </c>
      <c r="V16" s="22"/>
      <c r="W16" s="22"/>
      <c r="X16" s="22"/>
      <c r="AA16" s="1" t="s">
        <v>18</v>
      </c>
      <c r="AB16" s="74">
        <v>0.3</v>
      </c>
      <c r="AC16" s="1"/>
      <c r="AD16" s="74"/>
      <c r="AE16" s="1"/>
      <c r="AF16" s="74"/>
      <c r="AG16" s="1"/>
      <c r="AH16" s="74"/>
    </row>
    <row r="17" spans="2:34">
      <c r="B17" s="1" t="s">
        <v>51</v>
      </c>
      <c r="C17" s="1">
        <v>1.6194020159472187</v>
      </c>
      <c r="D17" s="1">
        <v>3.2</v>
      </c>
      <c r="E17" s="1">
        <v>0</v>
      </c>
      <c r="F17" s="1">
        <v>0.80506787917069467</v>
      </c>
      <c r="G17" s="1">
        <v>0.34596596444234379</v>
      </c>
      <c r="H17" s="1">
        <v>0</v>
      </c>
      <c r="I17" s="1">
        <v>0.34596596444234379</v>
      </c>
      <c r="J17" s="1">
        <v>0</v>
      </c>
      <c r="K17" s="1">
        <v>0</v>
      </c>
      <c r="L17" s="1">
        <v>0</v>
      </c>
      <c r="Q17" s="1"/>
      <c r="R17" s="1" t="s">
        <v>539</v>
      </c>
      <c r="S17" s="1">
        <f>AH3</f>
        <v>2.7690000000000001</v>
      </c>
      <c r="T17" s="22">
        <v>2.544</v>
      </c>
      <c r="U17" s="2">
        <f t="shared" si="0"/>
        <v>2.544</v>
      </c>
      <c r="V17" s="22"/>
      <c r="W17" s="22"/>
      <c r="X17" s="22"/>
      <c r="AA17" s="1" t="s">
        <v>1120</v>
      </c>
      <c r="AB17" s="74"/>
      <c r="AC17" s="1"/>
      <c r="AD17" s="74"/>
      <c r="AE17" s="1"/>
      <c r="AF17" s="74"/>
      <c r="AG17" s="1"/>
      <c r="AH17" s="74"/>
    </row>
    <row r="18" spans="2:34">
      <c r="B18" s="1" t="s">
        <v>56</v>
      </c>
      <c r="C18" s="1">
        <v>2.9510192617411128</v>
      </c>
      <c r="D18" s="1">
        <v>1.3514890980716574</v>
      </c>
      <c r="E18" s="1">
        <v>0</v>
      </c>
      <c r="F18" s="1">
        <v>0.30931295414109083</v>
      </c>
      <c r="G18" s="1">
        <v>0.16954833279692161</v>
      </c>
      <c r="H18" s="1">
        <v>4.8610744233556025</v>
      </c>
      <c r="I18" s="1">
        <v>4.6915260905586802</v>
      </c>
      <c r="J18" s="1">
        <v>0</v>
      </c>
      <c r="K18" s="1">
        <v>0</v>
      </c>
      <c r="L18" s="1">
        <v>0.7464691440225939</v>
      </c>
      <c r="Q18" s="1"/>
      <c r="R18" s="1" t="s">
        <v>540</v>
      </c>
      <c r="S18" s="1">
        <f>AH3</f>
        <v>2.7690000000000001</v>
      </c>
      <c r="T18" s="22">
        <v>2.5760000000000001</v>
      </c>
      <c r="U18" s="2">
        <f t="shared" si="0"/>
        <v>2.5760000000000001</v>
      </c>
      <c r="V18" s="22"/>
      <c r="W18" s="22"/>
      <c r="X18" s="22"/>
      <c r="AA18" s="1" t="s">
        <v>1119</v>
      </c>
      <c r="AB18" s="74"/>
      <c r="AC18" s="1"/>
      <c r="AD18" s="74"/>
      <c r="AE18" s="1"/>
      <c r="AF18" s="74"/>
      <c r="AG18" s="1"/>
      <c r="AH18" s="74"/>
    </row>
    <row r="19" spans="2:34">
      <c r="B19" s="1" t="s">
        <v>7</v>
      </c>
      <c r="C19" s="1">
        <v>2.9510192617411128</v>
      </c>
      <c r="D19" s="1">
        <v>1.3514890980716574</v>
      </c>
      <c r="E19" s="1">
        <v>0</v>
      </c>
      <c r="F19" s="1">
        <v>0.30931295414109083</v>
      </c>
      <c r="G19" s="1">
        <v>0.16954833279692161</v>
      </c>
      <c r="H19" s="1">
        <v>4.8610744233556025</v>
      </c>
      <c r="I19" s="1">
        <v>4.6915260905586802</v>
      </c>
      <c r="J19" s="1">
        <v>0</v>
      </c>
      <c r="K19" s="1">
        <v>0</v>
      </c>
      <c r="L19" s="1">
        <v>0.7464691440225939</v>
      </c>
      <c r="Q19" s="1"/>
      <c r="R19" s="1" t="s">
        <v>1096</v>
      </c>
      <c r="S19" s="22">
        <v>0.15</v>
      </c>
      <c r="T19" s="22">
        <v>0.2</v>
      </c>
      <c r="U19" s="2">
        <f t="shared" si="0"/>
        <v>0.2</v>
      </c>
      <c r="V19" s="22"/>
      <c r="W19" s="22"/>
      <c r="X19" s="22"/>
      <c r="AA19" s="1"/>
      <c r="AB19" s="74"/>
      <c r="AC19" s="1"/>
      <c r="AD19" s="74"/>
      <c r="AE19" s="1"/>
      <c r="AF19" s="74"/>
      <c r="AG19" s="1"/>
      <c r="AH19" s="74"/>
    </row>
    <row r="20" spans="2:34">
      <c r="B20" s="1" t="s">
        <v>42</v>
      </c>
      <c r="C20" s="1">
        <v>2.9510192617411128</v>
      </c>
      <c r="D20" s="1">
        <v>1.3514890980716574</v>
      </c>
      <c r="E20" s="1">
        <v>0</v>
      </c>
      <c r="F20" s="1">
        <v>0.30931295414109083</v>
      </c>
      <c r="G20" s="1">
        <v>0.16954833279692161</v>
      </c>
      <c r="H20" s="1">
        <v>4.8610744233556025</v>
      </c>
      <c r="I20" s="1">
        <v>4.6915260905586802</v>
      </c>
      <c r="J20" s="1">
        <v>0</v>
      </c>
      <c r="K20" s="1">
        <v>0</v>
      </c>
      <c r="L20" s="1">
        <v>0.7464691440225939</v>
      </c>
      <c r="Q20" s="1"/>
      <c r="R20" s="1" t="s">
        <v>1097</v>
      </c>
      <c r="S20" s="22">
        <v>0.15</v>
      </c>
      <c r="T20" s="22">
        <v>0.2</v>
      </c>
      <c r="U20" s="2">
        <f t="shared" si="0"/>
        <v>0.2</v>
      </c>
      <c r="V20" s="22"/>
      <c r="W20" s="22"/>
      <c r="X20" s="22"/>
    </row>
    <row r="21" spans="2:34">
      <c r="B21" s="1" t="s">
        <v>563</v>
      </c>
      <c r="C21" s="1">
        <v>2.9510192617411128</v>
      </c>
      <c r="D21" s="1">
        <v>1.3514890980716574</v>
      </c>
      <c r="E21" s="1">
        <v>0</v>
      </c>
      <c r="F21" s="1">
        <v>0.30931295414109083</v>
      </c>
      <c r="G21" s="1">
        <v>0.16954833279692161</v>
      </c>
      <c r="H21" s="1">
        <v>4.8610744233556025</v>
      </c>
      <c r="I21" s="1">
        <v>4.6915260905586802</v>
      </c>
      <c r="J21" s="1">
        <v>0</v>
      </c>
      <c r="K21" s="1">
        <v>0</v>
      </c>
      <c r="L21" s="1">
        <v>0.7464691440225939</v>
      </c>
      <c r="Q21" s="1"/>
      <c r="R21" s="1" t="s">
        <v>1115</v>
      </c>
      <c r="S21" s="22">
        <v>0.1</v>
      </c>
      <c r="T21" s="22"/>
      <c r="U21" s="2">
        <f t="shared" si="0"/>
        <v>0.1</v>
      </c>
      <c r="V21" s="22"/>
      <c r="W21" s="22"/>
      <c r="X21" s="22"/>
    </row>
    <row r="22" spans="2:34">
      <c r="B22" s="1" t="s">
        <v>1116</v>
      </c>
      <c r="C22" s="1">
        <v>2.9510192617411128</v>
      </c>
      <c r="D22" s="1">
        <v>1.3514890980716574</v>
      </c>
      <c r="E22" s="1">
        <v>0</v>
      </c>
      <c r="F22" s="1">
        <v>0.30931295414109083</v>
      </c>
      <c r="G22" s="1">
        <v>0.16954833279692161</v>
      </c>
      <c r="H22" s="1">
        <v>4.8610744233556025</v>
      </c>
      <c r="I22" s="1">
        <v>4.6915260905586802</v>
      </c>
      <c r="J22" s="1">
        <v>0</v>
      </c>
      <c r="K22" s="1">
        <v>0</v>
      </c>
      <c r="L22" s="1">
        <v>0.7464691440225939</v>
      </c>
      <c r="Q22" s="1"/>
      <c r="R22" s="1" t="s">
        <v>542</v>
      </c>
      <c r="S22" s="22">
        <v>0.01</v>
      </c>
      <c r="T22" s="22"/>
      <c r="U22" s="2">
        <f t="shared" si="0"/>
        <v>0.01</v>
      </c>
      <c r="V22" s="22"/>
      <c r="W22" s="22"/>
      <c r="X22" s="22"/>
    </row>
    <row r="23" spans="2:34">
      <c r="Q23" s="1"/>
      <c r="R23" s="1"/>
      <c r="S23" s="22"/>
      <c r="T23" s="22"/>
      <c r="U23" s="2">
        <f t="shared" si="0"/>
        <v>0</v>
      </c>
      <c r="V23" s="22"/>
      <c r="W23" s="22"/>
      <c r="X23" s="22"/>
      <c r="Z23" s="3" t="s">
        <v>1125</v>
      </c>
      <c r="AA23" s="1" t="s">
        <v>50</v>
      </c>
      <c r="AB23" s="70">
        <f>SUM(AB25:AB39)</f>
        <v>0</v>
      </c>
      <c r="AC23" s="71" t="s">
        <v>527</v>
      </c>
      <c r="AD23" s="70">
        <f>SUM(AD25:AD39)</f>
        <v>0</v>
      </c>
      <c r="AE23" s="71" t="s">
        <v>55</v>
      </c>
      <c r="AF23" s="70">
        <f>SUM(AF25:AF39)</f>
        <v>0</v>
      </c>
    </row>
    <row r="24" spans="2:34" ht="21" thickBot="1">
      <c r="Q24" s="1" t="s">
        <v>543</v>
      </c>
      <c r="R24" s="1" t="s">
        <v>49</v>
      </c>
      <c r="S24" s="1">
        <f>AB23</f>
        <v>0</v>
      </c>
      <c r="T24" s="22">
        <v>1.1619999999999999</v>
      </c>
      <c r="U24" s="2">
        <f t="shared" si="0"/>
        <v>1.1619999999999999</v>
      </c>
      <c r="V24" s="22">
        <v>-3.2</v>
      </c>
      <c r="W24" s="22"/>
      <c r="X24" s="22"/>
      <c r="AA24" s="10" t="s">
        <v>44</v>
      </c>
      <c r="AB24" s="44" t="s">
        <v>19</v>
      </c>
      <c r="AC24" s="13" t="s">
        <v>44</v>
      </c>
      <c r="AD24" s="44" t="s">
        <v>19</v>
      </c>
      <c r="AE24" s="13" t="s">
        <v>44</v>
      </c>
      <c r="AF24" s="44" t="s">
        <v>19</v>
      </c>
    </row>
    <row r="25" spans="2:34" ht="21" thickTop="1">
      <c r="B25" s="3" t="s">
        <v>695</v>
      </c>
      <c r="Q25" s="1"/>
      <c r="R25" s="1" t="s">
        <v>1098</v>
      </c>
      <c r="S25" s="22">
        <v>0.05</v>
      </c>
      <c r="T25" s="22"/>
      <c r="U25" s="2">
        <f t="shared" si="0"/>
        <v>0.05</v>
      </c>
      <c r="V25" s="22"/>
      <c r="W25" s="22"/>
      <c r="X25" s="22"/>
      <c r="AA25" s="25" t="s">
        <v>11</v>
      </c>
      <c r="AB25" s="72"/>
      <c r="AC25" s="73" t="s">
        <v>54</v>
      </c>
      <c r="AD25" s="72"/>
      <c r="AE25" s="73" t="s">
        <v>528</v>
      </c>
      <c r="AF25" s="72"/>
    </row>
    <row r="26" spans="2:34">
      <c r="Q26" s="1"/>
      <c r="R26" s="1" t="s">
        <v>1099</v>
      </c>
      <c r="S26" s="22">
        <v>0.05</v>
      </c>
      <c r="T26" s="22"/>
      <c r="U26" s="2">
        <f t="shared" si="0"/>
        <v>0.05</v>
      </c>
      <c r="V26" s="22"/>
      <c r="W26" s="22"/>
      <c r="X26" s="22"/>
      <c r="AA26" s="2" t="s">
        <v>12</v>
      </c>
      <c r="AB26" s="75"/>
      <c r="AC26" s="71" t="s">
        <v>529</v>
      </c>
      <c r="AD26" s="75"/>
      <c r="AE26" s="6" t="s">
        <v>15</v>
      </c>
      <c r="AF26" s="75"/>
    </row>
    <row r="27" spans="2:34">
      <c r="Q27" s="1"/>
      <c r="R27" s="1" t="s">
        <v>1102</v>
      </c>
      <c r="S27" s="22">
        <v>0.01</v>
      </c>
      <c r="T27" s="22"/>
      <c r="U27" s="2">
        <f t="shared" si="0"/>
        <v>0.01</v>
      </c>
      <c r="V27" s="22"/>
      <c r="W27" s="22"/>
      <c r="X27" s="22"/>
      <c r="AA27" s="1" t="s">
        <v>13</v>
      </c>
      <c r="AB27" s="74"/>
      <c r="AC27" s="3" t="s">
        <v>531</v>
      </c>
      <c r="AD27" s="74"/>
      <c r="AE27" s="71" t="s">
        <v>13</v>
      </c>
      <c r="AF27" s="74"/>
    </row>
    <row r="28" spans="2:34">
      <c r="Q28" s="1"/>
      <c r="R28" s="1"/>
      <c r="S28" s="22"/>
      <c r="T28" s="22"/>
      <c r="U28" s="2">
        <f t="shared" si="0"/>
        <v>0</v>
      </c>
      <c r="V28" s="22"/>
      <c r="W28" s="22"/>
      <c r="X28" s="22"/>
      <c r="AA28" s="1" t="s">
        <v>14</v>
      </c>
      <c r="AB28" s="74"/>
      <c r="AC28" s="71"/>
      <c r="AD28" s="74"/>
      <c r="AE28" s="71" t="s">
        <v>533</v>
      </c>
      <c r="AF28" s="74"/>
    </row>
    <row r="29" spans="2:34">
      <c r="Q29" s="1" t="s">
        <v>546</v>
      </c>
      <c r="R29" s="1" t="s">
        <v>547</v>
      </c>
      <c r="S29" s="1">
        <f>AD23</f>
        <v>0</v>
      </c>
      <c r="T29" s="22"/>
      <c r="U29" s="2">
        <f t="shared" si="0"/>
        <v>0</v>
      </c>
      <c r="V29" s="22"/>
      <c r="W29" s="22"/>
      <c r="X29" s="22"/>
      <c r="AA29" s="1" t="s">
        <v>15</v>
      </c>
      <c r="AB29" s="74"/>
      <c r="AC29" s="71"/>
      <c r="AD29" s="74"/>
      <c r="AE29" s="71" t="s">
        <v>1100</v>
      </c>
      <c r="AF29" s="74"/>
    </row>
    <row r="30" spans="2:34">
      <c r="Q30" s="1"/>
      <c r="R30" s="1" t="s">
        <v>548</v>
      </c>
      <c r="S30" s="1">
        <f>AF23</f>
        <v>0</v>
      </c>
      <c r="T30" s="22"/>
      <c r="U30" s="2">
        <f t="shared" si="0"/>
        <v>0</v>
      </c>
      <c r="V30" s="22"/>
      <c r="W30" s="22"/>
      <c r="X30" s="22"/>
      <c r="AA30" s="1" t="s">
        <v>16</v>
      </c>
      <c r="AB30" s="74"/>
      <c r="AC30" s="71"/>
      <c r="AD30" s="74"/>
      <c r="AE30" s="71"/>
      <c r="AF30" s="74"/>
    </row>
    <row r="31" spans="2:34">
      <c r="Q31" s="1"/>
      <c r="R31" s="1" t="s">
        <v>550</v>
      </c>
      <c r="S31" s="22"/>
      <c r="T31" s="22"/>
      <c r="U31" s="2">
        <f t="shared" si="0"/>
        <v>0</v>
      </c>
      <c r="V31" s="22"/>
      <c r="W31" s="22"/>
      <c r="X31" s="22"/>
      <c r="AA31" s="1" t="s">
        <v>17</v>
      </c>
      <c r="AB31" s="74"/>
      <c r="AC31" s="71"/>
      <c r="AD31" s="74"/>
      <c r="AE31" s="71"/>
      <c r="AF31" s="74"/>
    </row>
    <row r="32" spans="2:34">
      <c r="Q32" s="1"/>
      <c r="R32" s="1" t="s">
        <v>1104</v>
      </c>
      <c r="S32" s="22"/>
      <c r="T32" s="22"/>
      <c r="U32" s="2">
        <f t="shared" si="0"/>
        <v>0</v>
      </c>
      <c r="V32" s="22"/>
      <c r="W32" s="22"/>
      <c r="X32" s="22"/>
      <c r="AA32" s="1" t="s">
        <v>52</v>
      </c>
      <c r="AB32" s="74"/>
      <c r="AC32" s="71"/>
      <c r="AD32" s="74"/>
      <c r="AE32" s="71"/>
      <c r="AF32" s="74"/>
    </row>
    <row r="33" spans="17:34">
      <c r="Q33" s="1"/>
      <c r="R33" s="1" t="s">
        <v>1103</v>
      </c>
      <c r="S33" s="22"/>
      <c r="T33" s="22"/>
      <c r="U33" s="2">
        <f t="shared" si="0"/>
        <v>0</v>
      </c>
      <c r="V33" s="22"/>
      <c r="W33" s="22"/>
      <c r="X33" s="22"/>
      <c r="AA33" s="1" t="s">
        <v>53</v>
      </c>
      <c r="AB33" s="74"/>
      <c r="AC33" s="71"/>
      <c r="AD33" s="74"/>
      <c r="AE33" s="71"/>
      <c r="AF33" s="74"/>
    </row>
    <row r="34" spans="17:34">
      <c r="Q34" s="1"/>
      <c r="R34" s="1" t="s">
        <v>1101</v>
      </c>
      <c r="S34" s="22">
        <v>0.2</v>
      </c>
      <c r="T34" s="22"/>
      <c r="U34" s="2">
        <f t="shared" si="0"/>
        <v>0.2</v>
      </c>
      <c r="V34" s="22"/>
      <c r="W34" s="22"/>
      <c r="X34" s="22"/>
      <c r="AA34" s="1" t="s">
        <v>535</v>
      </c>
      <c r="AB34" s="74"/>
      <c r="AC34" s="1"/>
      <c r="AD34" s="74"/>
      <c r="AE34" s="1"/>
      <c r="AF34" s="74"/>
    </row>
    <row r="35" spans="17:34">
      <c r="Q35" s="1"/>
      <c r="R35" s="1" t="s">
        <v>535</v>
      </c>
      <c r="S35" s="22"/>
      <c r="T35" s="22"/>
      <c r="U35" s="2">
        <f t="shared" si="0"/>
        <v>0</v>
      </c>
      <c r="V35" s="22"/>
      <c r="W35" s="22"/>
      <c r="X35" s="22"/>
      <c r="AA35" s="1" t="s">
        <v>541</v>
      </c>
      <c r="AB35" s="74"/>
      <c r="AC35" s="1"/>
      <c r="AD35" s="74"/>
      <c r="AE35" s="1"/>
      <c r="AF35" s="74"/>
    </row>
    <row r="36" spans="17:34">
      <c r="Q36" s="1"/>
      <c r="R36" s="1" t="s">
        <v>1106</v>
      </c>
      <c r="S36" s="22"/>
      <c r="T36" s="22"/>
      <c r="U36" s="2">
        <f t="shared" si="0"/>
        <v>0</v>
      </c>
      <c r="V36" s="22"/>
      <c r="W36" s="22"/>
      <c r="X36" s="22"/>
      <c r="AA36" s="1"/>
      <c r="AB36" s="74"/>
      <c r="AC36" s="1"/>
      <c r="AD36" s="74"/>
      <c r="AE36" s="1"/>
      <c r="AF36" s="74"/>
    </row>
    <row r="37" spans="17:34">
      <c r="Q37" s="1"/>
      <c r="R37" s="1"/>
      <c r="S37" s="22"/>
      <c r="T37" s="22"/>
      <c r="U37" s="2">
        <f t="shared" si="0"/>
        <v>0</v>
      </c>
      <c r="V37" s="22"/>
      <c r="W37" s="22"/>
      <c r="X37" s="22"/>
      <c r="AA37" s="1"/>
      <c r="AB37" s="74"/>
      <c r="AC37" s="1"/>
      <c r="AD37" s="74"/>
      <c r="AE37" s="1"/>
      <c r="AF37" s="74"/>
    </row>
    <row r="38" spans="17:34">
      <c r="Q38" s="1" t="s">
        <v>56</v>
      </c>
      <c r="R38" s="1" t="s">
        <v>557</v>
      </c>
      <c r="S38" s="1">
        <f>AB42</f>
        <v>0</v>
      </c>
      <c r="T38" s="22"/>
      <c r="U38" s="2">
        <f t="shared" si="0"/>
        <v>0</v>
      </c>
      <c r="V38" s="22"/>
      <c r="W38" s="22"/>
      <c r="X38" s="22"/>
      <c r="AA38" s="1"/>
      <c r="AB38" s="74"/>
      <c r="AC38" s="1"/>
      <c r="AD38" s="74"/>
      <c r="AE38" s="1"/>
      <c r="AF38" s="74"/>
    </row>
    <row r="39" spans="17:34">
      <c r="Q39" s="1"/>
      <c r="R39" s="1" t="s">
        <v>559</v>
      </c>
      <c r="S39" s="22">
        <f>AH42</f>
        <v>0.5</v>
      </c>
      <c r="T39" s="22">
        <v>0.502</v>
      </c>
      <c r="U39" s="2">
        <f t="shared" si="0"/>
        <v>0.502</v>
      </c>
      <c r="V39" s="22"/>
      <c r="W39" s="22"/>
      <c r="X39" s="22"/>
      <c r="AA39" s="1"/>
      <c r="AB39" s="74"/>
      <c r="AC39" s="1"/>
      <c r="AD39" s="74"/>
      <c r="AE39" s="1"/>
      <c r="AF39" s="74"/>
    </row>
    <row r="40" spans="17:34">
      <c r="Q40" s="1"/>
      <c r="R40" s="1" t="s">
        <v>1114</v>
      </c>
      <c r="S40" s="22"/>
      <c r="T40" s="22"/>
      <c r="U40" s="2">
        <f t="shared" si="0"/>
        <v>0</v>
      </c>
      <c r="V40" s="22"/>
      <c r="W40" s="22"/>
      <c r="X40" s="22"/>
    </row>
    <row r="41" spans="17:34">
      <c r="Q41" s="1"/>
      <c r="R41" s="1"/>
      <c r="S41" s="22"/>
      <c r="T41" s="22"/>
      <c r="U41" s="2">
        <f t="shared" si="0"/>
        <v>0</v>
      </c>
      <c r="V41" s="22"/>
      <c r="W41" s="22"/>
      <c r="X41" s="22"/>
    </row>
    <row r="42" spans="17:34">
      <c r="Q42" s="1" t="s">
        <v>41</v>
      </c>
      <c r="R42" s="1" t="s">
        <v>1110</v>
      </c>
      <c r="S42" s="22">
        <v>1</v>
      </c>
      <c r="T42" s="22">
        <v>1.17</v>
      </c>
      <c r="U42" s="2">
        <f t="shared" si="0"/>
        <v>1.17</v>
      </c>
      <c r="V42" s="22"/>
      <c r="W42" s="22"/>
      <c r="X42" s="22"/>
      <c r="Z42" s="3" t="s">
        <v>43</v>
      </c>
      <c r="AA42" s="1" t="s">
        <v>56</v>
      </c>
      <c r="AB42" s="70">
        <f>SUM(AB44:AB57)</f>
        <v>0</v>
      </c>
      <c r="AC42" s="1" t="s">
        <v>3</v>
      </c>
      <c r="AD42" s="70">
        <f>SUM(AD44:AD57)</f>
        <v>0.66500000000000004</v>
      </c>
      <c r="AE42" s="1" t="s">
        <v>544</v>
      </c>
      <c r="AF42" s="70">
        <f>SUM(AF44:AF57)</f>
        <v>0</v>
      </c>
      <c r="AG42" s="1" t="s">
        <v>545</v>
      </c>
      <c r="AH42" s="70">
        <f>SUM(AH44:AH57)</f>
        <v>0.5</v>
      </c>
    </row>
    <row r="43" spans="17:34" ht="21" thickBot="1">
      <c r="Q43" s="1"/>
      <c r="R43" s="1" t="s">
        <v>1108</v>
      </c>
      <c r="S43" s="22">
        <v>1</v>
      </c>
      <c r="T43" s="22"/>
      <c r="U43" s="2">
        <f t="shared" si="0"/>
        <v>1</v>
      </c>
      <c r="V43" s="22"/>
      <c r="W43" s="22"/>
      <c r="X43" s="22"/>
      <c r="AA43" s="10" t="s">
        <v>44</v>
      </c>
      <c r="AB43" s="44" t="s">
        <v>19</v>
      </c>
      <c r="AC43" s="10" t="s">
        <v>44</v>
      </c>
      <c r="AD43" s="44" t="s">
        <v>19</v>
      </c>
      <c r="AE43" s="10" t="s">
        <v>44</v>
      </c>
      <c r="AF43" s="44" t="s">
        <v>19</v>
      </c>
      <c r="AG43" s="10" t="s">
        <v>44</v>
      </c>
      <c r="AH43" s="44" t="s">
        <v>19</v>
      </c>
    </row>
    <row r="44" spans="17:34" ht="21" thickTop="1">
      <c r="Q44" s="1"/>
      <c r="R44" s="1" t="s">
        <v>1117</v>
      </c>
      <c r="S44" s="22">
        <v>1.5</v>
      </c>
      <c r="T44" s="22"/>
      <c r="U44" s="2">
        <f t="shared" si="0"/>
        <v>1.5</v>
      </c>
      <c r="V44" s="22"/>
      <c r="W44" s="22"/>
      <c r="X44" s="22"/>
      <c r="AA44" s="25" t="s">
        <v>11</v>
      </c>
      <c r="AB44" s="72"/>
      <c r="AC44" s="25" t="s">
        <v>549</v>
      </c>
      <c r="AD44" s="72"/>
      <c r="AE44" s="25"/>
      <c r="AF44" s="72"/>
      <c r="AG44" s="25"/>
      <c r="AH44" s="72">
        <v>0.5</v>
      </c>
    </row>
    <row r="45" spans="17:34">
      <c r="Q45" s="1"/>
      <c r="R45" s="1" t="s">
        <v>1118</v>
      </c>
      <c r="S45" s="22">
        <v>1.5</v>
      </c>
      <c r="T45" s="22"/>
      <c r="U45" s="2">
        <f t="shared" si="0"/>
        <v>1.5</v>
      </c>
      <c r="V45" s="22"/>
      <c r="W45" s="22"/>
      <c r="X45" s="22"/>
      <c r="AA45" s="1" t="s">
        <v>551</v>
      </c>
      <c r="AB45" s="74"/>
      <c r="AC45" s="1" t="s">
        <v>552</v>
      </c>
      <c r="AD45" s="74"/>
      <c r="AE45" s="1"/>
      <c r="AF45" s="74"/>
      <c r="AG45" s="1"/>
      <c r="AH45" s="74"/>
    </row>
    <row r="46" spans="17:34">
      <c r="Q46" s="1"/>
      <c r="R46" s="1" t="s">
        <v>1109</v>
      </c>
      <c r="S46" s="22">
        <v>1</v>
      </c>
      <c r="T46" s="22"/>
      <c r="U46" s="2">
        <f t="shared" si="0"/>
        <v>1</v>
      </c>
      <c r="V46" s="22"/>
      <c r="W46" s="22"/>
      <c r="X46" s="22"/>
      <c r="AA46" s="1" t="s">
        <v>9</v>
      </c>
      <c r="AB46" s="74"/>
      <c r="AC46" s="1" t="s">
        <v>553</v>
      </c>
      <c r="AD46" s="74"/>
      <c r="AE46" s="1"/>
      <c r="AF46" s="74"/>
      <c r="AG46" s="1"/>
      <c r="AH46" s="74"/>
    </row>
    <row r="47" spans="17:34">
      <c r="Q47" s="1"/>
      <c r="R47" s="1" t="s">
        <v>1107</v>
      </c>
      <c r="S47" s="22">
        <v>1</v>
      </c>
      <c r="T47" s="22"/>
      <c r="U47" s="2">
        <f t="shared" si="0"/>
        <v>1</v>
      </c>
      <c r="V47" s="22"/>
      <c r="W47" s="22"/>
      <c r="X47" s="22"/>
      <c r="AA47" s="1" t="s">
        <v>18</v>
      </c>
      <c r="AB47" s="74"/>
      <c r="AC47" s="1" t="s">
        <v>554</v>
      </c>
      <c r="AD47" s="74"/>
      <c r="AE47" s="1"/>
      <c r="AF47" s="74"/>
      <c r="AG47" s="1"/>
      <c r="AH47" s="74"/>
    </row>
    <row r="48" spans="17:34">
      <c r="Q48" s="1"/>
      <c r="R48" s="1" t="s">
        <v>560</v>
      </c>
      <c r="S48" s="22">
        <v>1</v>
      </c>
      <c r="T48" s="22"/>
      <c r="U48" s="2">
        <f t="shared" si="0"/>
        <v>1</v>
      </c>
      <c r="V48" s="22"/>
      <c r="W48" s="22"/>
      <c r="X48" s="22"/>
      <c r="AA48" s="1" t="s">
        <v>556</v>
      </c>
      <c r="AB48" s="74"/>
      <c r="AC48" s="1"/>
      <c r="AD48" s="74"/>
      <c r="AE48" s="1"/>
      <c r="AF48" s="74"/>
      <c r="AG48" s="1"/>
      <c r="AH48" s="74"/>
    </row>
    <row r="49" spans="17:41">
      <c r="Q49" s="1"/>
      <c r="R49" s="1"/>
      <c r="S49" s="22"/>
      <c r="T49" s="22"/>
      <c r="U49" s="2">
        <f t="shared" si="0"/>
        <v>0</v>
      </c>
      <c r="V49" s="22"/>
      <c r="W49" s="22"/>
      <c r="X49" s="22"/>
      <c r="AA49" s="1" t="s">
        <v>558</v>
      </c>
      <c r="AB49" s="74"/>
      <c r="AC49" s="2"/>
      <c r="AD49" s="75">
        <v>0.66500000000000004</v>
      </c>
      <c r="AE49" s="2"/>
      <c r="AF49" s="75"/>
      <c r="AG49" s="2"/>
      <c r="AH49" s="75"/>
    </row>
    <row r="50" spans="17:41">
      <c r="Q50" s="1" t="s">
        <v>42</v>
      </c>
      <c r="R50" s="1" t="s">
        <v>561</v>
      </c>
      <c r="S50" s="1">
        <f>AD42</f>
        <v>0.66500000000000004</v>
      </c>
      <c r="T50" s="22"/>
      <c r="U50" s="2">
        <f t="shared" si="0"/>
        <v>0.66500000000000004</v>
      </c>
      <c r="V50" s="22"/>
      <c r="W50" s="22"/>
      <c r="X50" s="22"/>
      <c r="AA50" s="1" t="s">
        <v>57</v>
      </c>
      <c r="AB50" s="74"/>
      <c r="AC50" s="1"/>
      <c r="AD50" s="74"/>
      <c r="AE50" s="1"/>
      <c r="AF50" s="74"/>
      <c r="AG50" s="1"/>
      <c r="AH50" s="74"/>
    </row>
    <row r="51" spans="17:41">
      <c r="Q51" s="1"/>
      <c r="R51" s="1" t="s">
        <v>562</v>
      </c>
      <c r="S51" s="1">
        <f>AD42</f>
        <v>0.66500000000000004</v>
      </c>
      <c r="T51" s="22"/>
      <c r="U51" s="2">
        <f t="shared" si="0"/>
        <v>0.66500000000000004</v>
      </c>
      <c r="V51" s="22"/>
      <c r="W51" s="22"/>
      <c r="X51" s="22"/>
      <c r="AA51" s="1"/>
      <c r="AB51" s="74"/>
      <c r="AC51" s="1"/>
      <c r="AD51" s="74"/>
      <c r="AE51" s="1"/>
      <c r="AF51" s="74"/>
      <c r="AG51" s="1"/>
      <c r="AH51" s="74"/>
    </row>
    <row r="52" spans="17:41">
      <c r="Q52" s="1"/>
      <c r="R52" s="1" t="s">
        <v>535</v>
      </c>
      <c r="S52" s="22"/>
      <c r="T52" s="22"/>
      <c r="U52" s="2">
        <f t="shared" si="0"/>
        <v>0</v>
      </c>
      <c r="V52" s="22"/>
      <c r="W52" s="22"/>
      <c r="X52" s="22"/>
      <c r="AA52" s="1"/>
      <c r="AB52" s="74"/>
      <c r="AC52" s="1"/>
      <c r="AD52" s="74"/>
      <c r="AE52" s="1"/>
      <c r="AF52" s="74"/>
      <c r="AG52" s="1"/>
      <c r="AH52" s="74"/>
    </row>
    <row r="53" spans="17:41">
      <c r="Q53" s="1"/>
      <c r="R53" s="1" t="s">
        <v>555</v>
      </c>
      <c r="S53" s="22"/>
      <c r="T53" s="22"/>
      <c r="U53" s="2">
        <f t="shared" si="0"/>
        <v>0</v>
      </c>
      <c r="V53" s="22"/>
      <c r="W53" s="22"/>
      <c r="X53" s="22"/>
      <c r="AA53" s="1"/>
      <c r="AB53" s="74"/>
      <c r="AC53" s="1"/>
      <c r="AD53" s="74"/>
      <c r="AE53" s="1"/>
      <c r="AF53" s="74"/>
      <c r="AG53" s="1"/>
      <c r="AH53" s="74"/>
    </row>
    <row r="54" spans="17:41">
      <c r="Q54" s="1"/>
      <c r="R54" s="1"/>
      <c r="S54" s="22"/>
      <c r="T54" s="22"/>
      <c r="U54" s="2">
        <f t="shared" si="0"/>
        <v>0</v>
      </c>
      <c r="V54" s="22"/>
      <c r="W54" s="22"/>
      <c r="X54" s="22"/>
      <c r="AA54" s="1"/>
      <c r="AB54" s="74"/>
      <c r="AC54" s="1"/>
      <c r="AD54" s="74"/>
      <c r="AE54" s="1"/>
      <c r="AF54" s="74"/>
      <c r="AG54" s="1"/>
      <c r="AH54" s="74"/>
    </row>
    <row r="55" spans="17:41">
      <c r="Q55" s="1" t="s">
        <v>563</v>
      </c>
      <c r="R55" s="1" t="s">
        <v>564</v>
      </c>
      <c r="S55" s="22">
        <v>0.2</v>
      </c>
      <c r="T55" s="22"/>
      <c r="U55" s="2">
        <f t="shared" si="0"/>
        <v>0.2</v>
      </c>
      <c r="V55" s="22"/>
      <c r="W55" s="22"/>
      <c r="X55" s="22"/>
      <c r="AA55" s="1"/>
      <c r="AB55" s="74"/>
      <c r="AC55" s="1"/>
      <c r="AD55" s="74"/>
      <c r="AE55" s="1"/>
      <c r="AF55" s="74"/>
      <c r="AG55" s="1"/>
      <c r="AH55" s="74"/>
    </row>
    <row r="56" spans="17:41">
      <c r="Q56" s="1"/>
      <c r="R56" s="1" t="s">
        <v>565</v>
      </c>
      <c r="S56" s="22"/>
      <c r="T56" s="22"/>
      <c r="U56" s="2">
        <f t="shared" si="0"/>
        <v>0</v>
      </c>
      <c r="V56" s="22"/>
      <c r="W56" s="22"/>
      <c r="X56" s="22"/>
      <c r="AA56" s="1"/>
      <c r="AB56" s="74"/>
      <c r="AC56" s="1"/>
      <c r="AD56" s="74"/>
      <c r="AE56" s="1"/>
      <c r="AF56" s="74"/>
      <c r="AG56" s="1"/>
      <c r="AH56" s="74"/>
    </row>
    <row r="57" spans="17:41">
      <c r="Q57" s="1"/>
      <c r="R57" s="1" t="s">
        <v>1113</v>
      </c>
      <c r="S57" s="22"/>
      <c r="T57" s="22"/>
      <c r="U57" s="2">
        <f t="shared" si="0"/>
        <v>0</v>
      </c>
      <c r="V57" s="22"/>
      <c r="W57" s="22"/>
      <c r="X57" s="22"/>
      <c r="AA57" s="1"/>
      <c r="AB57" s="74"/>
      <c r="AC57" s="1"/>
      <c r="AD57" s="74"/>
      <c r="AE57" s="1"/>
      <c r="AF57" s="74"/>
      <c r="AG57" s="1"/>
      <c r="AH57" s="74"/>
    </row>
    <row r="58" spans="17:41">
      <c r="Q58" s="1"/>
      <c r="R58" s="1"/>
      <c r="S58" s="22"/>
      <c r="T58" s="22"/>
      <c r="U58" s="2">
        <f t="shared" si="0"/>
        <v>0</v>
      </c>
      <c r="V58" s="22"/>
      <c r="W58" s="22"/>
      <c r="X58" s="22"/>
    </row>
    <row r="59" spans="17:41">
      <c r="Q59" s="1" t="s">
        <v>1116</v>
      </c>
      <c r="R59" s="1" t="s">
        <v>1112</v>
      </c>
      <c r="S59" s="22"/>
      <c r="T59" s="22">
        <v>1.032</v>
      </c>
      <c r="U59" s="2">
        <f t="shared" si="0"/>
        <v>1.032</v>
      </c>
      <c r="V59" s="22"/>
      <c r="W59" s="22"/>
      <c r="X59" s="22"/>
      <c r="AO59" s="76"/>
    </row>
    <row r="60" spans="17:41">
      <c r="Q60" s="1"/>
      <c r="R60" s="1" t="s">
        <v>1111</v>
      </c>
      <c r="S60" s="22">
        <v>0.1</v>
      </c>
      <c r="T60" s="22">
        <v>0.14399999999999999</v>
      </c>
      <c r="U60" s="2">
        <f t="shared" si="0"/>
        <v>0.14399999999999999</v>
      </c>
      <c r="V60" s="22"/>
      <c r="W60" s="22"/>
      <c r="X60" s="22"/>
      <c r="AO60" s="76"/>
    </row>
    <row r="61" spans="17:41">
      <c r="Q61" s="1"/>
      <c r="R61" s="1" t="s">
        <v>566</v>
      </c>
      <c r="S61" s="22">
        <v>0.5</v>
      </c>
      <c r="T61" s="22"/>
      <c r="U61" s="2">
        <f t="shared" si="0"/>
        <v>0.5</v>
      </c>
      <c r="V61" s="22"/>
      <c r="W61" s="22"/>
      <c r="X61" s="22"/>
      <c r="AO61" s="76"/>
    </row>
    <row r="62" spans="17:41">
      <c r="Q62" s="1"/>
      <c r="R62" s="1"/>
      <c r="S62" s="22"/>
      <c r="T62" s="22"/>
      <c r="U62" s="2">
        <f t="shared" si="0"/>
        <v>0</v>
      </c>
      <c r="V62" s="22"/>
      <c r="W62" s="22"/>
      <c r="X62" s="22"/>
      <c r="AO62" s="76"/>
    </row>
    <row r="63" spans="17:41">
      <c r="Q63"/>
      <c r="R63"/>
      <c r="S63"/>
      <c r="T63"/>
      <c r="U63"/>
      <c r="V63"/>
      <c r="AO63" s="76"/>
    </row>
    <row r="64" spans="17:41">
      <c r="Q64"/>
      <c r="R64"/>
      <c r="S64"/>
      <c r="T64"/>
      <c r="U64"/>
      <c r="V64"/>
      <c r="AO64" s="76"/>
    </row>
    <row r="65" spans="17:45">
      <c r="Q65"/>
      <c r="R65"/>
      <c r="S65"/>
      <c r="T65"/>
      <c r="U65"/>
      <c r="V65"/>
      <c r="AO65" s="76"/>
    </row>
    <row r="66" spans="17:45">
      <c r="Q66"/>
      <c r="R66"/>
      <c r="S66"/>
      <c r="T66"/>
      <c r="U66"/>
      <c r="V66"/>
      <c r="AO66" s="76"/>
    </row>
    <row r="67" spans="17:45">
      <c r="Q67"/>
      <c r="R67"/>
      <c r="S67"/>
      <c r="T67"/>
      <c r="U67"/>
      <c r="V67"/>
      <c r="AO67" s="76"/>
    </row>
    <row r="68" spans="17:45">
      <c r="Q68"/>
      <c r="R68"/>
      <c r="S68"/>
      <c r="T68"/>
      <c r="U68"/>
      <c r="V68"/>
      <c r="AO68" s="76"/>
    </row>
    <row r="69" spans="17:45">
      <c r="Q69"/>
      <c r="R69"/>
      <c r="S69"/>
      <c r="T69"/>
      <c r="U69"/>
      <c r="V69"/>
      <c r="AJ69" s="76"/>
      <c r="AM69" s="76"/>
      <c r="AN69" s="76"/>
      <c r="AO69" s="76"/>
      <c r="AP69" s="76"/>
      <c r="AQ69" s="76"/>
      <c r="AR69" s="76"/>
      <c r="AS69" s="76"/>
    </row>
    <row r="70" spans="17:45">
      <c r="Q70"/>
      <c r="R70"/>
      <c r="S70"/>
      <c r="T70"/>
      <c r="U70"/>
      <c r="V70"/>
      <c r="AJ70" s="76"/>
      <c r="AM70" s="76"/>
      <c r="AN70" s="76"/>
      <c r="AO70" s="76"/>
      <c r="AP70" s="76"/>
      <c r="AQ70" s="76"/>
      <c r="AR70" s="76"/>
      <c r="AS70" s="76"/>
    </row>
    <row r="71" spans="17:45">
      <c r="Q71"/>
      <c r="R71"/>
      <c r="S71"/>
      <c r="T71"/>
      <c r="U71"/>
      <c r="V71"/>
      <c r="AJ71" s="76"/>
      <c r="AM71" s="76"/>
      <c r="AN71" s="76"/>
      <c r="AO71" s="76"/>
      <c r="AP71" s="76"/>
      <c r="AQ71" s="76"/>
      <c r="AR71" s="76"/>
      <c r="AS71" s="76"/>
    </row>
    <row r="72" spans="17:45">
      <c r="Q72"/>
      <c r="R72"/>
      <c r="S72"/>
      <c r="T72"/>
      <c r="U72"/>
      <c r="V72"/>
      <c r="AJ72" s="76"/>
      <c r="AM72" s="76"/>
      <c r="AN72" s="76"/>
      <c r="AO72" s="76"/>
      <c r="AP72" s="76"/>
      <c r="AQ72" s="76"/>
      <c r="AR72" s="76"/>
      <c r="AS72" s="76"/>
    </row>
    <row r="73" spans="17:45">
      <c r="Q73"/>
      <c r="R73"/>
      <c r="S73"/>
      <c r="T73"/>
      <c r="U73"/>
      <c r="V73"/>
      <c r="AJ73" s="76"/>
      <c r="AM73" s="76"/>
      <c r="AN73" s="76"/>
      <c r="AO73" s="76"/>
      <c r="AP73" s="76"/>
      <c r="AQ73" s="76"/>
      <c r="AR73" s="76"/>
      <c r="AS73" s="76"/>
    </row>
    <row r="74" spans="17:45">
      <c r="Q74"/>
      <c r="R74"/>
      <c r="S74"/>
      <c r="T74"/>
      <c r="U74"/>
      <c r="V74"/>
      <c r="AJ74" s="76"/>
      <c r="AM74" s="76"/>
      <c r="AN74" s="76"/>
      <c r="AO74" s="76"/>
      <c r="AP74" s="76"/>
      <c r="AQ74" s="76"/>
      <c r="AR74" s="76"/>
      <c r="AS74" s="76"/>
    </row>
    <row r="75" spans="17:45">
      <c r="Q75"/>
      <c r="R75"/>
      <c r="S75"/>
      <c r="T75"/>
      <c r="U75"/>
      <c r="V75"/>
      <c r="AJ75" s="76"/>
      <c r="AM75" s="76"/>
      <c r="AN75" s="76"/>
      <c r="AO75" s="76"/>
      <c r="AP75" s="76"/>
      <c r="AQ75" s="76"/>
      <c r="AR75" s="76"/>
      <c r="AS75" s="76"/>
    </row>
    <row r="76" spans="17:45">
      <c r="Q76"/>
      <c r="R76"/>
      <c r="S76"/>
      <c r="T76"/>
      <c r="U76"/>
      <c r="V76"/>
      <c r="AJ76" s="76"/>
      <c r="AM76" s="76"/>
      <c r="AN76" s="76"/>
      <c r="AO76" s="76"/>
      <c r="AP76" s="76"/>
      <c r="AQ76" s="76"/>
      <c r="AR76" s="76"/>
      <c r="AS76" s="76"/>
    </row>
    <row r="77" spans="17:45">
      <c r="Q77"/>
      <c r="R77"/>
      <c r="S77"/>
      <c r="T77"/>
      <c r="U77"/>
      <c r="V77"/>
      <c r="AJ77" s="76"/>
      <c r="AM77" s="76"/>
      <c r="AN77" s="76"/>
      <c r="AO77" s="76"/>
      <c r="AP77" s="76"/>
      <c r="AQ77" s="76"/>
      <c r="AR77" s="76"/>
      <c r="AS77" s="76"/>
    </row>
    <row r="78" spans="17:45">
      <c r="Q78"/>
      <c r="R78"/>
      <c r="S78"/>
      <c r="T78"/>
      <c r="U78"/>
      <c r="V78"/>
      <c r="AJ78" s="76"/>
      <c r="AM78" s="76"/>
      <c r="AN78" s="76"/>
      <c r="AO78" s="76"/>
      <c r="AP78" s="76"/>
      <c r="AQ78" s="76"/>
      <c r="AR78" s="76"/>
      <c r="AS78" s="76"/>
    </row>
    <row r="79" spans="17:45">
      <c r="Q79"/>
      <c r="R79"/>
      <c r="S79"/>
      <c r="T79"/>
      <c r="U79"/>
      <c r="V79"/>
      <c r="AJ79" s="76"/>
      <c r="AM79" s="76"/>
      <c r="AN79" s="76"/>
      <c r="AO79" s="76"/>
      <c r="AP79" s="76"/>
      <c r="AQ79" s="76"/>
      <c r="AR79" s="76"/>
      <c r="AS79" s="76"/>
    </row>
    <row r="80" spans="17:45">
      <c r="Q80"/>
      <c r="R80"/>
      <c r="S80"/>
      <c r="T80"/>
      <c r="U80"/>
      <c r="V80"/>
      <c r="AJ80" s="76"/>
      <c r="AM80" s="76"/>
      <c r="AN80" s="76"/>
      <c r="AO80" s="76"/>
      <c r="AP80" s="76"/>
      <c r="AQ80" s="76"/>
      <c r="AR80" s="76"/>
      <c r="AS80" s="76"/>
    </row>
    <row r="81" spans="17:45">
      <c r="Q81"/>
      <c r="R81"/>
      <c r="S81"/>
      <c r="T81"/>
      <c r="U81"/>
      <c r="V81"/>
      <c r="AJ81" s="76"/>
      <c r="AM81" s="76"/>
      <c r="AN81" s="76"/>
      <c r="AO81" s="76"/>
      <c r="AP81" s="76"/>
      <c r="AQ81" s="76"/>
      <c r="AR81" s="76"/>
      <c r="AS81" s="76"/>
    </row>
    <row r="82" spans="17:45">
      <c r="Q82"/>
      <c r="R82"/>
      <c r="S82"/>
      <c r="T82"/>
      <c r="U82"/>
      <c r="V82"/>
      <c r="AJ82" s="76"/>
      <c r="AM82" s="76"/>
      <c r="AN82" s="76"/>
      <c r="AO82" s="76"/>
      <c r="AP82" s="76"/>
      <c r="AQ82" s="76"/>
      <c r="AR82" s="76"/>
      <c r="AS82" s="76"/>
    </row>
    <row r="83" spans="17:45">
      <c r="Q83"/>
      <c r="R83"/>
      <c r="S83"/>
      <c r="T83"/>
      <c r="U83"/>
      <c r="V83"/>
      <c r="AD83" s="76"/>
      <c r="AE83" s="76"/>
      <c r="AF83" s="76"/>
      <c r="AG83" s="76"/>
      <c r="AH83" s="76"/>
      <c r="AI83" s="76"/>
      <c r="AJ83" s="76"/>
      <c r="AM83" s="76"/>
      <c r="AN83" s="76"/>
      <c r="AO83" s="76"/>
      <c r="AP83" s="76"/>
      <c r="AQ83" s="76"/>
      <c r="AR83" s="76"/>
      <c r="AS83" s="76"/>
    </row>
    <row r="84" spans="17:45">
      <c r="Q84"/>
      <c r="R84"/>
      <c r="S84"/>
      <c r="T84"/>
      <c r="U84"/>
      <c r="V84"/>
      <c r="AD84" s="76"/>
      <c r="AE84" s="76"/>
      <c r="AF84" s="76"/>
      <c r="AG84" s="76"/>
      <c r="AH84" s="76"/>
      <c r="AI84" s="76"/>
      <c r="AJ84" s="76"/>
      <c r="AM84" s="76"/>
      <c r="AN84" s="76"/>
      <c r="AO84" s="76"/>
      <c r="AP84" s="76"/>
      <c r="AQ84" s="76"/>
      <c r="AR84" s="76"/>
      <c r="AS84" s="76"/>
    </row>
    <row r="85" spans="17:45">
      <c r="Q85"/>
      <c r="R85"/>
      <c r="S85"/>
      <c r="T85"/>
      <c r="U85"/>
      <c r="V85"/>
      <c r="AD85" s="76"/>
      <c r="AE85" s="76"/>
      <c r="AF85" s="76"/>
      <c r="AG85" s="76"/>
      <c r="AH85" s="76"/>
      <c r="AI85" s="76"/>
      <c r="AJ85" s="76"/>
      <c r="AM85" s="76"/>
      <c r="AN85" s="76"/>
      <c r="AO85" s="76"/>
      <c r="AP85" s="76"/>
      <c r="AQ85" s="76"/>
      <c r="AR85" s="76"/>
      <c r="AS85" s="76"/>
    </row>
    <row r="86" spans="17:45">
      <c r="Q86"/>
      <c r="R86"/>
      <c r="S86"/>
      <c r="T86"/>
      <c r="U86"/>
      <c r="V86"/>
      <c r="AD86" s="76"/>
      <c r="AE86" s="76"/>
      <c r="AF86" s="76"/>
      <c r="AG86" s="76"/>
      <c r="AH86" s="76"/>
      <c r="AI86" s="76"/>
      <c r="AJ86" s="76"/>
      <c r="AM86" s="76"/>
      <c r="AN86" s="76"/>
      <c r="AO86" s="76"/>
      <c r="AP86" s="76"/>
      <c r="AQ86" s="76"/>
      <c r="AR86" s="76"/>
      <c r="AS86" s="76"/>
    </row>
    <row r="87" spans="17:45">
      <c r="Q87"/>
      <c r="R87"/>
      <c r="S87"/>
      <c r="T87"/>
      <c r="U87"/>
      <c r="V87"/>
      <c r="AD87" s="76"/>
      <c r="AE87" s="76"/>
      <c r="AF87" s="76"/>
      <c r="AG87" s="76"/>
      <c r="AH87" s="76"/>
      <c r="AI87" s="76"/>
      <c r="AJ87" s="76"/>
      <c r="AM87" s="76"/>
      <c r="AN87" s="76"/>
      <c r="AO87" s="76"/>
      <c r="AP87" s="76"/>
      <c r="AQ87" s="76"/>
      <c r="AR87" s="76"/>
      <c r="AS87" s="76"/>
    </row>
    <row r="88" spans="17:45">
      <c r="AD88" s="76"/>
      <c r="AE88" s="76"/>
      <c r="AF88" s="76"/>
      <c r="AG88" s="76"/>
      <c r="AH88" s="76"/>
      <c r="AI88" s="76"/>
      <c r="AJ88" s="76"/>
      <c r="AM88" s="76"/>
      <c r="AN88" s="76"/>
      <c r="AO88" s="76"/>
      <c r="AP88" s="76"/>
      <c r="AQ88" s="76"/>
      <c r="AR88" s="76"/>
      <c r="AS88" s="76"/>
    </row>
    <row r="89" spans="17:45">
      <c r="AD89" s="76"/>
      <c r="AE89" s="76"/>
      <c r="AF89" s="76"/>
      <c r="AG89" s="76"/>
      <c r="AH89" s="76"/>
      <c r="AI89" s="76"/>
      <c r="AJ89" s="76"/>
      <c r="AM89" s="76"/>
      <c r="AN89" s="76"/>
      <c r="AO89" s="76"/>
      <c r="AP89" s="76"/>
      <c r="AQ89" s="76"/>
      <c r="AR89" s="76"/>
      <c r="AS89" s="76"/>
    </row>
  </sheetData>
  <mergeCells count="4">
    <mergeCell ref="D3:F3"/>
    <mergeCell ref="G3:L3"/>
    <mergeCell ref="D12:F12"/>
    <mergeCell ref="G12:L12"/>
  </mergeCells>
  <phoneticPr fontId="3"/>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48CFF-EFB6-4CFD-B7EB-A94314979CCF}">
  <sheetPr codeName="Sheet12">
    <tabColor theme="3" tint="0.59999389629810485"/>
  </sheetPr>
  <dimension ref="B2:O40"/>
  <sheetViews>
    <sheetView zoomScale="83" zoomScaleNormal="60" workbookViewId="0">
      <selection activeCell="M44" sqref="M44"/>
    </sheetView>
  </sheetViews>
  <sheetFormatPr baseColWidth="10" defaultColWidth="8.7109375" defaultRowHeight="20"/>
  <sheetData>
    <row r="2" spans="2:15">
      <c r="B2" t="s">
        <v>854</v>
      </c>
      <c r="C2" t="s">
        <v>861</v>
      </c>
      <c r="O2" t="s">
        <v>856</v>
      </c>
    </row>
    <row r="10" spans="2:15">
      <c r="O10" t="s">
        <v>857</v>
      </c>
    </row>
    <row r="20" spans="2:15">
      <c r="B20" t="s">
        <v>855</v>
      </c>
      <c r="C20" t="s">
        <v>861</v>
      </c>
      <c r="O20" t="s">
        <v>858</v>
      </c>
    </row>
    <row r="40" spans="2:5">
      <c r="B40" t="s">
        <v>859</v>
      </c>
      <c r="E40" t="s">
        <v>860</v>
      </c>
    </row>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A2:BK109"/>
  <sheetViews>
    <sheetView tabSelected="1" topLeftCell="AO32" zoomScale="85" zoomScaleNormal="119" workbookViewId="0">
      <selection activeCell="BB39" sqref="BB39"/>
    </sheetView>
  </sheetViews>
  <sheetFormatPr baseColWidth="10" defaultColWidth="8.7109375" defaultRowHeight="20"/>
  <cols>
    <col min="1" max="1" width="8.7109375" style="3"/>
    <col min="2" max="3" width="9.140625" style="3" bestFit="1" customWidth="1"/>
    <col min="4" max="4" width="9.140625" style="3" customWidth="1"/>
    <col min="5" max="6" width="9" style="3" customWidth="1"/>
    <col min="7" max="7" width="9.28515625" style="3" bestFit="1" customWidth="1"/>
    <col min="8" max="10" width="10.28515625" style="3" bestFit="1" customWidth="1"/>
    <col min="11" max="12" width="9.140625" style="3" bestFit="1" customWidth="1"/>
    <col min="13" max="13" width="9.42578125" style="3" bestFit="1" customWidth="1"/>
    <col min="14" max="14" width="9.140625" style="3" bestFit="1" customWidth="1"/>
    <col min="15" max="15" width="9.28515625" style="3" bestFit="1" customWidth="1"/>
    <col min="16" max="16" width="10.28515625" style="3" bestFit="1" customWidth="1"/>
    <col min="17" max="17" width="9.85546875" style="3" bestFit="1" customWidth="1"/>
    <col min="18" max="21" width="8.85546875" style="3" bestFit="1" customWidth="1"/>
    <col min="22" max="26" width="8.7109375" style="3"/>
    <col min="27" max="27" width="8.85546875" style="3" bestFit="1" customWidth="1"/>
    <col min="28" max="28" width="8.7109375" style="3"/>
    <col min="29" max="29" width="8.85546875" style="3" bestFit="1" customWidth="1"/>
    <col min="30" max="30" width="10" style="3" bestFit="1" customWidth="1"/>
    <col min="31" max="31" width="9.5703125" style="3" bestFit="1" customWidth="1"/>
    <col min="32" max="35" width="9.140625" style="3" bestFit="1" customWidth="1"/>
    <col min="36" max="37" width="9.85546875" style="3" bestFit="1" customWidth="1"/>
    <col min="38" max="38" width="9" style="3" bestFit="1" customWidth="1"/>
    <col min="39" max="40" width="8.85546875" style="3" bestFit="1" customWidth="1"/>
    <col min="41" max="42" width="8.7109375" style="3"/>
    <col min="43" max="43" width="8.85546875" style="3" bestFit="1" customWidth="1"/>
    <col min="44" max="44" width="8.7109375" style="3"/>
    <col min="45" max="50" width="9" style="3" bestFit="1" customWidth="1"/>
    <col min="51" max="51" width="10.7109375" style="3" bestFit="1" customWidth="1"/>
    <col min="52" max="52" width="9.7109375" style="3" bestFit="1" customWidth="1"/>
    <col min="53" max="53" width="9" style="3" bestFit="1" customWidth="1"/>
    <col min="54" max="54" width="9.7109375" style="3" bestFit="1" customWidth="1"/>
    <col min="55" max="55" width="9" style="3" bestFit="1" customWidth="1"/>
    <col min="56" max="56" width="8.85546875" style="3" bestFit="1" customWidth="1"/>
    <col min="57" max="57" width="9.5703125" style="3" bestFit="1" customWidth="1"/>
    <col min="58" max="58" width="10.28515625" style="3" bestFit="1" customWidth="1"/>
    <col min="59" max="59" width="10.7109375" style="3" bestFit="1" customWidth="1"/>
    <col min="60" max="60" width="10.28515625" style="3" bestFit="1" customWidth="1"/>
    <col min="61" max="63" width="9" style="3" bestFit="1" customWidth="1"/>
    <col min="64" max="65" width="8.85546875" style="3" bestFit="1" customWidth="1"/>
    <col min="66" max="71" width="8.7109375" style="3"/>
    <col min="72" max="77" width="8.85546875" style="3" bestFit="1" customWidth="1"/>
    <col min="78" max="78" width="10.140625" style="3" bestFit="1" customWidth="1"/>
    <col min="79" max="79" width="9.140625" style="3" bestFit="1" customWidth="1"/>
    <col min="80" max="80" width="8.85546875" style="3" bestFit="1" customWidth="1"/>
    <col min="81" max="81" width="9.140625" style="3" bestFit="1" customWidth="1"/>
    <col min="82" max="84" width="8.85546875" style="3" bestFit="1" customWidth="1"/>
    <col min="85" max="85" width="9.7109375" style="3" bestFit="1" customWidth="1"/>
    <col min="86" max="86" width="10.140625" style="3" bestFit="1" customWidth="1"/>
    <col min="87" max="89" width="9.7109375" style="3" bestFit="1" customWidth="1"/>
    <col min="90" max="90" width="8.85546875" style="3" bestFit="1" customWidth="1"/>
    <col min="91" max="16384" width="8.7109375" style="3"/>
  </cols>
  <sheetData>
    <row r="2" spans="2:34">
      <c r="G2" s="3" t="s">
        <v>914</v>
      </c>
      <c r="V2" s="3" t="s">
        <v>1251</v>
      </c>
      <c r="AB2" s="3" t="s">
        <v>1199</v>
      </c>
      <c r="AG2" s="3" t="s">
        <v>13</v>
      </c>
      <c r="AH2"/>
    </row>
    <row r="3" spans="2:34" ht="21" thickBot="1">
      <c r="B3" s="11" t="s">
        <v>59</v>
      </c>
      <c r="C3" s="11" t="s">
        <v>60</v>
      </c>
      <c r="D3" s="11" t="s">
        <v>61</v>
      </c>
      <c r="E3" s="11" t="s">
        <v>62</v>
      </c>
      <c r="G3" s="10" t="s">
        <v>474</v>
      </c>
      <c r="H3" s="10" t="s">
        <v>709</v>
      </c>
      <c r="I3" s="10" t="s">
        <v>681</v>
      </c>
      <c r="J3" s="10" t="s">
        <v>905</v>
      </c>
      <c r="K3" s="10" t="s">
        <v>906</v>
      </c>
      <c r="L3" s="10" t="s">
        <v>707</v>
      </c>
      <c r="M3" s="10" t="s">
        <v>706</v>
      </c>
      <c r="N3" s="10" t="s">
        <v>636</v>
      </c>
      <c r="O3" s="10" t="s">
        <v>1187</v>
      </c>
      <c r="P3" s="10" t="s">
        <v>672</v>
      </c>
      <c r="Q3" s="10" t="s">
        <v>1188</v>
      </c>
      <c r="R3" s="10"/>
      <c r="S3" s="10"/>
      <c r="V3" s="10" t="s">
        <v>474</v>
      </c>
      <c r="W3" s="10" t="s">
        <v>981</v>
      </c>
      <c r="X3" s="10" t="s">
        <v>153</v>
      </c>
      <c r="Y3" s="10" t="s">
        <v>154</v>
      </c>
      <c r="Z3" s="10" t="s">
        <v>155</v>
      </c>
      <c r="AB3" s="10" t="s">
        <v>1134</v>
      </c>
      <c r="AC3" s="10" t="s">
        <v>1131</v>
      </c>
      <c r="AD3" s="10" t="s">
        <v>1135</v>
      </c>
      <c r="AE3" s="10" t="s">
        <v>1136</v>
      </c>
      <c r="AG3" s="10"/>
      <c r="AH3" s="10" t="s">
        <v>1131</v>
      </c>
    </row>
    <row r="4" spans="2:34" ht="21" thickTop="1">
      <c r="B4" s="1" t="s">
        <v>897</v>
      </c>
      <c r="C4" s="1" t="s">
        <v>374</v>
      </c>
      <c r="D4" s="1"/>
      <c r="E4" s="1" t="s">
        <v>370</v>
      </c>
      <c r="G4" s="1" t="s">
        <v>153</v>
      </c>
      <c r="H4" s="1" t="s">
        <v>638</v>
      </c>
      <c r="I4" s="1" t="s">
        <v>639</v>
      </c>
      <c r="J4" s="64" t="s">
        <v>640</v>
      </c>
      <c r="K4" s="64" t="s">
        <v>641</v>
      </c>
      <c r="L4" s="1" t="s">
        <v>45</v>
      </c>
      <c r="M4" s="64" t="s">
        <v>46</v>
      </c>
      <c r="N4" s="1" t="s">
        <v>642</v>
      </c>
      <c r="O4" s="1" t="s">
        <v>46</v>
      </c>
      <c r="P4" s="1" t="s">
        <v>643</v>
      </c>
      <c r="Q4" s="1" t="s">
        <v>1170</v>
      </c>
      <c r="R4" s="214" t="s">
        <v>1171</v>
      </c>
      <c r="S4" s="1" t="s">
        <v>1172</v>
      </c>
      <c r="V4" s="2" t="s">
        <v>769</v>
      </c>
      <c r="W4" s="4" t="s">
        <v>982</v>
      </c>
      <c r="X4" s="2" t="s">
        <v>770</v>
      </c>
      <c r="Y4" s="4">
        <v>10</v>
      </c>
      <c r="Z4" s="2" t="s">
        <v>979</v>
      </c>
      <c r="AB4" s="113">
        <v>1</v>
      </c>
      <c r="AC4" s="4">
        <v>-0.55000000000000004</v>
      </c>
      <c r="AD4" s="4">
        <v>5</v>
      </c>
      <c r="AE4" s="4">
        <v>5</v>
      </c>
      <c r="AG4" s="1" t="s">
        <v>1132</v>
      </c>
      <c r="AH4" s="22">
        <v>-0.6</v>
      </c>
    </row>
    <row r="5" spans="2:34" ht="21" thickBot="1">
      <c r="B5" s="1" t="s">
        <v>757</v>
      </c>
      <c r="C5" s="1" t="s">
        <v>369</v>
      </c>
      <c r="D5" s="1"/>
      <c r="E5" s="1" t="s">
        <v>370</v>
      </c>
      <c r="G5" s="20" t="s">
        <v>155</v>
      </c>
      <c r="H5" s="20" t="s">
        <v>5</v>
      </c>
      <c r="I5" s="20" t="s">
        <v>5</v>
      </c>
      <c r="J5" s="130" t="s">
        <v>318</v>
      </c>
      <c r="K5" s="130" t="s">
        <v>318</v>
      </c>
      <c r="L5" s="20" t="s">
        <v>46</v>
      </c>
      <c r="M5" s="130" t="s">
        <v>46</v>
      </c>
      <c r="N5" s="20" t="s">
        <v>46</v>
      </c>
      <c r="O5" s="20" t="s">
        <v>972</v>
      </c>
      <c r="P5" s="20" t="s">
        <v>5</v>
      </c>
      <c r="Q5" s="20" t="s">
        <v>404</v>
      </c>
      <c r="R5" s="20" t="s">
        <v>518</v>
      </c>
      <c r="S5" s="20" t="s">
        <v>1173</v>
      </c>
      <c r="V5" s="1" t="s">
        <v>771</v>
      </c>
      <c r="W5" s="4" t="s">
        <v>983</v>
      </c>
      <c r="X5" s="1" t="s">
        <v>770</v>
      </c>
      <c r="Y5" s="22">
        <v>2</v>
      </c>
      <c r="Z5" s="2" t="s">
        <v>979</v>
      </c>
      <c r="AB5" s="29">
        <v>2</v>
      </c>
      <c r="AC5" s="22">
        <v>-0.155</v>
      </c>
      <c r="AD5" s="22">
        <v>5</v>
      </c>
      <c r="AE5" s="22">
        <v>5</v>
      </c>
      <c r="AG5" s="1" t="s">
        <v>1133</v>
      </c>
      <c r="AH5" s="22">
        <v>0.25</v>
      </c>
    </row>
    <row r="6" spans="2:34" ht="21" thickTop="1">
      <c r="B6" s="55" t="s">
        <v>898</v>
      </c>
      <c r="C6" s="1" t="s">
        <v>366</v>
      </c>
      <c r="D6" s="1"/>
      <c r="E6" s="1" t="s">
        <v>45</v>
      </c>
      <c r="G6" s="82" t="s">
        <v>698</v>
      </c>
      <c r="H6" s="4">
        <v>0</v>
      </c>
      <c r="I6" s="4">
        <v>0.93</v>
      </c>
      <c r="J6" s="4">
        <v>2</v>
      </c>
      <c r="K6" s="4">
        <v>0</v>
      </c>
      <c r="L6" s="4">
        <v>0.35</v>
      </c>
      <c r="M6" s="4" t="s">
        <v>710</v>
      </c>
      <c r="N6" s="2">
        <f t="shared" ref="N6:N12" si="0">I7/I6</f>
        <v>1</v>
      </c>
      <c r="O6" s="2">
        <f t="shared" ref="O6:O12" si="1">(I7-I6)/(H7-H6)</f>
        <v>0</v>
      </c>
      <c r="P6" s="2">
        <f t="shared" ref="P6:P12" si="2">H7-H6</f>
        <v>1.6</v>
      </c>
      <c r="Q6" s="2">
        <f>(I6+I7)*P6/2</f>
        <v>1.4880000000000002</v>
      </c>
      <c r="R6" s="2">
        <f>IF(G20=0,H20^2*(H7-H6),((G20*H7+H20)^3-(G20*H6+H20)^3)/(3*G20))</f>
        <v>1.3838400000000002</v>
      </c>
      <c r="S6" s="2">
        <f>(G20/3)*((H7^3)-(H6^3))+(H20/2)*((H7^2)-(H6^2))</f>
        <v>1.1904000000000003</v>
      </c>
      <c r="V6" s="1" t="s">
        <v>775</v>
      </c>
      <c r="W6" s="4" t="s">
        <v>984</v>
      </c>
      <c r="X6" s="1" t="s">
        <v>770</v>
      </c>
      <c r="Y6" s="22">
        <f>0.45</f>
        <v>0.45</v>
      </c>
      <c r="Z6" s="2" t="s">
        <v>979</v>
      </c>
      <c r="AB6" s="113">
        <v>3</v>
      </c>
      <c r="AC6" s="22">
        <v>-2.5000000000000001E-2</v>
      </c>
      <c r="AD6" s="22">
        <v>5</v>
      </c>
      <c r="AE6" s="22">
        <v>5</v>
      </c>
    </row>
    <row r="7" spans="2:34">
      <c r="B7" s="55" t="s">
        <v>571</v>
      </c>
      <c r="C7" s="55" t="s">
        <v>476</v>
      </c>
      <c r="D7" s="55"/>
      <c r="E7" s="55" t="s">
        <v>404</v>
      </c>
      <c r="G7" s="10" t="s">
        <v>717</v>
      </c>
      <c r="H7" s="22">
        <v>1.6</v>
      </c>
      <c r="I7" s="22">
        <v>0.93</v>
      </c>
      <c r="J7" s="22">
        <v>2</v>
      </c>
      <c r="K7" s="22">
        <v>0</v>
      </c>
      <c r="L7" s="4">
        <v>0.35</v>
      </c>
      <c r="M7" s="22" t="s">
        <v>676</v>
      </c>
      <c r="N7" s="1">
        <f t="shared" si="0"/>
        <v>0.83870967741935487</v>
      </c>
      <c r="O7" s="2">
        <f t="shared" si="1"/>
        <v>-4.1666666666666671E-2</v>
      </c>
      <c r="P7" s="1">
        <f t="shared" si="2"/>
        <v>3.6</v>
      </c>
      <c r="Q7" s="2">
        <f>(I7+I8)*P7/2</f>
        <v>3.0779999999999998</v>
      </c>
      <c r="R7" s="2">
        <f>IF(G21=0,H21^2*(H8-H7),((G21*H8+H21)^3-(G21*H7+H21)^3)/(3*G21))</f>
        <v>2.6384400000000006</v>
      </c>
      <c r="S7" s="2">
        <f>(G21/3)*((H8^3)-(H7^3))+(H21/2)*((H8^2)-(H7^2))</f>
        <v>10.303200000000002</v>
      </c>
      <c r="V7" s="1" t="s">
        <v>785</v>
      </c>
      <c r="W7" s="4" t="s">
        <v>985</v>
      </c>
      <c r="X7" s="1" t="s">
        <v>786</v>
      </c>
      <c r="Y7" s="22">
        <v>8</v>
      </c>
      <c r="Z7" s="1" t="s">
        <v>979</v>
      </c>
      <c r="AB7" s="29">
        <v>4</v>
      </c>
      <c r="AC7" s="22">
        <v>0.01</v>
      </c>
      <c r="AD7" s="22">
        <v>5</v>
      </c>
      <c r="AE7" s="22">
        <v>5</v>
      </c>
    </row>
    <row r="8" spans="2:34">
      <c r="B8" s="55" t="s">
        <v>1207</v>
      </c>
      <c r="C8" s="55" t="s">
        <v>476</v>
      </c>
      <c r="D8" s="55"/>
      <c r="E8" s="55" t="s">
        <v>1206</v>
      </c>
      <c r="G8" s="10" t="s">
        <v>718</v>
      </c>
      <c r="H8" s="22">
        <v>5.2</v>
      </c>
      <c r="I8" s="22">
        <v>0.78</v>
      </c>
      <c r="J8" s="22">
        <v>2</v>
      </c>
      <c r="K8" s="22">
        <v>0</v>
      </c>
      <c r="L8" s="4">
        <v>0.35</v>
      </c>
      <c r="M8" s="22" t="s">
        <v>710</v>
      </c>
      <c r="N8" s="1">
        <f t="shared" si="0"/>
        <v>0.87179487179487181</v>
      </c>
      <c r="O8" s="2">
        <f t="shared" si="1"/>
        <v>-4.9999999999999989E-2</v>
      </c>
      <c r="P8" s="1">
        <f t="shared" si="2"/>
        <v>2</v>
      </c>
      <c r="Q8" s="2">
        <f>(I8+I9)*P8/2</f>
        <v>1.46</v>
      </c>
      <c r="R8" s="2">
        <f>IF(G22=0,H22^2*(H9-H8),((G22*H9+H22)^3-(G22*H8+H22)^3)/(3*G22))</f>
        <v>1.0674666666666663</v>
      </c>
      <c r="S8" s="2">
        <f>(G22/3)*((H9^3)-(H8^3))+(H22/2)*((H9^2)-(H8^2))</f>
        <v>9.0186666666666682</v>
      </c>
      <c r="V8" s="1" t="s">
        <v>776</v>
      </c>
      <c r="W8" s="4" t="s">
        <v>984</v>
      </c>
      <c r="X8" s="1" t="s">
        <v>777</v>
      </c>
      <c r="Y8" s="22">
        <v>20</v>
      </c>
      <c r="Z8" s="2" t="s">
        <v>979</v>
      </c>
      <c r="AB8" s="113">
        <v>5</v>
      </c>
      <c r="AC8" s="22">
        <v>0.2</v>
      </c>
      <c r="AD8" s="22">
        <v>5</v>
      </c>
      <c r="AE8" s="22">
        <v>5</v>
      </c>
    </row>
    <row r="9" spans="2:34">
      <c r="B9" s="55" t="s">
        <v>574</v>
      </c>
      <c r="C9" s="55" t="s">
        <v>425</v>
      </c>
      <c r="D9" s="55"/>
      <c r="E9" s="55" t="s">
        <v>580</v>
      </c>
      <c r="G9" s="10" t="s">
        <v>719</v>
      </c>
      <c r="H9" s="22">
        <v>7.2</v>
      </c>
      <c r="I9" s="22">
        <v>0.68</v>
      </c>
      <c r="J9" s="22">
        <v>2</v>
      </c>
      <c r="K9" s="22">
        <v>6</v>
      </c>
      <c r="L9" s="4">
        <v>0.35</v>
      </c>
      <c r="M9" s="22" t="s">
        <v>710</v>
      </c>
      <c r="N9" s="1">
        <f t="shared" si="0"/>
        <v>0.89705882352941169</v>
      </c>
      <c r="O9" s="2">
        <f t="shared" si="1"/>
        <v>-5.0000000000000065E-2</v>
      </c>
      <c r="P9" s="1">
        <f t="shared" si="2"/>
        <v>1.3999999999999995</v>
      </c>
      <c r="Q9" s="2">
        <f>(I9+I10)*P9/2</f>
        <v>0.90299999999999969</v>
      </c>
      <c r="R9" s="2">
        <f>IF(G23=0,H23^2*(H10-H9),((G23*H10+H23)^3-(G23*H9+H23)^3)/(3*G23))</f>
        <v>0.58300666666666623</v>
      </c>
      <c r="S9" s="2">
        <f>(G23/3)*((H10^3)-(H9^3))+(H23/2)*((H10^2)-(H9^2))</f>
        <v>7.1222666666666621</v>
      </c>
      <c r="V9" s="1"/>
      <c r="W9" s="2"/>
      <c r="X9" s="1" t="s">
        <v>770</v>
      </c>
      <c r="Y9" s="22">
        <v>0.5</v>
      </c>
      <c r="Z9" s="2" t="s">
        <v>979</v>
      </c>
      <c r="AB9" s="29">
        <v>6</v>
      </c>
      <c r="AC9" s="22"/>
      <c r="AD9" s="22"/>
      <c r="AE9" s="22"/>
    </row>
    <row r="10" spans="2:34">
      <c r="B10" s="55" t="s">
        <v>572</v>
      </c>
      <c r="C10" s="55" t="s">
        <v>578</v>
      </c>
      <c r="D10" s="55"/>
      <c r="E10" s="55" t="s">
        <v>46</v>
      </c>
      <c r="G10" s="10" t="s">
        <v>720</v>
      </c>
      <c r="H10" s="22">
        <v>8.6</v>
      </c>
      <c r="I10" s="22">
        <v>0.61</v>
      </c>
      <c r="J10" s="22">
        <v>2</v>
      </c>
      <c r="K10" s="22">
        <v>6</v>
      </c>
      <c r="L10" s="4">
        <v>0.35</v>
      </c>
      <c r="M10" s="22" t="s">
        <v>710</v>
      </c>
      <c r="N10" s="1">
        <f t="shared" si="0"/>
        <v>0.85245901639344268</v>
      </c>
      <c r="O10" s="2">
        <f t="shared" si="1"/>
        <v>-4.0909090909090874E-2</v>
      </c>
      <c r="P10" s="1">
        <f t="shared" si="2"/>
        <v>2.2000000000000011</v>
      </c>
      <c r="Q10" s="2">
        <f>(I10+I11)*P10/2</f>
        <v>1.2430000000000005</v>
      </c>
      <c r="R10" s="2">
        <f>IF(G24=0,H24^2*(H11-H10),((G24*H11+H24)^3-(G24*H10+H24)^3)/(3*G24))</f>
        <v>0.70377999999999963</v>
      </c>
      <c r="S10" s="2">
        <f>(G24/3)*((H11^3)-(H10^3))+(H24/2)*((H11^2)-(H10^2))</f>
        <v>12.020800000000007</v>
      </c>
      <c r="V10" s="1"/>
      <c r="W10" s="2"/>
      <c r="X10" s="1" t="s">
        <v>1201</v>
      </c>
      <c r="Y10" s="22">
        <v>13.5</v>
      </c>
      <c r="Z10" s="2" t="s">
        <v>1202</v>
      </c>
      <c r="AB10" s="29">
        <v>7</v>
      </c>
      <c r="AC10" s="22"/>
      <c r="AD10" s="22"/>
      <c r="AE10" s="22"/>
    </row>
    <row r="11" spans="2:34">
      <c r="B11" s="55" t="s">
        <v>573</v>
      </c>
      <c r="C11" s="55" t="s">
        <v>579</v>
      </c>
      <c r="D11" s="55"/>
      <c r="E11" s="55" t="s">
        <v>5</v>
      </c>
      <c r="G11" s="10" t="s">
        <v>721</v>
      </c>
      <c r="H11" s="22">
        <v>10.8</v>
      </c>
      <c r="I11" s="22">
        <v>0.52</v>
      </c>
      <c r="J11" s="22">
        <v>2</v>
      </c>
      <c r="K11" s="22">
        <v>6</v>
      </c>
      <c r="L11" s="4">
        <v>0.35</v>
      </c>
      <c r="M11" s="22" t="s">
        <v>711</v>
      </c>
      <c r="N11" s="1">
        <f t="shared" si="0"/>
        <v>0.76442307692307698</v>
      </c>
      <c r="O11" s="2">
        <f t="shared" si="1"/>
        <v>-8.7500000000000092E-2</v>
      </c>
      <c r="P11" s="1">
        <f t="shared" si="2"/>
        <v>1.3999999999999986</v>
      </c>
      <c r="Q11" s="2">
        <f>(I11+I12)*P11/2</f>
        <v>0.64224999999999932</v>
      </c>
      <c r="R11" s="2">
        <f>IF(G25=0,H25^2*(H12-H11),((G25*H12+H25)^3-(G25*H11+H25)^3)/(3*G25))</f>
        <v>0.29638291666666616</v>
      </c>
      <c r="S11" s="2">
        <f>(G25/3)*((H12^3)-(H11^3))+(H25/2)*((H12^2)-(H11^2))</f>
        <v>7.3658666666666583</v>
      </c>
      <c r="V11" s="1" t="s">
        <v>1138</v>
      </c>
      <c r="W11" s="4" t="s">
        <v>1130</v>
      </c>
      <c r="X11" s="1" t="s">
        <v>1139</v>
      </c>
      <c r="Y11" s="22">
        <v>4</v>
      </c>
      <c r="Z11" s="1" t="s">
        <v>980</v>
      </c>
      <c r="AB11" s="29">
        <v>8</v>
      </c>
      <c r="AC11" s="22"/>
      <c r="AD11" s="22"/>
      <c r="AE11" s="22"/>
    </row>
    <row r="12" spans="2:34">
      <c r="B12" s="55" t="s">
        <v>854</v>
      </c>
      <c r="C12" s="55" t="s">
        <v>899</v>
      </c>
      <c r="D12" s="55"/>
      <c r="E12" s="55" t="s">
        <v>5</v>
      </c>
      <c r="G12" s="10" t="s">
        <v>1186</v>
      </c>
      <c r="H12" s="22">
        <v>12.2</v>
      </c>
      <c r="I12" s="22">
        <v>0.39750000000000002</v>
      </c>
      <c r="J12" s="22">
        <v>0.5</v>
      </c>
      <c r="K12" s="22">
        <v>36</v>
      </c>
      <c r="L12" s="4">
        <v>0.35</v>
      </c>
      <c r="M12" s="22" t="s">
        <v>711</v>
      </c>
      <c r="N12" s="1">
        <f t="shared" si="0"/>
        <v>0.25157232704402516</v>
      </c>
      <c r="O12" s="2">
        <f t="shared" si="1"/>
        <v>-0.49583333333333213</v>
      </c>
      <c r="P12" s="1">
        <f t="shared" si="2"/>
        <v>0.60000000000000142</v>
      </c>
      <c r="Q12" s="2">
        <f>(I12+I13)*P12/2</f>
        <v>0.14925000000000038</v>
      </c>
      <c r="R12" s="2">
        <f>IF(G26=0,H26^2*(H13-H12),((G26*H13+H26)^3-(G26*H12+H26)^3)/(3*G26))</f>
        <v>4.1551250000000081E-2</v>
      </c>
      <c r="S12" s="2">
        <f>(G26/3)*((H13^3)-(H12^3))+(H26/2)*((H13^2)-(H12^2))</f>
        <v>1.8567000000000178</v>
      </c>
      <c r="V12" s="1" t="s">
        <v>1204</v>
      </c>
      <c r="W12" s="4" t="s">
        <v>986</v>
      </c>
      <c r="X12" s="1" t="s">
        <v>1140</v>
      </c>
      <c r="Y12" s="22">
        <v>10</v>
      </c>
      <c r="Z12" s="1" t="s">
        <v>1141</v>
      </c>
      <c r="AB12" s="29">
        <v>9</v>
      </c>
      <c r="AC12" s="22"/>
      <c r="AD12" s="22"/>
      <c r="AE12" s="22"/>
    </row>
    <row r="13" spans="2:34">
      <c r="B13" s="55" t="s">
        <v>855</v>
      </c>
      <c r="C13" s="55" t="s">
        <v>900</v>
      </c>
      <c r="D13" s="55"/>
      <c r="E13" s="55" t="s">
        <v>266</v>
      </c>
      <c r="G13" s="10" t="s">
        <v>697</v>
      </c>
      <c r="H13" s="22">
        <v>12.8</v>
      </c>
      <c r="I13" s="22">
        <v>0.1</v>
      </c>
      <c r="J13" s="22">
        <v>0.5</v>
      </c>
      <c r="K13" s="22"/>
      <c r="L13" s="4">
        <v>-1</v>
      </c>
      <c r="M13" s="22" t="s">
        <v>677</v>
      </c>
      <c r="N13" s="1"/>
      <c r="O13" s="1"/>
      <c r="P13" s="1"/>
      <c r="Q13"/>
      <c r="R13"/>
      <c r="S13"/>
      <c r="V13" s="1" t="s">
        <v>1137</v>
      </c>
      <c r="W13" s="4" t="s">
        <v>137</v>
      </c>
      <c r="X13" s="1" t="s">
        <v>1205</v>
      </c>
      <c r="Y13" s="22">
        <v>0.5</v>
      </c>
      <c r="Z13" s="1" t="s">
        <v>979</v>
      </c>
      <c r="AB13" s="29">
        <v>10</v>
      </c>
      <c r="AC13" s="22"/>
      <c r="AD13" s="22"/>
      <c r="AE13" s="22"/>
    </row>
    <row r="14" spans="2:34">
      <c r="AE14"/>
      <c r="AF14"/>
    </row>
    <row r="16" spans="2:34">
      <c r="X16" s="28">
        <v>1</v>
      </c>
      <c r="Y16" s="1" t="s">
        <v>1239</v>
      </c>
    </row>
    <row r="17" spans="1:25">
      <c r="G17" s="10" t="s">
        <v>1182</v>
      </c>
      <c r="H17" s="10" t="s">
        <v>1183</v>
      </c>
      <c r="I17" s="10" t="s">
        <v>1184</v>
      </c>
      <c r="J17" s="10" t="s">
        <v>1183</v>
      </c>
      <c r="K17" s="10" t="s">
        <v>1185</v>
      </c>
      <c r="L17" s="10" t="s">
        <v>1183</v>
      </c>
    </row>
    <row r="18" spans="1:25">
      <c r="G18" s="1" t="s">
        <v>46</v>
      </c>
      <c r="H18" s="1" t="s">
        <v>46</v>
      </c>
      <c r="I18" s="1" t="s">
        <v>46</v>
      </c>
      <c r="J18" s="1" t="s">
        <v>46</v>
      </c>
      <c r="K18" s="1" t="s">
        <v>46</v>
      </c>
      <c r="L18" s="1" t="s">
        <v>46</v>
      </c>
    </row>
    <row r="19" spans="1:25" ht="21" thickBot="1">
      <c r="G19" s="20" t="s">
        <v>1180</v>
      </c>
      <c r="H19" s="20" t="s">
        <v>5</v>
      </c>
      <c r="I19" s="20" t="s">
        <v>1181</v>
      </c>
      <c r="J19" s="20" t="s">
        <v>318</v>
      </c>
      <c r="K19" s="20" t="s">
        <v>46</v>
      </c>
      <c r="L19" s="20" t="s">
        <v>5</v>
      </c>
      <c r="V19" s="1" t="s">
        <v>1258</v>
      </c>
      <c r="W19" s="1" t="s">
        <v>1259</v>
      </c>
      <c r="X19" s="22">
        <v>7.4999999999999997E-3</v>
      </c>
      <c r="Y19" s="1" t="s">
        <v>6</v>
      </c>
    </row>
    <row r="20" spans="1:25" ht="21" thickTop="1">
      <c r="G20" s="1" cm="1">
        <f t="array" ref="G20:H20">LINEST(I6:I7,H6:H7,TRUE,FALSE)</f>
        <v>0</v>
      </c>
      <c r="H20" s="2">
        <v>0.93</v>
      </c>
      <c r="I20" s="1" cm="1">
        <f t="array" ref="I20:J20">LINEST(J6:J7,H6:H7,TRUE,FALSE)</f>
        <v>0</v>
      </c>
      <c r="J20" s="2">
        <v>2</v>
      </c>
      <c r="K20" s="1" cm="1">
        <f t="array" ref="K20:L20">LINEST(L6:L7,H6:H7,TRUE,FALSE)</f>
        <v>0</v>
      </c>
      <c r="L20" s="2">
        <v>0.35</v>
      </c>
      <c r="V20" s="21" t="s">
        <v>1260</v>
      </c>
      <c r="W20" s="1" t="s">
        <v>1261</v>
      </c>
      <c r="X20" s="22">
        <v>7.4999999999999997E-3</v>
      </c>
      <c r="Y20" s="1" t="s">
        <v>6</v>
      </c>
    </row>
    <row r="21" spans="1:25">
      <c r="G21" s="1" cm="1">
        <f t="array" ref="G21:H21">LINEST(I7:I8,H7:H8,TRUE,FALSE)</f>
        <v>-4.1666666666666671E-2</v>
      </c>
      <c r="H21" s="1">
        <v>0.9966666666666667</v>
      </c>
      <c r="I21" s="1" cm="1">
        <f t="array" ref="I21:J21">LINEST(J7:J8,H7:H8,TRUE,FALSE)</f>
        <v>0</v>
      </c>
      <c r="J21" s="1">
        <v>2</v>
      </c>
      <c r="K21" s="1" cm="1">
        <f t="array" ref="K21:L21">LINEST(L7:L8,H7:H8,TRUE,FALSE)</f>
        <v>0</v>
      </c>
      <c r="L21" s="1">
        <v>0.35</v>
      </c>
      <c r="V21" s="1" t="s">
        <v>1262</v>
      </c>
      <c r="W21" s="1" t="s">
        <v>1263</v>
      </c>
      <c r="X21" s="22">
        <v>0.03</v>
      </c>
      <c r="Y21" s="1" t="s">
        <v>6</v>
      </c>
    </row>
    <row r="22" spans="1:25">
      <c r="G22" s="1" cm="1">
        <f t="array" ref="G22:H22">LINEST(I8:I9,H8:H9,TRUE,FALSE)</f>
        <v>-4.9999999999999996E-2</v>
      </c>
      <c r="H22" s="1">
        <v>1.04</v>
      </c>
      <c r="I22" s="1" cm="1">
        <f t="array" ref="I22:J22">LINEST(J8:J9,H8:H9,TRUE,FALSE)</f>
        <v>0</v>
      </c>
      <c r="J22" s="1">
        <v>2</v>
      </c>
      <c r="K22" s="1" cm="1">
        <f t="array" ref="K22:L22">LINEST(L8:L9,H8:H9,TRUE,FALSE)</f>
        <v>0</v>
      </c>
      <c r="L22" s="1">
        <v>0.35</v>
      </c>
    </row>
    <row r="23" spans="1:25">
      <c r="G23" s="1" cm="1">
        <f t="array" ref="G23:H23">LINEST(I9:I10,H9:H10,TRUE,FALSE)</f>
        <v>-5.0000000000000072E-2</v>
      </c>
      <c r="H23" s="1">
        <v>1.0400000000000005</v>
      </c>
      <c r="I23" s="1" cm="1">
        <f t="array" ref="I23:J23">LINEST(J9:J10,H9:H10,TRUE,FALSE)</f>
        <v>0</v>
      </c>
      <c r="J23" s="1">
        <v>2</v>
      </c>
      <c r="K23" s="1" cm="1">
        <f t="array" ref="K23:L23">LINEST(L9:L10,H9:H10,TRUE,FALSE)</f>
        <v>0</v>
      </c>
      <c r="L23" s="1">
        <v>0.35</v>
      </c>
    </row>
    <row r="24" spans="1:25">
      <c r="G24" s="1" cm="1">
        <f t="array" ref="G24:H24">LINEST(I10:I11,H10:H11,TRUE,FALSE)</f>
        <v>-4.0909090909090867E-2</v>
      </c>
      <c r="H24" s="1">
        <v>0.96181818181818135</v>
      </c>
      <c r="I24" s="1" cm="1">
        <f t="array" ref="I24:J24">LINEST(J10:J11,H10:H11,TRUE,FALSE)</f>
        <v>0</v>
      </c>
      <c r="J24" s="1">
        <v>2</v>
      </c>
      <c r="K24" s="1" cm="1">
        <f t="array" ref="K24:L24">LINEST(L10:L11,H10:H11,TRUE,FALSE)</f>
        <v>0</v>
      </c>
      <c r="L24" s="1">
        <v>0.35</v>
      </c>
    </row>
    <row r="25" spans="1:25">
      <c r="G25" s="1" cm="1">
        <f t="array" ref="G25:H25">LINEST(I11:I12,H11:H12,TRUE,FALSE)</f>
        <v>-8.7500000000000092E-2</v>
      </c>
      <c r="H25" s="1">
        <v>1.465000000000001</v>
      </c>
      <c r="I25" s="1" cm="1">
        <f t="array" ref="I25:J25">LINEST(J11:J12,H11:H12,TRUE,FALSE)</f>
        <v>-1.0714285714285725</v>
      </c>
      <c r="J25" s="1">
        <v>13.571428571428584</v>
      </c>
      <c r="K25" s="1" cm="1">
        <f t="array" ref="K25:L25">LINEST(L11:L12,H11:H12,TRUE,FALSE)</f>
        <v>0</v>
      </c>
      <c r="L25" s="1">
        <v>0.35</v>
      </c>
    </row>
    <row r="26" spans="1:25">
      <c r="G26" s="1" cm="1">
        <f t="array" ref="G26:H26">LINEST(I12:I13,H12:H13,TRUE,FALSE)</f>
        <v>-0.49583333333333224</v>
      </c>
      <c r="H26" s="1">
        <v>6.446666666666653</v>
      </c>
      <c r="I26" s="1" cm="1">
        <f t="array" ref="I26:J26">LINEST(J12:J13,H12:H13,TRUE,FALSE)</f>
        <v>0</v>
      </c>
      <c r="J26" s="1">
        <v>0.5</v>
      </c>
      <c r="K26" s="1" cm="1">
        <f t="array" ref="K26:L26">LINEST(L12:L13,H12:H13,TRUE,FALSE)</f>
        <v>-2.2499999999999947</v>
      </c>
      <c r="L26" s="1">
        <v>27.799999999999933</v>
      </c>
    </row>
    <row r="32" spans="1:25">
      <c r="A32"/>
      <c r="B32"/>
      <c r="C32"/>
      <c r="D32"/>
    </row>
    <row r="33" spans="1:63">
      <c r="A33"/>
      <c r="B33"/>
      <c r="C33"/>
      <c r="D33"/>
    </row>
    <row r="36" spans="1:63">
      <c r="B36" s="10" t="s">
        <v>1179</v>
      </c>
      <c r="C36" s="238">
        <v>60</v>
      </c>
      <c r="D36" s="223" t="s">
        <v>46</v>
      </c>
      <c r="F36" s="3" t="s">
        <v>788</v>
      </c>
    </row>
    <row r="37" spans="1:63">
      <c r="B37" s="10" t="s">
        <v>1175</v>
      </c>
      <c r="C37" s="222">
        <v>0.8</v>
      </c>
      <c r="D37" s="223" t="s">
        <v>5</v>
      </c>
      <c r="F37" s="136" t="s">
        <v>764</v>
      </c>
      <c r="G37" s="136" t="s">
        <v>765</v>
      </c>
      <c r="H37" s="136" t="s">
        <v>766</v>
      </c>
      <c r="I37" s="136" t="s">
        <v>1174</v>
      </c>
      <c r="AX37" s="3" t="s">
        <v>974</v>
      </c>
      <c r="AY37" s="3" t="s">
        <v>1257</v>
      </c>
    </row>
    <row r="38" spans="1:63">
      <c r="B38" s="10" t="s">
        <v>896</v>
      </c>
      <c r="C38" s="222">
        <v>0.2</v>
      </c>
      <c r="D38" s="223" t="s">
        <v>37</v>
      </c>
      <c r="F38" s="1">
        <f>主桁!C7</f>
        <v>1.4</v>
      </c>
      <c r="G38" s="1">
        <f>主桁!C9</f>
        <v>4.9000000000000004</v>
      </c>
      <c r="H38" s="1">
        <f>主桁!C11</f>
        <v>8.4</v>
      </c>
      <c r="I38" s="1">
        <f>主桁!C13</f>
        <v>12.2</v>
      </c>
      <c r="AX38" s="3">
        <f>0.095</f>
        <v>9.5000000000000001E-2</v>
      </c>
      <c r="AY38" s="3">
        <v>2.0499999999999998</v>
      </c>
    </row>
    <row r="39" spans="1:63">
      <c r="BF39" s="3" t="s">
        <v>1209</v>
      </c>
    </row>
    <row r="40" spans="1:63">
      <c r="B40" s="3" t="s">
        <v>712</v>
      </c>
      <c r="H40" s="3" t="s">
        <v>800</v>
      </c>
      <c r="L40" s="3" t="s">
        <v>730</v>
      </c>
      <c r="M40"/>
      <c r="AC40" s="3" t="s">
        <v>973</v>
      </c>
      <c r="AM40" s="3" t="s">
        <v>1211</v>
      </c>
      <c r="AS40" s="3" t="s">
        <v>1223</v>
      </c>
      <c r="AX40" s="3" t="s">
        <v>794</v>
      </c>
      <c r="BF40" s="1">
        <f>SUM(BF44:BF150)/1000</f>
        <v>9.1784962713519871</v>
      </c>
      <c r="BG40" s="1">
        <f>SUM(BG44:BG150)/1000</f>
        <v>5.5340886451718774</v>
      </c>
      <c r="BH40" s="1">
        <f>BF40+BG40</f>
        <v>14.712584916523864</v>
      </c>
      <c r="BI40" s="3" t="s">
        <v>24</v>
      </c>
    </row>
    <row r="41" spans="1:63">
      <c r="B41" s="10" t="s">
        <v>713</v>
      </c>
      <c r="C41" s="12" t="s">
        <v>1178</v>
      </c>
      <c r="D41" s="10" t="s">
        <v>681</v>
      </c>
      <c r="E41" s="12" t="s">
        <v>969</v>
      </c>
      <c r="F41" s="10" t="s">
        <v>965</v>
      </c>
      <c r="G41" s="44" t="s">
        <v>966</v>
      </c>
      <c r="H41" s="14" t="s">
        <v>707</v>
      </c>
      <c r="I41" s="12" t="s">
        <v>1146</v>
      </c>
      <c r="J41" s="12" t="s">
        <v>1147</v>
      </c>
      <c r="K41" s="44" t="s">
        <v>727</v>
      </c>
      <c r="L41" s="14" t="s">
        <v>757</v>
      </c>
      <c r="M41" s="10" t="s">
        <v>758</v>
      </c>
      <c r="N41" s="10" t="s">
        <v>759</v>
      </c>
      <c r="O41" s="12" t="s">
        <v>731</v>
      </c>
      <c r="P41" s="10" t="s">
        <v>732</v>
      </c>
      <c r="Q41" s="10" t="s">
        <v>802</v>
      </c>
      <c r="R41" s="10" t="s">
        <v>342</v>
      </c>
      <c r="S41" s="10" t="s">
        <v>355</v>
      </c>
      <c r="T41" s="10" t="s">
        <v>805</v>
      </c>
      <c r="U41" s="10" t="s">
        <v>367</v>
      </c>
      <c r="V41" s="10" t="s">
        <v>807</v>
      </c>
      <c r="W41" s="10" t="s">
        <v>349</v>
      </c>
      <c r="X41" s="10" t="s">
        <v>733</v>
      </c>
      <c r="Y41" s="10" t="s">
        <v>735</v>
      </c>
      <c r="Z41" s="10" t="s">
        <v>734</v>
      </c>
      <c r="AA41" s="10" t="s">
        <v>738</v>
      </c>
      <c r="AB41" s="44" t="s">
        <v>736</v>
      </c>
      <c r="AC41" s="13" t="s">
        <v>1189</v>
      </c>
      <c r="AD41" s="14" t="s">
        <v>1190</v>
      </c>
      <c r="AE41" s="14" t="s">
        <v>1191</v>
      </c>
      <c r="AF41" s="14" t="s">
        <v>1192</v>
      </c>
      <c r="AG41" s="10" t="s">
        <v>715</v>
      </c>
      <c r="AH41" s="10" t="s">
        <v>716</v>
      </c>
      <c r="AI41" s="10" t="s">
        <v>1176</v>
      </c>
      <c r="AJ41" s="10" t="s">
        <v>901</v>
      </c>
      <c r="AK41" s="14" t="s">
        <v>339</v>
      </c>
      <c r="AL41" s="10" t="s">
        <v>714</v>
      </c>
      <c r="AM41" s="12" t="s">
        <v>1217</v>
      </c>
      <c r="AN41" s="10" t="s">
        <v>1212</v>
      </c>
      <c r="AO41" s="10" t="s">
        <v>1218</v>
      </c>
      <c r="AP41" s="10" t="s">
        <v>1219</v>
      </c>
      <c r="AQ41" s="10" t="s">
        <v>1213</v>
      </c>
      <c r="AR41" s="10" t="s">
        <v>1214</v>
      </c>
      <c r="AS41" s="10" t="s">
        <v>974</v>
      </c>
      <c r="AT41" s="10" t="s">
        <v>975</v>
      </c>
      <c r="AU41" s="189" t="s">
        <v>978</v>
      </c>
      <c r="AV41" s="12" t="s">
        <v>976</v>
      </c>
      <c r="AW41" s="44" t="s">
        <v>977</v>
      </c>
      <c r="AX41" s="14" t="s">
        <v>769</v>
      </c>
      <c r="AY41" s="10" t="s">
        <v>771</v>
      </c>
      <c r="AZ41" s="10" t="s">
        <v>772</v>
      </c>
      <c r="BA41" s="10" t="s">
        <v>775</v>
      </c>
      <c r="BB41" s="10" t="s">
        <v>1200</v>
      </c>
      <c r="BC41" s="10" t="s">
        <v>1203</v>
      </c>
      <c r="BD41" s="10" t="s">
        <v>1208</v>
      </c>
      <c r="BE41" s="12" t="s">
        <v>798</v>
      </c>
      <c r="BF41" s="10" t="s">
        <v>1194</v>
      </c>
      <c r="BG41" s="10" t="s">
        <v>1193</v>
      </c>
      <c r="BH41" s="10" t="s">
        <v>1210</v>
      </c>
      <c r="BI41" s="112" t="s">
        <v>1195</v>
      </c>
      <c r="BJ41" s="112"/>
      <c r="BK41" s="235"/>
    </row>
    <row r="42" spans="1:63">
      <c r="B42" s="1" t="s">
        <v>722</v>
      </c>
      <c r="C42" s="9" t="s">
        <v>22</v>
      </c>
      <c r="D42" s="1" t="s">
        <v>682</v>
      </c>
      <c r="E42" s="9" t="s">
        <v>672</v>
      </c>
      <c r="F42" s="64" t="s">
        <v>723</v>
      </c>
      <c r="G42" s="185" t="s">
        <v>723</v>
      </c>
      <c r="H42" s="23" t="s">
        <v>723</v>
      </c>
      <c r="I42" s="9" t="s">
        <v>723</v>
      </c>
      <c r="J42" s="9" t="s">
        <v>723</v>
      </c>
      <c r="K42" s="70" t="s">
        <v>723</v>
      </c>
      <c r="L42" s="233" t="s">
        <v>369</v>
      </c>
      <c r="M42" s="64" t="s">
        <v>372</v>
      </c>
      <c r="N42" s="64" t="s">
        <v>910</v>
      </c>
      <c r="O42" s="186" t="s">
        <v>739</v>
      </c>
      <c r="P42" s="64" t="s">
        <v>740</v>
      </c>
      <c r="Q42" s="64" t="s">
        <v>803</v>
      </c>
      <c r="R42" s="64" t="s">
        <v>741</v>
      </c>
      <c r="S42" s="64" t="s">
        <v>742</v>
      </c>
      <c r="T42" s="64" t="s">
        <v>806</v>
      </c>
      <c r="U42" s="64" t="s">
        <v>743</v>
      </c>
      <c r="V42" s="64" t="s">
        <v>746</v>
      </c>
      <c r="W42" s="64" t="s">
        <v>744</v>
      </c>
      <c r="X42" s="64" t="s">
        <v>745</v>
      </c>
      <c r="Y42" s="64" t="s">
        <v>749</v>
      </c>
      <c r="Z42" s="64" t="s">
        <v>748</v>
      </c>
      <c r="AA42" s="64" t="s">
        <v>752</v>
      </c>
      <c r="AB42" s="185" t="s">
        <v>750</v>
      </c>
      <c r="AC42" s="71" t="s">
        <v>723</v>
      </c>
      <c r="AD42" s="23" t="s">
        <v>723</v>
      </c>
      <c r="AE42" s="23" t="s">
        <v>723</v>
      </c>
      <c r="AF42" s="23" t="s">
        <v>723</v>
      </c>
      <c r="AG42" s="1" t="s">
        <v>970</v>
      </c>
      <c r="AH42" s="1" t="s">
        <v>971</v>
      </c>
      <c r="AI42" s="1" t="s">
        <v>1177</v>
      </c>
      <c r="AJ42" s="1" t="s">
        <v>902</v>
      </c>
      <c r="AK42" s="23" t="s">
        <v>739</v>
      </c>
      <c r="AL42" s="1" t="s">
        <v>904</v>
      </c>
      <c r="AM42" s="186" t="s">
        <v>1220</v>
      </c>
      <c r="AN42" s="64" t="s">
        <v>747</v>
      </c>
      <c r="AO42" s="64" t="s">
        <v>1221</v>
      </c>
      <c r="AP42" s="64" t="s">
        <v>1222</v>
      </c>
      <c r="AQ42" s="64" t="s">
        <v>1216</v>
      </c>
      <c r="AR42" s="64" t="s">
        <v>1215</v>
      </c>
      <c r="AS42" s="64"/>
      <c r="AT42" s="64"/>
      <c r="AU42" s="190" t="s">
        <v>723</v>
      </c>
      <c r="AV42" s="9" t="s">
        <v>723</v>
      </c>
      <c r="AW42" s="70" t="s">
        <v>723</v>
      </c>
      <c r="AX42" s="23" t="s">
        <v>45</v>
      </c>
      <c r="AY42" s="1" t="s">
        <v>45</v>
      </c>
      <c r="AZ42" s="1" t="s">
        <v>45</v>
      </c>
      <c r="BA42" s="1" t="s">
        <v>45</v>
      </c>
      <c r="BB42" s="1" t="s">
        <v>45</v>
      </c>
      <c r="BC42" s="1" t="s">
        <v>45</v>
      </c>
      <c r="BD42" s="1" t="s">
        <v>45</v>
      </c>
      <c r="BE42" s="9" t="s">
        <v>45</v>
      </c>
      <c r="BF42" s="1" t="s">
        <v>45</v>
      </c>
      <c r="BG42" s="64" t="s">
        <v>45</v>
      </c>
      <c r="BH42" s="64" t="s">
        <v>45</v>
      </c>
      <c r="BI42" s="1" t="s">
        <v>1196</v>
      </c>
      <c r="BJ42" s="1" t="s">
        <v>1197</v>
      </c>
      <c r="BK42" s="70" t="s">
        <v>1198</v>
      </c>
    </row>
    <row r="43" spans="1:63" ht="21" thickBot="1">
      <c r="B43" s="21" t="s">
        <v>723</v>
      </c>
      <c r="C43" s="132" t="s">
        <v>724</v>
      </c>
      <c r="D43" s="21" t="s">
        <v>837</v>
      </c>
      <c r="E43" s="132" t="s">
        <v>724</v>
      </c>
      <c r="F43" s="131" t="s">
        <v>723</v>
      </c>
      <c r="G43" s="215" t="s">
        <v>723</v>
      </c>
      <c r="H43" s="183" t="s">
        <v>46</v>
      </c>
      <c r="I43" s="132" t="s">
        <v>667</v>
      </c>
      <c r="J43" s="132" t="s">
        <v>667</v>
      </c>
      <c r="K43" s="184" t="s">
        <v>667</v>
      </c>
      <c r="L43" s="234" t="s">
        <v>279</v>
      </c>
      <c r="M43" s="131" t="s">
        <v>279</v>
      </c>
      <c r="N43" s="131" t="s">
        <v>804</v>
      </c>
      <c r="O43" s="187" t="s">
        <v>753</v>
      </c>
      <c r="P43" s="131" t="s">
        <v>723</v>
      </c>
      <c r="Q43" s="131" t="s">
        <v>723</v>
      </c>
      <c r="R43" s="131" t="s">
        <v>723</v>
      </c>
      <c r="S43" s="131" t="s">
        <v>723</v>
      </c>
      <c r="T43" s="131" t="s">
        <v>723</v>
      </c>
      <c r="U43" s="131" t="s">
        <v>723</v>
      </c>
      <c r="V43" s="131" t="s">
        <v>723</v>
      </c>
      <c r="W43" s="131" t="s">
        <v>754</v>
      </c>
      <c r="X43" s="131" t="s">
        <v>754</v>
      </c>
      <c r="Y43" s="131" t="s">
        <v>755</v>
      </c>
      <c r="Z43" s="131" t="s">
        <v>755</v>
      </c>
      <c r="AA43" s="131" t="s">
        <v>755</v>
      </c>
      <c r="AB43" s="215" t="s">
        <v>756</v>
      </c>
      <c r="AC43" s="268" t="s">
        <v>45</v>
      </c>
      <c r="AD43" s="133" t="s">
        <v>45</v>
      </c>
      <c r="AE43" s="133" t="s">
        <v>45</v>
      </c>
      <c r="AF43" s="133" t="s">
        <v>45</v>
      </c>
      <c r="AG43" s="20" t="s">
        <v>724</v>
      </c>
      <c r="AH43" s="20" t="s">
        <v>724</v>
      </c>
      <c r="AI43" s="20" t="s">
        <v>724</v>
      </c>
      <c r="AJ43" s="20" t="s">
        <v>724</v>
      </c>
      <c r="AK43" s="133" t="s">
        <v>266</v>
      </c>
      <c r="AL43" s="20" t="s">
        <v>266</v>
      </c>
      <c r="AM43" s="187" t="s">
        <v>753</v>
      </c>
      <c r="AN43" s="131" t="s">
        <v>753</v>
      </c>
      <c r="AO43" s="131" t="s">
        <v>724</v>
      </c>
      <c r="AP43" s="131" t="s">
        <v>724</v>
      </c>
      <c r="AQ43" s="131" t="s">
        <v>724</v>
      </c>
      <c r="AR43" s="131" t="s">
        <v>753</v>
      </c>
      <c r="AS43" s="131" t="s">
        <v>404</v>
      </c>
      <c r="AT43" s="131" t="s">
        <v>5</v>
      </c>
      <c r="AU43" s="191" t="s">
        <v>724</v>
      </c>
      <c r="AV43" s="132" t="s">
        <v>724</v>
      </c>
      <c r="AW43" s="184" t="s">
        <v>724</v>
      </c>
      <c r="AX43" s="188" t="s">
        <v>797</v>
      </c>
      <c r="AY43" s="137" t="s">
        <v>797</v>
      </c>
      <c r="AZ43" s="137" t="s">
        <v>797</v>
      </c>
      <c r="BA43" s="20" t="s">
        <v>797</v>
      </c>
      <c r="BB43" s="20" t="s">
        <v>797</v>
      </c>
      <c r="BC43" s="20" t="s">
        <v>797</v>
      </c>
      <c r="BD43" s="20" t="s">
        <v>797</v>
      </c>
      <c r="BE43" s="192" t="s">
        <v>797</v>
      </c>
      <c r="BF43" s="137" t="s">
        <v>797</v>
      </c>
      <c r="BG43" s="131" t="s">
        <v>797</v>
      </c>
      <c r="BH43" s="130" t="s">
        <v>6</v>
      </c>
      <c r="BI43" s="20" t="s">
        <v>404</v>
      </c>
      <c r="BJ43" s="20" t="s">
        <v>404</v>
      </c>
      <c r="BK43" s="236" t="s">
        <v>404</v>
      </c>
    </row>
    <row r="44" spans="1:63" ht="21" thickTop="1">
      <c r="B44" s="225">
        <v>0</v>
      </c>
      <c r="C44" s="25">
        <v>0</v>
      </c>
      <c r="D44" s="25">
        <f>IF($C44&lt;$H$7,$G$20*$C44+$H$20,IF($C44&lt;$H$8,$G$21*$C44+$H$21,IF($C44&lt;$H$9,$G$22*$C44+$H$22,IF($C44&lt;$H$10,$G$23*$C44+$H$23,IF($C44&lt;$H$11,$G$24*$C44+$H$24,IF($C44&lt;$H$12,$G$25*$C44+$H$25,$G$26*$C44+$H$26))))))*10^3</f>
        <v>930</v>
      </c>
      <c r="E44" s="50">
        <f>C37</f>
        <v>0.8</v>
      </c>
      <c r="F44" s="50" t="str">
        <f>IF(C44&lt;$H$7,"flat",IF(C44&lt;$H$8,"1st",IF(C44&lt;$H$9,"2nd",IF(C44&lt;$H$10,"3rd",IF(C44&lt;$H$11,"4th",IF(C44&lt;$H$12,"5th","6th"))))))</f>
        <v>flat</v>
      </c>
      <c r="G44" s="72" t="str">
        <f>IF(OR(C44=$F$38,C44=$G$38,C44=$H$38),"端リブ",IF(C44&lt;$F$38,"0番",IF(C44&lt;$G$38,"1番",IF(C44&lt;$H$38,"2番",IF(C44&lt;$I$38,"3番","ウィングレット")))))</f>
        <v>0番</v>
      </c>
      <c r="H44" s="73">
        <f>IF($C44&lt;$H$7,$K$20*$C44+$L$20,IF($C44&lt;$H$8,$K$21*$C44+$L$21,IF($C44&lt;$H$9,$K$22*$C44+$L$22,IF($C44&lt;$H$10,$K$23*$C44+$L$24,IF($C44&lt;$H$11,$K$24*$C44+$L$23,IF($C44&lt;$H$12,$K$25*$C44+$L$25,$K$26*$C44+$L$26))))))</f>
        <v>0.35</v>
      </c>
      <c r="I44" s="221">
        <f>主桁!AD6*2</f>
        <v>113.39</v>
      </c>
      <c r="J44" s="25">
        <f>主桁!AE6*2</f>
        <v>113.39</v>
      </c>
      <c r="K44" s="226"/>
      <c r="L44" s="230"/>
      <c r="M44" s="229"/>
      <c r="N44" s="229"/>
      <c r="O44" s="228"/>
      <c r="P44" s="229"/>
      <c r="Q44" s="229"/>
      <c r="R44" s="229"/>
      <c r="S44" s="229"/>
      <c r="T44" s="229"/>
      <c r="U44" s="229"/>
      <c r="V44" s="229"/>
      <c r="W44" s="229"/>
      <c r="X44" s="229"/>
      <c r="Y44" s="229"/>
      <c r="Z44" s="229"/>
      <c r="AA44" s="229"/>
      <c r="AB44" s="229"/>
      <c r="AC44" s="73" t="str">
        <f>IF($C44&lt;$H$7,$M$6,IF($C44&lt;$H$8,$M$7,IF($C44&lt;$H$9,$M$8,IF($C44&lt;$H$10,$M$9,IF($C44&lt;$H$11,$M$10,IF($C44&lt;$H$12,$M$11,$M$12))))))</f>
        <v>QX0023</v>
      </c>
      <c r="AD44" s="25">
        <f>100-AF44</f>
        <v>100</v>
      </c>
      <c r="AE44" s="25" t="str">
        <f>IF($C44&lt;$H$7,$M$7,IF($C44&lt;$H$8,$M$8,IF($C44&lt;$H$9,$M$9,IF($C44&lt;$H$10,$M$10,IF($C44&lt;$H$11,$M$11,IF($C44&lt;$H$12,$M$12,$M$13))))))</f>
        <v>QX0023</v>
      </c>
      <c r="AF44" s="25">
        <f>IF(AC44=AE44,0,IF($C44&lt;$H$7,($C44-$H$6)/($H$7-$H$6),IF($C44&lt;$H$8,($C44-$H$7)/($H$8-$H$7),IF($C44&lt;$H$9,($C44-$H$8)/($H$9-$H$8),IF($C44&lt;$H$10,($C44-$H$9)/($H$10-$H$9),IF($C44&lt;$H$11,($C44-$H$10)/($H$11-$H$10),IF($C44&lt;$H$12,($C44-$H$11)/($H$12-$H$11),($C44-$H$12)/($H$13-$H$12))))))))*100</f>
        <v>0</v>
      </c>
      <c r="AG44" s="25">
        <f>D44*H44/1000</f>
        <v>0.32550000000000001</v>
      </c>
      <c r="AH44" s="25">
        <f>AG44-D44/1000</f>
        <v>-0.60450000000000004</v>
      </c>
      <c r="AI44" s="25">
        <v>0</v>
      </c>
      <c r="AJ44" s="25">
        <v>0</v>
      </c>
      <c r="AK44" s="25">
        <f>IF($C44&lt;$H$7,$I$20*$C44+$J$20,IF($C44&lt;$H$8,$I$21*$C44+$J$21,IF($C44&lt;$H$9,$I$22*$C44+$J$22,IF($C44&lt;$H$10,$I$23*$C44+$J$23,IF($C44&lt;$H$11,$I$24*$C44+$J$24,IF($C44&lt;$H$12,$I$25*$C44+$J$25,$I$26*$C44+$J$26))))))</f>
        <v>2</v>
      </c>
      <c r="AL44" s="224">
        <f>IF($C44&lt;$H$7,$K$6,IF($C44&lt;$H$8,$K$7,IF($C44&lt;$H$9,$K$8,IF($C44&lt;$H$10,$K$9,IF($C44&lt;$H$11,$K$10,IF($C44&lt;$H$12,$K$11,$K$12))))))</f>
        <v>0</v>
      </c>
      <c r="AM44" s="228"/>
      <c r="AN44" s="229"/>
      <c r="AO44" s="229">
        <v>0</v>
      </c>
      <c r="AP44" s="229">
        <v>0</v>
      </c>
      <c r="AQ44" s="229"/>
      <c r="AR44" s="229"/>
      <c r="AS44" s="229">
        <f>$AX$38*(D44/10^3)^2</f>
        <v>8.2165500000000016E-2</v>
      </c>
      <c r="AT44" s="229">
        <f>D44*$AY$38/10^3</f>
        <v>1.9064999999999999</v>
      </c>
      <c r="AU44" s="229">
        <f>$AT$44*0.85/2</f>
        <v>0.81026249999999989</v>
      </c>
      <c r="AV44" s="229">
        <f>AT44*0.75/2</f>
        <v>0.7149375</v>
      </c>
      <c r="AW44" s="226">
        <f>AT44*0.4/2</f>
        <v>0.38129999999999997</v>
      </c>
      <c r="AX44" s="73">
        <f>AS44*$Y$4*パラメータ!$D$24</f>
        <v>27.114615000000004</v>
      </c>
      <c r="AY44" s="25">
        <f>AU44*$Y$5*E44*パラメータ!$D$30</f>
        <v>110.19569999999999</v>
      </c>
      <c r="AZ44" s="25">
        <f>SUMPRODUCT($AD$4:$AD$10,$AE$4:$AE$10)*E44*パラメータ!$D$28*10^-3</f>
        <v>51</v>
      </c>
      <c r="BA44" s="25">
        <f>(AV44+AW44)*$Y$6*$Y$4*パラメータ!$D$22*10^-3</f>
        <v>7.3996031249999987</v>
      </c>
      <c r="BB44" s="25">
        <f>($Y$8*$Y$9*パラメータ!$D$22+0.5*$Y$8^2*SIN(RADIANS($Y$10))*パラメータ!$D$25)*E44*10^-3</f>
        <v>13.232591521159183</v>
      </c>
      <c r="BC44" s="25">
        <f>AT44*($Y$12)</f>
        <v>19.064999999999998</v>
      </c>
      <c r="BD44" s="25">
        <f>$Y$11</f>
        <v>4</v>
      </c>
      <c r="BE44" s="1">
        <f>IF(G44="端リブ",AS44*$Y$13*パラメータ!$D$22*2,0)</f>
        <v>0</v>
      </c>
      <c r="BF44" s="25">
        <f>主桁!AV6*1000</f>
        <v>0</v>
      </c>
      <c r="BG44" s="25">
        <f>SUM(AX44:BE44)</f>
        <v>232.00750964615918</v>
      </c>
      <c r="BH44" s="25">
        <f>(BF44+BG44)/1000</f>
        <v>0.23200750964615918</v>
      </c>
      <c r="BI44" s="25" t="e">
        <f>(AO44-重量分布!$E$15)^2+(AP44-重量分布!$F$15)^2</f>
        <v>#REF!</v>
      </c>
      <c r="BJ44" s="25" t="e">
        <f>(AP44-重量分布!$F$15)^2</f>
        <v>#REF!</v>
      </c>
      <c r="BK44" s="267">
        <f>(AO44-重量分布!$E$15)^2</f>
        <v>0</v>
      </c>
    </row>
    <row r="45" spans="1:63">
      <c r="B45" s="113">
        <v>1</v>
      </c>
      <c r="C45" s="1">
        <f>C44+E44</f>
        <v>0.8</v>
      </c>
      <c r="D45" s="2">
        <f>IF($C45&lt;$H$7,$G$20*$C45+$H$20,IF($C45&lt;$H$8,$G$21*$C45+$H$21,IF($C45&lt;$H$9,$G$22*$C45+$H$22,IF($C45&lt;$H$10,$G$23*$C45+$H$23,IF($C45&lt;$H$11,$G$24*$C45+$H$24,IF($C45&lt;$H$12,$G$25*$C45+$H$25,$G$26*$C45+$H$26))))))*10^3</f>
        <v>930</v>
      </c>
      <c r="E45" s="4">
        <v>0.2</v>
      </c>
      <c r="F45" s="4" t="str">
        <f>IF(C45&lt;$H$7,"flat",IF(C45&lt;$H$8,"1st",IF(C45&lt;$H$9,"2nd",IF(C45&lt;$H$10,"3rd",IF(C45&lt;$H$11,"4th",IF(C45&lt;$H$12,"5th","6th"))))))</f>
        <v>flat</v>
      </c>
      <c r="G45" s="75" t="str">
        <f>IF(OR(C45=$F$38,C45=$G$38,C45=$H$38),"端リブ",IF(C45&lt;$F$38,"0番",IF(C45&lt;$G$38,"1番",IF(C45&lt;$H$38,"2番",IF(C45&lt;$I$38,"3番","ウィングレット")))))</f>
        <v>0番</v>
      </c>
      <c r="H45" s="71">
        <f>IF($C45&lt;$H$7,$K$20*$C45+$L$20,IF($C45&lt;$H$8,$K$21*$C45+$L$21,IF($C45&lt;$H$9,$K$22*$C45+$L$22,IF($C45&lt;$H$10,$K$23*$C45+$L$24,IF($C45&lt;$H$11,$K$24*$C45+$L$23,IF($C45&lt;$H$12,$K$25*$C45+$L$25,$K$26*$C45+$L$26))))))</f>
        <v>0.35</v>
      </c>
      <c r="I45" s="9">
        <f>主桁!AD7*2</f>
        <v>113.39</v>
      </c>
      <c r="J45" s="1">
        <f>主桁!AE7*2</f>
        <v>113.39</v>
      </c>
      <c r="K45" s="264"/>
      <c r="L45" s="266"/>
      <c r="M45" s="199"/>
      <c r="N45" s="199"/>
      <c r="O45" s="265"/>
      <c r="P45" s="199"/>
      <c r="Q45" s="199"/>
      <c r="R45" s="199"/>
      <c r="S45" s="199"/>
      <c r="T45" s="199"/>
      <c r="U45" s="199"/>
      <c r="V45" s="199"/>
      <c r="W45" s="199"/>
      <c r="X45" s="199"/>
      <c r="Y45" s="199"/>
      <c r="Z45" s="199"/>
      <c r="AA45" s="199"/>
      <c r="AB45" s="199"/>
      <c r="AC45" s="6" t="str">
        <f>IF($C45&lt;$H$7,$M$6,IF($C45&lt;$H$8,$M$7,IF($C45&lt;$H$9,$M$8,IF($C45&lt;$H$10,$M$9,IF($C45&lt;$H$11,$M$10,IF($C45&lt;$H$12,$M$11,$M$12))))))</f>
        <v>QX0023</v>
      </c>
      <c r="AD45" s="2">
        <f>100-AF45</f>
        <v>100</v>
      </c>
      <c r="AE45" s="2" t="str">
        <f>IF($C45&lt;$H$7,$M$7,IF($C45&lt;$H$8,$M$8,IF($C45&lt;$H$9,$M$9,IF($C45&lt;$H$10,$M$10,IF($C45&lt;$H$11,$M$11,IF($C45&lt;$H$12,$M$12,$M$13))))))</f>
        <v>QX0023</v>
      </c>
      <c r="AF45" s="2">
        <f>IF(AC45=AE45,0,IF($C45&lt;$H$7,($C45-$H$6)/($H$7-$H$6),IF($C45&lt;$H$8,($C45-$H$7)/($H$8-$H$7),IF($C45&lt;$H$9,($C45-$H$8)/($H$9-$H$8),IF($C45&lt;$H$10,($C45-$H$9)/($H$10-$H$9),IF($C45&lt;$H$11,($C45-$H$10)/($H$11-$H$10),IF($C45&lt;$H$12,($C45-$H$11)/($H$12-$H$11),($C45-$H$12)/($H$13-$H$12))))))))*100</f>
        <v>0</v>
      </c>
      <c r="AG45" s="2">
        <f>D45*H45/1000</f>
        <v>0.32550000000000001</v>
      </c>
      <c r="AH45" s="2">
        <f>AG45-D45/1000</f>
        <v>-0.60450000000000004</v>
      </c>
      <c r="AI45" s="2">
        <v>0</v>
      </c>
      <c r="AJ45" s="2">
        <v>0</v>
      </c>
      <c r="AK45" s="2">
        <f>IF($C45&lt;$H$7,$I$20*$C45+$J$20,IF($C45&lt;$H$8,$I$21*$C45+$J$21,IF($C45&lt;$H$9,$I$22*$C45+$J$22,IF($C45&lt;$H$10,$I$23*$C45+$J$23,IF($C45&lt;$H$11,$I$24*$C45+$J$24,IF($C45&lt;$H$12,$I$25*$C45+$J$25,$I$26*$C45+$J$26))))))</f>
        <v>2</v>
      </c>
      <c r="AL45" s="7">
        <f>IF($C45&lt;$H$7,$K$6,IF($C45&lt;$H$8,$K$7,IF($C45&lt;$H$9,$K$8,IF($C45&lt;$H$10,$K$9,IF($C45&lt;$H$11,$K$10,IF($C45&lt;$H$12,$K$11,$K$12))))))</f>
        <v>0</v>
      </c>
      <c r="AM45" s="265"/>
      <c r="AN45" s="199"/>
      <c r="AO45" s="199"/>
      <c r="AP45" s="199"/>
      <c r="AQ45" s="199"/>
      <c r="AR45" s="199"/>
      <c r="AS45" s="86">
        <f>$AX$38*(D45/10^3)^2</f>
        <v>8.2165500000000016E-2</v>
      </c>
      <c r="AT45" s="86">
        <f>D45*$AY$38/10^3</f>
        <v>1.9064999999999999</v>
      </c>
      <c r="AU45" s="86">
        <f t="shared" ref="AU45:AU107" si="3">$AT$44*0.85/2</f>
        <v>0.81026249999999989</v>
      </c>
      <c r="AV45" s="86">
        <f t="shared" ref="AV45:AV107" si="4">AT45*0.75/2</f>
        <v>0.7149375</v>
      </c>
      <c r="AW45" s="227">
        <f t="shared" ref="AW45:AW107" si="5">AT45*0.4/2</f>
        <v>0.38129999999999997</v>
      </c>
      <c r="AX45" s="6">
        <f>AS45*$Y$4*パラメータ!$D$24</f>
        <v>27.114615000000004</v>
      </c>
      <c r="AY45" s="2">
        <f>AU45*$Y$5*E45*パラメータ!$D$30</f>
        <v>27.548924999999997</v>
      </c>
      <c r="AZ45" s="2">
        <f>SUMPRODUCT($AD$4:$AD$10,$AE$4:$AE$10)*E45*パラメータ!$D$28*10^-3</f>
        <v>12.75</v>
      </c>
      <c r="BA45" s="2">
        <f>(AV45+AW45)*$Y$6*$Y$4*パラメータ!$D$22*10^-3</f>
        <v>7.3996031249999987</v>
      </c>
      <c r="BB45" s="2">
        <f>($Y$8*$Y$9*パラメータ!$D$22+0.5*$Y$8^2*SIN(RADIANS($Y$10))*パラメータ!$D$25)*E45*10^-3</f>
        <v>3.3081478802897957</v>
      </c>
      <c r="BC45" s="2">
        <f>AT45*($Y$12)</f>
        <v>19.064999999999998</v>
      </c>
      <c r="BD45" s="2">
        <f>$Y$11</f>
        <v>4</v>
      </c>
      <c r="BE45" s="1">
        <f>IF(G45="端リブ",AS45*$Y$13*パラメータ!$D$22*2,0)</f>
        <v>0</v>
      </c>
      <c r="BF45" s="1">
        <f>主桁!AV7*1000</f>
        <v>713.75277206480428</v>
      </c>
      <c r="BG45" s="2">
        <f>SUM(AX45:BE45)</f>
        <v>101.18629100528979</v>
      </c>
      <c r="BH45" s="2">
        <f>(BF45+BG45)/1000</f>
        <v>0.81493906307009412</v>
      </c>
      <c r="BI45" s="2" t="e">
        <f>(AO45-重量分布!$E$15)^2+(AP45-重量分布!$F$15)^2</f>
        <v>#REF!</v>
      </c>
      <c r="BJ45" s="2" t="e">
        <f>(AP45-重量分布!$F$15)^2</f>
        <v>#REF!</v>
      </c>
      <c r="BK45" s="237">
        <f>(AO45-重量分布!$E$15)^2</f>
        <v>0</v>
      </c>
    </row>
    <row r="46" spans="1:63">
      <c r="B46" s="29">
        <v>2</v>
      </c>
      <c r="C46" s="1">
        <f>C45+E45</f>
        <v>1</v>
      </c>
      <c r="D46" s="1">
        <f>IF($C46&lt;$H$7,$G$20*$C46+$H$20,IF($C46&lt;$H$8,$G$21*$C46+$H$21,IF($C46&lt;$H$9,$G$22*$C46+$H$22,IF($C46&lt;$H$10,$G$23*$C46+$H$23,IF($C46&lt;$H$11,$G$24*$C46+$H$24,IF($C46&lt;$H$12,$G$25*$C46+$H$25,$G$26*$C46+$H$26))))))*10^3</f>
        <v>930</v>
      </c>
      <c r="E46" s="22">
        <v>0.2</v>
      </c>
      <c r="F46" s="22" t="str">
        <f t="shared" ref="F46:F54" si="6">IF(C46&lt;$H$7,"flat",IF(C46&lt;$H$8,"1st",IF(C46&lt;$H$9,"2nd",IF(C46&lt;$H$10,"3rd",IF(C46&lt;$H$11,"4th",IF(C46&lt;$H$12,"5th","6th"))))))</f>
        <v>flat</v>
      </c>
      <c r="G46" s="74" t="str">
        <f>IF(OR(C46=$F$38,C46=$G$38,C46=$H$38),"端リブ",IF(C46&lt;$F$38,"0番",IF(C46&lt;$G$38,"1番",IF(C46&lt;$H$38,"2番",IF(C46&lt;$I$38,"3番","ウィングレット")))))</f>
        <v>0番</v>
      </c>
      <c r="H46" s="23">
        <f>IF($C46&lt;$H$7,$K$20*$C46+$L$20,IF($C46&lt;$H$8,$K$21*$C46+$L$21,IF($C46&lt;$H$9,$K$22*$C46+$L$22,IF($C46&lt;$H$10,$K$23*$C46+$L$24,IF($C46&lt;$H$11,$K$24*$C46+$L$23,IF($C46&lt;$H$12,$K$25*$C46+$L$25,$K$26*$C46+$L$26))))))</f>
        <v>0.35</v>
      </c>
      <c r="I46" s="9">
        <f>主桁!AD8*2</f>
        <v>113.39</v>
      </c>
      <c r="J46" s="1">
        <f>主桁!AE8*2</f>
        <v>113.39</v>
      </c>
      <c r="K46" s="227"/>
      <c r="L46" s="232"/>
      <c r="M46" s="86"/>
      <c r="N46" s="86"/>
      <c r="O46" s="231"/>
      <c r="P46" s="86"/>
      <c r="Q46" s="86"/>
      <c r="R46" s="86"/>
      <c r="S46" s="86"/>
      <c r="T46" s="86"/>
      <c r="U46" s="86"/>
      <c r="V46" s="86"/>
      <c r="W46" s="86"/>
      <c r="X46" s="86"/>
      <c r="Y46" s="86"/>
      <c r="Z46" s="86"/>
      <c r="AA46" s="86"/>
      <c r="AB46" s="86"/>
      <c r="AC46" s="71" t="str">
        <f>IF($C46&lt;$H$7,$M$6,IF($C46&lt;$H$8,$M$7,IF($C46&lt;$H$9,$M$8,IF($C46&lt;$H$10,$M$9,IF($C46&lt;$H$11,$M$10,IF($C46&lt;$H$12,$M$11,$M$12))))))</f>
        <v>QX0023</v>
      </c>
      <c r="AD46" s="1">
        <f t="shared" ref="AD46:AD104" si="7">100-AF46</f>
        <v>100</v>
      </c>
      <c r="AE46" s="1" t="str">
        <f>IF($C46&lt;$H$7,$M$7,IF($C46&lt;$H$8,$M$8,IF($C46&lt;$H$9,$M$9,IF($C46&lt;$H$10,$M$10,IF($C46&lt;$H$11,$M$11,IF($C46&lt;$H$12,$M$12,$M$13))))))</f>
        <v>QX0023</v>
      </c>
      <c r="AF46" s="1">
        <f>IF(AC46=AE46,0,IF($C46&lt;$H$7,($C46-$H$6)/($H$7-$H$6),IF($C46&lt;$H$8,($C46-$H$7)/($H$8-$H$7),IF($C46&lt;$H$9,($C46-$H$8)/($H$9-$H$8),IF($C46&lt;$H$10,($C46-$H$9)/($H$10-$H$9),IF($C46&lt;$H$11,($C46-$H$10)/($H$11-$H$10),IF($C46&lt;$H$12,($C46-$H$11)/($H$12-$H$11),($C46-$H$12)/($H$13-$H$12))))))))*100</f>
        <v>0</v>
      </c>
      <c r="AG46" s="1">
        <f>D46*H46/1000</f>
        <v>0.32550000000000001</v>
      </c>
      <c r="AH46" s="1">
        <f>AG46-D46/1000</f>
        <v>-0.60450000000000004</v>
      </c>
      <c r="AI46" s="1">
        <f>AI45+E45*COS(RADIANS(AL45))</f>
        <v>0.2</v>
      </c>
      <c r="AJ46" s="1">
        <f>AJ45+E45*SIN(RADIANS(AL45))</f>
        <v>0</v>
      </c>
      <c r="AK46" s="1">
        <f>IF($C46&lt;$H$7,$I$20*$C46+$J$20,IF($C46&lt;$H$8,$I$21*$C46+$J$21,IF($C46&lt;$H$9,$I$22*$C46+$J$22,IF($C46&lt;$H$10,$I$23*$C46+$J$23,IF($C46&lt;$H$11,$I$24*$C46+$J$24,IF($C46&lt;$H$12,$I$25*$C46+$J$25,$I$26*$C46+$J$26))))))</f>
        <v>2</v>
      </c>
      <c r="AL46" s="7">
        <f>IF($C46&lt;$H$7,$K$6,IF($C46&lt;$H$8,$K$7,IF($C46&lt;$H$9,$K$8,IF($C46&lt;$H$10,$K$9,IF($C46&lt;$H$11,$K$10,IF($C46&lt;$H$12,$K$11,$K$12))))))</f>
        <v>0</v>
      </c>
      <c r="AM46" s="231"/>
      <c r="AN46" s="86"/>
      <c r="AO46" s="86"/>
      <c r="AP46" s="86"/>
      <c r="AQ46" s="86"/>
      <c r="AR46" s="86"/>
      <c r="AS46" s="86">
        <f t="shared" ref="AS46:AS107" si="8">$AX$38*(D46/10^3)^2</f>
        <v>8.2165500000000016E-2</v>
      </c>
      <c r="AT46" s="86">
        <f t="shared" ref="AT46:AT107" si="9">D46*$AY$38/10^3</f>
        <v>1.9064999999999999</v>
      </c>
      <c r="AU46" s="86">
        <f t="shared" si="3"/>
        <v>0.81026249999999989</v>
      </c>
      <c r="AV46" s="86">
        <f t="shared" si="4"/>
        <v>0.7149375</v>
      </c>
      <c r="AW46" s="227">
        <f t="shared" si="5"/>
        <v>0.38129999999999997</v>
      </c>
      <c r="AX46" s="71">
        <f>AS46*$Y$4*パラメータ!$D$24</f>
        <v>27.114615000000004</v>
      </c>
      <c r="AY46" s="1">
        <f>AU46*$Y$5*E46*パラメータ!$D$30</f>
        <v>27.548924999999997</v>
      </c>
      <c r="AZ46" s="1">
        <f>SUMPRODUCT($AD$4:$AD$10,$AE$4:$AE$10)*E46*パラメータ!$D$28*10^-3</f>
        <v>12.75</v>
      </c>
      <c r="BA46" s="1">
        <f>(AV46+AW46)*$Y$6*$Y$4*パラメータ!$D$22*10^-3</f>
        <v>7.3996031249999987</v>
      </c>
      <c r="BB46" s="1">
        <f>($Y$8*$Y$9*パラメータ!$D$22+0.5*$Y$8^2*SIN(RADIANS($Y$10))*パラメータ!$D$25)*E46*10^-3</f>
        <v>3.3081478802897957</v>
      </c>
      <c r="BC46" s="1">
        <f>AT46*($Y$12)</f>
        <v>19.064999999999998</v>
      </c>
      <c r="BD46" s="1">
        <f>$Y$11</f>
        <v>4</v>
      </c>
      <c r="BE46" s="1">
        <f>IF(G46="端リブ",AS46*$Y$13*パラメータ!$D$22*2,0)</f>
        <v>0</v>
      </c>
      <c r="BF46" s="1">
        <f>主桁!AV8*1000</f>
        <v>178.43819301620101</v>
      </c>
      <c r="BG46" s="1">
        <f t="shared" ref="BG46:BG107" si="10">SUM(AX46:BE46)</f>
        <v>101.18629100528979</v>
      </c>
      <c r="BH46" s="1">
        <f t="shared" ref="BH46:BH107" si="11">(BF46+BG46)/1000</f>
        <v>0.27962448402149076</v>
      </c>
      <c r="BI46" s="2" t="e">
        <f>(AO46-重量分布!$E$15)^2+(AP46-重量分布!$F$15)^2</f>
        <v>#REF!</v>
      </c>
      <c r="BJ46" s="2" t="e">
        <f>(AP46-重量分布!$F$15)^2</f>
        <v>#REF!</v>
      </c>
      <c r="BK46" s="237">
        <f>(AO46-重量分布!$E$15)^2</f>
        <v>0</v>
      </c>
    </row>
    <row r="47" spans="1:63">
      <c r="B47" s="29">
        <v>3</v>
      </c>
      <c r="C47" s="1">
        <f>C46+E46</f>
        <v>1.2</v>
      </c>
      <c r="D47" s="1">
        <f>IF($C47&lt;$H$7,$G$20*$C47+$H$20,IF($C47&lt;$H$8,$G$21*$C47+$H$21,IF($C47&lt;$H$9,$G$22*$C47+$H$22,IF($C47&lt;$H$10,$G$23*$C47+$H$23,IF($C47&lt;$H$11,$G$24*$C47+$H$24,IF($C47&lt;$H$12,$G$25*$C47+$H$25,$G$26*$C47+$H$26))))))*10^3</f>
        <v>930</v>
      </c>
      <c r="E47" s="22">
        <v>0.2</v>
      </c>
      <c r="F47" s="22" t="s">
        <v>967</v>
      </c>
      <c r="G47" s="75" t="str">
        <f>IF(OR(C47=$F$38,C47=$G$38,C47=$H$38),"端リブ",IF(C47&lt;$F$38,"0番",IF(C47&lt;$G$38,"1番",IF(C47&lt;$H$38,"2番",IF(C47&lt;$I$38,"3番","ウィングレット")))))</f>
        <v>0番</v>
      </c>
      <c r="H47" s="1">
        <f>IF($C47&lt;$H$7,$K$20*$C47+$L$20,IF($C47&lt;$H$8,$K$21*$C47+$L$21,IF($C47&lt;$H$9,$K$22*$C47+$L$22,IF($C47&lt;$H$10,$K$23*$C47+$L$24,IF($C47&lt;$H$11,$K$24*$C47+$L$23,IF($C47&lt;$H$12,$K$25*$C47+$L$25,$K$26*$C47+$L$26))))))</f>
        <v>0.35</v>
      </c>
      <c r="I47" s="9">
        <f>主桁!AD9*2</f>
        <v>113.39</v>
      </c>
      <c r="J47" s="1">
        <f>主桁!AE9*2</f>
        <v>113.39</v>
      </c>
      <c r="K47" s="227"/>
      <c r="L47" s="232"/>
      <c r="M47" s="86"/>
      <c r="N47" s="86"/>
      <c r="O47" s="231"/>
      <c r="P47" s="86"/>
      <c r="Q47" s="86"/>
      <c r="R47" s="86"/>
      <c r="S47" s="86"/>
      <c r="T47" s="86"/>
      <c r="U47" s="86"/>
      <c r="V47" s="86"/>
      <c r="W47" s="86"/>
      <c r="X47" s="86"/>
      <c r="Y47" s="86"/>
      <c r="Z47" s="86"/>
      <c r="AA47" s="86"/>
      <c r="AB47" s="86"/>
      <c r="AC47" s="71" t="str">
        <f>IF($C47&lt;$H$7,$M$6,IF($C47&lt;$H$8,$M$7,IF($C47&lt;$H$9,$M$8,IF($C47&lt;$H$10,$M$9,IF($C47&lt;$H$11,$M$10,IF($C47&lt;$H$12,$M$11,$M$12))))))</f>
        <v>QX0023</v>
      </c>
      <c r="AD47" s="1">
        <f t="shared" si="7"/>
        <v>100</v>
      </c>
      <c r="AE47" s="1" t="str">
        <f>IF($C47&lt;$H$7,$M$7,IF($C47&lt;$H$8,$M$8,IF($C47&lt;$H$9,$M$9,IF($C47&lt;$H$10,$M$10,IF($C47&lt;$H$11,$M$11,IF($C47&lt;$H$12,$M$12,$M$13))))))</f>
        <v>QX0023</v>
      </c>
      <c r="AF47" s="1">
        <f>IF(AC47=AE47,0,IF($C47&lt;$H$7,($C47-$H$6)/($H$7-$H$6),IF($C47&lt;$H$8,($C47-$H$7)/($H$8-$H$7),IF($C47&lt;$H$9,($C47-$H$8)/($H$9-$H$8),IF($C47&lt;$H$10,($C47-$H$9)/($H$10-$H$9),IF($C47&lt;$H$11,($C47-$H$10)/($H$11-$H$10),IF($C47&lt;$H$12,($C47-$H$11)/($H$12-$H$11),($C47-$H$12)/($H$13-$H$12))))))))*100</f>
        <v>0</v>
      </c>
      <c r="AG47" s="1">
        <f>D47*H47/1000</f>
        <v>0.32550000000000001</v>
      </c>
      <c r="AH47" s="1">
        <f>AG47-D47/1000</f>
        <v>-0.60450000000000004</v>
      </c>
      <c r="AI47" s="1">
        <f>AI46+E46*COS(RADIANS(AL46))</f>
        <v>0.4</v>
      </c>
      <c r="AJ47" s="1">
        <f>AJ46+E46*SIN(RADIANS(AL46))</f>
        <v>0</v>
      </c>
      <c r="AK47" s="1">
        <f>IF($C47&lt;$H$7,$I$20*$C47+$J$20,IF($C47&lt;$H$8,$I$21*$C47+$J$21,IF($C47&lt;$H$9,$I$22*$C47+$J$22,IF($C47&lt;$H$10,$I$23*$C47+$J$23,IF($C47&lt;$H$11,$I$24*$C47+$J$24,IF($C47&lt;$H$12,$I$25*$C47+$J$25,$I$26*$C47+$J$26))))))</f>
        <v>2</v>
      </c>
      <c r="AL47" s="7">
        <f>IF($C47&lt;$H$7,$K$6,IF($C47&lt;$H$8,$K$7,IF($C47&lt;$H$9,$K$8,IF($C47&lt;$H$10,$K$9,IF($C47&lt;$H$11,$K$10,IF($C47&lt;$H$12,$K$11,$K$12))))))</f>
        <v>0</v>
      </c>
      <c r="AM47" s="231"/>
      <c r="AN47" s="86"/>
      <c r="AO47" s="86"/>
      <c r="AP47" s="86"/>
      <c r="AQ47" s="86"/>
      <c r="AR47" s="86"/>
      <c r="AS47" s="86">
        <f t="shared" si="8"/>
        <v>8.2165500000000016E-2</v>
      </c>
      <c r="AT47" s="86">
        <f t="shared" si="9"/>
        <v>1.9064999999999999</v>
      </c>
      <c r="AU47" s="86">
        <f t="shared" si="3"/>
        <v>0.81026249999999989</v>
      </c>
      <c r="AV47" s="86">
        <f t="shared" si="4"/>
        <v>0.7149375</v>
      </c>
      <c r="AW47" s="227">
        <f t="shared" si="5"/>
        <v>0.38129999999999997</v>
      </c>
      <c r="AX47" s="71">
        <f>AS47*$Y$4*パラメータ!$D$24</f>
        <v>27.114615000000004</v>
      </c>
      <c r="AY47" s="1">
        <f>AU47*$Y$5*E47*パラメータ!$D$30</f>
        <v>27.548924999999997</v>
      </c>
      <c r="AZ47" s="1">
        <f>SUMPRODUCT($AD$4:$AD$10,$AE$4:$AE$10)*E47*パラメータ!$D$28*10^-3</f>
        <v>12.75</v>
      </c>
      <c r="BA47" s="1">
        <f>(AV47+AW47)*$Y$6*$Y$4*パラメータ!$D$22*10^-3</f>
        <v>7.3996031249999987</v>
      </c>
      <c r="BB47" s="1">
        <f>($Y$8*$Y$9*パラメータ!$D$22+0.5*$Y$8^2*SIN(RADIANS($Y$10))*パラメータ!$D$25)*E47*10^-3</f>
        <v>3.3081478802897957</v>
      </c>
      <c r="BC47" s="1">
        <f>AT47*($Y$12)</f>
        <v>19.064999999999998</v>
      </c>
      <c r="BD47" s="1">
        <f>$Y$11</f>
        <v>4</v>
      </c>
      <c r="BE47" s="1">
        <f>IF(G47="端リブ",AS47*$Y$13*パラメータ!$D$22*2,0)</f>
        <v>0</v>
      </c>
      <c r="BF47" s="1">
        <f>主桁!AV9*1000</f>
        <v>178.43819301620101</v>
      </c>
      <c r="BG47" s="1">
        <f t="shared" si="10"/>
        <v>101.18629100528979</v>
      </c>
      <c r="BH47" s="1">
        <f t="shared" si="11"/>
        <v>0.27962448402149076</v>
      </c>
      <c r="BI47" s="2" t="e">
        <f>(AO47-重量分布!$E$15)^2+(AP47-重量分布!$F$15)^2</f>
        <v>#REF!</v>
      </c>
      <c r="BJ47" s="2" t="e">
        <f>(AP47-重量分布!$F$15)^2</f>
        <v>#REF!</v>
      </c>
      <c r="BK47" s="237">
        <f>(AO47-重量分布!$E$15)^2</f>
        <v>0</v>
      </c>
    </row>
    <row r="48" spans="1:63">
      <c r="B48" s="29">
        <v>4</v>
      </c>
      <c r="C48" s="1">
        <f t="shared" ref="C48:C54" si="12">C47+E47</f>
        <v>1.4</v>
      </c>
      <c r="D48" s="1">
        <f>IF($C48&lt;$H$7,$G$20*$C48+$H$20,IF($C48&lt;$H$8,$G$21*$C48+$H$21,IF($C48&lt;$H$9,$G$22*$C48+$H$22,IF($C48&lt;$H$10,$G$23*$C48+$H$23,IF($C48&lt;$H$11,$G$24*$C48+$H$24,IF($C48&lt;$H$12,$G$25*$C48+$H$25,$G$26*$C48+$H$26))))))*10^3</f>
        <v>930</v>
      </c>
      <c r="E48" s="22">
        <v>0.2</v>
      </c>
      <c r="F48" s="22" t="str">
        <f t="shared" si="6"/>
        <v>flat</v>
      </c>
      <c r="G48" s="75" t="str">
        <f>IF(OR(C48=$F$38,C48=$G$38,C48=$H$38),"端リブ",IF(C48&lt;$F$38,"0番",IF(C48&lt;$G$38,"1番",IF(C48&lt;$H$38,"2番",IF(C48&lt;$I$38,"3番","ウィングレット")))))</f>
        <v>端リブ</v>
      </c>
      <c r="H48" s="1">
        <f>IF($C48&lt;$H$7,$K$20*$C48+$L$20,IF($C48&lt;$H$8,$K$21*$C48+$L$21,IF($C48&lt;$H$9,$K$22*$C48+$L$22,IF($C48&lt;$H$10,$K$23*$C48+$L$24,IF($C48&lt;$H$11,$K$24*$C48+$L$23,IF($C48&lt;$H$12,$K$25*$C48+$L$25,$K$26*$C48+$L$26))))))</f>
        <v>0.35</v>
      </c>
      <c r="I48" s="9">
        <f>主桁!AD10*2</f>
        <v>121.91</v>
      </c>
      <c r="J48" s="1">
        <f>主桁!AE10*2</f>
        <v>122.31949999999999</v>
      </c>
      <c r="K48" s="227"/>
      <c r="L48" s="232"/>
      <c r="M48" s="86"/>
      <c r="N48" s="86"/>
      <c r="O48" s="231"/>
      <c r="P48" s="86"/>
      <c r="Q48" s="86"/>
      <c r="R48" s="86"/>
      <c r="S48" s="86"/>
      <c r="T48" s="86"/>
      <c r="U48" s="86"/>
      <c r="V48" s="86"/>
      <c r="W48" s="86"/>
      <c r="X48" s="86"/>
      <c r="Y48" s="86"/>
      <c r="Z48" s="86"/>
      <c r="AA48" s="86"/>
      <c r="AB48" s="86"/>
      <c r="AC48" s="71" t="str">
        <f>IF($C48&lt;$H$7,$M$6,IF($C48&lt;$H$8,$M$7,IF($C48&lt;$H$9,$M$8,IF($C48&lt;$H$10,$M$9,IF($C48&lt;$H$11,$M$10,IF($C48&lt;$H$12,$M$11,$M$12))))))</f>
        <v>QX0023</v>
      </c>
      <c r="AD48" s="1">
        <f t="shared" si="7"/>
        <v>100</v>
      </c>
      <c r="AE48" s="1" t="str">
        <f>IF($C48&lt;$H$7,$M$7,IF($C48&lt;$H$8,$M$8,IF($C48&lt;$H$9,$M$9,IF($C48&lt;$H$10,$M$10,IF($C48&lt;$H$11,$M$11,IF($C48&lt;$H$12,$M$12,$M$13))))))</f>
        <v>QX0023</v>
      </c>
      <c r="AF48" s="1">
        <f>IF(AC48=AE48,0,IF($C48&lt;$H$7,($C48-$H$6)/($H$7-$H$6),IF($C48&lt;$H$8,($C48-$H$7)/($H$8-$H$7),IF($C48&lt;$H$9,($C48-$H$8)/($H$9-$H$8),IF($C48&lt;$H$10,($C48-$H$9)/($H$10-$H$9),IF($C48&lt;$H$11,($C48-$H$10)/($H$11-$H$10),IF($C48&lt;$H$12,($C48-$H$11)/($H$12-$H$11),($C48-$H$12)/($H$13-$H$12))))))))*100</f>
        <v>0</v>
      </c>
      <c r="AG48" s="1">
        <f>D48*H48/1000</f>
        <v>0.32550000000000001</v>
      </c>
      <c r="AH48" s="1">
        <f>AG48-D48/1000</f>
        <v>-0.60450000000000004</v>
      </c>
      <c r="AI48" s="1">
        <f>AI47+E47*COS(RADIANS(AL47))</f>
        <v>0.60000000000000009</v>
      </c>
      <c r="AJ48" s="1">
        <f>AJ47+E47*SIN(RADIANS(AL47))</f>
        <v>0</v>
      </c>
      <c r="AK48" s="1">
        <f>IF($C48&lt;$H$7,$I$20*$C48+$J$20,IF($C48&lt;$H$8,$I$21*$C48+$J$21,IF($C48&lt;$H$9,$I$22*$C48+$J$22,IF($C48&lt;$H$10,$I$23*$C48+$J$23,IF($C48&lt;$H$11,$I$24*$C48+$J$24,IF($C48&lt;$H$12,$I$25*$C48+$J$25,$I$26*$C48+$J$26))))))</f>
        <v>2</v>
      </c>
      <c r="AL48" s="7">
        <f>IF($C48&lt;$H$7,$K$6,IF($C48&lt;$H$8,$K$7,IF($C48&lt;$H$9,$K$8,IF($C48&lt;$H$10,$K$9,IF($C48&lt;$H$11,$K$10,IF($C48&lt;$H$12,$K$11,$K$12))))))</f>
        <v>0</v>
      </c>
      <c r="AM48" s="231"/>
      <c r="AN48" s="86"/>
      <c r="AO48" s="86"/>
      <c r="AP48" s="86"/>
      <c r="AQ48" s="86"/>
      <c r="AR48" s="86"/>
      <c r="AS48" s="86">
        <f t="shared" si="8"/>
        <v>8.2165500000000016E-2</v>
      </c>
      <c r="AT48" s="86">
        <f t="shared" si="9"/>
        <v>1.9064999999999999</v>
      </c>
      <c r="AU48" s="86">
        <f t="shared" si="3"/>
        <v>0.81026249999999989</v>
      </c>
      <c r="AV48" s="86">
        <f t="shared" si="4"/>
        <v>0.7149375</v>
      </c>
      <c r="AW48" s="227">
        <f t="shared" si="5"/>
        <v>0.38129999999999997</v>
      </c>
      <c r="AX48" s="71">
        <f>AS48*$Y$4*パラメータ!$D$24</f>
        <v>27.114615000000004</v>
      </c>
      <c r="AY48" s="1">
        <f>AU48*$Y$5*E48*パラメータ!$D$30</f>
        <v>27.548924999999997</v>
      </c>
      <c r="AZ48" s="1">
        <f>SUMPRODUCT($AD$4:$AD$10,$AE$4:$AE$10)*E48*パラメータ!$D$28*10^-3</f>
        <v>12.75</v>
      </c>
      <c r="BA48" s="1">
        <f>(AV48+AW48)*$Y$6*$Y$4*パラメータ!$D$22*10^-3</f>
        <v>7.3996031249999987</v>
      </c>
      <c r="BB48" s="1">
        <f>($Y$8*$Y$9*パラメータ!$D$22+0.5*$Y$8^2*SIN(RADIANS($Y$10))*パラメータ!$D$25)*E48*10^-3</f>
        <v>3.3081478802897957</v>
      </c>
      <c r="BC48" s="1">
        <f>AT48*($Y$12)</f>
        <v>19.064999999999998</v>
      </c>
      <c r="BD48" s="1">
        <f>$Y$11</f>
        <v>4</v>
      </c>
      <c r="BE48" s="1">
        <f>IF(G48="端リブ",AS48*$Y$13*パラメータ!$D$22*2,0)</f>
        <v>123.24825000000003</v>
      </c>
      <c r="BF48" s="1">
        <f>主桁!AV10*1000</f>
        <v>394.96068013732969</v>
      </c>
      <c r="BG48" s="1">
        <f t="shared" si="10"/>
        <v>224.43454100528982</v>
      </c>
      <c r="BH48" s="1">
        <f t="shared" si="11"/>
        <v>0.61939522114261947</v>
      </c>
      <c r="BI48" s="2" t="e">
        <f>(AO48-重量分布!$E$15)^2+(AP48-重量分布!$F$15)^2</f>
        <v>#REF!</v>
      </c>
      <c r="BJ48" s="2" t="e">
        <f>(AP48-重量分布!$F$15)^2</f>
        <v>#REF!</v>
      </c>
      <c r="BK48" s="237">
        <f>(AO48-重量分布!$E$15)^2</f>
        <v>0</v>
      </c>
    </row>
    <row r="49" spans="2:63">
      <c r="B49" s="29">
        <v>5</v>
      </c>
      <c r="C49" s="1">
        <f t="shared" si="12"/>
        <v>1.5999999999999999</v>
      </c>
      <c r="D49" s="1">
        <f>IF($C49&lt;$H$7,$G$20*$C49+$H$20,IF($C49&lt;$H$8,$G$21*$C49+$H$21,IF($C49&lt;$H$9,$G$22*$C49+$H$22,IF($C49&lt;$H$10,$G$23*$C49+$H$23,IF($C49&lt;$H$11,$G$24*$C49+$H$24,IF($C49&lt;$H$12,$G$25*$C49+$H$25,$G$26*$C49+$H$26))))))*10^3</f>
        <v>930</v>
      </c>
      <c r="E49" s="22">
        <v>0.2</v>
      </c>
      <c r="F49" s="22" t="s">
        <v>967</v>
      </c>
      <c r="G49" s="75" t="str">
        <f>IF(OR(C49=$F$38,C49=$G$38,C49=$H$38),"端リブ",IF(C49&lt;$F$38,"0番",IF(C49&lt;$G$38,"1番",IF(C49&lt;$H$38,"2番",IF(C49&lt;$I$38,"3番","ウィングレット")))))</f>
        <v>1番</v>
      </c>
      <c r="H49" s="1">
        <f>IF($C49&lt;$H$7,$K$20*$C49+$L$20,IF($C49&lt;$H$8,$K$21*$C49+$L$21,IF($C49&lt;$H$9,$K$22*$C49+$L$22,IF($C49&lt;$H$10,$K$23*$C49+$L$24,IF($C49&lt;$H$11,$K$24*$C49+$L$23,IF($C49&lt;$H$12,$K$25*$C49+$L$25,$K$26*$C49+$L$26))))))</f>
        <v>0.35</v>
      </c>
      <c r="I49" s="9">
        <f>主桁!AD11*2</f>
        <v>120.31</v>
      </c>
      <c r="J49" s="1">
        <f>主桁!AE11*2</f>
        <v>120.6859</v>
      </c>
      <c r="K49" s="227"/>
      <c r="L49" s="232"/>
      <c r="M49" s="86"/>
      <c r="N49" s="86"/>
      <c r="O49" s="231"/>
      <c r="P49" s="86"/>
      <c r="Q49" s="86"/>
      <c r="R49" s="86"/>
      <c r="S49" s="86"/>
      <c r="T49" s="86"/>
      <c r="U49" s="86"/>
      <c r="V49" s="86"/>
      <c r="W49" s="86"/>
      <c r="X49" s="86"/>
      <c r="Y49" s="86"/>
      <c r="Z49" s="86"/>
      <c r="AA49" s="86"/>
      <c r="AB49" s="86"/>
      <c r="AC49" s="71" t="str">
        <f>IF($C49&lt;$H$7,$M$6,IF($C49&lt;$H$8,$M$7,IF($C49&lt;$H$9,$M$8,IF($C49&lt;$H$10,$M$9,IF($C49&lt;$H$11,$M$10,IF($C49&lt;$H$12,$M$11,$M$12))))))</f>
        <v>QX0023</v>
      </c>
      <c r="AD49" s="1">
        <f t="shared" si="7"/>
        <v>100</v>
      </c>
      <c r="AE49" s="1" t="str">
        <f>IF($C49&lt;$H$7,$M$7,IF($C49&lt;$H$8,$M$8,IF($C49&lt;$H$9,$M$9,IF($C49&lt;$H$10,$M$10,IF($C49&lt;$H$11,$M$11,IF($C49&lt;$H$12,$M$12,$M$13))))))</f>
        <v>QX0023</v>
      </c>
      <c r="AF49" s="1">
        <f>IF(AC49=AE49,0,IF($C49&lt;$H$7,($C49-$H$6)/($H$7-$H$6),IF($C49&lt;$H$8,($C49-$H$7)/($H$8-$H$7),IF($C49&lt;$H$9,($C49-$H$8)/($H$9-$H$8),IF($C49&lt;$H$10,($C49-$H$9)/($H$10-$H$9),IF($C49&lt;$H$11,($C49-$H$10)/($H$11-$H$10),IF($C49&lt;$H$12,($C49-$H$11)/($H$12-$H$11),($C49-$H$12)/($H$13-$H$12))))))))*100</f>
        <v>0</v>
      </c>
      <c r="AG49" s="1">
        <f>D49*H49/1000</f>
        <v>0.32550000000000001</v>
      </c>
      <c r="AH49" s="1">
        <f>AG49-D49/1000</f>
        <v>-0.60450000000000004</v>
      </c>
      <c r="AI49" s="1">
        <f>AI48+E48*COS(RADIANS(AL48))</f>
        <v>0.8</v>
      </c>
      <c r="AJ49" s="1">
        <f>AJ48+E48*SIN(RADIANS(AL48))</f>
        <v>0</v>
      </c>
      <c r="AK49" s="1">
        <f>IF($C49&lt;$H$7,$I$20*$C49+$J$20,IF($C49&lt;$H$8,$I$21*$C49+$J$21,IF($C49&lt;$H$9,$I$22*$C49+$J$22,IF($C49&lt;$H$10,$I$23*$C49+$J$23,IF($C49&lt;$H$11,$I$24*$C49+$J$24,IF($C49&lt;$H$12,$I$25*$C49+$J$25,$I$26*$C49+$J$26))))))</f>
        <v>2</v>
      </c>
      <c r="AL49" s="7">
        <f>IF($C49&lt;$H$7,$K$6,IF($C49&lt;$H$8,$K$7,IF($C49&lt;$H$9,$K$8,IF($C49&lt;$H$10,$K$9,IF($C49&lt;$H$11,$K$10,IF($C49&lt;$H$12,$K$11,$K$12))))))</f>
        <v>0</v>
      </c>
      <c r="AM49" s="231"/>
      <c r="AN49" s="86"/>
      <c r="AO49" s="86"/>
      <c r="AP49" s="86"/>
      <c r="AQ49" s="86"/>
      <c r="AR49" s="86"/>
      <c r="AS49" s="86">
        <f t="shared" si="8"/>
        <v>8.2165500000000016E-2</v>
      </c>
      <c r="AT49" s="86">
        <f t="shared" si="9"/>
        <v>1.9064999999999999</v>
      </c>
      <c r="AU49" s="86">
        <f t="shared" si="3"/>
        <v>0.81026249999999989</v>
      </c>
      <c r="AV49" s="86">
        <f t="shared" si="4"/>
        <v>0.7149375</v>
      </c>
      <c r="AW49" s="227">
        <f t="shared" si="5"/>
        <v>0.38129999999999997</v>
      </c>
      <c r="AX49" s="71">
        <f>AS49*$Y$4*パラメータ!$D$24</f>
        <v>27.114615000000004</v>
      </c>
      <c r="AY49" s="1">
        <f>AU49*$Y$5*E49*パラメータ!$D$30</f>
        <v>27.548924999999997</v>
      </c>
      <c r="AZ49" s="1">
        <f>SUMPRODUCT($AD$4:$AD$10,$AE$4:$AE$10)*E49*パラメータ!$D$28*10^-3</f>
        <v>12.75</v>
      </c>
      <c r="BA49" s="1">
        <f>(AV49+AW49)*$Y$6*$Y$4*パラメータ!$D$22*10^-3</f>
        <v>7.3996031249999987</v>
      </c>
      <c r="BB49" s="1">
        <f>($Y$8*$Y$9*パラメータ!$D$22+0.5*$Y$8^2*SIN(RADIANS($Y$10))*パラメータ!$D$25)*E49*10^-3</f>
        <v>3.3081478802897957</v>
      </c>
      <c r="BC49" s="1">
        <f>AT49*($Y$12)</f>
        <v>19.064999999999998</v>
      </c>
      <c r="BD49" s="1">
        <f>$Y$11</f>
        <v>4</v>
      </c>
      <c r="BE49" s="1">
        <f>IF(G49="端リブ",AS49*$Y$13*パラメータ!$D$22*2,0)</f>
        <v>0</v>
      </c>
      <c r="BF49" s="1">
        <f>主桁!AV11*1000</f>
        <v>615.80267039526655</v>
      </c>
      <c r="BG49" s="1">
        <f t="shared" si="10"/>
        <v>101.18629100528979</v>
      </c>
      <c r="BH49" s="1">
        <f t="shared" si="11"/>
        <v>0.71698896140055635</v>
      </c>
      <c r="BI49" s="2" t="e">
        <f>(AO49-重量分布!$E$15)^2+(AP49-重量分布!$F$15)^2</f>
        <v>#REF!</v>
      </c>
      <c r="BJ49" s="2" t="e">
        <f>(AP49-重量分布!$F$15)^2</f>
        <v>#REF!</v>
      </c>
      <c r="BK49" s="237">
        <f>(AO49-重量分布!$E$15)^2</f>
        <v>0</v>
      </c>
    </row>
    <row r="50" spans="2:63">
      <c r="B50" s="29">
        <v>6</v>
      </c>
      <c r="C50" s="1">
        <f t="shared" si="12"/>
        <v>1.7999999999999998</v>
      </c>
      <c r="D50" s="1">
        <f>IF($C50&lt;$H$7,$G$20*$C50+$H$20,IF($C50&lt;$H$8,$G$21*$C50+$H$21,IF($C50&lt;$H$9,$G$22*$C50+$H$22,IF($C50&lt;$H$10,$G$23*$C50+$H$23,IF($C50&lt;$H$11,$G$24*$C50+$H$24,IF($C50&lt;$H$12,$G$25*$C50+$H$25,$G$26*$C50+$H$26))))))*10^3</f>
        <v>921.66666666666674</v>
      </c>
      <c r="E50" s="22">
        <v>0.2</v>
      </c>
      <c r="F50" s="22" t="str">
        <f t="shared" si="6"/>
        <v>1st</v>
      </c>
      <c r="G50" s="75" t="str">
        <f>IF(OR(C50=$F$38,C50=$G$38,C50=$H$38),"端リブ",IF(C50&lt;$F$38,"0番",IF(C50&lt;$G$38,"1番",IF(C50&lt;$H$38,"2番",IF(C50&lt;$I$38,"3番","ウィングレット")))))</f>
        <v>1番</v>
      </c>
      <c r="H50" s="1">
        <f>IF($C50&lt;$H$7,$K$20*$C50+$L$20,IF($C50&lt;$H$8,$K$21*$C50+$L$21,IF($C50&lt;$H$9,$K$22*$C50+$L$22,IF($C50&lt;$H$10,$K$23*$C50+$L$24,IF($C50&lt;$H$11,$K$24*$C50+$L$23,IF($C50&lt;$H$12,$K$25*$C50+$L$25,$K$26*$C50+$L$26))))))</f>
        <v>0.35</v>
      </c>
      <c r="I50" s="9">
        <f>主桁!AD12*2</f>
        <v>118.71</v>
      </c>
      <c r="J50" s="1">
        <f>主桁!AE12*2</f>
        <v>119.05229999999999</v>
      </c>
      <c r="K50" s="227"/>
      <c r="L50" s="232"/>
      <c r="M50" s="86"/>
      <c r="N50" s="86"/>
      <c r="O50" s="231"/>
      <c r="P50" s="86"/>
      <c r="Q50" s="86"/>
      <c r="R50" s="86"/>
      <c r="S50" s="86"/>
      <c r="T50" s="86"/>
      <c r="U50" s="86"/>
      <c r="V50" s="86"/>
      <c r="W50" s="86"/>
      <c r="X50" s="86"/>
      <c r="Y50" s="86"/>
      <c r="Z50" s="86"/>
      <c r="AA50" s="86"/>
      <c r="AB50" s="86"/>
      <c r="AC50" s="71" t="str">
        <f>IF($C50&lt;$H$7,$M$6,IF($C50&lt;$H$8,$M$7,IF($C50&lt;$H$9,$M$8,IF($C50&lt;$H$10,$M$9,IF($C50&lt;$H$11,$M$10,IF($C50&lt;$H$12,$M$11,$M$12))))))</f>
        <v>QX0023</v>
      </c>
      <c r="AD50" s="1">
        <f t="shared" si="7"/>
        <v>100</v>
      </c>
      <c r="AE50" s="1" t="str">
        <f>IF($C50&lt;$H$7,$M$7,IF($C50&lt;$H$8,$M$8,IF($C50&lt;$H$9,$M$9,IF($C50&lt;$H$10,$M$10,IF($C50&lt;$H$11,$M$11,IF($C50&lt;$H$12,$M$12,$M$13))))))</f>
        <v>QX0023</v>
      </c>
      <c r="AF50" s="1">
        <f>IF(AC50=AE50,0,IF($C50&lt;$H$7,($C50-$H$6)/($H$7-$H$6),IF($C50&lt;$H$8,($C50-$H$7)/($H$8-$H$7),IF($C50&lt;$H$9,($C50-$H$8)/($H$9-$H$8),IF($C50&lt;$H$10,($C50-$H$9)/($H$10-$H$9),IF($C50&lt;$H$11,($C50-$H$10)/($H$11-$H$10),IF($C50&lt;$H$12,($C50-$H$11)/($H$12-$H$11),($C50-$H$12)/($H$13-$H$12))))))))*100</f>
        <v>0</v>
      </c>
      <c r="AG50" s="1">
        <f>D50*H50/1000</f>
        <v>0.32258333333333333</v>
      </c>
      <c r="AH50" s="1">
        <f>AG50-D50/1000</f>
        <v>-0.59908333333333341</v>
      </c>
      <c r="AI50" s="1">
        <f>AI49+E49*COS(RADIANS(AL49))</f>
        <v>1</v>
      </c>
      <c r="AJ50" s="1">
        <f>AJ49+E49*SIN(RADIANS(AL49))</f>
        <v>0</v>
      </c>
      <c r="AK50" s="1">
        <f>IF($C50&lt;$H$7,$I$20*$C50+$J$20,IF($C50&lt;$H$8,$I$21*$C50+$J$21,IF($C50&lt;$H$9,$I$22*$C50+$J$22,IF($C50&lt;$H$10,$I$23*$C50+$J$23,IF($C50&lt;$H$11,$I$24*$C50+$J$24,IF($C50&lt;$H$12,$I$25*$C50+$J$25,$I$26*$C50+$J$26))))))</f>
        <v>2</v>
      </c>
      <c r="AL50" s="7">
        <f>IF($C50&lt;$H$7,$K$6,IF($C50&lt;$H$8,$K$7,IF($C50&lt;$H$9,$K$8,IF($C50&lt;$H$10,$K$9,IF($C50&lt;$H$11,$K$10,IF($C50&lt;$H$12,$K$11,$K$12))))))</f>
        <v>0</v>
      </c>
      <c r="AM50" s="231"/>
      <c r="AN50" s="86"/>
      <c r="AO50" s="86"/>
      <c r="AP50" s="86"/>
      <c r="AQ50" s="86"/>
      <c r="AR50" s="86"/>
      <c r="AS50" s="86">
        <f t="shared" si="8"/>
        <v>8.0699597222222239E-2</v>
      </c>
      <c r="AT50" s="86">
        <f t="shared" si="9"/>
        <v>1.8894166666666667</v>
      </c>
      <c r="AU50" s="86">
        <f t="shared" si="3"/>
        <v>0.81026249999999989</v>
      </c>
      <c r="AV50" s="86">
        <f t="shared" si="4"/>
        <v>0.70853125000000006</v>
      </c>
      <c r="AW50" s="227">
        <f t="shared" si="5"/>
        <v>0.37788333333333335</v>
      </c>
      <c r="AX50" s="71">
        <f>AS50*$Y$4*パラメータ!$D$24</f>
        <v>26.630867083333339</v>
      </c>
      <c r="AY50" s="1">
        <f>AU50*$Y$5*E50*パラメータ!$D$30</f>
        <v>27.548924999999997</v>
      </c>
      <c r="AZ50" s="1">
        <f>SUMPRODUCT($AD$4:$AD$10,$AE$4:$AE$10)*E50*パラメータ!$D$28*10^-3</f>
        <v>12.75</v>
      </c>
      <c r="BA50" s="1">
        <f>(AV50+AW50)*$Y$6*$Y$4*パラメータ!$D$22*10^-3</f>
        <v>7.3332984375000017</v>
      </c>
      <c r="BB50" s="1">
        <f>($Y$8*$Y$9*パラメータ!$D$22+0.5*$Y$8^2*SIN(RADIANS($Y$10))*パラメータ!$D$25)*E50*10^-3</f>
        <v>3.3081478802897957</v>
      </c>
      <c r="BC50" s="1">
        <f>AT50*($Y$12)</f>
        <v>18.894166666666667</v>
      </c>
      <c r="BD50" s="1">
        <f>$Y$11</f>
        <v>4</v>
      </c>
      <c r="BE50" s="1">
        <f>IF(G50="端リブ",AS50*$Y$13*パラメータ!$D$22*2,0)</f>
        <v>0</v>
      </c>
      <c r="BF50" s="1">
        <f>主桁!AV12*1000</f>
        <v>360.84941929292899</v>
      </c>
      <c r="BG50" s="1">
        <f t="shared" si="10"/>
        <v>100.4654050677898</v>
      </c>
      <c r="BH50" s="1">
        <f t="shared" si="11"/>
        <v>0.4613148243607188</v>
      </c>
      <c r="BI50" s="2" t="e">
        <f>(AO50-重量分布!$E$15)^2+(AP50-重量分布!$F$15)^2</f>
        <v>#REF!</v>
      </c>
      <c r="BJ50" s="2" t="e">
        <f>(AP50-重量分布!$F$15)^2</f>
        <v>#REF!</v>
      </c>
      <c r="BK50" s="237">
        <f>(AO50-重量分布!$E$15)^2</f>
        <v>0</v>
      </c>
    </row>
    <row r="51" spans="2:63">
      <c r="B51" s="29">
        <v>7</v>
      </c>
      <c r="C51" s="1">
        <f t="shared" si="12"/>
        <v>1.9999999999999998</v>
      </c>
      <c r="D51" s="1">
        <f>IF($C51&lt;$H$7,$G$20*$C51+$H$20,IF($C51&lt;$H$8,$G$21*$C51+$H$21,IF($C51&lt;$H$9,$G$22*$C51+$H$22,IF($C51&lt;$H$10,$G$23*$C51+$H$23,IF($C51&lt;$H$11,$G$24*$C51+$H$24,IF($C51&lt;$H$12,$G$25*$C51+$H$25,$G$26*$C51+$H$26))))))*10^3</f>
        <v>913.33333333333337</v>
      </c>
      <c r="E51" s="22">
        <v>0.2</v>
      </c>
      <c r="F51" s="22" t="str">
        <f t="shared" si="6"/>
        <v>1st</v>
      </c>
      <c r="G51" s="75" t="str">
        <f>IF(OR(C51=$F$38,C51=$G$38,C51=$H$38),"端リブ",IF(C51&lt;$F$38,"0番",IF(C51&lt;$G$38,"1番",IF(C51&lt;$H$38,"2番",IF(C51&lt;$I$38,"3番","ウィングレット")))))</f>
        <v>1番</v>
      </c>
      <c r="H51" s="1">
        <f>IF($C51&lt;$H$7,$K$20*$C51+$L$20,IF($C51&lt;$H$8,$K$21*$C51+$L$21,IF($C51&lt;$H$9,$K$22*$C51+$L$22,IF($C51&lt;$H$10,$K$23*$C51+$L$24,IF($C51&lt;$H$11,$K$24*$C51+$L$23,IF($C51&lt;$H$12,$K$25*$C51+$L$25,$K$26*$C51+$L$26))))))</f>
        <v>0.35</v>
      </c>
      <c r="I51" s="9">
        <f>主桁!AD13*2</f>
        <v>117.11</v>
      </c>
      <c r="J51" s="1">
        <f>主桁!AE13*2</f>
        <v>117.4187</v>
      </c>
      <c r="K51" s="227"/>
      <c r="L51" s="232"/>
      <c r="M51" s="86"/>
      <c r="N51" s="86"/>
      <c r="O51" s="231"/>
      <c r="P51" s="86"/>
      <c r="Q51" s="86"/>
      <c r="R51" s="86"/>
      <c r="S51" s="86"/>
      <c r="T51" s="86"/>
      <c r="U51" s="86"/>
      <c r="V51" s="86"/>
      <c r="W51" s="86"/>
      <c r="X51" s="86"/>
      <c r="Y51" s="86"/>
      <c r="Z51" s="86"/>
      <c r="AA51" s="86"/>
      <c r="AB51" s="86"/>
      <c r="AC51" s="71" t="str">
        <f>IF($C51&lt;$H$7,$M$6,IF($C51&lt;$H$8,$M$7,IF($C51&lt;$H$9,$M$8,IF($C51&lt;$H$10,$M$9,IF($C51&lt;$H$11,$M$10,IF($C51&lt;$H$12,$M$11,$M$12))))))</f>
        <v>QX0023</v>
      </c>
      <c r="AD51" s="1">
        <f t="shared" si="7"/>
        <v>100</v>
      </c>
      <c r="AE51" s="1" t="str">
        <f>IF($C51&lt;$H$7,$M$7,IF($C51&lt;$H$8,$M$8,IF($C51&lt;$H$9,$M$9,IF($C51&lt;$H$10,$M$10,IF($C51&lt;$H$11,$M$11,IF($C51&lt;$H$12,$M$12,$M$13))))))</f>
        <v>QX0023</v>
      </c>
      <c r="AF51" s="1">
        <f>IF(AC51=AE51,0,IF($C51&lt;$H$7,($C51-$H$6)/($H$7-$H$6),IF($C51&lt;$H$8,($C51-$H$7)/($H$8-$H$7),IF($C51&lt;$H$9,($C51-$H$8)/($H$9-$H$8),IF($C51&lt;$H$10,($C51-$H$9)/($H$10-$H$9),IF($C51&lt;$H$11,($C51-$H$10)/($H$11-$H$10),IF($C51&lt;$H$12,($C51-$H$11)/($H$12-$H$11),($C51-$H$12)/($H$13-$H$12))))))))*100</f>
        <v>0</v>
      </c>
      <c r="AG51" s="1">
        <f>D51*H51/1000</f>
        <v>0.31966666666666671</v>
      </c>
      <c r="AH51" s="1">
        <f>AG51-D51/1000</f>
        <v>-0.59366666666666656</v>
      </c>
      <c r="AI51" s="1">
        <f>AI50+E50*COS(RADIANS(AL50))</f>
        <v>1.2</v>
      </c>
      <c r="AJ51" s="1">
        <f>AJ50+E50*SIN(RADIANS(AL50))</f>
        <v>0</v>
      </c>
      <c r="AK51" s="1">
        <f>IF($C51&lt;$H$7,$I$20*$C51+$J$20,IF($C51&lt;$H$8,$I$21*$C51+$J$21,IF($C51&lt;$H$9,$I$22*$C51+$J$22,IF($C51&lt;$H$10,$I$23*$C51+$J$23,IF($C51&lt;$H$11,$I$24*$C51+$J$24,IF($C51&lt;$H$12,$I$25*$C51+$J$25,$I$26*$C51+$J$26))))))</f>
        <v>2</v>
      </c>
      <c r="AL51" s="7">
        <f>IF($C51&lt;$H$7,$K$6,IF($C51&lt;$H$8,$K$7,IF($C51&lt;$H$9,$K$8,IF($C51&lt;$H$10,$K$9,IF($C51&lt;$H$11,$K$10,IF($C51&lt;$H$12,$K$11,$K$12))))))</f>
        <v>0</v>
      </c>
      <c r="AM51" s="231"/>
      <c r="AN51" s="86"/>
      <c r="AO51" s="86"/>
      <c r="AP51" s="86"/>
      <c r="AQ51" s="86"/>
      <c r="AR51" s="86"/>
      <c r="AS51" s="86">
        <f t="shared" si="8"/>
        <v>7.9246888888888894E-2</v>
      </c>
      <c r="AT51" s="86">
        <f t="shared" si="9"/>
        <v>1.8723333333333332</v>
      </c>
      <c r="AU51" s="86">
        <f t="shared" si="3"/>
        <v>0.81026249999999989</v>
      </c>
      <c r="AV51" s="86">
        <f t="shared" si="4"/>
        <v>0.70212499999999989</v>
      </c>
      <c r="AW51" s="227">
        <f t="shared" si="5"/>
        <v>0.37446666666666667</v>
      </c>
      <c r="AX51" s="71">
        <f>AS51*$Y$4*パラメータ!$D$24</f>
        <v>26.151473333333332</v>
      </c>
      <c r="AY51" s="1">
        <f>AU51*$Y$5*E51*パラメータ!$D$30</f>
        <v>27.548924999999997</v>
      </c>
      <c r="AZ51" s="1">
        <f>SUMPRODUCT($AD$4:$AD$10,$AE$4:$AE$10)*E51*パラメータ!$D$28*10^-3</f>
        <v>12.75</v>
      </c>
      <c r="BA51" s="1">
        <f>(AV51+AW51)*$Y$6*$Y$4*パラメータ!$D$22*10^-3</f>
        <v>7.266993750000001</v>
      </c>
      <c r="BB51" s="1">
        <f>($Y$8*$Y$9*パラメータ!$D$22+0.5*$Y$8^2*SIN(RADIANS($Y$10))*パラメータ!$D$25)*E51*10^-3</f>
        <v>3.3081478802897957</v>
      </c>
      <c r="BC51" s="1">
        <f>AT51*($Y$12)</f>
        <v>18.723333333333333</v>
      </c>
      <c r="BD51" s="1">
        <f>$Y$11</f>
        <v>4</v>
      </c>
      <c r="BE51" s="1">
        <f>IF(G51="端リブ",AS51*$Y$13*パラメータ!$D$22*2,0)</f>
        <v>0</v>
      </c>
      <c r="BF51" s="1">
        <f>主桁!AV13*1000</f>
        <v>185.10185575069647</v>
      </c>
      <c r="BG51" s="1">
        <f t="shared" si="10"/>
        <v>99.748873296956447</v>
      </c>
      <c r="BH51" s="1">
        <f t="shared" si="11"/>
        <v>0.28485072904765291</v>
      </c>
      <c r="BI51" s="2" t="e">
        <f>(AO51-重量分布!$E$15)^2+(AP51-重量分布!$F$15)^2</f>
        <v>#REF!</v>
      </c>
      <c r="BJ51" s="2" t="e">
        <f>(AP51-重量分布!$F$15)^2</f>
        <v>#REF!</v>
      </c>
      <c r="BK51" s="237">
        <f>(AO51-重量分布!$E$15)^2</f>
        <v>0</v>
      </c>
    </row>
    <row r="52" spans="2:63">
      <c r="B52" s="29">
        <v>8</v>
      </c>
      <c r="C52" s="1">
        <f t="shared" si="12"/>
        <v>2.1999999999999997</v>
      </c>
      <c r="D52" s="1">
        <f>IF($C52&lt;$H$7,$G$20*$C52+$H$20,IF($C52&lt;$H$8,$G$21*$C52+$H$21,IF($C52&lt;$H$9,$G$22*$C52+$H$22,IF($C52&lt;$H$10,$G$23*$C52+$H$23,IF($C52&lt;$H$11,$G$24*$C52+$H$24,IF($C52&lt;$H$12,$G$25*$C52+$H$25,$G$26*$C52+$H$26))))))*10^3</f>
        <v>905</v>
      </c>
      <c r="E52" s="22">
        <v>0.2</v>
      </c>
      <c r="F52" s="22" t="str">
        <f t="shared" si="6"/>
        <v>1st</v>
      </c>
      <c r="G52" s="75" t="str">
        <f>IF(OR(C52=$F$38,C52=$G$38,C52=$H$38),"端リブ",IF(C52&lt;$F$38,"0番",IF(C52&lt;$G$38,"1番",IF(C52&lt;$H$38,"2番",IF(C52&lt;$I$38,"3番","ウィングレット")))))</f>
        <v>1番</v>
      </c>
      <c r="H52" s="1">
        <f>IF($C52&lt;$H$7,$K$20*$C52+$L$20,IF($C52&lt;$H$8,$K$21*$C52+$L$21,IF($C52&lt;$H$9,$K$22*$C52+$L$22,IF($C52&lt;$H$10,$K$23*$C52+$L$24,IF($C52&lt;$H$11,$K$24*$C52+$L$23,IF($C52&lt;$H$12,$K$25*$C52+$L$25,$K$26*$C52+$L$26))))))</f>
        <v>0.35</v>
      </c>
      <c r="I52" s="9">
        <f>主桁!AD14*2</f>
        <v>115.50999999999999</v>
      </c>
      <c r="J52" s="1">
        <f>主桁!AE14*2</f>
        <v>115.78509999999999</v>
      </c>
      <c r="K52" s="227"/>
      <c r="L52" s="232"/>
      <c r="M52" s="86"/>
      <c r="N52" s="86"/>
      <c r="O52" s="231"/>
      <c r="P52" s="86"/>
      <c r="Q52" s="86"/>
      <c r="R52" s="86"/>
      <c r="S52" s="86"/>
      <c r="T52" s="86"/>
      <c r="U52" s="86"/>
      <c r="V52" s="86"/>
      <c r="W52" s="86"/>
      <c r="X52" s="86"/>
      <c r="Y52" s="86"/>
      <c r="Z52" s="86"/>
      <c r="AA52" s="86"/>
      <c r="AB52" s="86"/>
      <c r="AC52" s="71" t="str">
        <f>IF($C52&lt;$H$7,$M$6,IF($C52&lt;$H$8,$M$7,IF($C52&lt;$H$9,$M$8,IF($C52&lt;$H$10,$M$9,IF($C52&lt;$H$11,$M$10,IF($C52&lt;$H$12,$M$11,$M$12))))))</f>
        <v>QX0023</v>
      </c>
      <c r="AD52" s="1">
        <f t="shared" si="7"/>
        <v>100</v>
      </c>
      <c r="AE52" s="1" t="str">
        <f>IF($C52&lt;$H$7,$M$7,IF($C52&lt;$H$8,$M$8,IF($C52&lt;$H$9,$M$9,IF($C52&lt;$H$10,$M$10,IF($C52&lt;$H$11,$M$11,IF($C52&lt;$H$12,$M$12,$M$13))))))</f>
        <v>QX0023</v>
      </c>
      <c r="AF52" s="1">
        <f>IF(AC52=AE52,0,IF($C52&lt;$H$7,($C52-$H$6)/($H$7-$H$6),IF($C52&lt;$H$8,($C52-$H$7)/($H$8-$H$7),IF($C52&lt;$H$9,($C52-$H$8)/($H$9-$H$8),IF($C52&lt;$H$10,($C52-$H$9)/($H$10-$H$9),IF($C52&lt;$H$11,($C52-$H$10)/($H$11-$H$10),IF($C52&lt;$H$12,($C52-$H$11)/($H$12-$H$11),($C52-$H$12)/($H$13-$H$12))))))))*100</f>
        <v>0</v>
      </c>
      <c r="AG52" s="1">
        <f>D52*H52/1000</f>
        <v>0.31674999999999998</v>
      </c>
      <c r="AH52" s="1">
        <f>AG52-D52/1000</f>
        <v>-0.58825000000000005</v>
      </c>
      <c r="AI52" s="1">
        <f>AI51+E51*COS(RADIANS(AL51))</f>
        <v>1.4</v>
      </c>
      <c r="AJ52" s="1">
        <f>AJ51+E51*SIN(RADIANS(AL51))</f>
        <v>0</v>
      </c>
      <c r="AK52" s="1">
        <f>IF($C52&lt;$H$7,$I$20*$C52+$J$20,IF($C52&lt;$H$8,$I$21*$C52+$J$21,IF($C52&lt;$H$9,$I$22*$C52+$J$22,IF($C52&lt;$H$10,$I$23*$C52+$J$23,IF($C52&lt;$H$11,$I$24*$C52+$J$24,IF($C52&lt;$H$12,$I$25*$C52+$J$25,$I$26*$C52+$J$26))))))</f>
        <v>2</v>
      </c>
      <c r="AL52" s="7">
        <f>IF($C52&lt;$H$7,$K$6,IF($C52&lt;$H$8,$K$7,IF($C52&lt;$H$9,$K$8,IF($C52&lt;$H$10,$K$9,IF($C52&lt;$H$11,$K$10,IF($C52&lt;$H$12,$K$11,$K$12))))))</f>
        <v>0</v>
      </c>
      <c r="AM52" s="231"/>
      <c r="AN52" s="86"/>
      <c r="AO52" s="86"/>
      <c r="AP52" s="86"/>
      <c r="AQ52" s="86"/>
      <c r="AR52" s="86"/>
      <c r="AS52" s="86">
        <f t="shared" si="8"/>
        <v>7.7807374999999998E-2</v>
      </c>
      <c r="AT52" s="86">
        <f t="shared" si="9"/>
        <v>1.8552499999999998</v>
      </c>
      <c r="AU52" s="86">
        <f t="shared" si="3"/>
        <v>0.81026249999999989</v>
      </c>
      <c r="AV52" s="86">
        <f t="shared" si="4"/>
        <v>0.69571874999999994</v>
      </c>
      <c r="AW52" s="227">
        <f t="shared" si="5"/>
        <v>0.37104999999999999</v>
      </c>
      <c r="AX52" s="71">
        <f>AS52*$Y$4*パラメータ!$D$24</f>
        <v>25.676433750000001</v>
      </c>
      <c r="AY52" s="1">
        <f>AU52*$Y$5*E52*パラメータ!$D$30</f>
        <v>27.548924999999997</v>
      </c>
      <c r="AZ52" s="1">
        <f>SUMPRODUCT($AD$4:$AD$10,$AE$4:$AE$10)*E52*パラメータ!$D$28*10^-3</f>
        <v>12.75</v>
      </c>
      <c r="BA52" s="1">
        <f>(AV52+AW52)*$Y$6*$Y$4*パラメータ!$D$22*10^-3</f>
        <v>7.2006890624999995</v>
      </c>
      <c r="BB52" s="1">
        <f>($Y$8*$Y$9*パラメータ!$D$22+0.5*$Y$8^2*SIN(RADIANS($Y$10))*パラメータ!$D$25)*E52*10^-3</f>
        <v>3.3081478802897957</v>
      </c>
      <c r="BC52" s="1">
        <f>AT52*($Y$12)</f>
        <v>18.552499999999998</v>
      </c>
      <c r="BD52" s="1">
        <f>$Y$11</f>
        <v>4</v>
      </c>
      <c r="BE52" s="1">
        <f>IF(G52="端リブ",AS52*$Y$13*パラメータ!$D$22*2,0)</f>
        <v>0</v>
      </c>
      <c r="BF52" s="1">
        <f>主桁!AV14*1000</f>
        <v>182.53390934045478</v>
      </c>
      <c r="BG52" s="1">
        <f t="shared" si="10"/>
        <v>99.036695692789792</v>
      </c>
      <c r="BH52" s="1">
        <f t="shared" si="11"/>
        <v>0.2815706050332446</v>
      </c>
      <c r="BI52" s="2" t="e">
        <f>(AO52-重量分布!$E$15)^2+(AP52-重量分布!$F$15)^2</f>
        <v>#REF!</v>
      </c>
      <c r="BJ52" s="2" t="e">
        <f>(AP52-重量分布!$F$15)^2</f>
        <v>#REF!</v>
      </c>
      <c r="BK52" s="237">
        <f>(AO52-重量分布!$E$15)^2</f>
        <v>0</v>
      </c>
    </row>
    <row r="53" spans="2:63">
      <c r="B53" s="29">
        <v>9</v>
      </c>
      <c r="C53" s="1">
        <f t="shared" si="12"/>
        <v>2.4</v>
      </c>
      <c r="D53" s="1">
        <f>IF($C53&lt;$H$7,$G$20*$C53+$H$20,IF($C53&lt;$H$8,$G$21*$C53+$H$21,IF($C53&lt;$H$9,$G$22*$C53+$H$22,IF($C53&lt;$H$10,$G$23*$C53+$H$23,IF($C53&lt;$H$11,$G$24*$C53+$H$24,IF($C53&lt;$H$12,$G$25*$C53+$H$25,$G$26*$C53+$H$26))))))*10^3</f>
        <v>896.66666666666674</v>
      </c>
      <c r="E53" s="22">
        <v>0.2</v>
      </c>
      <c r="F53" s="22" t="str">
        <f t="shared" si="6"/>
        <v>1st</v>
      </c>
      <c r="G53" s="75" t="str">
        <f>IF(OR(C53=$F$38,C53=$G$38,C53=$H$38),"端リブ",IF(C53&lt;$F$38,"0番",IF(C53&lt;$G$38,"1番",IF(C53&lt;$H$38,"2番",IF(C53&lt;$I$38,"3番","ウィングレット")))))</f>
        <v>1番</v>
      </c>
      <c r="H53" s="1">
        <f>IF($C53&lt;$H$7,$K$20*$C53+$L$20,IF($C53&lt;$H$8,$K$21*$C53+$L$21,IF($C53&lt;$H$9,$K$22*$C53+$L$22,IF($C53&lt;$H$10,$K$23*$C53+$L$24,IF($C53&lt;$H$11,$K$24*$C53+$L$23,IF($C53&lt;$H$12,$K$25*$C53+$L$25,$K$26*$C53+$L$26))))))</f>
        <v>0.35</v>
      </c>
      <c r="I53" s="9">
        <f>主桁!AD15*2</f>
        <v>113.91</v>
      </c>
      <c r="J53" s="1">
        <f>主桁!AE15*2</f>
        <v>114.1515</v>
      </c>
      <c r="K53" s="227"/>
      <c r="L53" s="232"/>
      <c r="M53" s="86"/>
      <c r="N53" s="86"/>
      <c r="O53" s="231"/>
      <c r="P53" s="86"/>
      <c r="Q53" s="86"/>
      <c r="R53" s="86"/>
      <c r="S53" s="86"/>
      <c r="T53" s="86"/>
      <c r="U53" s="86"/>
      <c r="V53" s="86"/>
      <c r="W53" s="86"/>
      <c r="X53" s="86"/>
      <c r="Y53" s="86"/>
      <c r="Z53" s="86"/>
      <c r="AA53" s="86"/>
      <c r="AB53" s="86"/>
      <c r="AC53" s="71" t="str">
        <f>IF($C53&lt;$H$7,$M$6,IF($C53&lt;$H$8,$M$7,IF($C53&lt;$H$9,$M$8,IF($C53&lt;$H$10,$M$9,IF($C53&lt;$H$11,$M$10,IF($C53&lt;$H$12,$M$11,$M$12))))))</f>
        <v>QX0023</v>
      </c>
      <c r="AD53" s="1">
        <f t="shared" si="7"/>
        <v>100</v>
      </c>
      <c r="AE53" s="1" t="str">
        <f>IF($C53&lt;$H$7,$M$7,IF($C53&lt;$H$8,$M$8,IF($C53&lt;$H$9,$M$9,IF($C53&lt;$H$10,$M$10,IF($C53&lt;$H$11,$M$11,IF($C53&lt;$H$12,$M$12,$M$13))))))</f>
        <v>QX0023</v>
      </c>
      <c r="AF53" s="1">
        <f>IF(AC53=AE53,0,IF($C53&lt;$H$7,($C53-$H$6)/($H$7-$H$6),IF($C53&lt;$H$8,($C53-$H$7)/($H$8-$H$7),IF($C53&lt;$H$9,($C53-$H$8)/($H$9-$H$8),IF($C53&lt;$H$10,($C53-$H$9)/($H$10-$H$9),IF($C53&lt;$H$11,($C53-$H$10)/($H$11-$H$10),IF($C53&lt;$H$12,($C53-$H$11)/($H$12-$H$11),($C53-$H$12)/($H$13-$H$12))))))))*100</f>
        <v>0</v>
      </c>
      <c r="AG53" s="1">
        <f>D53*H53/1000</f>
        <v>0.3138333333333333</v>
      </c>
      <c r="AH53" s="1">
        <f>AG53-D53/1000</f>
        <v>-0.58283333333333343</v>
      </c>
      <c r="AI53" s="1">
        <f>AI52+E52*COS(RADIANS(AL52))</f>
        <v>1.5999999999999999</v>
      </c>
      <c r="AJ53" s="1">
        <f>AJ52+E52*SIN(RADIANS(AL52))</f>
        <v>0</v>
      </c>
      <c r="AK53" s="1">
        <f>IF($C53&lt;$H$7,$I$20*$C53+$J$20,IF($C53&lt;$H$8,$I$21*$C53+$J$21,IF($C53&lt;$H$9,$I$22*$C53+$J$22,IF($C53&lt;$H$10,$I$23*$C53+$J$23,IF($C53&lt;$H$11,$I$24*$C53+$J$24,IF($C53&lt;$H$12,$I$25*$C53+$J$25,$I$26*$C53+$J$26))))))</f>
        <v>2</v>
      </c>
      <c r="AL53" s="7">
        <f>IF($C53&lt;$H$7,$K$6,IF($C53&lt;$H$8,$K$7,IF($C53&lt;$H$9,$K$8,IF($C53&lt;$H$10,$K$9,IF($C53&lt;$H$11,$K$10,IF($C53&lt;$H$12,$K$11,$K$12))))))</f>
        <v>0</v>
      </c>
      <c r="AM53" s="231"/>
      <c r="AN53" s="86"/>
      <c r="AO53" s="86"/>
      <c r="AP53" s="86"/>
      <c r="AQ53" s="86"/>
      <c r="AR53" s="86"/>
      <c r="AS53" s="86">
        <f t="shared" si="8"/>
        <v>7.6381055555555563E-2</v>
      </c>
      <c r="AT53" s="86">
        <f t="shared" si="9"/>
        <v>1.8381666666666667</v>
      </c>
      <c r="AU53" s="86">
        <f t="shared" si="3"/>
        <v>0.81026249999999989</v>
      </c>
      <c r="AV53" s="86">
        <f t="shared" si="4"/>
        <v>0.68931249999999999</v>
      </c>
      <c r="AW53" s="227">
        <f t="shared" si="5"/>
        <v>0.36763333333333337</v>
      </c>
      <c r="AX53" s="71">
        <f>AS53*$Y$4*パラメータ!$D$24</f>
        <v>25.205748333333336</v>
      </c>
      <c r="AY53" s="1">
        <f>AU53*$Y$5*E53*パラメータ!$D$30</f>
        <v>27.548924999999997</v>
      </c>
      <c r="AZ53" s="1">
        <f>SUMPRODUCT($AD$4:$AD$10,$AE$4:$AE$10)*E53*パラメータ!$D$28*10^-3</f>
        <v>12.75</v>
      </c>
      <c r="BA53" s="1">
        <f>(AV53+AW53)*$Y$6*$Y$4*パラメータ!$D$22*10^-3</f>
        <v>7.1343843749999998</v>
      </c>
      <c r="BB53" s="1">
        <f>($Y$8*$Y$9*パラメータ!$D$22+0.5*$Y$8^2*SIN(RADIANS($Y$10))*パラメータ!$D$25)*E53*10^-3</f>
        <v>3.3081478802897957</v>
      </c>
      <c r="BC53" s="1">
        <f>AT53*($Y$12)</f>
        <v>18.381666666666668</v>
      </c>
      <c r="BD53" s="1">
        <f>$Y$11</f>
        <v>4</v>
      </c>
      <c r="BE53" s="1">
        <f>IF(G53="端リブ",AS53*$Y$13*パラメータ!$D$22*2,0)</f>
        <v>0</v>
      </c>
      <c r="BF53" s="1">
        <f>主桁!AV15*1000</f>
        <v>179.96596197750961</v>
      </c>
      <c r="BG53" s="1">
        <f t="shared" si="10"/>
        <v>98.328872255289781</v>
      </c>
      <c r="BH53" s="1">
        <f t="shared" si="11"/>
        <v>0.27829483423279944</v>
      </c>
      <c r="BI53" s="2" t="e">
        <f>(AO53-重量分布!$E$15)^2+(AP53-重量分布!$F$15)^2</f>
        <v>#REF!</v>
      </c>
      <c r="BJ53" s="2" t="e">
        <f>(AP53-重量分布!$F$15)^2</f>
        <v>#REF!</v>
      </c>
      <c r="BK53" s="237">
        <f>(AO53-重量分布!$E$15)^2</f>
        <v>0</v>
      </c>
    </row>
    <row r="54" spans="2:63">
      <c r="B54" s="29">
        <v>10</v>
      </c>
      <c r="C54" s="1">
        <f t="shared" si="12"/>
        <v>2.6</v>
      </c>
      <c r="D54" s="1">
        <f>IF($C54&lt;$H$7,$G$20*$C54+$H$20,IF($C54&lt;$H$8,$G$21*$C54+$H$21,IF($C54&lt;$H$9,$G$22*$C54+$H$22,IF($C54&lt;$H$10,$G$23*$C54+$H$23,IF($C54&lt;$H$11,$G$24*$C54+$H$24,IF($C54&lt;$H$12,$G$25*$C54+$H$25,$G$26*$C54+$H$26))))))*10^3</f>
        <v>888.33333333333326</v>
      </c>
      <c r="E54" s="22">
        <v>0.2</v>
      </c>
      <c r="F54" s="22" t="str">
        <f t="shared" si="6"/>
        <v>1st</v>
      </c>
      <c r="G54" s="75" t="str">
        <f>IF(OR(C54=$F$38,C54=$G$38,C54=$H$38),"端リブ",IF(C54&lt;$F$38,"0番",IF(C54&lt;$G$38,"1番",IF(C54&lt;$H$38,"2番",IF(C54&lt;$I$38,"3番","ウィングレット")))))</f>
        <v>1番</v>
      </c>
      <c r="H54" s="1">
        <f>IF($C54&lt;$H$7,$K$20*$C54+$L$20,IF($C54&lt;$H$8,$K$21*$C54+$L$21,IF($C54&lt;$H$9,$K$22*$C54+$L$22,IF($C54&lt;$H$10,$K$23*$C54+$L$24,IF($C54&lt;$H$11,$K$24*$C54+$L$23,IF($C54&lt;$H$12,$K$25*$C54+$L$25,$K$26*$C54+$L$26))))))</f>
        <v>0.35</v>
      </c>
      <c r="I54" s="9">
        <f>主桁!AD16*2</f>
        <v>112.31</v>
      </c>
      <c r="J54" s="1">
        <f>主桁!AE16*2</f>
        <v>112.5179</v>
      </c>
      <c r="K54" s="227"/>
      <c r="L54" s="232"/>
      <c r="M54" s="86"/>
      <c r="N54" s="86"/>
      <c r="O54" s="231"/>
      <c r="P54" s="86"/>
      <c r="Q54" s="86"/>
      <c r="R54" s="86"/>
      <c r="S54" s="86"/>
      <c r="T54" s="86"/>
      <c r="U54" s="86"/>
      <c r="V54" s="86"/>
      <c r="W54" s="86"/>
      <c r="X54" s="86"/>
      <c r="Y54" s="86"/>
      <c r="Z54" s="86"/>
      <c r="AA54" s="86"/>
      <c r="AB54" s="86"/>
      <c r="AC54" s="71" t="str">
        <f>IF($C54&lt;$H$7,$M$6,IF($C54&lt;$H$8,$M$7,IF($C54&lt;$H$9,$M$8,IF($C54&lt;$H$10,$M$9,IF($C54&lt;$H$11,$M$10,IF($C54&lt;$H$12,$M$11,$M$12))))))</f>
        <v>QX0023</v>
      </c>
      <c r="AD54" s="1">
        <f t="shared" si="7"/>
        <v>100</v>
      </c>
      <c r="AE54" s="1" t="str">
        <f>IF($C54&lt;$H$7,$M$7,IF($C54&lt;$H$8,$M$8,IF($C54&lt;$H$9,$M$9,IF($C54&lt;$H$10,$M$10,IF($C54&lt;$H$11,$M$11,IF($C54&lt;$H$12,$M$12,$M$13))))))</f>
        <v>QX0023</v>
      </c>
      <c r="AF54" s="1">
        <f>IF(AC54=AE54,0,IF($C54&lt;$H$7,($C54-$H$6)/($H$7-$H$6),IF($C54&lt;$H$8,($C54-$H$7)/($H$8-$H$7),IF($C54&lt;$H$9,($C54-$H$8)/($H$9-$H$8),IF($C54&lt;$H$10,($C54-$H$9)/($H$10-$H$9),IF($C54&lt;$H$11,($C54-$H$10)/($H$11-$H$10),IF($C54&lt;$H$12,($C54-$H$11)/($H$12-$H$11),($C54-$H$12)/($H$13-$H$12))))))))*100</f>
        <v>0</v>
      </c>
      <c r="AG54" s="1">
        <f>D54*H54/1000</f>
        <v>0.31091666666666662</v>
      </c>
      <c r="AH54" s="1">
        <f>AG54-D54/1000</f>
        <v>-0.57741666666666669</v>
      </c>
      <c r="AI54" s="1">
        <f>AI53+E53*COS(RADIANS(AL53))</f>
        <v>1.7999999999999998</v>
      </c>
      <c r="AJ54" s="1">
        <f>AJ53+E53*SIN(RADIANS(AL53))</f>
        <v>0</v>
      </c>
      <c r="AK54" s="1">
        <f>IF($C54&lt;$H$7,$I$20*$C54+$J$20,IF($C54&lt;$H$8,$I$21*$C54+$J$21,IF($C54&lt;$H$9,$I$22*$C54+$J$22,IF($C54&lt;$H$10,$I$23*$C54+$J$23,IF($C54&lt;$H$11,$I$24*$C54+$J$24,IF($C54&lt;$H$12,$I$25*$C54+$J$25,$I$26*$C54+$J$26))))))</f>
        <v>2</v>
      </c>
      <c r="AL54" s="7">
        <f>IF($C54&lt;$H$7,$K$6,IF($C54&lt;$H$8,$K$7,IF($C54&lt;$H$9,$K$8,IF($C54&lt;$H$10,$K$9,IF($C54&lt;$H$11,$K$10,IF($C54&lt;$H$12,$K$11,$K$12))))))</f>
        <v>0</v>
      </c>
      <c r="AM54" s="231"/>
      <c r="AN54" s="86"/>
      <c r="AO54" s="86"/>
      <c r="AP54" s="86"/>
      <c r="AQ54" s="86"/>
      <c r="AR54" s="86"/>
      <c r="AS54" s="86">
        <f t="shared" si="8"/>
        <v>7.4967930555555548E-2</v>
      </c>
      <c r="AT54" s="86">
        <f t="shared" si="9"/>
        <v>1.8210833333333329</v>
      </c>
      <c r="AU54" s="86">
        <f t="shared" si="3"/>
        <v>0.81026249999999989</v>
      </c>
      <c r="AV54" s="86">
        <f t="shared" si="4"/>
        <v>0.68290624999999983</v>
      </c>
      <c r="AW54" s="227">
        <f t="shared" si="5"/>
        <v>0.36421666666666663</v>
      </c>
      <c r="AX54" s="71">
        <f>AS54*$Y$4*パラメータ!$D$24</f>
        <v>24.739417083333333</v>
      </c>
      <c r="AY54" s="1">
        <f>AU54*$Y$5*E54*パラメータ!$D$30</f>
        <v>27.548924999999997</v>
      </c>
      <c r="AZ54" s="1">
        <f>SUMPRODUCT($AD$4:$AD$10,$AE$4:$AE$10)*E54*パラメータ!$D$28*10^-3</f>
        <v>12.75</v>
      </c>
      <c r="BA54" s="1">
        <f>(AV54+AW54)*$Y$6*$Y$4*パラメータ!$D$22*10^-3</f>
        <v>7.0680796874999983</v>
      </c>
      <c r="BB54" s="1">
        <f>($Y$8*$Y$9*パラメータ!$D$22+0.5*$Y$8^2*SIN(RADIANS($Y$10))*パラメータ!$D$25)*E54*10^-3</f>
        <v>3.3081478802897957</v>
      </c>
      <c r="BC54" s="1">
        <f>AT54*($Y$12)</f>
        <v>18.21083333333333</v>
      </c>
      <c r="BD54" s="1">
        <f>$Y$11</f>
        <v>4</v>
      </c>
      <c r="BE54" s="1">
        <f>IF(G54="端リブ",AS54*$Y$13*パラメータ!$D$22*2,0)</f>
        <v>0</v>
      </c>
      <c r="BF54" s="1">
        <f>主桁!AV16*1000</f>
        <v>177.39801362094659</v>
      </c>
      <c r="BG54" s="1">
        <f t="shared" si="10"/>
        <v>97.625402984456457</v>
      </c>
      <c r="BH54" s="1">
        <f t="shared" si="11"/>
        <v>0.27502341660540303</v>
      </c>
      <c r="BI54" s="2" t="e">
        <f>(AO54-重量分布!$E$15)^2+(AP54-重量分布!$F$15)^2</f>
        <v>#REF!</v>
      </c>
      <c r="BJ54" s="2" t="e">
        <f>(AP54-重量分布!$F$15)^2</f>
        <v>#REF!</v>
      </c>
      <c r="BK54" s="237">
        <f>(AO54-重量分布!$E$15)^2</f>
        <v>0</v>
      </c>
    </row>
    <row r="55" spans="2:63">
      <c r="B55" s="29">
        <v>11</v>
      </c>
      <c r="C55" s="1">
        <f t="shared" ref="C55:C104" si="13">C54+E54</f>
        <v>2.8000000000000003</v>
      </c>
      <c r="D55" s="1">
        <f>IF($C55&lt;$H$7,$G$20*$C55+$H$20,IF($C55&lt;$H$8,$G$21*$C55+$H$21,IF($C55&lt;$H$9,$G$22*$C55+$H$22,IF($C55&lt;$H$10,$G$23*$C55+$H$23,IF($C55&lt;$H$11,$G$24*$C55+$H$24,IF($C55&lt;$H$12,$G$25*$C55+$H$25,$G$26*$C55+$H$26))))))*10^3</f>
        <v>880</v>
      </c>
      <c r="E55" s="22">
        <v>0.2</v>
      </c>
      <c r="F55" s="22" t="str">
        <f t="shared" ref="F55:F104" si="14">IF(C55&lt;$H$7,"flat",IF(C55&lt;$H$8,"1st",IF(C55&lt;$H$9,"2nd",IF(C55&lt;$H$10,"3rd",IF(C55&lt;$H$11,"4th",IF(C55&lt;$H$12,"5th","6th"))))))</f>
        <v>1st</v>
      </c>
      <c r="G55" s="75" t="str">
        <f>IF(OR(C55=$F$38,C55=$G$38,C55=$H$38),"端リブ",IF(C55&lt;$F$38,"0番",IF(C55&lt;$G$38,"1番",IF(C55&lt;$H$38,"2番",IF(C55&lt;$I$38,"3番","ウィングレット")))))</f>
        <v>1番</v>
      </c>
      <c r="H55" s="1">
        <f>IF($C55&lt;$H$7,$K$20*$C55+$L$20,IF($C55&lt;$H$8,$K$21*$C55+$L$21,IF($C55&lt;$H$9,$K$22*$C55+$L$22,IF($C55&lt;$H$10,$K$23*$C55+$L$24,IF($C55&lt;$H$11,$K$24*$C55+$L$23,IF($C55&lt;$H$12,$K$25*$C55+$L$25,$K$26*$C55+$L$26))))))</f>
        <v>0.35</v>
      </c>
      <c r="I55" s="9">
        <f>主桁!AD17*2</f>
        <v>110.71</v>
      </c>
      <c r="J55" s="1">
        <f>主桁!AE17*2</f>
        <v>110.8843</v>
      </c>
      <c r="K55" s="227"/>
      <c r="L55" s="232"/>
      <c r="M55" s="86"/>
      <c r="N55" s="86"/>
      <c r="O55" s="231"/>
      <c r="P55" s="86"/>
      <c r="Q55" s="86"/>
      <c r="R55" s="86"/>
      <c r="S55" s="86"/>
      <c r="T55" s="86"/>
      <c r="U55" s="86"/>
      <c r="V55" s="86"/>
      <c r="W55" s="86"/>
      <c r="X55" s="86"/>
      <c r="Y55" s="86"/>
      <c r="Z55" s="86"/>
      <c r="AA55" s="86"/>
      <c r="AB55" s="86"/>
      <c r="AC55" s="71" t="str">
        <f>IF($C55&lt;$H$7,$M$6,IF($C55&lt;$H$8,$M$7,IF($C55&lt;$H$9,$M$8,IF($C55&lt;$H$10,$M$9,IF($C55&lt;$H$11,$M$10,IF($C55&lt;$H$12,$M$11,$M$12))))))</f>
        <v>QX0023</v>
      </c>
      <c r="AD55" s="1">
        <f t="shared" si="7"/>
        <v>100</v>
      </c>
      <c r="AE55" s="1" t="str">
        <f>IF($C55&lt;$H$7,$M$7,IF($C55&lt;$H$8,$M$8,IF($C55&lt;$H$9,$M$9,IF($C55&lt;$H$10,$M$10,IF($C55&lt;$H$11,$M$11,IF($C55&lt;$H$12,$M$12,$M$13))))))</f>
        <v>QX0023</v>
      </c>
      <c r="AF55" s="1">
        <f>IF(AC55=AE55,0,IF($C55&lt;$H$7,($C55-$H$6)/($H$7-$H$6),IF($C55&lt;$H$8,($C55-$H$7)/($H$8-$H$7),IF($C55&lt;$H$9,($C55-$H$8)/($H$9-$H$8),IF($C55&lt;$H$10,($C55-$H$9)/($H$10-$H$9),IF($C55&lt;$H$11,($C55-$H$10)/($H$11-$H$10),IF($C55&lt;$H$12,($C55-$H$11)/($H$12-$H$11),($C55-$H$12)/($H$13-$H$12))))))))*100</f>
        <v>0</v>
      </c>
      <c r="AG55" s="1">
        <f>D55*H55/1000</f>
        <v>0.308</v>
      </c>
      <c r="AH55" s="1">
        <f>AG55-D55/1000</f>
        <v>-0.57200000000000006</v>
      </c>
      <c r="AI55" s="1">
        <f>AI54+E54*COS(RADIANS(AL54))</f>
        <v>1.9999999999999998</v>
      </c>
      <c r="AJ55" s="1">
        <f>AJ54+E54*SIN(RADIANS(AL54))</f>
        <v>0</v>
      </c>
      <c r="AK55" s="1">
        <f>IF($C55&lt;$H$7,$I$20*$C55+$J$20,IF($C55&lt;$H$8,$I$21*$C55+$J$21,IF($C55&lt;$H$9,$I$22*$C55+$J$22,IF($C55&lt;$H$10,$I$23*$C55+$J$23,IF($C55&lt;$H$11,$I$24*$C55+$J$24,IF($C55&lt;$H$12,$I$25*$C55+$J$25,$I$26*$C55+$J$26))))))</f>
        <v>2</v>
      </c>
      <c r="AL55" s="7">
        <f>IF($C55&lt;$H$7,$K$6,IF($C55&lt;$H$8,$K$7,IF($C55&lt;$H$9,$K$8,IF($C55&lt;$H$10,$K$9,IF($C55&lt;$H$11,$K$10,IF($C55&lt;$H$12,$K$11,$K$12))))))</f>
        <v>0</v>
      </c>
      <c r="AM55" s="231"/>
      <c r="AN55" s="86"/>
      <c r="AO55" s="86"/>
      <c r="AP55" s="86"/>
      <c r="AQ55" s="86"/>
      <c r="AR55" s="86"/>
      <c r="AS55" s="86">
        <f t="shared" si="8"/>
        <v>7.3567999999999995E-2</v>
      </c>
      <c r="AT55" s="86">
        <f t="shared" si="9"/>
        <v>1.8039999999999998</v>
      </c>
      <c r="AU55" s="86">
        <f t="shared" si="3"/>
        <v>0.81026249999999989</v>
      </c>
      <c r="AV55" s="86">
        <f t="shared" si="4"/>
        <v>0.67649999999999988</v>
      </c>
      <c r="AW55" s="227">
        <f t="shared" si="5"/>
        <v>0.36080000000000001</v>
      </c>
      <c r="AX55" s="71">
        <f>AS55*$Y$4*パラメータ!$D$24</f>
        <v>24.277439999999995</v>
      </c>
      <c r="AY55" s="1">
        <f>AU55*$Y$5*E55*パラメータ!$D$30</f>
        <v>27.548924999999997</v>
      </c>
      <c r="AZ55" s="1">
        <f>SUMPRODUCT($AD$4:$AD$10,$AE$4:$AE$10)*E55*パラメータ!$D$28*10^-3</f>
        <v>12.75</v>
      </c>
      <c r="BA55" s="1">
        <f>(AV55+AW55)*$Y$6*$Y$4*パラメータ!$D$22*10^-3</f>
        <v>7.0017749999999994</v>
      </c>
      <c r="BB55" s="1">
        <f>($Y$8*$Y$9*パラメータ!$D$22+0.5*$Y$8^2*SIN(RADIANS($Y$10))*パラメータ!$D$25)*E55*10^-3</f>
        <v>3.3081478802897957</v>
      </c>
      <c r="BC55" s="1">
        <f>AT55*($Y$12)</f>
        <v>18.04</v>
      </c>
      <c r="BD55" s="1">
        <f>$Y$11</f>
        <v>4</v>
      </c>
      <c r="BE55" s="1">
        <f>IF(G55="端リブ",AS55*$Y$13*パラメータ!$D$22*2,0)</f>
        <v>0</v>
      </c>
      <c r="BF55" s="1">
        <f>主桁!AV17*1000</f>
        <v>174.83006422747499</v>
      </c>
      <c r="BG55" s="1">
        <f t="shared" si="10"/>
        <v>96.926287880289777</v>
      </c>
      <c r="BH55" s="1">
        <f t="shared" si="11"/>
        <v>0.27175635210776478</v>
      </c>
      <c r="BI55" s="2" t="e">
        <f>(AO55-重量分布!$E$15)^2+(AP55-重量分布!$F$15)^2</f>
        <v>#REF!</v>
      </c>
      <c r="BJ55" s="2" t="e">
        <f>(AP55-重量分布!$F$15)^2</f>
        <v>#REF!</v>
      </c>
      <c r="BK55" s="237">
        <f>(AO55-重量分布!$E$15)^2</f>
        <v>0</v>
      </c>
    </row>
    <row r="56" spans="2:63">
      <c r="B56" s="29">
        <v>12</v>
      </c>
      <c r="C56" s="1">
        <f t="shared" si="13"/>
        <v>3.0000000000000004</v>
      </c>
      <c r="D56" s="1">
        <f>IF($C56&lt;$H$7,$G$20*$C56+$H$20,IF($C56&lt;$H$8,$G$21*$C56+$H$21,IF($C56&lt;$H$9,$G$22*$C56+$H$22,IF($C56&lt;$H$10,$G$23*$C56+$H$23,IF($C56&lt;$H$11,$G$24*$C56+$H$24,IF($C56&lt;$H$12,$G$25*$C56+$H$25,$G$26*$C56+$H$26))))))*10^3</f>
        <v>871.66666666666674</v>
      </c>
      <c r="E56" s="22">
        <v>0.2</v>
      </c>
      <c r="F56" s="22" t="str">
        <f t="shared" si="14"/>
        <v>1st</v>
      </c>
      <c r="G56" s="75" t="str">
        <f>IF(OR(C56=$F$38,C56=$G$38,C56=$H$38),"端リブ",IF(C56&lt;$F$38,"0番",IF(C56&lt;$G$38,"1番",IF(C56&lt;$H$38,"2番",IF(C56&lt;$I$38,"3番","ウィングレット")))))</f>
        <v>1番</v>
      </c>
      <c r="H56" s="1">
        <f>IF($C56&lt;$H$7,$K$20*$C56+$L$20,IF($C56&lt;$H$8,$K$21*$C56+$L$21,IF($C56&lt;$H$9,$K$22*$C56+$L$22,IF($C56&lt;$H$10,$K$23*$C56+$L$24,IF($C56&lt;$H$11,$K$24*$C56+$L$23,IF($C56&lt;$H$12,$K$25*$C56+$L$25,$K$26*$C56+$L$26))))))</f>
        <v>0.35</v>
      </c>
      <c r="I56" s="9">
        <f>主桁!AD18*2</f>
        <v>109.10999999999999</v>
      </c>
      <c r="J56" s="1">
        <f>主桁!AE18*2</f>
        <v>109.25069999999998</v>
      </c>
      <c r="K56" s="227"/>
      <c r="L56" s="232"/>
      <c r="M56" s="86"/>
      <c r="N56" s="86"/>
      <c r="O56" s="231"/>
      <c r="P56" s="86"/>
      <c r="Q56" s="86"/>
      <c r="R56" s="86"/>
      <c r="S56" s="86"/>
      <c r="T56" s="86"/>
      <c r="U56" s="86"/>
      <c r="V56" s="86"/>
      <c r="W56" s="86"/>
      <c r="X56" s="86"/>
      <c r="Y56" s="86"/>
      <c r="Z56" s="86"/>
      <c r="AA56" s="86"/>
      <c r="AB56" s="86"/>
      <c r="AC56" s="71" t="str">
        <f>IF($C56&lt;$H$7,$M$6,IF($C56&lt;$H$8,$M$7,IF($C56&lt;$H$9,$M$8,IF($C56&lt;$H$10,$M$9,IF($C56&lt;$H$11,$M$10,IF($C56&lt;$H$12,$M$11,$M$12))))))</f>
        <v>QX0023</v>
      </c>
      <c r="AD56" s="1">
        <f t="shared" si="7"/>
        <v>100</v>
      </c>
      <c r="AE56" s="1" t="str">
        <f>IF($C56&lt;$H$7,$M$7,IF($C56&lt;$H$8,$M$8,IF($C56&lt;$H$9,$M$9,IF($C56&lt;$H$10,$M$10,IF($C56&lt;$H$11,$M$11,IF($C56&lt;$H$12,$M$12,$M$13))))))</f>
        <v>QX0023</v>
      </c>
      <c r="AF56" s="1">
        <f>IF(AC56=AE56,0,IF($C56&lt;$H$7,($C56-$H$6)/($H$7-$H$6),IF($C56&lt;$H$8,($C56-$H$7)/($H$8-$H$7),IF($C56&lt;$H$9,($C56-$H$8)/($H$9-$H$8),IF($C56&lt;$H$10,($C56-$H$9)/($H$10-$H$9),IF($C56&lt;$H$11,($C56-$H$10)/($H$11-$H$10),IF($C56&lt;$H$12,($C56-$H$11)/($H$12-$H$11),($C56-$H$12)/($H$13-$H$12))))))))*100</f>
        <v>0</v>
      </c>
      <c r="AG56" s="1">
        <f>D56*H56/1000</f>
        <v>0.30508333333333332</v>
      </c>
      <c r="AH56" s="1">
        <f>AG56-D56/1000</f>
        <v>-0.56658333333333344</v>
      </c>
      <c r="AI56" s="1">
        <f>AI55+E55*COS(RADIANS(AL55))</f>
        <v>2.1999999999999997</v>
      </c>
      <c r="AJ56" s="1">
        <f>AJ55+E55*SIN(RADIANS(AL55))</f>
        <v>0</v>
      </c>
      <c r="AK56" s="1">
        <f>IF($C56&lt;$H$7,$I$20*$C56+$J$20,IF($C56&lt;$H$8,$I$21*$C56+$J$21,IF($C56&lt;$H$9,$I$22*$C56+$J$22,IF($C56&lt;$H$10,$I$23*$C56+$J$23,IF($C56&lt;$H$11,$I$24*$C56+$J$24,IF($C56&lt;$H$12,$I$25*$C56+$J$25,$I$26*$C56+$J$26))))))</f>
        <v>2</v>
      </c>
      <c r="AL56" s="7">
        <f>IF($C56&lt;$H$7,$K$6,IF($C56&lt;$H$8,$K$7,IF($C56&lt;$H$9,$K$8,IF($C56&lt;$H$10,$K$9,IF($C56&lt;$H$11,$K$10,IF($C56&lt;$H$12,$K$11,$K$12))))))</f>
        <v>0</v>
      </c>
      <c r="AM56" s="231"/>
      <c r="AN56" s="86"/>
      <c r="AO56" s="86"/>
      <c r="AP56" s="86"/>
      <c r="AQ56" s="86"/>
      <c r="AR56" s="86"/>
      <c r="AS56" s="86">
        <f t="shared" si="8"/>
        <v>7.2181263888888889E-2</v>
      </c>
      <c r="AT56" s="86">
        <f t="shared" si="9"/>
        <v>1.7869166666666667</v>
      </c>
      <c r="AU56" s="86">
        <f t="shared" si="3"/>
        <v>0.81026249999999989</v>
      </c>
      <c r="AV56" s="86">
        <f t="shared" si="4"/>
        <v>0.67009375000000004</v>
      </c>
      <c r="AW56" s="227">
        <f t="shared" si="5"/>
        <v>0.35738333333333339</v>
      </c>
      <c r="AX56" s="71">
        <f>AS56*$Y$4*パラメータ!$D$24</f>
        <v>23.819817083333334</v>
      </c>
      <c r="AY56" s="1">
        <f>AU56*$Y$5*E56*パラメータ!$D$30</f>
        <v>27.548924999999997</v>
      </c>
      <c r="AZ56" s="1">
        <f>SUMPRODUCT($AD$4:$AD$10,$AE$4:$AE$10)*E56*パラメータ!$D$28*10^-3</f>
        <v>12.75</v>
      </c>
      <c r="BA56" s="1">
        <f>(AV56+AW56)*$Y$6*$Y$4*パラメータ!$D$22*10^-3</f>
        <v>6.9354703124999997</v>
      </c>
      <c r="BB56" s="1">
        <f>($Y$8*$Y$9*パラメータ!$D$22+0.5*$Y$8^2*SIN(RADIANS($Y$10))*パラメータ!$D$25)*E56*10^-3</f>
        <v>3.3081478802897957</v>
      </c>
      <c r="BC56" s="1">
        <f>AT56*($Y$12)</f>
        <v>17.869166666666668</v>
      </c>
      <c r="BD56" s="1">
        <f>$Y$11</f>
        <v>4</v>
      </c>
      <c r="BE56" s="1">
        <f>IF(G56="端リブ",AS56*$Y$13*パラメータ!$D$22*2,0)</f>
        <v>0</v>
      </c>
      <c r="BF56" s="1">
        <f>主桁!AV18*1000</f>
        <v>172.26211375124851</v>
      </c>
      <c r="BG56" s="1">
        <f t="shared" si="10"/>
        <v>96.231526942789799</v>
      </c>
      <c r="BH56" s="1">
        <f t="shared" si="11"/>
        <v>0.26849364069403825</v>
      </c>
      <c r="BI56" s="2" t="e">
        <f>(AO56-重量分布!$E$15)^2+(AP56-重量分布!$F$15)^2</f>
        <v>#REF!</v>
      </c>
      <c r="BJ56" s="2" t="e">
        <f>(AP56-重量分布!$F$15)^2</f>
        <v>#REF!</v>
      </c>
      <c r="BK56" s="237">
        <f>(AO56-重量分布!$E$15)^2</f>
        <v>0</v>
      </c>
    </row>
    <row r="57" spans="2:63">
      <c r="B57" s="29">
        <v>13</v>
      </c>
      <c r="C57" s="1">
        <f t="shared" si="13"/>
        <v>3.2000000000000006</v>
      </c>
      <c r="D57" s="1">
        <f>IF($C57&lt;$H$7,$G$20*$C57+$H$20,IF($C57&lt;$H$8,$G$21*$C57+$H$21,IF($C57&lt;$H$9,$G$22*$C57+$H$22,IF($C57&lt;$H$10,$G$23*$C57+$H$23,IF($C57&lt;$H$11,$G$24*$C57+$H$24,IF($C57&lt;$H$12,$G$25*$C57+$H$25,$G$26*$C57+$H$26))))))*10^3</f>
        <v>863.33333333333326</v>
      </c>
      <c r="E57" s="22">
        <v>0.2</v>
      </c>
      <c r="F57" s="22" t="str">
        <f t="shared" si="14"/>
        <v>1st</v>
      </c>
      <c r="G57" s="75" t="str">
        <f>IF(OR(C57=$F$38,C57=$G$38,C57=$H$38),"端リブ",IF(C57&lt;$F$38,"0番",IF(C57&lt;$G$38,"1番",IF(C57&lt;$H$38,"2番",IF(C57&lt;$I$38,"3番","ウィングレット")))))</f>
        <v>1番</v>
      </c>
      <c r="H57" s="1">
        <f>IF($C57&lt;$H$7,$K$20*$C57+$L$20,IF($C57&lt;$H$8,$K$21*$C57+$L$21,IF($C57&lt;$H$9,$K$22*$C57+$L$22,IF($C57&lt;$H$10,$K$23*$C57+$L$24,IF($C57&lt;$H$11,$K$24*$C57+$L$23,IF($C57&lt;$H$12,$K$25*$C57+$L$25,$K$26*$C57+$L$26))))))</f>
        <v>0.35</v>
      </c>
      <c r="I57" s="9">
        <f>主桁!AD19*2</f>
        <v>107.50999999999999</v>
      </c>
      <c r="J57" s="1">
        <f>主桁!AE19*2</f>
        <v>107.61709999999999</v>
      </c>
      <c r="K57" s="227"/>
      <c r="L57" s="232"/>
      <c r="M57" s="86"/>
      <c r="N57" s="86"/>
      <c r="O57" s="231"/>
      <c r="P57" s="86"/>
      <c r="Q57" s="86"/>
      <c r="R57" s="86"/>
      <c r="S57" s="86"/>
      <c r="T57" s="86"/>
      <c r="U57" s="86"/>
      <c r="V57" s="86"/>
      <c r="W57" s="86"/>
      <c r="X57" s="86"/>
      <c r="Y57" s="86"/>
      <c r="Z57" s="86"/>
      <c r="AA57" s="86"/>
      <c r="AB57" s="86"/>
      <c r="AC57" s="71" t="str">
        <f>IF($C57&lt;$H$7,$M$6,IF($C57&lt;$H$8,$M$7,IF($C57&lt;$H$9,$M$8,IF($C57&lt;$H$10,$M$9,IF($C57&lt;$H$11,$M$10,IF($C57&lt;$H$12,$M$11,$M$12))))))</f>
        <v>QX0023</v>
      </c>
      <c r="AD57" s="1">
        <f t="shared" si="7"/>
        <v>100</v>
      </c>
      <c r="AE57" s="1" t="str">
        <f>IF($C57&lt;$H$7,$M$7,IF($C57&lt;$H$8,$M$8,IF($C57&lt;$H$9,$M$9,IF($C57&lt;$H$10,$M$10,IF($C57&lt;$H$11,$M$11,IF($C57&lt;$H$12,$M$12,$M$13))))))</f>
        <v>QX0023</v>
      </c>
      <c r="AF57" s="1">
        <f>IF(AC57=AE57,0,IF($C57&lt;$H$7,($C57-$H$6)/($H$7-$H$6),IF($C57&lt;$H$8,($C57-$H$7)/($H$8-$H$7),IF($C57&lt;$H$9,($C57-$H$8)/($H$9-$H$8),IF($C57&lt;$H$10,($C57-$H$9)/($H$10-$H$9),IF($C57&lt;$H$11,($C57-$H$10)/($H$11-$H$10),IF($C57&lt;$H$12,($C57-$H$11)/($H$12-$H$11),($C57-$H$12)/($H$13-$H$12))))))))*100</f>
        <v>0</v>
      </c>
      <c r="AG57" s="1">
        <f>D57*H57/1000</f>
        <v>0.30216666666666664</v>
      </c>
      <c r="AH57" s="1">
        <f>AG57-D57/1000</f>
        <v>-0.56116666666666659</v>
      </c>
      <c r="AI57" s="1">
        <f>AI56+E56*COS(RADIANS(AL56))</f>
        <v>2.4</v>
      </c>
      <c r="AJ57" s="1">
        <f>AJ56+E56*SIN(RADIANS(AL56))</f>
        <v>0</v>
      </c>
      <c r="AK57" s="1">
        <f>IF($C57&lt;$H$7,$I$20*$C57+$J$20,IF($C57&lt;$H$8,$I$21*$C57+$J$21,IF($C57&lt;$H$9,$I$22*$C57+$J$22,IF($C57&lt;$H$10,$I$23*$C57+$J$23,IF($C57&lt;$H$11,$I$24*$C57+$J$24,IF($C57&lt;$H$12,$I$25*$C57+$J$25,$I$26*$C57+$J$26))))))</f>
        <v>2</v>
      </c>
      <c r="AL57" s="7">
        <f>IF($C57&lt;$H$7,$K$6,IF($C57&lt;$H$8,$K$7,IF($C57&lt;$H$9,$K$8,IF($C57&lt;$H$10,$K$9,IF($C57&lt;$H$11,$K$10,IF($C57&lt;$H$12,$K$11,$K$12))))))</f>
        <v>0</v>
      </c>
      <c r="AM57" s="231"/>
      <c r="AN57" s="86"/>
      <c r="AO57" s="86"/>
      <c r="AP57" s="86"/>
      <c r="AQ57" s="86"/>
      <c r="AR57" s="86"/>
      <c r="AS57" s="86">
        <f t="shared" si="8"/>
        <v>7.0807722222222216E-2</v>
      </c>
      <c r="AT57" s="86">
        <f t="shared" si="9"/>
        <v>1.7698333333333329</v>
      </c>
      <c r="AU57" s="86">
        <f t="shared" si="3"/>
        <v>0.81026249999999989</v>
      </c>
      <c r="AV57" s="86">
        <f t="shared" si="4"/>
        <v>0.66368749999999987</v>
      </c>
      <c r="AW57" s="227">
        <f t="shared" si="5"/>
        <v>0.3539666666666666</v>
      </c>
      <c r="AX57" s="71">
        <f>AS57*$Y$4*パラメータ!$D$24</f>
        <v>23.366548333333331</v>
      </c>
      <c r="AY57" s="1">
        <f>AU57*$Y$5*E57*パラメータ!$D$30</f>
        <v>27.548924999999997</v>
      </c>
      <c r="AZ57" s="1">
        <f>SUMPRODUCT($AD$4:$AD$10,$AE$4:$AE$10)*E57*パラメータ!$D$28*10^-3</f>
        <v>12.75</v>
      </c>
      <c r="BA57" s="1">
        <f>(AV57+AW57)*$Y$6*$Y$4*パラメータ!$D$22*10^-3</f>
        <v>6.8691656249999991</v>
      </c>
      <c r="BB57" s="1">
        <f>($Y$8*$Y$9*パラメータ!$D$22+0.5*$Y$8^2*SIN(RADIANS($Y$10))*パラメータ!$D$25)*E57*10^-3</f>
        <v>3.3081478802897957</v>
      </c>
      <c r="BC57" s="1">
        <f>AT57*($Y$12)</f>
        <v>17.698333333333331</v>
      </c>
      <c r="BD57" s="1">
        <f>$Y$11</f>
        <v>4</v>
      </c>
      <c r="BE57" s="1">
        <f>IF(G57="端リブ",AS57*$Y$13*パラメータ!$D$22*2,0)</f>
        <v>0</v>
      </c>
      <c r="BF57" s="1">
        <f>主桁!AV19*1000</f>
        <v>169.69416214367973</v>
      </c>
      <c r="BG57" s="1">
        <f t="shared" si="10"/>
        <v>95.541120171956436</v>
      </c>
      <c r="BH57" s="1">
        <f t="shared" si="11"/>
        <v>0.26523528231563614</v>
      </c>
      <c r="BI57" s="2" t="e">
        <f>(AO57-重量分布!$E$15)^2+(AP57-重量分布!$F$15)^2</f>
        <v>#REF!</v>
      </c>
      <c r="BJ57" s="2" t="e">
        <f>(AP57-重量分布!$F$15)^2</f>
        <v>#REF!</v>
      </c>
      <c r="BK57" s="237">
        <f>(AO57-重量分布!$E$15)^2</f>
        <v>0</v>
      </c>
    </row>
    <row r="58" spans="2:63">
      <c r="B58" s="29">
        <v>14</v>
      </c>
      <c r="C58" s="1">
        <f t="shared" si="13"/>
        <v>3.4000000000000008</v>
      </c>
      <c r="D58" s="1">
        <f>IF($C58&lt;$H$7,$G$20*$C58+$H$20,IF($C58&lt;$H$8,$G$21*$C58+$H$21,IF($C58&lt;$H$9,$G$22*$C58+$H$22,IF($C58&lt;$H$10,$G$23*$C58+$H$23,IF($C58&lt;$H$11,$G$24*$C58+$H$24,IF($C58&lt;$H$12,$G$25*$C58+$H$25,$G$26*$C58+$H$26))))))*10^3</f>
        <v>855</v>
      </c>
      <c r="E58" s="22">
        <v>0.2</v>
      </c>
      <c r="F58" s="22" t="str">
        <f t="shared" si="14"/>
        <v>1st</v>
      </c>
      <c r="G58" s="75" t="str">
        <f>IF(OR(C58=$F$38,C58=$G$38,C58=$H$38),"端リブ",IF(C58&lt;$F$38,"0番",IF(C58&lt;$G$38,"1番",IF(C58&lt;$H$38,"2番",IF(C58&lt;$I$38,"3番","ウィングレット")))))</f>
        <v>1番</v>
      </c>
      <c r="H58" s="1">
        <f>IF($C58&lt;$H$7,$K$20*$C58+$L$20,IF($C58&lt;$H$8,$K$21*$C58+$L$21,IF($C58&lt;$H$9,$K$22*$C58+$L$22,IF($C58&lt;$H$10,$K$23*$C58+$L$24,IF($C58&lt;$H$11,$K$24*$C58+$L$23,IF($C58&lt;$H$12,$K$25*$C58+$L$25,$K$26*$C58+$L$26))))))</f>
        <v>0.35</v>
      </c>
      <c r="I58" s="9">
        <f>主桁!AD20*2</f>
        <v>105.91</v>
      </c>
      <c r="J58" s="1">
        <f>主桁!AE20*2</f>
        <v>105.98349999999999</v>
      </c>
      <c r="K58" s="227"/>
      <c r="L58" s="232"/>
      <c r="M58" s="86"/>
      <c r="N58" s="86"/>
      <c r="O58" s="231"/>
      <c r="P58" s="86"/>
      <c r="Q58" s="86"/>
      <c r="R58" s="86"/>
      <c r="S58" s="86"/>
      <c r="T58" s="86"/>
      <c r="U58" s="86"/>
      <c r="V58" s="86"/>
      <c r="W58" s="86"/>
      <c r="X58" s="86"/>
      <c r="Y58" s="86"/>
      <c r="Z58" s="86"/>
      <c r="AA58" s="86"/>
      <c r="AB58" s="86"/>
      <c r="AC58" s="71" t="str">
        <f>IF($C58&lt;$H$7,$M$6,IF($C58&lt;$H$8,$M$7,IF($C58&lt;$H$9,$M$8,IF($C58&lt;$H$10,$M$9,IF($C58&lt;$H$11,$M$10,IF($C58&lt;$H$12,$M$11,$M$12))))))</f>
        <v>QX0023</v>
      </c>
      <c r="AD58" s="1">
        <f t="shared" si="7"/>
        <v>100</v>
      </c>
      <c r="AE58" s="1" t="str">
        <f>IF($C58&lt;$H$7,$M$7,IF($C58&lt;$H$8,$M$8,IF($C58&lt;$H$9,$M$9,IF($C58&lt;$H$10,$M$10,IF($C58&lt;$H$11,$M$11,IF($C58&lt;$H$12,$M$12,$M$13))))))</f>
        <v>QX0023</v>
      </c>
      <c r="AF58" s="1">
        <f>IF(AC58=AE58,0,IF($C58&lt;$H$7,($C58-$H$6)/($H$7-$H$6),IF($C58&lt;$H$8,($C58-$H$7)/($H$8-$H$7),IF($C58&lt;$H$9,($C58-$H$8)/($H$9-$H$8),IF($C58&lt;$H$10,($C58-$H$9)/($H$10-$H$9),IF($C58&lt;$H$11,($C58-$H$10)/($H$11-$H$10),IF($C58&lt;$H$12,($C58-$H$11)/($H$12-$H$11),($C58-$H$12)/($H$13-$H$12))))))))*100</f>
        <v>0</v>
      </c>
      <c r="AG58" s="1">
        <f>D58*H58/1000</f>
        <v>0.29925000000000002</v>
      </c>
      <c r="AH58" s="1">
        <f>AG58-D58/1000</f>
        <v>-0.55574999999999997</v>
      </c>
      <c r="AI58" s="1">
        <f>AI57+E57*COS(RADIANS(AL57))</f>
        <v>2.6</v>
      </c>
      <c r="AJ58" s="1">
        <f>AJ57+E57*SIN(RADIANS(AL57))</f>
        <v>0</v>
      </c>
      <c r="AK58" s="1">
        <f>IF($C58&lt;$H$7,$I$20*$C58+$J$20,IF($C58&lt;$H$8,$I$21*$C58+$J$21,IF($C58&lt;$H$9,$I$22*$C58+$J$22,IF($C58&lt;$H$10,$I$23*$C58+$J$23,IF($C58&lt;$H$11,$I$24*$C58+$J$24,IF($C58&lt;$H$12,$I$25*$C58+$J$25,$I$26*$C58+$J$26))))))</f>
        <v>2</v>
      </c>
      <c r="AL58" s="7">
        <f>IF($C58&lt;$H$7,$K$6,IF($C58&lt;$H$8,$K$7,IF($C58&lt;$H$9,$K$8,IF($C58&lt;$H$10,$K$9,IF($C58&lt;$H$11,$K$10,IF($C58&lt;$H$12,$K$11,$K$12))))))</f>
        <v>0</v>
      </c>
      <c r="AM58" s="231"/>
      <c r="AN58" s="86"/>
      <c r="AO58" s="86"/>
      <c r="AP58" s="86"/>
      <c r="AQ58" s="86"/>
      <c r="AR58" s="86"/>
      <c r="AS58" s="86">
        <f t="shared" si="8"/>
        <v>6.9447374999999992E-2</v>
      </c>
      <c r="AT58" s="86">
        <f t="shared" si="9"/>
        <v>1.7527499999999998</v>
      </c>
      <c r="AU58" s="86">
        <f t="shared" si="3"/>
        <v>0.81026249999999989</v>
      </c>
      <c r="AV58" s="86">
        <f t="shared" si="4"/>
        <v>0.65728124999999993</v>
      </c>
      <c r="AW58" s="227">
        <f t="shared" si="5"/>
        <v>0.35054999999999997</v>
      </c>
      <c r="AX58" s="71">
        <f>AS58*$Y$4*パラメータ!$D$24</f>
        <v>22.917633749999997</v>
      </c>
      <c r="AY58" s="1">
        <f>AU58*$Y$5*E58*パラメータ!$D$30</f>
        <v>27.548924999999997</v>
      </c>
      <c r="AZ58" s="1">
        <f>SUMPRODUCT($AD$4:$AD$10,$AE$4:$AE$10)*E58*パラメータ!$D$28*10^-3</f>
        <v>12.75</v>
      </c>
      <c r="BA58" s="1">
        <f>(AV58+AW58)*$Y$6*$Y$4*パラメータ!$D$22*10^-3</f>
        <v>6.8028609375000011</v>
      </c>
      <c r="BB58" s="1">
        <f>($Y$8*$Y$9*パラメータ!$D$22+0.5*$Y$8^2*SIN(RADIANS($Y$10))*パラメータ!$D$25)*E58*10^-3</f>
        <v>3.3081478802897957</v>
      </c>
      <c r="BC58" s="1">
        <f>AT58*($Y$12)</f>
        <v>17.527499999999996</v>
      </c>
      <c r="BD58" s="1">
        <f>$Y$11</f>
        <v>4</v>
      </c>
      <c r="BE58" s="1">
        <f>IF(G58="端リブ",AS58*$Y$13*パラメータ!$D$22*2,0)</f>
        <v>0</v>
      </c>
      <c r="BF58" s="1">
        <f>主桁!AV20*1000</f>
        <v>167.12620935322951</v>
      </c>
      <c r="BG58" s="1">
        <f t="shared" si="10"/>
        <v>94.855067567789774</v>
      </c>
      <c r="BH58" s="1">
        <f t="shared" si="11"/>
        <v>0.2619812769210193</v>
      </c>
      <c r="BI58" s="2" t="e">
        <f>(AO58-重量分布!$E$15)^2+(AP58-重量分布!$F$15)^2</f>
        <v>#REF!</v>
      </c>
      <c r="BJ58" s="2" t="e">
        <f>(AP58-重量分布!$F$15)^2</f>
        <v>#REF!</v>
      </c>
      <c r="BK58" s="237">
        <f>(AO58-重量分布!$E$15)^2</f>
        <v>0</v>
      </c>
    </row>
    <row r="59" spans="2:63">
      <c r="B59" s="29">
        <v>15</v>
      </c>
      <c r="C59" s="1">
        <f t="shared" si="13"/>
        <v>3.600000000000001</v>
      </c>
      <c r="D59" s="1">
        <f>IF($C59&lt;$H$7,$G$20*$C59+$H$20,IF($C59&lt;$H$8,$G$21*$C59+$H$21,IF($C59&lt;$H$9,$G$22*$C59+$H$22,IF($C59&lt;$H$10,$G$23*$C59+$H$23,IF($C59&lt;$H$11,$G$24*$C59+$H$24,IF($C59&lt;$H$12,$G$25*$C59+$H$25,$G$26*$C59+$H$26))))))*10^3</f>
        <v>846.66666666666663</v>
      </c>
      <c r="E59" s="22">
        <v>0.2</v>
      </c>
      <c r="F59" s="22" t="str">
        <f t="shared" si="14"/>
        <v>1st</v>
      </c>
      <c r="G59" s="75" t="str">
        <f>IF(OR(C59=$F$38,C59=$G$38,C59=$H$38),"端リブ",IF(C59&lt;$F$38,"0番",IF(C59&lt;$G$38,"1番",IF(C59&lt;$H$38,"2番",IF(C59&lt;$I$38,"3番","ウィングレット")))))</f>
        <v>1番</v>
      </c>
      <c r="H59" s="1">
        <f>IF($C59&lt;$H$7,$K$20*$C59+$L$20,IF($C59&lt;$H$8,$K$21*$C59+$L$21,IF($C59&lt;$H$9,$K$22*$C59+$L$22,IF($C59&lt;$H$10,$K$23*$C59+$L$24,IF($C59&lt;$H$11,$K$24*$C59+$L$23,IF($C59&lt;$H$12,$K$25*$C59+$L$25,$K$26*$C59+$L$26))))))</f>
        <v>0.35</v>
      </c>
      <c r="I59" s="9">
        <f>主桁!AD21*2</f>
        <v>104.30999999999999</v>
      </c>
      <c r="J59" s="1">
        <f>主桁!AE21*2</f>
        <v>104.34989999999999</v>
      </c>
      <c r="K59" s="227"/>
      <c r="L59" s="232"/>
      <c r="M59" s="86"/>
      <c r="N59" s="86"/>
      <c r="O59" s="231"/>
      <c r="P59" s="86"/>
      <c r="Q59" s="86"/>
      <c r="R59" s="86"/>
      <c r="S59" s="86"/>
      <c r="T59" s="86"/>
      <c r="U59" s="86"/>
      <c r="V59" s="86"/>
      <c r="W59" s="86"/>
      <c r="X59" s="86"/>
      <c r="Y59" s="86"/>
      <c r="Z59" s="86"/>
      <c r="AA59" s="86"/>
      <c r="AB59" s="86"/>
      <c r="AC59" s="71" t="str">
        <f>IF($C59&lt;$H$7,$M$6,IF($C59&lt;$H$8,$M$7,IF($C59&lt;$H$9,$M$8,IF($C59&lt;$H$10,$M$9,IF($C59&lt;$H$11,$M$10,IF($C59&lt;$H$12,$M$11,$M$12))))))</f>
        <v>QX0023</v>
      </c>
      <c r="AD59" s="1">
        <f t="shared" si="7"/>
        <v>100</v>
      </c>
      <c r="AE59" s="1" t="str">
        <f>IF($C59&lt;$H$7,$M$7,IF($C59&lt;$H$8,$M$8,IF($C59&lt;$H$9,$M$9,IF($C59&lt;$H$10,$M$10,IF($C59&lt;$H$11,$M$11,IF($C59&lt;$H$12,$M$12,$M$13))))))</f>
        <v>QX0023</v>
      </c>
      <c r="AF59" s="1">
        <f>IF(AC59=AE59,0,IF($C59&lt;$H$7,($C59-$H$6)/($H$7-$H$6),IF($C59&lt;$H$8,($C59-$H$7)/($H$8-$H$7),IF($C59&lt;$H$9,($C59-$H$8)/($H$9-$H$8),IF($C59&lt;$H$10,($C59-$H$9)/($H$10-$H$9),IF($C59&lt;$H$11,($C59-$H$10)/($H$11-$H$10),IF($C59&lt;$H$12,($C59-$H$11)/($H$12-$H$11),($C59-$H$12)/($H$13-$H$12))))))))*100</f>
        <v>0</v>
      </c>
      <c r="AG59" s="1">
        <f>D59*H59/1000</f>
        <v>0.29633333333333334</v>
      </c>
      <c r="AH59" s="1">
        <f>AG59-D59/1000</f>
        <v>-0.55033333333333334</v>
      </c>
      <c r="AI59" s="1">
        <f>AI58+E58*COS(RADIANS(AL58))</f>
        <v>2.8000000000000003</v>
      </c>
      <c r="AJ59" s="1">
        <f>AJ58+E58*SIN(RADIANS(AL58))</f>
        <v>0</v>
      </c>
      <c r="AK59" s="1">
        <f>IF($C59&lt;$H$7,$I$20*$C59+$J$20,IF($C59&lt;$H$8,$I$21*$C59+$J$21,IF($C59&lt;$H$9,$I$22*$C59+$J$22,IF($C59&lt;$H$10,$I$23*$C59+$J$23,IF($C59&lt;$H$11,$I$24*$C59+$J$24,IF($C59&lt;$H$12,$I$25*$C59+$J$25,$I$26*$C59+$J$26))))))</f>
        <v>2</v>
      </c>
      <c r="AL59" s="7">
        <f>IF($C59&lt;$H$7,$K$6,IF($C59&lt;$H$8,$K$7,IF($C59&lt;$H$9,$K$8,IF($C59&lt;$H$10,$K$9,IF($C59&lt;$H$11,$K$10,IF($C59&lt;$H$12,$K$11,$K$12))))))</f>
        <v>0</v>
      </c>
      <c r="AM59" s="231"/>
      <c r="AN59" s="86"/>
      <c r="AO59" s="86"/>
      <c r="AP59" s="86"/>
      <c r="AQ59" s="86"/>
      <c r="AR59" s="86"/>
      <c r="AS59" s="86">
        <f t="shared" si="8"/>
        <v>6.8100222222222229E-2</v>
      </c>
      <c r="AT59" s="86">
        <f t="shared" si="9"/>
        <v>1.7356666666666665</v>
      </c>
      <c r="AU59" s="86">
        <f t="shared" si="3"/>
        <v>0.81026249999999989</v>
      </c>
      <c r="AV59" s="86">
        <f t="shared" si="4"/>
        <v>0.65087499999999987</v>
      </c>
      <c r="AW59" s="227">
        <f t="shared" si="5"/>
        <v>0.34713333333333329</v>
      </c>
      <c r="AX59" s="71">
        <f>AS59*$Y$4*パラメータ!$D$24</f>
        <v>22.473073333333335</v>
      </c>
      <c r="AY59" s="1">
        <f>AU59*$Y$5*E59*パラメータ!$D$30</f>
        <v>27.548924999999997</v>
      </c>
      <c r="AZ59" s="1">
        <f>SUMPRODUCT($AD$4:$AD$10,$AE$4:$AE$10)*E59*パラメータ!$D$28*10^-3</f>
        <v>12.75</v>
      </c>
      <c r="BA59" s="1">
        <f>(AV59+AW59)*$Y$6*$Y$4*パラメータ!$D$22*10^-3</f>
        <v>6.7365562499999987</v>
      </c>
      <c r="BB59" s="1">
        <f>($Y$8*$Y$9*パラメータ!$D$22+0.5*$Y$8^2*SIN(RADIANS($Y$10))*パラメータ!$D$25)*E59*10^-3</f>
        <v>3.3081478802897957</v>
      </c>
      <c r="BC59" s="1">
        <f>AT59*($Y$12)</f>
        <v>17.356666666666666</v>
      </c>
      <c r="BD59" s="1">
        <f>$Y$11</f>
        <v>4</v>
      </c>
      <c r="BE59" s="1">
        <f>IF(G59="端リブ",AS59*$Y$13*パラメータ!$D$22*2,0)</f>
        <v>0</v>
      </c>
      <c r="BF59" s="1">
        <f>主桁!AV21*1000</f>
        <v>164.55825532518088</v>
      </c>
      <c r="BG59" s="1">
        <f t="shared" si="10"/>
        <v>94.173369130289785</v>
      </c>
      <c r="BH59" s="1">
        <f t="shared" si="11"/>
        <v>0.25873162445547065</v>
      </c>
      <c r="BI59" s="2" t="e">
        <f>(AO59-重量分布!$E$15)^2+(AP59-重量分布!$F$15)^2</f>
        <v>#REF!</v>
      </c>
      <c r="BJ59" s="2" t="e">
        <f>(AP59-重量分布!$F$15)^2</f>
        <v>#REF!</v>
      </c>
      <c r="BK59" s="237">
        <f>(AO59-重量分布!$E$15)^2</f>
        <v>0</v>
      </c>
    </row>
    <row r="60" spans="2:63">
      <c r="B60" s="29">
        <v>16</v>
      </c>
      <c r="C60" s="1">
        <f t="shared" si="13"/>
        <v>3.8000000000000012</v>
      </c>
      <c r="D60" s="1">
        <f>IF($C60&lt;$H$7,$G$20*$C60+$H$20,IF($C60&lt;$H$8,$G$21*$C60+$H$21,IF($C60&lt;$H$9,$G$22*$C60+$H$22,IF($C60&lt;$H$10,$G$23*$C60+$H$23,IF($C60&lt;$H$11,$G$24*$C60+$H$24,IF($C60&lt;$H$12,$G$25*$C60+$H$25,$G$26*$C60+$H$26))))))*10^3</f>
        <v>838.33333333333326</v>
      </c>
      <c r="E60" s="22">
        <v>0.2</v>
      </c>
      <c r="F60" s="22" t="str">
        <f t="shared" si="14"/>
        <v>1st</v>
      </c>
      <c r="G60" s="75" t="str">
        <f>IF(OR(C60=$F$38,C60=$G$38,C60=$H$38),"端リブ",IF(C60&lt;$F$38,"0番",IF(C60&lt;$G$38,"1番",IF(C60&lt;$H$38,"2番",IF(C60&lt;$I$38,"3番","ウィングレット")))))</f>
        <v>1番</v>
      </c>
      <c r="H60" s="1">
        <f>IF($C60&lt;$H$7,$K$20*$C60+$L$20,IF($C60&lt;$H$8,$K$21*$C60+$L$21,IF($C60&lt;$H$9,$K$22*$C60+$L$22,IF($C60&lt;$H$10,$K$23*$C60+$L$24,IF($C60&lt;$H$11,$K$24*$C60+$L$23,IF($C60&lt;$H$12,$K$25*$C60+$L$25,$K$26*$C60+$L$26))))))</f>
        <v>0.35</v>
      </c>
      <c r="I60" s="9">
        <f>主桁!AD22*2</f>
        <v>102.70999999999998</v>
      </c>
      <c r="J60" s="1">
        <f>主桁!AE22*2</f>
        <v>102.71629999999998</v>
      </c>
      <c r="K60" s="227"/>
      <c r="L60" s="232"/>
      <c r="M60" s="86"/>
      <c r="N60" s="86"/>
      <c r="O60" s="231"/>
      <c r="P60" s="86"/>
      <c r="Q60" s="86"/>
      <c r="R60" s="86"/>
      <c r="S60" s="86"/>
      <c r="T60" s="86"/>
      <c r="U60" s="86"/>
      <c r="V60" s="86"/>
      <c r="W60" s="86"/>
      <c r="X60" s="86"/>
      <c r="Y60" s="86"/>
      <c r="Z60" s="86"/>
      <c r="AA60" s="86"/>
      <c r="AB60" s="86"/>
      <c r="AC60" s="71" t="str">
        <f>IF($C60&lt;$H$7,$M$6,IF($C60&lt;$H$8,$M$7,IF($C60&lt;$H$9,$M$8,IF($C60&lt;$H$10,$M$9,IF($C60&lt;$H$11,$M$10,IF($C60&lt;$H$12,$M$11,$M$12))))))</f>
        <v>QX0023</v>
      </c>
      <c r="AD60" s="1">
        <f t="shared" si="7"/>
        <v>100</v>
      </c>
      <c r="AE60" s="1" t="str">
        <f>IF($C60&lt;$H$7,$M$7,IF($C60&lt;$H$8,$M$8,IF($C60&lt;$H$9,$M$9,IF($C60&lt;$H$10,$M$10,IF($C60&lt;$H$11,$M$11,IF($C60&lt;$H$12,$M$12,$M$13))))))</f>
        <v>QX0023</v>
      </c>
      <c r="AF60" s="1">
        <f>IF(AC60=AE60,0,IF($C60&lt;$H$7,($C60-$H$6)/($H$7-$H$6),IF($C60&lt;$H$8,($C60-$H$7)/($H$8-$H$7),IF($C60&lt;$H$9,($C60-$H$8)/($H$9-$H$8),IF($C60&lt;$H$10,($C60-$H$9)/($H$10-$H$9),IF($C60&lt;$H$11,($C60-$H$10)/($H$11-$H$10),IF($C60&lt;$H$12,($C60-$H$11)/($H$12-$H$11),($C60-$H$12)/($H$13-$H$12))))))))*100</f>
        <v>0</v>
      </c>
      <c r="AG60" s="1">
        <f>D60*H60/1000</f>
        <v>0.2934166666666666</v>
      </c>
      <c r="AH60" s="1">
        <f>AG60-D60/1000</f>
        <v>-0.54491666666666672</v>
      </c>
      <c r="AI60" s="1">
        <f>AI59+E59*COS(RADIANS(AL59))</f>
        <v>3.0000000000000004</v>
      </c>
      <c r="AJ60" s="1">
        <f>AJ59+E59*SIN(RADIANS(AL59))</f>
        <v>0</v>
      </c>
      <c r="AK60" s="1">
        <f>IF($C60&lt;$H$7,$I$20*$C60+$J$20,IF($C60&lt;$H$8,$I$21*$C60+$J$21,IF($C60&lt;$H$9,$I$22*$C60+$J$22,IF($C60&lt;$H$10,$I$23*$C60+$J$23,IF($C60&lt;$H$11,$I$24*$C60+$J$24,IF($C60&lt;$H$12,$I$25*$C60+$J$25,$I$26*$C60+$J$26))))))</f>
        <v>2</v>
      </c>
      <c r="AL60" s="7">
        <f>IF($C60&lt;$H$7,$K$6,IF($C60&lt;$H$8,$K$7,IF($C60&lt;$H$9,$K$8,IF($C60&lt;$H$10,$K$9,IF($C60&lt;$H$11,$K$10,IF($C60&lt;$H$12,$K$11,$K$12))))))</f>
        <v>0</v>
      </c>
      <c r="AM60" s="231"/>
      <c r="AN60" s="86"/>
      <c r="AO60" s="86"/>
      <c r="AP60" s="86"/>
      <c r="AQ60" s="86"/>
      <c r="AR60" s="86"/>
      <c r="AS60" s="86">
        <f t="shared" si="8"/>
        <v>6.6766263888888885E-2</v>
      </c>
      <c r="AT60" s="86">
        <f t="shared" si="9"/>
        <v>1.7185833333333331</v>
      </c>
      <c r="AU60" s="86">
        <f t="shared" si="3"/>
        <v>0.81026249999999989</v>
      </c>
      <c r="AV60" s="86">
        <f t="shared" si="4"/>
        <v>0.64446874999999992</v>
      </c>
      <c r="AW60" s="227">
        <f t="shared" si="5"/>
        <v>0.34371666666666667</v>
      </c>
      <c r="AX60" s="71">
        <f>AS60*$Y$4*パラメータ!$D$24</f>
        <v>22.032867083333333</v>
      </c>
      <c r="AY60" s="1">
        <f>AU60*$Y$5*E60*パラメータ!$D$30</f>
        <v>27.548924999999997</v>
      </c>
      <c r="AZ60" s="1">
        <f>SUMPRODUCT($AD$4:$AD$10,$AE$4:$AE$10)*E60*パラメータ!$D$28*10^-3</f>
        <v>12.75</v>
      </c>
      <c r="BA60" s="1">
        <f>(AV60+AW60)*$Y$6*$Y$4*パラメータ!$D$22*10^-3</f>
        <v>6.6702515624999998</v>
      </c>
      <c r="BB60" s="1">
        <f>($Y$8*$Y$9*パラメータ!$D$22+0.5*$Y$8^2*SIN(RADIANS($Y$10))*パラメータ!$D$25)*E60*10^-3</f>
        <v>3.3081478802897957</v>
      </c>
      <c r="BC60" s="1">
        <f>AT60*($Y$12)</f>
        <v>17.185833333333331</v>
      </c>
      <c r="BD60" s="1">
        <f>$Y$11</f>
        <v>4</v>
      </c>
      <c r="BE60" s="1">
        <f>IF(G60="端リブ",AS60*$Y$13*パラメータ!$D$22*2,0)</f>
        <v>0</v>
      </c>
      <c r="BF60" s="1">
        <f>主桁!AV22*1000</f>
        <v>161.99030000138711</v>
      </c>
      <c r="BG60" s="1">
        <f t="shared" si="10"/>
        <v>93.496024859456455</v>
      </c>
      <c r="BH60" s="1">
        <f t="shared" si="11"/>
        <v>0.25548632486084361</v>
      </c>
      <c r="BI60" s="2" t="e">
        <f>(AO60-重量分布!$E$15)^2+(AP60-重量分布!$F$15)^2</f>
        <v>#REF!</v>
      </c>
      <c r="BJ60" s="2" t="e">
        <f>(AP60-重量分布!$F$15)^2</f>
        <v>#REF!</v>
      </c>
      <c r="BK60" s="237">
        <f>(AO60-重量分布!$E$15)^2</f>
        <v>0</v>
      </c>
    </row>
    <row r="61" spans="2:63">
      <c r="B61" s="29">
        <v>17</v>
      </c>
      <c r="C61" s="1">
        <f t="shared" si="13"/>
        <v>4.0000000000000009</v>
      </c>
      <c r="D61" s="1">
        <f>IF($C61&lt;$H$7,$G$20*$C61+$H$20,IF($C61&lt;$H$8,$G$21*$C61+$H$21,IF($C61&lt;$H$9,$G$22*$C61+$H$22,IF($C61&lt;$H$10,$G$23*$C61+$H$23,IF($C61&lt;$H$11,$G$24*$C61+$H$24,IF($C61&lt;$H$12,$G$25*$C61+$H$25,$G$26*$C61+$H$26))))))*10^3</f>
        <v>830</v>
      </c>
      <c r="E61" s="22">
        <v>0.2</v>
      </c>
      <c r="F61" s="22" t="str">
        <f t="shared" si="14"/>
        <v>1st</v>
      </c>
      <c r="G61" s="75" t="str">
        <f>IF(OR(C61=$F$38,C61=$G$38,C61=$H$38),"端リブ",IF(C61&lt;$F$38,"0番",IF(C61&lt;$G$38,"1番",IF(C61&lt;$H$38,"2番",IF(C61&lt;$I$38,"3番","ウィングレット")))))</f>
        <v>1番</v>
      </c>
      <c r="H61" s="1">
        <f>IF($C61&lt;$H$7,$K$20*$C61+$L$20,IF($C61&lt;$H$8,$K$21*$C61+$L$21,IF($C61&lt;$H$9,$K$22*$C61+$L$22,IF($C61&lt;$H$10,$K$23*$C61+$L$24,IF($C61&lt;$H$11,$K$24*$C61+$L$23,IF($C61&lt;$H$12,$K$25*$C61+$L$25,$K$26*$C61+$L$26))))))</f>
        <v>0.35</v>
      </c>
      <c r="I61" s="9">
        <f>主桁!AD23*2</f>
        <v>101.10999999999999</v>
      </c>
      <c r="J61" s="1">
        <f>主桁!AE23*2</f>
        <v>101.08269999999999</v>
      </c>
      <c r="K61" s="227"/>
      <c r="L61" s="232"/>
      <c r="M61" s="86"/>
      <c r="N61" s="86"/>
      <c r="O61" s="231"/>
      <c r="P61" s="86"/>
      <c r="Q61" s="86"/>
      <c r="R61" s="86"/>
      <c r="S61" s="86"/>
      <c r="T61" s="86"/>
      <c r="U61" s="86"/>
      <c r="V61" s="86"/>
      <c r="W61" s="86"/>
      <c r="X61" s="86"/>
      <c r="Y61" s="86"/>
      <c r="Z61" s="86"/>
      <c r="AA61" s="86"/>
      <c r="AB61" s="86"/>
      <c r="AC61" s="71" t="str">
        <f>IF($C61&lt;$H$7,$M$6,IF($C61&lt;$H$8,$M$7,IF($C61&lt;$H$9,$M$8,IF($C61&lt;$H$10,$M$9,IF($C61&lt;$H$11,$M$10,IF($C61&lt;$H$12,$M$11,$M$12))))))</f>
        <v>QX0023</v>
      </c>
      <c r="AD61" s="1">
        <f t="shared" si="7"/>
        <v>100</v>
      </c>
      <c r="AE61" s="1" t="str">
        <f>IF($C61&lt;$H$7,$M$7,IF($C61&lt;$H$8,$M$8,IF($C61&lt;$H$9,$M$9,IF($C61&lt;$H$10,$M$10,IF($C61&lt;$H$11,$M$11,IF($C61&lt;$H$12,$M$12,$M$13))))))</f>
        <v>QX0023</v>
      </c>
      <c r="AF61" s="1">
        <f>IF(AC61=AE61,0,IF($C61&lt;$H$7,($C61-$H$6)/($H$7-$H$6),IF($C61&lt;$H$8,($C61-$H$7)/($H$8-$H$7),IF($C61&lt;$H$9,($C61-$H$8)/($H$9-$H$8),IF($C61&lt;$H$10,($C61-$H$9)/($H$10-$H$9),IF($C61&lt;$H$11,($C61-$H$10)/($H$11-$H$10),IF($C61&lt;$H$12,($C61-$H$11)/($H$12-$H$11),($C61-$H$12)/($H$13-$H$12))))))))*100</f>
        <v>0</v>
      </c>
      <c r="AG61" s="1">
        <f>D61*H61/1000</f>
        <v>0.29049999999999998</v>
      </c>
      <c r="AH61" s="1">
        <f>AG61-D61/1000</f>
        <v>-0.53949999999999998</v>
      </c>
      <c r="AI61" s="1">
        <f>AI60+E60*COS(RADIANS(AL60))</f>
        <v>3.2000000000000006</v>
      </c>
      <c r="AJ61" s="1">
        <f>AJ60+E60*SIN(RADIANS(AL60))</f>
        <v>0</v>
      </c>
      <c r="AK61" s="1">
        <f>IF($C61&lt;$H$7,$I$20*$C61+$J$20,IF($C61&lt;$H$8,$I$21*$C61+$J$21,IF($C61&lt;$H$9,$I$22*$C61+$J$22,IF($C61&lt;$H$10,$I$23*$C61+$J$23,IF($C61&lt;$H$11,$I$24*$C61+$J$24,IF($C61&lt;$H$12,$I$25*$C61+$J$25,$I$26*$C61+$J$26))))))</f>
        <v>2</v>
      </c>
      <c r="AL61" s="7">
        <f>IF($C61&lt;$H$7,$K$6,IF($C61&lt;$H$8,$K$7,IF($C61&lt;$H$9,$K$8,IF($C61&lt;$H$10,$K$9,IF($C61&lt;$H$11,$K$10,IF($C61&lt;$H$12,$K$11,$K$12))))))</f>
        <v>0</v>
      </c>
      <c r="AM61" s="231"/>
      <c r="AN61" s="86"/>
      <c r="AO61" s="86"/>
      <c r="AP61" s="86"/>
      <c r="AQ61" s="86"/>
      <c r="AR61" s="86"/>
      <c r="AS61" s="86">
        <f t="shared" si="8"/>
        <v>6.544549999999999E-2</v>
      </c>
      <c r="AT61" s="86">
        <f t="shared" si="9"/>
        <v>1.7014999999999998</v>
      </c>
      <c r="AU61" s="86">
        <f t="shared" si="3"/>
        <v>0.81026249999999989</v>
      </c>
      <c r="AV61" s="86">
        <f t="shared" si="4"/>
        <v>0.63806249999999998</v>
      </c>
      <c r="AW61" s="227">
        <f t="shared" si="5"/>
        <v>0.34029999999999999</v>
      </c>
      <c r="AX61" s="71">
        <f>AS61*$Y$4*パラメータ!$D$24</f>
        <v>21.597014999999995</v>
      </c>
      <c r="AY61" s="1">
        <f>AU61*$Y$5*E61*パラメータ!$D$30</f>
        <v>27.548924999999997</v>
      </c>
      <c r="AZ61" s="1">
        <f>SUMPRODUCT($AD$4:$AD$10,$AE$4:$AE$10)*E61*パラメータ!$D$28*10^-3</f>
        <v>12.75</v>
      </c>
      <c r="BA61" s="1">
        <f>(AV61+AW61)*$Y$6*$Y$4*パラメータ!$D$22*10^-3</f>
        <v>6.603946875000001</v>
      </c>
      <c r="BB61" s="1">
        <f>($Y$8*$Y$9*パラメータ!$D$22+0.5*$Y$8^2*SIN(RADIANS($Y$10))*パラメータ!$D$25)*E61*10^-3</f>
        <v>3.3081478802897957</v>
      </c>
      <c r="BC61" s="1">
        <f>AT61*($Y$12)</f>
        <v>17.014999999999997</v>
      </c>
      <c r="BD61" s="1">
        <f>$Y$11</f>
        <v>4</v>
      </c>
      <c r="BE61" s="1">
        <f>IF(G61="端リブ",AS61*$Y$13*パラメータ!$D$22*2,0)</f>
        <v>0</v>
      </c>
      <c r="BF61" s="1">
        <f>主桁!AV23*1000</f>
        <v>159.42234331999941</v>
      </c>
      <c r="BG61" s="1">
        <f t="shared" si="10"/>
        <v>92.823034755289797</v>
      </c>
      <c r="BH61" s="1">
        <f t="shared" si="11"/>
        <v>0.25224537807528918</v>
      </c>
      <c r="BI61" s="2" t="e">
        <f>(AO61-重量分布!$E$15)^2+(AP61-重量分布!$F$15)^2</f>
        <v>#REF!</v>
      </c>
      <c r="BJ61" s="2" t="e">
        <f>(AP61-重量分布!$F$15)^2</f>
        <v>#REF!</v>
      </c>
      <c r="BK61" s="237">
        <f>(AO61-重量分布!$E$15)^2</f>
        <v>0</v>
      </c>
    </row>
    <row r="62" spans="2:63">
      <c r="B62" s="29">
        <v>18</v>
      </c>
      <c r="C62" s="1">
        <f t="shared" si="13"/>
        <v>4.2000000000000011</v>
      </c>
      <c r="D62" s="1">
        <f>IF($C62&lt;$H$7,$G$20*$C62+$H$20,IF($C62&lt;$H$8,$G$21*$C62+$H$21,IF($C62&lt;$H$9,$G$22*$C62+$H$22,IF($C62&lt;$H$10,$G$23*$C62+$H$23,IF($C62&lt;$H$11,$G$24*$C62+$H$24,IF($C62&lt;$H$12,$G$25*$C62+$H$25,$G$26*$C62+$H$26))))))*10^3</f>
        <v>821.66666666666663</v>
      </c>
      <c r="E62" s="22">
        <v>0.2</v>
      </c>
      <c r="F62" s="22" t="str">
        <f t="shared" si="14"/>
        <v>1st</v>
      </c>
      <c r="G62" s="75" t="str">
        <f>IF(OR(C62=$F$38,C62=$G$38,C62=$H$38),"端リブ",IF(C62&lt;$F$38,"0番",IF(C62&lt;$G$38,"1番",IF(C62&lt;$H$38,"2番",IF(C62&lt;$I$38,"3番","ウィングレット")))))</f>
        <v>1番</v>
      </c>
      <c r="H62" s="1">
        <f>IF($C62&lt;$H$7,$K$20*$C62+$L$20,IF($C62&lt;$H$8,$K$21*$C62+$L$21,IF($C62&lt;$H$9,$K$22*$C62+$L$22,IF($C62&lt;$H$10,$K$23*$C62+$L$24,IF($C62&lt;$H$11,$K$24*$C62+$L$23,IF($C62&lt;$H$12,$K$25*$C62+$L$25,$K$26*$C62+$L$26))))))</f>
        <v>0.35</v>
      </c>
      <c r="I62" s="9">
        <f>主桁!AD24*2</f>
        <v>99.509999999999991</v>
      </c>
      <c r="J62" s="1">
        <f>主桁!AE24*2</f>
        <v>99.449099999999987</v>
      </c>
      <c r="K62" s="227"/>
      <c r="L62" s="232"/>
      <c r="M62" s="86"/>
      <c r="N62" s="86"/>
      <c r="O62" s="231"/>
      <c r="P62" s="86"/>
      <c r="Q62" s="86"/>
      <c r="R62" s="86"/>
      <c r="S62" s="86"/>
      <c r="T62" s="86"/>
      <c r="U62" s="86"/>
      <c r="V62" s="86"/>
      <c r="W62" s="86"/>
      <c r="X62" s="86"/>
      <c r="Y62" s="86"/>
      <c r="Z62" s="86"/>
      <c r="AA62" s="86"/>
      <c r="AB62" s="86"/>
      <c r="AC62" s="71" t="str">
        <f>IF($C62&lt;$H$7,$M$6,IF($C62&lt;$H$8,$M$7,IF($C62&lt;$H$9,$M$8,IF($C62&lt;$H$10,$M$9,IF($C62&lt;$H$11,$M$10,IF($C62&lt;$H$12,$M$11,$M$12))))))</f>
        <v>QX0023</v>
      </c>
      <c r="AD62" s="1">
        <f t="shared" si="7"/>
        <v>100</v>
      </c>
      <c r="AE62" s="1" t="str">
        <f>IF($C62&lt;$H$7,$M$7,IF($C62&lt;$H$8,$M$8,IF($C62&lt;$H$9,$M$9,IF($C62&lt;$H$10,$M$10,IF($C62&lt;$H$11,$M$11,IF($C62&lt;$H$12,$M$12,$M$13))))))</f>
        <v>QX0023</v>
      </c>
      <c r="AF62" s="1">
        <f>IF(AC62=AE62,0,IF($C62&lt;$H$7,($C62-$H$6)/($H$7-$H$6),IF($C62&lt;$H$8,($C62-$H$7)/($H$8-$H$7),IF($C62&lt;$H$9,($C62-$H$8)/($H$9-$H$8),IF($C62&lt;$H$10,($C62-$H$9)/($H$10-$H$9),IF($C62&lt;$H$11,($C62-$H$10)/($H$11-$H$10),IF($C62&lt;$H$12,($C62-$H$11)/($H$12-$H$11),($C62-$H$12)/($H$13-$H$12))))))))*100</f>
        <v>0</v>
      </c>
      <c r="AG62" s="1">
        <f>D62*H62/1000</f>
        <v>0.2875833333333333</v>
      </c>
      <c r="AH62" s="1">
        <f>AG62-D62/1000</f>
        <v>-0.53408333333333335</v>
      </c>
      <c r="AI62" s="1">
        <f>AI61+E61*COS(RADIANS(AL61))</f>
        <v>3.4000000000000008</v>
      </c>
      <c r="AJ62" s="1">
        <f>AJ61+E61*SIN(RADIANS(AL61))</f>
        <v>0</v>
      </c>
      <c r="AK62" s="1">
        <f>IF($C62&lt;$H$7,$I$20*$C62+$J$20,IF($C62&lt;$H$8,$I$21*$C62+$J$21,IF($C62&lt;$H$9,$I$22*$C62+$J$22,IF($C62&lt;$H$10,$I$23*$C62+$J$23,IF($C62&lt;$H$11,$I$24*$C62+$J$24,IF($C62&lt;$H$12,$I$25*$C62+$J$25,$I$26*$C62+$J$26))))))</f>
        <v>2</v>
      </c>
      <c r="AL62" s="7">
        <f>IF($C62&lt;$H$7,$K$6,IF($C62&lt;$H$8,$K$7,IF($C62&lt;$H$9,$K$8,IF($C62&lt;$H$10,$K$9,IF($C62&lt;$H$11,$K$10,IF($C62&lt;$H$12,$K$11,$K$12))))))</f>
        <v>0</v>
      </c>
      <c r="AM62" s="231"/>
      <c r="AN62" s="86"/>
      <c r="AO62" s="86"/>
      <c r="AP62" s="86"/>
      <c r="AQ62" s="86"/>
      <c r="AR62" s="86"/>
      <c r="AS62" s="86">
        <f t="shared" si="8"/>
        <v>6.4137930555555556E-2</v>
      </c>
      <c r="AT62" s="86">
        <f t="shared" si="9"/>
        <v>1.6844166666666665</v>
      </c>
      <c r="AU62" s="86">
        <f t="shared" si="3"/>
        <v>0.81026249999999989</v>
      </c>
      <c r="AV62" s="86">
        <f t="shared" si="4"/>
        <v>0.63165624999999992</v>
      </c>
      <c r="AW62" s="227">
        <f t="shared" si="5"/>
        <v>0.33688333333333331</v>
      </c>
      <c r="AX62" s="71">
        <f>AS62*$Y$4*パラメータ!$D$24</f>
        <v>21.165517083333334</v>
      </c>
      <c r="AY62" s="1">
        <f>AU62*$Y$5*E62*パラメータ!$D$30</f>
        <v>27.548924999999997</v>
      </c>
      <c r="AZ62" s="1">
        <f>SUMPRODUCT($AD$4:$AD$10,$AE$4:$AE$10)*E62*パラメータ!$D$28*10^-3</f>
        <v>12.75</v>
      </c>
      <c r="BA62" s="1">
        <f>(AV62+AW62)*$Y$6*$Y$4*パラメータ!$D$22*10^-3</f>
        <v>6.5376421874999995</v>
      </c>
      <c r="BB62" s="1">
        <f>($Y$8*$Y$9*パラメータ!$D$22+0.5*$Y$8^2*SIN(RADIANS($Y$10))*パラメータ!$D$25)*E62*10^-3</f>
        <v>3.3081478802897957</v>
      </c>
      <c r="BC62" s="1">
        <f>AT62*($Y$12)</f>
        <v>16.844166666666666</v>
      </c>
      <c r="BD62" s="1">
        <f>$Y$11</f>
        <v>4</v>
      </c>
      <c r="BE62" s="1">
        <f>IF(G62="端リブ",AS62*$Y$13*パラメータ!$D$22*2,0)</f>
        <v>0</v>
      </c>
      <c r="BF62" s="1">
        <f>主桁!AV24*1000</f>
        <v>156.85438521517403</v>
      </c>
      <c r="BG62" s="1">
        <f t="shared" si="10"/>
        <v>92.154398817789797</v>
      </c>
      <c r="BH62" s="1">
        <f t="shared" si="11"/>
        <v>0.24900878403296384</v>
      </c>
      <c r="BI62" s="2" t="e">
        <f>(AO62-重量分布!$E$15)^2+(AP62-重量分布!$F$15)^2</f>
        <v>#REF!</v>
      </c>
      <c r="BJ62" s="2" t="e">
        <f>(AP62-重量分布!$F$15)^2</f>
        <v>#REF!</v>
      </c>
      <c r="BK62" s="237">
        <f>(AO62-重量分布!$E$15)^2</f>
        <v>0</v>
      </c>
    </row>
    <row r="63" spans="2:63">
      <c r="B63" s="29">
        <v>19</v>
      </c>
      <c r="C63" s="1">
        <f t="shared" si="13"/>
        <v>4.4000000000000012</v>
      </c>
      <c r="D63" s="1">
        <f>IF($C63&lt;$H$7,$G$20*$C63+$H$20,IF($C63&lt;$H$8,$G$21*$C63+$H$21,IF($C63&lt;$H$9,$G$22*$C63+$H$22,IF($C63&lt;$H$10,$G$23*$C63+$H$23,IF($C63&lt;$H$11,$G$24*$C63+$H$24,IF($C63&lt;$H$12,$G$25*$C63+$H$25,$G$26*$C63+$H$26))))))*10^3</f>
        <v>813.33333333333326</v>
      </c>
      <c r="E63" s="22">
        <v>0.2</v>
      </c>
      <c r="F63" s="22" t="str">
        <f t="shared" si="14"/>
        <v>1st</v>
      </c>
      <c r="G63" s="75" t="str">
        <f>IF(OR(C63=$F$38,C63=$G$38,C63=$H$38),"端リブ",IF(C63&lt;$F$38,"0番",IF(C63&lt;$G$38,"1番",IF(C63&lt;$H$38,"2番",IF(C63&lt;$I$38,"3番","ウィングレット")))))</f>
        <v>1番</v>
      </c>
      <c r="H63" s="1">
        <f>IF($C63&lt;$H$7,$K$20*$C63+$L$20,IF($C63&lt;$H$8,$K$21*$C63+$L$21,IF($C63&lt;$H$9,$K$22*$C63+$L$22,IF($C63&lt;$H$10,$K$23*$C63+$L$24,IF($C63&lt;$H$11,$K$24*$C63+$L$23,IF($C63&lt;$H$12,$K$25*$C63+$L$25,$K$26*$C63+$L$26))))))</f>
        <v>0.35</v>
      </c>
      <c r="I63" s="9">
        <f>主桁!AD25*2</f>
        <v>97.909999999999982</v>
      </c>
      <c r="J63" s="1">
        <f>主桁!AE25*2</f>
        <v>97.815499999999986</v>
      </c>
      <c r="K63" s="227"/>
      <c r="L63" s="232"/>
      <c r="M63" s="86"/>
      <c r="N63" s="86"/>
      <c r="O63" s="231"/>
      <c r="P63" s="86"/>
      <c r="Q63" s="86"/>
      <c r="R63" s="86"/>
      <c r="S63" s="86"/>
      <c r="T63" s="86"/>
      <c r="U63" s="86"/>
      <c r="V63" s="86"/>
      <c r="W63" s="86"/>
      <c r="X63" s="86"/>
      <c r="Y63" s="86"/>
      <c r="Z63" s="86"/>
      <c r="AA63" s="86"/>
      <c r="AB63" s="86"/>
      <c r="AC63" s="71" t="str">
        <f>IF($C63&lt;$H$7,$M$6,IF($C63&lt;$H$8,$M$7,IF($C63&lt;$H$9,$M$8,IF($C63&lt;$H$10,$M$9,IF($C63&lt;$H$11,$M$10,IF($C63&lt;$H$12,$M$11,$M$12))))))</f>
        <v>QX0023</v>
      </c>
      <c r="AD63" s="1">
        <f t="shared" si="7"/>
        <v>100</v>
      </c>
      <c r="AE63" s="1" t="str">
        <f>IF($C63&lt;$H$7,$M$7,IF($C63&lt;$H$8,$M$8,IF($C63&lt;$H$9,$M$9,IF($C63&lt;$H$10,$M$10,IF($C63&lt;$H$11,$M$11,IF($C63&lt;$H$12,$M$12,$M$13))))))</f>
        <v>QX0023</v>
      </c>
      <c r="AF63" s="1">
        <f>IF(AC63=AE63,0,IF($C63&lt;$H$7,($C63-$H$6)/($H$7-$H$6),IF($C63&lt;$H$8,($C63-$H$7)/($H$8-$H$7),IF($C63&lt;$H$9,($C63-$H$8)/($H$9-$H$8),IF($C63&lt;$H$10,($C63-$H$9)/($H$10-$H$9),IF($C63&lt;$H$11,($C63-$H$10)/($H$11-$H$10),IF($C63&lt;$H$12,($C63-$H$11)/($H$12-$H$11),($C63-$H$12)/($H$13-$H$12))))))))*100</f>
        <v>0</v>
      </c>
      <c r="AG63" s="1">
        <f>D63*H63/1000</f>
        <v>0.28466666666666662</v>
      </c>
      <c r="AH63" s="1">
        <f>AG63-D63/1000</f>
        <v>-0.52866666666666662</v>
      </c>
      <c r="AI63" s="1">
        <f>AI62+E62*COS(RADIANS(AL62))</f>
        <v>3.600000000000001</v>
      </c>
      <c r="AJ63" s="1">
        <f>AJ62+E62*SIN(RADIANS(AL62))</f>
        <v>0</v>
      </c>
      <c r="AK63" s="1">
        <f>IF($C63&lt;$H$7,$I$20*$C63+$J$20,IF($C63&lt;$H$8,$I$21*$C63+$J$21,IF($C63&lt;$H$9,$I$22*$C63+$J$22,IF($C63&lt;$H$10,$I$23*$C63+$J$23,IF($C63&lt;$H$11,$I$24*$C63+$J$24,IF($C63&lt;$H$12,$I$25*$C63+$J$25,$I$26*$C63+$J$26))))))</f>
        <v>2</v>
      </c>
      <c r="AL63" s="7">
        <f>IF($C63&lt;$H$7,$K$6,IF($C63&lt;$H$8,$K$7,IF($C63&lt;$H$9,$K$8,IF($C63&lt;$H$10,$K$9,IF($C63&lt;$H$11,$K$10,IF($C63&lt;$H$12,$K$11,$K$12))))))</f>
        <v>0</v>
      </c>
      <c r="AM63" s="231"/>
      <c r="AN63" s="86"/>
      <c r="AO63" s="86"/>
      <c r="AP63" s="86"/>
      <c r="AQ63" s="86"/>
      <c r="AR63" s="86"/>
      <c r="AS63" s="86">
        <f t="shared" si="8"/>
        <v>6.2843555555555541E-2</v>
      </c>
      <c r="AT63" s="86">
        <f t="shared" si="9"/>
        <v>1.6673333333333331</v>
      </c>
      <c r="AU63" s="86">
        <f t="shared" si="3"/>
        <v>0.81026249999999989</v>
      </c>
      <c r="AV63" s="86">
        <f t="shared" si="4"/>
        <v>0.62524999999999986</v>
      </c>
      <c r="AW63" s="227">
        <f t="shared" si="5"/>
        <v>0.33346666666666663</v>
      </c>
      <c r="AX63" s="71">
        <f>AS63*$Y$4*パラメータ!$D$24</f>
        <v>20.738373333333328</v>
      </c>
      <c r="AY63" s="1">
        <f>AU63*$Y$5*E63*パラメータ!$D$30</f>
        <v>27.548924999999997</v>
      </c>
      <c r="AZ63" s="1">
        <f>SUMPRODUCT($AD$4:$AD$10,$AE$4:$AE$10)*E63*パラメータ!$D$28*10^-3</f>
        <v>12.75</v>
      </c>
      <c r="BA63" s="1">
        <f>(AV63+AW63)*$Y$6*$Y$4*パラメータ!$D$22*10^-3</f>
        <v>6.4713374999999997</v>
      </c>
      <c r="BB63" s="1">
        <f>($Y$8*$Y$9*パラメータ!$D$22+0.5*$Y$8^2*SIN(RADIANS($Y$10))*パラメータ!$D$25)*E63*10^-3</f>
        <v>3.3081478802897957</v>
      </c>
      <c r="BC63" s="1">
        <f>AT63*($Y$12)</f>
        <v>16.673333333333332</v>
      </c>
      <c r="BD63" s="1">
        <f>$Y$11</f>
        <v>4</v>
      </c>
      <c r="BE63" s="1">
        <f>IF(G63="端リブ",AS63*$Y$13*パラメータ!$D$22*2,0)</f>
        <v>0</v>
      </c>
      <c r="BF63" s="1">
        <f>主桁!AV25*1000</f>
        <v>154.28642561673337</v>
      </c>
      <c r="BG63" s="1">
        <f t="shared" si="10"/>
        <v>91.490117046956456</v>
      </c>
      <c r="BH63" s="1">
        <f t="shared" si="11"/>
        <v>0.24577654266368984</v>
      </c>
      <c r="BI63" s="2" t="e">
        <f>(AO63-重量分布!$E$15)^2+(AP63-重量分布!$F$15)^2</f>
        <v>#REF!</v>
      </c>
      <c r="BJ63" s="2" t="e">
        <f>(AP63-重量分布!$F$15)^2</f>
        <v>#REF!</v>
      </c>
      <c r="BK63" s="237">
        <f>(AO63-重量分布!$E$15)^2</f>
        <v>0</v>
      </c>
    </row>
    <row r="64" spans="2:63">
      <c r="B64" s="29">
        <v>20</v>
      </c>
      <c r="C64" s="1">
        <f t="shared" si="13"/>
        <v>4.6000000000000014</v>
      </c>
      <c r="D64" s="1">
        <f>IF($C64&lt;$H$7,$G$20*$C64+$H$20,IF($C64&lt;$H$8,$G$21*$C64+$H$21,IF($C64&lt;$H$9,$G$22*$C64+$H$22,IF($C64&lt;$H$10,$G$23*$C64+$H$23,IF($C64&lt;$H$11,$G$24*$C64+$H$24,IF($C64&lt;$H$12,$G$25*$C64+$H$25,$G$26*$C64+$H$26))))))*10^3</f>
        <v>804.99999999999989</v>
      </c>
      <c r="E64" s="22">
        <v>0.15</v>
      </c>
      <c r="F64" s="22" t="s">
        <v>967</v>
      </c>
      <c r="G64" s="75" t="str">
        <f>IF(OR(C64=$F$38,C64=$G$38,C64=$H$38),"端リブ",IF(C64&lt;$F$38,"0番",IF(C64&lt;$G$38,"1番",IF(C64&lt;$H$38,"2番",IF(C64&lt;$I$38,"3番","ウィングレット")))))</f>
        <v>1番</v>
      </c>
      <c r="H64" s="1">
        <f>IF($C64&lt;$H$7,$K$20*$C64+$L$20,IF($C64&lt;$H$8,$K$21*$C64+$L$21,IF($C64&lt;$H$9,$K$22*$C64+$L$22,IF($C64&lt;$H$10,$K$23*$C64+$L$24,IF($C64&lt;$H$11,$K$24*$C64+$L$23,IF($C64&lt;$H$12,$K$25*$C64+$L$25,$K$26*$C64+$L$26))))))</f>
        <v>0.35</v>
      </c>
      <c r="I64" s="9">
        <f>主桁!AD26*2</f>
        <v>96.309999999999988</v>
      </c>
      <c r="J64" s="1">
        <f>主桁!AE26*2</f>
        <v>96.181899999999985</v>
      </c>
      <c r="K64" s="227"/>
      <c r="L64" s="232"/>
      <c r="M64" s="86"/>
      <c r="N64" s="86"/>
      <c r="O64" s="231"/>
      <c r="P64" s="86"/>
      <c r="Q64" s="86"/>
      <c r="R64" s="86"/>
      <c r="S64" s="86"/>
      <c r="T64" s="86"/>
      <c r="U64" s="86"/>
      <c r="V64" s="86"/>
      <c r="W64" s="86"/>
      <c r="X64" s="86"/>
      <c r="Y64" s="86"/>
      <c r="Z64" s="86"/>
      <c r="AA64" s="86"/>
      <c r="AB64" s="86"/>
      <c r="AC64" s="71" t="str">
        <f>IF($C64&lt;$H$7,$M$6,IF($C64&lt;$H$8,$M$7,IF($C64&lt;$H$9,$M$8,IF($C64&lt;$H$10,$M$9,IF($C64&lt;$H$11,$M$10,IF($C64&lt;$H$12,$M$11,$M$12))))))</f>
        <v>QX0023</v>
      </c>
      <c r="AD64" s="1">
        <f t="shared" si="7"/>
        <v>100</v>
      </c>
      <c r="AE64" s="1" t="str">
        <f>IF($C64&lt;$H$7,$M$7,IF($C64&lt;$H$8,$M$8,IF($C64&lt;$H$9,$M$9,IF($C64&lt;$H$10,$M$10,IF($C64&lt;$H$11,$M$11,IF($C64&lt;$H$12,$M$12,$M$13))))))</f>
        <v>QX0023</v>
      </c>
      <c r="AF64" s="1">
        <f>IF(AC64=AE64,0,IF($C64&lt;$H$7,($C64-$H$6)/($H$7-$H$6),IF($C64&lt;$H$8,($C64-$H$7)/($H$8-$H$7),IF($C64&lt;$H$9,($C64-$H$8)/($H$9-$H$8),IF($C64&lt;$H$10,($C64-$H$9)/($H$10-$H$9),IF($C64&lt;$H$11,($C64-$H$10)/($H$11-$H$10),IF($C64&lt;$H$12,($C64-$H$11)/($H$12-$H$11),($C64-$H$12)/($H$13-$H$12))))))))*100</f>
        <v>0</v>
      </c>
      <c r="AG64" s="1">
        <f>D64*H64/1000</f>
        <v>0.28174999999999994</v>
      </c>
      <c r="AH64" s="1">
        <f>AG64-D64/1000</f>
        <v>-0.52324999999999999</v>
      </c>
      <c r="AI64" s="1">
        <f>AI63+E63*COS(RADIANS(AL63))</f>
        <v>3.8000000000000012</v>
      </c>
      <c r="AJ64" s="1">
        <f>AJ63+E63*SIN(RADIANS(AL63))</f>
        <v>0</v>
      </c>
      <c r="AK64" s="1">
        <f>IF($C64&lt;$H$7,$I$20*$C64+$J$20,IF($C64&lt;$H$8,$I$21*$C64+$J$21,IF($C64&lt;$H$9,$I$22*$C64+$J$22,IF($C64&lt;$H$10,$I$23*$C64+$J$23,IF($C64&lt;$H$11,$I$24*$C64+$J$24,IF($C64&lt;$H$12,$I$25*$C64+$J$25,$I$26*$C64+$J$26))))))</f>
        <v>2</v>
      </c>
      <c r="AL64" s="7">
        <f>IF($C64&lt;$H$7,$K$6,IF($C64&lt;$H$8,$K$7,IF($C64&lt;$H$9,$K$8,IF($C64&lt;$H$10,$K$9,IF($C64&lt;$H$11,$K$10,IF($C64&lt;$H$12,$K$11,$K$12))))))</f>
        <v>0</v>
      </c>
      <c r="AM64" s="231"/>
      <c r="AN64" s="86"/>
      <c r="AO64" s="86"/>
      <c r="AP64" s="86"/>
      <c r="AQ64" s="86"/>
      <c r="AR64" s="86"/>
      <c r="AS64" s="86">
        <f t="shared" si="8"/>
        <v>6.1562374999999989E-2</v>
      </c>
      <c r="AT64" s="86">
        <f t="shared" si="9"/>
        <v>1.6502499999999996</v>
      </c>
      <c r="AU64" s="86">
        <f t="shared" si="3"/>
        <v>0.81026249999999989</v>
      </c>
      <c r="AV64" s="86">
        <f t="shared" si="4"/>
        <v>0.6188437499999998</v>
      </c>
      <c r="AW64" s="227">
        <f t="shared" si="5"/>
        <v>0.33004999999999995</v>
      </c>
      <c r="AX64" s="71">
        <f>AS64*$Y$4*パラメータ!$D$24</f>
        <v>20.315583749999998</v>
      </c>
      <c r="AY64" s="1">
        <f>AU64*$Y$5*E64*パラメータ!$D$30</f>
        <v>20.661693749999998</v>
      </c>
      <c r="AZ64" s="1">
        <f>SUMPRODUCT($AD$4:$AD$10,$AE$4:$AE$10)*E64*パラメータ!$D$28*10^-3</f>
        <v>9.5625</v>
      </c>
      <c r="BA64" s="1">
        <f>(AV64+AW64)*$Y$6*$Y$4*パラメータ!$D$22*10^-3</f>
        <v>6.4050328124999991</v>
      </c>
      <c r="BB64" s="1">
        <f>($Y$8*$Y$9*パラメータ!$D$22+0.5*$Y$8^2*SIN(RADIANS($Y$10))*パラメータ!$D$25)*E64*10^-3</f>
        <v>2.4811109102173465</v>
      </c>
      <c r="BC64" s="1">
        <f>AT64*($Y$12)</f>
        <v>16.502499999999994</v>
      </c>
      <c r="BD64" s="1">
        <f>$Y$11</f>
        <v>4</v>
      </c>
      <c r="BE64" s="1">
        <f>IF(G64="端リブ",AS64*$Y$13*パラメータ!$D$22*2,0)</f>
        <v>0</v>
      </c>
      <c r="BF64" s="1">
        <f>主桁!AV26*1000</f>
        <v>151.71846444981304</v>
      </c>
      <c r="BG64" s="1">
        <f t="shared" si="10"/>
        <v>79.928421222717333</v>
      </c>
      <c r="BH64" s="1">
        <f t="shared" si="11"/>
        <v>0.23164688567253036</v>
      </c>
      <c r="BI64" s="2" t="e">
        <f>(AO64-重量分布!$E$15)^2+(AP64-重量分布!$F$15)^2</f>
        <v>#REF!</v>
      </c>
      <c r="BJ64" s="2" t="e">
        <f>(AP64-重量分布!$F$15)^2</f>
        <v>#REF!</v>
      </c>
      <c r="BK64" s="237">
        <f>(AO64-重量分布!$E$15)^2</f>
        <v>0</v>
      </c>
    </row>
    <row r="65" spans="2:63">
      <c r="B65" s="29">
        <v>21</v>
      </c>
      <c r="C65" s="1">
        <f>C64+E64</f>
        <v>4.7500000000000018</v>
      </c>
      <c r="D65" s="1">
        <f>IF($C65&lt;$H$7,$G$20*$C65+$H$20,IF($C65&lt;$H$8,$G$21*$C65+$H$21,IF($C65&lt;$H$9,$G$22*$C65+$H$22,IF($C65&lt;$H$10,$G$23*$C65+$H$23,IF($C65&lt;$H$11,$G$24*$C65+$H$24,IF($C65&lt;$H$12,$G$25*$C65+$H$25,$G$26*$C65+$H$26))))))*10^3</f>
        <v>798.75</v>
      </c>
      <c r="E65" s="22">
        <v>0.15</v>
      </c>
      <c r="F65" s="22" t="str">
        <f t="shared" si="14"/>
        <v>1st</v>
      </c>
      <c r="G65" s="75" t="str">
        <f>IF(OR(C65=$F$38,C65=$G$38,C65=$H$38),"端リブ",IF(C65&lt;$F$38,"0番",IF(C65&lt;$G$38,"1番",IF(C65&lt;$H$38,"2番",IF(C65&lt;$I$38,"3番","ウィングレット")))))</f>
        <v>1番</v>
      </c>
      <c r="H65" s="1">
        <f>IF($C65&lt;$H$7,$K$20*$C65+$L$20,IF($C65&lt;$H$8,$K$21*$C65+$L$21,IF($C65&lt;$H$9,$K$22*$C65+$L$22,IF($C65&lt;$H$10,$K$23*$C65+$L$24,IF($C65&lt;$H$11,$K$24*$C65+$L$23,IF($C65&lt;$H$12,$K$25*$C65+$L$25,$K$26*$C65+$L$26))))))</f>
        <v>0.35</v>
      </c>
      <c r="I65" s="9">
        <f>主桁!AD27*2</f>
        <v>95.109999999999985</v>
      </c>
      <c r="J65" s="1">
        <f>主桁!AE27*2</f>
        <v>94.956699999999984</v>
      </c>
      <c r="K65" s="227"/>
      <c r="L65" s="232"/>
      <c r="M65" s="86"/>
      <c r="N65" s="86"/>
      <c r="O65" s="231"/>
      <c r="P65" s="86"/>
      <c r="Q65" s="86"/>
      <c r="R65" s="86"/>
      <c r="S65" s="86"/>
      <c r="T65" s="86"/>
      <c r="U65" s="86"/>
      <c r="V65" s="86"/>
      <c r="W65" s="86"/>
      <c r="X65" s="86"/>
      <c r="Y65" s="86"/>
      <c r="Z65" s="86"/>
      <c r="AA65" s="86"/>
      <c r="AB65" s="86"/>
      <c r="AC65" s="71" t="str">
        <f>IF($C65&lt;$H$7,$M$6,IF($C65&lt;$H$8,$M$7,IF($C65&lt;$H$9,$M$8,IF($C65&lt;$H$10,$M$9,IF($C65&lt;$H$11,$M$10,IF($C65&lt;$H$12,$M$11,$M$12))))))</f>
        <v>QX0023</v>
      </c>
      <c r="AD65" s="1">
        <f t="shared" si="7"/>
        <v>100</v>
      </c>
      <c r="AE65" s="1" t="str">
        <f>IF($C65&lt;$H$7,$M$7,IF($C65&lt;$H$8,$M$8,IF($C65&lt;$H$9,$M$9,IF($C65&lt;$H$10,$M$10,IF($C65&lt;$H$11,$M$11,IF($C65&lt;$H$12,$M$12,$M$13))))))</f>
        <v>QX0023</v>
      </c>
      <c r="AF65" s="1">
        <f>IF(AC65=AE65,0,IF($C65&lt;$H$7,($C65-$H$6)/($H$7-$H$6),IF($C65&lt;$H$8,($C65-$H$7)/($H$8-$H$7),IF($C65&lt;$H$9,($C65-$H$8)/($H$9-$H$8),IF($C65&lt;$H$10,($C65-$H$9)/($H$10-$H$9),IF($C65&lt;$H$11,($C65-$H$10)/($H$11-$H$10),IF($C65&lt;$H$12,($C65-$H$11)/($H$12-$H$11),($C65-$H$12)/($H$13-$H$12))))))))*100</f>
        <v>0</v>
      </c>
      <c r="AG65" s="1">
        <f>D65*H65/1000</f>
        <v>0.27956249999999999</v>
      </c>
      <c r="AH65" s="1">
        <f>AG65-D65/1000</f>
        <v>-0.51918749999999991</v>
      </c>
      <c r="AI65" s="1">
        <f>AI64+E64*COS(RADIANS(AL64))</f>
        <v>3.9500000000000011</v>
      </c>
      <c r="AJ65" s="1">
        <f>AJ64+E64*SIN(RADIANS(AL64))</f>
        <v>0</v>
      </c>
      <c r="AK65" s="1">
        <f>IF($C65&lt;$H$7,$I$20*$C65+$J$20,IF($C65&lt;$H$8,$I$21*$C65+$J$21,IF($C65&lt;$H$9,$I$22*$C65+$J$22,IF($C65&lt;$H$10,$I$23*$C65+$J$23,IF($C65&lt;$H$11,$I$24*$C65+$J$24,IF($C65&lt;$H$12,$I$25*$C65+$J$25,$I$26*$C65+$J$26))))))</f>
        <v>2</v>
      </c>
      <c r="AL65" s="7">
        <f>IF($C65&lt;$H$7,$K$6,IF($C65&lt;$H$8,$K$7,IF($C65&lt;$H$9,$K$8,IF($C65&lt;$H$10,$K$9,IF($C65&lt;$H$11,$K$10,IF($C65&lt;$H$12,$K$11,$K$12))))))</f>
        <v>0</v>
      </c>
      <c r="AM65" s="231"/>
      <c r="AN65" s="86"/>
      <c r="AO65" s="86"/>
      <c r="AP65" s="86"/>
      <c r="AQ65" s="86"/>
      <c r="AR65" s="86"/>
      <c r="AS65" s="86">
        <f t="shared" si="8"/>
        <v>6.0610148437499997E-2</v>
      </c>
      <c r="AT65" s="86">
        <f t="shared" si="9"/>
        <v>1.6374374999999999</v>
      </c>
      <c r="AU65" s="86">
        <f t="shared" si="3"/>
        <v>0.81026249999999989</v>
      </c>
      <c r="AV65" s="86">
        <f t="shared" si="4"/>
        <v>0.61403906249999995</v>
      </c>
      <c r="AW65" s="227">
        <f t="shared" si="5"/>
        <v>0.32748749999999999</v>
      </c>
      <c r="AX65" s="71">
        <f>AS65*$Y$4*パラメータ!$D$24</f>
        <v>20.001348984374999</v>
      </c>
      <c r="AY65" s="1">
        <f>AU65*$Y$5*E65*パラメータ!$D$30</f>
        <v>20.661693749999998</v>
      </c>
      <c r="AZ65" s="1">
        <f>SUMPRODUCT($AD$4:$AD$10,$AE$4:$AE$10)*E65*パラメータ!$D$28*10^-3</f>
        <v>9.5625</v>
      </c>
      <c r="BA65" s="1">
        <f>(AV65+AW65)*$Y$6*$Y$4*パラメータ!$D$22*10^-3</f>
        <v>6.3553042968749995</v>
      </c>
      <c r="BB65" s="1">
        <f>($Y$8*$Y$9*パラメータ!$D$22+0.5*$Y$8^2*SIN(RADIANS($Y$10))*パラメータ!$D$25)*E65*10^-3</f>
        <v>2.4811109102173465</v>
      </c>
      <c r="BC65" s="1">
        <f>AT65*($Y$12)</f>
        <v>16.374375000000001</v>
      </c>
      <c r="BD65" s="1">
        <f>$Y$11</f>
        <v>4</v>
      </c>
      <c r="BE65" s="1">
        <f>IF(G65="端リブ",AS65*$Y$13*パラメータ!$D$22*2,0)</f>
        <v>0</v>
      </c>
      <c r="BF65" s="1">
        <f>主桁!AV27*1000</f>
        <v>112.10422601140921</v>
      </c>
      <c r="BG65" s="1">
        <f t="shared" si="10"/>
        <v>79.436332941467342</v>
      </c>
      <c r="BH65" s="1">
        <f t="shared" si="11"/>
        <v>0.19154055895287656</v>
      </c>
      <c r="BI65" s="2" t="e">
        <f>(AO65-重量分布!$E$15)^2+(AP65-重量分布!$F$15)^2</f>
        <v>#REF!</v>
      </c>
      <c r="BJ65" s="2" t="e">
        <f>(AP65-重量分布!$F$15)^2</f>
        <v>#REF!</v>
      </c>
      <c r="BK65" s="237">
        <f>(AO65-重量分布!$E$15)^2</f>
        <v>0</v>
      </c>
    </row>
    <row r="66" spans="2:63">
      <c r="B66" s="29">
        <v>22</v>
      </c>
      <c r="C66" s="1">
        <f t="shared" si="13"/>
        <v>4.9000000000000021</v>
      </c>
      <c r="D66" s="1">
        <f>IF($C66&lt;$H$7,$G$20*$C66+$H$20,IF($C66&lt;$H$8,$G$21*$C66+$H$21,IF($C66&lt;$H$9,$G$22*$C66+$H$22,IF($C66&lt;$H$10,$G$23*$C66+$H$23,IF($C66&lt;$H$11,$G$24*$C66+$H$24,IF($C66&lt;$H$12,$G$25*$C66+$H$25,$G$26*$C66+$H$26))))))*10^3</f>
        <v>792.5</v>
      </c>
      <c r="E66" s="22">
        <v>0.15</v>
      </c>
      <c r="F66" s="22" t="str">
        <f t="shared" si="14"/>
        <v>1st</v>
      </c>
      <c r="G66" s="75" t="str">
        <f>IF(OR(C66=$F$38,C66=$G$38,C66=$H$38),"端リブ",IF(C66&lt;$F$38,"0番",IF(C66&lt;$G$38,"1番",IF(C66&lt;$H$38,"2番",IF(C66&lt;$I$38,"3番","ウィングレット")))))</f>
        <v>端リブ</v>
      </c>
      <c r="H66" s="1">
        <f>IF($C66&lt;$H$7,$K$20*$C66+$L$20,IF($C66&lt;$H$8,$K$21*$C66+$L$21,IF($C66&lt;$H$9,$K$22*$C66+$L$22,IF($C66&lt;$H$10,$K$23*$C66+$L$24,IF($C66&lt;$H$11,$K$24*$C66+$L$23,IF($C66&lt;$H$12,$K$25*$C66+$L$25,$K$26*$C66+$L$26))))))</f>
        <v>0.35</v>
      </c>
      <c r="I66" s="9">
        <f>主桁!AD28*2</f>
        <v>100.02799999999999</v>
      </c>
      <c r="J66" s="1">
        <f>主桁!AE28*2</f>
        <v>100.29949999999998</v>
      </c>
      <c r="K66" s="227"/>
      <c r="L66" s="232"/>
      <c r="M66" s="86"/>
      <c r="N66" s="86"/>
      <c r="O66" s="231"/>
      <c r="P66" s="86"/>
      <c r="Q66" s="86"/>
      <c r="R66" s="86"/>
      <c r="S66" s="86"/>
      <c r="T66" s="86"/>
      <c r="U66" s="86"/>
      <c r="V66" s="86"/>
      <c r="W66" s="86"/>
      <c r="X66" s="86"/>
      <c r="Y66" s="86"/>
      <c r="Z66" s="86"/>
      <c r="AA66" s="86"/>
      <c r="AB66" s="86"/>
      <c r="AC66" s="71" t="str">
        <f>IF($C66&lt;$H$7,$M$6,IF($C66&lt;$H$8,$M$7,IF($C66&lt;$H$9,$M$8,IF($C66&lt;$H$10,$M$9,IF($C66&lt;$H$11,$M$10,IF($C66&lt;$H$12,$M$11,$M$12))))))</f>
        <v>QX0023</v>
      </c>
      <c r="AD66" s="1">
        <f t="shared" si="7"/>
        <v>100</v>
      </c>
      <c r="AE66" s="1" t="str">
        <f>IF($C66&lt;$H$7,$M$7,IF($C66&lt;$H$8,$M$8,IF($C66&lt;$H$9,$M$9,IF($C66&lt;$H$10,$M$10,IF($C66&lt;$H$11,$M$11,IF($C66&lt;$H$12,$M$12,$M$13))))))</f>
        <v>QX0023</v>
      </c>
      <c r="AF66" s="1">
        <f>IF(AC66=AE66,0,IF($C66&lt;$H$7,($C66-$H$6)/($H$7-$H$6),IF($C66&lt;$H$8,($C66-$H$7)/($H$8-$H$7),IF($C66&lt;$H$9,($C66-$H$8)/($H$9-$H$8),IF($C66&lt;$H$10,($C66-$H$9)/($H$10-$H$9),IF($C66&lt;$H$11,($C66-$H$10)/($H$11-$H$10),IF($C66&lt;$H$12,($C66-$H$11)/($H$12-$H$11),($C66-$H$12)/($H$13-$H$12))))))))*100</f>
        <v>0</v>
      </c>
      <c r="AG66" s="1">
        <f>D66*H66/1000</f>
        <v>0.27737499999999998</v>
      </c>
      <c r="AH66" s="1">
        <f>AG66-D66/1000</f>
        <v>-0.51512500000000006</v>
      </c>
      <c r="AI66" s="1">
        <f>AI65+E65*COS(RADIANS(AL65))</f>
        <v>4.1000000000000014</v>
      </c>
      <c r="AJ66" s="1">
        <f>AJ65+E65*SIN(RADIANS(AL65))</f>
        <v>0</v>
      </c>
      <c r="AK66" s="1">
        <f>IF($C66&lt;$H$7,$I$20*$C66+$J$20,IF($C66&lt;$H$8,$I$21*$C66+$J$21,IF($C66&lt;$H$9,$I$22*$C66+$J$22,IF($C66&lt;$H$10,$I$23*$C66+$J$23,IF($C66&lt;$H$11,$I$24*$C66+$J$24,IF($C66&lt;$H$12,$I$25*$C66+$J$25,$I$26*$C66+$J$26))))))</f>
        <v>2</v>
      </c>
      <c r="AL66" s="7">
        <f>IF($C66&lt;$H$7,$K$6,IF($C66&lt;$H$8,$K$7,IF($C66&lt;$H$9,$K$8,IF($C66&lt;$H$10,$K$9,IF($C66&lt;$H$11,$K$10,IF($C66&lt;$H$12,$K$11,$K$12))))))</f>
        <v>0</v>
      </c>
      <c r="AM66" s="231"/>
      <c r="AN66" s="86"/>
      <c r="AO66" s="86"/>
      <c r="AP66" s="86"/>
      <c r="AQ66" s="86"/>
      <c r="AR66" s="86"/>
      <c r="AS66" s="86">
        <f t="shared" si="8"/>
        <v>5.9665343750000002E-2</v>
      </c>
      <c r="AT66" s="86">
        <f t="shared" si="9"/>
        <v>1.6246249999999998</v>
      </c>
      <c r="AU66" s="86">
        <f t="shared" si="3"/>
        <v>0.81026249999999989</v>
      </c>
      <c r="AV66" s="86">
        <f t="shared" si="4"/>
        <v>0.60923437499999988</v>
      </c>
      <c r="AW66" s="227">
        <f t="shared" si="5"/>
        <v>0.32492499999999996</v>
      </c>
      <c r="AX66" s="71">
        <f>AS66*$Y$4*パラメータ!$D$24</f>
        <v>19.689563437499999</v>
      </c>
      <c r="AY66" s="1">
        <f>AU66*$Y$5*E66*パラメータ!$D$30</f>
        <v>20.661693749999998</v>
      </c>
      <c r="AZ66" s="1">
        <f>SUMPRODUCT($AD$4:$AD$10,$AE$4:$AE$10)*E66*パラメータ!$D$28*10^-3</f>
        <v>9.5625</v>
      </c>
      <c r="BA66" s="1">
        <f>(AV66+AW66)*$Y$6*$Y$4*パラメータ!$D$22*10^-3</f>
        <v>6.30557578125</v>
      </c>
      <c r="BB66" s="1">
        <f>($Y$8*$Y$9*パラメータ!$D$22+0.5*$Y$8^2*SIN(RADIANS($Y$10))*パラメータ!$D$25)*E66*10^-3</f>
        <v>2.4811109102173465</v>
      </c>
      <c r="BC66" s="1">
        <f>AT66*($Y$12)</f>
        <v>16.246249999999996</v>
      </c>
      <c r="BD66" s="1">
        <f>$Y$11</f>
        <v>4</v>
      </c>
      <c r="BE66" s="1">
        <f>IF(G66="端リブ",AS66*$Y$13*パラメータ!$D$22*2,0)</f>
        <v>89.498015625000008</v>
      </c>
      <c r="BF66" s="1">
        <f>主桁!AV28*1000</f>
        <v>209.90796267063095</v>
      </c>
      <c r="BG66" s="1">
        <f t="shared" si="10"/>
        <v>168.44470950396735</v>
      </c>
      <c r="BH66" s="1">
        <f t="shared" si="11"/>
        <v>0.37835267217459828</v>
      </c>
      <c r="BI66" s="2" t="e">
        <f>(AO66-重量分布!$E$15)^2+(AP66-重量分布!$F$15)^2</f>
        <v>#REF!</v>
      </c>
      <c r="BJ66" s="2" t="e">
        <f>(AP66-重量分布!$F$15)^2</f>
        <v>#REF!</v>
      </c>
      <c r="BK66" s="237">
        <f>(AO66-重量分布!$E$15)^2</f>
        <v>0</v>
      </c>
    </row>
    <row r="67" spans="2:63">
      <c r="B67" s="29">
        <v>23</v>
      </c>
      <c r="C67" s="1">
        <f t="shared" si="13"/>
        <v>5.0500000000000025</v>
      </c>
      <c r="D67" s="1">
        <f>IF($C67&lt;$H$7,$G$20*$C67+$H$20,IF($C67&lt;$H$8,$G$21*$C67+$H$21,IF($C67&lt;$H$9,$G$22*$C67+$H$22,IF($C67&lt;$H$10,$G$23*$C67+$H$23,IF($C67&lt;$H$11,$G$24*$C67+$H$24,IF($C67&lt;$H$12,$G$25*$C67+$H$25,$G$26*$C67+$H$26))))))*10^3</f>
        <v>786.24999999999989</v>
      </c>
      <c r="E67" s="22">
        <v>0.15</v>
      </c>
      <c r="F67" s="22" t="str">
        <f t="shared" si="14"/>
        <v>1st</v>
      </c>
      <c r="G67" s="75" t="str">
        <f>IF(OR(C67=$F$38,C67=$G$38,C67=$H$38),"端リブ",IF(C67&lt;$F$38,"0番",IF(C67&lt;$G$38,"1番",IF(C67&lt;$H$38,"2番",IF(C67&lt;$I$38,"3番","ウィングレット")))))</f>
        <v>2番</v>
      </c>
      <c r="H67" s="1">
        <f>IF($C67&lt;$H$7,$K$20*$C67+$L$20,IF($C67&lt;$H$8,$K$21*$C67+$L$21,IF($C67&lt;$H$9,$K$22*$C67+$L$22,IF($C67&lt;$H$10,$K$23*$C67+$L$24,IF($C67&lt;$H$11,$K$24*$C67+$L$23,IF($C67&lt;$H$12,$K$25*$C67+$L$25,$K$26*$C67+$L$26))))))</f>
        <v>0.35</v>
      </c>
      <c r="I67" s="9">
        <f>主桁!AD29*2</f>
        <v>98.827999999999989</v>
      </c>
      <c r="J67" s="1">
        <f>主桁!AE29*2</f>
        <v>99.081499999999977</v>
      </c>
      <c r="K67" s="227"/>
      <c r="L67" s="232"/>
      <c r="M67" s="86"/>
      <c r="N67" s="86"/>
      <c r="O67" s="231"/>
      <c r="P67" s="86"/>
      <c r="Q67" s="86"/>
      <c r="R67" s="86"/>
      <c r="S67" s="86"/>
      <c r="T67" s="86"/>
      <c r="U67" s="86"/>
      <c r="V67" s="86"/>
      <c r="W67" s="86"/>
      <c r="X67" s="86"/>
      <c r="Y67" s="86"/>
      <c r="Z67" s="86"/>
      <c r="AA67" s="86"/>
      <c r="AB67" s="86"/>
      <c r="AC67" s="71" t="str">
        <f>IF($C67&lt;$H$7,$M$6,IF($C67&lt;$H$8,$M$7,IF($C67&lt;$H$9,$M$8,IF($C67&lt;$H$10,$M$9,IF($C67&lt;$H$11,$M$10,IF($C67&lt;$H$12,$M$11,$M$12))))))</f>
        <v>QX0023</v>
      </c>
      <c r="AD67" s="1">
        <f t="shared" si="7"/>
        <v>100</v>
      </c>
      <c r="AE67" s="1" t="str">
        <f>IF($C67&lt;$H$7,$M$7,IF($C67&lt;$H$8,$M$8,IF($C67&lt;$H$9,$M$9,IF($C67&lt;$H$10,$M$10,IF($C67&lt;$H$11,$M$11,IF($C67&lt;$H$12,$M$12,$M$13))))))</f>
        <v>QX0023</v>
      </c>
      <c r="AF67" s="1">
        <f>IF(AC67=AE67,0,IF($C67&lt;$H$7,($C67-$H$6)/($H$7-$H$6),IF($C67&lt;$H$8,($C67-$H$7)/($H$8-$H$7),IF($C67&lt;$H$9,($C67-$H$8)/($H$9-$H$8),IF($C67&lt;$H$10,($C67-$H$9)/($H$10-$H$9),IF($C67&lt;$H$11,($C67-$H$10)/($H$11-$H$10),IF($C67&lt;$H$12,($C67-$H$11)/($H$12-$H$11),($C67-$H$12)/($H$13-$H$12))))))))*100</f>
        <v>0</v>
      </c>
      <c r="AG67" s="1">
        <f>D67*H67/1000</f>
        <v>0.27518749999999992</v>
      </c>
      <c r="AH67" s="1">
        <f>AG67-D67/1000</f>
        <v>-0.51106249999999998</v>
      </c>
      <c r="AI67" s="1">
        <f>AI66+E66*COS(RADIANS(AL66))</f>
        <v>4.2500000000000018</v>
      </c>
      <c r="AJ67" s="1">
        <f>AJ66+E66*SIN(RADIANS(AL66))</f>
        <v>0</v>
      </c>
      <c r="AK67" s="1">
        <f>IF($C67&lt;$H$7,$I$20*$C67+$J$20,IF($C67&lt;$H$8,$I$21*$C67+$J$21,IF($C67&lt;$H$9,$I$22*$C67+$J$22,IF($C67&lt;$H$10,$I$23*$C67+$J$23,IF($C67&lt;$H$11,$I$24*$C67+$J$24,IF($C67&lt;$H$12,$I$25*$C67+$J$25,$I$26*$C67+$J$26))))))</f>
        <v>2</v>
      </c>
      <c r="AL67" s="7">
        <f>IF($C67&lt;$H$7,$K$6,IF($C67&lt;$H$8,$K$7,IF($C67&lt;$H$9,$K$8,IF($C67&lt;$H$10,$K$9,IF($C67&lt;$H$11,$K$10,IF($C67&lt;$H$12,$K$11,$K$12))))))</f>
        <v>0</v>
      </c>
      <c r="AM67" s="231"/>
      <c r="AN67" s="86"/>
      <c r="AO67" s="86"/>
      <c r="AP67" s="86"/>
      <c r="AQ67" s="86"/>
      <c r="AR67" s="86"/>
      <c r="AS67" s="86">
        <f t="shared" si="8"/>
        <v>5.8727960937499983E-2</v>
      </c>
      <c r="AT67" s="86">
        <f t="shared" si="9"/>
        <v>1.6118124999999996</v>
      </c>
      <c r="AU67" s="86">
        <f t="shared" si="3"/>
        <v>0.81026249999999989</v>
      </c>
      <c r="AV67" s="86">
        <f t="shared" si="4"/>
        <v>0.60442968749999992</v>
      </c>
      <c r="AW67" s="227">
        <f t="shared" si="5"/>
        <v>0.32236249999999994</v>
      </c>
      <c r="AX67" s="71">
        <f>AS67*$Y$4*パラメータ!$D$24</f>
        <v>19.380227109374992</v>
      </c>
      <c r="AY67" s="1">
        <f>AU67*$Y$5*E67*パラメータ!$D$30</f>
        <v>20.661693749999998</v>
      </c>
      <c r="AZ67" s="1">
        <f>SUMPRODUCT($AD$4:$AD$10,$AE$4:$AE$10)*E67*パラメータ!$D$28*10^-3</f>
        <v>9.5625</v>
      </c>
      <c r="BA67" s="1">
        <f>(AV67+AW67)*$Y$6*$Y$4*パラメータ!$D$22*10^-3</f>
        <v>6.2558472656249986</v>
      </c>
      <c r="BB67" s="1">
        <f>($Y$8*$Y$9*パラメータ!$D$22+0.5*$Y$8^2*SIN(RADIANS($Y$10))*パラメータ!$D$25)*E67*10^-3</f>
        <v>2.4811109102173465</v>
      </c>
      <c r="BC67" s="1">
        <f>AT67*($Y$12)</f>
        <v>16.118124999999996</v>
      </c>
      <c r="BD67" s="1">
        <f>$Y$11</f>
        <v>4</v>
      </c>
      <c r="BE67" s="1">
        <f>IF(G67="端リブ",AS67*$Y$13*パラメータ!$D$22*2,0)</f>
        <v>0</v>
      </c>
      <c r="BF67" s="1">
        <f>主桁!AV29*1000</f>
        <v>325.36232801880436</v>
      </c>
      <c r="BG67" s="1">
        <f t="shared" si="10"/>
        <v>78.459504035217336</v>
      </c>
      <c r="BH67" s="1">
        <f t="shared" si="11"/>
        <v>0.40382183205402167</v>
      </c>
      <c r="BI67" s="2" t="e">
        <f>(AO67-重量分布!$E$15)^2+(AP67-重量分布!$F$15)^2</f>
        <v>#REF!</v>
      </c>
      <c r="BJ67" s="2" t="e">
        <f>(AP67-重量分布!$F$15)^2</f>
        <v>#REF!</v>
      </c>
      <c r="BK67" s="237">
        <f>(AO67-重量分布!$E$15)^2</f>
        <v>0</v>
      </c>
    </row>
    <row r="68" spans="2:63">
      <c r="B68" s="29">
        <v>24</v>
      </c>
      <c r="C68" s="1">
        <f t="shared" si="13"/>
        <v>5.2000000000000028</v>
      </c>
      <c r="D68" s="1">
        <f>IF($C68&lt;$H$7,$G$20*$C68+$H$20,IF($C68&lt;$H$8,$G$21*$C68+$H$21,IF($C68&lt;$H$9,$G$22*$C68+$H$22,IF($C68&lt;$H$10,$G$23*$C68+$H$23,IF($C68&lt;$H$11,$G$24*$C68+$H$24,IF($C68&lt;$H$12,$G$25*$C68+$H$25,$G$26*$C68+$H$26))))))*10^3</f>
        <v>779.99999999999989</v>
      </c>
      <c r="E68" s="22">
        <v>0.2</v>
      </c>
      <c r="F68" s="22" t="s">
        <v>967</v>
      </c>
      <c r="G68" s="75" t="str">
        <f>IF(OR(C68=$F$38,C68=$G$38,C68=$H$38),"端リブ",IF(C68&lt;$F$38,"0番",IF(C68&lt;$G$38,"1番",IF(C68&lt;$H$38,"2番",IF(C68&lt;$I$38,"3番","ウィングレット")))))</f>
        <v>2番</v>
      </c>
      <c r="H68" s="1">
        <f>IF($C68&lt;$H$7,$K$20*$C68+$L$20,IF($C68&lt;$H$8,$K$21*$C68+$L$21,IF($C68&lt;$H$9,$K$22*$C68+$L$22,IF($C68&lt;$H$10,$K$23*$C68+$L$24,IF($C68&lt;$H$11,$K$24*$C68+$L$23,IF($C68&lt;$H$12,$K$25*$C68+$L$25,$K$26*$C68+$L$26))))))</f>
        <v>0.35</v>
      </c>
      <c r="I68" s="9">
        <f>主桁!AD30*2</f>
        <v>97.627999999999986</v>
      </c>
      <c r="J68" s="1">
        <f>主桁!AE30*2</f>
        <v>97.863499999999974</v>
      </c>
      <c r="K68" s="227"/>
      <c r="L68" s="232"/>
      <c r="M68" s="86"/>
      <c r="N68" s="86"/>
      <c r="O68" s="231"/>
      <c r="P68" s="86"/>
      <c r="Q68" s="86"/>
      <c r="R68" s="86"/>
      <c r="S68" s="86"/>
      <c r="T68" s="86"/>
      <c r="U68" s="86"/>
      <c r="V68" s="86"/>
      <c r="W68" s="86"/>
      <c r="X68" s="86"/>
      <c r="Y68" s="86"/>
      <c r="Z68" s="86"/>
      <c r="AA68" s="86"/>
      <c r="AB68" s="86"/>
      <c r="AC68" s="71" t="str">
        <f>IF($C68&lt;$H$7,$M$6,IF($C68&lt;$H$8,$M$7,IF($C68&lt;$H$9,$M$8,IF($C68&lt;$H$10,$M$9,IF($C68&lt;$H$11,$M$10,IF($C68&lt;$H$12,$M$11,$M$12))))))</f>
        <v>QX0023</v>
      </c>
      <c r="AD68" s="1">
        <f t="shared" si="7"/>
        <v>100</v>
      </c>
      <c r="AE68" s="1" t="str">
        <f>IF($C68&lt;$H$7,$M$7,IF($C68&lt;$H$8,$M$8,IF($C68&lt;$H$9,$M$9,IF($C68&lt;$H$10,$M$10,IF($C68&lt;$H$11,$M$11,IF($C68&lt;$H$12,$M$12,$M$13))))))</f>
        <v>QX0023</v>
      </c>
      <c r="AF68" s="1">
        <f>IF(AC68=AE68,0,IF($C68&lt;$H$7,($C68-$H$6)/($H$7-$H$6),IF($C68&lt;$H$8,($C68-$H$7)/($H$8-$H$7),IF($C68&lt;$H$9,($C68-$H$8)/($H$9-$H$8),IF($C68&lt;$H$10,($C68-$H$9)/($H$10-$H$9),IF($C68&lt;$H$11,($C68-$H$10)/($H$11-$H$10),IF($C68&lt;$H$12,($C68-$H$11)/($H$12-$H$11),($C68-$H$12)/($H$13-$H$12))))))))*100</f>
        <v>0</v>
      </c>
      <c r="AG68" s="1">
        <f>D68*H68/1000</f>
        <v>0.27299999999999996</v>
      </c>
      <c r="AH68" s="1">
        <f>AG68-D68/1000</f>
        <v>-0.5069999999999999</v>
      </c>
      <c r="AI68" s="1">
        <f>AI67+E67*COS(RADIANS(AL67))</f>
        <v>4.4000000000000021</v>
      </c>
      <c r="AJ68" s="1">
        <f>AJ67+E67*SIN(RADIANS(AL67))</f>
        <v>0</v>
      </c>
      <c r="AK68" s="1">
        <f>IF($C68&lt;$H$7,$I$20*$C68+$J$20,IF($C68&lt;$H$8,$I$21*$C68+$J$21,IF($C68&lt;$H$9,$I$22*$C68+$J$22,IF($C68&lt;$H$10,$I$23*$C68+$J$23,IF($C68&lt;$H$11,$I$24*$C68+$J$24,IF($C68&lt;$H$12,$I$25*$C68+$J$25,$I$26*$C68+$J$26))))))</f>
        <v>2</v>
      </c>
      <c r="AL68" s="7">
        <f>IF($C68&lt;$H$7,$K$6,IF($C68&lt;$H$8,$K$7,IF($C68&lt;$H$9,$K$8,IF($C68&lt;$H$10,$K$9,IF($C68&lt;$H$11,$K$10,IF($C68&lt;$H$12,$K$11,$K$12))))))</f>
        <v>0</v>
      </c>
      <c r="AM68" s="231"/>
      <c r="AN68" s="86"/>
      <c r="AO68" s="86"/>
      <c r="AP68" s="86"/>
      <c r="AQ68" s="86"/>
      <c r="AR68" s="86"/>
      <c r="AS68" s="86">
        <f t="shared" si="8"/>
        <v>5.7797999999999981E-2</v>
      </c>
      <c r="AT68" s="86">
        <f t="shared" si="9"/>
        <v>1.5989999999999995</v>
      </c>
      <c r="AU68" s="86">
        <f t="shared" si="3"/>
        <v>0.81026249999999989</v>
      </c>
      <c r="AV68" s="86">
        <f t="shared" si="4"/>
        <v>0.59962499999999985</v>
      </c>
      <c r="AW68" s="227">
        <f t="shared" si="5"/>
        <v>0.31979999999999992</v>
      </c>
      <c r="AX68" s="71">
        <f>AS68*$Y$4*パラメータ!$D$24</f>
        <v>19.073339999999995</v>
      </c>
      <c r="AY68" s="1">
        <f>AU68*$Y$5*E68*パラメータ!$D$30</f>
        <v>27.548924999999997</v>
      </c>
      <c r="AZ68" s="1">
        <f>SUMPRODUCT($AD$4:$AD$10,$AE$4:$AE$10)*E68*パラメータ!$D$28*10^-3</f>
        <v>12.75</v>
      </c>
      <c r="BA68" s="1">
        <f>(AV68+AW68)*$Y$6*$Y$4*パラメータ!$D$22*10^-3</f>
        <v>6.206118749999999</v>
      </c>
      <c r="BB68" s="1">
        <f>($Y$8*$Y$9*パラメータ!$D$22+0.5*$Y$8^2*SIN(RADIANS($Y$10))*パラメータ!$D$25)*E68*10^-3</f>
        <v>3.3081478802897957</v>
      </c>
      <c r="BC68" s="1">
        <f>AT68*($Y$12)</f>
        <v>15.989999999999995</v>
      </c>
      <c r="BD68" s="1">
        <f>$Y$11</f>
        <v>4</v>
      </c>
      <c r="BE68" s="1">
        <f>IF(G68="端リブ",AS68*$Y$13*パラメータ!$D$22*2,0)</f>
        <v>0</v>
      </c>
      <c r="BF68" s="1">
        <f>主桁!AV30*1000</f>
        <v>201.0264245975398</v>
      </c>
      <c r="BG68" s="1">
        <f t="shared" si="10"/>
        <v>88.876531630289776</v>
      </c>
      <c r="BH68" s="1">
        <f t="shared" si="11"/>
        <v>0.28990295622782958</v>
      </c>
      <c r="BI68" s="2" t="e">
        <f>(AO68-重量分布!$E$15)^2+(AP68-重量分布!$F$15)^2</f>
        <v>#REF!</v>
      </c>
      <c r="BJ68" s="2" t="e">
        <f>(AP68-重量分布!$F$15)^2</f>
        <v>#REF!</v>
      </c>
      <c r="BK68" s="237">
        <f>(AO68-重量分布!$E$15)^2</f>
        <v>0</v>
      </c>
    </row>
    <row r="69" spans="2:63">
      <c r="B69" s="29">
        <v>25</v>
      </c>
      <c r="C69" s="1">
        <f t="shared" si="13"/>
        <v>5.400000000000003</v>
      </c>
      <c r="D69" s="1">
        <f>IF($C69&lt;$H$7,$G$20*$C69+$H$20,IF($C69&lt;$H$8,$G$21*$C69+$H$21,IF($C69&lt;$H$9,$G$22*$C69+$H$22,IF($C69&lt;$H$10,$G$23*$C69+$H$23,IF($C69&lt;$H$11,$G$24*$C69+$H$24,IF($C69&lt;$H$12,$G$25*$C69+$H$25,$G$26*$C69+$H$26))))))*10^3</f>
        <v>769.99999999999989</v>
      </c>
      <c r="E69" s="22">
        <v>0.2</v>
      </c>
      <c r="F69" s="22" t="str">
        <f t="shared" si="14"/>
        <v>2nd</v>
      </c>
      <c r="G69" s="75" t="str">
        <f>IF(OR(C69=$F$38,C69=$G$38,C69=$H$38),"端リブ",IF(C69&lt;$F$38,"0番",IF(C69&lt;$G$38,"1番",IF(C69&lt;$H$38,"2番",IF(C69&lt;$I$38,"3番","ウィングレット")))))</f>
        <v>2番</v>
      </c>
      <c r="H69" s="1">
        <f>IF($C69&lt;$H$7,$K$20*$C69+$L$20,IF($C69&lt;$H$8,$K$21*$C69+$L$21,IF($C69&lt;$H$9,$K$22*$C69+$L$22,IF($C69&lt;$H$10,$K$23*$C69+$L$24,IF($C69&lt;$H$11,$K$24*$C69+$L$23,IF($C69&lt;$H$12,$K$25*$C69+$L$25,$K$26*$C69+$L$26))))))</f>
        <v>0.35</v>
      </c>
      <c r="I69" s="9">
        <f>主桁!AD31*2</f>
        <v>96.027999999999977</v>
      </c>
      <c r="J69" s="1">
        <f>主桁!AE31*2</f>
        <v>96.239499999999964</v>
      </c>
      <c r="K69" s="227"/>
      <c r="L69" s="232"/>
      <c r="M69" s="86"/>
      <c r="N69" s="86"/>
      <c r="O69" s="231"/>
      <c r="P69" s="86"/>
      <c r="Q69" s="86"/>
      <c r="R69" s="86"/>
      <c r="S69" s="86"/>
      <c r="T69" s="86"/>
      <c r="U69" s="86"/>
      <c r="V69" s="86"/>
      <c r="W69" s="86"/>
      <c r="X69" s="86"/>
      <c r="Y69" s="86"/>
      <c r="Z69" s="86"/>
      <c r="AA69" s="86"/>
      <c r="AB69" s="86"/>
      <c r="AC69" s="71" t="str">
        <f>IF($C69&lt;$H$7,$M$6,IF($C69&lt;$H$8,$M$7,IF($C69&lt;$H$9,$M$8,IF($C69&lt;$H$10,$M$9,IF($C69&lt;$H$11,$M$10,IF($C69&lt;$H$12,$M$11,$M$12))))))</f>
        <v>QX0023</v>
      </c>
      <c r="AD69" s="1">
        <f t="shared" si="7"/>
        <v>100</v>
      </c>
      <c r="AE69" s="1" t="str">
        <f>IF($C69&lt;$H$7,$M$7,IF($C69&lt;$H$8,$M$8,IF($C69&lt;$H$9,$M$9,IF($C69&lt;$H$10,$M$10,IF($C69&lt;$H$11,$M$11,IF($C69&lt;$H$12,$M$12,$M$13))))))</f>
        <v>QX0023</v>
      </c>
      <c r="AF69" s="1">
        <f>IF(AC69=AE69,0,IF($C69&lt;$H$7,($C69-$H$6)/($H$7-$H$6),IF($C69&lt;$H$8,($C69-$H$7)/($H$8-$H$7),IF($C69&lt;$H$9,($C69-$H$8)/($H$9-$H$8),IF($C69&lt;$H$10,($C69-$H$9)/($H$10-$H$9),IF($C69&lt;$H$11,($C69-$H$10)/($H$11-$H$10),IF($C69&lt;$H$12,($C69-$H$11)/($H$12-$H$11),($C69-$H$12)/($H$13-$H$12))))))))*100</f>
        <v>0</v>
      </c>
      <c r="AG69" s="1">
        <f>D69*H69/1000</f>
        <v>0.26949999999999996</v>
      </c>
      <c r="AH69" s="1">
        <f>AG69-D69/1000</f>
        <v>-0.50049999999999994</v>
      </c>
      <c r="AI69" s="1">
        <f>AI68+E68*COS(RADIANS(AL68))</f>
        <v>4.6000000000000023</v>
      </c>
      <c r="AJ69" s="1">
        <f>AJ68+E68*SIN(RADIANS(AL68))</f>
        <v>0</v>
      </c>
      <c r="AK69" s="1">
        <f>IF($C69&lt;$H$7,$I$20*$C69+$J$20,IF($C69&lt;$H$8,$I$21*$C69+$J$21,IF($C69&lt;$H$9,$I$22*$C69+$J$22,IF($C69&lt;$H$10,$I$23*$C69+$J$23,IF($C69&lt;$H$11,$I$24*$C69+$J$24,IF($C69&lt;$H$12,$I$25*$C69+$J$25,$I$26*$C69+$J$26))))))</f>
        <v>2</v>
      </c>
      <c r="AL69" s="7">
        <f>IF($C69&lt;$H$7,$K$6,IF($C69&lt;$H$8,$K$7,IF($C69&lt;$H$9,$K$8,IF($C69&lt;$H$10,$K$9,IF($C69&lt;$H$11,$K$10,IF($C69&lt;$H$12,$K$11,$K$12))))))</f>
        <v>0</v>
      </c>
      <c r="AM69" s="231"/>
      <c r="AN69" s="86"/>
      <c r="AO69" s="86"/>
      <c r="AP69" s="86"/>
      <c r="AQ69" s="86"/>
      <c r="AR69" s="86"/>
      <c r="AS69" s="86">
        <f t="shared" si="8"/>
        <v>5.6325499999999987E-2</v>
      </c>
      <c r="AT69" s="86">
        <f t="shared" si="9"/>
        <v>1.5784999999999996</v>
      </c>
      <c r="AU69" s="86">
        <f t="shared" si="3"/>
        <v>0.81026249999999989</v>
      </c>
      <c r="AV69" s="86">
        <f t="shared" si="4"/>
        <v>0.59193749999999978</v>
      </c>
      <c r="AW69" s="227">
        <f t="shared" si="5"/>
        <v>0.31569999999999993</v>
      </c>
      <c r="AX69" s="71">
        <f>AS69*$Y$4*パラメータ!$D$24</f>
        <v>18.587414999999993</v>
      </c>
      <c r="AY69" s="1">
        <f>AU69*$Y$5*E69*パラメータ!$D$30</f>
        <v>27.548924999999997</v>
      </c>
      <c r="AZ69" s="1">
        <f>SUMPRODUCT($AD$4:$AD$10,$AE$4:$AE$10)*E69*パラメータ!$D$28*10^-3</f>
        <v>12.75</v>
      </c>
      <c r="BA69" s="1">
        <f>(AV69+AW69)*$Y$6*$Y$4*パラメータ!$D$22*10^-3</f>
        <v>6.1265531249999974</v>
      </c>
      <c r="BB69" s="1">
        <f>($Y$8*$Y$9*パラメータ!$D$22+0.5*$Y$8^2*SIN(RADIANS($Y$10))*パラメータ!$D$25)*E69*10^-3</f>
        <v>3.3081478802897957</v>
      </c>
      <c r="BC69" s="1">
        <f>AT69*($Y$12)</f>
        <v>15.784999999999997</v>
      </c>
      <c r="BD69" s="1">
        <f>$Y$11</f>
        <v>4</v>
      </c>
      <c r="BE69" s="1">
        <f>IF(G69="端リブ",AS69*$Y$13*パラメータ!$D$22*2,0)</f>
        <v>0</v>
      </c>
      <c r="BF69" s="1">
        <f>主桁!AV31*1000</f>
        <v>132.1575452956948</v>
      </c>
      <c r="BG69" s="1">
        <f t="shared" si="10"/>
        <v>88.106041005289782</v>
      </c>
      <c r="BH69" s="1">
        <f t="shared" si="11"/>
        <v>0.22026358630098458</v>
      </c>
      <c r="BI69" s="2" t="e">
        <f>(AO69-重量分布!$E$15)^2+(AP69-重量分布!$F$15)^2</f>
        <v>#REF!</v>
      </c>
      <c r="BJ69" s="2" t="e">
        <f>(AP69-重量分布!$F$15)^2</f>
        <v>#REF!</v>
      </c>
      <c r="BK69" s="237">
        <f>(AO69-重量分布!$E$15)^2</f>
        <v>0</v>
      </c>
    </row>
    <row r="70" spans="2:63">
      <c r="B70" s="29">
        <v>26</v>
      </c>
      <c r="C70" s="1">
        <f t="shared" si="13"/>
        <v>5.6000000000000032</v>
      </c>
      <c r="D70" s="1">
        <f>IF($C70&lt;$H$7,$G$20*$C70+$H$20,IF($C70&lt;$H$8,$G$21*$C70+$H$21,IF($C70&lt;$H$9,$G$22*$C70+$H$22,IF($C70&lt;$H$10,$G$23*$C70+$H$23,IF($C70&lt;$H$11,$G$24*$C70+$H$24,IF($C70&lt;$H$12,$G$25*$C70+$H$25,$G$26*$C70+$H$26))))))*10^3</f>
        <v>759.99999999999989</v>
      </c>
      <c r="E70" s="22">
        <v>0.2</v>
      </c>
      <c r="F70" s="22" t="str">
        <f t="shared" si="14"/>
        <v>2nd</v>
      </c>
      <c r="G70" s="75" t="str">
        <f>IF(OR(C70=$F$38,C70=$G$38,C70=$H$38),"端リブ",IF(C70&lt;$F$38,"0番",IF(C70&lt;$G$38,"1番",IF(C70&lt;$H$38,"2番",IF(C70&lt;$I$38,"3番","ウィングレット")))))</f>
        <v>2番</v>
      </c>
      <c r="H70" s="1">
        <f>IF($C70&lt;$H$7,$K$20*$C70+$L$20,IF($C70&lt;$H$8,$K$21*$C70+$L$21,IF($C70&lt;$H$9,$K$22*$C70+$L$22,IF($C70&lt;$H$10,$K$23*$C70+$L$24,IF($C70&lt;$H$11,$K$24*$C70+$L$23,IF($C70&lt;$H$12,$K$25*$C70+$L$25,$K$26*$C70+$L$26))))))</f>
        <v>0.35</v>
      </c>
      <c r="I70" s="9">
        <f>主桁!AD32*2</f>
        <v>94.427999999999983</v>
      </c>
      <c r="J70" s="1">
        <f>主桁!AE32*2</f>
        <v>94.615499999999969</v>
      </c>
      <c r="K70" s="227"/>
      <c r="L70" s="232"/>
      <c r="M70" s="86"/>
      <c r="N70" s="86"/>
      <c r="O70" s="231"/>
      <c r="P70" s="86"/>
      <c r="Q70" s="86"/>
      <c r="R70" s="86"/>
      <c r="S70" s="86"/>
      <c r="T70" s="86"/>
      <c r="U70" s="86"/>
      <c r="V70" s="86"/>
      <c r="W70" s="86"/>
      <c r="X70" s="86"/>
      <c r="Y70" s="86"/>
      <c r="Z70" s="86"/>
      <c r="AA70" s="86"/>
      <c r="AB70" s="86"/>
      <c r="AC70" s="71" t="str">
        <f>IF($C70&lt;$H$7,$M$6,IF($C70&lt;$H$8,$M$7,IF($C70&lt;$H$9,$M$8,IF($C70&lt;$H$10,$M$9,IF($C70&lt;$H$11,$M$10,IF($C70&lt;$H$12,$M$11,$M$12))))))</f>
        <v>QX0023</v>
      </c>
      <c r="AD70" s="1">
        <f t="shared" si="7"/>
        <v>100</v>
      </c>
      <c r="AE70" s="1" t="str">
        <f>IF($C70&lt;$H$7,$M$7,IF($C70&lt;$H$8,$M$8,IF($C70&lt;$H$9,$M$9,IF($C70&lt;$H$10,$M$10,IF($C70&lt;$H$11,$M$11,IF($C70&lt;$H$12,$M$12,$M$13))))))</f>
        <v>QX0023</v>
      </c>
      <c r="AF70" s="1">
        <f>IF(AC70=AE70,0,IF($C70&lt;$H$7,($C70-$H$6)/($H$7-$H$6),IF($C70&lt;$H$8,($C70-$H$7)/($H$8-$H$7),IF($C70&lt;$H$9,($C70-$H$8)/($H$9-$H$8),IF($C70&lt;$H$10,($C70-$H$9)/($H$10-$H$9),IF($C70&lt;$H$11,($C70-$H$10)/($H$11-$H$10),IF($C70&lt;$H$12,($C70-$H$11)/($H$12-$H$11),($C70-$H$12)/($H$13-$H$12))))))))*100</f>
        <v>0</v>
      </c>
      <c r="AG70" s="1">
        <f>D70*H70/1000</f>
        <v>0.26599999999999996</v>
      </c>
      <c r="AH70" s="1">
        <f>AG70-D70/1000</f>
        <v>-0.49399999999999994</v>
      </c>
      <c r="AI70" s="1">
        <f>AI69+E69*COS(RADIANS(AL69))</f>
        <v>4.8000000000000025</v>
      </c>
      <c r="AJ70" s="1">
        <f>AJ69+E69*SIN(RADIANS(AL69))</f>
        <v>0</v>
      </c>
      <c r="AK70" s="1">
        <f>IF($C70&lt;$H$7,$I$20*$C70+$J$20,IF($C70&lt;$H$8,$I$21*$C70+$J$21,IF($C70&lt;$H$9,$I$22*$C70+$J$22,IF($C70&lt;$H$10,$I$23*$C70+$J$23,IF($C70&lt;$H$11,$I$24*$C70+$J$24,IF($C70&lt;$H$12,$I$25*$C70+$J$25,$I$26*$C70+$J$26))))))</f>
        <v>2</v>
      </c>
      <c r="AL70" s="7">
        <f>IF($C70&lt;$H$7,$K$6,IF($C70&lt;$H$8,$K$7,IF($C70&lt;$H$9,$K$8,IF($C70&lt;$H$10,$K$9,IF($C70&lt;$H$11,$K$10,IF($C70&lt;$H$12,$K$11,$K$12))))))</f>
        <v>0</v>
      </c>
      <c r="AM70" s="231"/>
      <c r="AN70" s="86"/>
      <c r="AO70" s="86"/>
      <c r="AP70" s="86"/>
      <c r="AQ70" s="86"/>
      <c r="AR70" s="86"/>
      <c r="AS70" s="86">
        <f t="shared" si="8"/>
        <v>5.487199999999999E-2</v>
      </c>
      <c r="AT70" s="86">
        <f t="shared" si="9"/>
        <v>1.5579999999999996</v>
      </c>
      <c r="AU70" s="86">
        <f t="shared" si="3"/>
        <v>0.81026249999999989</v>
      </c>
      <c r="AV70" s="86">
        <f t="shared" si="4"/>
        <v>0.58424999999999983</v>
      </c>
      <c r="AW70" s="227">
        <f t="shared" si="5"/>
        <v>0.31159999999999993</v>
      </c>
      <c r="AX70" s="71">
        <f>AS70*$Y$4*パラメータ!$D$24</f>
        <v>18.107759999999995</v>
      </c>
      <c r="AY70" s="1">
        <f>AU70*$Y$5*E70*パラメータ!$D$30</f>
        <v>27.548924999999997</v>
      </c>
      <c r="AZ70" s="1">
        <f>SUMPRODUCT($AD$4:$AD$10,$AE$4:$AE$10)*E70*パラメータ!$D$28*10^-3</f>
        <v>12.75</v>
      </c>
      <c r="BA70" s="1">
        <f>(AV70+AW70)*$Y$6*$Y$4*パラメータ!$D$22*10^-3</f>
        <v>6.0469875000000002</v>
      </c>
      <c r="BB70" s="1">
        <f>($Y$8*$Y$9*パラメータ!$D$22+0.5*$Y$8^2*SIN(RADIANS($Y$10))*パラメータ!$D$25)*E70*10^-3</f>
        <v>3.3081478802897957</v>
      </c>
      <c r="BC70" s="1">
        <f>AT70*($Y$12)</f>
        <v>15.579999999999997</v>
      </c>
      <c r="BD70" s="1">
        <f>$Y$11</f>
        <v>4</v>
      </c>
      <c r="BE70" s="1">
        <f>IF(G70="端リブ",AS70*$Y$13*パラメータ!$D$22*2,0)</f>
        <v>0</v>
      </c>
      <c r="BF70" s="1">
        <f>主桁!AV32*1000</f>
        <v>129.92743685660443</v>
      </c>
      <c r="BG70" s="1">
        <f t="shared" si="10"/>
        <v>87.341820380289789</v>
      </c>
      <c r="BH70" s="1">
        <f t="shared" si="11"/>
        <v>0.21726925723689422</v>
      </c>
      <c r="BI70" s="2" t="e">
        <f>(AO70-重量分布!$E$15)^2+(AP70-重量分布!$F$15)^2</f>
        <v>#REF!</v>
      </c>
      <c r="BJ70" s="2" t="e">
        <f>(AP70-重量分布!$F$15)^2</f>
        <v>#REF!</v>
      </c>
      <c r="BK70" s="237">
        <f>(AO70-重量分布!$E$15)^2</f>
        <v>0</v>
      </c>
    </row>
    <row r="71" spans="2:63">
      <c r="B71" s="29">
        <v>27</v>
      </c>
      <c r="C71" s="1">
        <f t="shared" si="13"/>
        <v>5.8000000000000034</v>
      </c>
      <c r="D71" s="1">
        <f>IF($C71&lt;$H$7,$G$20*$C71+$H$20,IF($C71&lt;$H$8,$G$21*$C71+$H$21,IF($C71&lt;$H$9,$G$22*$C71+$H$22,IF($C71&lt;$H$10,$G$23*$C71+$H$23,IF($C71&lt;$H$11,$G$24*$C71+$H$24,IF($C71&lt;$H$12,$G$25*$C71+$H$25,$G$26*$C71+$H$26))))))*10^3</f>
        <v>749.99999999999989</v>
      </c>
      <c r="E71" s="22">
        <v>0.2</v>
      </c>
      <c r="F71" s="22" t="str">
        <f t="shared" si="14"/>
        <v>2nd</v>
      </c>
      <c r="G71" s="75" t="str">
        <f>IF(OR(C71=$F$38,C71=$G$38,C71=$H$38),"端リブ",IF(C71&lt;$F$38,"0番",IF(C71&lt;$G$38,"1番",IF(C71&lt;$H$38,"2番",IF(C71&lt;$I$38,"3番","ウィングレット")))))</f>
        <v>2番</v>
      </c>
      <c r="H71" s="1">
        <f>IF($C71&lt;$H$7,$K$20*$C71+$L$20,IF($C71&lt;$H$8,$K$21*$C71+$L$21,IF($C71&lt;$H$9,$K$22*$C71+$L$22,IF($C71&lt;$H$10,$K$23*$C71+$L$24,IF($C71&lt;$H$11,$K$24*$C71+$L$23,IF($C71&lt;$H$12,$K$25*$C71+$L$25,$K$26*$C71+$L$26))))))</f>
        <v>0.35</v>
      </c>
      <c r="I71" s="9">
        <f>主桁!AD33*2</f>
        <v>92.827999999999989</v>
      </c>
      <c r="J71" s="1">
        <f>主桁!AE33*2</f>
        <v>92.991499999999974</v>
      </c>
      <c r="K71" s="227"/>
      <c r="L71" s="232"/>
      <c r="M71" s="86"/>
      <c r="N71" s="86"/>
      <c r="O71" s="231"/>
      <c r="P71" s="86"/>
      <c r="Q71" s="86"/>
      <c r="R71" s="86"/>
      <c r="S71" s="86"/>
      <c r="T71" s="86"/>
      <c r="U71" s="86"/>
      <c r="V71" s="86"/>
      <c r="W71" s="86"/>
      <c r="X71" s="86"/>
      <c r="Y71" s="86"/>
      <c r="Z71" s="86"/>
      <c r="AA71" s="86"/>
      <c r="AB71" s="86"/>
      <c r="AC71" s="71" t="str">
        <f>IF($C71&lt;$H$7,$M$6,IF($C71&lt;$H$8,$M$7,IF($C71&lt;$H$9,$M$8,IF($C71&lt;$H$10,$M$9,IF($C71&lt;$H$11,$M$10,IF($C71&lt;$H$12,$M$11,$M$12))))))</f>
        <v>QX0023</v>
      </c>
      <c r="AD71" s="1">
        <f t="shared" si="7"/>
        <v>100</v>
      </c>
      <c r="AE71" s="1" t="str">
        <f>IF($C71&lt;$H$7,$M$7,IF($C71&lt;$H$8,$M$8,IF($C71&lt;$H$9,$M$9,IF($C71&lt;$H$10,$M$10,IF($C71&lt;$H$11,$M$11,IF($C71&lt;$H$12,$M$12,$M$13))))))</f>
        <v>QX0023</v>
      </c>
      <c r="AF71" s="1">
        <f>IF(AC71=AE71,0,IF($C71&lt;$H$7,($C71-$H$6)/($H$7-$H$6),IF($C71&lt;$H$8,($C71-$H$7)/($H$8-$H$7),IF($C71&lt;$H$9,($C71-$H$8)/($H$9-$H$8),IF($C71&lt;$H$10,($C71-$H$9)/($H$10-$H$9),IF($C71&lt;$H$11,($C71-$H$10)/($H$11-$H$10),IF($C71&lt;$H$12,($C71-$H$11)/($H$12-$H$11),($C71-$H$12)/($H$13-$H$12))))))))*100</f>
        <v>0</v>
      </c>
      <c r="AG71" s="1">
        <f>D71*H71/1000</f>
        <v>0.26249999999999996</v>
      </c>
      <c r="AH71" s="1">
        <f>AG71-D71/1000</f>
        <v>-0.48749999999999993</v>
      </c>
      <c r="AI71" s="1">
        <f>AI70+E70*COS(RADIANS(AL70))</f>
        <v>5.0000000000000027</v>
      </c>
      <c r="AJ71" s="1">
        <f>AJ70+E70*SIN(RADIANS(AL70))</f>
        <v>0</v>
      </c>
      <c r="AK71" s="1">
        <f>IF($C71&lt;$H$7,$I$20*$C71+$J$20,IF($C71&lt;$H$8,$I$21*$C71+$J$21,IF($C71&lt;$H$9,$I$22*$C71+$J$22,IF($C71&lt;$H$10,$I$23*$C71+$J$23,IF($C71&lt;$H$11,$I$24*$C71+$J$24,IF($C71&lt;$H$12,$I$25*$C71+$J$25,$I$26*$C71+$J$26))))))</f>
        <v>2</v>
      </c>
      <c r="AL71" s="7">
        <f>IF($C71&lt;$H$7,$K$6,IF($C71&lt;$H$8,$K$7,IF($C71&lt;$H$9,$K$8,IF($C71&lt;$H$10,$K$9,IF($C71&lt;$H$11,$K$10,IF($C71&lt;$H$12,$K$11,$K$12))))))</f>
        <v>0</v>
      </c>
      <c r="AM71" s="231"/>
      <c r="AN71" s="86"/>
      <c r="AO71" s="86"/>
      <c r="AP71" s="86"/>
      <c r="AQ71" s="86"/>
      <c r="AR71" s="86"/>
      <c r="AS71" s="86">
        <f t="shared" si="8"/>
        <v>5.3437499999999992E-2</v>
      </c>
      <c r="AT71" s="86">
        <f t="shared" si="9"/>
        <v>1.5374999999999996</v>
      </c>
      <c r="AU71" s="86">
        <f t="shared" si="3"/>
        <v>0.81026249999999989</v>
      </c>
      <c r="AV71" s="86">
        <f t="shared" si="4"/>
        <v>0.57656249999999987</v>
      </c>
      <c r="AW71" s="227">
        <f t="shared" si="5"/>
        <v>0.30749999999999994</v>
      </c>
      <c r="AX71" s="71">
        <f>AS71*$Y$4*パラメータ!$D$24</f>
        <v>17.634374999999999</v>
      </c>
      <c r="AY71" s="1">
        <f>AU71*$Y$5*E71*パラメータ!$D$30</f>
        <v>27.548924999999997</v>
      </c>
      <c r="AZ71" s="1">
        <f>SUMPRODUCT($AD$4:$AD$10,$AE$4:$AE$10)*E71*パラメータ!$D$28*10^-3</f>
        <v>12.75</v>
      </c>
      <c r="BA71" s="1">
        <f>(AV71+AW71)*$Y$6*$Y$4*パラメータ!$D$22*10^-3</f>
        <v>5.9674218749999994</v>
      </c>
      <c r="BB71" s="1">
        <f>($Y$8*$Y$9*パラメータ!$D$22+0.5*$Y$8^2*SIN(RADIANS($Y$10))*パラメータ!$D$25)*E71*10^-3</f>
        <v>3.3081478802897957</v>
      </c>
      <c r="BC71" s="1">
        <f>AT71*($Y$12)</f>
        <v>15.374999999999996</v>
      </c>
      <c r="BD71" s="1">
        <f>$Y$11</f>
        <v>4</v>
      </c>
      <c r="BE71" s="1">
        <f>IF(G71="端リブ",AS71*$Y$13*パラメータ!$D$22*2,0)</f>
        <v>0</v>
      </c>
      <c r="BF71" s="1">
        <f>主桁!AV33*1000</f>
        <v>127.69732729328742</v>
      </c>
      <c r="BG71" s="1">
        <f t="shared" si="10"/>
        <v>86.583869755289797</v>
      </c>
      <c r="BH71" s="1">
        <f t="shared" si="11"/>
        <v>0.2142811970485772</v>
      </c>
      <c r="BI71" s="2" t="e">
        <f>(AO71-重量分布!$E$15)^2+(AP71-重量分布!$F$15)^2</f>
        <v>#REF!</v>
      </c>
      <c r="BJ71" s="2" t="e">
        <f>(AP71-重量分布!$F$15)^2</f>
        <v>#REF!</v>
      </c>
      <c r="BK71" s="237">
        <f>(AO71-重量分布!$E$15)^2</f>
        <v>0</v>
      </c>
    </row>
    <row r="72" spans="2:63">
      <c r="B72" s="29">
        <v>28</v>
      </c>
      <c r="C72" s="1">
        <f t="shared" si="13"/>
        <v>6.0000000000000036</v>
      </c>
      <c r="D72" s="1">
        <f>IF($C72&lt;$H$7,$G$20*$C72+$H$20,IF($C72&lt;$H$8,$G$21*$C72+$H$21,IF($C72&lt;$H$9,$G$22*$C72+$H$22,IF($C72&lt;$H$10,$G$23*$C72+$H$23,IF($C72&lt;$H$11,$G$24*$C72+$H$24,IF($C72&lt;$H$12,$G$25*$C72+$H$25,$G$26*$C72+$H$26))))))*10^3</f>
        <v>739.99999999999989</v>
      </c>
      <c r="E72" s="22">
        <v>0.2</v>
      </c>
      <c r="F72" s="22" t="str">
        <f t="shared" si="14"/>
        <v>2nd</v>
      </c>
      <c r="G72" s="75" t="str">
        <f>IF(OR(C72=$F$38,C72=$G$38,C72=$H$38),"端リブ",IF(C72&lt;$F$38,"0番",IF(C72&lt;$G$38,"1番",IF(C72&lt;$H$38,"2番",IF(C72&lt;$I$38,"3番","ウィングレット")))))</f>
        <v>2番</v>
      </c>
      <c r="H72" s="1">
        <f>IF($C72&lt;$H$7,$K$20*$C72+$L$20,IF($C72&lt;$H$8,$K$21*$C72+$L$21,IF($C72&lt;$H$9,$K$22*$C72+$L$22,IF($C72&lt;$H$10,$K$23*$C72+$L$24,IF($C72&lt;$H$11,$K$24*$C72+$L$23,IF($C72&lt;$H$12,$K$25*$C72+$L$25,$K$26*$C72+$L$26))))))</f>
        <v>0.35</v>
      </c>
      <c r="I72" s="9">
        <f>主桁!AD34*2</f>
        <v>91.22799999999998</v>
      </c>
      <c r="J72" s="1">
        <f>主桁!AE34*2</f>
        <v>91.367499999999964</v>
      </c>
      <c r="K72" s="227"/>
      <c r="L72" s="232"/>
      <c r="M72" s="86"/>
      <c r="N72" s="86"/>
      <c r="O72" s="231"/>
      <c r="P72" s="86"/>
      <c r="Q72" s="86"/>
      <c r="R72" s="86"/>
      <c r="S72" s="86"/>
      <c r="T72" s="86"/>
      <c r="U72" s="86"/>
      <c r="V72" s="86"/>
      <c r="W72" s="86"/>
      <c r="X72" s="86"/>
      <c r="Y72" s="86"/>
      <c r="Z72" s="86"/>
      <c r="AA72" s="86"/>
      <c r="AB72" s="86"/>
      <c r="AC72" s="71" t="str">
        <f>IF($C72&lt;$H$7,$M$6,IF($C72&lt;$H$8,$M$7,IF($C72&lt;$H$9,$M$8,IF($C72&lt;$H$10,$M$9,IF($C72&lt;$H$11,$M$10,IF($C72&lt;$H$12,$M$11,$M$12))))))</f>
        <v>QX0023</v>
      </c>
      <c r="AD72" s="1">
        <f t="shared" si="7"/>
        <v>100</v>
      </c>
      <c r="AE72" s="1" t="str">
        <f>IF($C72&lt;$H$7,$M$7,IF($C72&lt;$H$8,$M$8,IF($C72&lt;$H$9,$M$9,IF($C72&lt;$H$10,$M$10,IF($C72&lt;$H$11,$M$11,IF($C72&lt;$H$12,$M$12,$M$13))))))</f>
        <v>QX0023</v>
      </c>
      <c r="AF72" s="1">
        <f>IF(AC72=AE72,0,IF($C72&lt;$H$7,($C72-$H$6)/($H$7-$H$6),IF($C72&lt;$H$8,($C72-$H$7)/($H$8-$H$7),IF($C72&lt;$H$9,($C72-$H$8)/($H$9-$H$8),IF($C72&lt;$H$10,($C72-$H$9)/($H$10-$H$9),IF($C72&lt;$H$11,($C72-$H$10)/($H$11-$H$10),IF($C72&lt;$H$12,($C72-$H$11)/($H$12-$H$11),($C72-$H$12)/($H$13-$H$12))))))))*100</f>
        <v>0</v>
      </c>
      <c r="AG72" s="1">
        <f>D72*H72/1000</f>
        <v>0.25899999999999995</v>
      </c>
      <c r="AH72" s="1">
        <f>AG72-D72/1000</f>
        <v>-0.48099999999999993</v>
      </c>
      <c r="AI72" s="1">
        <f>AI71+E71*COS(RADIANS(AL71))</f>
        <v>5.2000000000000028</v>
      </c>
      <c r="AJ72" s="1">
        <f>AJ71+E71*SIN(RADIANS(AL71))</f>
        <v>0</v>
      </c>
      <c r="AK72" s="1">
        <f>IF($C72&lt;$H$7,$I$20*$C72+$J$20,IF($C72&lt;$H$8,$I$21*$C72+$J$21,IF($C72&lt;$H$9,$I$22*$C72+$J$22,IF($C72&lt;$H$10,$I$23*$C72+$J$23,IF($C72&lt;$H$11,$I$24*$C72+$J$24,IF($C72&lt;$H$12,$I$25*$C72+$J$25,$I$26*$C72+$J$26))))))</f>
        <v>2</v>
      </c>
      <c r="AL72" s="7">
        <f>IF($C72&lt;$H$7,$K$6,IF($C72&lt;$H$8,$K$7,IF($C72&lt;$H$9,$K$8,IF($C72&lt;$H$10,$K$9,IF($C72&lt;$H$11,$K$10,IF($C72&lt;$H$12,$K$11,$K$12))))))</f>
        <v>0</v>
      </c>
      <c r="AM72" s="231"/>
      <c r="AN72" s="86"/>
      <c r="AO72" s="86"/>
      <c r="AP72" s="86"/>
      <c r="AQ72" s="86"/>
      <c r="AR72" s="86"/>
      <c r="AS72" s="86">
        <f t="shared" si="8"/>
        <v>5.2021999999999985E-2</v>
      </c>
      <c r="AT72" s="86">
        <f t="shared" si="9"/>
        <v>1.5169999999999995</v>
      </c>
      <c r="AU72" s="86">
        <f t="shared" si="3"/>
        <v>0.81026249999999989</v>
      </c>
      <c r="AV72" s="86">
        <f t="shared" si="4"/>
        <v>0.5688749999999998</v>
      </c>
      <c r="AW72" s="227">
        <f t="shared" si="5"/>
        <v>0.30339999999999989</v>
      </c>
      <c r="AX72" s="71">
        <f>AS72*$Y$4*パラメータ!$D$24</f>
        <v>17.167259999999995</v>
      </c>
      <c r="AY72" s="1">
        <f>AU72*$Y$5*E72*パラメータ!$D$30</f>
        <v>27.548924999999997</v>
      </c>
      <c r="AZ72" s="1">
        <f>SUMPRODUCT($AD$4:$AD$10,$AE$4:$AE$10)*E72*パラメータ!$D$28*10^-3</f>
        <v>12.75</v>
      </c>
      <c r="BA72" s="1">
        <f>(AV72+AW72)*$Y$6*$Y$4*パラメータ!$D$22*10^-3</f>
        <v>5.8878562499999978</v>
      </c>
      <c r="BB72" s="1">
        <f>($Y$8*$Y$9*パラメータ!$D$22+0.5*$Y$8^2*SIN(RADIANS($Y$10))*パラメータ!$D$25)*E72*10^-3</f>
        <v>3.3081478802897957</v>
      </c>
      <c r="BC72" s="1">
        <f>AT72*($Y$12)</f>
        <v>15.169999999999995</v>
      </c>
      <c r="BD72" s="1">
        <f>$Y$11</f>
        <v>4</v>
      </c>
      <c r="BE72" s="1">
        <f>IF(G72="端リブ",AS72*$Y$13*パラメータ!$D$22*2,0)</f>
        <v>0</v>
      </c>
      <c r="BF72" s="1">
        <f>主桁!AV34*1000</f>
        <v>125.46721654611339</v>
      </c>
      <c r="BG72" s="1">
        <f t="shared" si="10"/>
        <v>85.832189130289777</v>
      </c>
      <c r="BH72" s="1">
        <f t="shared" si="11"/>
        <v>0.21129940567640318</v>
      </c>
      <c r="BI72" s="2" t="e">
        <f>(AO72-重量分布!$E$15)^2+(AP72-重量分布!$F$15)^2</f>
        <v>#REF!</v>
      </c>
      <c r="BJ72" s="2" t="e">
        <f>(AP72-重量分布!$F$15)^2</f>
        <v>#REF!</v>
      </c>
      <c r="BK72" s="237">
        <f>(AO72-重量分布!$E$15)^2</f>
        <v>0</v>
      </c>
    </row>
    <row r="73" spans="2:63">
      <c r="B73" s="29">
        <v>29</v>
      </c>
      <c r="C73" s="1">
        <f t="shared" si="13"/>
        <v>6.2000000000000037</v>
      </c>
      <c r="D73" s="1">
        <f>IF($C73&lt;$H$7,$G$20*$C73+$H$20,IF($C73&lt;$H$8,$G$21*$C73+$H$21,IF($C73&lt;$H$9,$G$22*$C73+$H$22,IF($C73&lt;$H$10,$G$23*$C73+$H$23,IF($C73&lt;$H$11,$G$24*$C73+$H$24,IF($C73&lt;$H$12,$G$25*$C73+$H$25,$G$26*$C73+$H$26))))))*10^3</f>
        <v>729.99999999999989</v>
      </c>
      <c r="E73" s="22">
        <v>0.2</v>
      </c>
      <c r="F73" s="22" t="str">
        <f t="shared" si="14"/>
        <v>2nd</v>
      </c>
      <c r="G73" s="75" t="str">
        <f>IF(OR(C73=$F$38,C73=$G$38,C73=$H$38),"端リブ",IF(C73&lt;$F$38,"0番",IF(C73&lt;$G$38,"1番",IF(C73&lt;$H$38,"2番",IF(C73&lt;$I$38,"3番","ウィングレット")))))</f>
        <v>2番</v>
      </c>
      <c r="H73" s="1">
        <f>IF($C73&lt;$H$7,$K$20*$C73+$L$20,IF($C73&lt;$H$8,$K$21*$C73+$L$21,IF($C73&lt;$H$9,$K$22*$C73+$L$22,IF($C73&lt;$H$10,$K$23*$C73+$L$24,IF($C73&lt;$H$11,$K$24*$C73+$L$23,IF($C73&lt;$H$12,$K$25*$C73+$L$25,$K$26*$C73+$L$26))))))</f>
        <v>0.35</v>
      </c>
      <c r="I73" s="9">
        <f>主桁!AD35*2</f>
        <v>89.627999999999972</v>
      </c>
      <c r="J73" s="1">
        <f>主桁!AE35*2</f>
        <v>89.743499999999955</v>
      </c>
      <c r="K73" s="227"/>
      <c r="L73" s="232"/>
      <c r="M73" s="86"/>
      <c r="N73" s="86"/>
      <c r="O73" s="231"/>
      <c r="P73" s="86"/>
      <c r="Q73" s="86"/>
      <c r="R73" s="86"/>
      <c r="S73" s="86"/>
      <c r="T73" s="86"/>
      <c r="U73" s="86"/>
      <c r="V73" s="86"/>
      <c r="W73" s="86"/>
      <c r="X73" s="86"/>
      <c r="Y73" s="86"/>
      <c r="Z73" s="86"/>
      <c r="AA73" s="86"/>
      <c r="AB73" s="86"/>
      <c r="AC73" s="71" t="str">
        <f>IF($C73&lt;$H$7,$M$6,IF($C73&lt;$H$8,$M$7,IF($C73&lt;$H$9,$M$8,IF($C73&lt;$H$10,$M$9,IF($C73&lt;$H$11,$M$10,IF($C73&lt;$H$12,$M$11,$M$12))))))</f>
        <v>QX0023</v>
      </c>
      <c r="AD73" s="1">
        <f t="shared" si="7"/>
        <v>100</v>
      </c>
      <c r="AE73" s="1" t="str">
        <f>IF($C73&lt;$H$7,$M$7,IF($C73&lt;$H$8,$M$8,IF($C73&lt;$H$9,$M$9,IF($C73&lt;$H$10,$M$10,IF($C73&lt;$H$11,$M$11,IF($C73&lt;$H$12,$M$12,$M$13))))))</f>
        <v>QX0023</v>
      </c>
      <c r="AF73" s="1">
        <f>IF(AC73=AE73,0,IF($C73&lt;$H$7,($C73-$H$6)/($H$7-$H$6),IF($C73&lt;$H$8,($C73-$H$7)/($H$8-$H$7),IF($C73&lt;$H$9,($C73-$H$8)/($H$9-$H$8),IF($C73&lt;$H$10,($C73-$H$9)/($H$10-$H$9),IF($C73&lt;$H$11,($C73-$H$10)/($H$11-$H$10),IF($C73&lt;$H$12,($C73-$H$11)/($H$12-$H$11),($C73-$H$12)/($H$13-$H$12))))))))*100</f>
        <v>0</v>
      </c>
      <c r="AG73" s="1">
        <f>D73*H73/1000</f>
        <v>0.25549999999999995</v>
      </c>
      <c r="AH73" s="1">
        <f>AG73-D73/1000</f>
        <v>-0.47449999999999992</v>
      </c>
      <c r="AI73" s="1">
        <f>AI72+E72*COS(RADIANS(AL72))</f>
        <v>5.400000000000003</v>
      </c>
      <c r="AJ73" s="1">
        <f>AJ72+E72*SIN(RADIANS(AL72))</f>
        <v>0</v>
      </c>
      <c r="AK73" s="1">
        <f>IF($C73&lt;$H$7,$I$20*$C73+$J$20,IF($C73&lt;$H$8,$I$21*$C73+$J$21,IF($C73&lt;$H$9,$I$22*$C73+$J$22,IF($C73&lt;$H$10,$I$23*$C73+$J$23,IF($C73&lt;$H$11,$I$24*$C73+$J$24,IF($C73&lt;$H$12,$I$25*$C73+$J$25,$I$26*$C73+$J$26))))))</f>
        <v>2</v>
      </c>
      <c r="AL73" s="7">
        <f>IF($C73&lt;$H$7,$K$6,IF($C73&lt;$H$8,$K$7,IF($C73&lt;$H$9,$K$8,IF($C73&lt;$H$10,$K$9,IF($C73&lt;$H$11,$K$10,IF($C73&lt;$H$12,$K$11,$K$12))))))</f>
        <v>0</v>
      </c>
      <c r="AM73" s="231"/>
      <c r="AN73" s="86"/>
      <c r="AO73" s="86"/>
      <c r="AP73" s="86"/>
      <c r="AQ73" s="86"/>
      <c r="AR73" s="86"/>
      <c r="AS73" s="86">
        <f t="shared" si="8"/>
        <v>5.0625499999999983E-2</v>
      </c>
      <c r="AT73" s="86">
        <f t="shared" si="9"/>
        <v>1.4964999999999995</v>
      </c>
      <c r="AU73" s="86">
        <f t="shared" si="3"/>
        <v>0.81026249999999989</v>
      </c>
      <c r="AV73" s="86">
        <f t="shared" si="4"/>
        <v>0.56118749999999984</v>
      </c>
      <c r="AW73" s="227">
        <f t="shared" si="5"/>
        <v>0.2992999999999999</v>
      </c>
      <c r="AX73" s="71">
        <f>AS73*$Y$4*パラメータ!$D$24</f>
        <v>16.706414999999993</v>
      </c>
      <c r="AY73" s="1">
        <f>AU73*$Y$5*E73*パラメータ!$D$30</f>
        <v>27.548924999999997</v>
      </c>
      <c r="AZ73" s="1">
        <f>SUMPRODUCT($AD$4:$AD$10,$AE$4:$AE$10)*E73*パラメータ!$D$28*10^-3</f>
        <v>12.75</v>
      </c>
      <c r="BA73" s="1">
        <f>(AV73+AW73)*$Y$6*$Y$4*パラメータ!$D$22*10^-3</f>
        <v>5.8082906249999979</v>
      </c>
      <c r="BB73" s="1">
        <f>($Y$8*$Y$9*パラメータ!$D$22+0.5*$Y$8^2*SIN(RADIANS($Y$10))*パラメータ!$D$25)*E73*10^-3</f>
        <v>3.3081478802897957</v>
      </c>
      <c r="BC73" s="1">
        <f>AT73*($Y$12)</f>
        <v>14.964999999999995</v>
      </c>
      <c r="BD73" s="1">
        <f>$Y$11</f>
        <v>4</v>
      </c>
      <c r="BE73" s="1">
        <f>IF(G73="端リブ",AS73*$Y$13*パラメータ!$D$22*2,0)</f>
        <v>0</v>
      </c>
      <c r="BF73" s="1">
        <f>主桁!AV35*1000</f>
        <v>123.23710455115689</v>
      </c>
      <c r="BG73" s="1">
        <f t="shared" si="10"/>
        <v>85.086778505289772</v>
      </c>
      <c r="BH73" s="1">
        <f t="shared" si="11"/>
        <v>0.20832388305644667</v>
      </c>
      <c r="BI73" s="2" t="e">
        <f>(AO73-重量分布!$E$15)^2+(AP73-重量分布!$F$15)^2</f>
        <v>#REF!</v>
      </c>
      <c r="BJ73" s="2" t="e">
        <f>(AP73-重量分布!$F$15)^2</f>
        <v>#REF!</v>
      </c>
      <c r="BK73" s="237">
        <f>(AO73-重量分布!$E$15)^2</f>
        <v>0</v>
      </c>
    </row>
    <row r="74" spans="2:63">
      <c r="B74" s="29">
        <v>30</v>
      </c>
      <c r="C74" s="1">
        <f t="shared" si="13"/>
        <v>6.4000000000000039</v>
      </c>
      <c r="D74" s="1">
        <f>IF($C74&lt;$H$7,$G$20*$C74+$H$20,IF($C74&lt;$H$8,$G$21*$C74+$H$21,IF($C74&lt;$H$9,$G$22*$C74+$H$22,IF($C74&lt;$H$10,$G$23*$C74+$H$23,IF($C74&lt;$H$11,$G$24*$C74+$H$24,IF($C74&lt;$H$12,$G$25*$C74+$H$25,$G$26*$C74+$H$26))))))*10^3</f>
        <v>719.99999999999989</v>
      </c>
      <c r="E74" s="22">
        <v>0.2</v>
      </c>
      <c r="F74" s="22" t="str">
        <f t="shared" si="14"/>
        <v>2nd</v>
      </c>
      <c r="G74" s="75" t="str">
        <f>IF(OR(C74=$F$38,C74=$G$38,C74=$H$38),"端リブ",IF(C74&lt;$F$38,"0番",IF(C74&lt;$G$38,"1番",IF(C74&lt;$H$38,"2番",IF(C74&lt;$I$38,"3番","ウィングレット")))))</f>
        <v>2番</v>
      </c>
      <c r="H74" s="1">
        <f>IF($C74&lt;$H$7,$K$20*$C74+$L$20,IF($C74&lt;$H$8,$K$21*$C74+$L$21,IF($C74&lt;$H$9,$K$22*$C74+$L$22,IF($C74&lt;$H$10,$K$23*$C74+$L$24,IF($C74&lt;$H$11,$K$24*$C74+$L$23,IF($C74&lt;$H$12,$K$25*$C74+$L$25,$K$26*$C74+$L$26))))))</f>
        <v>0.35</v>
      </c>
      <c r="I74" s="9">
        <f>主桁!AD36*2</f>
        <v>88.027999999999977</v>
      </c>
      <c r="J74" s="1">
        <f>主桁!AE36*2</f>
        <v>88.119499999999974</v>
      </c>
      <c r="K74" s="227"/>
      <c r="L74" s="232"/>
      <c r="M74" s="86"/>
      <c r="N74" s="86"/>
      <c r="O74" s="231"/>
      <c r="P74" s="86"/>
      <c r="Q74" s="86"/>
      <c r="R74" s="86"/>
      <c r="S74" s="86"/>
      <c r="T74" s="86"/>
      <c r="U74" s="86"/>
      <c r="V74" s="86"/>
      <c r="W74" s="86"/>
      <c r="X74" s="86"/>
      <c r="Y74" s="86"/>
      <c r="Z74" s="86"/>
      <c r="AA74" s="86"/>
      <c r="AB74" s="86"/>
      <c r="AC74" s="71" t="str">
        <f>IF($C74&lt;$H$7,$M$6,IF($C74&lt;$H$8,$M$7,IF($C74&lt;$H$9,$M$8,IF($C74&lt;$H$10,$M$9,IF($C74&lt;$H$11,$M$10,IF($C74&lt;$H$12,$M$11,$M$12))))))</f>
        <v>QX0023</v>
      </c>
      <c r="AD74" s="1">
        <f t="shared" si="7"/>
        <v>100</v>
      </c>
      <c r="AE74" s="1" t="str">
        <f>IF($C74&lt;$H$7,$M$7,IF($C74&lt;$H$8,$M$8,IF($C74&lt;$H$9,$M$9,IF($C74&lt;$H$10,$M$10,IF($C74&lt;$H$11,$M$11,IF($C74&lt;$H$12,$M$12,$M$13))))))</f>
        <v>QX0023</v>
      </c>
      <c r="AF74" s="1">
        <f>IF(AC74=AE74,0,IF($C74&lt;$H$7,($C74-$H$6)/($H$7-$H$6),IF($C74&lt;$H$8,($C74-$H$7)/($H$8-$H$7),IF($C74&lt;$H$9,($C74-$H$8)/($H$9-$H$8),IF($C74&lt;$H$10,($C74-$H$9)/($H$10-$H$9),IF($C74&lt;$H$11,($C74-$H$10)/($H$11-$H$10),IF($C74&lt;$H$12,($C74-$H$11)/($H$12-$H$11),($C74-$H$12)/($H$13-$H$12))))))))*100</f>
        <v>0</v>
      </c>
      <c r="AG74" s="1">
        <f>D74*H74/1000</f>
        <v>0.25199999999999995</v>
      </c>
      <c r="AH74" s="1">
        <f>AG74-D74/1000</f>
        <v>-0.46799999999999992</v>
      </c>
      <c r="AI74" s="1">
        <f>AI73+E73*COS(RADIANS(AL73))</f>
        <v>5.6000000000000032</v>
      </c>
      <c r="AJ74" s="1">
        <f>AJ73+E73*SIN(RADIANS(AL73))</f>
        <v>0</v>
      </c>
      <c r="AK74" s="1">
        <f>IF($C74&lt;$H$7,$I$20*$C74+$J$20,IF($C74&lt;$H$8,$I$21*$C74+$J$21,IF($C74&lt;$H$9,$I$22*$C74+$J$22,IF($C74&lt;$H$10,$I$23*$C74+$J$23,IF($C74&lt;$H$11,$I$24*$C74+$J$24,IF($C74&lt;$H$12,$I$25*$C74+$J$25,$I$26*$C74+$J$26))))))</f>
        <v>2</v>
      </c>
      <c r="AL74" s="7">
        <f>IF($C74&lt;$H$7,$K$6,IF($C74&lt;$H$8,$K$7,IF($C74&lt;$H$9,$K$8,IF($C74&lt;$H$10,$K$9,IF($C74&lt;$H$11,$K$10,IF($C74&lt;$H$12,$K$11,$K$12))))))</f>
        <v>0</v>
      </c>
      <c r="AM74" s="231"/>
      <c r="AN74" s="86"/>
      <c r="AO74" s="86"/>
      <c r="AP74" s="86"/>
      <c r="AQ74" s="86"/>
      <c r="AR74" s="86"/>
      <c r="AS74" s="86">
        <f t="shared" si="8"/>
        <v>4.9247999999999979E-2</v>
      </c>
      <c r="AT74" s="86">
        <f t="shared" si="9"/>
        <v>1.4759999999999995</v>
      </c>
      <c r="AU74" s="86">
        <f t="shared" si="3"/>
        <v>0.81026249999999989</v>
      </c>
      <c r="AV74" s="86">
        <f t="shared" si="4"/>
        <v>0.55349999999999988</v>
      </c>
      <c r="AW74" s="227">
        <f t="shared" si="5"/>
        <v>0.29519999999999991</v>
      </c>
      <c r="AX74" s="71">
        <f>AS74*$Y$4*パラメータ!$D$24</f>
        <v>16.251839999999994</v>
      </c>
      <c r="AY74" s="1">
        <f>AU74*$Y$5*E74*パラメータ!$D$30</f>
        <v>27.548924999999997</v>
      </c>
      <c r="AZ74" s="1">
        <f>SUMPRODUCT($AD$4:$AD$10,$AE$4:$AE$10)*E74*パラメータ!$D$28*10^-3</f>
        <v>12.75</v>
      </c>
      <c r="BA74" s="1">
        <f>(AV74+AW74)*$Y$6*$Y$4*パラメータ!$D$22*10^-3</f>
        <v>5.7287249999999981</v>
      </c>
      <c r="BB74" s="1">
        <f>($Y$8*$Y$9*パラメータ!$D$22+0.5*$Y$8^2*SIN(RADIANS($Y$10))*パラメータ!$D$25)*E74*10^-3</f>
        <v>3.3081478802897957</v>
      </c>
      <c r="BC74" s="1">
        <f>AT74*($Y$12)</f>
        <v>14.759999999999994</v>
      </c>
      <c r="BD74" s="1">
        <f>$Y$11</f>
        <v>4</v>
      </c>
      <c r="BE74" s="1">
        <f>IF(G74="端リブ",AS74*$Y$13*パラメータ!$D$22*2,0)</f>
        <v>0</v>
      </c>
      <c r="BF74" s="1">
        <f>主桁!AV36*1000</f>
        <v>121.00699123980704</v>
      </c>
      <c r="BG74" s="1">
        <f t="shared" si="10"/>
        <v>84.347637880289781</v>
      </c>
      <c r="BH74" s="1">
        <f t="shared" si="11"/>
        <v>0.20535462912009683</v>
      </c>
      <c r="BI74" s="2" t="e">
        <f>(AO74-重量分布!$E$15)^2+(AP74-重量分布!$F$15)^2</f>
        <v>#REF!</v>
      </c>
      <c r="BJ74" s="2" t="e">
        <f>(AP74-重量分布!$F$15)^2</f>
        <v>#REF!</v>
      </c>
      <c r="BK74" s="237">
        <f>(AO74-重量分布!$E$15)^2</f>
        <v>0</v>
      </c>
    </row>
    <row r="75" spans="2:63">
      <c r="B75" s="29">
        <v>31</v>
      </c>
      <c r="C75" s="1">
        <f t="shared" si="13"/>
        <v>6.6000000000000041</v>
      </c>
      <c r="D75" s="1">
        <f>IF($C75&lt;$H$7,$G$20*$C75+$H$20,IF($C75&lt;$H$8,$G$21*$C75+$H$21,IF($C75&lt;$H$9,$G$22*$C75+$H$22,IF($C75&lt;$H$10,$G$23*$C75+$H$23,IF($C75&lt;$H$11,$G$24*$C75+$H$24,IF($C75&lt;$H$12,$G$25*$C75+$H$25,$G$26*$C75+$H$26))))))*10^3</f>
        <v>709.99999999999989</v>
      </c>
      <c r="E75" s="22">
        <v>0.2</v>
      </c>
      <c r="F75" s="22" t="str">
        <f t="shared" si="14"/>
        <v>2nd</v>
      </c>
      <c r="G75" s="75" t="str">
        <f>IF(OR(C75=$F$38,C75=$G$38,C75=$H$38),"端リブ",IF(C75&lt;$F$38,"0番",IF(C75&lt;$G$38,"1番",IF(C75&lt;$H$38,"2番",IF(C75&lt;$I$38,"3番","ウィングレット")))))</f>
        <v>2番</v>
      </c>
      <c r="H75" s="1">
        <f>IF($C75&lt;$H$7,$K$20*$C75+$L$20,IF($C75&lt;$H$8,$K$21*$C75+$L$21,IF($C75&lt;$H$9,$K$22*$C75+$L$22,IF($C75&lt;$H$10,$K$23*$C75+$L$24,IF($C75&lt;$H$11,$K$24*$C75+$L$23,IF($C75&lt;$H$12,$K$25*$C75+$L$25,$K$26*$C75+$L$26))))))</f>
        <v>0.35</v>
      </c>
      <c r="I75" s="9">
        <f>主桁!AD37*2</f>
        <v>86.427999999999983</v>
      </c>
      <c r="J75" s="1">
        <f>主桁!AE37*2</f>
        <v>86.495499999999979</v>
      </c>
      <c r="K75" s="227"/>
      <c r="L75" s="232"/>
      <c r="M75" s="86"/>
      <c r="N75" s="86"/>
      <c r="O75" s="231"/>
      <c r="P75" s="86"/>
      <c r="Q75" s="86"/>
      <c r="R75" s="86"/>
      <c r="S75" s="86"/>
      <c r="T75" s="86"/>
      <c r="U75" s="86"/>
      <c r="V75" s="86"/>
      <c r="W75" s="86"/>
      <c r="X75" s="86"/>
      <c r="Y75" s="86"/>
      <c r="Z75" s="86"/>
      <c r="AA75" s="86"/>
      <c r="AB75" s="86"/>
      <c r="AC75" s="71" t="str">
        <f>IF($C75&lt;$H$7,$M$6,IF($C75&lt;$H$8,$M$7,IF($C75&lt;$H$9,$M$8,IF($C75&lt;$H$10,$M$9,IF($C75&lt;$H$11,$M$10,IF($C75&lt;$H$12,$M$11,$M$12))))))</f>
        <v>QX0023</v>
      </c>
      <c r="AD75" s="1">
        <f t="shared" si="7"/>
        <v>100</v>
      </c>
      <c r="AE75" s="1" t="str">
        <f>IF($C75&lt;$H$7,$M$7,IF($C75&lt;$H$8,$M$8,IF($C75&lt;$H$9,$M$9,IF($C75&lt;$H$10,$M$10,IF($C75&lt;$H$11,$M$11,IF($C75&lt;$H$12,$M$12,$M$13))))))</f>
        <v>QX0023</v>
      </c>
      <c r="AF75" s="1">
        <f>IF(AC75=AE75,0,IF($C75&lt;$H$7,($C75-$H$6)/($H$7-$H$6),IF($C75&lt;$H$8,($C75-$H$7)/($H$8-$H$7),IF($C75&lt;$H$9,($C75-$H$8)/($H$9-$H$8),IF($C75&lt;$H$10,($C75-$H$9)/($H$10-$H$9),IF($C75&lt;$H$11,($C75-$H$10)/($H$11-$H$10),IF($C75&lt;$H$12,($C75-$H$11)/($H$12-$H$11),($C75-$H$12)/($H$13-$H$12))))))))*100</f>
        <v>0</v>
      </c>
      <c r="AG75" s="1">
        <f>D75*H75/1000</f>
        <v>0.24849999999999994</v>
      </c>
      <c r="AH75" s="1">
        <f>AG75-D75/1000</f>
        <v>-0.46149999999999991</v>
      </c>
      <c r="AI75" s="1">
        <f>AI74+E74*COS(RADIANS(AL74))</f>
        <v>5.8000000000000034</v>
      </c>
      <c r="AJ75" s="1">
        <f>AJ74+E74*SIN(RADIANS(AL74))</f>
        <v>0</v>
      </c>
      <c r="AK75" s="1">
        <f>IF($C75&lt;$H$7,$I$20*$C75+$J$20,IF($C75&lt;$H$8,$I$21*$C75+$J$21,IF($C75&lt;$H$9,$I$22*$C75+$J$22,IF($C75&lt;$H$10,$I$23*$C75+$J$23,IF($C75&lt;$H$11,$I$24*$C75+$J$24,IF($C75&lt;$H$12,$I$25*$C75+$J$25,$I$26*$C75+$J$26))))))</f>
        <v>2</v>
      </c>
      <c r="AL75" s="7">
        <f>IF($C75&lt;$H$7,$K$6,IF($C75&lt;$H$8,$K$7,IF($C75&lt;$H$9,$K$8,IF($C75&lt;$H$10,$K$9,IF($C75&lt;$H$11,$K$10,IF($C75&lt;$H$12,$K$11,$K$12))))))</f>
        <v>0</v>
      </c>
      <c r="AM75" s="231"/>
      <c r="AN75" s="86"/>
      <c r="AO75" s="86"/>
      <c r="AP75" s="86"/>
      <c r="AQ75" s="86"/>
      <c r="AR75" s="86"/>
      <c r="AS75" s="86">
        <f t="shared" si="8"/>
        <v>4.7889499999999981E-2</v>
      </c>
      <c r="AT75" s="86">
        <f t="shared" si="9"/>
        <v>1.4554999999999996</v>
      </c>
      <c r="AU75" s="86">
        <f t="shared" si="3"/>
        <v>0.81026249999999989</v>
      </c>
      <c r="AV75" s="86">
        <f t="shared" si="4"/>
        <v>0.54581249999999981</v>
      </c>
      <c r="AW75" s="227">
        <f t="shared" si="5"/>
        <v>0.29109999999999991</v>
      </c>
      <c r="AX75" s="71">
        <f>AS75*$Y$4*パラメータ!$D$24</f>
        <v>15.803534999999993</v>
      </c>
      <c r="AY75" s="1">
        <f>AU75*$Y$5*E75*パラメータ!$D$30</f>
        <v>27.548924999999997</v>
      </c>
      <c r="AZ75" s="1">
        <f>SUMPRODUCT($AD$4:$AD$10,$AE$4:$AE$10)*E75*パラメータ!$D$28*10^-3</f>
        <v>12.75</v>
      </c>
      <c r="BA75" s="1">
        <f>(AV75+AW75)*$Y$6*$Y$4*パラメータ!$D$22*10^-3</f>
        <v>5.6491593749999982</v>
      </c>
      <c r="BB75" s="1">
        <f>($Y$8*$Y$9*パラメータ!$D$22+0.5*$Y$8^2*SIN(RADIANS($Y$10))*パラメータ!$D$25)*E75*10^-3</f>
        <v>3.3081478802897957</v>
      </c>
      <c r="BC75" s="1">
        <f>AT75*($Y$12)</f>
        <v>14.554999999999996</v>
      </c>
      <c r="BD75" s="1">
        <f>$Y$11</f>
        <v>4</v>
      </c>
      <c r="BE75" s="1">
        <f>IF(G75="端リブ",AS75*$Y$13*パラメータ!$D$22*2,0)</f>
        <v>0</v>
      </c>
      <c r="BF75" s="1">
        <f>主桁!AV37*1000</f>
        <v>118.77687653832763</v>
      </c>
      <c r="BG75" s="1">
        <f t="shared" si="10"/>
        <v>83.614767255289777</v>
      </c>
      <c r="BH75" s="1">
        <f t="shared" si="11"/>
        <v>0.2023916437936174</v>
      </c>
      <c r="BI75" s="2" t="e">
        <f>(AO75-重量分布!$E$15)^2+(AP75-重量分布!$F$15)^2</f>
        <v>#REF!</v>
      </c>
      <c r="BJ75" s="2" t="e">
        <f>(AP75-重量分布!$F$15)^2</f>
        <v>#REF!</v>
      </c>
      <c r="BK75" s="237">
        <f>(AO75-重量分布!$E$15)^2</f>
        <v>0</v>
      </c>
    </row>
    <row r="76" spans="2:63">
      <c r="B76" s="29">
        <v>32</v>
      </c>
      <c r="C76" s="1">
        <f t="shared" si="13"/>
        <v>6.8000000000000043</v>
      </c>
      <c r="D76" s="1">
        <f>IF($C76&lt;$H$7,$G$20*$C76+$H$20,IF($C76&lt;$H$8,$G$21*$C76+$H$21,IF($C76&lt;$H$9,$G$22*$C76+$H$22,IF($C76&lt;$H$10,$G$23*$C76+$H$23,IF($C76&lt;$H$11,$G$24*$C76+$H$24,IF($C76&lt;$H$12,$G$25*$C76+$H$25,$G$26*$C76+$H$26))))))*10^3</f>
        <v>699.99999999999989</v>
      </c>
      <c r="E76" s="22">
        <v>0.2</v>
      </c>
      <c r="F76" s="22" t="str">
        <f t="shared" si="14"/>
        <v>2nd</v>
      </c>
      <c r="G76" s="75" t="str">
        <f>IF(OR(C76=$F$38,C76=$G$38,C76=$H$38),"端リブ",IF(C76&lt;$F$38,"0番",IF(C76&lt;$G$38,"1番",IF(C76&lt;$H$38,"2番",IF(C76&lt;$I$38,"3番","ウィングレット")))))</f>
        <v>2番</v>
      </c>
      <c r="H76" s="1">
        <f>IF($C76&lt;$H$7,$K$20*$C76+$L$20,IF($C76&lt;$H$8,$K$21*$C76+$L$21,IF($C76&lt;$H$9,$K$22*$C76+$L$22,IF($C76&lt;$H$10,$K$23*$C76+$L$24,IF($C76&lt;$H$11,$K$24*$C76+$L$23,IF($C76&lt;$H$12,$K$25*$C76+$L$25,$K$26*$C76+$L$26))))))</f>
        <v>0.35</v>
      </c>
      <c r="I76" s="9">
        <f>主桁!AD38*2</f>
        <v>84.827999999999975</v>
      </c>
      <c r="J76" s="1">
        <f>主桁!AE38*2</f>
        <v>84.871499999999969</v>
      </c>
      <c r="K76" s="227"/>
      <c r="L76" s="232"/>
      <c r="M76" s="86"/>
      <c r="N76" s="86"/>
      <c r="O76" s="231"/>
      <c r="P76" s="86"/>
      <c r="Q76" s="86"/>
      <c r="R76" s="86"/>
      <c r="S76" s="86"/>
      <c r="T76" s="86"/>
      <c r="U76" s="86"/>
      <c r="V76" s="86"/>
      <c r="W76" s="86"/>
      <c r="X76" s="86"/>
      <c r="Y76" s="86"/>
      <c r="Z76" s="86"/>
      <c r="AA76" s="86"/>
      <c r="AB76" s="86"/>
      <c r="AC76" s="71" t="str">
        <f>IF($C76&lt;$H$7,$M$6,IF($C76&lt;$H$8,$M$7,IF($C76&lt;$H$9,$M$8,IF($C76&lt;$H$10,$M$9,IF($C76&lt;$H$11,$M$10,IF($C76&lt;$H$12,$M$11,$M$12))))))</f>
        <v>QX0023</v>
      </c>
      <c r="AD76" s="1">
        <f t="shared" si="7"/>
        <v>100</v>
      </c>
      <c r="AE76" s="1" t="str">
        <f>IF($C76&lt;$H$7,$M$7,IF($C76&lt;$H$8,$M$8,IF($C76&lt;$H$9,$M$9,IF($C76&lt;$H$10,$M$10,IF($C76&lt;$H$11,$M$11,IF($C76&lt;$H$12,$M$12,$M$13))))))</f>
        <v>QX0023</v>
      </c>
      <c r="AF76" s="1">
        <f>IF(AC76=AE76,0,IF($C76&lt;$H$7,($C76-$H$6)/($H$7-$H$6),IF($C76&lt;$H$8,($C76-$H$7)/($H$8-$H$7),IF($C76&lt;$H$9,($C76-$H$8)/($H$9-$H$8),IF($C76&lt;$H$10,($C76-$H$9)/($H$10-$H$9),IF($C76&lt;$H$11,($C76-$H$10)/($H$11-$H$10),IF($C76&lt;$H$12,($C76-$H$11)/($H$12-$H$11),($C76-$H$12)/($H$13-$H$12))))))))*100</f>
        <v>0</v>
      </c>
      <c r="AG76" s="1">
        <f>D76*H76/1000</f>
        <v>0.24499999999999994</v>
      </c>
      <c r="AH76" s="1">
        <f>AG76-D76/1000</f>
        <v>-0.4549999999999999</v>
      </c>
      <c r="AI76" s="1">
        <f>AI75+E75*COS(RADIANS(AL75))</f>
        <v>6.0000000000000036</v>
      </c>
      <c r="AJ76" s="1">
        <f>AJ75+E75*SIN(RADIANS(AL75))</f>
        <v>0</v>
      </c>
      <c r="AK76" s="1">
        <f>IF($C76&lt;$H$7,$I$20*$C76+$J$20,IF($C76&lt;$H$8,$I$21*$C76+$J$21,IF($C76&lt;$H$9,$I$22*$C76+$J$22,IF($C76&lt;$H$10,$I$23*$C76+$J$23,IF($C76&lt;$H$11,$I$24*$C76+$J$24,IF($C76&lt;$H$12,$I$25*$C76+$J$25,$I$26*$C76+$J$26))))))</f>
        <v>2</v>
      </c>
      <c r="AL76" s="7">
        <f>IF($C76&lt;$H$7,$K$6,IF($C76&lt;$H$8,$K$7,IF($C76&lt;$H$9,$K$8,IF($C76&lt;$H$10,$K$9,IF($C76&lt;$H$11,$K$10,IF($C76&lt;$H$12,$K$11,$K$12))))))</f>
        <v>0</v>
      </c>
      <c r="AM76" s="231"/>
      <c r="AN76" s="86"/>
      <c r="AO76" s="86"/>
      <c r="AP76" s="86"/>
      <c r="AQ76" s="86"/>
      <c r="AR76" s="86"/>
      <c r="AS76" s="86">
        <f t="shared" si="8"/>
        <v>4.654999999999998E-2</v>
      </c>
      <c r="AT76" s="86">
        <f t="shared" si="9"/>
        <v>1.4349999999999996</v>
      </c>
      <c r="AU76" s="86">
        <f t="shared" si="3"/>
        <v>0.81026249999999989</v>
      </c>
      <c r="AV76" s="86">
        <f t="shared" si="4"/>
        <v>0.53812499999999985</v>
      </c>
      <c r="AW76" s="227">
        <f t="shared" si="5"/>
        <v>0.28699999999999992</v>
      </c>
      <c r="AX76" s="71">
        <f>AS76*$Y$4*パラメータ!$D$24</f>
        <v>15.361499999999994</v>
      </c>
      <c r="AY76" s="1">
        <f>AU76*$Y$5*E76*パラメータ!$D$30</f>
        <v>27.548924999999997</v>
      </c>
      <c r="AZ76" s="1">
        <f>SUMPRODUCT($AD$4:$AD$10,$AE$4:$AE$10)*E76*パラメータ!$D$28*10^-3</f>
        <v>12.75</v>
      </c>
      <c r="BA76" s="1">
        <f>(AV76+AW76)*$Y$6*$Y$4*パラメータ!$D$22*10^-3</f>
        <v>5.5695937499999983</v>
      </c>
      <c r="BB76" s="1">
        <f>($Y$8*$Y$9*パラメータ!$D$22+0.5*$Y$8^2*SIN(RADIANS($Y$10))*パラメータ!$D$25)*E76*10^-3</f>
        <v>3.3081478802897957</v>
      </c>
      <c r="BC76" s="1">
        <f>AT76*($Y$12)</f>
        <v>14.349999999999996</v>
      </c>
      <c r="BD76" s="1">
        <f>$Y$11</f>
        <v>4</v>
      </c>
      <c r="BE76" s="1">
        <f>IF(G76="端リブ",AS76*$Y$13*パラメータ!$D$22*2,0)</f>
        <v>0</v>
      </c>
      <c r="BF76" s="1">
        <f>主桁!AV38*1000</f>
        <v>116.54676036736915</v>
      </c>
      <c r="BG76" s="1">
        <f t="shared" si="10"/>
        <v>82.888166630289774</v>
      </c>
      <c r="BH76" s="1">
        <f t="shared" si="11"/>
        <v>0.19943492699765891</v>
      </c>
      <c r="BI76" s="2" t="e">
        <f>(AO76-重量分布!$E$15)^2+(AP76-重量分布!$F$15)^2</f>
        <v>#REF!</v>
      </c>
      <c r="BJ76" s="2" t="e">
        <f>(AP76-重量分布!$F$15)^2</f>
        <v>#REF!</v>
      </c>
      <c r="BK76" s="237">
        <f>(AO76-重量分布!$E$15)^2</f>
        <v>0</v>
      </c>
    </row>
    <row r="77" spans="2:63">
      <c r="B77" s="29">
        <v>33</v>
      </c>
      <c r="C77" s="1">
        <f t="shared" si="13"/>
        <v>7.0000000000000044</v>
      </c>
      <c r="D77" s="1">
        <f>IF($C77&lt;$H$7,$G$20*$C77+$H$20,IF($C77&lt;$H$8,$G$21*$C77+$H$21,IF($C77&lt;$H$9,$G$22*$C77+$H$22,IF($C77&lt;$H$10,$G$23*$C77+$H$23,IF($C77&lt;$H$11,$G$24*$C77+$H$24,IF($C77&lt;$H$12,$G$25*$C77+$H$25,$G$26*$C77+$H$26))))))*10^3</f>
        <v>689.99999999999989</v>
      </c>
      <c r="E77" s="22">
        <v>0.2</v>
      </c>
      <c r="F77" s="22" t="str">
        <f t="shared" si="14"/>
        <v>2nd</v>
      </c>
      <c r="G77" s="75" t="str">
        <f>IF(OR(C77=$F$38,C77=$G$38,C77=$H$38),"端リブ",IF(C77&lt;$F$38,"0番",IF(C77&lt;$G$38,"1番",IF(C77&lt;$H$38,"2番",IF(C77&lt;$I$38,"3番","ウィングレット")))))</f>
        <v>2番</v>
      </c>
      <c r="H77" s="1">
        <f>IF($C77&lt;$H$7,$K$20*$C77+$L$20,IF($C77&lt;$H$8,$K$21*$C77+$L$21,IF($C77&lt;$H$9,$K$22*$C77+$L$22,IF($C77&lt;$H$10,$K$23*$C77+$L$24,IF($C77&lt;$H$11,$K$24*$C77+$L$23,IF($C77&lt;$H$12,$K$25*$C77+$L$25,$K$26*$C77+$L$26))))))</f>
        <v>0.35</v>
      </c>
      <c r="I77" s="9">
        <f>主桁!AD39*2</f>
        <v>83.227999999999966</v>
      </c>
      <c r="J77" s="1">
        <f>主桁!AE39*2</f>
        <v>83.24749999999996</v>
      </c>
      <c r="K77" s="227"/>
      <c r="L77" s="232"/>
      <c r="M77" s="86"/>
      <c r="N77" s="86"/>
      <c r="O77" s="231"/>
      <c r="P77" s="86"/>
      <c r="Q77" s="86"/>
      <c r="R77" s="86"/>
      <c r="S77" s="86"/>
      <c r="T77" s="86"/>
      <c r="U77" s="86"/>
      <c r="V77" s="86"/>
      <c r="W77" s="86"/>
      <c r="X77" s="86"/>
      <c r="Y77" s="86"/>
      <c r="Z77" s="86"/>
      <c r="AA77" s="86"/>
      <c r="AB77" s="86"/>
      <c r="AC77" s="71" t="str">
        <f>IF($C77&lt;$H$7,$M$6,IF($C77&lt;$H$8,$M$7,IF($C77&lt;$H$9,$M$8,IF($C77&lt;$H$10,$M$9,IF($C77&lt;$H$11,$M$10,IF($C77&lt;$H$12,$M$11,$M$12))))))</f>
        <v>QX0023</v>
      </c>
      <c r="AD77" s="1">
        <f t="shared" si="7"/>
        <v>100</v>
      </c>
      <c r="AE77" s="1" t="str">
        <f>IF($C77&lt;$H$7,$M$7,IF($C77&lt;$H$8,$M$8,IF($C77&lt;$H$9,$M$9,IF($C77&lt;$H$10,$M$10,IF($C77&lt;$H$11,$M$11,IF($C77&lt;$H$12,$M$12,$M$13))))))</f>
        <v>QX0023</v>
      </c>
      <c r="AF77" s="1">
        <f>IF(AC77=AE77,0,IF($C77&lt;$H$7,($C77-$H$6)/($H$7-$H$6),IF($C77&lt;$H$8,($C77-$H$7)/($H$8-$H$7),IF($C77&lt;$H$9,($C77-$H$8)/($H$9-$H$8),IF($C77&lt;$H$10,($C77-$H$9)/($H$10-$H$9),IF($C77&lt;$H$11,($C77-$H$10)/($H$11-$H$10),IF($C77&lt;$H$12,($C77-$H$11)/($H$12-$H$11),($C77-$H$12)/($H$13-$H$12))))))))*100</f>
        <v>0</v>
      </c>
      <c r="AG77" s="1">
        <f>D77*H77/1000</f>
        <v>0.24149999999999994</v>
      </c>
      <c r="AH77" s="1">
        <f>AG77-D77/1000</f>
        <v>-0.4484999999999999</v>
      </c>
      <c r="AI77" s="1">
        <f>AI76+E76*COS(RADIANS(AL76))</f>
        <v>6.2000000000000037</v>
      </c>
      <c r="AJ77" s="1">
        <f>AJ76+E76*SIN(RADIANS(AL76))</f>
        <v>0</v>
      </c>
      <c r="AK77" s="1">
        <f>IF($C77&lt;$H$7,$I$20*$C77+$J$20,IF($C77&lt;$H$8,$I$21*$C77+$J$21,IF($C77&lt;$H$9,$I$22*$C77+$J$22,IF($C77&lt;$H$10,$I$23*$C77+$J$23,IF($C77&lt;$H$11,$I$24*$C77+$J$24,IF($C77&lt;$H$12,$I$25*$C77+$J$25,$I$26*$C77+$J$26))))))</f>
        <v>2</v>
      </c>
      <c r="AL77" s="7">
        <f>IF($C77&lt;$H$7,$K$6,IF($C77&lt;$H$8,$K$7,IF($C77&lt;$H$9,$K$8,IF($C77&lt;$H$10,$K$9,IF($C77&lt;$H$11,$K$10,IF($C77&lt;$H$12,$K$11,$K$12))))))</f>
        <v>0</v>
      </c>
      <c r="AM77" s="231"/>
      <c r="AN77" s="86"/>
      <c r="AO77" s="86"/>
      <c r="AP77" s="86"/>
      <c r="AQ77" s="86"/>
      <c r="AR77" s="86"/>
      <c r="AS77" s="86">
        <f t="shared" si="8"/>
        <v>4.5229499999999978E-2</v>
      </c>
      <c r="AT77" s="86">
        <f t="shared" si="9"/>
        <v>1.4144999999999996</v>
      </c>
      <c r="AU77" s="86">
        <f t="shared" si="3"/>
        <v>0.81026249999999989</v>
      </c>
      <c r="AV77" s="86">
        <f t="shared" si="4"/>
        <v>0.5304374999999999</v>
      </c>
      <c r="AW77" s="227">
        <f t="shared" si="5"/>
        <v>0.28289999999999993</v>
      </c>
      <c r="AX77" s="71">
        <f>AS77*$Y$4*パラメータ!$D$24</f>
        <v>14.925734999999992</v>
      </c>
      <c r="AY77" s="1">
        <f>AU77*$Y$5*E77*パラメータ!$D$30</f>
        <v>27.548924999999997</v>
      </c>
      <c r="AZ77" s="1">
        <f>SUMPRODUCT($AD$4:$AD$10,$AE$4:$AE$10)*E77*パラメータ!$D$28*10^-3</f>
        <v>12.75</v>
      </c>
      <c r="BA77" s="1">
        <f>(AV77+AW77)*$Y$6*$Y$4*パラメータ!$D$22*10^-3</f>
        <v>5.4900281249999994</v>
      </c>
      <c r="BB77" s="1">
        <f>($Y$8*$Y$9*パラメータ!$D$22+0.5*$Y$8^2*SIN(RADIANS($Y$10))*パラメータ!$D$25)*E77*10^-3</f>
        <v>3.3081478802897957</v>
      </c>
      <c r="BC77" s="1">
        <f>AT77*($Y$12)</f>
        <v>14.144999999999996</v>
      </c>
      <c r="BD77" s="1">
        <f>$Y$11</f>
        <v>4</v>
      </c>
      <c r="BE77" s="1">
        <f>IF(G77="端リブ",AS77*$Y$13*パラメータ!$D$22*2,0)</f>
        <v>0</v>
      </c>
      <c r="BF77" s="1">
        <f>主桁!AV39*1000</f>
        <v>114.31664264142658</v>
      </c>
      <c r="BG77" s="1">
        <f t="shared" si="10"/>
        <v>82.167836005289786</v>
      </c>
      <c r="BH77" s="1">
        <f t="shared" si="11"/>
        <v>0.19648447864671637</v>
      </c>
      <c r="BI77" s="2" t="e">
        <f>(AO77-重量分布!$E$15)^2+(AP77-重量分布!$F$15)^2</f>
        <v>#REF!</v>
      </c>
      <c r="BJ77" s="2" t="e">
        <f>(AP77-重量分布!$F$15)^2</f>
        <v>#REF!</v>
      </c>
      <c r="BK77" s="237">
        <f>(AO77-重量分布!$E$15)^2</f>
        <v>0</v>
      </c>
    </row>
    <row r="78" spans="2:63">
      <c r="B78" s="29">
        <v>34</v>
      </c>
      <c r="C78" s="1">
        <f t="shared" si="13"/>
        <v>7.2000000000000046</v>
      </c>
      <c r="D78" s="1">
        <f>IF($C78&lt;$H$7,$G$20*$C78+$H$20,IF($C78&lt;$H$8,$G$21*$C78+$H$21,IF($C78&lt;$H$9,$G$22*$C78+$H$22,IF($C78&lt;$H$10,$G$23*$C78+$H$23,IF($C78&lt;$H$11,$G$24*$C78+$H$24,IF($C78&lt;$H$12,$G$25*$C78+$H$25,$G$26*$C78+$H$26))))))*10^3</f>
        <v>679.99999999999977</v>
      </c>
      <c r="E78" s="22">
        <v>0.2</v>
      </c>
      <c r="F78" s="22" t="s">
        <v>967</v>
      </c>
      <c r="G78" s="75" t="str">
        <f>IF(OR(C78=$F$38,C78=$G$38,C78=$H$38),"端リブ",IF(C78&lt;$F$38,"0番",IF(C78&lt;$G$38,"1番",IF(C78&lt;$H$38,"2番",IF(C78&lt;$I$38,"3番","ウィングレット")))))</f>
        <v>2番</v>
      </c>
      <c r="H78" s="1">
        <f>IF($C78&lt;$H$7,$K$20*$C78+$L$20,IF($C78&lt;$H$8,$K$21*$C78+$L$21,IF($C78&lt;$H$9,$K$22*$C78+$L$22,IF($C78&lt;$H$10,$K$23*$C78+$L$24,IF($C78&lt;$H$11,$K$24*$C78+$L$23,IF($C78&lt;$H$12,$K$25*$C78+$L$25,$K$26*$C78+$L$26))))))</f>
        <v>0.35</v>
      </c>
      <c r="I78" s="9">
        <f>主桁!AD40*2</f>
        <v>81.627999999999972</v>
      </c>
      <c r="J78" s="1">
        <f>主桁!AE40*2</f>
        <v>81.623499999999964</v>
      </c>
      <c r="K78" s="227"/>
      <c r="L78" s="232"/>
      <c r="M78" s="86"/>
      <c r="N78" s="86"/>
      <c r="O78" s="231"/>
      <c r="P78" s="86"/>
      <c r="Q78" s="86"/>
      <c r="R78" s="86"/>
      <c r="S78" s="86"/>
      <c r="T78" s="86"/>
      <c r="U78" s="86"/>
      <c r="V78" s="86"/>
      <c r="W78" s="86"/>
      <c r="X78" s="86"/>
      <c r="Y78" s="86"/>
      <c r="Z78" s="86"/>
      <c r="AA78" s="86"/>
      <c r="AB78" s="86"/>
      <c r="AC78" s="71" t="str">
        <f>IF($C78&lt;$H$7,$M$6,IF($C78&lt;$H$8,$M$7,IF($C78&lt;$H$9,$M$8,IF($C78&lt;$H$10,$M$9,IF($C78&lt;$H$11,$M$10,IF($C78&lt;$H$12,$M$11,$M$12))))))</f>
        <v>QX0023</v>
      </c>
      <c r="AD78" s="1">
        <f t="shared" si="7"/>
        <v>100</v>
      </c>
      <c r="AE78" s="1" t="str">
        <f>IF($C78&lt;$H$7,$M$7,IF($C78&lt;$H$8,$M$8,IF($C78&lt;$H$9,$M$9,IF($C78&lt;$H$10,$M$10,IF($C78&lt;$H$11,$M$11,IF($C78&lt;$H$12,$M$12,$M$13))))))</f>
        <v>QX0023</v>
      </c>
      <c r="AF78" s="1">
        <f>IF(AC78=AE78,0,IF($C78&lt;$H$7,($C78-$H$6)/($H$7-$H$6),IF($C78&lt;$H$8,($C78-$H$7)/($H$8-$H$7),IF($C78&lt;$H$9,($C78-$H$8)/($H$9-$H$8),IF($C78&lt;$H$10,($C78-$H$9)/($H$10-$H$9),IF($C78&lt;$H$11,($C78-$H$10)/($H$11-$H$10),IF($C78&lt;$H$12,($C78-$H$11)/($H$12-$H$11),($C78-$H$12)/($H$13-$H$12))))))))*100</f>
        <v>0</v>
      </c>
      <c r="AG78" s="1">
        <f>D78*H78/1000</f>
        <v>0.23799999999999991</v>
      </c>
      <c r="AH78" s="1">
        <f>AG78-D78/1000</f>
        <v>-0.44199999999999995</v>
      </c>
      <c r="AI78" s="1">
        <f>AI77+E77*COS(RADIANS(AL77))</f>
        <v>6.4000000000000039</v>
      </c>
      <c r="AJ78" s="1">
        <f>AJ77+E77*SIN(RADIANS(AL77))</f>
        <v>0</v>
      </c>
      <c r="AK78" s="1">
        <f>IF($C78&lt;$H$7,$I$20*$C78+$J$20,IF($C78&lt;$H$8,$I$21*$C78+$J$21,IF($C78&lt;$H$9,$I$22*$C78+$J$22,IF($C78&lt;$H$10,$I$23*$C78+$J$23,IF($C78&lt;$H$11,$I$24*$C78+$J$24,IF($C78&lt;$H$12,$I$25*$C78+$J$25,$I$26*$C78+$J$26))))))</f>
        <v>2</v>
      </c>
      <c r="AL78" s="7">
        <f>IF($C78&lt;$H$7,$K$6,IF($C78&lt;$H$8,$K$7,IF($C78&lt;$H$9,$K$8,IF($C78&lt;$H$10,$K$9,IF($C78&lt;$H$11,$K$10,IF($C78&lt;$H$12,$K$11,$K$12))))))</f>
        <v>6</v>
      </c>
      <c r="AM78" s="231"/>
      <c r="AN78" s="86"/>
      <c r="AO78" s="86"/>
      <c r="AP78" s="86"/>
      <c r="AQ78" s="86"/>
      <c r="AR78" s="86"/>
      <c r="AS78" s="86">
        <f t="shared" si="8"/>
        <v>4.3927999999999974E-2</v>
      </c>
      <c r="AT78" s="86">
        <f t="shared" si="9"/>
        <v>1.3939999999999992</v>
      </c>
      <c r="AU78" s="86">
        <f t="shared" si="3"/>
        <v>0.81026249999999989</v>
      </c>
      <c r="AV78" s="86">
        <f t="shared" si="4"/>
        <v>0.52274999999999971</v>
      </c>
      <c r="AW78" s="227">
        <f t="shared" si="5"/>
        <v>0.27879999999999988</v>
      </c>
      <c r="AX78" s="71">
        <f>AS78*$Y$4*パラメータ!$D$24</f>
        <v>14.496239999999991</v>
      </c>
      <c r="AY78" s="1">
        <f>AU78*$Y$5*E78*パラメータ!$D$30</f>
        <v>27.548924999999997</v>
      </c>
      <c r="AZ78" s="1">
        <f>SUMPRODUCT($AD$4:$AD$10,$AE$4:$AE$10)*E78*パラメータ!$D$28*10^-3</f>
        <v>12.75</v>
      </c>
      <c r="BA78" s="1">
        <f>(AV78+AW78)*$Y$6*$Y$4*パラメータ!$D$22*10^-3</f>
        <v>5.410462499999996</v>
      </c>
      <c r="BB78" s="1">
        <f>($Y$8*$Y$9*パラメータ!$D$22+0.5*$Y$8^2*SIN(RADIANS($Y$10))*パラメータ!$D$25)*E78*10^-3</f>
        <v>3.3081478802897957</v>
      </c>
      <c r="BC78" s="1">
        <f>AT78*($Y$12)</f>
        <v>13.939999999999992</v>
      </c>
      <c r="BD78" s="1">
        <f>$Y$11</f>
        <v>4</v>
      </c>
      <c r="BE78" s="1">
        <f>IF(G78="端リブ",AS78*$Y$13*パラメータ!$D$22*2,0)</f>
        <v>0</v>
      </c>
      <c r="BF78" s="1">
        <f>主桁!AV40*1000</f>
        <v>112.08652326822853</v>
      </c>
      <c r="BG78" s="1">
        <f t="shared" si="10"/>
        <v>81.45377538028977</v>
      </c>
      <c r="BH78" s="1">
        <f t="shared" si="11"/>
        <v>0.19354029864851829</v>
      </c>
      <c r="BI78" s="2" t="e">
        <f>(AO78-重量分布!$E$15)^2+(AP78-重量分布!$F$15)^2</f>
        <v>#REF!</v>
      </c>
      <c r="BJ78" s="2" t="e">
        <f>(AP78-重量分布!$F$15)^2</f>
        <v>#REF!</v>
      </c>
      <c r="BK78" s="237">
        <f>(AO78-重量分布!$E$15)^2</f>
        <v>0</v>
      </c>
    </row>
    <row r="79" spans="2:63">
      <c r="B79" s="29">
        <v>35</v>
      </c>
      <c r="C79" s="1">
        <f t="shared" si="13"/>
        <v>7.4000000000000048</v>
      </c>
      <c r="D79" s="1">
        <f>IF($C79&lt;$H$7,$G$20*$C79+$H$20,IF($C79&lt;$H$8,$G$21*$C79+$H$21,IF($C79&lt;$H$9,$G$22*$C79+$H$22,IF($C79&lt;$H$10,$G$23*$C79+$H$23,IF($C79&lt;$H$11,$G$24*$C79+$H$24,IF($C79&lt;$H$12,$G$25*$C79+$H$25,$G$26*$C79+$H$26))))))*10^3</f>
        <v>669.99999999999966</v>
      </c>
      <c r="E79" s="22">
        <v>0.2</v>
      </c>
      <c r="F79" s="22" t="str">
        <f t="shared" si="14"/>
        <v>3rd</v>
      </c>
      <c r="G79" s="75" t="str">
        <f>IF(OR(C79=$F$38,C79=$G$38,C79=$H$38),"端リブ",IF(C79&lt;$F$38,"0番",IF(C79&lt;$G$38,"1番",IF(C79&lt;$H$38,"2番",IF(C79&lt;$I$38,"3番","ウィングレット")))))</f>
        <v>2番</v>
      </c>
      <c r="H79" s="1">
        <f>IF($C79&lt;$H$7,$K$20*$C79+$L$20,IF($C79&lt;$H$8,$K$21*$C79+$L$21,IF($C79&lt;$H$9,$K$22*$C79+$L$22,IF($C79&lt;$H$10,$K$23*$C79+$L$24,IF($C79&lt;$H$11,$K$24*$C79+$L$23,IF($C79&lt;$H$12,$K$25*$C79+$L$25,$K$26*$C79+$L$26))))))</f>
        <v>0.35</v>
      </c>
      <c r="I79" s="9">
        <f>主桁!AD41*2</f>
        <v>80.027999999999977</v>
      </c>
      <c r="J79" s="1">
        <f>主桁!AE41*2</f>
        <v>79.999499999999969</v>
      </c>
      <c r="K79" s="227"/>
      <c r="L79" s="232"/>
      <c r="M79" s="86"/>
      <c r="N79" s="86"/>
      <c r="O79" s="231"/>
      <c r="P79" s="86"/>
      <c r="Q79" s="86"/>
      <c r="R79" s="86"/>
      <c r="S79" s="86"/>
      <c r="T79" s="86"/>
      <c r="U79" s="86"/>
      <c r="V79" s="86"/>
      <c r="W79" s="86"/>
      <c r="X79" s="86"/>
      <c r="Y79" s="86"/>
      <c r="Z79" s="86"/>
      <c r="AA79" s="86"/>
      <c r="AB79" s="86"/>
      <c r="AC79" s="71" t="str">
        <f>IF($C79&lt;$H$7,$M$6,IF($C79&lt;$H$8,$M$7,IF($C79&lt;$H$9,$M$8,IF($C79&lt;$H$10,$M$9,IF($C79&lt;$H$11,$M$10,IF($C79&lt;$H$12,$M$11,$M$12))))))</f>
        <v>QX0023</v>
      </c>
      <c r="AD79" s="1">
        <f t="shared" si="7"/>
        <v>100</v>
      </c>
      <c r="AE79" s="1" t="str">
        <f>IF($C79&lt;$H$7,$M$7,IF($C79&lt;$H$8,$M$8,IF($C79&lt;$H$9,$M$9,IF($C79&lt;$H$10,$M$10,IF($C79&lt;$H$11,$M$11,IF($C79&lt;$H$12,$M$12,$M$13))))))</f>
        <v>QX0023</v>
      </c>
      <c r="AF79" s="1">
        <f>IF(AC79=AE79,0,IF($C79&lt;$H$7,($C79-$H$6)/($H$7-$H$6),IF($C79&lt;$H$8,($C79-$H$7)/($H$8-$H$7),IF($C79&lt;$H$9,($C79-$H$8)/($H$9-$H$8),IF($C79&lt;$H$10,($C79-$H$9)/($H$10-$H$9),IF($C79&lt;$H$11,($C79-$H$10)/($H$11-$H$10),IF($C79&lt;$H$12,($C79-$H$11)/($H$12-$H$11),($C79-$H$12)/($H$13-$H$12))))))))*100</f>
        <v>0</v>
      </c>
      <c r="AG79" s="1">
        <f>D79*H79/1000</f>
        <v>0.23449999999999985</v>
      </c>
      <c r="AH79" s="1">
        <f>AG79-D79/1000</f>
        <v>-0.43549999999999989</v>
      </c>
      <c r="AI79" s="1">
        <f>AI78+E78*COS(RADIANS(AL78))</f>
        <v>6.5989043790736588</v>
      </c>
      <c r="AJ79" s="1">
        <f>AJ78+E78*SIN(RADIANS(AL78))</f>
        <v>2.0905692653530695E-2</v>
      </c>
      <c r="AK79" s="1">
        <f>IF($C79&lt;$H$7,$I$20*$C79+$J$20,IF($C79&lt;$H$8,$I$21*$C79+$J$21,IF($C79&lt;$H$9,$I$22*$C79+$J$22,IF($C79&lt;$H$10,$I$23*$C79+$J$23,IF($C79&lt;$H$11,$I$24*$C79+$J$24,IF($C79&lt;$H$12,$I$25*$C79+$J$25,$I$26*$C79+$J$26))))))</f>
        <v>2</v>
      </c>
      <c r="AL79" s="7">
        <f>IF($C79&lt;$H$7,$K$6,IF($C79&lt;$H$8,$K$7,IF($C79&lt;$H$9,$K$8,IF($C79&lt;$H$10,$K$9,IF($C79&lt;$H$11,$K$10,IF($C79&lt;$H$12,$K$11,$K$12))))))</f>
        <v>6</v>
      </c>
      <c r="AM79" s="231"/>
      <c r="AN79" s="86"/>
      <c r="AO79" s="86"/>
      <c r="AP79" s="86"/>
      <c r="AQ79" s="86"/>
      <c r="AR79" s="86"/>
      <c r="AS79" s="86">
        <f t="shared" si="8"/>
        <v>4.2645499999999968E-2</v>
      </c>
      <c r="AT79" s="86">
        <f t="shared" si="9"/>
        <v>1.3734999999999991</v>
      </c>
      <c r="AU79" s="86">
        <f t="shared" si="3"/>
        <v>0.81026249999999989</v>
      </c>
      <c r="AV79" s="86">
        <f t="shared" si="4"/>
        <v>0.51506249999999965</v>
      </c>
      <c r="AW79" s="227">
        <f t="shared" si="5"/>
        <v>0.27469999999999983</v>
      </c>
      <c r="AX79" s="71">
        <f>AS79*$Y$4*パラメータ!$D$24</f>
        <v>14.073014999999989</v>
      </c>
      <c r="AY79" s="1">
        <f>AU79*$Y$5*E79*パラメータ!$D$30</f>
        <v>27.548924999999997</v>
      </c>
      <c r="AZ79" s="1">
        <f>SUMPRODUCT($AD$4:$AD$10,$AE$4:$AE$10)*E79*パラメータ!$D$28*10^-3</f>
        <v>12.75</v>
      </c>
      <c r="BA79" s="1">
        <f>(AV79+AW79)*$Y$6*$Y$4*パラメータ!$D$22*10^-3</f>
        <v>5.330896874999997</v>
      </c>
      <c r="BB79" s="1">
        <f>($Y$8*$Y$9*パラメータ!$D$22+0.5*$Y$8^2*SIN(RADIANS($Y$10))*パラメータ!$D$25)*E79*10^-3</f>
        <v>3.3081478802897957</v>
      </c>
      <c r="BC79" s="1">
        <f>AT79*($Y$12)</f>
        <v>13.734999999999991</v>
      </c>
      <c r="BD79" s="1">
        <f>$Y$11</f>
        <v>4</v>
      </c>
      <c r="BE79" s="1">
        <f>IF(G79="端リブ",AS79*$Y$13*パラメータ!$D$22*2,0)</f>
        <v>0</v>
      </c>
      <c r="BF79" s="1">
        <f>主桁!AV41*1000</f>
        <v>109.85640214805552</v>
      </c>
      <c r="BG79" s="1">
        <f t="shared" si="10"/>
        <v>80.745984755289768</v>
      </c>
      <c r="BH79" s="1">
        <f t="shared" si="11"/>
        <v>0.1906023869033453</v>
      </c>
      <c r="BI79" s="2" t="e">
        <f>(AO79-重量分布!$E$15)^2+(AP79-重量分布!$F$15)^2</f>
        <v>#REF!</v>
      </c>
      <c r="BJ79" s="2" t="e">
        <f>(AP79-重量分布!$F$15)^2</f>
        <v>#REF!</v>
      </c>
      <c r="BK79" s="237">
        <f>(AO79-重量分布!$E$15)^2</f>
        <v>0</v>
      </c>
    </row>
    <row r="80" spans="2:63">
      <c r="B80" s="29">
        <v>36</v>
      </c>
      <c r="C80" s="1">
        <f t="shared" si="13"/>
        <v>7.600000000000005</v>
      </c>
      <c r="D80" s="1">
        <f>IF($C80&lt;$H$7,$G$20*$C80+$H$20,IF($C80&lt;$H$8,$G$21*$C80+$H$21,IF($C80&lt;$H$9,$G$22*$C80+$H$22,IF($C80&lt;$H$10,$G$23*$C80+$H$23,IF($C80&lt;$H$11,$G$24*$C80+$H$24,IF($C80&lt;$H$12,$G$25*$C80+$H$25,$G$26*$C80+$H$26))))))*10^3</f>
        <v>659.99999999999966</v>
      </c>
      <c r="E80" s="22">
        <v>0.2</v>
      </c>
      <c r="F80" s="22" t="str">
        <f t="shared" si="14"/>
        <v>3rd</v>
      </c>
      <c r="G80" s="75" t="str">
        <f>IF(OR(C80=$F$38,C80=$G$38,C80=$H$38),"端リブ",IF(C80&lt;$F$38,"0番",IF(C80&lt;$G$38,"1番",IF(C80&lt;$H$38,"2番",IF(C80&lt;$I$38,"3番","ウィングレット")))))</f>
        <v>2番</v>
      </c>
      <c r="H80" s="1">
        <f>IF($C80&lt;$H$7,$K$20*$C80+$L$20,IF($C80&lt;$H$8,$K$21*$C80+$L$21,IF($C80&lt;$H$9,$K$22*$C80+$L$22,IF($C80&lt;$H$10,$K$23*$C80+$L$24,IF($C80&lt;$H$11,$K$24*$C80+$L$23,IF($C80&lt;$H$12,$K$25*$C80+$L$25,$K$26*$C80+$L$26))))))</f>
        <v>0.35</v>
      </c>
      <c r="I80" s="9">
        <f>主桁!AD42*2</f>
        <v>78.427999999999969</v>
      </c>
      <c r="J80" s="1">
        <f>主桁!AE42*2</f>
        <v>78.37549999999996</v>
      </c>
      <c r="K80" s="227"/>
      <c r="L80" s="232"/>
      <c r="M80" s="86"/>
      <c r="N80" s="86"/>
      <c r="O80" s="231"/>
      <c r="P80" s="86"/>
      <c r="Q80" s="86"/>
      <c r="R80" s="86"/>
      <c r="S80" s="86"/>
      <c r="T80" s="86"/>
      <c r="U80" s="86"/>
      <c r="V80" s="86"/>
      <c r="W80" s="86"/>
      <c r="X80" s="86"/>
      <c r="Y80" s="86"/>
      <c r="Z80" s="86"/>
      <c r="AA80" s="86"/>
      <c r="AB80" s="86"/>
      <c r="AC80" s="71" t="str">
        <f>IF($C80&lt;$H$7,$M$6,IF($C80&lt;$H$8,$M$7,IF($C80&lt;$H$9,$M$8,IF($C80&lt;$H$10,$M$9,IF($C80&lt;$H$11,$M$10,IF($C80&lt;$H$12,$M$11,$M$12))))))</f>
        <v>QX0023</v>
      </c>
      <c r="AD80" s="1">
        <f t="shared" si="7"/>
        <v>100</v>
      </c>
      <c r="AE80" s="1" t="str">
        <f>IF($C80&lt;$H$7,$M$7,IF($C80&lt;$H$8,$M$8,IF($C80&lt;$H$9,$M$9,IF($C80&lt;$H$10,$M$10,IF($C80&lt;$H$11,$M$11,IF($C80&lt;$H$12,$M$12,$M$13))))))</f>
        <v>QX0023</v>
      </c>
      <c r="AF80" s="1">
        <f>IF(AC80=AE80,0,IF($C80&lt;$H$7,($C80-$H$6)/($H$7-$H$6),IF($C80&lt;$H$8,($C80-$H$7)/($H$8-$H$7),IF($C80&lt;$H$9,($C80-$H$8)/($H$9-$H$8),IF($C80&lt;$H$10,($C80-$H$9)/($H$10-$H$9),IF($C80&lt;$H$11,($C80-$H$10)/($H$11-$H$10),IF($C80&lt;$H$12,($C80-$H$11)/($H$12-$H$11),($C80-$H$12)/($H$13-$H$12))))))))*100</f>
        <v>0</v>
      </c>
      <c r="AG80" s="1">
        <f>D80*H80/1000</f>
        <v>0.23099999999999984</v>
      </c>
      <c r="AH80" s="1">
        <f>AG80-D80/1000</f>
        <v>-0.42899999999999983</v>
      </c>
      <c r="AI80" s="1">
        <f>AI79+E79*COS(RADIANS(AL79))</f>
        <v>6.7978087581473137</v>
      </c>
      <c r="AJ80" s="1">
        <f>AJ79+E79*SIN(RADIANS(AL79))</f>
        <v>4.181138530706139E-2</v>
      </c>
      <c r="AK80" s="1">
        <f>IF($C80&lt;$H$7,$I$20*$C80+$J$20,IF($C80&lt;$H$8,$I$21*$C80+$J$21,IF($C80&lt;$H$9,$I$22*$C80+$J$22,IF($C80&lt;$H$10,$I$23*$C80+$J$23,IF($C80&lt;$H$11,$I$24*$C80+$J$24,IF($C80&lt;$H$12,$I$25*$C80+$J$25,$I$26*$C80+$J$26))))))</f>
        <v>2</v>
      </c>
      <c r="AL80" s="7">
        <f>IF($C80&lt;$H$7,$K$6,IF($C80&lt;$H$8,$K$7,IF($C80&lt;$H$9,$K$8,IF($C80&lt;$H$10,$K$9,IF($C80&lt;$H$11,$K$10,IF($C80&lt;$H$12,$K$11,$K$12))))))</f>
        <v>6</v>
      </c>
      <c r="AM80" s="231"/>
      <c r="AN80" s="86"/>
      <c r="AO80" s="86"/>
      <c r="AP80" s="86"/>
      <c r="AQ80" s="86"/>
      <c r="AR80" s="86"/>
      <c r="AS80" s="86">
        <f t="shared" si="8"/>
        <v>4.138199999999996E-2</v>
      </c>
      <c r="AT80" s="86">
        <f t="shared" si="9"/>
        <v>1.3529999999999991</v>
      </c>
      <c r="AU80" s="86">
        <f t="shared" si="3"/>
        <v>0.81026249999999989</v>
      </c>
      <c r="AV80" s="86">
        <f t="shared" si="4"/>
        <v>0.50737499999999969</v>
      </c>
      <c r="AW80" s="227">
        <f t="shared" si="5"/>
        <v>0.27059999999999984</v>
      </c>
      <c r="AX80" s="71">
        <f>AS80*$Y$4*パラメータ!$D$24</f>
        <v>13.656059999999988</v>
      </c>
      <c r="AY80" s="1">
        <f>AU80*$Y$5*E80*パラメータ!$D$30</f>
        <v>27.548924999999997</v>
      </c>
      <c r="AZ80" s="1">
        <f>SUMPRODUCT($AD$4:$AD$10,$AE$4:$AE$10)*E80*パラメータ!$D$28*10^-3</f>
        <v>12.75</v>
      </c>
      <c r="BA80" s="1">
        <f>(AV80+AW80)*$Y$6*$Y$4*パラメータ!$D$22*10^-3</f>
        <v>5.2513312499999962</v>
      </c>
      <c r="BB80" s="1">
        <f>($Y$8*$Y$9*パラメータ!$D$22+0.5*$Y$8^2*SIN(RADIANS($Y$10))*パラメータ!$D$25)*E80*10^-3</f>
        <v>3.3081478802897957</v>
      </c>
      <c r="BC80" s="1">
        <f>AT80*($Y$12)</f>
        <v>13.52999999999999</v>
      </c>
      <c r="BD80" s="1">
        <f>$Y$11</f>
        <v>4</v>
      </c>
      <c r="BE80" s="1">
        <f>IF(G80="端リブ",AS80*$Y$13*パラメータ!$D$22*2,0)</f>
        <v>0</v>
      </c>
      <c r="BF80" s="1">
        <f>主桁!AV42*1000</f>
        <v>107.62627917297249</v>
      </c>
      <c r="BG80" s="1">
        <f t="shared" si="10"/>
        <v>80.044464130289768</v>
      </c>
      <c r="BH80" s="1">
        <f t="shared" si="11"/>
        <v>0.18767074330326228</v>
      </c>
      <c r="BI80" s="2" t="e">
        <f>(AO80-重量分布!$E$15)^2+(AP80-重量分布!$F$15)^2</f>
        <v>#REF!</v>
      </c>
      <c r="BJ80" s="2" t="e">
        <f>(AP80-重量分布!$F$15)^2</f>
        <v>#REF!</v>
      </c>
      <c r="BK80" s="237">
        <f>(AO80-重量分布!$E$15)^2</f>
        <v>0</v>
      </c>
    </row>
    <row r="81" spans="2:63">
      <c r="B81" s="29">
        <v>37</v>
      </c>
      <c r="C81" s="1">
        <f t="shared" si="13"/>
        <v>7.8000000000000052</v>
      </c>
      <c r="D81" s="1">
        <f>IF($C81&lt;$H$7,$G$20*$C81+$H$20,IF($C81&lt;$H$8,$G$21*$C81+$H$21,IF($C81&lt;$H$9,$G$22*$C81+$H$22,IF($C81&lt;$H$10,$G$23*$C81+$H$23,IF($C81&lt;$H$11,$G$24*$C81+$H$24,IF($C81&lt;$H$12,$G$25*$C81+$H$25,$G$26*$C81+$H$26))))))*10^3</f>
        <v>649.99999999999966</v>
      </c>
      <c r="E81" s="22">
        <v>0.2</v>
      </c>
      <c r="F81" s="22" t="str">
        <f t="shared" si="14"/>
        <v>3rd</v>
      </c>
      <c r="G81" s="75" t="str">
        <f>IF(OR(C81=$F$38,C81=$G$38,C81=$H$38),"端リブ",IF(C81&lt;$F$38,"0番",IF(C81&lt;$G$38,"1番",IF(C81&lt;$H$38,"2番",IF(C81&lt;$I$38,"3番","ウィングレット")))))</f>
        <v>2番</v>
      </c>
      <c r="H81" s="1">
        <f>IF($C81&lt;$H$7,$K$20*$C81+$L$20,IF($C81&lt;$H$8,$K$21*$C81+$L$21,IF($C81&lt;$H$9,$K$22*$C81+$L$22,IF($C81&lt;$H$10,$K$23*$C81+$L$24,IF($C81&lt;$H$11,$K$24*$C81+$L$23,IF($C81&lt;$H$12,$K$25*$C81+$L$25,$K$26*$C81+$L$26))))))</f>
        <v>0.35</v>
      </c>
      <c r="I81" s="9">
        <f>主桁!AD43*2</f>
        <v>76.82799999999996</v>
      </c>
      <c r="J81" s="1">
        <f>主桁!AE43*2</f>
        <v>76.75149999999995</v>
      </c>
      <c r="K81" s="227"/>
      <c r="L81" s="232"/>
      <c r="M81" s="86"/>
      <c r="N81" s="86"/>
      <c r="O81" s="231"/>
      <c r="P81" s="86"/>
      <c r="Q81" s="86"/>
      <c r="R81" s="86"/>
      <c r="S81" s="86"/>
      <c r="T81" s="86"/>
      <c r="U81" s="86"/>
      <c r="V81" s="86"/>
      <c r="W81" s="86"/>
      <c r="X81" s="86"/>
      <c r="Y81" s="86"/>
      <c r="Z81" s="86"/>
      <c r="AA81" s="86"/>
      <c r="AB81" s="86"/>
      <c r="AC81" s="71" t="str">
        <f>IF($C81&lt;$H$7,$M$6,IF($C81&lt;$H$8,$M$7,IF($C81&lt;$H$9,$M$8,IF($C81&lt;$H$10,$M$9,IF($C81&lt;$H$11,$M$10,IF($C81&lt;$H$12,$M$11,$M$12))))))</f>
        <v>QX0023</v>
      </c>
      <c r="AD81" s="1">
        <f t="shared" si="7"/>
        <v>100</v>
      </c>
      <c r="AE81" s="1" t="str">
        <f>IF($C81&lt;$H$7,$M$7,IF($C81&lt;$H$8,$M$8,IF($C81&lt;$H$9,$M$9,IF($C81&lt;$H$10,$M$10,IF($C81&lt;$H$11,$M$11,IF($C81&lt;$H$12,$M$12,$M$13))))))</f>
        <v>QX0023</v>
      </c>
      <c r="AF81" s="1">
        <f>IF(AC81=AE81,0,IF($C81&lt;$H$7,($C81-$H$6)/($H$7-$H$6),IF($C81&lt;$H$8,($C81-$H$7)/($H$8-$H$7),IF($C81&lt;$H$9,($C81-$H$8)/($H$9-$H$8),IF($C81&lt;$H$10,($C81-$H$9)/($H$10-$H$9),IF($C81&lt;$H$11,($C81-$H$10)/($H$11-$H$10),IF($C81&lt;$H$12,($C81-$H$11)/($H$12-$H$11),($C81-$H$12)/($H$13-$H$12))))))))*100</f>
        <v>0</v>
      </c>
      <c r="AG81" s="1">
        <f>D81*H81/1000</f>
        <v>0.22749999999999987</v>
      </c>
      <c r="AH81" s="1">
        <f>AG81-D81/1000</f>
        <v>-0.42249999999999982</v>
      </c>
      <c r="AI81" s="1">
        <f>AI80+E80*COS(RADIANS(AL80))</f>
        <v>6.9967131372209685</v>
      </c>
      <c r="AJ81" s="1">
        <f>AJ80+E80*SIN(RADIANS(AL80))</f>
        <v>6.2717077960592088E-2</v>
      </c>
      <c r="AK81" s="1">
        <f>IF($C81&lt;$H$7,$I$20*$C81+$J$20,IF($C81&lt;$H$8,$I$21*$C81+$J$21,IF($C81&lt;$H$9,$I$22*$C81+$J$22,IF($C81&lt;$H$10,$I$23*$C81+$J$23,IF($C81&lt;$H$11,$I$24*$C81+$J$24,IF($C81&lt;$H$12,$I$25*$C81+$J$25,$I$26*$C81+$J$26))))))</f>
        <v>2</v>
      </c>
      <c r="AL81" s="7">
        <f>IF($C81&lt;$H$7,$K$6,IF($C81&lt;$H$8,$K$7,IF($C81&lt;$H$9,$K$8,IF($C81&lt;$H$10,$K$9,IF($C81&lt;$H$11,$K$10,IF($C81&lt;$H$12,$K$11,$K$12))))))</f>
        <v>6</v>
      </c>
      <c r="AM81" s="231"/>
      <c r="AN81" s="86"/>
      <c r="AO81" s="86"/>
      <c r="AP81" s="86"/>
      <c r="AQ81" s="86"/>
      <c r="AR81" s="86"/>
      <c r="AS81" s="86">
        <f t="shared" si="8"/>
        <v>4.0137499999999965E-2</v>
      </c>
      <c r="AT81" s="86">
        <f t="shared" si="9"/>
        <v>1.3324999999999991</v>
      </c>
      <c r="AU81" s="86">
        <f t="shared" si="3"/>
        <v>0.81026249999999989</v>
      </c>
      <c r="AV81" s="86">
        <f t="shared" si="4"/>
        <v>0.49968749999999967</v>
      </c>
      <c r="AW81" s="227">
        <f t="shared" si="5"/>
        <v>0.26649999999999985</v>
      </c>
      <c r="AX81" s="71">
        <f>AS81*$Y$4*パラメータ!$D$24</f>
        <v>13.245374999999989</v>
      </c>
      <c r="AY81" s="1">
        <f>AU81*$Y$5*E81*パラメータ!$D$30</f>
        <v>27.548924999999997</v>
      </c>
      <c r="AZ81" s="1">
        <f>SUMPRODUCT($AD$4:$AD$10,$AE$4:$AE$10)*E81*パラメータ!$D$28*10^-3</f>
        <v>12.75</v>
      </c>
      <c r="BA81" s="1">
        <f>(AV81+AW81)*$Y$6*$Y$4*パラメータ!$D$22*10^-3</f>
        <v>5.1717656249999964</v>
      </c>
      <c r="BB81" s="1">
        <f>($Y$8*$Y$9*パラメータ!$D$22+0.5*$Y$8^2*SIN(RADIANS($Y$10))*パラメータ!$D$25)*E81*10^-3</f>
        <v>3.3081478802897957</v>
      </c>
      <c r="BC81" s="1">
        <f>AT81*($Y$12)</f>
        <v>13.324999999999992</v>
      </c>
      <c r="BD81" s="1">
        <f>$Y$11</f>
        <v>4</v>
      </c>
      <c r="BE81" s="1">
        <f>IF(G81="端リブ",AS81*$Y$13*パラメータ!$D$22*2,0)</f>
        <v>0</v>
      </c>
      <c r="BF81" s="1">
        <f>主桁!AV43*1000</f>
        <v>105.39615422596466</v>
      </c>
      <c r="BG81" s="1">
        <f t="shared" si="10"/>
        <v>79.349213505289768</v>
      </c>
      <c r="BH81" s="1">
        <f t="shared" si="11"/>
        <v>0.18474536773125441</v>
      </c>
      <c r="BI81" s="2" t="e">
        <f>(AO81-重量分布!$E$15)^2+(AP81-重量分布!$F$15)^2</f>
        <v>#REF!</v>
      </c>
      <c r="BJ81" s="2" t="e">
        <f>(AP81-重量分布!$F$15)^2</f>
        <v>#REF!</v>
      </c>
      <c r="BK81" s="237">
        <f>(AO81-重量分布!$E$15)^2</f>
        <v>0</v>
      </c>
    </row>
    <row r="82" spans="2:63">
      <c r="B82" s="29">
        <v>38</v>
      </c>
      <c r="C82" s="1">
        <f t="shared" si="13"/>
        <v>8.0000000000000053</v>
      </c>
      <c r="D82" s="1">
        <f>IF($C82&lt;$H$7,$G$20*$C82+$H$20,IF($C82&lt;$H$8,$G$21*$C82+$H$21,IF($C82&lt;$H$9,$G$22*$C82+$H$22,IF($C82&lt;$H$10,$G$23*$C82+$H$23,IF($C82&lt;$H$11,$G$24*$C82+$H$24,IF($C82&lt;$H$12,$G$25*$C82+$H$25,$G$26*$C82+$H$26))))))*10^3</f>
        <v>639.99999999999966</v>
      </c>
      <c r="E82" s="22">
        <v>0.2</v>
      </c>
      <c r="F82" s="22" t="str">
        <f t="shared" si="14"/>
        <v>3rd</v>
      </c>
      <c r="G82" s="75" t="str">
        <f>IF(OR(C82=$F$38,C82=$G$38,C82=$H$38),"端リブ",IF(C82&lt;$F$38,"0番",IF(C82&lt;$G$38,"1番",IF(C82&lt;$H$38,"2番",IF(C82&lt;$I$38,"3番","ウィングレット")))))</f>
        <v>2番</v>
      </c>
      <c r="H82" s="1">
        <f>IF($C82&lt;$H$7,$K$20*$C82+$L$20,IF($C82&lt;$H$8,$K$21*$C82+$L$21,IF($C82&lt;$H$9,$K$22*$C82+$L$22,IF($C82&lt;$H$10,$K$23*$C82+$L$24,IF($C82&lt;$H$11,$K$24*$C82+$L$23,IF($C82&lt;$H$12,$K$25*$C82+$L$25,$K$26*$C82+$L$26))))))</f>
        <v>0.35</v>
      </c>
      <c r="I82" s="9">
        <f>主桁!AD44*2</f>
        <v>75.227999999999966</v>
      </c>
      <c r="J82" s="1">
        <f>主桁!AE44*2</f>
        <v>75.127499999999955</v>
      </c>
      <c r="K82" s="227"/>
      <c r="L82" s="232"/>
      <c r="M82" s="86"/>
      <c r="N82" s="86"/>
      <c r="O82" s="231"/>
      <c r="P82" s="86"/>
      <c r="Q82" s="86"/>
      <c r="R82" s="86"/>
      <c r="S82" s="86"/>
      <c r="T82" s="86"/>
      <c r="U82" s="86"/>
      <c r="V82" s="86"/>
      <c r="W82" s="86"/>
      <c r="X82" s="86"/>
      <c r="Y82" s="86"/>
      <c r="Z82" s="86"/>
      <c r="AA82" s="86"/>
      <c r="AB82" s="86"/>
      <c r="AC82" s="71" t="str">
        <f>IF($C82&lt;$H$7,$M$6,IF($C82&lt;$H$8,$M$7,IF($C82&lt;$H$9,$M$8,IF($C82&lt;$H$10,$M$9,IF($C82&lt;$H$11,$M$10,IF($C82&lt;$H$12,$M$11,$M$12))))))</f>
        <v>QX0023</v>
      </c>
      <c r="AD82" s="1">
        <f t="shared" si="7"/>
        <v>100</v>
      </c>
      <c r="AE82" s="1" t="str">
        <f>IF($C82&lt;$H$7,$M$7,IF($C82&lt;$H$8,$M$8,IF($C82&lt;$H$9,$M$9,IF($C82&lt;$H$10,$M$10,IF($C82&lt;$H$11,$M$11,IF($C82&lt;$H$12,$M$12,$M$13))))))</f>
        <v>QX0023</v>
      </c>
      <c r="AF82" s="1">
        <f>IF(AC82=AE82,0,IF($C82&lt;$H$7,($C82-$H$6)/($H$7-$H$6),IF($C82&lt;$H$8,($C82-$H$7)/($H$8-$H$7),IF($C82&lt;$H$9,($C82-$H$8)/($H$9-$H$8),IF($C82&lt;$H$10,($C82-$H$9)/($H$10-$H$9),IF($C82&lt;$H$11,($C82-$H$10)/($H$11-$H$10),IF($C82&lt;$H$12,($C82-$H$11)/($H$12-$H$11),($C82-$H$12)/($H$13-$H$12))))))))*100</f>
        <v>0</v>
      </c>
      <c r="AG82" s="1">
        <f>D82*H82/1000</f>
        <v>0.22399999999999987</v>
      </c>
      <c r="AH82" s="1">
        <f>AG82-D82/1000</f>
        <v>-0.41599999999999981</v>
      </c>
      <c r="AI82" s="1">
        <f>AI81+E81*COS(RADIANS(AL81))</f>
        <v>7.1956175162946234</v>
      </c>
      <c r="AJ82" s="1">
        <f>AJ81+E81*SIN(RADIANS(AL81))</f>
        <v>8.3622770614122779E-2</v>
      </c>
      <c r="AK82" s="1">
        <f>IF($C82&lt;$H$7,$I$20*$C82+$J$20,IF($C82&lt;$H$8,$I$21*$C82+$J$21,IF($C82&lt;$H$9,$I$22*$C82+$J$22,IF($C82&lt;$H$10,$I$23*$C82+$J$23,IF($C82&lt;$H$11,$I$24*$C82+$J$24,IF($C82&lt;$H$12,$I$25*$C82+$J$25,$I$26*$C82+$J$26))))))</f>
        <v>2</v>
      </c>
      <c r="AL82" s="7">
        <f>IF($C82&lt;$H$7,$K$6,IF($C82&lt;$H$8,$K$7,IF($C82&lt;$H$9,$K$8,IF($C82&lt;$H$10,$K$9,IF($C82&lt;$H$11,$K$10,IF($C82&lt;$H$12,$K$11,$K$12))))))</f>
        <v>6</v>
      </c>
      <c r="AM82" s="231"/>
      <c r="AN82" s="86"/>
      <c r="AO82" s="86"/>
      <c r="AP82" s="86"/>
      <c r="AQ82" s="86"/>
      <c r="AR82" s="86"/>
      <c r="AS82" s="86">
        <f t="shared" si="8"/>
        <v>3.8911999999999961E-2</v>
      </c>
      <c r="AT82" s="86">
        <f t="shared" si="9"/>
        <v>1.3119999999999992</v>
      </c>
      <c r="AU82" s="86">
        <f t="shared" si="3"/>
        <v>0.81026249999999989</v>
      </c>
      <c r="AV82" s="86">
        <f t="shared" si="4"/>
        <v>0.49199999999999966</v>
      </c>
      <c r="AW82" s="227">
        <f t="shared" si="5"/>
        <v>0.26239999999999986</v>
      </c>
      <c r="AX82" s="71">
        <f>AS82*$Y$4*パラメータ!$D$24</f>
        <v>12.840959999999987</v>
      </c>
      <c r="AY82" s="1">
        <f>AU82*$Y$5*E82*パラメータ!$D$30</f>
        <v>27.548924999999997</v>
      </c>
      <c r="AZ82" s="1">
        <f>SUMPRODUCT($AD$4:$AD$10,$AE$4:$AE$10)*E82*パラメータ!$D$28*10^-3</f>
        <v>12.75</v>
      </c>
      <c r="BA82" s="1">
        <f>(AV82+AW82)*$Y$6*$Y$4*パラメータ!$D$22*10^-3</f>
        <v>5.0921999999999974</v>
      </c>
      <c r="BB82" s="1">
        <f>($Y$8*$Y$9*パラメータ!$D$22+0.5*$Y$8^2*SIN(RADIANS($Y$10))*パラメータ!$D$25)*E82*10^-3</f>
        <v>3.3081478802897957</v>
      </c>
      <c r="BC82" s="1">
        <f>AT82*($Y$12)</f>
        <v>13.119999999999992</v>
      </c>
      <c r="BD82" s="1">
        <f>$Y$11</f>
        <v>4</v>
      </c>
      <c r="BE82" s="1">
        <f>IF(G82="端リブ",AS82*$Y$13*パラメータ!$D$22*2,0)</f>
        <v>0</v>
      </c>
      <c r="BF82" s="1">
        <f>主桁!AV44*1000</f>
        <v>103.16602717996206</v>
      </c>
      <c r="BG82" s="1">
        <f t="shared" si="10"/>
        <v>78.660232880289769</v>
      </c>
      <c r="BH82" s="1">
        <f t="shared" si="11"/>
        <v>0.18182626006025182</v>
      </c>
      <c r="BI82" s="2" t="e">
        <f>(AO82-重量分布!$E$15)^2+(AP82-重量分布!$F$15)^2</f>
        <v>#REF!</v>
      </c>
      <c r="BJ82" s="2" t="e">
        <f>(AP82-重量分布!$F$15)^2</f>
        <v>#REF!</v>
      </c>
      <c r="BK82" s="237">
        <f>(AO82-重量分布!$E$15)^2</f>
        <v>0</v>
      </c>
    </row>
    <row r="83" spans="2:63">
      <c r="B83" s="29">
        <v>39</v>
      </c>
      <c r="C83" s="1">
        <f t="shared" si="13"/>
        <v>8.2000000000000046</v>
      </c>
      <c r="D83" s="1">
        <f>IF($C83&lt;$H$7,$G$20*$C83+$H$20,IF($C83&lt;$H$8,$G$21*$C83+$H$21,IF($C83&lt;$H$9,$G$22*$C83+$H$22,IF($C83&lt;$H$10,$G$23*$C83+$H$23,IF($C83&lt;$H$11,$G$24*$C83+$H$24,IF($C83&lt;$H$12,$G$25*$C83+$H$25,$G$26*$C83+$H$26))))))*10^3</f>
        <v>629.99999999999966</v>
      </c>
      <c r="E83" s="22">
        <v>0.2</v>
      </c>
      <c r="F83" s="22" t="s">
        <v>967</v>
      </c>
      <c r="G83" s="75" t="str">
        <f>IF(OR(C83=$F$38,C83=$G$38,C83=$H$38),"端リブ",IF(C83&lt;$F$38,"0番",IF(C83&lt;$G$38,"1番",IF(C83&lt;$H$38,"2番",IF(C83&lt;$I$38,"3番","ウィングレット")))))</f>
        <v>2番</v>
      </c>
      <c r="H83" s="1">
        <f>IF($C83&lt;$H$7,$K$20*$C83+$L$20,IF($C83&lt;$H$8,$K$21*$C83+$L$21,IF($C83&lt;$H$9,$K$22*$C83+$L$22,IF($C83&lt;$H$10,$K$23*$C83+$L$24,IF($C83&lt;$H$11,$K$24*$C83+$L$23,IF($C83&lt;$H$12,$K$25*$C83+$L$25,$K$26*$C83+$L$26))))))</f>
        <v>0.35</v>
      </c>
      <c r="I83" s="9">
        <f>主桁!AD45*2</f>
        <v>73.627999999999972</v>
      </c>
      <c r="J83" s="1">
        <f>主桁!AE45*2</f>
        <v>73.50349999999996</v>
      </c>
      <c r="K83" s="227"/>
      <c r="L83" s="232"/>
      <c r="M83" s="86"/>
      <c r="N83" s="86"/>
      <c r="O83" s="231"/>
      <c r="P83" s="86"/>
      <c r="Q83" s="86"/>
      <c r="R83" s="86"/>
      <c r="S83" s="86"/>
      <c r="T83" s="86"/>
      <c r="U83" s="86"/>
      <c r="V83" s="86"/>
      <c r="W83" s="86"/>
      <c r="X83" s="86"/>
      <c r="Y83" s="86"/>
      <c r="Z83" s="86"/>
      <c r="AA83" s="86"/>
      <c r="AB83" s="86"/>
      <c r="AC83" s="71" t="str">
        <f>IF($C83&lt;$H$7,$M$6,IF($C83&lt;$H$8,$M$7,IF($C83&lt;$H$9,$M$8,IF($C83&lt;$H$10,$M$9,IF($C83&lt;$H$11,$M$10,IF($C83&lt;$H$12,$M$11,$M$12))))))</f>
        <v>QX0023</v>
      </c>
      <c r="AD83" s="1">
        <f t="shared" si="7"/>
        <v>100</v>
      </c>
      <c r="AE83" s="1" t="str">
        <f>IF($C83&lt;$H$7,$M$7,IF($C83&lt;$H$8,$M$8,IF($C83&lt;$H$9,$M$9,IF($C83&lt;$H$10,$M$10,IF($C83&lt;$H$11,$M$11,IF($C83&lt;$H$12,$M$12,$M$13))))))</f>
        <v>QX0023</v>
      </c>
      <c r="AF83" s="1">
        <f>IF(AC83=AE83,0,IF($C83&lt;$H$7,($C83-$H$6)/($H$7-$H$6),IF($C83&lt;$H$8,($C83-$H$7)/($H$8-$H$7),IF($C83&lt;$H$9,($C83-$H$8)/($H$9-$H$8),IF($C83&lt;$H$10,($C83-$H$9)/($H$10-$H$9),IF($C83&lt;$H$11,($C83-$H$10)/($H$11-$H$10),IF($C83&lt;$H$12,($C83-$H$11)/($H$12-$H$11),($C83-$H$12)/($H$13-$H$12))))))))*100</f>
        <v>0</v>
      </c>
      <c r="AG83" s="1">
        <f>D83*H83/1000</f>
        <v>0.22049999999999986</v>
      </c>
      <c r="AH83" s="1">
        <f>AG83-D83/1000</f>
        <v>-0.40949999999999981</v>
      </c>
      <c r="AI83" s="1">
        <f>AI82+E82*COS(RADIANS(AL82))</f>
        <v>7.3945218953682783</v>
      </c>
      <c r="AJ83" s="1">
        <f>AJ82+E82*SIN(RADIANS(AL82))</f>
        <v>0.10452846326765347</v>
      </c>
      <c r="AK83" s="1">
        <f>IF($C83&lt;$H$7,$I$20*$C83+$J$20,IF($C83&lt;$H$8,$I$21*$C83+$J$21,IF($C83&lt;$H$9,$I$22*$C83+$J$22,IF($C83&lt;$H$10,$I$23*$C83+$J$23,IF($C83&lt;$H$11,$I$24*$C83+$J$24,IF($C83&lt;$H$12,$I$25*$C83+$J$25,$I$26*$C83+$J$26))))))</f>
        <v>2</v>
      </c>
      <c r="AL83" s="7">
        <f>IF($C83&lt;$H$7,$K$6,IF($C83&lt;$H$8,$K$7,IF($C83&lt;$H$9,$K$8,IF($C83&lt;$H$10,$K$9,IF($C83&lt;$H$11,$K$10,IF($C83&lt;$H$12,$K$11,$K$12))))))</f>
        <v>6</v>
      </c>
      <c r="AM83" s="231"/>
      <c r="AN83" s="86"/>
      <c r="AO83" s="86"/>
      <c r="AP83" s="86"/>
      <c r="AQ83" s="86"/>
      <c r="AR83" s="86"/>
      <c r="AS83" s="86">
        <f t="shared" si="8"/>
        <v>3.7705499999999961E-2</v>
      </c>
      <c r="AT83" s="86">
        <f t="shared" si="9"/>
        <v>1.291499999999999</v>
      </c>
      <c r="AU83" s="86">
        <f t="shared" si="3"/>
        <v>0.81026249999999989</v>
      </c>
      <c r="AV83" s="86">
        <f t="shared" si="4"/>
        <v>0.48431249999999959</v>
      </c>
      <c r="AW83" s="227">
        <f t="shared" si="5"/>
        <v>0.25829999999999981</v>
      </c>
      <c r="AX83" s="71">
        <f>AS83*$Y$4*パラメータ!$D$24</f>
        <v>12.442814999999987</v>
      </c>
      <c r="AY83" s="1">
        <f>AU83*$Y$5*E83*パラメータ!$D$30</f>
        <v>27.548924999999997</v>
      </c>
      <c r="AZ83" s="1">
        <f>SUMPRODUCT($AD$4:$AD$10,$AE$4:$AE$10)*E83*パラメータ!$D$28*10^-3</f>
        <v>12.75</v>
      </c>
      <c r="BA83" s="1">
        <f>(AV83+AW83)*$Y$6*$Y$4*パラメータ!$D$22*10^-3</f>
        <v>5.0126343749999966</v>
      </c>
      <c r="BB83" s="1">
        <f>($Y$8*$Y$9*パラメータ!$D$22+0.5*$Y$8^2*SIN(RADIANS($Y$10))*パラメータ!$D$25)*E83*10^-3</f>
        <v>3.3081478802897957</v>
      </c>
      <c r="BC83" s="1">
        <f>AT83*($Y$12)</f>
        <v>12.91499999999999</v>
      </c>
      <c r="BD83" s="1">
        <f>$Y$11</f>
        <v>4</v>
      </c>
      <c r="BE83" s="1">
        <f>IF(G83="端リブ",AS83*$Y$13*パラメータ!$D$22*2,0)</f>
        <v>0</v>
      </c>
      <c r="BF83" s="1">
        <f>主桁!AV45*1000</f>
        <v>100.93589789673472</v>
      </c>
      <c r="BG83" s="1">
        <f t="shared" si="10"/>
        <v>77.97752225528977</v>
      </c>
      <c r="BH83" s="1">
        <f t="shared" si="11"/>
        <v>0.17891342015202449</v>
      </c>
      <c r="BI83" s="2" t="e">
        <f>(AO83-重量分布!$E$15)^2+(AP83-重量分布!$F$15)^2</f>
        <v>#REF!</v>
      </c>
      <c r="BJ83" s="2" t="e">
        <f>(AP83-重量分布!$F$15)^2</f>
        <v>#REF!</v>
      </c>
      <c r="BK83" s="237">
        <f>(AO83-重量分布!$E$15)^2</f>
        <v>0</v>
      </c>
    </row>
    <row r="84" spans="2:63">
      <c r="B84" s="29">
        <v>40</v>
      </c>
      <c r="C84" s="1">
        <f t="shared" si="13"/>
        <v>8.4000000000000039</v>
      </c>
      <c r="D84" s="1">
        <f>IF($C84&lt;$H$7,$G$20*$C84+$H$20,IF($C84&lt;$H$8,$G$21*$C84+$H$21,IF($C84&lt;$H$9,$G$22*$C84+$H$22,IF($C84&lt;$H$10,$G$23*$C84+$H$23,IF($C84&lt;$H$11,$G$24*$C84+$H$24,IF($C84&lt;$H$12,$G$25*$C84+$H$25,$G$26*$C84+$H$26))))))*10^3</f>
        <v>619.99999999999966</v>
      </c>
      <c r="E84" s="22">
        <v>0.2</v>
      </c>
      <c r="F84" s="22" t="str">
        <f t="shared" si="14"/>
        <v>3rd</v>
      </c>
      <c r="G84" s="75" t="str">
        <f>IF(OR(C84=$F$38,C84=$G$38,C84=$H$38),"端リブ",IF(C84&lt;$F$38,"0番",IF(C84&lt;$G$38,"1番",IF(C84&lt;$H$38,"2番",IF(C84&lt;$I$38,"3番","ウィングレット")))))</f>
        <v>端リブ</v>
      </c>
      <c r="H84" s="1">
        <f>IF($C84&lt;$H$7,$K$20*$C84+$L$20,IF($C84&lt;$H$8,$K$21*$C84+$L$21,IF($C84&lt;$H$9,$K$22*$C84+$L$22,IF($C84&lt;$H$10,$K$23*$C84+$L$24,IF($C84&lt;$H$11,$K$24*$C84+$L$23,IF($C84&lt;$H$12,$K$25*$C84+$L$25,$K$26*$C84+$L$26))))))</f>
        <v>0.35</v>
      </c>
      <c r="I84" s="9">
        <f>主桁!AD46*2</f>
        <v>76.751999999999981</v>
      </c>
      <c r="J84" s="1">
        <f>主桁!AE46*2</f>
        <v>76.751999999999981</v>
      </c>
      <c r="K84" s="227"/>
      <c r="L84" s="232"/>
      <c r="M84" s="86"/>
      <c r="N84" s="86"/>
      <c r="O84" s="231"/>
      <c r="P84" s="86"/>
      <c r="Q84" s="86"/>
      <c r="R84" s="86"/>
      <c r="S84" s="86"/>
      <c r="T84" s="86"/>
      <c r="U84" s="86"/>
      <c r="V84" s="86"/>
      <c r="W84" s="86"/>
      <c r="X84" s="86"/>
      <c r="Y84" s="86"/>
      <c r="Z84" s="86"/>
      <c r="AA84" s="86"/>
      <c r="AB84" s="86"/>
      <c r="AC84" s="71" t="str">
        <f>IF($C84&lt;$H$7,$M$6,IF($C84&lt;$H$8,$M$7,IF($C84&lt;$H$9,$M$8,IF($C84&lt;$H$10,$M$9,IF($C84&lt;$H$11,$M$10,IF($C84&lt;$H$12,$M$11,$M$12))))))</f>
        <v>QX0023</v>
      </c>
      <c r="AD84" s="1">
        <f t="shared" si="7"/>
        <v>100</v>
      </c>
      <c r="AE84" s="1" t="str">
        <f>IF($C84&lt;$H$7,$M$7,IF($C84&lt;$H$8,$M$8,IF($C84&lt;$H$9,$M$9,IF($C84&lt;$H$10,$M$10,IF($C84&lt;$H$11,$M$11,IF($C84&lt;$H$12,$M$12,$M$13))))))</f>
        <v>QX0023</v>
      </c>
      <c r="AF84" s="1">
        <f>IF(AC84=AE84,0,IF($C84&lt;$H$7,($C84-$H$6)/($H$7-$H$6),IF($C84&lt;$H$8,($C84-$H$7)/($H$8-$H$7),IF($C84&lt;$H$9,($C84-$H$8)/($H$9-$H$8),IF($C84&lt;$H$10,($C84-$H$9)/($H$10-$H$9),IF($C84&lt;$H$11,($C84-$H$10)/($H$11-$H$10),IF($C84&lt;$H$12,($C84-$H$11)/($H$12-$H$11),($C84-$H$12)/($H$13-$H$12))))))))*100</f>
        <v>0</v>
      </c>
      <c r="AG84" s="1">
        <f>D84*H84/1000</f>
        <v>0.21699999999999986</v>
      </c>
      <c r="AH84" s="1">
        <f>AG84-D84/1000</f>
        <v>-0.4029999999999998</v>
      </c>
      <c r="AI84" s="1">
        <f>AI83+E83*COS(RADIANS(AL83))</f>
        <v>7.5934262744419332</v>
      </c>
      <c r="AJ84" s="1">
        <f>AJ83+E83*SIN(RADIANS(AL83))</f>
        <v>0.12543415592118418</v>
      </c>
      <c r="AK84" s="1">
        <f>IF($C84&lt;$H$7,$I$20*$C84+$J$20,IF($C84&lt;$H$8,$I$21*$C84+$J$21,IF($C84&lt;$H$9,$I$22*$C84+$J$22,IF($C84&lt;$H$10,$I$23*$C84+$J$23,IF($C84&lt;$H$11,$I$24*$C84+$J$24,IF($C84&lt;$H$12,$I$25*$C84+$J$25,$I$26*$C84+$J$26))))))</f>
        <v>2</v>
      </c>
      <c r="AL84" s="7">
        <f>IF($C84&lt;$H$7,$K$6,IF($C84&lt;$H$8,$K$7,IF($C84&lt;$H$9,$K$8,IF($C84&lt;$H$10,$K$9,IF($C84&lt;$H$11,$K$10,IF($C84&lt;$H$12,$K$11,$K$12))))))</f>
        <v>6</v>
      </c>
      <c r="AM84" s="231"/>
      <c r="AN84" s="86"/>
      <c r="AO84" s="86"/>
      <c r="AP84" s="86"/>
      <c r="AQ84" s="86"/>
      <c r="AR84" s="86"/>
      <c r="AS84" s="86">
        <f t="shared" si="8"/>
        <v>3.651799999999996E-2</v>
      </c>
      <c r="AT84" s="86">
        <f t="shared" si="9"/>
        <v>1.270999999999999</v>
      </c>
      <c r="AU84" s="86">
        <f t="shared" si="3"/>
        <v>0.81026249999999989</v>
      </c>
      <c r="AV84" s="86">
        <f t="shared" si="4"/>
        <v>0.47662499999999963</v>
      </c>
      <c r="AW84" s="227">
        <f t="shared" si="5"/>
        <v>0.25419999999999981</v>
      </c>
      <c r="AX84" s="71">
        <f>AS84*$Y$4*パラメータ!$D$24</f>
        <v>12.050939999999986</v>
      </c>
      <c r="AY84" s="1">
        <f>AU84*$Y$5*E84*パラメータ!$D$30</f>
        <v>27.548924999999997</v>
      </c>
      <c r="AZ84" s="1">
        <f>SUMPRODUCT($AD$4:$AD$10,$AE$4:$AE$10)*E84*パラメータ!$D$28*10^-3</f>
        <v>12.75</v>
      </c>
      <c r="BA84" s="1">
        <f>(AV84+AW84)*$Y$6*$Y$4*パラメータ!$D$22*10^-3</f>
        <v>4.9330687499999959</v>
      </c>
      <c r="BB84" s="1">
        <f>($Y$8*$Y$9*パラメータ!$D$22+0.5*$Y$8^2*SIN(RADIANS($Y$10))*パラメータ!$D$25)*E84*10^-3</f>
        <v>3.3081478802897957</v>
      </c>
      <c r="BC84" s="1">
        <f>AT84*($Y$12)</f>
        <v>12.70999999999999</v>
      </c>
      <c r="BD84" s="1">
        <f>$Y$11</f>
        <v>4</v>
      </c>
      <c r="BE84" s="1">
        <f>IF(G84="端リブ",AS84*$Y$13*パラメータ!$D$22*2,0)</f>
        <v>54.776999999999937</v>
      </c>
      <c r="BF84" s="1">
        <f>主桁!AV46*1000</f>
        <v>176.1346399136126</v>
      </c>
      <c r="BG84" s="1">
        <f t="shared" si="10"/>
        <v>132.07808163028969</v>
      </c>
      <c r="BH84" s="1">
        <f t="shared" si="11"/>
        <v>0.30821272154390228</v>
      </c>
      <c r="BI84" s="2" t="e">
        <f>(AO84-重量分布!$E$15)^2+(AP84-重量分布!$F$15)^2</f>
        <v>#REF!</v>
      </c>
      <c r="BJ84" s="2" t="e">
        <f>(AP84-重量分布!$F$15)^2</f>
        <v>#REF!</v>
      </c>
      <c r="BK84" s="237">
        <f>(AO84-重量分布!$E$15)^2</f>
        <v>0</v>
      </c>
    </row>
    <row r="85" spans="2:63">
      <c r="B85" s="29">
        <v>41</v>
      </c>
      <c r="C85" s="1">
        <f t="shared" si="13"/>
        <v>8.6000000000000032</v>
      </c>
      <c r="D85" s="1">
        <f>IF($C85&lt;$H$7,$G$20*$C85+$H$20,IF($C85&lt;$H$8,$G$21*$C85+$H$21,IF($C85&lt;$H$9,$G$22*$C85+$H$22,IF($C85&lt;$H$10,$G$23*$C85+$H$23,IF($C85&lt;$H$11,$G$24*$C85+$H$24,IF($C85&lt;$H$12,$G$25*$C85+$H$25,$G$26*$C85+$H$26))))))*10^3</f>
        <v>609.99999999999977</v>
      </c>
      <c r="E85" s="22">
        <v>0.2</v>
      </c>
      <c r="F85" s="22" t="s">
        <v>967</v>
      </c>
      <c r="G85" s="75" t="str">
        <f>IF(OR(C85=$F$38,C85=$G$38,C85=$H$38),"端リブ",IF(C85&lt;$F$38,"0番",IF(C85&lt;$G$38,"1番",IF(C85&lt;$H$38,"2番",IF(C85&lt;$I$38,"3番","ウィングレット")))))</f>
        <v>3番</v>
      </c>
      <c r="H85" s="1">
        <f>IF($C85&lt;$H$7,$K$20*$C85+$L$20,IF($C85&lt;$H$8,$K$21*$C85+$L$21,IF($C85&lt;$H$9,$K$22*$C85+$L$22,IF($C85&lt;$H$10,$K$23*$C85+$L$24,IF($C85&lt;$H$11,$K$24*$C85+$L$23,IF($C85&lt;$H$12,$K$25*$C85+$L$25,$K$26*$C85+$L$26))))))</f>
        <v>0.35</v>
      </c>
      <c r="I85" s="9">
        <f>主桁!AD47*2</f>
        <v>75.051999999999992</v>
      </c>
      <c r="J85" s="1">
        <f>主桁!AE47*2</f>
        <v>75.051999999999992</v>
      </c>
      <c r="K85" s="227"/>
      <c r="L85" s="232"/>
      <c r="M85" s="86"/>
      <c r="N85" s="86"/>
      <c r="O85" s="231"/>
      <c r="P85" s="86"/>
      <c r="Q85" s="86"/>
      <c r="R85" s="86"/>
      <c r="S85" s="86"/>
      <c r="T85" s="86"/>
      <c r="U85" s="86"/>
      <c r="V85" s="86"/>
      <c r="W85" s="86"/>
      <c r="X85" s="86"/>
      <c r="Y85" s="86"/>
      <c r="Z85" s="86"/>
      <c r="AA85" s="86"/>
      <c r="AB85" s="86"/>
      <c r="AC85" s="71" t="str">
        <f>IF($C85&lt;$H$7,$M$6,IF($C85&lt;$H$8,$M$7,IF($C85&lt;$H$9,$M$8,IF($C85&lt;$H$10,$M$9,IF($C85&lt;$H$11,$M$10,IF($C85&lt;$H$12,$M$11,$M$12))))))</f>
        <v>QX0023</v>
      </c>
      <c r="AD85" s="1">
        <f t="shared" si="7"/>
        <v>99.999999999999844</v>
      </c>
      <c r="AE85" s="1" t="str">
        <f>IF($C85&lt;$H$7,$M$7,IF($C85&lt;$H$8,$M$8,IF($C85&lt;$H$9,$M$9,IF($C85&lt;$H$10,$M$10,IF($C85&lt;$H$11,$M$11,IF($C85&lt;$H$12,$M$12,$M$13))))))</f>
        <v>QX0123</v>
      </c>
      <c r="AF85" s="1">
        <f>IF(AC85=AE85,0,IF($C85&lt;$H$7,($C85-$H$6)/($H$7-$H$6),IF($C85&lt;$H$8,($C85-$H$7)/($H$8-$H$7),IF($C85&lt;$H$9,($C85-$H$8)/($H$9-$H$8),IF($C85&lt;$H$10,($C85-$H$9)/($H$10-$H$9),IF($C85&lt;$H$11,($C85-$H$10)/($H$11-$H$10),IF($C85&lt;$H$12,($C85-$H$11)/($H$12-$H$11),($C85-$H$12)/($H$13-$H$12))))))))*100</f>
        <v>1.6148698540002269E-13</v>
      </c>
      <c r="AG85" s="1">
        <f>D85*H85/1000</f>
        <v>0.21349999999999991</v>
      </c>
      <c r="AH85" s="1">
        <f>AG85-D85/1000</f>
        <v>-0.39649999999999985</v>
      </c>
      <c r="AI85" s="1">
        <f>AI84+E84*COS(RADIANS(AL84))</f>
        <v>7.7923306535155881</v>
      </c>
      <c r="AJ85" s="1">
        <f>AJ84+E84*SIN(RADIANS(AL84))</f>
        <v>0.14633984857471488</v>
      </c>
      <c r="AK85" s="1">
        <f>IF($C85&lt;$H$7,$I$20*$C85+$J$20,IF($C85&lt;$H$8,$I$21*$C85+$J$21,IF($C85&lt;$H$9,$I$22*$C85+$J$22,IF($C85&lt;$H$10,$I$23*$C85+$J$23,IF($C85&lt;$H$11,$I$24*$C85+$J$24,IF($C85&lt;$H$12,$I$25*$C85+$J$25,$I$26*$C85+$J$26))))))</f>
        <v>2</v>
      </c>
      <c r="AL85" s="7">
        <f>IF($C85&lt;$H$7,$K$6,IF($C85&lt;$H$8,$K$7,IF($C85&lt;$H$9,$K$8,IF($C85&lt;$H$10,$K$9,IF($C85&lt;$H$11,$K$10,IF($C85&lt;$H$12,$K$11,$K$12))))))</f>
        <v>6</v>
      </c>
      <c r="AM85" s="231"/>
      <c r="AN85" s="86"/>
      <c r="AO85" s="86"/>
      <c r="AP85" s="86"/>
      <c r="AQ85" s="86"/>
      <c r="AR85" s="86"/>
      <c r="AS85" s="86">
        <f t="shared" si="8"/>
        <v>3.5349499999999971E-2</v>
      </c>
      <c r="AT85" s="86">
        <f t="shared" si="9"/>
        <v>1.2504999999999993</v>
      </c>
      <c r="AU85" s="86">
        <f t="shared" si="3"/>
        <v>0.81026249999999989</v>
      </c>
      <c r="AV85" s="86">
        <f t="shared" si="4"/>
        <v>0.46893749999999973</v>
      </c>
      <c r="AW85" s="227">
        <f t="shared" si="5"/>
        <v>0.25009999999999988</v>
      </c>
      <c r="AX85" s="71">
        <f>AS85*$Y$4*パラメータ!$D$24</f>
        <v>11.665334999999992</v>
      </c>
      <c r="AY85" s="1">
        <f>AU85*$Y$5*E85*パラメータ!$D$30</f>
        <v>27.548924999999997</v>
      </c>
      <c r="AZ85" s="1">
        <f>SUMPRODUCT($AD$4:$AD$10,$AE$4:$AE$10)*E85*パラメータ!$D$28*10^-3</f>
        <v>12.75</v>
      </c>
      <c r="BA85" s="1">
        <f>(AV85+AW85)*$Y$6*$Y$4*パラメータ!$D$22*10^-3</f>
        <v>4.8535031249999978</v>
      </c>
      <c r="BB85" s="1">
        <f>($Y$8*$Y$9*パラメータ!$D$22+0.5*$Y$8^2*SIN(RADIANS($Y$10))*パラメータ!$D$25)*E85*10^-3</f>
        <v>3.3081478802897957</v>
      </c>
      <c r="BC85" s="1">
        <f>AT85*($Y$12)</f>
        <v>12.504999999999992</v>
      </c>
      <c r="BD85" s="1">
        <f>$Y$11</f>
        <v>4</v>
      </c>
      <c r="BE85" s="1">
        <f>IF(G85="端リブ",AS85*$Y$13*パラメータ!$D$22*2,0)</f>
        <v>0</v>
      </c>
      <c r="BF85" s="1">
        <f>主桁!AV47*1000</f>
        <v>261.20931230991249</v>
      </c>
      <c r="BG85" s="1">
        <f t="shared" si="10"/>
        <v>76.630911005289775</v>
      </c>
      <c r="BH85" s="1">
        <f t="shared" si="11"/>
        <v>0.33784022331520225</v>
      </c>
      <c r="BI85" s="2" t="e">
        <f>(AO85-重量分布!$E$15)^2+(AP85-重量分布!$F$15)^2</f>
        <v>#REF!</v>
      </c>
      <c r="BJ85" s="2" t="e">
        <f>(AP85-重量分布!$F$15)^2</f>
        <v>#REF!</v>
      </c>
      <c r="BK85" s="237">
        <f>(AO85-重量分布!$E$15)^2</f>
        <v>0</v>
      </c>
    </row>
    <row r="86" spans="2:63">
      <c r="B86" s="29">
        <v>42</v>
      </c>
      <c r="C86" s="1">
        <f t="shared" si="13"/>
        <v>8.8000000000000025</v>
      </c>
      <c r="D86" s="1">
        <f>IF($C86&lt;$H$7,$G$20*$C86+$H$20,IF($C86&lt;$H$8,$G$21*$C86+$H$21,IF($C86&lt;$H$9,$G$22*$C86+$H$22,IF($C86&lt;$H$10,$G$23*$C86+$H$23,IF($C86&lt;$H$11,$G$24*$C86+$H$24,IF($C86&lt;$H$12,$G$25*$C86+$H$25,$G$26*$C86+$H$26))))))*10^3</f>
        <v>601.81818181818153</v>
      </c>
      <c r="E86" s="22">
        <v>0.2</v>
      </c>
      <c r="F86" s="22" t="str">
        <f t="shared" si="14"/>
        <v>4th</v>
      </c>
      <c r="G86" s="75" t="str">
        <f>IF(OR(C86=$F$38,C86=$G$38,C86=$H$38),"端リブ",IF(C86&lt;$F$38,"0番",IF(C86&lt;$G$38,"1番",IF(C86&lt;$H$38,"2番",IF(C86&lt;$I$38,"3番","ウィングレット")))))</f>
        <v>3番</v>
      </c>
      <c r="H86" s="1">
        <f>IF($C86&lt;$H$7,$K$20*$C86+$L$20,IF($C86&lt;$H$8,$K$21*$C86+$L$21,IF($C86&lt;$H$9,$K$22*$C86+$L$22,IF($C86&lt;$H$10,$K$23*$C86+$L$24,IF($C86&lt;$H$11,$K$24*$C86+$L$23,IF($C86&lt;$H$12,$K$25*$C86+$L$25,$K$26*$C86+$L$26))))))</f>
        <v>0.35</v>
      </c>
      <c r="I86" s="9">
        <f>主桁!AD48*2</f>
        <v>73.35199999999999</v>
      </c>
      <c r="J86" s="1">
        <f>主桁!AE48*2</f>
        <v>73.35199999999999</v>
      </c>
      <c r="K86" s="227"/>
      <c r="L86" s="232"/>
      <c r="M86" s="86"/>
      <c r="N86" s="86"/>
      <c r="O86" s="231"/>
      <c r="P86" s="86"/>
      <c r="Q86" s="86"/>
      <c r="R86" s="86"/>
      <c r="S86" s="86"/>
      <c r="T86" s="86"/>
      <c r="U86" s="86"/>
      <c r="V86" s="86"/>
      <c r="W86" s="86"/>
      <c r="X86" s="86"/>
      <c r="Y86" s="86"/>
      <c r="Z86" s="86"/>
      <c r="AA86" s="86"/>
      <c r="AB86" s="86"/>
      <c r="AC86" s="71" t="str">
        <f>IF($C86&lt;$H$7,$M$6,IF($C86&lt;$H$8,$M$7,IF($C86&lt;$H$9,$M$8,IF($C86&lt;$H$10,$M$9,IF($C86&lt;$H$11,$M$10,IF($C86&lt;$H$12,$M$11,$M$12))))))</f>
        <v>QX0023</v>
      </c>
      <c r="AD86" s="1">
        <f t="shared" si="7"/>
        <v>90.909090909090779</v>
      </c>
      <c r="AE86" s="1" t="str">
        <f>IF($C86&lt;$H$7,$M$7,IF($C86&lt;$H$8,$M$8,IF($C86&lt;$H$9,$M$9,IF($C86&lt;$H$10,$M$10,IF($C86&lt;$H$11,$M$11,IF($C86&lt;$H$12,$M$12,$M$13))))))</f>
        <v>QX0123</v>
      </c>
      <c r="AF86" s="1">
        <f>IF(AC86=AE86,0,IF($C86&lt;$H$7,($C86-$H$6)/($H$7-$H$6),IF($C86&lt;$H$8,($C86-$H$7)/($H$8-$H$7),IF($C86&lt;$H$9,($C86-$H$8)/($H$9-$H$8),IF($C86&lt;$H$10,($C86-$H$9)/($H$10-$H$9),IF($C86&lt;$H$11,($C86-$H$10)/($H$11-$H$10),IF($C86&lt;$H$12,($C86-$H$11)/($H$12-$H$11),($C86-$H$12)/($H$13-$H$12))))))))*100</f>
        <v>9.0909090909092161</v>
      </c>
      <c r="AG86" s="1">
        <f>D86*H86/1000</f>
        <v>0.21063636363636351</v>
      </c>
      <c r="AH86" s="1">
        <f>AG86-D86/1000</f>
        <v>-0.39118181818181796</v>
      </c>
      <c r="AI86" s="1">
        <f>AI85+E85*COS(RADIANS(AL85))</f>
        <v>7.9912350325892429</v>
      </c>
      <c r="AJ86" s="1">
        <f>AJ85+E85*SIN(RADIANS(AL85))</f>
        <v>0.16724554122824559</v>
      </c>
      <c r="AK86" s="1">
        <f>IF($C86&lt;$H$7,$I$20*$C86+$J$20,IF($C86&lt;$H$8,$I$21*$C86+$J$21,IF($C86&lt;$H$9,$I$22*$C86+$J$22,IF($C86&lt;$H$10,$I$23*$C86+$J$23,IF($C86&lt;$H$11,$I$24*$C86+$J$24,IF($C86&lt;$H$12,$I$25*$C86+$J$25,$I$26*$C86+$J$26))))))</f>
        <v>2</v>
      </c>
      <c r="AL86" s="7">
        <f>IF($C86&lt;$H$7,$K$6,IF($C86&lt;$H$8,$K$7,IF($C86&lt;$H$9,$K$8,IF($C86&lt;$H$10,$K$9,IF($C86&lt;$H$11,$K$10,IF($C86&lt;$H$12,$K$11,$K$12))))))</f>
        <v>6</v>
      </c>
      <c r="AM86" s="231"/>
      <c r="AN86" s="86"/>
      <c r="AO86" s="86"/>
      <c r="AP86" s="86"/>
      <c r="AQ86" s="86"/>
      <c r="AR86" s="86"/>
      <c r="AS86" s="86">
        <f t="shared" si="8"/>
        <v>3.440758677685947E-2</v>
      </c>
      <c r="AT86" s="86">
        <f t="shared" si="9"/>
        <v>1.2337272727272721</v>
      </c>
      <c r="AU86" s="86">
        <f t="shared" si="3"/>
        <v>0.81026249999999989</v>
      </c>
      <c r="AV86" s="86">
        <f t="shared" si="4"/>
        <v>0.46264772727272707</v>
      </c>
      <c r="AW86" s="227">
        <f t="shared" si="5"/>
        <v>0.24674545454545443</v>
      </c>
      <c r="AX86" s="71">
        <f>AS86*$Y$4*パラメータ!$D$24</f>
        <v>11.354503636363624</v>
      </c>
      <c r="AY86" s="1">
        <f>AU86*$Y$5*E86*パラメータ!$D$30</f>
        <v>27.548924999999997</v>
      </c>
      <c r="AZ86" s="1">
        <f>SUMPRODUCT($AD$4:$AD$10,$AE$4:$AE$10)*E86*パラメータ!$D$28*10^-3</f>
        <v>12.75</v>
      </c>
      <c r="BA86" s="1">
        <f>(AV86+AW86)*$Y$6*$Y$4*パラメータ!$D$22*10^-3</f>
        <v>4.7884039772727265</v>
      </c>
      <c r="BB86" s="1">
        <f>($Y$8*$Y$9*パラメータ!$D$22+0.5*$Y$8^2*SIN(RADIANS($Y$10))*パラメータ!$D$25)*E86*10^-3</f>
        <v>3.3081478802897957</v>
      </c>
      <c r="BC86" s="1">
        <f>AT86*($Y$12)</f>
        <v>12.337272727272721</v>
      </c>
      <c r="BD86" s="1">
        <f>$Y$11</f>
        <v>4</v>
      </c>
      <c r="BE86" s="1">
        <f>IF(G86="端リブ",AS86*$Y$13*パラメータ!$D$22*2,0)</f>
        <v>0</v>
      </c>
      <c r="BF86" s="1">
        <f>主桁!AV48*1000</f>
        <v>160.01229732404229</v>
      </c>
      <c r="BG86" s="1">
        <f t="shared" si="10"/>
        <v>76.087253221198864</v>
      </c>
      <c r="BH86" s="1">
        <f t="shared" si="11"/>
        <v>0.23609955054524115</v>
      </c>
      <c r="BI86" s="2" t="e">
        <f>(AO86-重量分布!$E$15)^2+(AP86-重量分布!$F$15)^2</f>
        <v>#REF!</v>
      </c>
      <c r="BJ86" s="2" t="e">
        <f>(AP86-重量分布!$F$15)^2</f>
        <v>#REF!</v>
      </c>
      <c r="BK86" s="237">
        <f>(AO86-重量分布!$E$15)^2</f>
        <v>0</v>
      </c>
    </row>
    <row r="87" spans="2:63">
      <c r="B87" s="29">
        <v>43</v>
      </c>
      <c r="C87" s="1">
        <f t="shared" si="13"/>
        <v>9.0000000000000018</v>
      </c>
      <c r="D87" s="1">
        <f>IF($C87&lt;$H$7,$G$20*$C87+$H$20,IF($C87&lt;$H$8,$G$21*$C87+$H$21,IF($C87&lt;$H$9,$G$22*$C87+$H$22,IF($C87&lt;$H$10,$G$23*$C87+$H$23,IF($C87&lt;$H$11,$G$24*$C87+$H$24,IF($C87&lt;$H$12,$G$25*$C87+$H$25,$G$26*$C87+$H$26))))))*10^3</f>
        <v>593.63636363636351</v>
      </c>
      <c r="E87" s="22">
        <v>0.2</v>
      </c>
      <c r="F87" s="22" t="str">
        <f t="shared" si="14"/>
        <v>4th</v>
      </c>
      <c r="G87" s="75" t="str">
        <f>IF(OR(C87=$F$38,C87=$G$38,C87=$H$38),"端リブ",IF(C87&lt;$F$38,"0番",IF(C87&lt;$G$38,"1番",IF(C87&lt;$H$38,"2番",IF(C87&lt;$I$38,"3番","ウィングレット")))))</f>
        <v>3番</v>
      </c>
      <c r="H87" s="1">
        <f>IF($C87&lt;$H$7,$K$20*$C87+$L$20,IF($C87&lt;$H$8,$K$21*$C87+$L$21,IF($C87&lt;$H$9,$K$22*$C87+$L$22,IF($C87&lt;$H$10,$K$23*$C87+$L$24,IF($C87&lt;$H$11,$K$24*$C87+$L$23,IF($C87&lt;$H$12,$K$25*$C87+$L$25,$K$26*$C87+$L$26))))))</f>
        <v>0.35</v>
      </c>
      <c r="I87" s="9">
        <f>主桁!AD49*2</f>
        <v>71.652000000000001</v>
      </c>
      <c r="J87" s="1">
        <f>主桁!AE49*2</f>
        <v>71.652000000000001</v>
      </c>
      <c r="K87" s="227"/>
      <c r="L87" s="232"/>
      <c r="M87" s="86"/>
      <c r="N87" s="86"/>
      <c r="O87" s="231"/>
      <c r="P87" s="86"/>
      <c r="Q87" s="86"/>
      <c r="R87" s="86"/>
      <c r="S87" s="86"/>
      <c r="T87" s="86"/>
      <c r="U87" s="86"/>
      <c r="V87" s="86"/>
      <c r="W87" s="86"/>
      <c r="X87" s="86"/>
      <c r="Y87" s="86"/>
      <c r="Z87" s="86"/>
      <c r="AA87" s="86"/>
      <c r="AB87" s="86"/>
      <c r="AC87" s="71" t="str">
        <f>IF($C87&lt;$H$7,$M$6,IF($C87&lt;$H$8,$M$7,IF($C87&lt;$H$9,$M$8,IF($C87&lt;$H$10,$M$9,IF($C87&lt;$H$11,$M$10,IF($C87&lt;$H$12,$M$11,$M$12))))))</f>
        <v>QX0023</v>
      </c>
      <c r="AD87" s="1">
        <f t="shared" si="7"/>
        <v>81.818181818181728</v>
      </c>
      <c r="AE87" s="1" t="str">
        <f>IF($C87&lt;$H$7,$M$7,IF($C87&lt;$H$8,$M$8,IF($C87&lt;$H$9,$M$9,IF($C87&lt;$H$10,$M$10,IF($C87&lt;$H$11,$M$11,IF($C87&lt;$H$12,$M$12,$M$13))))))</f>
        <v>QX0123</v>
      </c>
      <c r="AF87" s="1">
        <f>IF(AC87=AE87,0,IF($C87&lt;$H$7,($C87-$H$6)/($H$7-$H$6),IF($C87&lt;$H$8,($C87-$H$7)/($H$8-$H$7),IF($C87&lt;$H$9,($C87-$H$8)/($H$9-$H$8),IF($C87&lt;$H$10,($C87-$H$9)/($H$10-$H$9),IF($C87&lt;$H$11,($C87-$H$10)/($H$11-$H$10),IF($C87&lt;$H$12,($C87-$H$11)/($H$12-$H$11),($C87-$H$12)/($H$13-$H$12))))))))*100</f>
        <v>18.181818181818272</v>
      </c>
      <c r="AG87" s="1">
        <f>D87*H87/1000</f>
        <v>0.20777272727272722</v>
      </c>
      <c r="AH87" s="1">
        <f>AG87-D87/1000</f>
        <v>-0.3858636363636363</v>
      </c>
      <c r="AI87" s="1">
        <f>AI86+E86*COS(RADIANS(AL86))</f>
        <v>8.1901394116628978</v>
      </c>
      <c r="AJ87" s="1">
        <f>AJ86+E86*SIN(RADIANS(AL86))</f>
        <v>0.18815123388177629</v>
      </c>
      <c r="AK87" s="1">
        <f>IF($C87&lt;$H$7,$I$20*$C87+$J$20,IF($C87&lt;$H$8,$I$21*$C87+$J$21,IF($C87&lt;$H$9,$I$22*$C87+$J$22,IF($C87&lt;$H$10,$I$23*$C87+$J$23,IF($C87&lt;$H$11,$I$24*$C87+$J$24,IF($C87&lt;$H$12,$I$25*$C87+$J$25,$I$26*$C87+$J$26))))))</f>
        <v>2</v>
      </c>
      <c r="AL87" s="7">
        <f>IF($C87&lt;$H$7,$K$6,IF($C87&lt;$H$8,$K$7,IF($C87&lt;$H$9,$K$8,IF($C87&lt;$H$10,$K$9,IF($C87&lt;$H$11,$K$10,IF($C87&lt;$H$12,$K$11,$K$12))))))</f>
        <v>6</v>
      </c>
      <c r="AM87" s="231"/>
      <c r="AN87" s="86"/>
      <c r="AO87" s="86"/>
      <c r="AP87" s="86"/>
      <c r="AQ87" s="86"/>
      <c r="AR87" s="86"/>
      <c r="AS87" s="86">
        <f t="shared" si="8"/>
        <v>3.3478392561983455E-2</v>
      </c>
      <c r="AT87" s="86">
        <f t="shared" si="9"/>
        <v>1.216954545454545</v>
      </c>
      <c r="AU87" s="86">
        <f t="shared" si="3"/>
        <v>0.81026249999999989</v>
      </c>
      <c r="AV87" s="86">
        <f t="shared" si="4"/>
        <v>0.45635795454545436</v>
      </c>
      <c r="AW87" s="227">
        <f t="shared" si="5"/>
        <v>0.24339090909090899</v>
      </c>
      <c r="AX87" s="71">
        <f>AS87*$Y$4*パラメータ!$D$24</f>
        <v>11.047869545454541</v>
      </c>
      <c r="AY87" s="1">
        <f>AU87*$Y$5*E87*パラメータ!$D$30</f>
        <v>27.548924999999997</v>
      </c>
      <c r="AZ87" s="1">
        <f>SUMPRODUCT($AD$4:$AD$10,$AE$4:$AE$10)*E87*パラメータ!$D$28*10^-3</f>
        <v>12.75</v>
      </c>
      <c r="BA87" s="1">
        <f>(AV87+AW87)*$Y$6*$Y$4*パラメータ!$D$22*10^-3</f>
        <v>4.7233048295454516</v>
      </c>
      <c r="BB87" s="1">
        <f>($Y$8*$Y$9*パラメータ!$D$22+0.5*$Y$8^2*SIN(RADIANS($Y$10))*パラメータ!$D$25)*E87*10^-3</f>
        <v>3.3081478802897957</v>
      </c>
      <c r="BC87" s="1">
        <f>AT87*($Y$12)</f>
        <v>12.16954545454545</v>
      </c>
      <c r="BD87" s="1">
        <f>$Y$11</f>
        <v>4</v>
      </c>
      <c r="BE87" s="1">
        <f>IF(G87="端リブ",AS87*$Y$13*パラメータ!$D$22*2,0)</f>
        <v>0</v>
      </c>
      <c r="BF87" s="1">
        <f>主桁!AV49*1000</f>
        <v>79.054990815865537</v>
      </c>
      <c r="BG87" s="1">
        <f t="shared" si="10"/>
        <v>75.547792709835221</v>
      </c>
      <c r="BH87" s="1">
        <f t="shared" si="11"/>
        <v>0.15460278352570078</v>
      </c>
      <c r="BI87" s="2" t="e">
        <f>(AO87-重量分布!$E$15)^2+(AP87-重量分布!$F$15)^2</f>
        <v>#REF!</v>
      </c>
      <c r="BJ87" s="2" t="e">
        <f>(AP87-重量分布!$F$15)^2</f>
        <v>#REF!</v>
      </c>
      <c r="BK87" s="237">
        <f>(AO87-重量分布!$E$15)^2</f>
        <v>0</v>
      </c>
    </row>
    <row r="88" spans="2:63">
      <c r="B88" s="29">
        <v>44</v>
      </c>
      <c r="C88" s="1">
        <f t="shared" si="13"/>
        <v>9.2000000000000011</v>
      </c>
      <c r="D88" s="1">
        <f>IF($C88&lt;$H$7,$G$20*$C88+$H$20,IF($C88&lt;$H$8,$G$21*$C88+$H$21,IF($C88&lt;$H$9,$G$22*$C88+$H$22,IF($C88&lt;$H$10,$G$23*$C88+$H$23,IF($C88&lt;$H$11,$G$24*$C88+$H$24,IF($C88&lt;$H$12,$G$25*$C88+$H$25,$G$26*$C88+$H$26))))))*10^3</f>
        <v>585.45454545454538</v>
      </c>
      <c r="E88" s="22">
        <v>0.2</v>
      </c>
      <c r="F88" s="22" t="str">
        <f t="shared" si="14"/>
        <v>4th</v>
      </c>
      <c r="G88" s="75" t="str">
        <f>IF(OR(C88=$F$38,C88=$G$38,C88=$H$38),"端リブ",IF(C88&lt;$F$38,"0番",IF(C88&lt;$G$38,"1番",IF(C88&lt;$H$38,"2番",IF(C88&lt;$I$38,"3番","ウィングレット")))))</f>
        <v>3番</v>
      </c>
      <c r="H88" s="1">
        <f>IF($C88&lt;$H$7,$K$20*$C88+$L$20,IF($C88&lt;$H$8,$K$21*$C88+$L$21,IF($C88&lt;$H$9,$K$22*$C88+$L$22,IF($C88&lt;$H$10,$K$23*$C88+$L$24,IF($C88&lt;$H$11,$K$24*$C88+$L$23,IF($C88&lt;$H$12,$K$25*$C88+$L$25,$K$26*$C88+$L$26))))))</f>
        <v>0.35</v>
      </c>
      <c r="I88" s="9">
        <f>主桁!AD50*2</f>
        <v>69.951999999999998</v>
      </c>
      <c r="J88" s="1">
        <f>主桁!AE50*2</f>
        <v>69.951999999999998</v>
      </c>
      <c r="K88" s="227"/>
      <c r="L88" s="232"/>
      <c r="M88" s="86"/>
      <c r="N88" s="86"/>
      <c r="O88" s="231"/>
      <c r="P88" s="86"/>
      <c r="Q88" s="86"/>
      <c r="R88" s="86"/>
      <c r="S88" s="86"/>
      <c r="T88" s="86"/>
      <c r="U88" s="86"/>
      <c r="V88" s="86"/>
      <c r="W88" s="86"/>
      <c r="X88" s="86"/>
      <c r="Y88" s="86"/>
      <c r="Z88" s="86"/>
      <c r="AA88" s="86"/>
      <c r="AB88" s="86"/>
      <c r="AC88" s="71" t="str">
        <f>IF($C88&lt;$H$7,$M$6,IF($C88&lt;$H$8,$M$7,IF($C88&lt;$H$9,$M$8,IF($C88&lt;$H$10,$M$9,IF($C88&lt;$H$11,$M$10,IF($C88&lt;$H$12,$M$11,$M$12))))))</f>
        <v>QX0023</v>
      </c>
      <c r="AD88" s="1">
        <f t="shared" si="7"/>
        <v>72.727272727272677</v>
      </c>
      <c r="AE88" s="1" t="str">
        <f>IF($C88&lt;$H$7,$M$7,IF($C88&lt;$H$8,$M$8,IF($C88&lt;$H$9,$M$9,IF($C88&lt;$H$10,$M$10,IF($C88&lt;$H$11,$M$11,IF($C88&lt;$H$12,$M$12,$M$13))))))</f>
        <v>QX0123</v>
      </c>
      <c r="AF88" s="1">
        <f>IF(AC88=AE88,0,IF($C88&lt;$H$7,($C88-$H$6)/($H$7-$H$6),IF($C88&lt;$H$8,($C88-$H$7)/($H$8-$H$7),IF($C88&lt;$H$9,($C88-$H$8)/($H$9-$H$8),IF($C88&lt;$H$10,($C88-$H$9)/($H$10-$H$9),IF($C88&lt;$H$11,($C88-$H$10)/($H$11-$H$10),IF($C88&lt;$H$12,($C88-$H$11)/($H$12-$H$11),($C88-$H$12)/($H$13-$H$12))))))))*100</f>
        <v>27.272727272727327</v>
      </c>
      <c r="AG88" s="1">
        <f>D88*H88/1000</f>
        <v>0.20490909090909087</v>
      </c>
      <c r="AH88" s="1">
        <f>AG88-D88/1000</f>
        <v>-0.38054545454545446</v>
      </c>
      <c r="AI88" s="1">
        <f>AI87+E87*COS(RADIANS(AL87))</f>
        <v>8.3890437907365527</v>
      </c>
      <c r="AJ88" s="1">
        <f>AJ87+E87*SIN(RADIANS(AL87))</f>
        <v>0.209056926535307</v>
      </c>
      <c r="AK88" s="1">
        <f>IF($C88&lt;$H$7,$I$20*$C88+$J$20,IF($C88&lt;$H$8,$I$21*$C88+$J$21,IF($C88&lt;$H$9,$I$22*$C88+$J$22,IF($C88&lt;$H$10,$I$23*$C88+$J$23,IF($C88&lt;$H$11,$I$24*$C88+$J$24,IF($C88&lt;$H$12,$I$25*$C88+$J$25,$I$26*$C88+$J$26))))))</f>
        <v>2</v>
      </c>
      <c r="AL88" s="7">
        <f>IF($C88&lt;$H$7,$K$6,IF($C88&lt;$H$8,$K$7,IF($C88&lt;$H$9,$K$8,IF($C88&lt;$H$10,$K$9,IF($C88&lt;$H$11,$K$10,IF($C88&lt;$H$12,$K$11,$K$12))))))</f>
        <v>6</v>
      </c>
      <c r="AM88" s="231"/>
      <c r="AN88" s="86"/>
      <c r="AO88" s="86"/>
      <c r="AP88" s="86"/>
      <c r="AQ88" s="86"/>
      <c r="AR88" s="86"/>
      <c r="AS88" s="86">
        <f t="shared" si="8"/>
        <v>3.2561917355371887E-2</v>
      </c>
      <c r="AT88" s="86">
        <f t="shared" si="9"/>
        <v>1.200181818181818</v>
      </c>
      <c r="AU88" s="86">
        <f t="shared" si="3"/>
        <v>0.81026249999999989</v>
      </c>
      <c r="AV88" s="86">
        <f t="shared" si="4"/>
        <v>0.45006818181818176</v>
      </c>
      <c r="AW88" s="227">
        <f t="shared" si="5"/>
        <v>0.2400363636363636</v>
      </c>
      <c r="AX88" s="71">
        <f>AS88*$Y$4*パラメータ!$D$24</f>
        <v>10.745432727272723</v>
      </c>
      <c r="AY88" s="1">
        <f>AU88*$Y$5*E88*パラメータ!$D$30</f>
        <v>27.548924999999997</v>
      </c>
      <c r="AZ88" s="1">
        <f>SUMPRODUCT($AD$4:$AD$10,$AE$4:$AE$10)*E88*パラメータ!$D$28*10^-3</f>
        <v>12.75</v>
      </c>
      <c r="BA88" s="1">
        <f>(AV88+AW88)*$Y$6*$Y$4*パラメータ!$D$22*10^-3</f>
        <v>4.6582056818181812</v>
      </c>
      <c r="BB88" s="1">
        <f>($Y$8*$Y$9*パラメータ!$D$22+0.5*$Y$8^2*SIN(RADIANS($Y$10))*パラメータ!$D$25)*E88*10^-3</f>
        <v>3.3081478802897957</v>
      </c>
      <c r="BC88" s="1">
        <f>AT88*($Y$12)</f>
        <v>12.00181818181818</v>
      </c>
      <c r="BD88" s="1">
        <f>$Y$11</f>
        <v>4</v>
      </c>
      <c r="BE88" s="1">
        <f>IF(G88="端リブ",AS88*$Y$13*パラメータ!$D$22*2,0)</f>
        <v>0</v>
      </c>
      <c r="BF88" s="1">
        <f>主桁!AV50*1000</f>
        <v>77.170686007568122</v>
      </c>
      <c r="BG88" s="1">
        <f t="shared" si="10"/>
        <v>75.012529471198874</v>
      </c>
      <c r="BH88" s="1">
        <f t="shared" si="11"/>
        <v>0.15218321547876701</v>
      </c>
      <c r="BI88" s="2" t="e">
        <f>(AO88-重量分布!$E$15)^2+(AP88-重量分布!$F$15)^2</f>
        <v>#REF!</v>
      </c>
      <c r="BJ88" s="2" t="e">
        <f>(AP88-重量分布!$F$15)^2</f>
        <v>#REF!</v>
      </c>
      <c r="BK88" s="237">
        <f>(AO88-重量分布!$E$15)^2</f>
        <v>0</v>
      </c>
    </row>
    <row r="89" spans="2:63">
      <c r="B89" s="29">
        <v>45</v>
      </c>
      <c r="C89" s="1">
        <f t="shared" si="13"/>
        <v>9.4</v>
      </c>
      <c r="D89" s="1">
        <f>IF($C89&lt;$H$7,$G$20*$C89+$H$20,IF($C89&lt;$H$8,$G$21*$C89+$H$21,IF($C89&lt;$H$9,$G$22*$C89+$H$22,IF($C89&lt;$H$10,$G$23*$C89+$H$23,IF($C89&lt;$H$11,$G$24*$C89+$H$24,IF($C89&lt;$H$12,$G$25*$C89+$H$25,$G$26*$C89+$H$26))))))*10^3</f>
        <v>577.27272727272714</v>
      </c>
      <c r="E89" s="22">
        <v>0.2</v>
      </c>
      <c r="F89" s="22" t="str">
        <f t="shared" si="14"/>
        <v>4th</v>
      </c>
      <c r="G89" s="75" t="str">
        <f>IF(OR(C89=$F$38,C89=$G$38,C89=$H$38),"端リブ",IF(C89&lt;$F$38,"0番",IF(C89&lt;$G$38,"1番",IF(C89&lt;$H$38,"2番",IF(C89&lt;$I$38,"3番","ウィングレット")))))</f>
        <v>3番</v>
      </c>
      <c r="H89" s="1">
        <f>IF($C89&lt;$H$7,$K$20*$C89+$L$20,IF($C89&lt;$H$8,$K$21*$C89+$L$21,IF($C89&lt;$H$9,$K$22*$C89+$L$22,IF($C89&lt;$H$10,$K$23*$C89+$L$24,IF($C89&lt;$H$11,$K$24*$C89+$L$23,IF($C89&lt;$H$12,$K$25*$C89+$L$25,$K$26*$C89+$L$26))))))</f>
        <v>0.35</v>
      </c>
      <c r="I89" s="9">
        <f>主桁!AD51*2</f>
        <v>68.25200000000001</v>
      </c>
      <c r="J89" s="1">
        <f>主桁!AE51*2</f>
        <v>68.25200000000001</v>
      </c>
      <c r="K89" s="227"/>
      <c r="L89" s="232"/>
      <c r="M89" s="86"/>
      <c r="N89" s="86"/>
      <c r="O89" s="231"/>
      <c r="P89" s="86"/>
      <c r="Q89" s="86"/>
      <c r="R89" s="86"/>
      <c r="S89" s="86"/>
      <c r="T89" s="86"/>
      <c r="U89" s="86"/>
      <c r="V89" s="86"/>
      <c r="W89" s="86"/>
      <c r="X89" s="86"/>
      <c r="Y89" s="86"/>
      <c r="Z89" s="86"/>
      <c r="AA89" s="86"/>
      <c r="AB89" s="86"/>
      <c r="AC89" s="71" t="str">
        <f>IF($C89&lt;$H$7,$M$6,IF($C89&lt;$H$8,$M$7,IF($C89&lt;$H$9,$M$8,IF($C89&lt;$H$10,$M$9,IF($C89&lt;$H$11,$M$10,IF($C89&lt;$H$12,$M$11,$M$12))))))</f>
        <v>QX0023</v>
      </c>
      <c r="AD89" s="1">
        <f t="shared" si="7"/>
        <v>63.636363636363626</v>
      </c>
      <c r="AE89" s="1" t="str">
        <f>IF($C89&lt;$H$7,$M$7,IF($C89&lt;$H$8,$M$8,IF($C89&lt;$H$9,$M$9,IF($C89&lt;$H$10,$M$10,IF($C89&lt;$H$11,$M$11,IF($C89&lt;$H$12,$M$12,$M$13))))))</f>
        <v>QX0123</v>
      </c>
      <c r="AF89" s="1">
        <f>IF(AC89=AE89,0,IF($C89&lt;$H$7,($C89-$H$6)/($H$7-$H$6),IF($C89&lt;$H$8,($C89-$H$7)/($H$8-$H$7),IF($C89&lt;$H$9,($C89-$H$8)/($H$9-$H$8),IF($C89&lt;$H$10,($C89-$H$9)/($H$10-$H$9),IF($C89&lt;$H$11,($C89-$H$10)/($H$11-$H$10),IF($C89&lt;$H$12,($C89-$H$11)/($H$12-$H$11),($C89-$H$12)/($H$13-$H$12))))))))*100</f>
        <v>36.363636363636374</v>
      </c>
      <c r="AG89" s="1">
        <f>D89*H89/1000</f>
        <v>0.20204545454545447</v>
      </c>
      <c r="AH89" s="1">
        <f>AG89-D89/1000</f>
        <v>-0.37522727272727269</v>
      </c>
      <c r="AI89" s="1">
        <f>AI88+E88*COS(RADIANS(AL88))</f>
        <v>8.5879481698102076</v>
      </c>
      <c r="AJ89" s="1">
        <f>AJ88+E88*SIN(RADIANS(AL88))</f>
        <v>0.2299626191888377</v>
      </c>
      <c r="AK89" s="1">
        <f>IF($C89&lt;$H$7,$I$20*$C89+$J$20,IF($C89&lt;$H$8,$I$21*$C89+$J$21,IF($C89&lt;$H$9,$I$22*$C89+$J$22,IF($C89&lt;$H$10,$I$23*$C89+$J$23,IF($C89&lt;$H$11,$I$24*$C89+$J$24,IF($C89&lt;$H$12,$I$25*$C89+$J$25,$I$26*$C89+$J$26))))))</f>
        <v>2</v>
      </c>
      <c r="AL89" s="7">
        <f>IF($C89&lt;$H$7,$K$6,IF($C89&lt;$H$8,$K$7,IF($C89&lt;$H$9,$K$8,IF($C89&lt;$H$10,$K$9,IF($C89&lt;$H$11,$K$10,IF($C89&lt;$H$12,$K$11,$K$12))))))</f>
        <v>6</v>
      </c>
      <c r="AM89" s="231"/>
      <c r="AN89" s="86"/>
      <c r="AO89" s="86"/>
      <c r="AP89" s="86"/>
      <c r="AQ89" s="86"/>
      <c r="AR89" s="86"/>
      <c r="AS89" s="86">
        <f t="shared" si="8"/>
        <v>3.1658161157024779E-2</v>
      </c>
      <c r="AT89" s="86">
        <f t="shared" si="9"/>
        <v>1.1834090909090906</v>
      </c>
      <c r="AU89" s="86">
        <f t="shared" si="3"/>
        <v>0.81026249999999989</v>
      </c>
      <c r="AV89" s="86">
        <f t="shared" si="4"/>
        <v>0.44377840909090899</v>
      </c>
      <c r="AW89" s="227">
        <f t="shared" si="5"/>
        <v>0.23668181818181813</v>
      </c>
      <c r="AX89" s="71">
        <f>AS89*$Y$4*パラメータ!$D$24</f>
        <v>10.447193181818177</v>
      </c>
      <c r="AY89" s="1">
        <f>AU89*$Y$5*E89*パラメータ!$D$30</f>
        <v>27.548924999999997</v>
      </c>
      <c r="AZ89" s="1">
        <f>SUMPRODUCT($AD$4:$AD$10,$AE$4:$AE$10)*E89*パラメータ!$D$28*10^-3</f>
        <v>12.75</v>
      </c>
      <c r="BA89" s="1">
        <f>(AV89+AW89)*$Y$6*$Y$4*パラメータ!$D$22*10^-3</f>
        <v>4.593106534090909</v>
      </c>
      <c r="BB89" s="1">
        <f>($Y$8*$Y$9*パラメータ!$D$22+0.5*$Y$8^2*SIN(RADIANS($Y$10))*パラメータ!$D$25)*E89*10^-3</f>
        <v>3.3081478802897957</v>
      </c>
      <c r="BC89" s="1">
        <f>AT89*($Y$12)</f>
        <v>11.834090909090907</v>
      </c>
      <c r="BD89" s="1">
        <f>$Y$11</f>
        <v>4</v>
      </c>
      <c r="BE89" s="1">
        <f>IF(G89="端リブ",AS89*$Y$13*パラメータ!$D$22*2,0)</f>
        <v>0</v>
      </c>
      <c r="BF89" s="1">
        <f>主桁!AV51*1000</f>
        <v>75.286378911843371</v>
      </c>
      <c r="BG89" s="1">
        <f t="shared" si="10"/>
        <v>74.481463505289781</v>
      </c>
      <c r="BH89" s="1">
        <f t="shared" si="11"/>
        <v>0.14976784241713315</v>
      </c>
      <c r="BI89" s="2" t="e">
        <f>(AO89-重量分布!$E$15)^2+(AP89-重量分布!$F$15)^2</f>
        <v>#REF!</v>
      </c>
      <c r="BJ89" s="2" t="e">
        <f>(AP89-重量分布!$F$15)^2</f>
        <v>#REF!</v>
      </c>
      <c r="BK89" s="237">
        <f>(AO89-重量分布!$E$15)^2</f>
        <v>0</v>
      </c>
    </row>
    <row r="90" spans="2:63">
      <c r="B90" s="29">
        <v>46</v>
      </c>
      <c r="C90" s="1">
        <f t="shared" si="13"/>
        <v>9.6</v>
      </c>
      <c r="D90" s="1">
        <f>IF($C90&lt;$H$7,$G$20*$C90+$H$20,IF($C90&lt;$H$8,$G$21*$C90+$H$21,IF($C90&lt;$H$9,$G$22*$C90+$H$22,IF($C90&lt;$H$10,$G$23*$C90+$H$23,IF($C90&lt;$H$11,$G$24*$C90+$H$24,IF($C90&lt;$H$12,$G$25*$C90+$H$25,$G$26*$C90+$H$26))))))*10^3</f>
        <v>569.09090909090912</v>
      </c>
      <c r="E90" s="22">
        <v>0.2</v>
      </c>
      <c r="F90" s="22" t="str">
        <f t="shared" si="14"/>
        <v>4th</v>
      </c>
      <c r="G90" s="75" t="str">
        <f>IF(OR(C90=$F$38,C90=$G$38,C90=$H$38),"端リブ",IF(C90&lt;$F$38,"0番",IF(C90&lt;$G$38,"1番",IF(C90&lt;$H$38,"2番",IF(C90&lt;$I$38,"3番","ウィングレット")))))</f>
        <v>3番</v>
      </c>
      <c r="H90" s="1">
        <f>IF($C90&lt;$H$7,$K$20*$C90+$L$20,IF($C90&lt;$H$8,$K$21*$C90+$L$21,IF($C90&lt;$H$9,$K$22*$C90+$L$22,IF($C90&lt;$H$10,$K$23*$C90+$L$24,IF($C90&lt;$H$11,$K$24*$C90+$L$23,IF($C90&lt;$H$12,$K$25*$C90+$L$25,$K$26*$C90+$L$26))))))</f>
        <v>0.35</v>
      </c>
      <c r="I90" s="9">
        <f>主桁!AD52*2</f>
        <v>66.552000000000021</v>
      </c>
      <c r="J90" s="1">
        <f>主桁!AE52*2</f>
        <v>66.552000000000021</v>
      </c>
      <c r="K90" s="227"/>
      <c r="L90" s="232"/>
      <c r="M90" s="86"/>
      <c r="N90" s="86"/>
      <c r="O90" s="231"/>
      <c r="P90" s="86"/>
      <c r="Q90" s="86"/>
      <c r="R90" s="86"/>
      <c r="S90" s="86"/>
      <c r="T90" s="86"/>
      <c r="U90" s="86"/>
      <c r="V90" s="86"/>
      <c r="W90" s="86"/>
      <c r="X90" s="86"/>
      <c r="Y90" s="86"/>
      <c r="Z90" s="86"/>
      <c r="AA90" s="86"/>
      <c r="AB90" s="86"/>
      <c r="AC90" s="71" t="str">
        <f>IF($C90&lt;$H$7,$M$6,IF($C90&lt;$H$8,$M$7,IF($C90&lt;$H$9,$M$8,IF($C90&lt;$H$10,$M$9,IF($C90&lt;$H$11,$M$10,IF($C90&lt;$H$12,$M$11,$M$12))))))</f>
        <v>QX0023</v>
      </c>
      <c r="AD90" s="1">
        <f t="shared" si="7"/>
        <v>54.545454545454568</v>
      </c>
      <c r="AE90" s="1" t="str">
        <f>IF($C90&lt;$H$7,$M$7,IF($C90&lt;$H$8,$M$8,IF($C90&lt;$H$9,$M$9,IF($C90&lt;$H$10,$M$10,IF($C90&lt;$H$11,$M$11,IF($C90&lt;$H$12,$M$12,$M$13))))))</f>
        <v>QX0123</v>
      </c>
      <c r="AF90" s="1">
        <f>IF(AC90=AE90,0,IF($C90&lt;$H$7,($C90-$H$6)/($H$7-$H$6),IF($C90&lt;$H$8,($C90-$H$7)/($H$8-$H$7),IF($C90&lt;$H$9,($C90-$H$8)/($H$9-$H$8),IF($C90&lt;$H$10,($C90-$H$9)/($H$10-$H$9),IF($C90&lt;$H$11,($C90-$H$10)/($H$11-$H$10),IF($C90&lt;$H$12,($C90-$H$11)/($H$12-$H$11),($C90-$H$12)/($H$13-$H$12))))))))*100</f>
        <v>45.454545454545432</v>
      </c>
      <c r="AG90" s="1">
        <f>D90*H90/1000</f>
        <v>0.19918181818181818</v>
      </c>
      <c r="AH90" s="1">
        <f>AG90-D90/1000</f>
        <v>-0.36990909090909091</v>
      </c>
      <c r="AI90" s="1">
        <f>AI89+E89*COS(RADIANS(AL89))</f>
        <v>8.7868525488838625</v>
      </c>
      <c r="AJ90" s="1">
        <f>AJ89+E89*SIN(RADIANS(AL89))</f>
        <v>0.25086831184236841</v>
      </c>
      <c r="AK90" s="1">
        <f>IF($C90&lt;$H$7,$I$20*$C90+$J$20,IF($C90&lt;$H$8,$I$21*$C90+$J$21,IF($C90&lt;$H$9,$I$22*$C90+$J$22,IF($C90&lt;$H$10,$I$23*$C90+$J$23,IF($C90&lt;$H$11,$I$24*$C90+$J$24,IF($C90&lt;$H$12,$I$25*$C90+$J$25,$I$26*$C90+$J$26))))))</f>
        <v>2</v>
      </c>
      <c r="AL90" s="7">
        <f>IF($C90&lt;$H$7,$K$6,IF($C90&lt;$H$8,$K$7,IF($C90&lt;$H$9,$K$8,IF($C90&lt;$H$10,$K$9,IF($C90&lt;$H$11,$K$10,IF($C90&lt;$H$12,$K$11,$K$12))))))</f>
        <v>6</v>
      </c>
      <c r="AM90" s="231"/>
      <c r="AN90" s="86"/>
      <c r="AO90" s="86"/>
      <c r="AP90" s="86"/>
      <c r="AQ90" s="86"/>
      <c r="AR90" s="86"/>
      <c r="AS90" s="86">
        <f t="shared" si="8"/>
        <v>3.0767123966942152E-2</v>
      </c>
      <c r="AT90" s="86">
        <f t="shared" si="9"/>
        <v>1.1666363636363635</v>
      </c>
      <c r="AU90" s="86">
        <f t="shared" si="3"/>
        <v>0.81026249999999989</v>
      </c>
      <c r="AV90" s="86">
        <f t="shared" si="4"/>
        <v>0.43748863636363633</v>
      </c>
      <c r="AW90" s="227">
        <f t="shared" si="5"/>
        <v>0.23332727272727272</v>
      </c>
      <c r="AX90" s="71">
        <f>AS90*$Y$4*パラメータ!$D$24</f>
        <v>10.153150909090909</v>
      </c>
      <c r="AY90" s="1">
        <f>AU90*$Y$5*E90*パラメータ!$D$30</f>
        <v>27.548924999999997</v>
      </c>
      <c r="AZ90" s="1">
        <f>SUMPRODUCT($AD$4:$AD$10,$AE$4:$AE$10)*E90*パラメータ!$D$28*10^-3</f>
        <v>12.75</v>
      </c>
      <c r="BA90" s="1">
        <f>(AV90+AW90)*$Y$6*$Y$4*パラメータ!$D$22*10^-3</f>
        <v>4.528007386363635</v>
      </c>
      <c r="BB90" s="1">
        <f>($Y$8*$Y$9*パラメータ!$D$22+0.5*$Y$8^2*SIN(RADIANS($Y$10))*パラメータ!$D$25)*E90*10^-3</f>
        <v>3.3081478802897957</v>
      </c>
      <c r="BC90" s="1">
        <f>AT90*($Y$12)</f>
        <v>11.666363636363634</v>
      </c>
      <c r="BD90" s="1">
        <f>$Y$11</f>
        <v>4</v>
      </c>
      <c r="BE90" s="1">
        <f>IF(G90="端リブ",AS90*$Y$13*パラメータ!$D$22*2,0)</f>
        <v>0</v>
      </c>
      <c r="BF90" s="1">
        <f>主桁!AV52*1000</f>
        <v>73.402069352507084</v>
      </c>
      <c r="BG90" s="1">
        <f t="shared" si="10"/>
        <v>73.95459481210797</v>
      </c>
      <c r="BH90" s="1">
        <f t="shared" si="11"/>
        <v>0.14735666416461504</v>
      </c>
      <c r="BI90" s="2" t="e">
        <f>(AO90-重量分布!$E$15)^2+(AP90-重量分布!$F$15)^2</f>
        <v>#REF!</v>
      </c>
      <c r="BJ90" s="2" t="e">
        <f>(AP90-重量分布!$F$15)^2</f>
        <v>#REF!</v>
      </c>
      <c r="BK90" s="237">
        <f>(AO90-重量分布!$E$15)^2</f>
        <v>0</v>
      </c>
    </row>
    <row r="91" spans="2:63">
      <c r="B91" s="29">
        <v>47</v>
      </c>
      <c r="C91" s="1">
        <f t="shared" si="13"/>
        <v>9.7999999999999989</v>
      </c>
      <c r="D91" s="1">
        <f>IF($C91&lt;$H$7,$G$20*$C91+$H$20,IF($C91&lt;$H$8,$G$21*$C91+$H$21,IF($C91&lt;$H$9,$G$22*$C91+$H$22,IF($C91&lt;$H$10,$G$23*$C91+$H$23,IF($C91&lt;$H$11,$G$24*$C91+$H$24,IF($C91&lt;$H$12,$G$25*$C91+$H$25,$G$26*$C91+$H$26))))))*10^3</f>
        <v>560.90909090909088</v>
      </c>
      <c r="E91" s="22">
        <v>0.2</v>
      </c>
      <c r="F91" s="22" t="str">
        <f t="shared" si="14"/>
        <v>4th</v>
      </c>
      <c r="G91" s="75" t="str">
        <f>IF(OR(C91=$F$38,C91=$G$38,C91=$H$38),"端リブ",IF(C91&lt;$F$38,"0番",IF(C91&lt;$G$38,"1番",IF(C91&lt;$H$38,"2番",IF(C91&lt;$I$38,"3番","ウィングレット")))))</f>
        <v>3番</v>
      </c>
      <c r="H91" s="1">
        <f>IF($C91&lt;$H$7,$K$20*$C91+$L$20,IF($C91&lt;$H$8,$K$21*$C91+$L$21,IF($C91&lt;$H$9,$K$22*$C91+$L$22,IF($C91&lt;$H$10,$K$23*$C91+$L$24,IF($C91&lt;$H$11,$K$24*$C91+$L$23,IF($C91&lt;$H$12,$K$25*$C91+$L$25,$K$26*$C91+$L$26))))))</f>
        <v>0.35</v>
      </c>
      <c r="I91" s="9">
        <f>主桁!AD53*2</f>
        <v>64.852000000000018</v>
      </c>
      <c r="J91" s="1">
        <f>主桁!AE53*2</f>
        <v>64.852000000000018</v>
      </c>
      <c r="K91" s="227"/>
      <c r="L91" s="232"/>
      <c r="M91" s="86"/>
      <c r="N91" s="86"/>
      <c r="O91" s="231"/>
      <c r="P91" s="86"/>
      <c r="Q91" s="86"/>
      <c r="R91" s="86"/>
      <c r="S91" s="86"/>
      <c r="T91" s="86"/>
      <c r="U91" s="86"/>
      <c r="V91" s="86"/>
      <c r="W91" s="86"/>
      <c r="X91" s="86"/>
      <c r="Y91" s="86"/>
      <c r="Z91" s="86"/>
      <c r="AA91" s="86"/>
      <c r="AB91" s="86"/>
      <c r="AC91" s="71" t="str">
        <f>IF($C91&lt;$H$7,$M$6,IF($C91&lt;$H$8,$M$7,IF($C91&lt;$H$9,$M$8,IF($C91&lt;$H$10,$M$9,IF($C91&lt;$H$11,$M$10,IF($C91&lt;$H$12,$M$11,$M$12))))))</f>
        <v>QX0023</v>
      </c>
      <c r="AD91" s="1">
        <f t="shared" si="7"/>
        <v>45.454545454545517</v>
      </c>
      <c r="AE91" s="1" t="str">
        <f>IF($C91&lt;$H$7,$M$7,IF($C91&lt;$H$8,$M$8,IF($C91&lt;$H$9,$M$9,IF($C91&lt;$H$10,$M$10,IF($C91&lt;$H$11,$M$11,IF($C91&lt;$H$12,$M$12,$M$13))))))</f>
        <v>QX0123</v>
      </c>
      <c r="AF91" s="1">
        <f>IF(AC91=AE91,0,IF($C91&lt;$H$7,($C91-$H$6)/($H$7-$H$6),IF($C91&lt;$H$8,($C91-$H$7)/($H$8-$H$7),IF($C91&lt;$H$9,($C91-$H$8)/($H$9-$H$8),IF($C91&lt;$H$10,($C91-$H$9)/($H$10-$H$9),IF($C91&lt;$H$11,($C91-$H$10)/($H$11-$H$10),IF($C91&lt;$H$12,($C91-$H$11)/($H$12-$H$11),($C91-$H$12)/($H$13-$H$12))))))))*100</f>
        <v>54.545454545454483</v>
      </c>
      <c r="AG91" s="1">
        <f>D91*H91/1000</f>
        <v>0.19631818181818178</v>
      </c>
      <c r="AH91" s="1">
        <f>AG91-D91/1000</f>
        <v>-0.36459090909090913</v>
      </c>
      <c r="AI91" s="1">
        <f>AI90+E90*COS(RADIANS(AL90))</f>
        <v>8.9857569279575173</v>
      </c>
      <c r="AJ91" s="1">
        <f>AJ90+E90*SIN(RADIANS(AL90))</f>
        <v>0.27177400449589911</v>
      </c>
      <c r="AK91" s="1">
        <f>IF($C91&lt;$H$7,$I$20*$C91+$J$20,IF($C91&lt;$H$8,$I$21*$C91+$J$21,IF($C91&lt;$H$9,$I$22*$C91+$J$22,IF($C91&lt;$H$10,$I$23*$C91+$J$23,IF($C91&lt;$H$11,$I$24*$C91+$J$24,IF($C91&lt;$H$12,$I$25*$C91+$J$25,$I$26*$C91+$J$26))))))</f>
        <v>2</v>
      </c>
      <c r="AL91" s="7">
        <f>IF($C91&lt;$H$7,$K$6,IF($C91&lt;$H$8,$K$7,IF($C91&lt;$H$9,$K$8,IF($C91&lt;$H$10,$K$9,IF($C91&lt;$H$11,$K$10,IF($C91&lt;$H$12,$K$11,$K$12))))))</f>
        <v>6</v>
      </c>
      <c r="AM91" s="231"/>
      <c r="AN91" s="86"/>
      <c r="AO91" s="86"/>
      <c r="AP91" s="86"/>
      <c r="AQ91" s="86"/>
      <c r="AR91" s="86"/>
      <c r="AS91" s="86">
        <f t="shared" si="8"/>
        <v>2.9888805785123967E-2</v>
      </c>
      <c r="AT91" s="86">
        <f t="shared" si="9"/>
        <v>1.1498636363636363</v>
      </c>
      <c r="AU91" s="86">
        <f t="shared" si="3"/>
        <v>0.81026249999999989</v>
      </c>
      <c r="AV91" s="86">
        <f t="shared" si="4"/>
        <v>0.43119886363636362</v>
      </c>
      <c r="AW91" s="227">
        <f t="shared" si="5"/>
        <v>0.22997272727272727</v>
      </c>
      <c r="AX91" s="71">
        <f>AS91*$Y$4*パラメータ!$D$24</f>
        <v>9.8633059090909097</v>
      </c>
      <c r="AY91" s="1">
        <f>AU91*$Y$5*E91*パラメータ!$D$30</f>
        <v>27.548924999999997</v>
      </c>
      <c r="AZ91" s="1">
        <f>SUMPRODUCT($AD$4:$AD$10,$AE$4:$AE$10)*E91*パラメータ!$D$28*10^-3</f>
        <v>12.75</v>
      </c>
      <c r="BA91" s="1">
        <f>(AV91+AW91)*$Y$6*$Y$4*パラメータ!$D$22*10^-3</f>
        <v>4.4629082386363645</v>
      </c>
      <c r="BB91" s="1">
        <f>($Y$8*$Y$9*パラメータ!$D$22+0.5*$Y$8^2*SIN(RADIANS($Y$10))*パラメータ!$D$25)*E91*10^-3</f>
        <v>3.3081478802897957</v>
      </c>
      <c r="BC91" s="1">
        <f>AT91*($Y$12)</f>
        <v>11.498636363636363</v>
      </c>
      <c r="BD91" s="1">
        <f>$Y$11</f>
        <v>4</v>
      </c>
      <c r="BE91" s="1">
        <f>IF(G91="端リブ",AS91*$Y$13*パラメータ!$D$22*2,0)</f>
        <v>0</v>
      </c>
      <c r="BF91" s="1">
        <f>主桁!AV53*1000</f>
        <v>71.517757134804768</v>
      </c>
      <c r="BG91" s="1">
        <f t="shared" si="10"/>
        <v>73.431923391653427</v>
      </c>
      <c r="BH91" s="1">
        <f t="shared" si="11"/>
        <v>0.14494968052645821</v>
      </c>
      <c r="BI91" s="2" t="e">
        <f>(AO91-重量分布!$E$15)^2+(AP91-重量分布!$F$15)^2</f>
        <v>#REF!</v>
      </c>
      <c r="BJ91" s="2" t="e">
        <f>(AP91-重量分布!$F$15)^2</f>
        <v>#REF!</v>
      </c>
      <c r="BK91" s="237">
        <f>(AO91-重量分布!$E$15)^2</f>
        <v>0</v>
      </c>
    </row>
    <row r="92" spans="2:63">
      <c r="B92" s="29">
        <v>48</v>
      </c>
      <c r="C92" s="1">
        <f t="shared" si="13"/>
        <v>9.9999999999999982</v>
      </c>
      <c r="D92" s="1">
        <f>IF($C92&lt;$H$7,$G$20*$C92+$H$20,IF($C92&lt;$H$8,$G$21*$C92+$H$21,IF($C92&lt;$H$9,$G$22*$C92+$H$22,IF($C92&lt;$H$10,$G$23*$C92+$H$23,IF($C92&lt;$H$11,$G$24*$C92+$H$24,IF($C92&lt;$H$12,$G$25*$C92+$H$25,$G$26*$C92+$H$26))))))*10^3</f>
        <v>552.72727272727275</v>
      </c>
      <c r="E92" s="22">
        <v>0.2</v>
      </c>
      <c r="F92" s="22" t="str">
        <f t="shared" si="14"/>
        <v>4th</v>
      </c>
      <c r="G92" s="75" t="str">
        <f>IF(OR(C92=$F$38,C92=$G$38,C92=$H$38),"端リブ",IF(C92&lt;$F$38,"0番",IF(C92&lt;$G$38,"1番",IF(C92&lt;$H$38,"2番",IF(C92&lt;$I$38,"3番","ウィングレット")))))</f>
        <v>3番</v>
      </c>
      <c r="H92" s="1">
        <f>IF($C92&lt;$H$7,$K$20*$C92+$L$20,IF($C92&lt;$H$8,$K$21*$C92+$L$21,IF($C92&lt;$H$9,$K$22*$C92+$L$22,IF($C92&lt;$H$10,$K$23*$C92+$L$24,IF($C92&lt;$H$11,$K$24*$C92+$L$23,IF($C92&lt;$H$12,$K$25*$C92+$L$25,$K$26*$C92+$L$26))))))</f>
        <v>0.35</v>
      </c>
      <c r="I92" s="9">
        <f>主桁!AD54*2</f>
        <v>63.152000000000022</v>
      </c>
      <c r="J92" s="1">
        <f>主桁!AE54*2</f>
        <v>63.152000000000022</v>
      </c>
      <c r="K92" s="227"/>
      <c r="L92" s="232"/>
      <c r="M92" s="86"/>
      <c r="N92" s="86"/>
      <c r="O92" s="231"/>
      <c r="P92" s="86"/>
      <c r="Q92" s="86"/>
      <c r="R92" s="86"/>
      <c r="S92" s="86"/>
      <c r="T92" s="86"/>
      <c r="U92" s="86"/>
      <c r="V92" s="86"/>
      <c r="W92" s="86"/>
      <c r="X92" s="86"/>
      <c r="Y92" s="86"/>
      <c r="Z92" s="86"/>
      <c r="AA92" s="86"/>
      <c r="AB92" s="86"/>
      <c r="AC92" s="71" t="str">
        <f>IF($C92&lt;$H$7,$M$6,IF($C92&lt;$H$8,$M$7,IF($C92&lt;$H$9,$M$8,IF($C92&lt;$H$10,$M$9,IF($C92&lt;$H$11,$M$10,IF($C92&lt;$H$12,$M$11,$M$12))))))</f>
        <v>QX0023</v>
      </c>
      <c r="AD92" s="1">
        <f t="shared" si="7"/>
        <v>36.363636363636466</v>
      </c>
      <c r="AE92" s="1" t="str">
        <f>IF($C92&lt;$H$7,$M$7,IF($C92&lt;$H$8,$M$8,IF($C92&lt;$H$9,$M$9,IF($C92&lt;$H$10,$M$10,IF($C92&lt;$H$11,$M$11,IF($C92&lt;$H$12,$M$12,$M$13))))))</f>
        <v>QX0123</v>
      </c>
      <c r="AF92" s="1">
        <f>IF(AC92=AE92,0,IF($C92&lt;$H$7,($C92-$H$6)/($H$7-$H$6),IF($C92&lt;$H$8,($C92-$H$7)/($H$8-$H$7),IF($C92&lt;$H$9,($C92-$H$8)/($H$9-$H$8),IF($C92&lt;$H$10,($C92-$H$9)/($H$10-$H$9),IF($C92&lt;$H$11,($C92-$H$10)/($H$11-$H$10),IF($C92&lt;$H$12,($C92-$H$11)/($H$12-$H$11),($C92-$H$12)/($H$13-$H$12))))))))*100</f>
        <v>63.636363636363534</v>
      </c>
      <c r="AG92" s="1">
        <f>D92*H92/1000</f>
        <v>0.19345454545454543</v>
      </c>
      <c r="AH92" s="1">
        <f>AG92-D92/1000</f>
        <v>-0.3592727272727273</v>
      </c>
      <c r="AI92" s="1">
        <f>AI91+E91*COS(RADIANS(AL91))</f>
        <v>9.1846613070311722</v>
      </c>
      <c r="AJ92" s="1">
        <f>AJ91+E91*SIN(RADIANS(AL91))</f>
        <v>0.29267969714942982</v>
      </c>
      <c r="AK92" s="1">
        <f>IF($C92&lt;$H$7,$I$20*$C92+$J$20,IF($C92&lt;$H$8,$I$21*$C92+$J$21,IF($C92&lt;$H$9,$I$22*$C92+$J$22,IF($C92&lt;$H$10,$I$23*$C92+$J$23,IF($C92&lt;$H$11,$I$24*$C92+$J$24,IF($C92&lt;$H$12,$I$25*$C92+$J$25,$I$26*$C92+$J$26))))))</f>
        <v>2</v>
      </c>
      <c r="AL92" s="7">
        <f>IF($C92&lt;$H$7,$K$6,IF($C92&lt;$H$8,$K$7,IF($C92&lt;$H$9,$K$8,IF($C92&lt;$H$10,$K$9,IF($C92&lt;$H$11,$K$10,IF($C92&lt;$H$12,$K$11,$K$12))))))</f>
        <v>6</v>
      </c>
      <c r="AM92" s="231"/>
      <c r="AN92" s="86"/>
      <c r="AO92" s="86"/>
      <c r="AP92" s="86"/>
      <c r="AQ92" s="86"/>
      <c r="AR92" s="86"/>
      <c r="AS92" s="86">
        <f t="shared" si="8"/>
        <v>2.9023206611570245E-2</v>
      </c>
      <c r="AT92" s="86">
        <f t="shared" si="9"/>
        <v>1.1330909090909089</v>
      </c>
      <c r="AU92" s="86">
        <f t="shared" si="3"/>
        <v>0.81026249999999989</v>
      </c>
      <c r="AV92" s="86">
        <f t="shared" si="4"/>
        <v>0.42490909090909085</v>
      </c>
      <c r="AW92" s="227">
        <f t="shared" si="5"/>
        <v>0.2266181818181818</v>
      </c>
      <c r="AX92" s="71">
        <f>AS92*$Y$4*パラメータ!$D$24</f>
        <v>9.5776581818181814</v>
      </c>
      <c r="AY92" s="1">
        <f>AU92*$Y$5*E92*パラメータ!$D$30</f>
        <v>27.548924999999997</v>
      </c>
      <c r="AZ92" s="1">
        <f>SUMPRODUCT($AD$4:$AD$10,$AE$4:$AE$10)*E92*パラメータ!$D$28*10^-3</f>
        <v>12.75</v>
      </c>
      <c r="BA92" s="1">
        <f>(AV92+AW92)*$Y$6*$Y$4*パラメータ!$D$22*10^-3</f>
        <v>4.3978090909090897</v>
      </c>
      <c r="BB92" s="1">
        <f>($Y$8*$Y$9*パラメータ!$D$22+0.5*$Y$8^2*SIN(RADIANS($Y$10))*パラメータ!$D$25)*E92*10^-3</f>
        <v>3.3081478802897957</v>
      </c>
      <c r="BC92" s="1">
        <f>AT92*($Y$12)</f>
        <v>11.330909090909088</v>
      </c>
      <c r="BD92" s="1">
        <f>$Y$11</f>
        <v>4</v>
      </c>
      <c r="BE92" s="1">
        <f>IF(G92="端リブ",AS92*$Y$13*パラメータ!$D$22*2,0)</f>
        <v>0</v>
      </c>
      <c r="BF92" s="1">
        <f>主桁!AV54*1000</f>
        <v>69.633442042904889</v>
      </c>
      <c r="BG92" s="1">
        <f t="shared" si="10"/>
        <v>72.913449243926152</v>
      </c>
      <c r="BH92" s="1">
        <f t="shared" si="11"/>
        <v>0.14254689128683107</v>
      </c>
      <c r="BI92" s="2" t="e">
        <f>(AO92-重量分布!$E$15)^2+(AP92-重量分布!$F$15)^2</f>
        <v>#REF!</v>
      </c>
      <c r="BJ92" s="2" t="e">
        <f>(AP92-重量分布!$F$15)^2</f>
        <v>#REF!</v>
      </c>
      <c r="BK92" s="237">
        <f>(AO92-重量分布!$E$15)^2</f>
        <v>0</v>
      </c>
    </row>
    <row r="93" spans="2:63">
      <c r="B93" s="29">
        <v>49</v>
      </c>
      <c r="C93" s="1">
        <f t="shared" si="13"/>
        <v>10.199999999999998</v>
      </c>
      <c r="D93" s="1">
        <f>IF($C93&lt;$H$7,$G$20*$C93+$H$20,IF($C93&lt;$H$8,$G$21*$C93+$H$21,IF($C93&lt;$H$9,$G$22*$C93+$H$22,IF($C93&lt;$H$10,$G$23*$C93+$H$23,IF($C93&lt;$H$11,$G$24*$C93+$H$24,IF($C93&lt;$H$12,$G$25*$C93+$H$25,$G$26*$C93+$H$26))))))*10^3</f>
        <v>544.54545454545462</v>
      </c>
      <c r="E93" s="22">
        <v>0.2</v>
      </c>
      <c r="F93" s="22" t="str">
        <f t="shared" si="14"/>
        <v>4th</v>
      </c>
      <c r="G93" s="75" t="str">
        <f>IF(OR(C93=$F$38,C93=$G$38,C93=$H$38),"端リブ",IF(C93&lt;$F$38,"0番",IF(C93&lt;$G$38,"1番",IF(C93&lt;$H$38,"2番",IF(C93&lt;$I$38,"3番","ウィングレット")))))</f>
        <v>3番</v>
      </c>
      <c r="H93" s="1">
        <f>IF($C93&lt;$H$7,$K$20*$C93+$L$20,IF($C93&lt;$H$8,$K$21*$C93+$L$21,IF($C93&lt;$H$9,$K$22*$C93+$L$22,IF($C93&lt;$H$10,$K$23*$C93+$L$24,IF($C93&lt;$H$11,$K$24*$C93+$L$23,IF($C93&lt;$H$12,$K$25*$C93+$L$25,$K$26*$C93+$L$26))))))</f>
        <v>0.35</v>
      </c>
      <c r="I93" s="9">
        <f>主桁!AD55*2</f>
        <v>61.452000000000027</v>
      </c>
      <c r="J93" s="1">
        <f>主桁!AE55*2</f>
        <v>61.452000000000027</v>
      </c>
      <c r="K93" s="227"/>
      <c r="L93" s="232"/>
      <c r="M93" s="86"/>
      <c r="N93" s="86"/>
      <c r="O93" s="231"/>
      <c r="P93" s="86"/>
      <c r="Q93" s="86"/>
      <c r="R93" s="86"/>
      <c r="S93" s="86"/>
      <c r="T93" s="86"/>
      <c r="U93" s="86"/>
      <c r="V93" s="86"/>
      <c r="W93" s="86"/>
      <c r="X93" s="86"/>
      <c r="Y93" s="86"/>
      <c r="Z93" s="86"/>
      <c r="AA93" s="86"/>
      <c r="AB93" s="86"/>
      <c r="AC93" s="71" t="str">
        <f>IF($C93&lt;$H$7,$M$6,IF($C93&lt;$H$8,$M$7,IF($C93&lt;$H$9,$M$8,IF($C93&lt;$H$10,$M$9,IF($C93&lt;$H$11,$M$10,IF($C93&lt;$H$12,$M$11,$M$12))))))</f>
        <v>QX0023</v>
      </c>
      <c r="AD93" s="1">
        <f t="shared" si="7"/>
        <v>27.272727272727408</v>
      </c>
      <c r="AE93" s="1" t="str">
        <f>IF($C93&lt;$H$7,$M$7,IF($C93&lt;$H$8,$M$8,IF($C93&lt;$H$9,$M$9,IF($C93&lt;$H$10,$M$10,IF($C93&lt;$H$11,$M$11,IF($C93&lt;$H$12,$M$12,$M$13))))))</f>
        <v>QX0123</v>
      </c>
      <c r="AF93" s="1">
        <f>IF(AC93=AE93,0,IF($C93&lt;$H$7,($C93-$H$6)/($H$7-$H$6),IF($C93&lt;$H$8,($C93-$H$7)/($H$8-$H$7),IF($C93&lt;$H$9,($C93-$H$8)/($H$9-$H$8),IF($C93&lt;$H$10,($C93-$H$9)/($H$10-$H$9),IF($C93&lt;$H$11,($C93-$H$10)/($H$11-$H$10),IF($C93&lt;$H$12,($C93-$H$11)/($H$12-$H$11),($C93-$H$12)/($H$13-$H$12))))))))*100</f>
        <v>72.727272727272592</v>
      </c>
      <c r="AG93" s="1">
        <f>D93*H93/1000</f>
        <v>0.19059090909090909</v>
      </c>
      <c r="AH93" s="1">
        <f>AG93-D93/1000</f>
        <v>-0.35395454545454558</v>
      </c>
      <c r="AI93" s="1">
        <f>AI92+E92*COS(RADIANS(AL92))</f>
        <v>9.3835656861048271</v>
      </c>
      <c r="AJ93" s="1">
        <f>AJ92+E92*SIN(RADIANS(AL92))</f>
        <v>0.31358538980296052</v>
      </c>
      <c r="AK93" s="1">
        <f>IF($C93&lt;$H$7,$I$20*$C93+$J$20,IF($C93&lt;$H$8,$I$21*$C93+$J$21,IF($C93&lt;$H$9,$I$22*$C93+$J$22,IF($C93&lt;$H$10,$I$23*$C93+$J$23,IF($C93&lt;$H$11,$I$24*$C93+$J$24,IF($C93&lt;$H$12,$I$25*$C93+$J$25,$I$26*$C93+$J$26))))))</f>
        <v>2</v>
      </c>
      <c r="AL93" s="7">
        <f>IF($C93&lt;$H$7,$K$6,IF($C93&lt;$H$8,$K$7,IF($C93&lt;$H$9,$K$8,IF($C93&lt;$H$10,$K$9,IF($C93&lt;$H$11,$K$10,IF($C93&lt;$H$12,$K$11,$K$12))))))</f>
        <v>6</v>
      </c>
      <c r="AM93" s="231"/>
      <c r="AN93" s="86"/>
      <c r="AO93" s="86"/>
      <c r="AP93" s="86"/>
      <c r="AQ93" s="86"/>
      <c r="AR93" s="86"/>
      <c r="AS93" s="86">
        <f t="shared" si="8"/>
        <v>2.8170326446281004E-2</v>
      </c>
      <c r="AT93" s="86">
        <f t="shared" si="9"/>
        <v>1.1163181818181818</v>
      </c>
      <c r="AU93" s="86">
        <f t="shared" si="3"/>
        <v>0.81026249999999989</v>
      </c>
      <c r="AV93" s="86">
        <f t="shared" si="4"/>
        <v>0.41861931818181819</v>
      </c>
      <c r="AW93" s="227">
        <f t="shared" si="5"/>
        <v>0.22326363636363636</v>
      </c>
      <c r="AX93" s="71">
        <f>AS93*$Y$4*パラメータ!$D$24</f>
        <v>9.2962077272727299</v>
      </c>
      <c r="AY93" s="1">
        <f>AU93*$Y$5*E93*パラメータ!$D$30</f>
        <v>27.548924999999997</v>
      </c>
      <c r="AZ93" s="1">
        <f>SUMPRODUCT($AD$4:$AD$10,$AE$4:$AE$10)*E93*パラメータ!$D$28*10^-3</f>
        <v>12.75</v>
      </c>
      <c r="BA93" s="1">
        <f>(AV93+AW93)*$Y$6*$Y$4*パラメータ!$D$22*10^-3</f>
        <v>4.3327099431818192</v>
      </c>
      <c r="BB93" s="1">
        <f>($Y$8*$Y$9*パラメータ!$D$22+0.5*$Y$8^2*SIN(RADIANS($Y$10))*パラメータ!$D$25)*E93*10^-3</f>
        <v>3.3081478802897957</v>
      </c>
      <c r="BC93" s="1">
        <f>AT93*($Y$12)</f>
        <v>11.163181818181817</v>
      </c>
      <c r="BD93" s="1">
        <f>$Y$11</f>
        <v>4</v>
      </c>
      <c r="BE93" s="1">
        <f>IF(G93="端リブ",AS93*$Y$13*パラメータ!$D$22*2,0)</f>
        <v>0</v>
      </c>
      <c r="BF93" s="1">
        <f>主桁!AV55*1000</f>
        <v>67.749123836975386</v>
      </c>
      <c r="BG93" s="1">
        <f t="shared" si="10"/>
        <v>72.399172368926159</v>
      </c>
      <c r="BH93" s="1">
        <f t="shared" si="11"/>
        <v>0.14014829620590155</v>
      </c>
      <c r="BI93" s="2" t="e">
        <f>(AO93-重量分布!$E$15)^2+(AP93-重量分布!$F$15)^2</f>
        <v>#REF!</v>
      </c>
      <c r="BJ93" s="2" t="e">
        <f>(AP93-重量分布!$F$15)^2</f>
        <v>#REF!</v>
      </c>
      <c r="BK93" s="237">
        <f>(AO93-重量分布!$E$15)^2</f>
        <v>0</v>
      </c>
    </row>
    <row r="94" spans="2:63">
      <c r="B94" s="29">
        <v>50</v>
      </c>
      <c r="C94" s="1">
        <f t="shared" si="13"/>
        <v>10.399999999999997</v>
      </c>
      <c r="D94" s="1">
        <f>IF($C94&lt;$H$7,$G$20*$C94+$H$20,IF($C94&lt;$H$8,$G$21*$C94+$H$21,IF($C94&lt;$H$9,$G$22*$C94+$H$22,IF($C94&lt;$H$10,$G$23*$C94+$H$23,IF($C94&lt;$H$11,$G$24*$C94+$H$24,IF($C94&lt;$H$12,$G$25*$C94+$H$25,$G$26*$C94+$H$26))))))*10^3</f>
        <v>536.36363636363649</v>
      </c>
      <c r="E94" s="22">
        <v>0.2</v>
      </c>
      <c r="F94" s="22" t="str">
        <f t="shared" si="14"/>
        <v>4th</v>
      </c>
      <c r="G94" s="75" t="str">
        <f>IF(OR(C94=$F$38,C94=$G$38,C94=$H$38),"端リブ",IF(C94&lt;$F$38,"0番",IF(C94&lt;$G$38,"1番",IF(C94&lt;$H$38,"2番",IF(C94&lt;$I$38,"3番","ウィングレット")))))</f>
        <v>3番</v>
      </c>
      <c r="H94" s="1">
        <f>IF($C94&lt;$H$7,$K$20*$C94+$L$20,IF($C94&lt;$H$8,$K$21*$C94+$L$21,IF($C94&lt;$H$9,$K$22*$C94+$L$22,IF($C94&lt;$H$10,$K$23*$C94+$L$24,IF($C94&lt;$H$11,$K$24*$C94+$L$23,IF($C94&lt;$H$12,$K$25*$C94+$L$25,$K$26*$C94+$L$26))))))</f>
        <v>0.35</v>
      </c>
      <c r="I94" s="9">
        <f>主桁!AD56*2</f>
        <v>59.752000000000031</v>
      </c>
      <c r="J94" s="1">
        <f>主桁!AE56*2</f>
        <v>59.752000000000031</v>
      </c>
      <c r="K94" s="227"/>
      <c r="L94" s="232"/>
      <c r="M94" s="86"/>
      <c r="N94" s="86"/>
      <c r="O94" s="231"/>
      <c r="P94" s="86"/>
      <c r="Q94" s="86"/>
      <c r="R94" s="86"/>
      <c r="S94" s="86"/>
      <c r="T94" s="86"/>
      <c r="U94" s="86"/>
      <c r="V94" s="86"/>
      <c r="W94" s="86"/>
      <c r="X94" s="86"/>
      <c r="Y94" s="86"/>
      <c r="Z94" s="86"/>
      <c r="AA94" s="86"/>
      <c r="AB94" s="86"/>
      <c r="AC94" s="71" t="str">
        <f>IF($C94&lt;$H$7,$M$6,IF($C94&lt;$H$8,$M$7,IF($C94&lt;$H$9,$M$8,IF($C94&lt;$H$10,$M$9,IF($C94&lt;$H$11,$M$10,IF($C94&lt;$H$12,$M$11,$M$12))))))</f>
        <v>QX0023</v>
      </c>
      <c r="AD94" s="1">
        <f t="shared" si="7"/>
        <v>18.181818181818358</v>
      </c>
      <c r="AE94" s="1" t="str">
        <f>IF($C94&lt;$H$7,$M$7,IF($C94&lt;$H$8,$M$8,IF($C94&lt;$H$9,$M$9,IF($C94&lt;$H$10,$M$10,IF($C94&lt;$H$11,$M$11,IF($C94&lt;$H$12,$M$12,$M$13))))))</f>
        <v>QX0123</v>
      </c>
      <c r="AF94" s="1">
        <f>IF(AC94=AE94,0,IF($C94&lt;$H$7,($C94-$H$6)/($H$7-$H$6),IF($C94&lt;$H$8,($C94-$H$7)/($H$8-$H$7),IF($C94&lt;$H$9,($C94-$H$8)/($H$9-$H$8),IF($C94&lt;$H$10,($C94-$H$9)/($H$10-$H$9),IF($C94&lt;$H$11,($C94-$H$10)/($H$11-$H$10),IF($C94&lt;$H$12,($C94-$H$11)/($H$12-$H$11),($C94-$H$12)/($H$13-$H$12))))))))*100</f>
        <v>81.818181818181642</v>
      </c>
      <c r="AG94" s="1">
        <f>D94*H94/1000</f>
        <v>0.18772727272727274</v>
      </c>
      <c r="AH94" s="1">
        <f>AG94-D94/1000</f>
        <v>-0.34863636363636374</v>
      </c>
      <c r="AI94" s="1">
        <f>AI93+E93*COS(RADIANS(AL93))</f>
        <v>9.582470065178482</v>
      </c>
      <c r="AJ94" s="1">
        <f>AJ93+E93*SIN(RADIANS(AL93))</f>
        <v>0.33449108245649123</v>
      </c>
      <c r="AK94" s="1">
        <f>IF($C94&lt;$H$7,$I$20*$C94+$J$20,IF($C94&lt;$H$8,$I$21*$C94+$J$21,IF($C94&lt;$H$9,$I$22*$C94+$J$22,IF($C94&lt;$H$10,$I$23*$C94+$J$23,IF($C94&lt;$H$11,$I$24*$C94+$J$24,IF($C94&lt;$H$12,$I$25*$C94+$J$25,$I$26*$C94+$J$26))))))</f>
        <v>2</v>
      </c>
      <c r="AL94" s="7">
        <f>IF($C94&lt;$H$7,$K$6,IF($C94&lt;$H$8,$K$7,IF($C94&lt;$H$9,$K$8,IF($C94&lt;$H$10,$K$9,IF($C94&lt;$H$11,$K$10,IF($C94&lt;$H$12,$K$11,$K$12))))))</f>
        <v>6</v>
      </c>
      <c r="AM94" s="231"/>
      <c r="AN94" s="86"/>
      <c r="AO94" s="86"/>
      <c r="AP94" s="86"/>
      <c r="AQ94" s="86"/>
      <c r="AR94" s="86"/>
      <c r="AS94" s="86">
        <f t="shared" si="8"/>
        <v>2.7330165289256209E-2</v>
      </c>
      <c r="AT94" s="86">
        <f t="shared" si="9"/>
        <v>1.0995454545454548</v>
      </c>
      <c r="AU94" s="86">
        <f t="shared" si="3"/>
        <v>0.81026249999999989</v>
      </c>
      <c r="AV94" s="86">
        <f t="shared" si="4"/>
        <v>0.41232954545454559</v>
      </c>
      <c r="AW94" s="227">
        <f t="shared" si="5"/>
        <v>0.21990909090909097</v>
      </c>
      <c r="AX94" s="71">
        <f>AS94*$Y$4*パラメータ!$D$24</f>
        <v>9.0189545454545481</v>
      </c>
      <c r="AY94" s="1">
        <f>AU94*$Y$5*E94*パラメータ!$D$30</f>
        <v>27.548924999999997</v>
      </c>
      <c r="AZ94" s="1">
        <f>SUMPRODUCT($AD$4:$AD$10,$AE$4:$AE$10)*E94*パラメータ!$D$28*10^-3</f>
        <v>12.75</v>
      </c>
      <c r="BA94" s="1">
        <f>(AV94+AW94)*$Y$6*$Y$4*パラメータ!$D$22*10^-3</f>
        <v>4.267610795454547</v>
      </c>
      <c r="BB94" s="1">
        <f>($Y$8*$Y$9*パラメータ!$D$22+0.5*$Y$8^2*SIN(RADIANS($Y$10))*パラメータ!$D$25)*E94*10^-3</f>
        <v>3.3081478802897957</v>
      </c>
      <c r="BC94" s="1">
        <f>AT94*($Y$12)</f>
        <v>10.995454545454548</v>
      </c>
      <c r="BD94" s="1">
        <f>$Y$11</f>
        <v>4</v>
      </c>
      <c r="BE94" s="1">
        <f>IF(G94="端リブ",AS94*$Y$13*パラメータ!$D$22*2,0)</f>
        <v>0</v>
      </c>
      <c r="BF94" s="1">
        <f>主桁!AV56*1000</f>
        <v>65.864802249694336</v>
      </c>
      <c r="BG94" s="1">
        <f t="shared" si="10"/>
        <v>71.889092766653434</v>
      </c>
      <c r="BH94" s="1">
        <f t="shared" si="11"/>
        <v>0.13775389501634777</v>
      </c>
      <c r="BI94" s="2" t="e">
        <f>(AO94-重量分布!$E$15)^2+(AP94-重量分布!$F$15)^2</f>
        <v>#REF!</v>
      </c>
      <c r="BJ94" s="2" t="e">
        <f>(AP94-重量分布!$F$15)^2</f>
        <v>#REF!</v>
      </c>
      <c r="BK94" s="237">
        <f>(AO94-重量分布!$E$15)^2</f>
        <v>0</v>
      </c>
    </row>
    <row r="95" spans="2:63">
      <c r="B95" s="29">
        <v>51</v>
      </c>
      <c r="C95" s="1">
        <f t="shared" si="13"/>
        <v>10.599999999999996</v>
      </c>
      <c r="D95" s="1">
        <f>IF($C95&lt;$H$7,$G$20*$C95+$H$20,IF($C95&lt;$H$8,$G$21*$C95+$H$21,IF($C95&lt;$H$9,$G$22*$C95+$H$22,IF($C95&lt;$H$10,$G$23*$C95+$H$23,IF($C95&lt;$H$11,$G$24*$C95+$H$24,IF($C95&lt;$H$12,$G$25*$C95+$H$25,$G$26*$C95+$H$26))))))*10^3</f>
        <v>528.18181818181836</v>
      </c>
      <c r="E95" s="22">
        <v>0.2</v>
      </c>
      <c r="F95" s="22" t="str">
        <f t="shared" si="14"/>
        <v>4th</v>
      </c>
      <c r="G95" s="75" t="str">
        <f>IF(OR(C95=$F$38,C95=$G$38,C95=$H$38),"端リブ",IF(C95&lt;$F$38,"0番",IF(C95&lt;$G$38,"1番",IF(C95&lt;$H$38,"2番",IF(C95&lt;$I$38,"3番","ウィングレット")))))</f>
        <v>3番</v>
      </c>
      <c r="H95" s="1">
        <f>IF($C95&lt;$H$7,$K$20*$C95+$L$20,IF($C95&lt;$H$8,$K$21*$C95+$L$21,IF($C95&lt;$H$9,$K$22*$C95+$L$22,IF($C95&lt;$H$10,$K$23*$C95+$L$24,IF($C95&lt;$H$11,$K$24*$C95+$L$23,IF($C95&lt;$H$12,$K$25*$C95+$L$25,$K$26*$C95+$L$26))))))</f>
        <v>0.35</v>
      </c>
      <c r="I95" s="9">
        <f>主桁!AD57*2</f>
        <v>58.052000000000042</v>
      </c>
      <c r="J95" s="1">
        <f>主桁!AE57*2</f>
        <v>58.052000000000042</v>
      </c>
      <c r="K95" s="227"/>
      <c r="L95" s="232"/>
      <c r="M95" s="86"/>
      <c r="N95" s="86"/>
      <c r="O95" s="231"/>
      <c r="P95" s="86"/>
      <c r="Q95" s="86"/>
      <c r="R95" s="86"/>
      <c r="S95" s="86"/>
      <c r="T95" s="86"/>
      <c r="U95" s="86"/>
      <c r="V95" s="86"/>
      <c r="W95" s="86"/>
      <c r="X95" s="86"/>
      <c r="Y95" s="86"/>
      <c r="Z95" s="86"/>
      <c r="AA95" s="86"/>
      <c r="AB95" s="86"/>
      <c r="AC95" s="71" t="str">
        <f>IF($C95&lt;$H$7,$M$6,IF($C95&lt;$H$8,$M$7,IF($C95&lt;$H$9,$M$8,IF($C95&lt;$H$10,$M$9,IF($C95&lt;$H$11,$M$10,IF($C95&lt;$H$12,$M$11,$M$12))))))</f>
        <v>QX0023</v>
      </c>
      <c r="AD95" s="1">
        <f t="shared" si="7"/>
        <v>9.0909090909092924</v>
      </c>
      <c r="AE95" s="1" t="str">
        <f>IF($C95&lt;$H$7,$M$7,IF($C95&lt;$H$8,$M$8,IF($C95&lt;$H$9,$M$9,IF($C95&lt;$H$10,$M$10,IF($C95&lt;$H$11,$M$11,IF($C95&lt;$H$12,$M$12,$M$13))))))</f>
        <v>QX0123</v>
      </c>
      <c r="AF95" s="1">
        <f>IF(AC95=AE95,0,IF($C95&lt;$H$7,($C95-$H$6)/($H$7-$H$6),IF($C95&lt;$H$8,($C95-$H$7)/($H$8-$H$7),IF($C95&lt;$H$9,($C95-$H$8)/($H$9-$H$8),IF($C95&lt;$H$10,($C95-$H$9)/($H$10-$H$9),IF($C95&lt;$H$11,($C95-$H$10)/($H$11-$H$10),IF($C95&lt;$H$12,($C95-$H$11)/($H$12-$H$11),($C95-$H$12)/($H$13-$H$12))))))))*100</f>
        <v>90.909090909090708</v>
      </c>
      <c r="AG95" s="1">
        <f>D95*H95/1000</f>
        <v>0.1848636363636364</v>
      </c>
      <c r="AH95" s="1">
        <f>AG95-D95/1000</f>
        <v>-0.34331818181818191</v>
      </c>
      <c r="AI95" s="1">
        <f>AI94+E94*COS(RADIANS(AL94))</f>
        <v>9.7813744442521369</v>
      </c>
      <c r="AJ95" s="1">
        <f>AJ94+E94*SIN(RADIANS(AL94))</f>
        <v>0.35539677511002193</v>
      </c>
      <c r="AK95" s="1">
        <f>IF($C95&lt;$H$7,$I$20*$C95+$J$20,IF($C95&lt;$H$8,$I$21*$C95+$J$21,IF($C95&lt;$H$9,$I$22*$C95+$J$22,IF($C95&lt;$H$10,$I$23*$C95+$J$23,IF($C95&lt;$H$11,$I$24*$C95+$J$24,IF($C95&lt;$H$12,$I$25*$C95+$J$25,$I$26*$C95+$J$26))))))</f>
        <v>2</v>
      </c>
      <c r="AL95" s="7">
        <f>IF($C95&lt;$H$7,$K$6,IF($C95&lt;$H$8,$K$7,IF($C95&lt;$H$9,$K$8,IF($C95&lt;$H$10,$K$9,IF($C95&lt;$H$11,$K$10,IF($C95&lt;$H$12,$K$11,$K$12))))))</f>
        <v>6</v>
      </c>
      <c r="AM95" s="231"/>
      <c r="AN95" s="86"/>
      <c r="AO95" s="86"/>
      <c r="AP95" s="86"/>
      <c r="AQ95" s="86"/>
      <c r="AR95" s="86"/>
      <c r="AS95" s="86">
        <f t="shared" si="8"/>
        <v>2.6502723140495878E-2</v>
      </c>
      <c r="AT95" s="86">
        <f t="shared" si="9"/>
        <v>1.0827727272727274</v>
      </c>
      <c r="AU95" s="86">
        <f t="shared" si="3"/>
        <v>0.81026249999999989</v>
      </c>
      <c r="AV95" s="86">
        <f t="shared" si="4"/>
        <v>0.40603977272727276</v>
      </c>
      <c r="AW95" s="227">
        <f t="shared" si="5"/>
        <v>0.2165545454545455</v>
      </c>
      <c r="AX95" s="71">
        <f>AS95*$Y$4*パラメータ!$D$24</f>
        <v>8.7458986363636395</v>
      </c>
      <c r="AY95" s="1">
        <f>AU95*$Y$5*E95*パラメータ!$D$30</f>
        <v>27.548924999999997</v>
      </c>
      <c r="AZ95" s="1">
        <f>SUMPRODUCT($AD$4:$AD$10,$AE$4:$AE$10)*E95*パラメータ!$D$28*10^-3</f>
        <v>12.75</v>
      </c>
      <c r="BA95" s="1">
        <f>(AV95+AW95)*$Y$6*$Y$4*パラメータ!$D$22*10^-3</f>
        <v>4.202511647727273</v>
      </c>
      <c r="BB95" s="1">
        <f>($Y$8*$Y$9*パラメータ!$D$22+0.5*$Y$8^2*SIN(RADIANS($Y$10))*パラメータ!$D$25)*E95*10^-3</f>
        <v>3.3081478802897957</v>
      </c>
      <c r="BC95" s="1">
        <f>AT95*($Y$12)</f>
        <v>10.827727272727275</v>
      </c>
      <c r="BD95" s="1">
        <f>$Y$11</f>
        <v>4</v>
      </c>
      <c r="BE95" s="1">
        <f>IF(G95="端リブ",AS95*$Y$13*パラメータ!$D$22*2,0)</f>
        <v>0</v>
      </c>
      <c r="BF95" s="1">
        <f>主桁!AV57*1000</f>
        <v>63.980476982244419</v>
      </c>
      <c r="BG95" s="1">
        <f t="shared" si="10"/>
        <v>71.383210437107977</v>
      </c>
      <c r="BH95" s="1">
        <f t="shared" si="11"/>
        <v>0.1353636874193524</v>
      </c>
      <c r="BI95" s="2" t="e">
        <f>(AO95-重量分布!$E$15)^2+(AP95-重量分布!$F$15)^2</f>
        <v>#REF!</v>
      </c>
      <c r="BJ95" s="2" t="e">
        <f>(AP95-重量分布!$F$15)^2</f>
        <v>#REF!</v>
      </c>
      <c r="BK95" s="237">
        <f>(AO95-重量分布!$E$15)^2</f>
        <v>0</v>
      </c>
    </row>
    <row r="96" spans="2:63">
      <c r="B96" s="29">
        <v>52</v>
      </c>
      <c r="C96" s="1">
        <f t="shared" si="13"/>
        <v>10.799999999999995</v>
      </c>
      <c r="D96" s="1">
        <f>IF($C96&lt;$H$7,$G$20*$C96+$H$20,IF($C96&lt;$H$8,$G$21*$C96+$H$21,IF($C96&lt;$H$9,$G$22*$C96+$H$22,IF($C96&lt;$H$10,$G$23*$C96+$H$23,IF($C96&lt;$H$11,$G$24*$C96+$H$24,IF($C96&lt;$H$12,$G$25*$C96+$H$25,$G$26*$C96+$H$26))))))*10^3</f>
        <v>520.00000000000034</v>
      </c>
      <c r="E96" s="22">
        <v>0.2</v>
      </c>
      <c r="F96" s="22" t="str">
        <f t="shared" si="14"/>
        <v>5th</v>
      </c>
      <c r="G96" s="75" t="str">
        <f>IF(OR(C96=$F$38,C96=$G$38,C96=$H$38),"端リブ",IF(C96&lt;$F$38,"0番",IF(C96&lt;$G$38,"1番",IF(C96&lt;$H$38,"2番",IF(C96&lt;$I$38,"3番","ウィングレット")))))</f>
        <v>3番</v>
      </c>
      <c r="H96" s="1">
        <f>IF($C96&lt;$H$7,$K$20*$C96+$L$20,IF($C96&lt;$H$8,$K$21*$C96+$L$21,IF($C96&lt;$H$9,$K$22*$C96+$L$22,IF($C96&lt;$H$10,$K$23*$C96+$L$24,IF($C96&lt;$H$11,$K$24*$C96+$L$23,IF($C96&lt;$H$12,$K$25*$C96+$L$25,$K$26*$C96+$L$26))))))</f>
        <v>0.35</v>
      </c>
      <c r="I96" s="9">
        <f>主桁!AD58*2</f>
        <v>56.352000000000046</v>
      </c>
      <c r="J96" s="1">
        <f>主桁!AE58*2</f>
        <v>56.352000000000046</v>
      </c>
      <c r="K96" s="227"/>
      <c r="L96" s="232"/>
      <c r="M96" s="86"/>
      <c r="N96" s="86"/>
      <c r="O96" s="231"/>
      <c r="P96" s="86"/>
      <c r="Q96" s="86"/>
      <c r="R96" s="86"/>
      <c r="S96" s="86"/>
      <c r="T96" s="86"/>
      <c r="U96" s="86"/>
      <c r="V96" s="86"/>
      <c r="W96" s="86"/>
      <c r="X96" s="86"/>
      <c r="Y96" s="86"/>
      <c r="Z96" s="86"/>
      <c r="AA96" s="86"/>
      <c r="AB96" s="86"/>
      <c r="AC96" s="71" t="str">
        <f>IF($C96&lt;$H$7,$M$6,IF($C96&lt;$H$8,$M$7,IF($C96&lt;$H$9,$M$8,IF($C96&lt;$H$10,$M$9,IF($C96&lt;$H$11,$M$10,IF($C96&lt;$H$12,$M$11,$M$12))))))</f>
        <v>QX0123</v>
      </c>
      <c r="AD96" s="1">
        <f t="shared" si="7"/>
        <v>100</v>
      </c>
      <c r="AE96" s="1" t="str">
        <f>IF($C96&lt;$H$7,$M$7,IF($C96&lt;$H$8,$M$8,IF($C96&lt;$H$9,$M$9,IF($C96&lt;$H$10,$M$10,IF($C96&lt;$H$11,$M$11,IF($C96&lt;$H$12,$M$12,$M$13))))))</f>
        <v>QX0123</v>
      </c>
      <c r="AF96" s="1">
        <f>IF(AC96=AE96,0,IF($C96&lt;$H$7,($C96-$H$6)/($H$7-$H$6),IF($C96&lt;$H$8,($C96-$H$7)/($H$8-$H$7),IF($C96&lt;$H$9,($C96-$H$8)/($H$9-$H$8),IF($C96&lt;$H$10,($C96-$H$9)/($H$10-$H$9),IF($C96&lt;$H$11,($C96-$H$10)/($H$11-$H$10),IF($C96&lt;$H$12,($C96-$H$11)/($H$12-$H$11),($C96-$H$12)/($H$13-$H$12))))))))*100</f>
        <v>0</v>
      </c>
      <c r="AG96" s="1">
        <f>D96*H96/1000</f>
        <v>0.18200000000000011</v>
      </c>
      <c r="AH96" s="1">
        <f>AG96-D96/1000</f>
        <v>-0.33800000000000024</v>
      </c>
      <c r="AI96" s="1">
        <f>AI95+E95*COS(RADIANS(AL95))</f>
        <v>9.9802788233257917</v>
      </c>
      <c r="AJ96" s="1">
        <f>AJ95+E95*SIN(RADIANS(AL95))</f>
        <v>0.37630246776355264</v>
      </c>
      <c r="AK96" s="1">
        <f>IF($C96&lt;$H$7,$I$20*$C96+$J$20,IF($C96&lt;$H$8,$I$21*$C96+$J$21,IF($C96&lt;$H$9,$I$22*$C96+$J$22,IF($C96&lt;$H$10,$I$23*$C96+$J$23,IF($C96&lt;$H$11,$I$24*$C96+$J$24,IF($C96&lt;$H$12,$I$25*$C96+$J$25,$I$26*$C96+$J$26))))))</f>
        <v>2.0000000000000053</v>
      </c>
      <c r="AL96" s="7">
        <f>IF($C96&lt;$H$7,$K$6,IF($C96&lt;$H$8,$K$7,IF($C96&lt;$H$9,$K$8,IF($C96&lt;$H$10,$K$9,IF($C96&lt;$H$11,$K$10,IF($C96&lt;$H$12,$K$11,$K$12))))))</f>
        <v>6</v>
      </c>
      <c r="AM96" s="231"/>
      <c r="AN96" s="86"/>
      <c r="AO96" s="86"/>
      <c r="AP96" s="86"/>
      <c r="AQ96" s="86"/>
      <c r="AR96" s="86"/>
      <c r="AS96" s="86">
        <f t="shared" si="8"/>
        <v>2.5688000000000034E-2</v>
      </c>
      <c r="AT96" s="86">
        <f t="shared" si="9"/>
        <v>1.0660000000000007</v>
      </c>
      <c r="AU96" s="86">
        <f t="shared" si="3"/>
        <v>0.81026249999999989</v>
      </c>
      <c r="AV96" s="86">
        <f t="shared" si="4"/>
        <v>0.39975000000000027</v>
      </c>
      <c r="AW96" s="227">
        <f t="shared" si="5"/>
        <v>0.21320000000000017</v>
      </c>
      <c r="AX96" s="71">
        <f>AS96*$Y$4*パラメータ!$D$24</f>
        <v>8.4770400000000112</v>
      </c>
      <c r="AY96" s="1">
        <f>AU96*$Y$5*E96*パラメータ!$D$30</f>
        <v>27.548924999999997</v>
      </c>
      <c r="AZ96" s="1">
        <f>SUMPRODUCT($AD$4:$AD$10,$AE$4:$AE$10)*E96*パラメータ!$D$28*10^-3</f>
        <v>12.75</v>
      </c>
      <c r="BA96" s="1">
        <f>(AV96+AW96)*$Y$6*$Y$4*パラメータ!$D$22*10^-3</f>
        <v>4.1374125000000035</v>
      </c>
      <c r="BB96" s="1">
        <f>($Y$8*$Y$9*パラメータ!$D$22+0.5*$Y$8^2*SIN(RADIANS($Y$10))*パラメータ!$D$25)*E96*10^-3</f>
        <v>3.3081478802897957</v>
      </c>
      <c r="BC96" s="1">
        <f>AT96*($Y$12)</f>
        <v>10.660000000000007</v>
      </c>
      <c r="BD96" s="1">
        <f>$Y$11</f>
        <v>4</v>
      </c>
      <c r="BE96" s="1">
        <f>IF(G96="端リブ",AS96*$Y$13*パラメータ!$D$22*2,0)</f>
        <v>0</v>
      </c>
      <c r="BF96" s="1">
        <f>主桁!AV58*1000</f>
        <v>62.09614769957382</v>
      </c>
      <c r="BG96" s="1">
        <f t="shared" si="10"/>
        <v>70.881525380289816</v>
      </c>
      <c r="BH96" s="1">
        <f t="shared" si="11"/>
        <v>0.13297767307986363</v>
      </c>
      <c r="BI96" s="2" t="e">
        <f>(AO96-重量分布!$E$15)^2+(AP96-重量分布!$F$15)^2</f>
        <v>#REF!</v>
      </c>
      <c r="BJ96" s="2" t="e">
        <f>(AP96-重量分布!$F$15)^2</f>
        <v>#REF!</v>
      </c>
      <c r="BK96" s="237">
        <f>(AO96-重量分布!$E$15)^2</f>
        <v>0</v>
      </c>
    </row>
    <row r="97" spans="2:63">
      <c r="B97" s="29">
        <v>53</v>
      </c>
      <c r="C97" s="1">
        <f t="shared" si="13"/>
        <v>10.999999999999995</v>
      </c>
      <c r="D97" s="1">
        <f>IF($C97&lt;$H$7,$G$20*$C97+$H$20,IF($C97&lt;$H$8,$G$21*$C97+$H$21,IF($C97&lt;$H$9,$G$22*$C97+$H$22,IF($C97&lt;$H$10,$G$23*$C97+$H$23,IF($C97&lt;$H$11,$G$24*$C97+$H$24,IF($C97&lt;$H$12,$G$25*$C97+$H$25,$G$26*$C97+$H$26))))))*10^3</f>
        <v>502.5000000000004</v>
      </c>
      <c r="E97" s="22">
        <v>0.2</v>
      </c>
      <c r="F97" s="22" t="str">
        <f t="shared" si="14"/>
        <v>5th</v>
      </c>
      <c r="G97" s="75" t="str">
        <f>IF(OR(C97=$F$38,C97=$G$38,C97=$H$38),"端リブ",IF(C97&lt;$F$38,"0番",IF(C97&lt;$G$38,"1番",IF(C97&lt;$H$38,"2番",IF(C97&lt;$I$38,"3番","ウィングレット")))))</f>
        <v>3番</v>
      </c>
      <c r="H97" s="1">
        <f>IF($C97&lt;$H$7,$K$20*$C97+$L$20,IF($C97&lt;$H$8,$K$21*$C97+$L$21,IF($C97&lt;$H$9,$K$22*$C97+$L$22,IF($C97&lt;$H$10,$K$23*$C97+$L$24,IF($C97&lt;$H$11,$K$24*$C97+$L$23,IF($C97&lt;$H$12,$K$25*$C97+$L$25,$K$26*$C97+$L$26))))))</f>
        <v>0.35</v>
      </c>
      <c r="I97" s="9">
        <f>主桁!AD59*2</f>
        <v>54.652000000000051</v>
      </c>
      <c r="J97" s="1">
        <f>主桁!AE59*2</f>
        <v>54.652000000000051</v>
      </c>
      <c r="K97" s="227"/>
      <c r="L97" s="232"/>
      <c r="M97" s="86"/>
      <c r="N97" s="86"/>
      <c r="O97" s="231"/>
      <c r="P97" s="86"/>
      <c r="Q97" s="86"/>
      <c r="R97" s="86"/>
      <c r="S97" s="86"/>
      <c r="T97" s="86"/>
      <c r="U97" s="86"/>
      <c r="V97" s="86"/>
      <c r="W97" s="86"/>
      <c r="X97" s="86"/>
      <c r="Y97" s="86"/>
      <c r="Z97" s="86"/>
      <c r="AA97" s="86"/>
      <c r="AB97" s="86"/>
      <c r="AC97" s="71" t="str">
        <f>IF($C97&lt;$H$7,$M$6,IF($C97&lt;$H$8,$M$7,IF($C97&lt;$H$9,$M$8,IF($C97&lt;$H$10,$M$9,IF($C97&lt;$H$11,$M$10,IF($C97&lt;$H$12,$M$11,$M$12))))))</f>
        <v>QX0123</v>
      </c>
      <c r="AD97" s="1">
        <f t="shared" si="7"/>
        <v>100</v>
      </c>
      <c r="AE97" s="1" t="str">
        <f>IF($C97&lt;$H$7,$M$7,IF($C97&lt;$H$8,$M$8,IF($C97&lt;$H$9,$M$9,IF($C97&lt;$H$10,$M$10,IF($C97&lt;$H$11,$M$11,IF($C97&lt;$H$12,$M$12,$M$13))))))</f>
        <v>QX0123</v>
      </c>
      <c r="AF97" s="1">
        <f>IF(AC97=AE97,0,IF($C97&lt;$H$7,($C97-$H$6)/($H$7-$H$6),IF($C97&lt;$H$8,($C97-$H$7)/($H$8-$H$7),IF($C97&lt;$H$9,($C97-$H$8)/($H$9-$H$8),IF($C97&lt;$H$10,($C97-$H$9)/($H$10-$H$9),IF($C97&lt;$H$11,($C97-$H$10)/($H$11-$H$10),IF($C97&lt;$H$12,($C97-$H$11)/($H$12-$H$11),($C97-$H$12)/($H$13-$H$12))))))))*100</f>
        <v>0</v>
      </c>
      <c r="AG97" s="1">
        <f>D97*H97/1000</f>
        <v>0.17587500000000014</v>
      </c>
      <c r="AH97" s="1">
        <f>AG97-D97/1000</f>
        <v>-0.32662500000000028</v>
      </c>
      <c r="AI97" s="1">
        <f>AI96+E96*COS(RADIANS(AL96))</f>
        <v>10.179183202399447</v>
      </c>
      <c r="AJ97" s="1">
        <f>AJ96+E96*SIN(RADIANS(AL96))</f>
        <v>0.39720816041708334</v>
      </c>
      <c r="AK97" s="1">
        <f>IF($C97&lt;$H$7,$I$20*$C97+$J$20,IF($C97&lt;$H$8,$I$21*$C97+$J$21,IF($C97&lt;$H$9,$I$22*$C97+$J$22,IF($C97&lt;$H$10,$I$23*$C97+$J$23,IF($C97&lt;$H$11,$I$24*$C97+$J$24,IF($C97&lt;$H$12,$I$25*$C97+$J$25,$I$26*$C97+$J$26))))))</f>
        <v>1.7857142857142918</v>
      </c>
      <c r="AL97" s="7">
        <f>IF($C97&lt;$H$7,$K$6,IF($C97&lt;$H$8,$K$7,IF($C97&lt;$H$9,$K$8,IF($C97&lt;$H$10,$K$9,IF($C97&lt;$H$11,$K$10,IF($C97&lt;$H$12,$K$11,$K$12))))))</f>
        <v>6</v>
      </c>
      <c r="AM97" s="231"/>
      <c r="AN97" s="86"/>
      <c r="AO97" s="86"/>
      <c r="AP97" s="86"/>
      <c r="AQ97" s="86"/>
      <c r="AR97" s="86"/>
      <c r="AS97" s="86">
        <f t="shared" si="8"/>
        <v>2.3988093750000036E-2</v>
      </c>
      <c r="AT97" s="86">
        <f t="shared" si="9"/>
        <v>1.0301250000000006</v>
      </c>
      <c r="AU97" s="86">
        <f t="shared" si="3"/>
        <v>0.81026249999999989</v>
      </c>
      <c r="AV97" s="86">
        <f t="shared" si="4"/>
        <v>0.38629687500000021</v>
      </c>
      <c r="AW97" s="227">
        <f t="shared" si="5"/>
        <v>0.20602500000000012</v>
      </c>
      <c r="AX97" s="71">
        <f>AS97*$Y$4*パラメータ!$D$24</f>
        <v>7.9160709375000122</v>
      </c>
      <c r="AY97" s="1">
        <f>AU97*$Y$5*E97*パラメータ!$D$30</f>
        <v>27.548924999999997</v>
      </c>
      <c r="AZ97" s="1">
        <f>SUMPRODUCT($AD$4:$AD$10,$AE$4:$AE$10)*E97*パラメータ!$D$28*10^-3</f>
        <v>12.75</v>
      </c>
      <c r="BA97" s="1">
        <f>(AV97+AW97)*$Y$6*$Y$4*パラメータ!$D$22*10^-3</f>
        <v>3.9981726562500026</v>
      </c>
      <c r="BB97" s="1">
        <f>($Y$8*$Y$9*パラメータ!$D$22+0.5*$Y$8^2*SIN(RADIANS($Y$10))*パラメータ!$D$25)*E97*10^-3</f>
        <v>3.3081478802897957</v>
      </c>
      <c r="BC97" s="1">
        <f>AT97*($Y$12)</f>
        <v>10.301250000000007</v>
      </c>
      <c r="BD97" s="1">
        <f>$Y$11</f>
        <v>4</v>
      </c>
      <c r="BE97" s="1">
        <f>IF(G97="端リブ",AS97*$Y$13*パラメータ!$D$22*2,0)</f>
        <v>0</v>
      </c>
      <c r="BF97" s="1">
        <f>主桁!AV59*1000</f>
        <v>60.211814024647744</v>
      </c>
      <c r="BG97" s="1">
        <f t="shared" si="10"/>
        <v>69.822566474039817</v>
      </c>
      <c r="BH97" s="1">
        <f t="shared" si="11"/>
        <v>0.13003438049868757</v>
      </c>
      <c r="BI97" s="2" t="e">
        <f>(AO97-重量分布!$E$15)^2+(AP97-重量分布!$F$15)^2</f>
        <v>#REF!</v>
      </c>
      <c r="BJ97" s="2" t="e">
        <f>(AP97-重量分布!$F$15)^2</f>
        <v>#REF!</v>
      </c>
      <c r="BK97" s="237">
        <f>(AO97-重量分布!$E$15)^2</f>
        <v>0</v>
      </c>
    </row>
    <row r="98" spans="2:63">
      <c r="B98" s="29">
        <v>54</v>
      </c>
      <c r="C98" s="1">
        <f t="shared" si="13"/>
        <v>11.199999999999994</v>
      </c>
      <c r="D98" s="1">
        <f>IF($C98&lt;$H$7,$G$20*$C98+$H$20,IF($C98&lt;$H$8,$G$21*$C98+$H$21,IF($C98&lt;$H$9,$G$22*$C98+$H$22,IF($C98&lt;$H$10,$G$23*$C98+$H$23,IF($C98&lt;$H$11,$G$24*$C98+$H$24,IF($C98&lt;$H$12,$G$25*$C98+$H$25,$G$26*$C98+$H$26))))))*10^3</f>
        <v>485.00000000000045</v>
      </c>
      <c r="E98" s="22">
        <v>0.2</v>
      </c>
      <c r="F98" s="22" t="str">
        <f t="shared" si="14"/>
        <v>5th</v>
      </c>
      <c r="G98" s="75" t="str">
        <f>IF(OR(C98=$F$38,C98=$G$38,C98=$H$38),"端リブ",IF(C98&lt;$F$38,"0番",IF(C98&lt;$G$38,"1番",IF(C98&lt;$H$38,"2番",IF(C98&lt;$I$38,"3番","ウィングレット")))))</f>
        <v>3番</v>
      </c>
      <c r="H98" s="1">
        <f>IF($C98&lt;$H$7,$K$20*$C98+$L$20,IF($C98&lt;$H$8,$K$21*$C98+$L$21,IF($C98&lt;$H$9,$K$22*$C98+$L$22,IF($C98&lt;$H$10,$K$23*$C98+$L$24,IF($C98&lt;$H$11,$K$24*$C98+$L$23,IF($C98&lt;$H$12,$K$25*$C98+$L$25,$K$26*$C98+$L$26))))))</f>
        <v>0.35</v>
      </c>
      <c r="I98" s="9">
        <f>主桁!AD60*2</f>
        <v>52.952000000000055</v>
      </c>
      <c r="J98" s="1">
        <f>主桁!AE60*2</f>
        <v>52.952000000000055</v>
      </c>
      <c r="K98" s="227"/>
      <c r="L98" s="232"/>
      <c r="M98" s="86"/>
      <c r="N98" s="86"/>
      <c r="O98" s="231"/>
      <c r="P98" s="86"/>
      <c r="Q98" s="86"/>
      <c r="R98" s="86"/>
      <c r="S98" s="86"/>
      <c r="T98" s="86"/>
      <c r="U98" s="86"/>
      <c r="V98" s="86"/>
      <c r="W98" s="86"/>
      <c r="X98" s="86"/>
      <c r="Y98" s="86"/>
      <c r="Z98" s="86"/>
      <c r="AA98" s="86"/>
      <c r="AB98" s="86"/>
      <c r="AC98" s="71" t="str">
        <f>IF($C98&lt;$H$7,$M$6,IF($C98&lt;$H$8,$M$7,IF($C98&lt;$H$9,$M$8,IF($C98&lt;$H$10,$M$9,IF($C98&lt;$H$11,$M$10,IF($C98&lt;$H$12,$M$11,$M$12))))))</f>
        <v>QX0123</v>
      </c>
      <c r="AD98" s="1">
        <f t="shared" si="7"/>
        <v>100</v>
      </c>
      <c r="AE98" s="1" t="str">
        <f>IF($C98&lt;$H$7,$M$7,IF($C98&lt;$H$8,$M$8,IF($C98&lt;$H$9,$M$9,IF($C98&lt;$H$10,$M$10,IF($C98&lt;$H$11,$M$11,IF($C98&lt;$H$12,$M$12,$M$13))))))</f>
        <v>QX0123</v>
      </c>
      <c r="AF98" s="1">
        <f>IF(AC98=AE98,0,IF($C98&lt;$H$7,($C98-$H$6)/($H$7-$H$6),IF($C98&lt;$H$8,($C98-$H$7)/($H$8-$H$7),IF($C98&lt;$H$9,($C98-$H$8)/($H$9-$H$8),IF($C98&lt;$H$10,($C98-$H$9)/($H$10-$H$9),IF($C98&lt;$H$11,($C98-$H$10)/($H$11-$H$10),IF($C98&lt;$H$12,($C98-$H$11)/($H$12-$H$11),($C98-$H$12)/($H$13-$H$12))))))))*100</f>
        <v>0</v>
      </c>
      <c r="AG98" s="1">
        <f>D98*H98/1000</f>
        <v>0.16975000000000015</v>
      </c>
      <c r="AH98" s="1">
        <f>AG98-D98/1000</f>
        <v>-0.31525000000000025</v>
      </c>
      <c r="AI98" s="1">
        <f>AI97+E97*COS(RADIANS(AL97))</f>
        <v>10.378087581473102</v>
      </c>
      <c r="AJ98" s="1">
        <f>AJ97+E97*SIN(RADIANS(AL97))</f>
        <v>0.41811385307061405</v>
      </c>
      <c r="AK98" s="1">
        <f>IF($C98&lt;$H$7,$I$20*$C98+$J$20,IF($C98&lt;$H$8,$I$21*$C98+$J$21,IF($C98&lt;$H$9,$I$22*$C98+$J$22,IF($C98&lt;$H$10,$I$23*$C98+$J$23,IF($C98&lt;$H$11,$I$24*$C98+$J$24,IF($C98&lt;$H$12,$I$25*$C98+$J$25,$I$26*$C98+$J$26))))))</f>
        <v>1.5714285714285783</v>
      </c>
      <c r="AL98" s="7">
        <f>IF($C98&lt;$H$7,$K$6,IF($C98&lt;$H$8,$K$7,IF($C98&lt;$H$9,$K$8,IF($C98&lt;$H$10,$K$9,IF($C98&lt;$H$11,$K$10,IF($C98&lt;$H$12,$K$11,$K$12))))))</f>
        <v>6</v>
      </c>
      <c r="AM98" s="231"/>
      <c r="AN98" s="86"/>
      <c r="AO98" s="86"/>
      <c r="AP98" s="86"/>
      <c r="AQ98" s="86"/>
      <c r="AR98" s="86"/>
      <c r="AS98" s="86">
        <f t="shared" si="8"/>
        <v>2.234637500000004E-2</v>
      </c>
      <c r="AT98" s="86">
        <f t="shared" si="9"/>
        <v>0.99425000000000074</v>
      </c>
      <c r="AU98" s="86">
        <f t="shared" si="3"/>
        <v>0.81026249999999989</v>
      </c>
      <c r="AV98" s="86">
        <f t="shared" si="4"/>
        <v>0.37284375000000025</v>
      </c>
      <c r="AW98" s="227">
        <f t="shared" si="5"/>
        <v>0.19885000000000017</v>
      </c>
      <c r="AX98" s="71">
        <f>AS98*$Y$4*パラメータ!$D$24</f>
        <v>7.3743037500000135</v>
      </c>
      <c r="AY98" s="1">
        <f>AU98*$Y$5*E98*パラメータ!$D$30</f>
        <v>27.548924999999997</v>
      </c>
      <c r="AZ98" s="1">
        <f>SUMPRODUCT($AD$4:$AD$10,$AE$4:$AE$10)*E98*パラメータ!$D$28*10^-3</f>
        <v>12.75</v>
      </c>
      <c r="BA98" s="1">
        <f>(AV98+AW98)*$Y$6*$Y$4*パラメータ!$D$22*10^-3</f>
        <v>3.8589328125000031</v>
      </c>
      <c r="BB98" s="1">
        <f>($Y$8*$Y$9*パラメータ!$D$22+0.5*$Y$8^2*SIN(RADIANS($Y$10))*パラメータ!$D$25)*E98*10^-3</f>
        <v>3.3081478802897957</v>
      </c>
      <c r="BC98" s="1">
        <f>AT98*($Y$12)</f>
        <v>9.9425000000000079</v>
      </c>
      <c r="BD98" s="1">
        <f>$Y$11</f>
        <v>4</v>
      </c>
      <c r="BE98" s="1">
        <f>IF(G98="端リブ",AS98*$Y$13*パラメータ!$D$22*2,0)</f>
        <v>0</v>
      </c>
      <c r="BF98" s="1">
        <f>主桁!AV60*1000</f>
        <v>58.327475531702802</v>
      </c>
      <c r="BG98" s="1">
        <f t="shared" si="10"/>
        <v>68.782809442789812</v>
      </c>
      <c r="BH98" s="1">
        <f t="shared" si="11"/>
        <v>0.12711028497449262</v>
      </c>
      <c r="BI98" s="2" t="e">
        <f>(AO98-重量分布!$E$15)^2+(AP98-重量分布!$F$15)^2</f>
        <v>#REF!</v>
      </c>
      <c r="BJ98" s="2" t="e">
        <f>(AP98-重量分布!$F$15)^2</f>
        <v>#REF!</v>
      </c>
      <c r="BK98" s="237">
        <f>(AO98-重量分布!$E$15)^2</f>
        <v>0</v>
      </c>
    </row>
    <row r="99" spans="2:63">
      <c r="B99" s="29">
        <v>55</v>
      </c>
      <c r="C99" s="1">
        <f t="shared" si="13"/>
        <v>11.399999999999993</v>
      </c>
      <c r="D99" s="1">
        <f>IF($C99&lt;$H$7,$G$20*$C99+$H$20,IF($C99&lt;$H$8,$G$21*$C99+$H$21,IF($C99&lt;$H$9,$G$22*$C99+$H$22,IF($C99&lt;$H$10,$G$23*$C99+$H$23,IF($C99&lt;$H$11,$G$24*$C99+$H$24,IF($C99&lt;$H$12,$G$25*$C99+$H$25,$G$26*$C99+$H$26))))))*10^3</f>
        <v>467.50000000000045</v>
      </c>
      <c r="E99" s="22">
        <v>0.2</v>
      </c>
      <c r="F99" s="22" t="str">
        <f t="shared" si="14"/>
        <v>5th</v>
      </c>
      <c r="G99" s="75" t="str">
        <f>IF(OR(C99=$F$38,C99=$G$38,C99=$H$38),"端リブ",IF(C99&lt;$F$38,"0番",IF(C99&lt;$G$38,"1番",IF(C99&lt;$H$38,"2番",IF(C99&lt;$I$38,"3番","ウィングレット")))))</f>
        <v>3番</v>
      </c>
      <c r="H99" s="1">
        <f>IF($C99&lt;$H$7,$K$20*$C99+$L$20,IF($C99&lt;$H$8,$K$21*$C99+$L$21,IF($C99&lt;$H$9,$K$22*$C99+$L$22,IF($C99&lt;$H$10,$K$23*$C99+$L$24,IF($C99&lt;$H$11,$K$24*$C99+$L$23,IF($C99&lt;$H$12,$K$25*$C99+$L$25,$K$26*$C99+$L$26))))))</f>
        <v>0.35</v>
      </c>
      <c r="I99" s="9">
        <f>主桁!AD61*2</f>
        <v>51.252000000000059</v>
      </c>
      <c r="J99" s="1">
        <f>主桁!AE61*2</f>
        <v>51.252000000000059</v>
      </c>
      <c r="K99" s="227"/>
      <c r="L99" s="232"/>
      <c r="M99" s="86"/>
      <c r="N99" s="86"/>
      <c r="O99" s="231"/>
      <c r="P99" s="86"/>
      <c r="Q99" s="86"/>
      <c r="R99" s="86"/>
      <c r="S99" s="86"/>
      <c r="T99" s="86"/>
      <c r="U99" s="86"/>
      <c r="V99" s="86"/>
      <c r="W99" s="86"/>
      <c r="X99" s="86"/>
      <c r="Y99" s="86"/>
      <c r="Z99" s="86"/>
      <c r="AA99" s="86"/>
      <c r="AB99" s="86"/>
      <c r="AC99" s="71" t="str">
        <f>IF($C99&lt;$H$7,$M$6,IF($C99&lt;$H$8,$M$7,IF($C99&lt;$H$9,$M$8,IF($C99&lt;$H$10,$M$9,IF($C99&lt;$H$11,$M$10,IF($C99&lt;$H$12,$M$11,$M$12))))))</f>
        <v>QX0123</v>
      </c>
      <c r="AD99" s="1">
        <f t="shared" si="7"/>
        <v>100</v>
      </c>
      <c r="AE99" s="1" t="str">
        <f>IF($C99&lt;$H$7,$M$7,IF($C99&lt;$H$8,$M$8,IF($C99&lt;$H$9,$M$9,IF($C99&lt;$H$10,$M$10,IF($C99&lt;$H$11,$M$11,IF($C99&lt;$H$12,$M$12,$M$13))))))</f>
        <v>QX0123</v>
      </c>
      <c r="AF99" s="1">
        <f>IF(AC99=AE99,0,IF($C99&lt;$H$7,($C99-$H$6)/($H$7-$H$6),IF($C99&lt;$H$8,($C99-$H$7)/($H$8-$H$7),IF($C99&lt;$H$9,($C99-$H$8)/($H$9-$H$8),IF($C99&lt;$H$10,($C99-$H$9)/($H$10-$H$9),IF($C99&lt;$H$11,($C99-$H$10)/($H$11-$H$10),IF($C99&lt;$H$12,($C99-$H$11)/($H$12-$H$11),($C99-$H$12)/($H$13-$H$12))))))))*100</f>
        <v>0</v>
      </c>
      <c r="AG99" s="1">
        <f>D99*H99/1000</f>
        <v>0.16362500000000013</v>
      </c>
      <c r="AH99" s="1">
        <f>AG99-D99/1000</f>
        <v>-0.30387500000000034</v>
      </c>
      <c r="AI99" s="1">
        <f>AI98+E98*COS(RADIANS(AL98))</f>
        <v>10.576991960546756</v>
      </c>
      <c r="AJ99" s="1">
        <f>AJ98+E98*SIN(RADIANS(AL98))</f>
        <v>0.43901954572414476</v>
      </c>
      <c r="AK99" s="1">
        <f>IF($C99&lt;$H$7,$I$20*$C99+$J$20,IF($C99&lt;$H$8,$I$21*$C99+$J$21,IF($C99&lt;$H$9,$I$22*$C99+$J$22,IF($C99&lt;$H$10,$I$23*$C99+$J$23,IF($C99&lt;$H$11,$I$24*$C99+$J$24,IF($C99&lt;$H$12,$I$25*$C99+$J$25,$I$26*$C99+$J$26))))))</f>
        <v>1.3571428571428648</v>
      </c>
      <c r="AL99" s="7">
        <f>IF($C99&lt;$H$7,$K$6,IF($C99&lt;$H$8,$K$7,IF($C99&lt;$H$9,$K$8,IF($C99&lt;$H$10,$K$9,IF($C99&lt;$H$11,$K$10,IF($C99&lt;$H$12,$K$11,$K$12))))))</f>
        <v>6</v>
      </c>
      <c r="AM99" s="231"/>
      <c r="AN99" s="86"/>
      <c r="AO99" s="86"/>
      <c r="AP99" s="86"/>
      <c r="AQ99" s="86"/>
      <c r="AR99" s="86"/>
      <c r="AS99" s="86">
        <f t="shared" si="8"/>
        <v>2.0762843750000044E-2</v>
      </c>
      <c r="AT99" s="86">
        <f t="shared" si="9"/>
        <v>0.95837500000000075</v>
      </c>
      <c r="AU99" s="86">
        <f t="shared" si="3"/>
        <v>0.81026249999999989</v>
      </c>
      <c r="AV99" s="86">
        <f t="shared" si="4"/>
        <v>0.3593906250000003</v>
      </c>
      <c r="AW99" s="227">
        <f t="shared" si="5"/>
        <v>0.19167500000000015</v>
      </c>
      <c r="AX99" s="71">
        <f>AS99*$Y$4*パラメータ!$D$24</f>
        <v>6.8517384375000141</v>
      </c>
      <c r="AY99" s="1">
        <f>AU99*$Y$5*E99*パラメータ!$D$30</f>
        <v>27.548924999999997</v>
      </c>
      <c r="AZ99" s="1">
        <f>SUMPRODUCT($AD$4:$AD$10,$AE$4:$AE$10)*E99*パラメータ!$D$28*10^-3</f>
        <v>12.75</v>
      </c>
      <c r="BA99" s="1">
        <f>(AV99+AW99)*$Y$6*$Y$4*パラメータ!$D$22*10^-3</f>
        <v>3.7196929687500035</v>
      </c>
      <c r="BB99" s="1">
        <f>($Y$8*$Y$9*パラメータ!$D$22+0.5*$Y$8^2*SIN(RADIANS($Y$10))*パラメータ!$D$25)*E99*10^-3</f>
        <v>3.3081478802897957</v>
      </c>
      <c r="BC99" s="1">
        <f>AT99*($Y$12)</f>
        <v>9.5837500000000073</v>
      </c>
      <c r="BD99" s="1">
        <f>$Y$11</f>
        <v>4</v>
      </c>
      <c r="BE99" s="1">
        <f>IF(G99="端リブ",AS99*$Y$13*パラメータ!$D$22*2,0)</f>
        <v>0</v>
      </c>
      <c r="BF99" s="1">
        <f>主桁!AV61*1000</f>
        <v>56.443131738113109</v>
      </c>
      <c r="BG99" s="1">
        <f t="shared" si="10"/>
        <v>67.762254286539815</v>
      </c>
      <c r="BH99" s="1">
        <f t="shared" si="11"/>
        <v>0.12420538602465292</v>
      </c>
      <c r="BI99" s="2" t="e">
        <f>(AO99-重量分布!$E$15)^2+(AP99-重量分布!$F$15)^2</f>
        <v>#REF!</v>
      </c>
      <c r="BJ99" s="2" t="e">
        <f>(AP99-重量分布!$F$15)^2</f>
        <v>#REF!</v>
      </c>
      <c r="BK99" s="237">
        <f>(AO99-重量分布!$E$15)^2</f>
        <v>0</v>
      </c>
    </row>
    <row r="100" spans="2:63">
      <c r="B100" s="29">
        <v>56</v>
      </c>
      <c r="C100" s="1">
        <f t="shared" si="13"/>
        <v>11.599999999999993</v>
      </c>
      <c r="D100" s="1">
        <f>IF($C100&lt;$H$7,$G$20*$C100+$H$20,IF($C100&lt;$H$8,$G$21*$C100+$H$21,IF($C100&lt;$H$9,$G$22*$C100+$H$22,IF($C100&lt;$H$10,$G$23*$C100+$H$23,IF($C100&lt;$H$11,$G$24*$C100+$H$24,IF($C100&lt;$H$12,$G$25*$C100+$H$25,$G$26*$C100+$H$26))))))*10^3</f>
        <v>450.00000000000063</v>
      </c>
      <c r="E100" s="22">
        <v>0.2</v>
      </c>
      <c r="F100" s="22" t="str">
        <f t="shared" si="14"/>
        <v>5th</v>
      </c>
      <c r="G100" s="75" t="str">
        <f>IF(OR(C100=$F$38,C100=$G$38,C100=$H$38),"端リブ",IF(C100&lt;$F$38,"0番",IF(C100&lt;$G$38,"1番",IF(C100&lt;$H$38,"2番",IF(C100&lt;$I$38,"3番","ウィングレット")))))</f>
        <v>3番</v>
      </c>
      <c r="H100" s="1">
        <f>IF($C100&lt;$H$7,$K$20*$C100+$L$20,IF($C100&lt;$H$8,$K$21*$C100+$L$21,IF($C100&lt;$H$9,$K$22*$C100+$L$22,IF($C100&lt;$H$10,$K$23*$C100+$L$24,IF($C100&lt;$H$11,$K$24*$C100+$L$23,IF($C100&lt;$H$12,$K$25*$C100+$L$25,$K$26*$C100+$L$26))))))</f>
        <v>0.35</v>
      </c>
      <c r="I100" s="9">
        <f>主桁!AD62*2</f>
        <v>49.552000000000071</v>
      </c>
      <c r="J100" s="1">
        <f>主桁!AE62*2</f>
        <v>49.552000000000071</v>
      </c>
      <c r="K100" s="227"/>
      <c r="L100" s="232"/>
      <c r="M100" s="86"/>
      <c r="N100" s="86"/>
      <c r="O100" s="231"/>
      <c r="P100" s="86"/>
      <c r="Q100" s="86"/>
      <c r="R100" s="86"/>
      <c r="S100" s="86"/>
      <c r="T100" s="86"/>
      <c r="U100" s="86"/>
      <c r="V100" s="86"/>
      <c r="W100" s="86"/>
      <c r="X100" s="86"/>
      <c r="Y100" s="86"/>
      <c r="Z100" s="86"/>
      <c r="AA100" s="86"/>
      <c r="AB100" s="86"/>
      <c r="AC100" s="71" t="str">
        <f>IF($C100&lt;$H$7,$M$6,IF($C100&lt;$H$8,$M$7,IF($C100&lt;$H$9,$M$8,IF($C100&lt;$H$10,$M$9,IF($C100&lt;$H$11,$M$10,IF($C100&lt;$H$12,$M$11,$M$12))))))</f>
        <v>QX0123</v>
      </c>
      <c r="AD100" s="1">
        <f t="shared" si="7"/>
        <v>100</v>
      </c>
      <c r="AE100" s="1" t="str">
        <f>IF($C100&lt;$H$7,$M$7,IF($C100&lt;$H$8,$M$8,IF($C100&lt;$H$9,$M$9,IF($C100&lt;$H$10,$M$10,IF($C100&lt;$H$11,$M$11,IF($C100&lt;$H$12,$M$12,$M$13))))))</f>
        <v>QX0123</v>
      </c>
      <c r="AF100" s="1">
        <f>IF(AC100=AE100,0,IF($C100&lt;$H$7,($C100-$H$6)/($H$7-$H$6),IF($C100&lt;$H$8,($C100-$H$7)/($H$8-$H$7),IF($C100&lt;$H$9,($C100-$H$8)/($H$9-$H$8),IF($C100&lt;$H$10,($C100-$H$9)/($H$10-$H$9),IF($C100&lt;$H$11,($C100-$H$10)/($H$11-$H$10),IF($C100&lt;$H$12,($C100-$H$11)/($H$12-$H$11),($C100-$H$12)/($H$13-$H$12))))))))*100</f>
        <v>0</v>
      </c>
      <c r="AG100" s="1">
        <f>D100*H100/1000</f>
        <v>0.1575000000000002</v>
      </c>
      <c r="AH100" s="1">
        <f>AG100-D100/1000</f>
        <v>-0.29250000000000043</v>
      </c>
      <c r="AI100" s="1">
        <f>AI99+E99*COS(RADIANS(AL99))</f>
        <v>10.775896339620411</v>
      </c>
      <c r="AJ100" s="1">
        <f>AJ99+E99*SIN(RADIANS(AL99))</f>
        <v>0.45992523837767546</v>
      </c>
      <c r="AK100" s="1">
        <f>IF($C100&lt;$H$7,$I$20*$C100+$J$20,IF($C100&lt;$H$8,$I$21*$C100+$J$21,IF($C100&lt;$H$9,$I$22*$C100+$J$22,IF($C100&lt;$H$10,$I$23*$C100+$J$23,IF($C100&lt;$H$11,$I$24*$C100+$J$24,IF($C100&lt;$H$12,$I$25*$C100+$J$25,$I$26*$C100+$J$26))))))</f>
        <v>1.1428571428571512</v>
      </c>
      <c r="AL100" s="7">
        <f>IF($C100&lt;$H$7,$K$6,IF($C100&lt;$H$8,$K$7,IF($C100&lt;$H$9,$K$8,IF($C100&lt;$H$10,$K$9,IF($C100&lt;$H$11,$K$10,IF($C100&lt;$H$12,$K$11,$K$12))))))</f>
        <v>6</v>
      </c>
      <c r="AM100" s="231"/>
      <c r="AN100" s="86"/>
      <c r="AO100" s="86"/>
      <c r="AP100" s="86"/>
      <c r="AQ100" s="86"/>
      <c r="AR100" s="86"/>
      <c r="AS100" s="86">
        <f t="shared" si="8"/>
        <v>1.9237500000000053E-2</v>
      </c>
      <c r="AT100" s="86">
        <f t="shared" si="9"/>
        <v>0.92250000000000121</v>
      </c>
      <c r="AU100" s="86">
        <f t="shared" si="3"/>
        <v>0.81026249999999989</v>
      </c>
      <c r="AV100" s="86">
        <f t="shared" si="4"/>
        <v>0.34593750000000045</v>
      </c>
      <c r="AW100" s="227">
        <f t="shared" si="5"/>
        <v>0.18450000000000025</v>
      </c>
      <c r="AX100" s="71">
        <f>AS100*$Y$4*パラメータ!$D$24</f>
        <v>6.3483750000000168</v>
      </c>
      <c r="AY100" s="1">
        <f>AU100*$Y$5*E100*パラメータ!$D$30</f>
        <v>27.548924999999997</v>
      </c>
      <c r="AZ100" s="1">
        <f>SUMPRODUCT($AD$4:$AD$10,$AE$4:$AE$10)*E100*パラメータ!$D$28*10^-3</f>
        <v>12.75</v>
      </c>
      <c r="BA100" s="1">
        <f>(AV100+AW100)*$Y$6*$Y$4*パラメータ!$D$22*10^-3</f>
        <v>3.5804531250000045</v>
      </c>
      <c r="BB100" s="1">
        <f>($Y$8*$Y$9*パラメータ!$D$22+0.5*$Y$8^2*SIN(RADIANS($Y$10))*パラメータ!$D$25)*E100*10^-3</f>
        <v>3.3081478802897957</v>
      </c>
      <c r="BC100" s="1">
        <f>AT100*($Y$12)</f>
        <v>9.2250000000000121</v>
      </c>
      <c r="BD100" s="1">
        <f>$Y$11</f>
        <v>4</v>
      </c>
      <c r="BE100" s="1">
        <f>IF(G100="端リブ",AS100*$Y$13*パラメータ!$D$22*2,0)</f>
        <v>0</v>
      </c>
      <c r="BF100" s="1">
        <f>主桁!AV62*1000</f>
        <v>54.558782094594285</v>
      </c>
      <c r="BG100" s="1">
        <f t="shared" si="10"/>
        <v>66.760901005289824</v>
      </c>
      <c r="BH100" s="1">
        <f t="shared" si="11"/>
        <v>0.12131968309988411</v>
      </c>
      <c r="BI100" s="2" t="e">
        <f>(AO100-重量分布!$E$15)^2+(AP100-重量分布!$F$15)^2</f>
        <v>#REF!</v>
      </c>
      <c r="BJ100" s="2" t="e">
        <f>(AP100-重量分布!$F$15)^2</f>
        <v>#REF!</v>
      </c>
      <c r="BK100" s="237">
        <f>(AO100-重量分布!$E$15)^2</f>
        <v>0</v>
      </c>
    </row>
    <row r="101" spans="2:63">
      <c r="B101" s="29">
        <v>57</v>
      </c>
      <c r="C101" s="1">
        <f t="shared" si="13"/>
        <v>11.799999999999992</v>
      </c>
      <c r="D101" s="1">
        <f>IF($C101&lt;$H$7,$G$20*$C101+$H$20,IF($C101&lt;$H$8,$G$21*$C101+$H$21,IF($C101&lt;$H$9,$G$22*$C101+$H$22,IF($C101&lt;$H$10,$G$23*$C101+$H$23,IF($C101&lt;$H$11,$G$24*$C101+$H$24,IF($C101&lt;$H$12,$G$25*$C101+$H$25,$G$26*$C101+$H$26))))))*10^3</f>
        <v>432.50000000000057</v>
      </c>
      <c r="E101" s="22">
        <v>0.2</v>
      </c>
      <c r="F101" s="22" t="str">
        <f t="shared" si="14"/>
        <v>5th</v>
      </c>
      <c r="G101" s="75" t="str">
        <f>IF(OR(C101=$F$38,C101=$G$38,C101=$H$38),"端リブ",IF(C101&lt;$F$38,"0番",IF(C101&lt;$G$38,"1番",IF(C101&lt;$H$38,"2番",IF(C101&lt;$I$38,"3番","ウィングレット")))))</f>
        <v>3番</v>
      </c>
      <c r="H101" s="1">
        <f>IF($C101&lt;$H$7,$K$20*$C101+$L$20,IF($C101&lt;$H$8,$K$21*$C101+$L$21,IF($C101&lt;$H$9,$K$22*$C101+$L$22,IF($C101&lt;$H$10,$K$23*$C101+$L$24,IF($C101&lt;$H$11,$K$24*$C101+$L$23,IF($C101&lt;$H$12,$K$25*$C101+$L$25,$K$26*$C101+$L$26))))))</f>
        <v>0.35</v>
      </c>
      <c r="I101" s="9">
        <f>主桁!AD63*2</f>
        <v>47.852000000000075</v>
      </c>
      <c r="J101" s="1">
        <f>主桁!AE63*2</f>
        <v>47.852000000000075</v>
      </c>
      <c r="K101" s="227"/>
      <c r="L101" s="232"/>
      <c r="M101" s="86"/>
      <c r="N101" s="86"/>
      <c r="O101" s="231"/>
      <c r="P101" s="86"/>
      <c r="Q101" s="86"/>
      <c r="R101" s="86"/>
      <c r="S101" s="86"/>
      <c r="T101" s="86"/>
      <c r="U101" s="86"/>
      <c r="V101" s="86"/>
      <c r="W101" s="86"/>
      <c r="X101" s="86"/>
      <c r="Y101" s="86"/>
      <c r="Z101" s="86"/>
      <c r="AA101" s="86"/>
      <c r="AB101" s="86"/>
      <c r="AC101" s="71" t="str">
        <f>IF($C101&lt;$H$7,$M$6,IF($C101&lt;$H$8,$M$7,IF($C101&lt;$H$9,$M$8,IF($C101&lt;$H$10,$M$9,IF($C101&lt;$H$11,$M$10,IF($C101&lt;$H$12,$M$11,$M$12))))))</f>
        <v>QX0123</v>
      </c>
      <c r="AD101" s="1">
        <f t="shared" si="7"/>
        <v>100</v>
      </c>
      <c r="AE101" s="1" t="str">
        <f>IF($C101&lt;$H$7,$M$7,IF($C101&lt;$H$8,$M$8,IF($C101&lt;$H$9,$M$9,IF($C101&lt;$H$10,$M$10,IF($C101&lt;$H$11,$M$11,IF($C101&lt;$H$12,$M$12,$M$13))))))</f>
        <v>QX0123</v>
      </c>
      <c r="AF101" s="1">
        <f>IF(AC101=AE101,0,IF($C101&lt;$H$7,($C101-$H$6)/($H$7-$H$6),IF($C101&lt;$H$8,($C101-$H$7)/($H$8-$H$7),IF($C101&lt;$H$9,($C101-$H$8)/($H$9-$H$8),IF($C101&lt;$H$10,($C101-$H$9)/($H$10-$H$9),IF($C101&lt;$H$11,($C101-$H$10)/($H$11-$H$10),IF($C101&lt;$H$12,($C101-$H$11)/($H$12-$H$11),($C101-$H$12)/($H$13-$H$12))))))))*100</f>
        <v>0</v>
      </c>
      <c r="AG101" s="1">
        <f>D101*H101/1000</f>
        <v>0.1513750000000002</v>
      </c>
      <c r="AH101" s="1">
        <f>AG101-D101/1000</f>
        <v>-0.28112500000000035</v>
      </c>
      <c r="AI101" s="1">
        <f>AI100+E100*COS(RADIANS(AL100))</f>
        <v>10.974800718694066</v>
      </c>
      <c r="AJ101" s="1">
        <f>AJ100+E100*SIN(RADIANS(AL100))</f>
        <v>0.48083093103120617</v>
      </c>
      <c r="AK101" s="1">
        <f>IF($C101&lt;$H$7,$I$20*$C101+$J$20,IF($C101&lt;$H$8,$I$21*$C101+$J$21,IF($C101&lt;$H$9,$I$22*$C101+$J$22,IF($C101&lt;$H$10,$I$23*$C101+$J$23,IF($C101&lt;$H$11,$I$24*$C101+$J$24,IF($C101&lt;$H$12,$I$25*$C101+$J$25,$I$26*$C101+$J$26))))))</f>
        <v>0.92857142857143593</v>
      </c>
      <c r="AL101" s="7">
        <f>IF($C101&lt;$H$7,$K$6,IF($C101&lt;$H$8,$K$7,IF($C101&lt;$H$9,$K$8,IF($C101&lt;$H$10,$K$9,IF($C101&lt;$H$11,$K$10,IF($C101&lt;$H$12,$K$11,$K$12))))))</f>
        <v>6</v>
      </c>
      <c r="AM101" s="231"/>
      <c r="AN101" s="86"/>
      <c r="AO101" s="86"/>
      <c r="AP101" s="86"/>
      <c r="AQ101" s="86"/>
      <c r="AR101" s="86"/>
      <c r="AS101" s="86">
        <f t="shared" si="8"/>
        <v>1.7770343750000046E-2</v>
      </c>
      <c r="AT101" s="86">
        <f t="shared" si="9"/>
        <v>0.88662500000000111</v>
      </c>
      <c r="AU101" s="86">
        <f t="shared" si="3"/>
        <v>0.81026249999999989</v>
      </c>
      <c r="AV101" s="86">
        <f t="shared" si="4"/>
        <v>0.33248437500000039</v>
      </c>
      <c r="AW101" s="227">
        <f t="shared" si="5"/>
        <v>0.17732500000000023</v>
      </c>
      <c r="AX101" s="71">
        <f>AS101*$Y$4*パラメータ!$D$24</f>
        <v>5.8642134375000152</v>
      </c>
      <c r="AY101" s="1">
        <f>AU101*$Y$5*E101*パラメータ!$D$30</f>
        <v>27.548924999999997</v>
      </c>
      <c r="AZ101" s="1">
        <f>SUMPRODUCT($AD$4:$AD$10,$AE$4:$AE$10)*E101*パラメータ!$D$28*10^-3</f>
        <v>12.75</v>
      </c>
      <c r="BA101" s="1">
        <f>(AV101+AW101)*$Y$6*$Y$4*パラメータ!$D$22*10^-3</f>
        <v>3.441213281250004</v>
      </c>
      <c r="BB101" s="1">
        <f>($Y$8*$Y$9*パラメータ!$D$22+0.5*$Y$8^2*SIN(RADIANS($Y$10))*パラメータ!$D$25)*E101*10^-3</f>
        <v>3.3081478802897957</v>
      </c>
      <c r="BC101" s="1">
        <f>AT101*($Y$12)</f>
        <v>8.8662500000000115</v>
      </c>
      <c r="BD101" s="1">
        <f>$Y$11</f>
        <v>4</v>
      </c>
      <c r="BE101" s="1">
        <f>IF(G101="端リブ",AS101*$Y$13*パラメータ!$D$22*2,0)</f>
        <v>0</v>
      </c>
      <c r="BF101" s="1">
        <f>主桁!AV63*1000</f>
        <v>52.674425973154648</v>
      </c>
      <c r="BG101" s="1">
        <f t="shared" si="10"/>
        <v>65.778749599039813</v>
      </c>
      <c r="BH101" s="1">
        <f t="shared" si="11"/>
        <v>0.11845317557219445</v>
      </c>
      <c r="BI101" s="2" t="e">
        <f>(AO101-重量分布!$E$15)^2+(AP101-重量分布!$F$15)^2</f>
        <v>#REF!</v>
      </c>
      <c r="BJ101" s="2" t="e">
        <f>(AP101-重量分布!$F$15)^2</f>
        <v>#REF!</v>
      </c>
      <c r="BK101" s="237">
        <f>(AO101-重量分布!$E$15)^2</f>
        <v>0</v>
      </c>
    </row>
    <row r="102" spans="2:63">
      <c r="B102" s="29">
        <v>58</v>
      </c>
      <c r="C102" s="1">
        <f t="shared" si="13"/>
        <v>11.999999999999991</v>
      </c>
      <c r="D102" s="1">
        <f>IF($C102&lt;$H$7,$G$20*$C102+$H$20,IF($C102&lt;$H$8,$G$21*$C102+$H$21,IF($C102&lt;$H$9,$G$22*$C102+$H$22,IF($C102&lt;$H$10,$G$23*$C102+$H$23,IF($C102&lt;$H$11,$G$24*$C102+$H$24,IF($C102&lt;$H$12,$G$25*$C102+$H$25,$G$26*$C102+$H$26))))))*10^3</f>
        <v>415.00000000000068</v>
      </c>
      <c r="E102" s="22">
        <v>0.2</v>
      </c>
      <c r="F102" s="22" t="s">
        <v>967</v>
      </c>
      <c r="G102" s="75" t="str">
        <f>IF(OR(C102=$F$38,C102=$G$38,C102=$H$38),"端リブ",IF(C102&lt;$F$38,"0番",IF(C102&lt;$G$38,"1番",IF(C102&lt;$H$38,"2番",IF(C102&lt;$I$38,"3番","ウィングレット")))))</f>
        <v>3番</v>
      </c>
      <c r="H102" s="1">
        <f>IF($C102&lt;$H$7,$K$20*$C102+$L$20,IF($C102&lt;$H$8,$K$21*$C102+$L$21,IF($C102&lt;$H$9,$K$22*$C102+$L$22,IF($C102&lt;$H$10,$K$23*$C102+$L$24,IF($C102&lt;$H$11,$K$24*$C102+$L$23,IF($C102&lt;$H$12,$K$25*$C102+$L$25,$K$26*$C102+$L$26))))))</f>
        <v>0.35</v>
      </c>
      <c r="I102" s="9">
        <f>主桁!AD64*2</f>
        <v>46.152000000000079</v>
      </c>
      <c r="J102" s="1">
        <f>主桁!AE64*2</f>
        <v>46.152000000000079</v>
      </c>
      <c r="K102" s="227"/>
      <c r="L102" s="232"/>
      <c r="M102" s="86"/>
      <c r="N102" s="86"/>
      <c r="O102" s="231"/>
      <c r="P102" s="86"/>
      <c r="Q102" s="86"/>
      <c r="R102" s="86"/>
      <c r="S102" s="86"/>
      <c r="T102" s="86"/>
      <c r="U102" s="86"/>
      <c r="V102" s="86"/>
      <c r="W102" s="86"/>
      <c r="X102" s="86"/>
      <c r="Y102" s="86"/>
      <c r="Z102" s="86"/>
      <c r="AA102" s="86"/>
      <c r="AB102" s="86"/>
      <c r="AC102" s="71" t="str">
        <f>IF($C102&lt;$H$7,$M$6,IF($C102&lt;$H$8,$M$7,IF($C102&lt;$H$9,$M$8,IF($C102&lt;$H$10,$M$9,IF($C102&lt;$H$11,$M$10,IF($C102&lt;$H$12,$M$11,$M$12))))))</f>
        <v>QX0123</v>
      </c>
      <c r="AD102" s="1">
        <f t="shared" si="7"/>
        <v>100</v>
      </c>
      <c r="AE102" s="1" t="str">
        <f>IF($C102&lt;$H$7,$M$7,IF($C102&lt;$H$8,$M$8,IF($C102&lt;$H$9,$M$9,IF($C102&lt;$H$10,$M$10,IF($C102&lt;$H$11,$M$11,IF($C102&lt;$H$12,$M$12,$M$13))))))</f>
        <v>QX0123</v>
      </c>
      <c r="AF102" s="1">
        <f>IF(AC102=AE102,0,IF($C102&lt;$H$7,($C102-$H$6)/($H$7-$H$6),IF($C102&lt;$H$8,($C102-$H$7)/($H$8-$H$7),IF($C102&lt;$H$9,($C102-$H$8)/($H$9-$H$8),IF($C102&lt;$H$10,($C102-$H$9)/($H$10-$H$9),IF($C102&lt;$H$11,($C102-$H$10)/($H$11-$H$10),IF($C102&lt;$H$12,($C102-$H$11)/($H$12-$H$11),($C102-$H$12)/($H$13-$H$12))))))))*100</f>
        <v>0</v>
      </c>
      <c r="AG102" s="1">
        <f>D102*H102/1000</f>
        <v>0.14525000000000024</v>
      </c>
      <c r="AH102" s="1">
        <f>AG102-D102/1000</f>
        <v>-0.26975000000000049</v>
      </c>
      <c r="AI102" s="1">
        <f>AI101+E101*COS(RADIANS(AL101))</f>
        <v>11.173705097767721</v>
      </c>
      <c r="AJ102" s="1">
        <f>AJ101+E101*SIN(RADIANS(AL101))</f>
        <v>0.50173662368473682</v>
      </c>
      <c r="AK102" s="1">
        <f>IF($C102&lt;$H$7,$I$20*$C102+$J$20,IF($C102&lt;$H$8,$I$21*$C102+$J$21,IF($C102&lt;$H$9,$I$22*$C102+$J$22,IF($C102&lt;$H$10,$I$23*$C102+$J$23,IF($C102&lt;$H$11,$I$24*$C102+$J$24,IF($C102&lt;$H$12,$I$25*$C102+$J$25,$I$26*$C102+$J$26))))))</f>
        <v>0.71428571428572241</v>
      </c>
      <c r="AL102" s="7">
        <f>IF($C102&lt;$H$7,$K$6,IF($C102&lt;$H$8,$K$7,IF($C102&lt;$H$9,$K$8,IF($C102&lt;$H$10,$K$9,IF($C102&lt;$H$11,$K$10,IF($C102&lt;$H$12,$K$11,$K$12))))))</f>
        <v>6</v>
      </c>
      <c r="AM102" s="231"/>
      <c r="AN102" s="86"/>
      <c r="AO102" s="86"/>
      <c r="AP102" s="86"/>
      <c r="AQ102" s="86"/>
      <c r="AR102" s="86"/>
      <c r="AS102" s="86">
        <f t="shared" si="8"/>
        <v>1.6361375000000053E-2</v>
      </c>
      <c r="AT102" s="86">
        <f t="shared" si="9"/>
        <v>0.85075000000000134</v>
      </c>
      <c r="AU102" s="86">
        <f t="shared" si="3"/>
        <v>0.81026249999999989</v>
      </c>
      <c r="AV102" s="86">
        <f t="shared" si="4"/>
        <v>0.31903125000000049</v>
      </c>
      <c r="AW102" s="227">
        <f t="shared" si="5"/>
        <v>0.17015000000000027</v>
      </c>
      <c r="AX102" s="71">
        <f>AS102*$Y$4*パラメータ!$D$24</f>
        <v>5.3992537500000175</v>
      </c>
      <c r="AY102" s="1">
        <f>AU102*$Y$5*E102*パラメータ!$D$30</f>
        <v>27.548924999999997</v>
      </c>
      <c r="AZ102" s="1">
        <f>SUMPRODUCT($AD$4:$AD$10,$AE$4:$AE$10)*E102*パラメータ!$D$28*10^-3</f>
        <v>12.75</v>
      </c>
      <c r="BA102" s="1">
        <f>(AV102+AW102)*$Y$6*$Y$4*パラメータ!$D$22*10^-3</f>
        <v>3.3019734375000054</v>
      </c>
      <c r="BB102" s="1">
        <f>($Y$8*$Y$9*パラメータ!$D$22+0.5*$Y$8^2*SIN(RADIANS($Y$10))*パラメータ!$D$25)*E102*10^-3</f>
        <v>3.3081478802897957</v>
      </c>
      <c r="BC102" s="1">
        <f>AT102*($Y$12)</f>
        <v>8.5075000000000127</v>
      </c>
      <c r="BD102" s="1">
        <f>$Y$11</f>
        <v>4</v>
      </c>
      <c r="BE102" s="1">
        <f>IF(G102="端リブ",AS102*$Y$13*パラメータ!$D$22*2,0)</f>
        <v>0</v>
      </c>
      <c r="BF102" s="1">
        <f>主桁!AV64*1000</f>
        <v>50.790062652590493</v>
      </c>
      <c r="BG102" s="1">
        <f t="shared" si="10"/>
        <v>64.815800067789823</v>
      </c>
      <c r="BH102" s="1">
        <f t="shared" si="11"/>
        <v>0.11560586272038031</v>
      </c>
      <c r="BI102" s="2" t="e">
        <f>(AO102-重量分布!$E$15)^2+(AP102-重量分布!$F$15)^2</f>
        <v>#REF!</v>
      </c>
      <c r="BJ102" s="2" t="e">
        <f>(AP102-重量分布!$F$15)^2</f>
        <v>#REF!</v>
      </c>
      <c r="BK102" s="237">
        <f>(AO102-重量分布!$E$15)^2</f>
        <v>0</v>
      </c>
    </row>
    <row r="103" spans="2:63">
      <c r="B103" s="29">
        <v>59</v>
      </c>
      <c r="C103" s="1">
        <f t="shared" si="13"/>
        <v>12.19999999999999</v>
      </c>
      <c r="D103" s="1">
        <f>IF($C103&lt;$H$7,$G$20*$C103+$H$20,IF($C103&lt;$H$8,$G$21*$C103+$H$21,IF($C103&lt;$H$9,$G$22*$C103+$H$22,IF($C103&lt;$H$10,$G$23*$C103+$H$23,IF($C103&lt;$H$11,$G$24*$C103+$H$24,IF($C103&lt;$H$12,$G$25*$C103+$H$25,$G$26*$C103+$H$26))))))*10^3</f>
        <v>397.50000000000443</v>
      </c>
      <c r="E103" s="22">
        <v>0.6</v>
      </c>
      <c r="F103" s="22" t="str">
        <f>IF(C103&lt;$H$7,"flat",IF(C103&lt;$H$8,"1st",IF(C103&lt;$H$9,"2nd",IF(C103&lt;$H$10,"3rd",IF(C103&lt;$H$11,"4th",IF(C103&lt;$H$12,"5th","6th"))))))</f>
        <v>6th</v>
      </c>
      <c r="G103" s="75" t="str">
        <f>IF(OR(C103=$F$38,C103=$G$38,C103=$H$38),"端リブ",IF(C103&lt;$F$38,"0番",IF(C103&lt;$G$38,"1番",IF(C103&lt;$H$38,"2番",IF(C103&lt;$I$38,"3番","ウィングレット")))))</f>
        <v>ウィングレット</v>
      </c>
      <c r="H103" s="1">
        <f>IF($C103&lt;$H$7,$K$20*$C103+$L$20,IF($C103&lt;$H$8,$K$21*$C103+$L$21,IF($C103&lt;$H$9,$K$22*$C103+$L$22,IF($C103&lt;$H$10,$K$23*$C103+$L$24,IF($C103&lt;$H$11,$K$24*$C103+$L$23,IF($C103&lt;$H$12,$K$25*$C103+$L$25,$K$26*$C103+$L$26))))))</f>
        <v>0.35000000000001918</v>
      </c>
      <c r="I103" s="9">
        <f>主桁!AD65*2</f>
        <v>44.452000000000091</v>
      </c>
      <c r="J103" s="1">
        <f>主桁!AE65*2</f>
        <v>44.452000000000091</v>
      </c>
      <c r="K103" s="227"/>
      <c r="L103" s="232"/>
      <c r="M103" s="86"/>
      <c r="N103" s="86"/>
      <c r="O103" s="231"/>
      <c r="P103" s="86"/>
      <c r="Q103" s="86"/>
      <c r="R103" s="86"/>
      <c r="S103" s="86"/>
      <c r="T103" s="86"/>
      <c r="U103" s="86"/>
      <c r="V103" s="86"/>
      <c r="W103" s="86"/>
      <c r="X103" s="86"/>
      <c r="Y103" s="86"/>
      <c r="Z103" s="86"/>
      <c r="AA103" s="86"/>
      <c r="AB103" s="86"/>
      <c r="AC103" s="71" t="str">
        <f>IF($C103&lt;$H$7,$M$6,IF($C103&lt;$H$8,$M$7,IF($C103&lt;$H$9,$M$8,IF($C103&lt;$H$10,$M$9,IF($C103&lt;$H$11,$M$10,IF($C103&lt;$H$12,$M$11,$M$12))))))</f>
        <v>QX0123</v>
      </c>
      <c r="AD103" s="1">
        <f t="shared" si="7"/>
        <v>100</v>
      </c>
      <c r="AE103" s="1" t="str">
        <f>IF($C103&lt;$H$7,$M$7,IF($C103&lt;$H$8,$M$8,IF($C103&lt;$H$9,$M$9,IF($C103&lt;$H$10,$M$10,IF($C103&lt;$H$11,$M$11,IF($C103&lt;$H$12,$M$12,$M$13))))))</f>
        <v>QX0123</v>
      </c>
      <c r="AF103" s="1">
        <f>IF(AC103=AE103,0,IF($C103&lt;$H$7,($C103-$H$6)/($H$7-$H$6),IF($C103&lt;$H$8,($C103-$H$7)/($H$8-$H$7),IF($C103&lt;$H$9,($C103-$H$8)/($H$9-$H$8),IF($C103&lt;$H$10,($C103-$H$9)/($H$10-$H$9),IF($C103&lt;$H$11,($C103-$H$10)/($H$11-$H$10),IF($C103&lt;$H$12,($C103-$H$11)/($H$12-$H$11),($C103-$H$12)/($H$13-$H$12))))))))*100</f>
        <v>0</v>
      </c>
      <c r="AG103" s="1">
        <f>D103*H103/1000</f>
        <v>0.13912500000000919</v>
      </c>
      <c r="AH103" s="1">
        <f>AG103-D103/1000</f>
        <v>-0.25837499999999525</v>
      </c>
      <c r="AI103" s="1">
        <f>AI102+E102*COS(RADIANS(AL102))</f>
        <v>11.372609476841376</v>
      </c>
      <c r="AJ103" s="1">
        <f>AJ102+E102*SIN(RADIANS(AL102))</f>
        <v>0.52264231633826752</v>
      </c>
      <c r="AK103" s="1">
        <f>IF($C103&lt;$H$7,$I$20*$C103+$J$20,IF($C103&lt;$H$8,$I$21*$C103+$J$21,IF($C103&lt;$H$9,$I$22*$C103+$J$22,IF($C103&lt;$H$10,$I$23*$C103+$J$23,IF($C103&lt;$H$11,$I$24*$C103+$J$24,IF($C103&lt;$H$12,$I$25*$C103+$J$25,$I$26*$C103+$J$26))))))</f>
        <v>0.5</v>
      </c>
      <c r="AL103" s="7">
        <f>IF($C103&lt;$H$7,$K$6,IF($C103&lt;$H$8,$K$7,IF($C103&lt;$H$9,$K$8,IF($C103&lt;$H$10,$K$9,IF($C103&lt;$H$11,$K$10,IF($C103&lt;$H$12,$K$11,$K$12))))))</f>
        <v>36</v>
      </c>
      <c r="AM103" s="231"/>
      <c r="AN103" s="86"/>
      <c r="AO103" s="86"/>
      <c r="AP103" s="86"/>
      <c r="AQ103" s="86"/>
      <c r="AR103" s="86"/>
      <c r="AS103" s="86">
        <f t="shared" si="8"/>
        <v>1.5010593750000337E-2</v>
      </c>
      <c r="AT103" s="86">
        <f t="shared" si="9"/>
        <v>0.81487500000000901</v>
      </c>
      <c r="AU103" s="86">
        <f t="shared" si="3"/>
        <v>0.81026249999999989</v>
      </c>
      <c r="AV103" s="86">
        <f t="shared" si="4"/>
        <v>0.30557812500000336</v>
      </c>
      <c r="AW103" s="227">
        <f t="shared" si="5"/>
        <v>0.16297500000000181</v>
      </c>
      <c r="AX103" s="71">
        <f>AS103*$Y$4*パラメータ!$D$24</f>
        <v>4.9534959375001115</v>
      </c>
      <c r="AY103" s="1">
        <f>AU103*$Y$5*E103*パラメータ!$D$30</f>
        <v>82.646774999999991</v>
      </c>
      <c r="AZ103" s="1">
        <f>SUMPRODUCT($AD$4:$AD$10,$AE$4:$AE$10)*E103*パラメータ!$D$28*10^-3</f>
        <v>38.25</v>
      </c>
      <c r="BA103" s="1">
        <f>(AV103+AW103)*$Y$6*$Y$4*パラメータ!$D$22*10^-3</f>
        <v>3.1627335937500352</v>
      </c>
      <c r="BB103" s="1">
        <f>($Y$8*$Y$9*パラメータ!$D$22+0.5*$Y$8^2*SIN(RADIANS($Y$10))*パラメータ!$D$25)*E103*10^-3</f>
        <v>9.9244436408693861</v>
      </c>
      <c r="BC103" s="1">
        <f>AT103*($Y$12)</f>
        <v>8.1487500000000903</v>
      </c>
      <c r="BD103" s="1">
        <f>$Y$11</f>
        <v>4</v>
      </c>
      <c r="BE103" s="1">
        <f>IF(G103="端リブ",AS103*$Y$13*パラメータ!$D$22*2,0)</f>
        <v>0</v>
      </c>
      <c r="BF103" s="1">
        <f>主桁!AV65*1000</f>
        <v>48.905691300594121</v>
      </c>
      <c r="BG103" s="1">
        <f t="shared" si="10"/>
        <v>151.08619817211962</v>
      </c>
      <c r="BH103" s="1">
        <f t="shared" si="11"/>
        <v>0.19999188947271376</v>
      </c>
      <c r="BI103" s="2" t="e">
        <f>(AO103-重量分布!$E$15)^2+(AP103-重量分布!$F$15)^2</f>
        <v>#REF!</v>
      </c>
      <c r="BJ103" s="2" t="e">
        <f>(AP103-重量分布!$F$15)^2</f>
        <v>#REF!</v>
      </c>
      <c r="BK103" s="237">
        <f>(AO103-重量分布!$E$15)^2</f>
        <v>0</v>
      </c>
    </row>
    <row r="104" spans="2:63">
      <c r="B104" s="29">
        <v>60</v>
      </c>
      <c r="C104" s="1">
        <f t="shared" si="13"/>
        <v>12.79999999999999</v>
      </c>
      <c r="D104" s="1">
        <f>IF($C104&lt;$H$7,$G$20*$C104+$H$20,IF($C104&lt;$H$8,$G$21*$C104+$H$21,IF($C104&lt;$H$9,$G$22*$C104+$H$22,IF($C104&lt;$H$10,$G$23*$C104+$H$23,IF($C104&lt;$H$11,$G$24*$C104+$H$24,IF($C104&lt;$H$12,$G$25*$C104+$H$25,$G$26*$C104+$H$26))))))*10^3</f>
        <v>100.00000000000497</v>
      </c>
      <c r="E104" s="22"/>
      <c r="F104" s="22" t="str">
        <f t="shared" si="14"/>
        <v>6th</v>
      </c>
      <c r="G104" s="75" t="str">
        <f>IF(OR(C104=$F$38,C104=$G$38,C104=$H$38),"端リブ",IF(C104&lt;$F$38,"0番",IF(C104&lt;$G$38,"1番",IF(C104&lt;$H$38,"2番",IF(C104&lt;$I$38,"3番","ウィングレット")))))</f>
        <v>ウィングレット</v>
      </c>
      <c r="H104" s="1">
        <f>IF($C104&lt;$H$7,$K$20*$C104+$L$20,IF($C104&lt;$H$8,$K$21*$C104+$L$21,IF($C104&lt;$H$9,$K$22*$C104+$L$22,IF($C104&lt;$H$10,$K$23*$C104+$L$24,IF($C104&lt;$H$11,$K$24*$C104+$L$23,IF($C104&lt;$H$12,$K$25*$C104+$L$25,$K$26*$C104+$L$26))))))</f>
        <v>-0.99999999999997513</v>
      </c>
      <c r="I104" s="9">
        <f>主桁!AD66*2</f>
        <v>20</v>
      </c>
      <c r="J104" s="1">
        <f>主桁!AE66*2</f>
        <v>20</v>
      </c>
      <c r="K104" s="227"/>
      <c r="L104" s="232"/>
      <c r="M104" s="86"/>
      <c r="N104" s="86"/>
      <c r="O104" s="231"/>
      <c r="P104" s="86"/>
      <c r="Q104" s="86"/>
      <c r="R104" s="86"/>
      <c r="S104" s="86"/>
      <c r="T104" s="86"/>
      <c r="U104" s="86"/>
      <c r="V104" s="86"/>
      <c r="W104" s="86"/>
      <c r="X104" s="86"/>
      <c r="Y104" s="86"/>
      <c r="Z104" s="86"/>
      <c r="AA104" s="86"/>
      <c r="AB104" s="86"/>
      <c r="AC104" s="71" t="str">
        <f>IF($C104&lt;$H$7,$M$6,IF($C104&lt;$H$8,$M$7,IF($C104&lt;$H$9,$M$8,IF($C104&lt;$H$10,$M$9,IF($C104&lt;$H$11,$M$10,IF($C104&lt;$H$12,$M$11,$M$12))))))</f>
        <v>QX0123</v>
      </c>
      <c r="AD104" s="1">
        <f t="shared" si="7"/>
        <v>100</v>
      </c>
      <c r="AE104" s="1" t="str">
        <f>IF($C104&lt;$H$7,$M$7,IF($C104&lt;$H$8,$M$8,IF($C104&lt;$H$9,$M$9,IF($C104&lt;$H$10,$M$10,IF($C104&lt;$H$11,$M$11,IF($C104&lt;$H$12,$M$12,$M$13))))))</f>
        <v>QX0123</v>
      </c>
      <c r="AF104" s="1">
        <f>IF(AC104=AE104,0,IF($C104&lt;$H$7,($C104-$H$6)/($H$7-$H$6),IF($C104&lt;$H$8,($C104-$H$7)/($H$8-$H$7),IF($C104&lt;$H$9,($C104-$H$8)/($H$9-$H$8),IF($C104&lt;$H$10,($C104-$H$9)/($H$10-$H$9),IF($C104&lt;$H$11,($C104-$H$10)/($H$11-$H$10),IF($C104&lt;$H$12,($C104-$H$11)/($H$12-$H$11),($C104-$H$12)/($H$13-$H$12))))))))*100</f>
        <v>0</v>
      </c>
      <c r="AG104" s="1">
        <f>D104*H104/1000</f>
        <v>-0.10000000000000249</v>
      </c>
      <c r="AH104" s="1">
        <f>AG104-D104/1000</f>
        <v>-0.20000000000000745</v>
      </c>
      <c r="AI104" s="1">
        <f>AI103+E103*COS(RADIANS(AL103))</f>
        <v>11.858019673466345</v>
      </c>
      <c r="AJ104" s="1">
        <f>AJ103+E103*SIN(RADIANS(AL103))</f>
        <v>0.8753134677137514</v>
      </c>
      <c r="AK104" s="1">
        <f>IF($C104&lt;$H$7,$I$20*$C104+$J$20,IF($C104&lt;$H$8,$I$21*$C104+$J$21,IF($C104&lt;$H$9,$I$22*$C104+$J$22,IF($C104&lt;$H$10,$I$23*$C104+$J$23,IF($C104&lt;$H$11,$I$24*$C104+$J$24,IF($C104&lt;$H$12,$I$25*$C104+$J$25,$I$26*$C104+$J$26))))))</f>
        <v>0.5</v>
      </c>
      <c r="AL104" s="7">
        <f>IF($C104&lt;$H$7,$K$6,IF($C104&lt;$H$8,$K$7,IF($C104&lt;$H$9,$K$8,IF($C104&lt;$H$10,$K$9,IF($C104&lt;$H$11,$K$10,IF($C104&lt;$H$12,$K$11,$K$12))))))</f>
        <v>36</v>
      </c>
      <c r="AM104" s="231"/>
      <c r="AN104" s="86"/>
      <c r="AO104" s="86"/>
      <c r="AP104" s="86"/>
      <c r="AQ104" s="86"/>
      <c r="AR104" s="86"/>
      <c r="AS104" s="86">
        <f t="shared" si="8"/>
        <v>9.5000000000009443E-4</v>
      </c>
      <c r="AT104" s="86">
        <f t="shared" si="9"/>
        <v>0.20500000000001017</v>
      </c>
      <c r="AU104" s="86">
        <f t="shared" si="3"/>
        <v>0.81026249999999989</v>
      </c>
      <c r="AV104" s="86">
        <f t="shared" si="4"/>
        <v>7.6875000000003815E-2</v>
      </c>
      <c r="AW104" s="227">
        <f t="shared" si="5"/>
        <v>4.1000000000002035E-2</v>
      </c>
      <c r="AX104" s="71">
        <f>AS104*$Y$4*パラメータ!$D$24</f>
        <v>0.3135000000000312</v>
      </c>
      <c r="AY104" s="1">
        <f>AU104*$Y$5*E104*パラメータ!$D$30</f>
        <v>0</v>
      </c>
      <c r="AZ104" s="1">
        <f>SUMPRODUCT($AD$4:$AD$10,$AE$4:$AE$10)*E104*パラメータ!$D$28*10^-3</f>
        <v>0</v>
      </c>
      <c r="BA104" s="1">
        <f>(AV104+AW104)*$Y$6*$Y$4*パラメータ!$D$22*10^-3</f>
        <v>0.79565625000003948</v>
      </c>
      <c r="BB104" s="1">
        <f>($Y$8*$Y$9*パラメータ!$D$22+0.5*$Y$8^2*SIN(RADIANS($Y$10))*パラメータ!$D$25)*E104*10^-3</f>
        <v>0</v>
      </c>
      <c r="BC104" s="1">
        <f>AT104*($Y$12)</f>
        <v>2.050000000000102</v>
      </c>
      <c r="BD104" s="1">
        <f>$Y$11</f>
        <v>4</v>
      </c>
      <c r="BE104" s="1">
        <f>IF(G104="端リブ",AS104*$Y$13*パラメータ!$D$22*2,0)</f>
        <v>0</v>
      </c>
      <c r="BF104" s="1">
        <f>主桁!AV66*1000</f>
        <v>96.886244918692697</v>
      </c>
      <c r="BG104" s="1">
        <f t="shared" si="10"/>
        <v>7.1591562500001729</v>
      </c>
      <c r="BH104" s="1">
        <f t="shared" si="11"/>
        <v>0.10404540116869287</v>
      </c>
      <c r="BI104" s="2" t="e">
        <f>(AO104-重量分布!$E$15)^2+(AP104-重量分布!$F$15)^2</f>
        <v>#REF!</v>
      </c>
      <c r="BJ104" s="2" t="e">
        <f>(AP104-重量分布!$F$15)^2</f>
        <v>#REF!</v>
      </c>
      <c r="BK104" s="237">
        <f>(AO104-重量分布!$E$15)^2</f>
        <v>0</v>
      </c>
    </row>
    <row r="105" spans="2:63">
      <c r="B105" s="1"/>
      <c r="C105" s="1"/>
      <c r="D105" s="1"/>
      <c r="E105" s="22"/>
      <c r="F105" s="22"/>
      <c r="G105" s="75"/>
      <c r="H105" s="23"/>
      <c r="I105" s="9"/>
      <c r="J105" s="9"/>
      <c r="K105" s="227"/>
      <c r="L105" s="232"/>
      <c r="M105" s="86"/>
      <c r="N105" s="86"/>
      <c r="O105" s="231"/>
      <c r="P105" s="86"/>
      <c r="Q105" s="86"/>
      <c r="R105" s="86"/>
      <c r="S105" s="86"/>
      <c r="T105" s="86"/>
      <c r="U105" s="86"/>
      <c r="V105" s="86"/>
      <c r="W105" s="86"/>
      <c r="X105" s="86"/>
      <c r="Y105" s="86"/>
      <c r="Z105" s="86"/>
      <c r="AA105" s="86"/>
      <c r="AB105" s="86"/>
      <c r="AC105" s="23"/>
      <c r="AD105" s="23"/>
      <c r="AE105" s="23"/>
      <c r="AF105" s="23"/>
      <c r="AG105" s="1"/>
      <c r="AH105" s="1"/>
      <c r="AI105" s="1"/>
      <c r="AJ105" s="1"/>
      <c r="AK105" s="1"/>
      <c r="AL105" s="1"/>
      <c r="AM105" s="231"/>
      <c r="AN105" s="86"/>
      <c r="AO105" s="86"/>
      <c r="AP105" s="86"/>
      <c r="AQ105" s="86"/>
      <c r="AR105" s="86"/>
      <c r="AS105" s="86">
        <f t="shared" si="8"/>
        <v>0</v>
      </c>
      <c r="AT105" s="86">
        <f t="shared" si="9"/>
        <v>0</v>
      </c>
      <c r="AU105" s="86">
        <f t="shared" si="3"/>
        <v>0.81026249999999989</v>
      </c>
      <c r="AV105" s="86">
        <f t="shared" si="4"/>
        <v>0</v>
      </c>
      <c r="AW105" s="227">
        <f t="shared" si="5"/>
        <v>0</v>
      </c>
      <c r="AX105" s="71">
        <f>AS105*$Y$4*パラメータ!$D$24</f>
        <v>0</v>
      </c>
      <c r="AY105" s="1">
        <f>AU105*$Y$5*E105*パラメータ!$D$30</f>
        <v>0</v>
      </c>
      <c r="AZ105" s="1">
        <f>SUMPRODUCT($AD$4:$AD$10,$AE$4:$AE$10)*E105*パラメータ!$D$28*10^-3</f>
        <v>0</v>
      </c>
      <c r="BA105" s="1">
        <f>(AV105+AW105)*$Y$6*$Y$4*パラメータ!$D$22*10^-3</f>
        <v>0</v>
      </c>
      <c r="BB105" s="1">
        <f>($Y$8*$Y$9*パラメータ!$D$22+0.5*$Y$8^2*SIN(RADIANS($Y$10))*パラメータ!$D$25)*E105*10^-3</f>
        <v>0</v>
      </c>
      <c r="BC105" s="1">
        <f>AT105*($Y$12)</f>
        <v>0</v>
      </c>
      <c r="BD105" s="1">
        <f>$Y$11</f>
        <v>4</v>
      </c>
      <c r="BE105" s="1">
        <f>IF(G105="端リブ",AS105*$Y$13*パラメータ!$D$22*2,0)</f>
        <v>0</v>
      </c>
      <c r="BF105" s="1">
        <f>主桁!AV67*1000</f>
        <v>0</v>
      </c>
      <c r="BG105" s="1">
        <f t="shared" si="10"/>
        <v>4</v>
      </c>
      <c r="BH105" s="1">
        <f t="shared" si="11"/>
        <v>4.0000000000000001E-3</v>
      </c>
      <c r="BI105" s="2" t="e">
        <f>(AO105-重量分布!$E$15)^2+(AP105-重量分布!$F$15)^2</f>
        <v>#REF!</v>
      </c>
      <c r="BJ105" s="2" t="e">
        <f>(AP105-重量分布!$F$15)^2</f>
        <v>#REF!</v>
      </c>
      <c r="BK105" s="237">
        <f>(AO105-重量分布!$E$15)^2</f>
        <v>0</v>
      </c>
    </row>
    <row r="106" spans="2:63">
      <c r="B106" s="1"/>
      <c r="C106" s="1"/>
      <c r="D106" s="1"/>
      <c r="E106" s="22"/>
      <c r="F106" s="22"/>
      <c r="G106" s="75"/>
      <c r="H106" s="23"/>
      <c r="I106" s="9"/>
      <c r="J106" s="9"/>
      <c r="K106" s="227"/>
      <c r="L106" s="232"/>
      <c r="M106" s="86"/>
      <c r="N106" s="86"/>
      <c r="O106" s="231"/>
      <c r="P106" s="86"/>
      <c r="Q106" s="86"/>
      <c r="R106" s="86"/>
      <c r="S106" s="86"/>
      <c r="T106" s="86"/>
      <c r="U106" s="86"/>
      <c r="V106" s="86"/>
      <c r="W106" s="86"/>
      <c r="X106" s="86"/>
      <c r="Y106" s="86"/>
      <c r="Z106" s="86"/>
      <c r="AA106" s="86"/>
      <c r="AB106" s="86"/>
      <c r="AC106" s="23"/>
      <c r="AD106" s="23"/>
      <c r="AE106" s="23"/>
      <c r="AF106" s="23"/>
      <c r="AG106" s="1"/>
      <c r="AH106" s="1"/>
      <c r="AI106" s="1"/>
      <c r="AJ106" s="1"/>
      <c r="AK106" s="1"/>
      <c r="AL106" s="1"/>
      <c r="AM106" s="231"/>
      <c r="AN106" s="86"/>
      <c r="AO106" s="86"/>
      <c r="AP106" s="86"/>
      <c r="AQ106" s="86"/>
      <c r="AR106" s="86"/>
      <c r="AS106" s="86">
        <f t="shared" si="8"/>
        <v>0</v>
      </c>
      <c r="AT106" s="86">
        <f t="shared" si="9"/>
        <v>0</v>
      </c>
      <c r="AU106" s="86">
        <f t="shared" si="3"/>
        <v>0.81026249999999989</v>
      </c>
      <c r="AV106" s="86">
        <f t="shared" si="4"/>
        <v>0</v>
      </c>
      <c r="AW106" s="227">
        <f t="shared" si="5"/>
        <v>0</v>
      </c>
      <c r="AX106" s="71">
        <f>AS106*$Y$4*パラメータ!$D$24</f>
        <v>0</v>
      </c>
      <c r="AY106" s="1">
        <f>AU106*$Y$5*E106*パラメータ!$D$30</f>
        <v>0</v>
      </c>
      <c r="AZ106" s="1">
        <f>SUMPRODUCT($AD$4:$AD$10,$AE$4:$AE$10)*E106*パラメータ!$D$28*10^-3</f>
        <v>0</v>
      </c>
      <c r="BA106" s="1">
        <f>(AV106+AW106)*$Y$6*$Y$4*パラメータ!$D$22*10^-3</f>
        <v>0</v>
      </c>
      <c r="BB106" s="1">
        <f>($Y$8*$Y$9*パラメータ!$D$22+0.5*$Y$8^2*SIN(RADIANS($Y$10))*パラメータ!$D$25)*E106*10^-3</f>
        <v>0</v>
      </c>
      <c r="BC106" s="1">
        <f>AT106*($Y$12)</f>
        <v>0</v>
      </c>
      <c r="BD106" s="1">
        <f>$Y$11</f>
        <v>4</v>
      </c>
      <c r="BE106" s="1">
        <f>IF(G106="端リブ",AS106*$Y$13*パラメータ!$D$22*2,0)</f>
        <v>0</v>
      </c>
      <c r="BF106" s="1">
        <f>主桁!AV68*1000</f>
        <v>0</v>
      </c>
      <c r="BG106" s="1">
        <f t="shared" si="10"/>
        <v>4</v>
      </c>
      <c r="BH106" s="1">
        <f t="shared" si="11"/>
        <v>4.0000000000000001E-3</v>
      </c>
      <c r="BI106" s="2" t="e">
        <f>(AO106-重量分布!$E$15)^2+(AP106-重量分布!$F$15)^2</f>
        <v>#REF!</v>
      </c>
      <c r="BJ106" s="2" t="e">
        <f>(AP106-重量分布!$F$15)^2</f>
        <v>#REF!</v>
      </c>
      <c r="BK106" s="237">
        <f>(AO106-重量分布!$E$15)^2</f>
        <v>0</v>
      </c>
    </row>
    <row r="107" spans="2:63">
      <c r="B107" s="1"/>
      <c r="C107" s="1"/>
      <c r="D107" s="1"/>
      <c r="E107" s="22"/>
      <c r="F107" s="22"/>
      <c r="G107" s="75"/>
      <c r="H107" s="23"/>
      <c r="I107" s="9"/>
      <c r="J107" s="9"/>
      <c r="K107" s="227"/>
      <c r="L107" s="232"/>
      <c r="M107" s="86"/>
      <c r="N107" s="86"/>
      <c r="O107" s="231"/>
      <c r="P107" s="86"/>
      <c r="Q107" s="86"/>
      <c r="R107" s="86"/>
      <c r="S107" s="86"/>
      <c r="T107" s="86"/>
      <c r="U107" s="86"/>
      <c r="V107" s="86"/>
      <c r="W107" s="86"/>
      <c r="X107" s="86"/>
      <c r="Y107" s="86"/>
      <c r="Z107" s="86"/>
      <c r="AA107" s="86"/>
      <c r="AB107" s="86"/>
      <c r="AC107" s="23"/>
      <c r="AD107" s="23"/>
      <c r="AE107" s="23"/>
      <c r="AF107" s="23"/>
      <c r="AG107" s="1"/>
      <c r="AH107" s="1"/>
      <c r="AI107" s="1"/>
      <c r="AJ107" s="1"/>
      <c r="AK107" s="1"/>
      <c r="AL107" s="1"/>
      <c r="AM107" s="231"/>
      <c r="AN107" s="86"/>
      <c r="AO107" s="86"/>
      <c r="AP107" s="86"/>
      <c r="AQ107" s="86"/>
      <c r="AR107" s="86"/>
      <c r="AS107" s="86">
        <f t="shared" si="8"/>
        <v>0</v>
      </c>
      <c r="AT107" s="86">
        <f t="shared" si="9"/>
        <v>0</v>
      </c>
      <c r="AU107" s="86">
        <f t="shared" si="3"/>
        <v>0.81026249999999989</v>
      </c>
      <c r="AV107" s="86">
        <f t="shared" si="4"/>
        <v>0</v>
      </c>
      <c r="AW107" s="227">
        <f t="shared" si="5"/>
        <v>0</v>
      </c>
      <c r="AX107" s="71">
        <f>AS107*$Y$4*パラメータ!$D$24</f>
        <v>0</v>
      </c>
      <c r="AY107" s="1">
        <f>AU107*$Y$5*E107*パラメータ!$D$30</f>
        <v>0</v>
      </c>
      <c r="AZ107" s="1">
        <f>SUMPRODUCT($AD$4:$AD$10,$AE$4:$AE$10)*E107*パラメータ!$D$28*10^-3</f>
        <v>0</v>
      </c>
      <c r="BA107" s="1">
        <f>(AV107+AW107)*$Y$6*$Y$4*パラメータ!$D$22*10^-3</f>
        <v>0</v>
      </c>
      <c r="BB107" s="1">
        <f>($Y$8*$Y$9*パラメータ!$D$22+0.5*$Y$8^2*SIN(RADIANS($Y$10))*パラメータ!$D$25)*E107*10^-3</f>
        <v>0</v>
      </c>
      <c r="BC107" s="1">
        <f>AT107*($Y$12)</f>
        <v>0</v>
      </c>
      <c r="BD107" s="1">
        <f>$Y$11</f>
        <v>4</v>
      </c>
      <c r="BE107" s="1">
        <f>IF(G107="端リブ",AS107*$Y$13*パラメータ!$D$22*2,0)</f>
        <v>0</v>
      </c>
      <c r="BF107" s="1">
        <f>主桁!AV69*1000</f>
        <v>0</v>
      </c>
      <c r="BG107" s="1">
        <f t="shared" si="10"/>
        <v>4</v>
      </c>
      <c r="BH107" s="1">
        <f t="shared" si="11"/>
        <v>4.0000000000000001E-3</v>
      </c>
      <c r="BI107" s="2" t="e">
        <f>(AO107-重量分布!$E$15)^2+(AP107-重量分布!$F$15)^2</f>
        <v>#REF!</v>
      </c>
      <c r="BJ107" s="2" t="e">
        <f>(AP107-重量分布!$F$15)^2</f>
        <v>#REF!</v>
      </c>
      <c r="BK107" s="237">
        <f>(AO107-重量分布!$E$15)^2</f>
        <v>0</v>
      </c>
    </row>
    <row r="108" spans="2:63">
      <c r="B108" s="1"/>
      <c r="C108" s="1"/>
      <c r="D108" s="1"/>
      <c r="E108" s="22"/>
      <c r="F108" s="22"/>
      <c r="G108" s="75"/>
      <c r="H108" s="23"/>
      <c r="I108" s="9"/>
      <c r="J108" s="9"/>
      <c r="K108" s="227"/>
      <c r="L108" s="232"/>
      <c r="M108" s="86"/>
      <c r="N108" s="86"/>
      <c r="O108" s="231"/>
      <c r="P108" s="86"/>
      <c r="Q108" s="86"/>
      <c r="R108" s="86"/>
      <c r="S108" s="86"/>
      <c r="T108" s="86"/>
      <c r="U108" s="86"/>
      <c r="V108" s="86"/>
      <c r="W108" s="86"/>
      <c r="X108" s="86"/>
      <c r="Y108" s="86"/>
      <c r="Z108" s="86"/>
      <c r="AA108" s="86"/>
      <c r="AB108" s="86"/>
      <c r="AC108" s="23"/>
      <c r="AD108" s="23"/>
      <c r="AE108" s="23"/>
      <c r="AF108" s="23"/>
      <c r="AG108" s="1"/>
      <c r="AH108" s="1"/>
      <c r="AI108" s="1"/>
      <c r="AJ108" s="1"/>
      <c r="AK108" s="1"/>
      <c r="AL108" s="1"/>
      <c r="AM108" s="231"/>
      <c r="AN108" s="86"/>
      <c r="AO108" s="86"/>
      <c r="AP108" s="86"/>
      <c r="AQ108" s="86"/>
      <c r="AR108" s="86"/>
      <c r="AS108" s="86"/>
      <c r="AT108" s="86"/>
      <c r="AU108" s="232"/>
      <c r="AV108" s="86"/>
      <c r="AW108" s="227"/>
      <c r="AX108" s="23"/>
      <c r="AY108" s="1"/>
      <c r="AZ108" s="1"/>
      <c r="BA108" s="1"/>
      <c r="BB108" s="1"/>
      <c r="BC108" s="1"/>
      <c r="BD108" s="1"/>
      <c r="BE108" s="9"/>
      <c r="BF108" s="1"/>
      <c r="BG108" s="1"/>
      <c r="BH108" s="1"/>
      <c r="BI108" s="1"/>
      <c r="BJ108" s="1"/>
      <c r="BK108" s="70"/>
    </row>
    <row r="109" spans="2:63">
      <c r="B109" s="1"/>
      <c r="C109" s="1"/>
      <c r="D109" s="1"/>
      <c r="E109" s="22"/>
      <c r="F109" s="22"/>
      <c r="G109" s="75"/>
      <c r="H109" s="23"/>
      <c r="I109" s="9"/>
      <c r="J109" s="9"/>
      <c r="K109" s="227"/>
      <c r="L109" s="232"/>
      <c r="M109" s="86"/>
      <c r="N109" s="86"/>
      <c r="O109" s="231"/>
      <c r="P109" s="86"/>
      <c r="Q109" s="86"/>
      <c r="R109" s="86"/>
      <c r="S109" s="86"/>
      <c r="T109" s="86"/>
      <c r="U109" s="86"/>
      <c r="V109" s="86"/>
      <c r="W109" s="86"/>
      <c r="X109" s="86"/>
      <c r="Y109" s="86"/>
      <c r="Z109" s="86"/>
      <c r="AA109" s="86"/>
      <c r="AB109" s="86"/>
      <c r="AC109" s="23"/>
      <c r="AD109" s="23"/>
      <c r="AE109" s="23"/>
      <c r="AF109" s="23"/>
      <c r="AG109" s="1"/>
      <c r="AH109" s="1"/>
      <c r="AI109" s="1"/>
      <c r="AJ109" s="1"/>
      <c r="AK109" s="1"/>
      <c r="AL109" s="1"/>
      <c r="AM109" s="231"/>
      <c r="AN109" s="86"/>
      <c r="AO109" s="86"/>
      <c r="AP109" s="86"/>
      <c r="AQ109" s="86"/>
      <c r="AR109" s="86"/>
      <c r="AS109" s="86"/>
      <c r="AT109" s="86"/>
      <c r="AU109" s="232"/>
      <c r="AV109" s="86"/>
      <c r="AW109" s="227"/>
      <c r="AX109" s="23"/>
      <c r="AY109" s="1"/>
      <c r="AZ109" s="1"/>
      <c r="BA109" s="1"/>
      <c r="BB109" s="1"/>
      <c r="BC109" s="1"/>
      <c r="BD109" s="1"/>
      <c r="BE109" s="9"/>
      <c r="BF109" s="1"/>
      <c r="BG109" s="1"/>
      <c r="BH109" s="1"/>
      <c r="BI109" s="1"/>
      <c r="BJ109" s="1"/>
      <c r="BK109" s="70"/>
    </row>
  </sheetData>
  <phoneticPr fontId="3"/>
  <conditionalFormatting sqref="D40 E1:E26 F41:F109 E35:E39 E140:E1048576 D110:D117">
    <cfRule type="cellIs" dxfId="3" priority="3" operator="equal">
      <formula>"基準"</formula>
    </cfRule>
  </conditionalFormatting>
  <conditionalFormatting sqref="E40 F1:F26 G41:G109 F35:F39 F140:F1048576 E110:E117">
    <cfRule type="cellIs" dxfId="2" priority="2" operator="equal">
      <formula>"端リブ"</formula>
    </cfRule>
  </conditionalFormatting>
  <conditionalFormatting sqref="K44:K150">
    <cfRule type="expression" dxfId="1" priority="1">
      <formula>$K$44:$K$150&lt;10</formula>
    </cfRule>
  </conditionalFormatting>
  <dataValidations count="2">
    <dataValidation type="list" allowBlank="1" showInputMessage="1" showErrorMessage="1" sqref="F44:F109" xr:uid="{54B72FDD-3BFD-C348-854F-97EE96A04B50}">
      <formula1>"基準,flat,1st,2nd,3rd,4th,5th,6th"</formula1>
    </dataValidation>
    <dataValidation type="list" allowBlank="1" showInputMessage="1" showErrorMessage="1" sqref="G44:G109" xr:uid="{0B4AB969-65C3-964B-B800-C2CBD36EA684}">
      <formula1>"端リブ,0番,1番,2番,3番,ウィングレット"</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9BD75B5A-D132-C844-9026-739D3008734D}">
          <x14:formula1>
            <xm:f>パラメータ!$B$22:$B$49</xm:f>
          </x14:formula1>
          <xm:sqref>W4:W8 W13</xm:sqref>
        </x14:dataValidation>
        <x14:dataValidation type="list" allowBlank="1" showInputMessage="1" showErrorMessage="1" xr:uid="{0966932E-2437-5D44-926B-ED9DB59478DC}">
          <x14:formula1>
            <xm:f>パラメータ!$L$22:$L$49</xm:f>
          </x14:formula1>
          <xm:sqref>W11:W12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B1:AY107"/>
  <sheetViews>
    <sheetView zoomScale="69" zoomScaleNormal="60" workbookViewId="0">
      <selection activeCell="F3" sqref="F3"/>
    </sheetView>
  </sheetViews>
  <sheetFormatPr baseColWidth="10" defaultColWidth="8.7109375" defaultRowHeight="20"/>
  <cols>
    <col min="1" max="16384" width="8.7109375" style="150"/>
  </cols>
  <sheetData>
    <row r="1" spans="2:46">
      <c r="P1" s="151"/>
      <c r="R1" s="151"/>
      <c r="AG1" s="151"/>
      <c r="AH1" s="151"/>
    </row>
    <row r="2" spans="2:46">
      <c r="B2" s="151"/>
      <c r="C2" s="151"/>
      <c r="D2" s="151"/>
      <c r="E2" s="151"/>
      <c r="G2" s="151" t="s">
        <v>914</v>
      </c>
      <c r="H2" s="151"/>
      <c r="I2" s="151"/>
      <c r="J2" s="151"/>
      <c r="K2" s="151"/>
      <c r="L2" s="151"/>
      <c r="M2" s="151"/>
      <c r="N2" s="151"/>
      <c r="O2" s="151"/>
      <c r="P2" s="151"/>
      <c r="R2" s="150" t="s">
        <v>789</v>
      </c>
      <c r="U2" s="151" t="s">
        <v>767</v>
      </c>
      <c r="AF2" s="151"/>
      <c r="AG2" s="151" t="s">
        <v>907</v>
      </c>
      <c r="AH2" s="151"/>
      <c r="AI2" s="151"/>
      <c r="AJ2" s="151"/>
    </row>
    <row r="3" spans="2:46" ht="21" thickBot="1">
      <c r="B3" s="152" t="s">
        <v>59</v>
      </c>
      <c r="C3" s="152" t="s">
        <v>60</v>
      </c>
      <c r="D3" s="152" t="s">
        <v>61</v>
      </c>
      <c r="E3" s="152" t="s">
        <v>62</v>
      </c>
      <c r="G3" s="153" t="s">
        <v>474</v>
      </c>
      <c r="H3" s="153" t="s">
        <v>709</v>
      </c>
      <c r="I3" s="153" t="s">
        <v>681</v>
      </c>
      <c r="J3" s="153" t="s">
        <v>905</v>
      </c>
      <c r="K3" s="153" t="s">
        <v>906</v>
      </c>
      <c r="L3" s="153" t="s">
        <v>707</v>
      </c>
      <c r="M3" s="153" t="s">
        <v>706</v>
      </c>
      <c r="N3" s="153" t="s">
        <v>680</v>
      </c>
      <c r="O3" s="153" t="s">
        <v>636</v>
      </c>
      <c r="P3" s="153" t="s">
        <v>672</v>
      </c>
      <c r="R3" s="149" t="s">
        <v>948</v>
      </c>
      <c r="S3" s="154"/>
      <c r="U3" s="153" t="s">
        <v>474</v>
      </c>
      <c r="V3" s="153" t="s">
        <v>153</v>
      </c>
      <c r="W3" s="153" t="s">
        <v>154</v>
      </c>
      <c r="X3" s="153" t="s">
        <v>155</v>
      </c>
      <c r="AF3" s="151"/>
      <c r="AG3" s="152" t="s">
        <v>59</v>
      </c>
      <c r="AH3" s="152" t="s">
        <v>60</v>
      </c>
      <c r="AI3" s="152" t="s">
        <v>61</v>
      </c>
      <c r="AJ3" s="152" t="s">
        <v>62</v>
      </c>
      <c r="AM3" s="151"/>
    </row>
    <row r="4" spans="2:46" ht="21" thickTop="1">
      <c r="B4" s="154" t="s">
        <v>897</v>
      </c>
      <c r="C4" s="154" t="s">
        <v>374</v>
      </c>
      <c r="D4" s="154"/>
      <c r="E4" s="154" t="s">
        <v>370</v>
      </c>
      <c r="G4" s="149" t="s">
        <v>153</v>
      </c>
      <c r="H4" s="149" t="s">
        <v>638</v>
      </c>
      <c r="I4" s="149" t="s">
        <v>639</v>
      </c>
      <c r="J4" s="155" t="s">
        <v>640</v>
      </c>
      <c r="K4" s="155" t="s">
        <v>641</v>
      </c>
      <c r="L4" s="149" t="s">
        <v>45</v>
      </c>
      <c r="M4" s="155" t="s">
        <v>46</v>
      </c>
      <c r="N4" s="149" t="s">
        <v>637</v>
      </c>
      <c r="O4" s="149" t="s">
        <v>642</v>
      </c>
      <c r="P4" s="149" t="s">
        <v>643</v>
      </c>
      <c r="R4" s="149" t="s">
        <v>949</v>
      </c>
      <c r="S4" s="154"/>
      <c r="U4" s="156" t="s">
        <v>769</v>
      </c>
      <c r="V4" s="156" t="s">
        <v>770</v>
      </c>
      <c r="W4" s="157">
        <f>10*10^-3</f>
        <v>0.01</v>
      </c>
      <c r="X4" s="156" t="s">
        <v>724</v>
      </c>
      <c r="AF4" s="151" t="s">
        <v>608</v>
      </c>
      <c r="AG4" s="149" t="s">
        <v>609</v>
      </c>
      <c r="AH4" s="149" t="s">
        <v>476</v>
      </c>
      <c r="AI4" s="149"/>
      <c r="AJ4" s="149" t="s">
        <v>404</v>
      </c>
      <c r="AM4" s="151" t="s">
        <v>113</v>
      </c>
    </row>
    <row r="5" spans="2:46" ht="21" thickBot="1">
      <c r="B5" s="154" t="s">
        <v>757</v>
      </c>
      <c r="C5" s="154" t="s">
        <v>369</v>
      </c>
      <c r="D5" s="154"/>
      <c r="E5" s="154" t="s">
        <v>370</v>
      </c>
      <c r="G5" s="158" t="s">
        <v>155</v>
      </c>
      <c r="H5" s="158" t="s">
        <v>5</v>
      </c>
      <c r="I5" s="158" t="s">
        <v>5</v>
      </c>
      <c r="J5" s="159" t="s">
        <v>318</v>
      </c>
      <c r="K5" s="159" t="s">
        <v>318</v>
      </c>
      <c r="L5" s="158" t="s">
        <v>708</v>
      </c>
      <c r="M5" s="159" t="s">
        <v>46</v>
      </c>
      <c r="N5" s="158" t="s">
        <v>46</v>
      </c>
      <c r="O5" s="158" t="s">
        <v>46</v>
      </c>
      <c r="P5" s="158" t="s">
        <v>5</v>
      </c>
      <c r="U5" s="149" t="s">
        <v>771</v>
      </c>
      <c r="V5" s="149" t="s">
        <v>770</v>
      </c>
      <c r="W5" s="160">
        <f>2*10^-3</f>
        <v>2E-3</v>
      </c>
      <c r="X5" s="149" t="s">
        <v>724</v>
      </c>
      <c r="AF5" s="151"/>
      <c r="AG5" s="149" t="s">
        <v>499</v>
      </c>
      <c r="AH5" s="149" t="s">
        <v>610</v>
      </c>
      <c r="AI5" s="149"/>
      <c r="AJ5" s="149" t="s">
        <v>5</v>
      </c>
      <c r="AM5" s="151"/>
    </row>
    <row r="6" spans="2:46" ht="21" thickTop="1">
      <c r="B6" s="149" t="s">
        <v>898</v>
      </c>
      <c r="C6" s="154" t="s">
        <v>366</v>
      </c>
      <c r="D6" s="154"/>
      <c r="E6" s="154" t="s">
        <v>45</v>
      </c>
      <c r="G6" s="161" t="s">
        <v>698</v>
      </c>
      <c r="H6" s="157">
        <v>0</v>
      </c>
      <c r="I6" s="157">
        <v>0.93</v>
      </c>
      <c r="J6" s="157">
        <v>2</v>
      </c>
      <c r="K6" s="157">
        <v>0</v>
      </c>
      <c r="L6" s="157">
        <v>35</v>
      </c>
      <c r="M6" s="157" t="s">
        <v>710</v>
      </c>
      <c r="N6" s="162">
        <v>0</v>
      </c>
      <c r="O6" s="156">
        <f t="shared" ref="O6:O11" si="0">I7/I6</f>
        <v>1</v>
      </c>
      <c r="P6" s="156">
        <f t="shared" ref="P6:P11" si="1">H7-H6</f>
        <v>1.6</v>
      </c>
      <c r="R6" s="150" t="s">
        <v>790</v>
      </c>
      <c r="U6" s="156" t="s">
        <v>772</v>
      </c>
      <c r="V6" s="156" t="s">
        <v>773</v>
      </c>
      <c r="W6" s="163">
        <v>5</v>
      </c>
      <c r="X6" s="156" t="s">
        <v>723</v>
      </c>
      <c r="AF6" s="151"/>
      <c r="AG6" s="149" t="s">
        <v>572</v>
      </c>
      <c r="AH6" s="149" t="s">
        <v>578</v>
      </c>
      <c r="AI6" s="149"/>
      <c r="AJ6" s="149" t="s">
        <v>46</v>
      </c>
      <c r="AM6" s="151"/>
    </row>
    <row r="7" spans="2:46">
      <c r="B7" s="149" t="s">
        <v>571</v>
      </c>
      <c r="C7" s="149" t="s">
        <v>476</v>
      </c>
      <c r="D7" s="149"/>
      <c r="E7" s="149" t="s">
        <v>404</v>
      </c>
      <c r="G7" s="153" t="s">
        <v>717</v>
      </c>
      <c r="H7" s="160">
        <v>1.6</v>
      </c>
      <c r="I7" s="160">
        <v>0.93</v>
      </c>
      <c r="J7" s="160">
        <v>2</v>
      </c>
      <c r="K7" s="160">
        <v>0</v>
      </c>
      <c r="L7" s="160">
        <v>35</v>
      </c>
      <c r="M7" s="160" t="s">
        <v>710</v>
      </c>
      <c r="N7" s="164"/>
      <c r="O7" s="149">
        <f t="shared" si="0"/>
        <v>0.83870967741935487</v>
      </c>
      <c r="P7" s="149">
        <f t="shared" si="1"/>
        <v>3.6</v>
      </c>
      <c r="R7" s="154">
        <v>1</v>
      </c>
      <c r="S7" s="154"/>
      <c r="U7" s="149"/>
      <c r="V7" s="149" t="s">
        <v>774</v>
      </c>
      <c r="W7" s="160">
        <f>(F30*G30)*10^-6</f>
        <v>0</v>
      </c>
      <c r="X7" s="149" t="s">
        <v>768</v>
      </c>
      <c r="AF7" s="151"/>
      <c r="AG7" s="149" t="s">
        <v>611</v>
      </c>
      <c r="AH7" s="149" t="s">
        <v>612</v>
      </c>
      <c r="AI7" s="149"/>
      <c r="AJ7" s="149" t="s">
        <v>5</v>
      </c>
      <c r="AM7" s="151"/>
    </row>
    <row r="8" spans="2:46" ht="21" thickBot="1">
      <c r="B8" s="149" t="s">
        <v>574</v>
      </c>
      <c r="C8" s="149" t="s">
        <v>425</v>
      </c>
      <c r="D8" s="149"/>
      <c r="E8" s="149" t="s">
        <v>580</v>
      </c>
      <c r="G8" s="153" t="s">
        <v>718</v>
      </c>
      <c r="H8" s="160">
        <v>5.2</v>
      </c>
      <c r="I8" s="160">
        <v>0.78</v>
      </c>
      <c r="J8" s="160">
        <v>2</v>
      </c>
      <c r="K8" s="160">
        <v>0</v>
      </c>
      <c r="L8" s="160">
        <v>35</v>
      </c>
      <c r="M8" s="160" t="s">
        <v>710</v>
      </c>
      <c r="N8" s="164"/>
      <c r="O8" s="149">
        <f t="shared" si="0"/>
        <v>0.87179487179487181</v>
      </c>
      <c r="P8" s="149">
        <f t="shared" si="1"/>
        <v>2</v>
      </c>
      <c r="R8" s="154">
        <v>2</v>
      </c>
      <c r="S8" s="154"/>
      <c r="U8" s="149" t="s">
        <v>775</v>
      </c>
      <c r="V8" s="149" t="s">
        <v>770</v>
      </c>
      <c r="W8" s="160">
        <f>0.45*10^-3</f>
        <v>4.5000000000000004E-4</v>
      </c>
      <c r="X8" s="149" t="s">
        <v>724</v>
      </c>
      <c r="AF8" s="151"/>
      <c r="AG8" s="158" t="s">
        <v>613</v>
      </c>
      <c r="AH8" s="158" t="s">
        <v>427</v>
      </c>
      <c r="AI8" s="158"/>
      <c r="AJ8" s="158" t="s">
        <v>5</v>
      </c>
      <c r="AM8" s="151"/>
    </row>
    <row r="9" spans="2:46" ht="21" thickTop="1">
      <c r="B9" s="149" t="s">
        <v>572</v>
      </c>
      <c r="C9" s="149" t="s">
        <v>578</v>
      </c>
      <c r="D9" s="149"/>
      <c r="E9" s="149" t="s">
        <v>46</v>
      </c>
      <c r="G9" s="153" t="s">
        <v>719</v>
      </c>
      <c r="H9" s="160">
        <v>7.2</v>
      </c>
      <c r="I9" s="160">
        <v>0.68</v>
      </c>
      <c r="J9" s="160">
        <v>2</v>
      </c>
      <c r="K9" s="160">
        <v>6</v>
      </c>
      <c r="L9" s="160">
        <v>35</v>
      </c>
      <c r="M9" s="160" t="s">
        <v>710</v>
      </c>
      <c r="N9" s="164"/>
      <c r="O9" s="149">
        <f t="shared" si="0"/>
        <v>0.89705882352941169</v>
      </c>
      <c r="P9" s="149">
        <f t="shared" si="1"/>
        <v>1.3999999999999995</v>
      </c>
      <c r="R9" s="154">
        <v>3</v>
      </c>
      <c r="S9" s="154"/>
      <c r="U9" s="149" t="s">
        <v>776</v>
      </c>
      <c r="V9" s="149" t="s">
        <v>777</v>
      </c>
      <c r="W9" s="160">
        <v>0.02</v>
      </c>
      <c r="X9" s="149" t="s">
        <v>724</v>
      </c>
      <c r="AF9" s="151" t="s">
        <v>614</v>
      </c>
      <c r="AG9" s="149" t="s">
        <v>609</v>
      </c>
      <c r="AH9" s="149" t="s">
        <v>476</v>
      </c>
      <c r="AI9" s="149"/>
      <c r="AJ9" s="149" t="s">
        <v>404</v>
      </c>
      <c r="AM9" s="151"/>
    </row>
    <row r="10" spans="2:46">
      <c r="B10" s="149" t="s">
        <v>573</v>
      </c>
      <c r="C10" s="149" t="s">
        <v>579</v>
      </c>
      <c r="D10" s="149"/>
      <c r="E10" s="149" t="s">
        <v>5</v>
      </c>
      <c r="G10" s="153" t="s">
        <v>720</v>
      </c>
      <c r="H10" s="160">
        <v>8.6</v>
      </c>
      <c r="I10" s="160">
        <v>0.61</v>
      </c>
      <c r="J10" s="160">
        <v>2</v>
      </c>
      <c r="K10" s="160">
        <v>6</v>
      </c>
      <c r="L10" s="160">
        <v>35</v>
      </c>
      <c r="M10" s="160" t="s">
        <v>710</v>
      </c>
      <c r="N10" s="164"/>
      <c r="O10" s="149">
        <f t="shared" si="0"/>
        <v>0.85245901639344268</v>
      </c>
      <c r="P10" s="149">
        <f t="shared" si="1"/>
        <v>2.2000000000000011</v>
      </c>
      <c r="R10" s="154">
        <v>4</v>
      </c>
      <c r="S10" s="154"/>
      <c r="U10" s="149"/>
      <c r="V10" s="149" t="s">
        <v>770</v>
      </c>
      <c r="W10" s="160">
        <f>0.5*10^-3</f>
        <v>5.0000000000000001E-4</v>
      </c>
      <c r="X10" s="149" t="s">
        <v>724</v>
      </c>
      <c r="AF10" s="151"/>
      <c r="AG10" s="149" t="s">
        <v>499</v>
      </c>
      <c r="AH10" s="149" t="s">
        <v>610</v>
      </c>
      <c r="AI10" s="149"/>
      <c r="AJ10" s="149" t="s">
        <v>5</v>
      </c>
      <c r="AM10" s="151"/>
    </row>
    <row r="11" spans="2:46">
      <c r="B11" s="149" t="s">
        <v>854</v>
      </c>
      <c r="C11" s="149" t="s">
        <v>899</v>
      </c>
      <c r="D11" s="149"/>
      <c r="E11" s="149" t="s">
        <v>5</v>
      </c>
      <c r="G11" s="153" t="s">
        <v>721</v>
      </c>
      <c r="H11" s="160">
        <v>10.8</v>
      </c>
      <c r="I11" s="160">
        <v>0.52</v>
      </c>
      <c r="J11" s="160">
        <v>2</v>
      </c>
      <c r="K11" s="160">
        <v>6</v>
      </c>
      <c r="L11" s="160">
        <v>35</v>
      </c>
      <c r="M11" s="160" t="s">
        <v>711</v>
      </c>
      <c r="N11" s="164"/>
      <c r="O11" s="149">
        <f t="shared" si="0"/>
        <v>0.73076923076923073</v>
      </c>
      <c r="P11" s="149">
        <f t="shared" si="1"/>
        <v>1.5999999999999996</v>
      </c>
      <c r="R11" s="154">
        <v>5</v>
      </c>
      <c r="S11" s="154"/>
      <c r="U11" s="149" t="s">
        <v>778</v>
      </c>
      <c r="V11" s="149" t="s">
        <v>779</v>
      </c>
      <c r="W11" s="160">
        <v>7.4999999999999997E-3</v>
      </c>
      <c r="X11" s="149" t="s">
        <v>780</v>
      </c>
      <c r="AF11" s="151"/>
      <c r="AG11" s="149" t="s">
        <v>572</v>
      </c>
      <c r="AH11" s="149" t="s">
        <v>578</v>
      </c>
      <c r="AI11" s="149"/>
      <c r="AJ11" s="149" t="s">
        <v>46</v>
      </c>
      <c r="AM11" s="151"/>
    </row>
    <row r="12" spans="2:46">
      <c r="B12" s="149" t="s">
        <v>855</v>
      </c>
      <c r="C12" s="149" t="s">
        <v>900</v>
      </c>
      <c r="D12" s="149"/>
      <c r="E12" s="149" t="s">
        <v>266</v>
      </c>
      <c r="G12" s="153" t="s">
        <v>697</v>
      </c>
      <c r="H12" s="160">
        <v>12.4</v>
      </c>
      <c r="I12" s="160">
        <v>0.38</v>
      </c>
      <c r="J12" s="160">
        <v>0.5</v>
      </c>
      <c r="K12" s="160">
        <v>6</v>
      </c>
      <c r="L12" s="160">
        <v>35</v>
      </c>
      <c r="M12" s="160" t="s">
        <v>711</v>
      </c>
      <c r="N12" s="164"/>
      <c r="O12" s="149"/>
      <c r="P12" s="149"/>
      <c r="R12" s="154">
        <v>6</v>
      </c>
      <c r="S12" s="154"/>
      <c r="U12" s="165" t="s">
        <v>781</v>
      </c>
      <c r="V12" s="149" t="s">
        <v>782</v>
      </c>
      <c r="W12" s="160">
        <v>7.4999999999999997E-3</v>
      </c>
      <c r="X12" s="149" t="s">
        <v>780</v>
      </c>
      <c r="AF12" s="151"/>
      <c r="AG12" s="149" t="s">
        <v>611</v>
      </c>
      <c r="AH12" s="149" t="s">
        <v>579</v>
      </c>
      <c r="AI12" s="149"/>
      <c r="AJ12" s="149" t="s">
        <v>5</v>
      </c>
      <c r="AM12" s="151"/>
    </row>
    <row r="13" spans="2:46" ht="21" thickBot="1">
      <c r="R13" s="154">
        <v>7</v>
      </c>
      <c r="S13" s="154"/>
      <c r="U13" s="149" t="s">
        <v>783</v>
      </c>
      <c r="V13" s="149" t="s">
        <v>784</v>
      </c>
      <c r="W13" s="160">
        <v>0.03</v>
      </c>
      <c r="X13" s="149" t="s">
        <v>780</v>
      </c>
      <c r="AF13" s="151"/>
      <c r="AG13" s="158" t="s">
        <v>613</v>
      </c>
      <c r="AH13" s="158" t="s">
        <v>427</v>
      </c>
      <c r="AI13" s="158"/>
      <c r="AJ13" s="158" t="s">
        <v>5</v>
      </c>
      <c r="AM13" s="151"/>
    </row>
    <row r="14" spans="2:46" ht="21" thickTop="1">
      <c r="U14" s="149" t="s">
        <v>785</v>
      </c>
      <c r="V14" s="149" t="s">
        <v>786</v>
      </c>
      <c r="W14" s="160">
        <v>0.08</v>
      </c>
      <c r="X14" s="149" t="s">
        <v>724</v>
      </c>
      <c r="AF14" s="151" t="s">
        <v>615</v>
      </c>
      <c r="AG14" s="156" t="s">
        <v>616</v>
      </c>
      <c r="AH14" s="156" t="s">
        <v>617</v>
      </c>
      <c r="AI14" s="157"/>
      <c r="AJ14" s="156" t="s">
        <v>46</v>
      </c>
      <c r="AM14" s="166"/>
      <c r="AR14" s="151"/>
      <c r="AS14" s="151"/>
      <c r="AT14" s="151"/>
    </row>
    <row r="15" spans="2:46">
      <c r="AF15" s="151"/>
      <c r="AG15" s="149" t="s">
        <v>618</v>
      </c>
      <c r="AH15" s="164" t="s">
        <v>619</v>
      </c>
      <c r="AI15" s="149"/>
      <c r="AJ15" s="149" t="s">
        <v>46</v>
      </c>
    </row>
    <row r="16" spans="2:46">
      <c r="AF16" s="151"/>
      <c r="AG16" s="149" t="s">
        <v>620</v>
      </c>
      <c r="AH16" s="149" t="s">
        <v>621</v>
      </c>
      <c r="AI16" s="149"/>
      <c r="AJ16" s="149" t="s">
        <v>435</v>
      </c>
    </row>
    <row r="17" spans="32:36">
      <c r="AF17" s="151"/>
      <c r="AG17" s="149" t="s">
        <v>622</v>
      </c>
      <c r="AH17" s="149" t="s">
        <v>448</v>
      </c>
      <c r="AI17" s="149"/>
      <c r="AJ17" s="149" t="s">
        <v>435</v>
      </c>
    </row>
    <row r="18" spans="32:36">
      <c r="AF18" s="151"/>
      <c r="AG18" s="149" t="s">
        <v>432</v>
      </c>
      <c r="AH18" s="149" t="s">
        <v>433</v>
      </c>
      <c r="AI18" s="149"/>
      <c r="AJ18" s="149" t="s">
        <v>46</v>
      </c>
    </row>
    <row r="19" spans="32:36">
      <c r="AF19" s="151"/>
      <c r="AG19" s="149" t="s">
        <v>458</v>
      </c>
      <c r="AH19" s="149" t="s">
        <v>459</v>
      </c>
      <c r="AI19" s="149"/>
      <c r="AJ19" s="149" t="s">
        <v>46</v>
      </c>
    </row>
    <row r="20" spans="32:36">
      <c r="AF20" s="151"/>
      <c r="AG20" s="165" t="s">
        <v>169</v>
      </c>
      <c r="AH20" s="165" t="s">
        <v>166</v>
      </c>
      <c r="AI20" s="167"/>
      <c r="AJ20" s="165" t="s">
        <v>46</v>
      </c>
    </row>
    <row r="21" spans="32:36" ht="21" thickBot="1">
      <c r="AF21" s="151"/>
      <c r="AG21" s="158" t="s">
        <v>623</v>
      </c>
      <c r="AH21" s="158" t="s">
        <v>624</v>
      </c>
      <c r="AI21" s="158"/>
      <c r="AJ21" s="158" t="s">
        <v>318</v>
      </c>
    </row>
    <row r="22" spans="32:36" ht="21" thickTop="1"/>
    <row r="35" spans="2:51">
      <c r="O35" s="151"/>
      <c r="AR35" s="151"/>
    </row>
    <row r="36" spans="2:51">
      <c r="O36" s="151"/>
    </row>
    <row r="37" spans="2:51">
      <c r="B37" s="168" t="s">
        <v>888</v>
      </c>
      <c r="C37" s="169"/>
      <c r="D37" s="170" t="s">
        <v>45</v>
      </c>
    </row>
    <row r="38" spans="2:51">
      <c r="B38" s="168" t="s">
        <v>896</v>
      </c>
      <c r="C38" s="169"/>
      <c r="D38" s="170" t="s">
        <v>37</v>
      </c>
    </row>
    <row r="40" spans="2:51">
      <c r="B40" s="150" t="s">
        <v>712</v>
      </c>
      <c r="H40" s="150" t="s">
        <v>800</v>
      </c>
      <c r="K40" s="150" t="s">
        <v>726</v>
      </c>
      <c r="R40" s="150" t="s">
        <v>762</v>
      </c>
      <c r="T40" s="150" t="s">
        <v>801</v>
      </c>
      <c r="W40" s="150" t="s">
        <v>794</v>
      </c>
      <c r="AE40" s="151"/>
      <c r="AF40" s="150" t="s">
        <v>730</v>
      </c>
    </row>
    <row r="41" spans="2:51">
      <c r="B41" s="153" t="s">
        <v>713</v>
      </c>
      <c r="C41" s="153" t="s">
        <v>761</v>
      </c>
      <c r="D41" s="153" t="s">
        <v>787</v>
      </c>
      <c r="E41" s="153" t="s">
        <v>725</v>
      </c>
      <c r="F41" s="153" t="s">
        <v>709</v>
      </c>
      <c r="G41" s="153" t="s">
        <v>681</v>
      </c>
      <c r="H41" s="153" t="s">
        <v>707</v>
      </c>
      <c r="I41" s="153" t="s">
        <v>728</v>
      </c>
      <c r="J41" s="171" t="s">
        <v>729</v>
      </c>
      <c r="K41" s="153" t="s">
        <v>727</v>
      </c>
      <c r="L41" s="153" t="s">
        <v>706</v>
      </c>
      <c r="M41" s="153" t="s">
        <v>715</v>
      </c>
      <c r="N41" s="153" t="s">
        <v>716</v>
      </c>
      <c r="O41" s="153" t="s">
        <v>901</v>
      </c>
      <c r="P41" s="172" t="s">
        <v>339</v>
      </c>
      <c r="Q41" s="153" t="s">
        <v>714</v>
      </c>
      <c r="R41" s="153" t="s">
        <v>339</v>
      </c>
      <c r="S41" s="153" t="s">
        <v>714</v>
      </c>
      <c r="T41" s="171" t="s">
        <v>791</v>
      </c>
      <c r="U41" s="171" t="s">
        <v>792</v>
      </c>
      <c r="V41" s="171" t="s">
        <v>793</v>
      </c>
      <c r="W41" s="153" t="s">
        <v>769</v>
      </c>
      <c r="X41" s="153" t="s">
        <v>771</v>
      </c>
      <c r="Y41" s="153" t="s">
        <v>772</v>
      </c>
      <c r="Z41" s="153" t="s">
        <v>775</v>
      </c>
      <c r="AA41" s="153" t="s">
        <v>776</v>
      </c>
      <c r="AB41" s="153" t="s">
        <v>795</v>
      </c>
      <c r="AC41" s="153" t="s">
        <v>799</v>
      </c>
      <c r="AD41" s="153" t="s">
        <v>798</v>
      </c>
      <c r="AE41" s="153" t="s">
        <v>796</v>
      </c>
      <c r="AF41" s="153" t="s">
        <v>737</v>
      </c>
      <c r="AG41" s="153" t="s">
        <v>731</v>
      </c>
      <c r="AH41" s="153" t="s">
        <v>732</v>
      </c>
      <c r="AI41" s="153" t="s">
        <v>802</v>
      </c>
      <c r="AJ41" s="153" t="s">
        <v>342</v>
      </c>
      <c r="AK41" s="153" t="s">
        <v>355</v>
      </c>
      <c r="AL41" s="153" t="s">
        <v>805</v>
      </c>
      <c r="AM41" s="153" t="s">
        <v>367</v>
      </c>
      <c r="AN41" s="153" t="s">
        <v>807</v>
      </c>
      <c r="AO41" s="153" t="s">
        <v>349</v>
      </c>
      <c r="AP41" s="153" t="s">
        <v>733</v>
      </c>
      <c r="AQ41" s="153" t="s">
        <v>757</v>
      </c>
      <c r="AR41" s="153" t="s">
        <v>758</v>
      </c>
      <c r="AS41" s="153" t="s">
        <v>759</v>
      </c>
      <c r="AT41" s="153" t="s">
        <v>735</v>
      </c>
      <c r="AU41" s="153" t="s">
        <v>734</v>
      </c>
      <c r="AV41" s="153" t="s">
        <v>738</v>
      </c>
      <c r="AW41" s="153" t="s">
        <v>736</v>
      </c>
      <c r="AX41" s="153" t="s">
        <v>763</v>
      </c>
    </row>
    <row r="42" spans="2:51">
      <c r="B42" s="149" t="s">
        <v>722</v>
      </c>
      <c r="C42" s="155" t="s">
        <v>723</v>
      </c>
      <c r="D42" s="155" t="s">
        <v>723</v>
      </c>
      <c r="E42" s="149" t="s">
        <v>672</v>
      </c>
      <c r="F42" s="149" t="s">
        <v>903</v>
      </c>
      <c r="G42" s="149" t="s">
        <v>682</v>
      </c>
      <c r="H42" s="149" t="s">
        <v>723</v>
      </c>
      <c r="I42" s="149" t="s">
        <v>723</v>
      </c>
      <c r="J42" s="173" t="s">
        <v>723</v>
      </c>
      <c r="K42" s="149" t="s">
        <v>723</v>
      </c>
      <c r="L42" s="149" t="s">
        <v>723</v>
      </c>
      <c r="M42" s="149" t="s">
        <v>723</v>
      </c>
      <c r="N42" s="149" t="s">
        <v>723</v>
      </c>
      <c r="O42" s="149" t="s">
        <v>902</v>
      </c>
      <c r="P42" s="174" t="s">
        <v>723</v>
      </c>
      <c r="Q42" s="149" t="s">
        <v>904</v>
      </c>
      <c r="R42" s="155" t="s">
        <v>723</v>
      </c>
      <c r="S42" s="155" t="s">
        <v>747</v>
      </c>
      <c r="T42" s="173" t="s">
        <v>723</v>
      </c>
      <c r="U42" s="173" t="s">
        <v>723</v>
      </c>
      <c r="V42" s="173" t="s">
        <v>723</v>
      </c>
      <c r="W42" s="149" t="s">
        <v>45</v>
      </c>
      <c r="X42" s="149" t="s">
        <v>45</v>
      </c>
      <c r="Y42" s="149" t="s">
        <v>45</v>
      </c>
      <c r="Z42" s="149" t="s">
        <v>45</v>
      </c>
      <c r="AA42" s="149" t="s">
        <v>45</v>
      </c>
      <c r="AB42" s="149" t="s">
        <v>45</v>
      </c>
      <c r="AC42" s="149" t="s">
        <v>45</v>
      </c>
      <c r="AD42" s="149" t="s">
        <v>45</v>
      </c>
      <c r="AE42" s="155" t="s">
        <v>45</v>
      </c>
      <c r="AF42" s="155" t="s">
        <v>751</v>
      </c>
      <c r="AG42" s="155" t="s">
        <v>739</v>
      </c>
      <c r="AH42" s="155" t="s">
        <v>740</v>
      </c>
      <c r="AI42" s="155" t="s">
        <v>803</v>
      </c>
      <c r="AJ42" s="155" t="s">
        <v>741</v>
      </c>
      <c r="AK42" s="155" t="s">
        <v>742</v>
      </c>
      <c r="AL42" s="155" t="s">
        <v>806</v>
      </c>
      <c r="AM42" s="155" t="s">
        <v>743</v>
      </c>
      <c r="AN42" s="155" t="s">
        <v>746</v>
      </c>
      <c r="AO42" s="155" t="s">
        <v>744</v>
      </c>
      <c r="AP42" s="155" t="s">
        <v>745</v>
      </c>
      <c r="AQ42" s="155" t="s">
        <v>369</v>
      </c>
      <c r="AR42" s="155" t="s">
        <v>372</v>
      </c>
      <c r="AS42" s="155" t="s">
        <v>910</v>
      </c>
      <c r="AT42" s="155" t="s">
        <v>749</v>
      </c>
      <c r="AU42" s="155" t="s">
        <v>748</v>
      </c>
      <c r="AV42" s="155" t="s">
        <v>752</v>
      </c>
      <c r="AW42" s="155" t="s">
        <v>750</v>
      </c>
      <c r="AX42" s="155" t="s">
        <v>760</v>
      </c>
    </row>
    <row r="43" spans="2:51" ht="21" thickBot="1">
      <c r="B43" s="165" t="s">
        <v>723</v>
      </c>
      <c r="C43" s="175" t="s">
        <v>723</v>
      </c>
      <c r="D43" s="175" t="s">
        <v>723</v>
      </c>
      <c r="E43" s="165" t="s">
        <v>724</v>
      </c>
      <c r="F43" s="165" t="s">
        <v>724</v>
      </c>
      <c r="G43" s="165" t="s">
        <v>724</v>
      </c>
      <c r="H43" s="158" t="s">
        <v>708</v>
      </c>
      <c r="I43" s="165" t="s">
        <v>667</v>
      </c>
      <c r="J43" s="176" t="s">
        <v>667</v>
      </c>
      <c r="K43" s="165" t="s">
        <v>667</v>
      </c>
      <c r="L43" s="165" t="s">
        <v>45</v>
      </c>
      <c r="M43" s="158" t="s">
        <v>724</v>
      </c>
      <c r="N43" s="158" t="s">
        <v>724</v>
      </c>
      <c r="O43" s="158" t="s">
        <v>724</v>
      </c>
      <c r="P43" s="177" t="s">
        <v>266</v>
      </c>
      <c r="Q43" s="165" t="s">
        <v>266</v>
      </c>
      <c r="R43" s="175" t="s">
        <v>753</v>
      </c>
      <c r="S43" s="175" t="s">
        <v>753</v>
      </c>
      <c r="T43" s="176" t="s">
        <v>724</v>
      </c>
      <c r="U43" s="176" t="s">
        <v>724</v>
      </c>
      <c r="V43" s="176" t="s">
        <v>724</v>
      </c>
      <c r="W43" s="178" t="s">
        <v>797</v>
      </c>
      <c r="X43" s="178" t="s">
        <v>797</v>
      </c>
      <c r="Y43" s="178" t="s">
        <v>797</v>
      </c>
      <c r="Z43" s="158" t="s">
        <v>797</v>
      </c>
      <c r="AA43" s="158" t="s">
        <v>797</v>
      </c>
      <c r="AB43" s="158" t="s">
        <v>797</v>
      </c>
      <c r="AC43" s="158" t="s">
        <v>797</v>
      </c>
      <c r="AD43" s="158" t="s">
        <v>797</v>
      </c>
      <c r="AE43" s="175" t="s">
        <v>797</v>
      </c>
      <c r="AF43" s="175" t="s">
        <v>753</v>
      </c>
      <c r="AG43" s="175" t="s">
        <v>753</v>
      </c>
      <c r="AH43" s="175" t="s">
        <v>723</v>
      </c>
      <c r="AI43" s="175" t="s">
        <v>723</v>
      </c>
      <c r="AJ43" s="175" t="s">
        <v>723</v>
      </c>
      <c r="AK43" s="175" t="s">
        <v>723</v>
      </c>
      <c r="AL43" s="175" t="s">
        <v>723</v>
      </c>
      <c r="AM43" s="175" t="s">
        <v>723</v>
      </c>
      <c r="AN43" s="175" t="s">
        <v>723</v>
      </c>
      <c r="AO43" s="175" t="s">
        <v>754</v>
      </c>
      <c r="AP43" s="175" t="s">
        <v>754</v>
      </c>
      <c r="AQ43" s="175" t="s">
        <v>279</v>
      </c>
      <c r="AR43" s="175" t="s">
        <v>279</v>
      </c>
      <c r="AS43" s="175" t="s">
        <v>804</v>
      </c>
      <c r="AT43" s="175" t="s">
        <v>755</v>
      </c>
      <c r="AU43" s="175" t="s">
        <v>755</v>
      </c>
      <c r="AV43" s="175" t="s">
        <v>755</v>
      </c>
      <c r="AW43" s="175" t="s">
        <v>756</v>
      </c>
      <c r="AX43" s="175" t="s">
        <v>756</v>
      </c>
    </row>
    <row r="44" spans="2:51" ht="21" thickTop="1">
      <c r="B44" s="179">
        <v>1</v>
      </c>
      <c r="C44" s="180"/>
      <c r="D44" s="180"/>
      <c r="E44" s="180"/>
      <c r="F44" s="179"/>
      <c r="G44" s="179"/>
      <c r="H44" s="181"/>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179"/>
      <c r="AK44" s="179"/>
      <c r="AL44" s="179"/>
      <c r="AM44" s="179"/>
      <c r="AN44" s="179"/>
      <c r="AO44" s="179"/>
      <c r="AP44" s="179"/>
      <c r="AQ44" s="179"/>
      <c r="AR44" s="179"/>
      <c r="AS44" s="179"/>
      <c r="AT44" s="179"/>
      <c r="AU44" s="179"/>
      <c r="AV44" s="179"/>
      <c r="AW44" s="179"/>
      <c r="AX44" s="179"/>
      <c r="AY44" s="179"/>
    </row>
    <row r="45" spans="2:51">
      <c r="B45" s="154">
        <v>2</v>
      </c>
      <c r="C45" s="182"/>
      <c r="D45" s="182"/>
      <c r="E45" s="182"/>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54"/>
      <c r="AO45" s="154"/>
      <c r="AP45" s="154"/>
      <c r="AQ45" s="154"/>
      <c r="AR45" s="154"/>
      <c r="AS45" s="154"/>
      <c r="AT45" s="154"/>
      <c r="AU45" s="154"/>
      <c r="AV45" s="154"/>
      <c r="AW45" s="154"/>
      <c r="AX45" s="154"/>
      <c r="AY45" s="154"/>
    </row>
    <row r="46" spans="2:51">
      <c r="B46" s="154">
        <v>3</v>
      </c>
      <c r="C46" s="182"/>
      <c r="D46" s="182"/>
      <c r="E46" s="182"/>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54"/>
      <c r="AO46" s="154"/>
      <c r="AP46" s="154"/>
      <c r="AQ46" s="154"/>
      <c r="AR46" s="154"/>
      <c r="AS46" s="154"/>
      <c r="AT46" s="154"/>
      <c r="AU46" s="154"/>
      <c r="AV46" s="154"/>
      <c r="AW46" s="154"/>
      <c r="AX46" s="154"/>
      <c r="AY46" s="154"/>
    </row>
    <row r="47" spans="2:51">
      <c r="B47" s="154">
        <v>4</v>
      </c>
      <c r="C47" s="182"/>
      <c r="D47" s="182"/>
      <c r="E47" s="182"/>
      <c r="F47" s="154"/>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54"/>
      <c r="AO47" s="154"/>
      <c r="AP47" s="154"/>
      <c r="AQ47" s="154"/>
      <c r="AR47" s="154"/>
      <c r="AS47" s="154"/>
      <c r="AT47" s="154"/>
      <c r="AU47" s="154"/>
      <c r="AV47" s="154"/>
      <c r="AW47" s="154"/>
      <c r="AX47" s="154"/>
      <c r="AY47" s="154"/>
    </row>
    <row r="48" spans="2:51">
      <c r="B48" s="154">
        <v>5</v>
      </c>
      <c r="C48" s="182"/>
      <c r="D48" s="182"/>
      <c r="E48" s="182"/>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54"/>
      <c r="AO48" s="154"/>
      <c r="AP48" s="154"/>
      <c r="AQ48" s="154"/>
      <c r="AR48" s="154"/>
      <c r="AS48" s="154"/>
      <c r="AT48" s="154"/>
      <c r="AU48" s="154"/>
      <c r="AV48" s="154"/>
      <c r="AW48" s="154"/>
      <c r="AX48" s="154"/>
      <c r="AY48" s="154"/>
    </row>
    <row r="49" spans="2:51">
      <c r="B49" s="154">
        <v>6</v>
      </c>
      <c r="C49" s="182"/>
      <c r="D49" s="182"/>
      <c r="E49" s="182"/>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54"/>
      <c r="AO49" s="154"/>
      <c r="AP49" s="154"/>
      <c r="AQ49" s="154"/>
      <c r="AR49" s="154"/>
      <c r="AS49" s="154"/>
      <c r="AT49" s="154"/>
      <c r="AU49" s="154"/>
      <c r="AV49" s="154"/>
      <c r="AW49" s="154"/>
      <c r="AX49" s="154"/>
      <c r="AY49" s="154"/>
    </row>
    <row r="50" spans="2:51">
      <c r="B50" s="154">
        <v>7</v>
      </c>
      <c r="C50" s="182"/>
      <c r="D50" s="182"/>
      <c r="E50" s="182"/>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54"/>
      <c r="AU50" s="154"/>
      <c r="AV50" s="154"/>
      <c r="AW50" s="154"/>
      <c r="AX50" s="154"/>
      <c r="AY50" s="154"/>
    </row>
    <row r="51" spans="2:51">
      <c r="B51" s="154">
        <v>8</v>
      </c>
      <c r="C51" s="182"/>
      <c r="D51" s="182"/>
      <c r="E51" s="182"/>
      <c r="F51" s="154"/>
      <c r="G51" s="154"/>
      <c r="H51" s="154"/>
      <c r="I51" s="154"/>
      <c r="J51" s="154"/>
      <c r="K51" s="154"/>
      <c r="L51" s="154"/>
      <c r="M51" s="154"/>
      <c r="N51" s="154"/>
      <c r="O51" s="154"/>
      <c r="P51" s="154"/>
      <c r="Q51" s="154"/>
      <c r="R51" s="154"/>
      <c r="S51" s="154"/>
      <c r="T51" s="154"/>
      <c r="U51" s="154"/>
      <c r="V51" s="154"/>
      <c r="W51" s="154"/>
      <c r="X51" s="154"/>
      <c r="Y51" s="154"/>
      <c r="Z51" s="154"/>
      <c r="AA51" s="154"/>
      <c r="AB51" s="154"/>
      <c r="AC51" s="154"/>
      <c r="AD51" s="154"/>
      <c r="AE51" s="154"/>
      <c r="AF51" s="154"/>
      <c r="AG51" s="154"/>
      <c r="AH51" s="154"/>
      <c r="AI51" s="154"/>
      <c r="AJ51" s="154"/>
      <c r="AK51" s="154"/>
      <c r="AL51" s="154"/>
      <c r="AM51" s="154"/>
      <c r="AN51" s="154"/>
      <c r="AO51" s="154"/>
      <c r="AP51" s="154"/>
      <c r="AQ51" s="154"/>
      <c r="AR51" s="154"/>
      <c r="AS51" s="154"/>
      <c r="AT51" s="154"/>
      <c r="AU51" s="154"/>
      <c r="AV51" s="154"/>
      <c r="AW51" s="154"/>
      <c r="AX51" s="154"/>
      <c r="AY51" s="154"/>
    </row>
    <row r="52" spans="2:51">
      <c r="B52" s="154">
        <v>9</v>
      </c>
      <c r="C52" s="182"/>
      <c r="D52" s="182"/>
      <c r="E52" s="182"/>
      <c r="F52" s="154"/>
      <c r="G52" s="154"/>
      <c r="H52" s="154"/>
      <c r="I52" s="154"/>
      <c r="J52" s="154"/>
      <c r="K52" s="154"/>
      <c r="L52" s="154"/>
      <c r="M52" s="154"/>
      <c r="N52" s="154"/>
      <c r="O52" s="154"/>
      <c r="P52" s="154"/>
      <c r="Q52" s="154"/>
      <c r="R52" s="154"/>
      <c r="S52" s="154"/>
      <c r="T52" s="154"/>
      <c r="U52" s="154"/>
      <c r="V52" s="154"/>
      <c r="W52" s="154"/>
      <c r="X52" s="154"/>
      <c r="Y52" s="154"/>
      <c r="Z52" s="154"/>
      <c r="AA52" s="154"/>
      <c r="AB52" s="154"/>
      <c r="AC52" s="154"/>
      <c r="AD52" s="154"/>
      <c r="AE52" s="154"/>
      <c r="AF52" s="154"/>
      <c r="AG52" s="154"/>
      <c r="AH52" s="154"/>
      <c r="AI52" s="154"/>
      <c r="AJ52" s="154"/>
      <c r="AK52" s="154"/>
      <c r="AL52" s="154"/>
      <c r="AM52" s="154"/>
      <c r="AN52" s="154"/>
      <c r="AO52" s="154"/>
      <c r="AP52" s="154"/>
      <c r="AQ52" s="154"/>
      <c r="AR52" s="154"/>
      <c r="AS52" s="154"/>
      <c r="AT52" s="154"/>
      <c r="AU52" s="154"/>
      <c r="AV52" s="154"/>
      <c r="AW52" s="154"/>
      <c r="AX52" s="154"/>
      <c r="AY52" s="154"/>
    </row>
    <row r="53" spans="2:51">
      <c r="B53" s="154">
        <v>10</v>
      </c>
      <c r="C53" s="182"/>
      <c r="D53" s="182"/>
      <c r="E53" s="182"/>
      <c r="F53" s="154"/>
      <c r="G53" s="154"/>
      <c r="H53" s="154"/>
      <c r="I53" s="154"/>
      <c r="J53" s="154"/>
      <c r="K53" s="154"/>
      <c r="L53" s="154"/>
      <c r="M53" s="154"/>
      <c r="N53" s="154"/>
      <c r="O53" s="154"/>
      <c r="P53" s="154"/>
      <c r="Q53" s="154"/>
      <c r="R53" s="154"/>
      <c r="S53" s="154"/>
      <c r="T53" s="154"/>
      <c r="U53" s="154"/>
      <c r="V53" s="154"/>
      <c r="W53" s="154"/>
      <c r="X53" s="154"/>
      <c r="Y53" s="154"/>
      <c r="Z53" s="154"/>
      <c r="AA53" s="154"/>
      <c r="AB53" s="154"/>
      <c r="AC53" s="154"/>
      <c r="AD53" s="154"/>
      <c r="AE53" s="154"/>
      <c r="AF53" s="154"/>
      <c r="AG53" s="154"/>
      <c r="AH53" s="154"/>
      <c r="AI53" s="154"/>
      <c r="AJ53" s="154"/>
      <c r="AK53" s="154"/>
      <c r="AL53" s="154"/>
      <c r="AM53" s="154"/>
      <c r="AN53" s="154"/>
      <c r="AO53" s="154"/>
      <c r="AP53" s="154"/>
      <c r="AQ53" s="154"/>
      <c r="AR53" s="154"/>
      <c r="AS53" s="154"/>
      <c r="AT53" s="154"/>
      <c r="AU53" s="154"/>
      <c r="AV53" s="154"/>
      <c r="AW53" s="154"/>
      <c r="AX53" s="154"/>
      <c r="AY53" s="154"/>
    </row>
    <row r="54" spans="2:51">
      <c r="B54" s="154">
        <v>11</v>
      </c>
      <c r="C54" s="182"/>
      <c r="D54" s="182"/>
      <c r="E54" s="182"/>
      <c r="F54" s="154"/>
      <c r="G54" s="154"/>
      <c r="H54" s="154"/>
      <c r="I54" s="154"/>
      <c r="J54" s="154"/>
      <c r="K54" s="154"/>
      <c r="L54" s="154"/>
      <c r="M54" s="154"/>
      <c r="N54" s="154"/>
      <c r="O54" s="154"/>
      <c r="P54" s="154"/>
      <c r="Q54" s="154"/>
      <c r="R54" s="154"/>
      <c r="S54" s="154"/>
      <c r="T54" s="154"/>
      <c r="U54" s="154"/>
      <c r="V54" s="154"/>
      <c r="W54" s="154"/>
      <c r="X54" s="154"/>
      <c r="Y54" s="154"/>
      <c r="Z54" s="154"/>
      <c r="AA54" s="154"/>
      <c r="AB54" s="154"/>
      <c r="AC54" s="154"/>
      <c r="AD54" s="154"/>
      <c r="AE54" s="154"/>
      <c r="AF54" s="154"/>
      <c r="AG54" s="154"/>
      <c r="AH54" s="154"/>
      <c r="AI54" s="154"/>
      <c r="AJ54" s="154"/>
      <c r="AK54" s="154"/>
      <c r="AL54" s="154"/>
      <c r="AM54" s="154"/>
      <c r="AN54" s="154"/>
      <c r="AO54" s="154"/>
      <c r="AP54" s="154"/>
      <c r="AQ54" s="154"/>
      <c r="AR54" s="154"/>
      <c r="AS54" s="154"/>
      <c r="AT54" s="154"/>
      <c r="AU54" s="154"/>
      <c r="AV54" s="154"/>
      <c r="AW54" s="154"/>
      <c r="AX54" s="154"/>
      <c r="AY54" s="154"/>
    </row>
    <row r="55" spans="2:51">
      <c r="B55" s="154">
        <v>12</v>
      </c>
      <c r="C55" s="182"/>
      <c r="D55" s="182"/>
      <c r="E55" s="182"/>
      <c r="F55" s="154"/>
      <c r="G55" s="154"/>
      <c r="H55" s="154"/>
      <c r="I55" s="154"/>
      <c r="J55" s="154"/>
      <c r="K55" s="154"/>
      <c r="L55" s="154"/>
      <c r="M55" s="154"/>
      <c r="N55" s="154"/>
      <c r="O55" s="154"/>
      <c r="P55" s="154"/>
      <c r="Q55" s="154"/>
      <c r="R55" s="154"/>
      <c r="S55" s="154"/>
      <c r="T55" s="154"/>
      <c r="U55" s="154"/>
      <c r="V55" s="154"/>
      <c r="W55" s="154"/>
      <c r="X55" s="154"/>
      <c r="Y55" s="154"/>
      <c r="Z55" s="154"/>
      <c r="AA55" s="154"/>
      <c r="AB55" s="154"/>
      <c r="AC55" s="154"/>
      <c r="AD55" s="154"/>
      <c r="AE55" s="154"/>
      <c r="AF55" s="154"/>
      <c r="AG55" s="154"/>
      <c r="AH55" s="154"/>
      <c r="AI55" s="154"/>
      <c r="AJ55" s="154"/>
      <c r="AK55" s="154"/>
      <c r="AL55" s="154"/>
      <c r="AM55" s="154"/>
      <c r="AN55" s="154"/>
      <c r="AO55" s="154"/>
      <c r="AP55" s="154"/>
      <c r="AQ55" s="154"/>
      <c r="AR55" s="154"/>
      <c r="AS55" s="154"/>
      <c r="AT55" s="154"/>
      <c r="AU55" s="154"/>
      <c r="AV55" s="154"/>
      <c r="AW55" s="154"/>
      <c r="AX55" s="154"/>
      <c r="AY55" s="154"/>
    </row>
    <row r="56" spans="2:51">
      <c r="B56" s="154">
        <v>13</v>
      </c>
      <c r="C56" s="182"/>
      <c r="D56" s="182"/>
      <c r="E56" s="182"/>
      <c r="F56" s="154"/>
      <c r="G56" s="154"/>
      <c r="H56" s="154"/>
      <c r="I56" s="154"/>
      <c r="J56" s="154"/>
      <c r="K56" s="154"/>
      <c r="L56" s="154"/>
      <c r="M56" s="154"/>
      <c r="N56" s="154"/>
      <c r="O56" s="154"/>
      <c r="P56" s="154"/>
      <c r="Q56" s="154"/>
      <c r="R56" s="154"/>
      <c r="S56" s="154"/>
      <c r="T56" s="154"/>
      <c r="U56" s="154"/>
      <c r="V56" s="154"/>
      <c r="W56" s="154"/>
      <c r="X56" s="154"/>
      <c r="Y56" s="154"/>
      <c r="Z56" s="154"/>
      <c r="AA56" s="154"/>
      <c r="AB56" s="154"/>
      <c r="AC56" s="154"/>
      <c r="AD56" s="154"/>
      <c r="AE56" s="154"/>
      <c r="AF56" s="154"/>
      <c r="AG56" s="154"/>
      <c r="AH56" s="154"/>
      <c r="AI56" s="154"/>
      <c r="AJ56" s="154"/>
      <c r="AK56" s="154"/>
      <c r="AL56" s="154"/>
      <c r="AM56" s="154"/>
      <c r="AN56" s="154"/>
      <c r="AO56" s="154"/>
      <c r="AP56" s="154"/>
      <c r="AQ56" s="154"/>
      <c r="AR56" s="154"/>
      <c r="AS56" s="154"/>
      <c r="AT56" s="154"/>
      <c r="AU56" s="154"/>
      <c r="AV56" s="154"/>
      <c r="AW56" s="154"/>
      <c r="AX56" s="154"/>
      <c r="AY56" s="154"/>
    </row>
    <row r="57" spans="2:51">
      <c r="B57" s="154">
        <v>14</v>
      </c>
      <c r="C57" s="182"/>
      <c r="D57" s="182"/>
      <c r="E57" s="182"/>
      <c r="F57" s="154"/>
      <c r="G57" s="154"/>
      <c r="H57" s="154"/>
      <c r="I57" s="154"/>
      <c r="J57" s="154"/>
      <c r="K57" s="154"/>
      <c r="L57" s="154"/>
      <c r="M57" s="154"/>
      <c r="N57" s="154"/>
      <c r="O57" s="154"/>
      <c r="P57" s="154"/>
      <c r="Q57" s="154"/>
      <c r="R57" s="154"/>
      <c r="S57" s="154"/>
      <c r="T57" s="154"/>
      <c r="U57" s="154"/>
      <c r="V57" s="154"/>
      <c r="W57" s="154"/>
      <c r="X57" s="154"/>
      <c r="Y57" s="154"/>
      <c r="Z57" s="154"/>
      <c r="AA57" s="154"/>
      <c r="AB57" s="154"/>
      <c r="AC57" s="154"/>
      <c r="AD57" s="154"/>
      <c r="AE57" s="154"/>
      <c r="AF57" s="154"/>
      <c r="AG57" s="154"/>
      <c r="AH57" s="154"/>
      <c r="AI57" s="154"/>
      <c r="AJ57" s="154"/>
      <c r="AK57" s="154"/>
      <c r="AL57" s="154"/>
      <c r="AM57" s="154"/>
      <c r="AN57" s="154"/>
      <c r="AO57" s="154"/>
      <c r="AP57" s="154"/>
      <c r="AQ57" s="154"/>
      <c r="AR57" s="154"/>
      <c r="AS57" s="154"/>
      <c r="AT57" s="154"/>
      <c r="AU57" s="154"/>
      <c r="AV57" s="154"/>
      <c r="AW57" s="154"/>
      <c r="AX57" s="154"/>
      <c r="AY57" s="154"/>
    </row>
    <row r="58" spans="2:51">
      <c r="B58" s="154">
        <v>15</v>
      </c>
      <c r="C58" s="182"/>
      <c r="D58" s="182"/>
      <c r="E58" s="182"/>
      <c r="F58" s="154"/>
      <c r="G58" s="154"/>
      <c r="H58" s="154"/>
      <c r="I58" s="154"/>
      <c r="J58" s="154"/>
      <c r="K58" s="154"/>
      <c r="L58" s="154"/>
      <c r="M58" s="154"/>
      <c r="N58" s="154"/>
      <c r="O58" s="154"/>
      <c r="P58" s="154"/>
      <c r="Q58" s="154"/>
      <c r="R58" s="154"/>
      <c r="S58" s="154"/>
      <c r="T58" s="154"/>
      <c r="U58" s="154"/>
      <c r="V58" s="154"/>
      <c r="W58" s="154"/>
      <c r="X58" s="154"/>
      <c r="Y58" s="154"/>
      <c r="Z58" s="154"/>
      <c r="AA58" s="154"/>
      <c r="AB58" s="154"/>
      <c r="AC58" s="154"/>
      <c r="AD58" s="154"/>
      <c r="AE58" s="154"/>
      <c r="AF58" s="154"/>
      <c r="AG58" s="154"/>
      <c r="AH58" s="154"/>
      <c r="AI58" s="154"/>
      <c r="AJ58" s="154"/>
      <c r="AK58" s="154"/>
      <c r="AL58" s="154"/>
      <c r="AM58" s="154"/>
      <c r="AN58" s="154"/>
      <c r="AO58" s="154"/>
      <c r="AP58" s="154"/>
      <c r="AQ58" s="154"/>
      <c r="AR58" s="154"/>
      <c r="AS58" s="154"/>
      <c r="AT58" s="154"/>
      <c r="AU58" s="154"/>
      <c r="AV58" s="154"/>
      <c r="AW58" s="154"/>
      <c r="AX58" s="154"/>
      <c r="AY58" s="154"/>
    </row>
    <row r="59" spans="2:51">
      <c r="B59" s="154">
        <v>16</v>
      </c>
      <c r="C59" s="182"/>
      <c r="D59" s="182"/>
      <c r="E59" s="182"/>
      <c r="F59" s="154"/>
      <c r="G59" s="154"/>
      <c r="H59" s="154"/>
      <c r="I59" s="154"/>
      <c r="J59" s="154"/>
      <c r="K59" s="154"/>
      <c r="L59" s="154"/>
      <c r="M59" s="154"/>
      <c r="N59" s="154"/>
      <c r="O59" s="154"/>
      <c r="P59" s="154"/>
      <c r="Q59" s="154"/>
      <c r="R59" s="154"/>
      <c r="S59" s="154"/>
      <c r="T59" s="154"/>
      <c r="U59" s="154"/>
      <c r="V59" s="154"/>
      <c r="W59" s="154"/>
      <c r="X59" s="154"/>
      <c r="Y59" s="154"/>
      <c r="Z59" s="154"/>
      <c r="AA59" s="154"/>
      <c r="AB59" s="154"/>
      <c r="AC59" s="154"/>
      <c r="AD59" s="154"/>
      <c r="AE59" s="154"/>
      <c r="AF59" s="154"/>
      <c r="AG59" s="154"/>
      <c r="AH59" s="154"/>
      <c r="AI59" s="154"/>
      <c r="AJ59" s="154"/>
      <c r="AK59" s="154"/>
      <c r="AL59" s="154"/>
      <c r="AM59" s="154"/>
      <c r="AN59" s="154"/>
      <c r="AO59" s="154"/>
      <c r="AP59" s="154"/>
      <c r="AQ59" s="154"/>
      <c r="AR59" s="154"/>
      <c r="AS59" s="154"/>
      <c r="AT59" s="154"/>
      <c r="AU59" s="154"/>
      <c r="AV59" s="154"/>
      <c r="AW59" s="154"/>
      <c r="AX59" s="154"/>
      <c r="AY59" s="154"/>
    </row>
    <row r="60" spans="2:51">
      <c r="B60" s="154">
        <v>17</v>
      </c>
      <c r="C60" s="182"/>
      <c r="D60" s="182"/>
      <c r="E60" s="182"/>
      <c r="F60" s="154"/>
      <c r="G60" s="154"/>
      <c r="H60" s="154"/>
      <c r="I60" s="154"/>
      <c r="J60" s="154"/>
      <c r="K60" s="154"/>
      <c r="L60" s="154"/>
      <c r="M60" s="154"/>
      <c r="N60" s="154"/>
      <c r="O60" s="154"/>
      <c r="P60" s="154"/>
      <c r="Q60" s="154"/>
      <c r="R60" s="154"/>
      <c r="S60" s="154"/>
      <c r="T60" s="154"/>
      <c r="U60" s="154"/>
      <c r="V60" s="154"/>
      <c r="W60" s="154"/>
      <c r="X60" s="154"/>
      <c r="Y60" s="154"/>
      <c r="Z60" s="154"/>
      <c r="AA60" s="154"/>
      <c r="AB60" s="154"/>
      <c r="AC60" s="154"/>
      <c r="AD60" s="154"/>
      <c r="AE60" s="154"/>
      <c r="AF60" s="154"/>
      <c r="AG60" s="154"/>
      <c r="AH60" s="154"/>
      <c r="AI60" s="154"/>
      <c r="AJ60" s="154"/>
      <c r="AK60" s="154"/>
      <c r="AL60" s="154"/>
      <c r="AM60" s="154"/>
      <c r="AN60" s="154"/>
      <c r="AO60" s="154"/>
      <c r="AP60" s="154"/>
      <c r="AQ60" s="154"/>
      <c r="AR60" s="154"/>
      <c r="AS60" s="154"/>
      <c r="AT60" s="154"/>
      <c r="AU60" s="154"/>
      <c r="AV60" s="154"/>
      <c r="AW60" s="154"/>
      <c r="AX60" s="154"/>
      <c r="AY60" s="154"/>
    </row>
    <row r="61" spans="2:51">
      <c r="B61" s="154">
        <v>18</v>
      </c>
      <c r="C61" s="182"/>
      <c r="D61" s="182"/>
      <c r="E61" s="182"/>
      <c r="F61" s="154"/>
      <c r="G61" s="154"/>
      <c r="H61" s="154"/>
      <c r="I61" s="154"/>
      <c r="J61" s="154"/>
      <c r="K61" s="154"/>
      <c r="L61" s="154"/>
      <c r="M61" s="154"/>
      <c r="N61" s="154"/>
      <c r="O61" s="154"/>
      <c r="P61" s="154"/>
      <c r="Q61" s="154"/>
      <c r="R61" s="154"/>
      <c r="S61" s="154"/>
      <c r="T61" s="154"/>
      <c r="U61" s="154"/>
      <c r="V61" s="154"/>
      <c r="W61" s="154"/>
      <c r="X61" s="154"/>
      <c r="Y61" s="154"/>
      <c r="Z61" s="154"/>
      <c r="AA61" s="154"/>
      <c r="AB61" s="154"/>
      <c r="AC61" s="154"/>
      <c r="AD61" s="154"/>
      <c r="AE61" s="154"/>
      <c r="AF61" s="154"/>
      <c r="AG61" s="154"/>
      <c r="AH61" s="154"/>
      <c r="AI61" s="154"/>
      <c r="AJ61" s="154"/>
      <c r="AK61" s="154"/>
      <c r="AL61" s="154"/>
      <c r="AM61" s="154"/>
      <c r="AN61" s="154"/>
      <c r="AO61" s="154"/>
      <c r="AP61" s="154"/>
      <c r="AQ61" s="154"/>
      <c r="AR61" s="154"/>
      <c r="AS61" s="154"/>
      <c r="AT61" s="154"/>
      <c r="AU61" s="154"/>
      <c r="AV61" s="154"/>
      <c r="AW61" s="154"/>
      <c r="AX61" s="154"/>
      <c r="AY61" s="154"/>
    </row>
    <row r="62" spans="2:51">
      <c r="B62" s="154">
        <v>19</v>
      </c>
      <c r="C62" s="182"/>
      <c r="D62" s="182"/>
      <c r="E62" s="182"/>
      <c r="F62" s="154"/>
      <c r="G62" s="154"/>
      <c r="H62" s="154"/>
      <c r="I62" s="154"/>
      <c r="J62" s="154"/>
      <c r="K62" s="154"/>
      <c r="L62" s="154"/>
      <c r="M62" s="154"/>
      <c r="N62" s="154"/>
      <c r="O62" s="154"/>
      <c r="P62" s="154"/>
      <c r="Q62" s="154"/>
      <c r="R62" s="154"/>
      <c r="S62" s="154"/>
      <c r="T62" s="154"/>
      <c r="U62" s="154"/>
      <c r="V62" s="154"/>
      <c r="W62" s="154"/>
      <c r="X62" s="154"/>
      <c r="Y62" s="154"/>
      <c r="Z62" s="154"/>
      <c r="AA62" s="154"/>
      <c r="AB62" s="154"/>
      <c r="AC62" s="154"/>
      <c r="AD62" s="154"/>
      <c r="AE62" s="154"/>
      <c r="AF62" s="154"/>
      <c r="AG62" s="154"/>
      <c r="AH62" s="154"/>
      <c r="AI62" s="154"/>
      <c r="AJ62" s="154"/>
      <c r="AK62" s="154"/>
      <c r="AL62" s="154"/>
      <c r="AM62" s="154"/>
      <c r="AN62" s="154"/>
      <c r="AO62" s="154"/>
      <c r="AP62" s="154"/>
      <c r="AQ62" s="154"/>
      <c r="AR62" s="154"/>
      <c r="AS62" s="154"/>
      <c r="AT62" s="154"/>
      <c r="AU62" s="154"/>
      <c r="AV62" s="154"/>
      <c r="AW62" s="154"/>
      <c r="AX62" s="154"/>
      <c r="AY62" s="154"/>
    </row>
    <row r="63" spans="2:51">
      <c r="B63" s="154">
        <v>20</v>
      </c>
      <c r="C63" s="182"/>
      <c r="D63" s="182"/>
      <c r="E63" s="182"/>
      <c r="F63" s="154"/>
      <c r="G63" s="154"/>
      <c r="H63" s="154"/>
      <c r="I63" s="154"/>
      <c r="J63" s="154"/>
      <c r="K63" s="154"/>
      <c r="L63" s="154"/>
      <c r="M63" s="154"/>
      <c r="N63" s="154"/>
      <c r="O63" s="154"/>
      <c r="P63" s="154"/>
      <c r="Q63" s="154"/>
      <c r="R63" s="154"/>
      <c r="S63" s="154"/>
      <c r="T63" s="154"/>
      <c r="U63" s="154"/>
      <c r="V63" s="154"/>
      <c r="W63" s="154"/>
      <c r="X63" s="154"/>
      <c r="Y63" s="154"/>
      <c r="Z63" s="154"/>
      <c r="AA63" s="154"/>
      <c r="AB63" s="154"/>
      <c r="AC63" s="154"/>
      <c r="AD63" s="154"/>
      <c r="AE63" s="154"/>
      <c r="AF63" s="154"/>
      <c r="AG63" s="154"/>
      <c r="AH63" s="154"/>
      <c r="AI63" s="154"/>
      <c r="AJ63" s="154"/>
      <c r="AK63" s="154"/>
      <c r="AL63" s="154"/>
      <c r="AM63" s="154"/>
      <c r="AN63" s="154"/>
      <c r="AO63" s="154"/>
      <c r="AP63" s="154"/>
      <c r="AQ63" s="154"/>
      <c r="AR63" s="154"/>
      <c r="AS63" s="154"/>
      <c r="AT63" s="154"/>
      <c r="AU63" s="154"/>
      <c r="AV63" s="154"/>
      <c r="AW63" s="154"/>
      <c r="AX63" s="154"/>
      <c r="AY63" s="154"/>
    </row>
    <row r="64" spans="2:51">
      <c r="B64" s="154">
        <v>21</v>
      </c>
      <c r="C64" s="182"/>
      <c r="D64" s="182"/>
      <c r="E64" s="182"/>
      <c r="F64" s="154"/>
      <c r="G64" s="154"/>
      <c r="H64" s="154"/>
      <c r="I64" s="154"/>
      <c r="J64" s="154"/>
      <c r="K64" s="154"/>
      <c r="L64" s="154"/>
      <c r="M64" s="154"/>
      <c r="N64" s="154"/>
      <c r="O64" s="154"/>
      <c r="P64" s="154"/>
      <c r="Q64" s="154"/>
      <c r="R64" s="154"/>
      <c r="S64" s="154"/>
      <c r="T64" s="154"/>
      <c r="U64" s="154"/>
      <c r="V64" s="154"/>
      <c r="W64" s="154"/>
      <c r="X64" s="154"/>
      <c r="Y64" s="154"/>
      <c r="Z64" s="154"/>
      <c r="AA64" s="154"/>
      <c r="AB64" s="154"/>
      <c r="AC64" s="154"/>
      <c r="AD64" s="154"/>
      <c r="AE64" s="154"/>
      <c r="AF64" s="154"/>
      <c r="AG64" s="154"/>
      <c r="AH64" s="154"/>
      <c r="AI64" s="154"/>
      <c r="AJ64" s="154"/>
      <c r="AK64" s="154"/>
      <c r="AL64" s="154"/>
      <c r="AM64" s="154"/>
      <c r="AN64" s="154"/>
      <c r="AO64" s="154"/>
      <c r="AP64" s="154"/>
      <c r="AQ64" s="154"/>
      <c r="AR64" s="154"/>
      <c r="AS64" s="154"/>
      <c r="AT64" s="154"/>
      <c r="AU64" s="154"/>
      <c r="AV64" s="154"/>
      <c r="AW64" s="154"/>
      <c r="AX64" s="154"/>
      <c r="AY64" s="154"/>
    </row>
    <row r="65" spans="2:51">
      <c r="B65" s="154">
        <v>22</v>
      </c>
      <c r="C65" s="182"/>
      <c r="D65" s="182"/>
      <c r="E65" s="182"/>
      <c r="F65" s="154"/>
      <c r="G65" s="154"/>
      <c r="H65" s="154"/>
      <c r="I65" s="154"/>
      <c r="J65" s="154"/>
      <c r="K65" s="154"/>
      <c r="L65" s="154"/>
      <c r="M65" s="154"/>
      <c r="N65" s="154"/>
      <c r="O65" s="154"/>
      <c r="P65" s="154"/>
      <c r="Q65" s="154"/>
      <c r="R65" s="154"/>
      <c r="S65" s="154"/>
      <c r="T65" s="154"/>
      <c r="U65" s="154"/>
      <c r="V65" s="154"/>
      <c r="W65" s="154"/>
      <c r="X65" s="154"/>
      <c r="Y65" s="154"/>
      <c r="Z65" s="154"/>
      <c r="AA65" s="154"/>
      <c r="AB65" s="154"/>
      <c r="AC65" s="154"/>
      <c r="AD65" s="154"/>
      <c r="AE65" s="154"/>
      <c r="AF65" s="154"/>
      <c r="AG65" s="154"/>
      <c r="AH65" s="154"/>
      <c r="AI65" s="154"/>
      <c r="AJ65" s="154"/>
      <c r="AK65" s="154"/>
      <c r="AL65" s="154"/>
      <c r="AM65" s="154"/>
      <c r="AN65" s="154"/>
      <c r="AO65" s="154"/>
      <c r="AP65" s="154"/>
      <c r="AQ65" s="154"/>
      <c r="AR65" s="154"/>
      <c r="AS65" s="154"/>
      <c r="AT65" s="154"/>
      <c r="AU65" s="154"/>
      <c r="AV65" s="154"/>
      <c r="AW65" s="154"/>
      <c r="AX65" s="154"/>
      <c r="AY65" s="154"/>
    </row>
    <row r="66" spans="2:51">
      <c r="B66" s="154">
        <v>23</v>
      </c>
      <c r="C66" s="182"/>
      <c r="D66" s="182"/>
      <c r="E66" s="182"/>
      <c r="F66" s="154"/>
      <c r="G66" s="154"/>
      <c r="H66" s="154"/>
      <c r="I66" s="154"/>
      <c r="J66" s="154"/>
      <c r="K66" s="154"/>
      <c r="L66" s="154"/>
      <c r="M66" s="154"/>
      <c r="N66" s="154"/>
      <c r="O66" s="154"/>
      <c r="P66" s="154"/>
      <c r="Q66" s="154"/>
      <c r="R66" s="154"/>
      <c r="S66" s="154"/>
      <c r="T66" s="154"/>
      <c r="U66" s="154"/>
      <c r="V66" s="154"/>
      <c r="W66" s="154"/>
      <c r="X66" s="154"/>
      <c r="Y66" s="154"/>
      <c r="Z66" s="154"/>
      <c r="AA66" s="154"/>
      <c r="AB66" s="154"/>
      <c r="AC66" s="154"/>
      <c r="AD66" s="154"/>
      <c r="AE66" s="154"/>
      <c r="AF66" s="154"/>
      <c r="AG66" s="154"/>
      <c r="AH66" s="154"/>
      <c r="AI66" s="154"/>
      <c r="AJ66" s="154"/>
      <c r="AK66" s="154"/>
      <c r="AL66" s="154"/>
      <c r="AM66" s="154"/>
      <c r="AN66" s="154"/>
      <c r="AO66" s="154"/>
      <c r="AP66" s="154"/>
      <c r="AQ66" s="154"/>
      <c r="AR66" s="154"/>
      <c r="AS66" s="154"/>
      <c r="AT66" s="154"/>
      <c r="AU66" s="154"/>
      <c r="AV66" s="154"/>
      <c r="AW66" s="154"/>
      <c r="AX66" s="154"/>
      <c r="AY66" s="154"/>
    </row>
    <row r="67" spans="2:51">
      <c r="B67" s="154">
        <v>24</v>
      </c>
      <c r="C67" s="182"/>
      <c r="D67" s="182"/>
      <c r="E67" s="182"/>
      <c r="F67" s="154"/>
      <c r="G67" s="154"/>
      <c r="H67" s="154"/>
      <c r="I67" s="154"/>
      <c r="J67" s="154"/>
      <c r="K67" s="154"/>
      <c r="L67" s="154"/>
      <c r="M67" s="154"/>
      <c r="N67" s="154"/>
      <c r="O67" s="154"/>
      <c r="P67" s="154"/>
      <c r="Q67" s="154"/>
      <c r="R67" s="154"/>
      <c r="S67" s="154"/>
      <c r="T67" s="154"/>
      <c r="U67" s="154"/>
      <c r="V67" s="154"/>
      <c r="W67" s="154"/>
      <c r="X67" s="154"/>
      <c r="Y67" s="154"/>
      <c r="Z67" s="154"/>
      <c r="AA67" s="154"/>
      <c r="AB67" s="154"/>
      <c r="AC67" s="154"/>
      <c r="AD67" s="154"/>
      <c r="AE67" s="154"/>
      <c r="AF67" s="154"/>
      <c r="AG67" s="154"/>
      <c r="AH67" s="154"/>
      <c r="AI67" s="154"/>
      <c r="AJ67" s="154"/>
      <c r="AK67" s="154"/>
      <c r="AL67" s="154"/>
      <c r="AM67" s="154"/>
      <c r="AN67" s="154"/>
      <c r="AO67" s="154"/>
      <c r="AP67" s="154"/>
      <c r="AQ67" s="154"/>
      <c r="AR67" s="154"/>
      <c r="AS67" s="154"/>
      <c r="AT67" s="154"/>
      <c r="AU67" s="154"/>
      <c r="AV67" s="154"/>
      <c r="AW67" s="154"/>
      <c r="AX67" s="154"/>
      <c r="AY67" s="154"/>
    </row>
    <row r="68" spans="2:51">
      <c r="B68" s="154">
        <v>25</v>
      </c>
      <c r="C68" s="182"/>
      <c r="D68" s="182"/>
      <c r="E68" s="182"/>
      <c r="F68" s="154"/>
      <c r="G68" s="154"/>
      <c r="H68" s="154"/>
      <c r="I68" s="154"/>
      <c r="J68" s="154"/>
      <c r="K68" s="154"/>
      <c r="L68" s="154"/>
      <c r="M68" s="154"/>
      <c r="N68" s="154"/>
      <c r="O68" s="154"/>
      <c r="P68" s="154"/>
      <c r="Q68" s="154"/>
      <c r="R68" s="154"/>
      <c r="S68" s="154"/>
      <c r="T68" s="154"/>
      <c r="U68" s="154"/>
      <c r="V68" s="154"/>
      <c r="W68" s="154"/>
      <c r="X68" s="154"/>
      <c r="Y68" s="154"/>
      <c r="Z68" s="154"/>
      <c r="AA68" s="154"/>
      <c r="AB68" s="154"/>
      <c r="AC68" s="154"/>
      <c r="AD68" s="154"/>
      <c r="AE68" s="154"/>
      <c r="AF68" s="154"/>
      <c r="AG68" s="154"/>
      <c r="AH68" s="154"/>
      <c r="AI68" s="154"/>
      <c r="AJ68" s="154"/>
      <c r="AK68" s="154"/>
      <c r="AL68" s="154"/>
      <c r="AM68" s="154"/>
      <c r="AN68" s="154"/>
      <c r="AO68" s="154"/>
      <c r="AP68" s="154"/>
      <c r="AQ68" s="154"/>
      <c r="AR68" s="154"/>
      <c r="AS68" s="154"/>
      <c r="AT68" s="154"/>
      <c r="AU68" s="154"/>
      <c r="AV68" s="154"/>
      <c r="AW68" s="154"/>
      <c r="AX68" s="154"/>
      <c r="AY68" s="154"/>
    </row>
    <row r="69" spans="2:51">
      <c r="B69" s="154">
        <v>26</v>
      </c>
      <c r="C69" s="182"/>
      <c r="D69" s="182"/>
      <c r="E69" s="182"/>
      <c r="F69" s="154"/>
      <c r="G69" s="154"/>
      <c r="H69" s="154"/>
      <c r="I69" s="154"/>
      <c r="J69" s="154"/>
      <c r="K69" s="154"/>
      <c r="L69" s="154"/>
      <c r="M69" s="154"/>
      <c r="N69" s="154"/>
      <c r="O69" s="154"/>
      <c r="P69" s="154"/>
      <c r="Q69" s="154"/>
      <c r="R69" s="154"/>
      <c r="S69" s="154"/>
      <c r="T69" s="154"/>
      <c r="U69" s="154"/>
      <c r="V69" s="154"/>
      <c r="W69" s="154"/>
      <c r="X69" s="154"/>
      <c r="Y69" s="154"/>
      <c r="Z69" s="154"/>
      <c r="AA69" s="154"/>
      <c r="AB69" s="154"/>
      <c r="AC69" s="154"/>
      <c r="AD69" s="154"/>
      <c r="AE69" s="154"/>
      <c r="AF69" s="154"/>
      <c r="AG69" s="154"/>
      <c r="AH69" s="154"/>
      <c r="AI69" s="154"/>
      <c r="AJ69" s="154"/>
      <c r="AK69" s="154"/>
      <c r="AL69" s="154"/>
      <c r="AM69" s="154"/>
      <c r="AN69" s="154"/>
      <c r="AO69" s="154"/>
      <c r="AP69" s="154"/>
      <c r="AQ69" s="154"/>
      <c r="AR69" s="154"/>
      <c r="AS69" s="154"/>
      <c r="AT69" s="154"/>
      <c r="AU69" s="154"/>
      <c r="AV69" s="154"/>
      <c r="AW69" s="154"/>
      <c r="AX69" s="154"/>
      <c r="AY69" s="154"/>
    </row>
    <row r="70" spans="2:51">
      <c r="B70" s="154">
        <v>27</v>
      </c>
      <c r="C70" s="182"/>
      <c r="D70" s="182"/>
      <c r="E70" s="182"/>
      <c r="F70" s="154"/>
      <c r="G70" s="154"/>
      <c r="H70" s="154"/>
      <c r="I70" s="154"/>
      <c r="J70" s="154"/>
      <c r="K70" s="154"/>
      <c r="L70" s="154"/>
      <c r="M70" s="154"/>
      <c r="N70" s="154"/>
      <c r="O70" s="154"/>
      <c r="P70" s="154"/>
      <c r="Q70" s="154"/>
      <c r="R70" s="154"/>
      <c r="S70" s="154"/>
      <c r="T70" s="154"/>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c r="AQ70" s="154"/>
      <c r="AR70" s="154"/>
      <c r="AS70" s="154"/>
      <c r="AT70" s="154"/>
      <c r="AU70" s="154"/>
      <c r="AV70" s="154"/>
      <c r="AW70" s="154"/>
      <c r="AX70" s="154"/>
      <c r="AY70" s="154"/>
    </row>
    <row r="71" spans="2:51">
      <c r="B71" s="154">
        <v>28</v>
      </c>
      <c r="C71" s="182"/>
      <c r="D71" s="182"/>
      <c r="E71" s="182"/>
      <c r="F71" s="154"/>
      <c r="G71" s="154"/>
      <c r="H71" s="154"/>
      <c r="I71" s="154"/>
      <c r="J71" s="154"/>
      <c r="K71" s="154"/>
      <c r="L71" s="154"/>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c r="AQ71" s="154"/>
      <c r="AR71" s="154"/>
      <c r="AS71" s="154"/>
      <c r="AT71" s="154"/>
      <c r="AU71" s="154"/>
      <c r="AV71" s="154"/>
      <c r="AW71" s="154"/>
      <c r="AX71" s="154"/>
      <c r="AY71" s="154"/>
    </row>
    <row r="72" spans="2:51">
      <c r="B72" s="154">
        <v>29</v>
      </c>
      <c r="C72" s="182"/>
      <c r="D72" s="182"/>
      <c r="E72" s="182"/>
      <c r="F72" s="154"/>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c r="AD72" s="154"/>
      <c r="AE72" s="154"/>
      <c r="AF72" s="154"/>
      <c r="AG72" s="154"/>
      <c r="AH72" s="154"/>
      <c r="AI72" s="154"/>
      <c r="AJ72" s="154"/>
      <c r="AK72" s="154"/>
      <c r="AL72" s="154"/>
      <c r="AM72" s="154"/>
      <c r="AN72" s="154"/>
      <c r="AO72" s="154"/>
      <c r="AP72" s="154"/>
      <c r="AQ72" s="154"/>
      <c r="AR72" s="154"/>
      <c r="AS72" s="154"/>
      <c r="AT72" s="154"/>
      <c r="AU72" s="154"/>
      <c r="AV72" s="154"/>
      <c r="AW72" s="154"/>
      <c r="AX72" s="154"/>
      <c r="AY72" s="154"/>
    </row>
    <row r="73" spans="2:51">
      <c r="B73" s="154">
        <v>30</v>
      </c>
      <c r="C73" s="182"/>
      <c r="D73" s="182"/>
      <c r="E73" s="182"/>
      <c r="F73" s="154"/>
      <c r="G73" s="154"/>
      <c r="H73" s="154"/>
      <c r="I73" s="154"/>
      <c r="J73" s="154"/>
      <c r="K73" s="154"/>
      <c r="L73" s="154"/>
      <c r="M73" s="154"/>
      <c r="N73" s="154"/>
      <c r="O73" s="154"/>
      <c r="P73" s="154"/>
      <c r="Q73" s="154"/>
      <c r="R73" s="154"/>
      <c r="S73" s="154"/>
      <c r="T73" s="154"/>
      <c r="U73" s="154"/>
      <c r="V73" s="154"/>
      <c r="W73" s="154"/>
      <c r="X73" s="154"/>
      <c r="Y73" s="154"/>
      <c r="Z73" s="154"/>
      <c r="AA73" s="154"/>
      <c r="AB73" s="154"/>
      <c r="AC73" s="154"/>
      <c r="AD73" s="154"/>
      <c r="AE73" s="154"/>
      <c r="AF73" s="154"/>
      <c r="AG73" s="154"/>
      <c r="AH73" s="154"/>
      <c r="AI73" s="154"/>
      <c r="AJ73" s="154"/>
      <c r="AK73" s="154"/>
      <c r="AL73" s="154"/>
      <c r="AM73" s="154"/>
      <c r="AN73" s="154"/>
      <c r="AO73" s="154"/>
      <c r="AP73" s="154"/>
      <c r="AQ73" s="154"/>
      <c r="AR73" s="154"/>
      <c r="AS73" s="154"/>
      <c r="AT73" s="154"/>
      <c r="AU73" s="154"/>
      <c r="AV73" s="154"/>
      <c r="AW73" s="154"/>
      <c r="AX73" s="154"/>
      <c r="AY73" s="154"/>
    </row>
    <row r="74" spans="2:51">
      <c r="B74" s="154">
        <v>31</v>
      </c>
      <c r="C74" s="182"/>
      <c r="D74" s="182"/>
      <c r="E74" s="182"/>
      <c r="F74" s="154"/>
      <c r="G74" s="154"/>
      <c r="H74" s="154"/>
      <c r="I74" s="154"/>
      <c r="J74" s="154"/>
      <c r="K74" s="154"/>
      <c r="L74" s="154"/>
      <c r="M74" s="154"/>
      <c r="N74" s="154"/>
      <c r="O74" s="154"/>
      <c r="P74" s="154"/>
      <c r="Q74" s="154"/>
      <c r="R74" s="154"/>
      <c r="S74" s="154"/>
      <c r="T74" s="154"/>
      <c r="U74" s="154"/>
      <c r="V74" s="154"/>
      <c r="W74" s="154"/>
      <c r="X74" s="154"/>
      <c r="Y74" s="154"/>
      <c r="Z74" s="154"/>
      <c r="AA74" s="154"/>
      <c r="AB74" s="154"/>
      <c r="AC74" s="154"/>
      <c r="AD74" s="154"/>
      <c r="AE74" s="154"/>
      <c r="AF74" s="154"/>
      <c r="AG74" s="154"/>
      <c r="AH74" s="154"/>
      <c r="AI74" s="154"/>
      <c r="AJ74" s="154"/>
      <c r="AK74" s="154"/>
      <c r="AL74" s="154"/>
      <c r="AM74" s="154"/>
      <c r="AN74" s="154"/>
      <c r="AO74" s="154"/>
      <c r="AP74" s="154"/>
      <c r="AQ74" s="154"/>
      <c r="AR74" s="154"/>
      <c r="AS74" s="154"/>
      <c r="AT74" s="154"/>
      <c r="AU74" s="154"/>
      <c r="AV74" s="154"/>
      <c r="AW74" s="154"/>
      <c r="AX74" s="154"/>
      <c r="AY74" s="154"/>
    </row>
    <row r="75" spans="2:51">
      <c r="B75" s="154">
        <v>32</v>
      </c>
      <c r="C75" s="182"/>
      <c r="D75" s="182"/>
      <c r="E75" s="182"/>
      <c r="F75" s="154"/>
      <c r="G75" s="154"/>
      <c r="H75" s="154"/>
      <c r="I75" s="154"/>
      <c r="J75" s="154"/>
      <c r="K75" s="154"/>
      <c r="L75" s="154"/>
      <c r="M75" s="154"/>
      <c r="N75" s="154"/>
      <c r="O75" s="154"/>
      <c r="P75" s="154"/>
      <c r="Q75" s="154"/>
      <c r="R75" s="154"/>
      <c r="S75" s="154"/>
      <c r="T75" s="154"/>
      <c r="U75" s="154"/>
      <c r="V75" s="154"/>
      <c r="W75" s="154"/>
      <c r="X75" s="154"/>
      <c r="Y75" s="154"/>
      <c r="Z75" s="154"/>
      <c r="AA75" s="154"/>
      <c r="AB75" s="154"/>
      <c r="AC75" s="154"/>
      <c r="AD75" s="154"/>
      <c r="AE75" s="154"/>
      <c r="AF75" s="154"/>
      <c r="AG75" s="154"/>
      <c r="AH75" s="154"/>
      <c r="AI75" s="154"/>
      <c r="AJ75" s="154"/>
      <c r="AK75" s="154"/>
      <c r="AL75" s="154"/>
      <c r="AM75" s="154"/>
      <c r="AN75" s="154"/>
      <c r="AO75" s="154"/>
      <c r="AP75" s="154"/>
      <c r="AQ75" s="154"/>
      <c r="AR75" s="154"/>
      <c r="AS75" s="154"/>
      <c r="AT75" s="154"/>
      <c r="AU75" s="154"/>
      <c r="AV75" s="154"/>
      <c r="AW75" s="154"/>
      <c r="AX75" s="154"/>
      <c r="AY75" s="154"/>
    </row>
    <row r="76" spans="2:51">
      <c r="B76" s="154">
        <v>33</v>
      </c>
      <c r="C76" s="182"/>
      <c r="D76" s="182"/>
      <c r="E76" s="182"/>
      <c r="F76" s="154"/>
      <c r="G76" s="154"/>
      <c r="H76" s="154"/>
      <c r="I76" s="154"/>
      <c r="J76" s="154"/>
      <c r="K76" s="154"/>
      <c r="L76" s="154"/>
      <c r="M76" s="154"/>
      <c r="N76" s="154"/>
      <c r="O76" s="154"/>
      <c r="P76" s="154"/>
      <c r="Q76" s="154"/>
      <c r="R76" s="154"/>
      <c r="S76" s="154"/>
      <c r="T76" s="154"/>
      <c r="U76" s="154"/>
      <c r="V76" s="154"/>
      <c r="W76" s="154"/>
      <c r="X76" s="154"/>
      <c r="Y76" s="154"/>
      <c r="Z76" s="154"/>
      <c r="AA76" s="154"/>
      <c r="AB76" s="154"/>
      <c r="AC76" s="154"/>
      <c r="AD76" s="154"/>
      <c r="AE76" s="154"/>
      <c r="AF76" s="154"/>
      <c r="AG76" s="154"/>
      <c r="AH76" s="154"/>
      <c r="AI76" s="154"/>
      <c r="AJ76" s="154"/>
      <c r="AK76" s="154"/>
      <c r="AL76" s="154"/>
      <c r="AM76" s="154"/>
      <c r="AN76" s="154"/>
      <c r="AO76" s="154"/>
      <c r="AP76" s="154"/>
      <c r="AQ76" s="154"/>
      <c r="AR76" s="154"/>
      <c r="AS76" s="154"/>
      <c r="AT76" s="154"/>
      <c r="AU76" s="154"/>
      <c r="AV76" s="154"/>
      <c r="AW76" s="154"/>
      <c r="AX76" s="154"/>
      <c r="AY76" s="154"/>
    </row>
    <row r="77" spans="2:51">
      <c r="B77" s="154">
        <v>34</v>
      </c>
      <c r="C77" s="182"/>
      <c r="D77" s="182"/>
      <c r="E77" s="182"/>
      <c r="F77" s="154"/>
      <c r="G77" s="154"/>
      <c r="H77" s="154"/>
      <c r="I77" s="154"/>
      <c r="J77" s="154"/>
      <c r="K77" s="154"/>
      <c r="L77" s="154"/>
      <c r="M77" s="154"/>
      <c r="N77" s="154"/>
      <c r="O77" s="154"/>
      <c r="P77" s="154"/>
      <c r="Q77" s="154"/>
      <c r="R77" s="154"/>
      <c r="S77" s="154"/>
      <c r="T77" s="154"/>
      <c r="U77" s="154"/>
      <c r="V77" s="154"/>
      <c r="W77" s="154"/>
      <c r="X77" s="154"/>
      <c r="Y77" s="154"/>
      <c r="Z77" s="154"/>
      <c r="AA77" s="154"/>
      <c r="AB77" s="154"/>
      <c r="AC77" s="154"/>
      <c r="AD77" s="154"/>
      <c r="AE77" s="154"/>
      <c r="AF77" s="154"/>
      <c r="AG77" s="154"/>
      <c r="AH77" s="154"/>
      <c r="AI77" s="154"/>
      <c r="AJ77" s="154"/>
      <c r="AK77" s="154"/>
      <c r="AL77" s="154"/>
      <c r="AM77" s="154"/>
      <c r="AN77" s="154"/>
      <c r="AO77" s="154"/>
      <c r="AP77" s="154"/>
      <c r="AQ77" s="154"/>
      <c r="AR77" s="154"/>
      <c r="AS77" s="154"/>
      <c r="AT77" s="154"/>
      <c r="AU77" s="154"/>
      <c r="AV77" s="154"/>
      <c r="AW77" s="154"/>
      <c r="AX77" s="154"/>
      <c r="AY77" s="154"/>
    </row>
    <row r="78" spans="2:51">
      <c r="B78" s="154">
        <v>35</v>
      </c>
      <c r="C78" s="182"/>
      <c r="D78" s="182"/>
      <c r="E78" s="182"/>
      <c r="F78" s="154"/>
      <c r="G78" s="154"/>
      <c r="H78" s="154"/>
      <c r="I78" s="154"/>
      <c r="J78" s="154"/>
      <c r="K78" s="154"/>
      <c r="L78" s="154"/>
      <c r="M78" s="154"/>
      <c r="N78" s="154"/>
      <c r="O78" s="154"/>
      <c r="P78" s="154"/>
      <c r="Q78" s="154"/>
      <c r="R78" s="154"/>
      <c r="S78" s="154"/>
      <c r="T78" s="154"/>
      <c r="U78" s="154"/>
      <c r="V78" s="154"/>
      <c r="W78" s="154"/>
      <c r="X78" s="154"/>
      <c r="Y78" s="154"/>
      <c r="Z78" s="154"/>
      <c r="AA78" s="154"/>
      <c r="AB78" s="154"/>
      <c r="AC78" s="154"/>
      <c r="AD78" s="154"/>
      <c r="AE78" s="154"/>
      <c r="AF78" s="154"/>
      <c r="AG78" s="154"/>
      <c r="AH78" s="154"/>
      <c r="AI78" s="154"/>
      <c r="AJ78" s="154"/>
      <c r="AK78" s="154"/>
      <c r="AL78" s="154"/>
      <c r="AM78" s="154"/>
      <c r="AN78" s="154"/>
      <c r="AO78" s="154"/>
      <c r="AP78" s="154"/>
      <c r="AQ78" s="154"/>
      <c r="AR78" s="154"/>
      <c r="AS78" s="154"/>
      <c r="AT78" s="154"/>
      <c r="AU78" s="154"/>
      <c r="AV78" s="154"/>
      <c r="AW78" s="154"/>
      <c r="AX78" s="154"/>
      <c r="AY78" s="154"/>
    </row>
    <row r="79" spans="2:51">
      <c r="B79" s="154">
        <v>36</v>
      </c>
      <c r="C79" s="182"/>
      <c r="D79" s="182"/>
      <c r="E79" s="182"/>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c r="AD79" s="154"/>
      <c r="AE79" s="154"/>
      <c r="AF79" s="154"/>
      <c r="AG79" s="154"/>
      <c r="AH79" s="154"/>
      <c r="AI79" s="154"/>
      <c r="AJ79" s="154"/>
      <c r="AK79" s="154"/>
      <c r="AL79" s="154"/>
      <c r="AM79" s="154"/>
      <c r="AN79" s="154"/>
      <c r="AO79" s="154"/>
      <c r="AP79" s="154"/>
      <c r="AQ79" s="154"/>
      <c r="AR79" s="154"/>
      <c r="AS79" s="154"/>
      <c r="AT79" s="154"/>
      <c r="AU79" s="154"/>
      <c r="AV79" s="154"/>
      <c r="AW79" s="154"/>
      <c r="AX79" s="154"/>
      <c r="AY79" s="154"/>
    </row>
    <row r="80" spans="2:51">
      <c r="B80" s="154">
        <v>37</v>
      </c>
      <c r="C80" s="182"/>
      <c r="D80" s="182"/>
      <c r="E80" s="182"/>
      <c r="F80" s="154"/>
      <c r="G80" s="154"/>
      <c r="H80" s="154"/>
      <c r="I80" s="154"/>
      <c r="J80" s="154"/>
      <c r="K80" s="154"/>
      <c r="L80" s="154"/>
      <c r="M80" s="154"/>
      <c r="N80" s="154"/>
      <c r="O80" s="154"/>
      <c r="P80" s="154"/>
      <c r="Q80" s="154"/>
      <c r="R80" s="154"/>
      <c r="S80" s="154"/>
      <c r="T80" s="154"/>
      <c r="U80" s="154"/>
      <c r="V80" s="154"/>
      <c r="W80" s="154"/>
      <c r="X80" s="154"/>
      <c r="Y80" s="154"/>
      <c r="Z80" s="154"/>
      <c r="AA80" s="154"/>
      <c r="AB80" s="154"/>
      <c r="AC80" s="154"/>
      <c r="AD80" s="154"/>
      <c r="AE80" s="154"/>
      <c r="AF80" s="154"/>
      <c r="AG80" s="154"/>
      <c r="AH80" s="154"/>
      <c r="AI80" s="154"/>
      <c r="AJ80" s="154"/>
      <c r="AK80" s="154"/>
      <c r="AL80" s="154"/>
      <c r="AM80" s="154"/>
      <c r="AN80" s="154"/>
      <c r="AO80" s="154"/>
      <c r="AP80" s="154"/>
      <c r="AQ80" s="154"/>
      <c r="AR80" s="154"/>
      <c r="AS80" s="154"/>
      <c r="AT80" s="154"/>
      <c r="AU80" s="154"/>
      <c r="AV80" s="154"/>
      <c r="AW80" s="154"/>
      <c r="AX80" s="154"/>
      <c r="AY80" s="154"/>
    </row>
    <row r="81" spans="2:51">
      <c r="B81" s="154">
        <v>38</v>
      </c>
      <c r="C81" s="182"/>
      <c r="D81" s="182"/>
      <c r="E81" s="182"/>
      <c r="F81" s="154"/>
      <c r="G81" s="154"/>
      <c r="H81" s="154"/>
      <c r="I81" s="154"/>
      <c r="J81" s="154"/>
      <c r="K81" s="154"/>
      <c r="L81" s="154"/>
      <c r="M81" s="154"/>
      <c r="N81" s="154"/>
      <c r="O81" s="154"/>
      <c r="P81" s="154"/>
      <c r="Q81" s="154"/>
      <c r="R81" s="154"/>
      <c r="S81" s="154"/>
      <c r="T81" s="154"/>
      <c r="U81" s="154"/>
      <c r="V81" s="154"/>
      <c r="W81" s="154"/>
      <c r="X81" s="154"/>
      <c r="Y81" s="154"/>
      <c r="Z81" s="154"/>
      <c r="AA81" s="154"/>
      <c r="AB81" s="154"/>
      <c r="AC81" s="154"/>
      <c r="AD81" s="154"/>
      <c r="AE81" s="154"/>
      <c r="AF81" s="154"/>
      <c r="AG81" s="154"/>
      <c r="AH81" s="154"/>
      <c r="AI81" s="154"/>
      <c r="AJ81" s="154"/>
      <c r="AK81" s="154"/>
      <c r="AL81" s="154"/>
      <c r="AM81" s="154"/>
      <c r="AN81" s="154"/>
      <c r="AO81" s="154"/>
      <c r="AP81" s="154"/>
      <c r="AQ81" s="154"/>
      <c r="AR81" s="154"/>
      <c r="AS81" s="154"/>
      <c r="AT81" s="154"/>
      <c r="AU81" s="154"/>
      <c r="AV81" s="154"/>
      <c r="AW81" s="154"/>
      <c r="AX81" s="154"/>
      <c r="AY81" s="154"/>
    </row>
    <row r="82" spans="2:51">
      <c r="B82" s="154">
        <v>39</v>
      </c>
      <c r="C82" s="182"/>
      <c r="D82" s="182"/>
      <c r="E82" s="182"/>
      <c r="F82" s="154"/>
      <c r="G82" s="154"/>
      <c r="H82" s="154"/>
      <c r="I82" s="154"/>
      <c r="J82" s="154"/>
      <c r="K82" s="154"/>
      <c r="L82" s="154"/>
      <c r="M82" s="154"/>
      <c r="N82" s="154"/>
      <c r="O82" s="154"/>
      <c r="P82" s="154"/>
      <c r="Q82" s="154"/>
      <c r="R82" s="154"/>
      <c r="S82" s="154"/>
      <c r="T82" s="154"/>
      <c r="U82" s="154"/>
      <c r="V82" s="154"/>
      <c r="W82" s="154"/>
      <c r="X82" s="154"/>
      <c r="Y82" s="154"/>
      <c r="Z82" s="154"/>
      <c r="AA82" s="154"/>
      <c r="AB82" s="154"/>
      <c r="AC82" s="154"/>
      <c r="AD82" s="154"/>
      <c r="AE82" s="154"/>
      <c r="AF82" s="154"/>
      <c r="AG82" s="154"/>
      <c r="AH82" s="154"/>
      <c r="AI82" s="154"/>
      <c r="AJ82" s="154"/>
      <c r="AK82" s="154"/>
      <c r="AL82" s="154"/>
      <c r="AM82" s="154"/>
      <c r="AN82" s="154"/>
      <c r="AO82" s="154"/>
      <c r="AP82" s="154"/>
      <c r="AQ82" s="154"/>
      <c r="AR82" s="154"/>
      <c r="AS82" s="154"/>
      <c r="AT82" s="154"/>
      <c r="AU82" s="154"/>
      <c r="AV82" s="154"/>
      <c r="AW82" s="154"/>
      <c r="AX82" s="154"/>
      <c r="AY82" s="154"/>
    </row>
    <row r="83" spans="2:51">
      <c r="B83" s="154">
        <v>40</v>
      </c>
      <c r="C83" s="182"/>
      <c r="D83" s="182"/>
      <c r="E83" s="182"/>
      <c r="F83" s="154"/>
      <c r="G83" s="154"/>
      <c r="H83" s="154"/>
      <c r="I83" s="154"/>
      <c r="J83" s="154"/>
      <c r="K83" s="154"/>
      <c r="L83" s="154"/>
      <c r="M83" s="154"/>
      <c r="N83" s="154"/>
      <c r="O83" s="154"/>
      <c r="P83" s="154"/>
      <c r="Q83" s="154"/>
      <c r="R83" s="154"/>
      <c r="S83" s="154"/>
      <c r="T83" s="154"/>
      <c r="U83" s="154"/>
      <c r="V83" s="154"/>
      <c r="W83" s="154"/>
      <c r="X83" s="154"/>
      <c r="Y83" s="154"/>
      <c r="Z83" s="154"/>
      <c r="AA83" s="154"/>
      <c r="AB83" s="154"/>
      <c r="AC83" s="154"/>
      <c r="AD83" s="154"/>
      <c r="AE83" s="154"/>
      <c r="AF83" s="154"/>
      <c r="AG83" s="154"/>
      <c r="AH83" s="154"/>
      <c r="AI83" s="154"/>
      <c r="AJ83" s="154"/>
      <c r="AK83" s="154"/>
      <c r="AL83" s="154"/>
      <c r="AM83" s="154"/>
      <c r="AN83" s="154"/>
      <c r="AO83" s="154"/>
      <c r="AP83" s="154"/>
      <c r="AQ83" s="154"/>
      <c r="AR83" s="154"/>
      <c r="AS83" s="154"/>
      <c r="AT83" s="154"/>
      <c r="AU83" s="154"/>
      <c r="AV83" s="154"/>
      <c r="AW83" s="154"/>
      <c r="AX83" s="154"/>
      <c r="AY83" s="154"/>
    </row>
    <row r="84" spans="2:51">
      <c r="B84" s="154">
        <v>41</v>
      </c>
      <c r="C84" s="182"/>
      <c r="D84" s="182"/>
      <c r="E84" s="182"/>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c r="AD84" s="154"/>
      <c r="AE84" s="154"/>
      <c r="AF84" s="154"/>
      <c r="AG84" s="154"/>
      <c r="AH84" s="154"/>
      <c r="AI84" s="154"/>
      <c r="AJ84" s="154"/>
      <c r="AK84" s="154"/>
      <c r="AL84" s="154"/>
      <c r="AM84" s="154"/>
      <c r="AN84" s="154"/>
      <c r="AO84" s="154"/>
      <c r="AP84" s="154"/>
      <c r="AQ84" s="154"/>
      <c r="AR84" s="154"/>
      <c r="AS84" s="154"/>
      <c r="AT84" s="154"/>
      <c r="AU84" s="154"/>
      <c r="AV84" s="154"/>
      <c r="AW84" s="154"/>
      <c r="AX84" s="154"/>
      <c r="AY84" s="154"/>
    </row>
    <row r="85" spans="2:51">
      <c r="B85" s="154">
        <v>42</v>
      </c>
      <c r="C85" s="182"/>
      <c r="D85" s="182"/>
      <c r="E85" s="182"/>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c r="AD85" s="154"/>
      <c r="AE85" s="154"/>
      <c r="AF85" s="154"/>
      <c r="AG85" s="154"/>
      <c r="AH85" s="154"/>
      <c r="AI85" s="154"/>
      <c r="AJ85" s="154"/>
      <c r="AK85" s="154"/>
      <c r="AL85" s="154"/>
      <c r="AM85" s="154"/>
      <c r="AN85" s="154"/>
      <c r="AO85" s="154"/>
      <c r="AP85" s="154"/>
      <c r="AQ85" s="154"/>
      <c r="AR85" s="154"/>
      <c r="AS85" s="154"/>
      <c r="AT85" s="154"/>
      <c r="AU85" s="154"/>
      <c r="AV85" s="154"/>
      <c r="AW85" s="154"/>
      <c r="AX85" s="154"/>
      <c r="AY85" s="154"/>
    </row>
    <row r="86" spans="2:51">
      <c r="B86" s="154">
        <v>43</v>
      </c>
      <c r="C86" s="182"/>
      <c r="D86" s="182"/>
      <c r="E86" s="182"/>
      <c r="F86" s="154"/>
      <c r="G86" s="154"/>
      <c r="H86" s="154"/>
      <c r="I86" s="154"/>
      <c r="J86" s="154"/>
      <c r="K86" s="154"/>
      <c r="L86" s="154"/>
      <c r="M86" s="154"/>
      <c r="N86" s="154"/>
      <c r="O86" s="154"/>
      <c r="P86" s="154"/>
      <c r="Q86" s="154"/>
      <c r="R86" s="154"/>
      <c r="S86" s="154"/>
      <c r="T86" s="154"/>
      <c r="U86" s="154"/>
      <c r="V86" s="154"/>
      <c r="W86" s="154"/>
      <c r="X86" s="154"/>
      <c r="Y86" s="154"/>
      <c r="Z86" s="154"/>
      <c r="AA86" s="154"/>
      <c r="AB86" s="154"/>
      <c r="AC86" s="154"/>
      <c r="AD86" s="154"/>
      <c r="AE86" s="154"/>
      <c r="AF86" s="154"/>
      <c r="AG86" s="154"/>
      <c r="AH86" s="154"/>
      <c r="AI86" s="154"/>
      <c r="AJ86" s="154"/>
      <c r="AK86" s="154"/>
      <c r="AL86" s="154"/>
      <c r="AM86" s="154"/>
      <c r="AN86" s="154"/>
      <c r="AO86" s="154"/>
      <c r="AP86" s="154"/>
      <c r="AQ86" s="154"/>
      <c r="AR86" s="154"/>
      <c r="AS86" s="154"/>
      <c r="AT86" s="154"/>
      <c r="AU86" s="154"/>
      <c r="AV86" s="154"/>
      <c r="AW86" s="154"/>
      <c r="AX86" s="154"/>
      <c r="AY86" s="154"/>
    </row>
    <row r="87" spans="2:51">
      <c r="B87" s="154">
        <v>44</v>
      </c>
      <c r="C87" s="182"/>
      <c r="D87" s="182"/>
      <c r="E87" s="182"/>
      <c r="F87" s="154"/>
      <c r="G87" s="154"/>
      <c r="H87" s="154"/>
      <c r="I87" s="154"/>
      <c r="J87" s="154"/>
      <c r="K87" s="154"/>
      <c r="L87" s="154"/>
      <c r="M87" s="154"/>
      <c r="N87" s="154"/>
      <c r="O87" s="154"/>
      <c r="P87" s="154"/>
      <c r="Q87" s="154"/>
      <c r="R87" s="154"/>
      <c r="S87" s="154"/>
      <c r="T87" s="154"/>
      <c r="U87" s="154"/>
      <c r="V87" s="154"/>
      <c r="W87" s="154"/>
      <c r="X87" s="154"/>
      <c r="Y87" s="154"/>
      <c r="Z87" s="154"/>
      <c r="AA87" s="154"/>
      <c r="AB87" s="154"/>
      <c r="AC87" s="154"/>
      <c r="AD87" s="154"/>
      <c r="AE87" s="154"/>
      <c r="AF87" s="154"/>
      <c r="AG87" s="154"/>
      <c r="AH87" s="154"/>
      <c r="AI87" s="154"/>
      <c r="AJ87" s="154"/>
      <c r="AK87" s="154"/>
      <c r="AL87" s="154"/>
      <c r="AM87" s="154"/>
      <c r="AN87" s="154"/>
      <c r="AO87" s="154"/>
      <c r="AP87" s="154"/>
      <c r="AQ87" s="154"/>
      <c r="AR87" s="154"/>
      <c r="AS87" s="154"/>
      <c r="AT87" s="154"/>
      <c r="AU87" s="154"/>
      <c r="AV87" s="154"/>
      <c r="AW87" s="154"/>
      <c r="AX87" s="154"/>
      <c r="AY87" s="154"/>
    </row>
    <row r="88" spans="2:51">
      <c r="B88" s="154">
        <v>45</v>
      </c>
      <c r="C88" s="182"/>
      <c r="D88" s="182"/>
      <c r="E88" s="182"/>
      <c r="F88" s="154"/>
      <c r="G88" s="154"/>
      <c r="H88" s="154"/>
      <c r="I88" s="154"/>
      <c r="J88" s="154"/>
      <c r="K88" s="154"/>
      <c r="L88" s="154"/>
      <c r="M88" s="154"/>
      <c r="N88" s="154"/>
      <c r="O88" s="154"/>
      <c r="P88" s="154"/>
      <c r="Q88" s="154"/>
      <c r="R88" s="154"/>
      <c r="S88" s="154"/>
      <c r="T88" s="154"/>
      <c r="U88" s="154"/>
      <c r="V88" s="154"/>
      <c r="W88" s="154"/>
      <c r="X88" s="154"/>
      <c r="Y88" s="154"/>
      <c r="Z88" s="154"/>
      <c r="AA88" s="154"/>
      <c r="AB88" s="154"/>
      <c r="AC88" s="154"/>
      <c r="AD88" s="154"/>
      <c r="AE88" s="154"/>
      <c r="AF88" s="154"/>
      <c r="AG88" s="154"/>
      <c r="AH88" s="154"/>
      <c r="AI88" s="154"/>
      <c r="AJ88" s="154"/>
      <c r="AK88" s="154"/>
      <c r="AL88" s="154"/>
      <c r="AM88" s="154"/>
      <c r="AN88" s="154"/>
      <c r="AO88" s="154"/>
      <c r="AP88" s="154"/>
      <c r="AQ88" s="154"/>
      <c r="AR88" s="154"/>
      <c r="AS88" s="154"/>
      <c r="AT88" s="154"/>
      <c r="AU88" s="154"/>
      <c r="AV88" s="154"/>
      <c r="AW88" s="154"/>
      <c r="AX88" s="154"/>
      <c r="AY88" s="154"/>
    </row>
    <row r="89" spans="2:51">
      <c r="B89" s="154">
        <v>46</v>
      </c>
      <c r="C89" s="182"/>
      <c r="D89" s="182"/>
      <c r="E89" s="182"/>
      <c r="F89" s="154"/>
      <c r="G89" s="154"/>
      <c r="H89" s="154"/>
      <c r="I89" s="154"/>
      <c r="J89" s="154"/>
      <c r="K89" s="154"/>
      <c r="L89" s="154"/>
      <c r="M89" s="154"/>
      <c r="N89" s="154"/>
      <c r="O89" s="154"/>
      <c r="P89" s="154"/>
      <c r="Q89" s="154"/>
      <c r="R89" s="154"/>
      <c r="S89" s="154"/>
      <c r="T89" s="154"/>
      <c r="U89" s="154"/>
      <c r="V89" s="154"/>
      <c r="W89" s="154"/>
      <c r="X89" s="154"/>
      <c r="Y89" s="154"/>
      <c r="Z89" s="154"/>
      <c r="AA89" s="154"/>
      <c r="AB89" s="154"/>
      <c r="AC89" s="154"/>
      <c r="AD89" s="154"/>
      <c r="AE89" s="154"/>
      <c r="AF89" s="154"/>
      <c r="AG89" s="154"/>
      <c r="AH89" s="154"/>
      <c r="AI89" s="154"/>
      <c r="AJ89" s="154"/>
      <c r="AK89" s="154"/>
      <c r="AL89" s="154"/>
      <c r="AM89" s="154"/>
      <c r="AN89" s="154"/>
      <c r="AO89" s="154"/>
      <c r="AP89" s="154"/>
      <c r="AQ89" s="154"/>
      <c r="AR89" s="154"/>
      <c r="AS89" s="154"/>
      <c r="AT89" s="154"/>
      <c r="AU89" s="154"/>
      <c r="AV89" s="154"/>
      <c r="AW89" s="154"/>
      <c r="AX89" s="154"/>
      <c r="AY89" s="154"/>
    </row>
    <row r="90" spans="2:51">
      <c r="B90" s="154">
        <v>47</v>
      </c>
      <c r="C90" s="182"/>
      <c r="D90" s="182"/>
      <c r="E90" s="182"/>
      <c r="F90" s="154"/>
      <c r="G90" s="154"/>
      <c r="H90" s="154"/>
      <c r="I90" s="154"/>
      <c r="J90" s="154"/>
      <c r="K90" s="154"/>
      <c r="L90" s="154"/>
      <c r="M90" s="154"/>
      <c r="N90" s="154"/>
      <c r="O90" s="154"/>
      <c r="P90" s="154"/>
      <c r="Q90" s="154"/>
      <c r="R90" s="154"/>
      <c r="S90" s="154"/>
      <c r="T90" s="154"/>
      <c r="U90" s="154"/>
      <c r="V90" s="154"/>
      <c r="W90" s="154"/>
      <c r="X90" s="154"/>
      <c r="Y90" s="154"/>
      <c r="Z90" s="154"/>
      <c r="AA90" s="154"/>
      <c r="AB90" s="154"/>
      <c r="AC90" s="154"/>
      <c r="AD90" s="154"/>
      <c r="AE90" s="154"/>
      <c r="AF90" s="154"/>
      <c r="AG90" s="154"/>
      <c r="AH90" s="154"/>
      <c r="AI90" s="154"/>
      <c r="AJ90" s="154"/>
      <c r="AK90" s="154"/>
      <c r="AL90" s="154"/>
      <c r="AM90" s="154"/>
      <c r="AN90" s="154"/>
      <c r="AO90" s="154"/>
      <c r="AP90" s="154"/>
      <c r="AQ90" s="154"/>
      <c r="AR90" s="154"/>
      <c r="AS90" s="154"/>
      <c r="AT90" s="154"/>
      <c r="AU90" s="154"/>
      <c r="AV90" s="154"/>
      <c r="AW90" s="154"/>
      <c r="AX90" s="154"/>
      <c r="AY90" s="154"/>
    </row>
    <row r="91" spans="2:51">
      <c r="B91" s="154">
        <v>48</v>
      </c>
      <c r="C91" s="182"/>
      <c r="D91" s="182"/>
      <c r="E91" s="182"/>
      <c r="F91" s="154"/>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c r="AD91" s="154"/>
      <c r="AE91" s="154"/>
      <c r="AF91" s="154"/>
      <c r="AG91" s="154"/>
      <c r="AH91" s="154"/>
      <c r="AI91" s="154"/>
      <c r="AJ91" s="154"/>
      <c r="AK91" s="154"/>
      <c r="AL91" s="154"/>
      <c r="AM91" s="154"/>
      <c r="AN91" s="154"/>
      <c r="AO91" s="154"/>
      <c r="AP91" s="154"/>
      <c r="AQ91" s="154"/>
      <c r="AR91" s="154"/>
      <c r="AS91" s="154"/>
      <c r="AT91" s="154"/>
      <c r="AU91" s="154"/>
      <c r="AV91" s="154"/>
      <c r="AW91" s="154"/>
      <c r="AX91" s="154"/>
      <c r="AY91" s="154"/>
    </row>
    <row r="92" spans="2:51">
      <c r="B92" s="154">
        <v>49</v>
      </c>
      <c r="C92" s="182"/>
      <c r="D92" s="182"/>
      <c r="E92" s="182"/>
      <c r="F92" s="154"/>
      <c r="G92" s="154"/>
      <c r="H92" s="154"/>
      <c r="I92" s="154"/>
      <c r="J92" s="154"/>
      <c r="K92" s="154"/>
      <c r="L92" s="154"/>
      <c r="M92" s="154"/>
      <c r="N92" s="154"/>
      <c r="O92" s="154"/>
      <c r="P92" s="154"/>
      <c r="Q92" s="154"/>
      <c r="R92" s="154"/>
      <c r="S92" s="154"/>
      <c r="T92" s="154"/>
      <c r="U92" s="154"/>
      <c r="V92" s="154"/>
      <c r="W92" s="154"/>
      <c r="X92" s="154"/>
      <c r="Y92" s="154"/>
      <c r="Z92" s="154"/>
      <c r="AA92" s="154"/>
      <c r="AB92" s="154"/>
      <c r="AC92" s="154"/>
      <c r="AD92" s="154"/>
      <c r="AE92" s="154"/>
      <c r="AF92" s="154"/>
      <c r="AG92" s="154"/>
      <c r="AH92" s="154"/>
      <c r="AI92" s="154"/>
      <c r="AJ92" s="154"/>
      <c r="AK92" s="154"/>
      <c r="AL92" s="154"/>
      <c r="AM92" s="154"/>
      <c r="AN92" s="154"/>
      <c r="AO92" s="154"/>
      <c r="AP92" s="154"/>
      <c r="AQ92" s="154"/>
      <c r="AR92" s="154"/>
      <c r="AS92" s="154"/>
      <c r="AT92" s="154"/>
      <c r="AU92" s="154"/>
      <c r="AV92" s="154"/>
      <c r="AW92" s="154"/>
      <c r="AX92" s="154"/>
      <c r="AY92" s="154"/>
    </row>
    <row r="93" spans="2:51">
      <c r="B93" s="154">
        <v>50</v>
      </c>
      <c r="C93" s="182"/>
      <c r="D93" s="182"/>
      <c r="E93" s="182"/>
      <c r="F93" s="154"/>
      <c r="G93" s="154"/>
      <c r="H93" s="154"/>
      <c r="I93" s="154"/>
      <c r="J93" s="154"/>
      <c r="K93" s="154"/>
      <c r="L93" s="154"/>
      <c r="M93" s="154"/>
      <c r="N93" s="154"/>
      <c r="O93" s="154"/>
      <c r="P93" s="154"/>
      <c r="Q93" s="154"/>
      <c r="R93" s="154"/>
      <c r="S93" s="154"/>
      <c r="T93" s="154"/>
      <c r="U93" s="154"/>
      <c r="V93" s="154"/>
      <c r="W93" s="154"/>
      <c r="X93" s="154"/>
      <c r="Y93" s="154"/>
      <c r="Z93" s="154"/>
      <c r="AA93" s="154"/>
      <c r="AB93" s="154"/>
      <c r="AC93" s="154"/>
      <c r="AD93" s="154"/>
      <c r="AE93" s="154"/>
      <c r="AF93" s="154"/>
      <c r="AG93" s="154"/>
      <c r="AH93" s="154"/>
      <c r="AI93" s="154"/>
      <c r="AJ93" s="154"/>
      <c r="AK93" s="154"/>
      <c r="AL93" s="154"/>
      <c r="AM93" s="154"/>
      <c r="AN93" s="154"/>
      <c r="AO93" s="154"/>
      <c r="AP93" s="154"/>
      <c r="AQ93" s="154"/>
      <c r="AR93" s="154"/>
      <c r="AS93" s="154"/>
      <c r="AT93" s="154"/>
      <c r="AU93" s="154"/>
      <c r="AV93" s="154"/>
      <c r="AW93" s="154"/>
      <c r="AX93" s="154"/>
      <c r="AY93" s="154"/>
    </row>
    <row r="94" spans="2:51">
      <c r="B94" s="154">
        <v>51</v>
      </c>
      <c r="C94" s="182"/>
      <c r="D94" s="182"/>
      <c r="E94" s="182"/>
      <c r="F94" s="154"/>
      <c r="G94" s="154"/>
      <c r="H94" s="154"/>
      <c r="I94" s="154"/>
      <c r="J94" s="154"/>
      <c r="K94" s="154"/>
      <c r="L94" s="154"/>
      <c r="M94" s="154"/>
      <c r="N94" s="154"/>
      <c r="O94" s="154"/>
      <c r="P94" s="154"/>
      <c r="Q94" s="154"/>
      <c r="R94" s="154"/>
      <c r="S94" s="154"/>
      <c r="T94" s="154"/>
      <c r="U94" s="154"/>
      <c r="V94" s="154"/>
      <c r="W94" s="154"/>
      <c r="X94" s="154"/>
      <c r="Y94" s="154"/>
      <c r="Z94" s="154"/>
      <c r="AA94" s="154"/>
      <c r="AB94" s="154"/>
      <c r="AC94" s="154"/>
      <c r="AD94" s="154"/>
      <c r="AE94" s="154"/>
      <c r="AF94" s="154"/>
      <c r="AG94" s="154"/>
      <c r="AH94" s="154"/>
      <c r="AI94" s="154"/>
      <c r="AJ94" s="154"/>
      <c r="AK94" s="154"/>
      <c r="AL94" s="154"/>
      <c r="AM94" s="154"/>
      <c r="AN94" s="154"/>
      <c r="AO94" s="154"/>
      <c r="AP94" s="154"/>
      <c r="AQ94" s="154"/>
      <c r="AR94" s="154"/>
      <c r="AS94" s="154"/>
      <c r="AT94" s="154"/>
      <c r="AU94" s="154"/>
      <c r="AV94" s="154"/>
      <c r="AW94" s="154"/>
      <c r="AX94" s="154"/>
      <c r="AY94" s="154"/>
    </row>
    <row r="95" spans="2:51">
      <c r="B95" s="154">
        <v>52</v>
      </c>
      <c r="C95" s="182"/>
      <c r="D95" s="182"/>
      <c r="E95" s="182"/>
      <c r="F95" s="154"/>
      <c r="G95" s="154"/>
      <c r="H95" s="154"/>
      <c r="I95" s="154"/>
      <c r="J95" s="154"/>
      <c r="K95" s="154"/>
      <c r="L95" s="154"/>
      <c r="M95" s="154"/>
      <c r="N95" s="154"/>
      <c r="O95" s="154"/>
      <c r="P95" s="154"/>
      <c r="Q95" s="154"/>
      <c r="R95" s="154"/>
      <c r="S95" s="154"/>
      <c r="T95" s="154"/>
      <c r="U95" s="154"/>
      <c r="V95" s="154"/>
      <c r="W95" s="154"/>
      <c r="X95" s="154"/>
      <c r="Y95" s="154"/>
      <c r="Z95" s="154"/>
      <c r="AA95" s="154"/>
      <c r="AB95" s="154"/>
      <c r="AC95" s="154"/>
      <c r="AD95" s="154"/>
      <c r="AE95" s="154"/>
      <c r="AF95" s="154"/>
      <c r="AG95" s="154"/>
      <c r="AH95" s="154"/>
      <c r="AI95" s="154"/>
      <c r="AJ95" s="154"/>
      <c r="AK95" s="154"/>
      <c r="AL95" s="154"/>
      <c r="AM95" s="154"/>
      <c r="AN95" s="154"/>
      <c r="AO95" s="154"/>
      <c r="AP95" s="154"/>
      <c r="AQ95" s="154"/>
      <c r="AR95" s="154"/>
      <c r="AS95" s="154"/>
      <c r="AT95" s="154"/>
      <c r="AU95" s="154"/>
      <c r="AV95" s="154"/>
      <c r="AW95" s="154"/>
      <c r="AX95" s="154"/>
      <c r="AY95" s="154"/>
    </row>
    <row r="96" spans="2:51">
      <c r="B96" s="154">
        <v>53</v>
      </c>
      <c r="C96" s="182"/>
      <c r="D96" s="182"/>
      <c r="E96" s="182"/>
      <c r="F96" s="154"/>
      <c r="G96" s="154"/>
      <c r="H96" s="154"/>
      <c r="I96" s="154"/>
      <c r="J96" s="154"/>
      <c r="K96" s="154"/>
      <c r="L96" s="154"/>
      <c r="M96" s="154"/>
      <c r="N96" s="154"/>
      <c r="O96" s="154"/>
      <c r="P96" s="154"/>
      <c r="Q96" s="154"/>
      <c r="R96" s="154"/>
      <c r="S96" s="154"/>
      <c r="T96" s="154"/>
      <c r="U96" s="154"/>
      <c r="V96" s="154"/>
      <c r="W96" s="154"/>
      <c r="X96" s="154"/>
      <c r="Y96" s="154"/>
      <c r="Z96" s="154"/>
      <c r="AA96" s="154"/>
      <c r="AB96" s="154"/>
      <c r="AC96" s="154"/>
      <c r="AD96" s="154"/>
      <c r="AE96" s="154"/>
      <c r="AF96" s="154"/>
      <c r="AG96" s="154"/>
      <c r="AH96" s="154"/>
      <c r="AI96" s="154"/>
      <c r="AJ96" s="154"/>
      <c r="AK96" s="154"/>
      <c r="AL96" s="154"/>
      <c r="AM96" s="154"/>
      <c r="AN96" s="154"/>
      <c r="AO96" s="154"/>
      <c r="AP96" s="154"/>
      <c r="AQ96" s="154"/>
      <c r="AR96" s="154"/>
      <c r="AS96" s="154"/>
      <c r="AT96" s="154"/>
      <c r="AU96" s="154"/>
      <c r="AV96" s="154"/>
      <c r="AW96" s="154"/>
      <c r="AX96" s="154"/>
      <c r="AY96" s="154"/>
    </row>
    <row r="97" spans="2:51">
      <c r="B97" s="154">
        <v>54</v>
      </c>
      <c r="C97" s="182"/>
      <c r="D97" s="182"/>
      <c r="E97" s="182"/>
      <c r="F97" s="154"/>
      <c r="G97" s="154"/>
      <c r="H97" s="154"/>
      <c r="I97" s="154"/>
      <c r="J97" s="154"/>
      <c r="K97" s="154"/>
      <c r="L97" s="154"/>
      <c r="M97" s="154"/>
      <c r="N97" s="154"/>
      <c r="O97" s="154"/>
      <c r="P97" s="154"/>
      <c r="Q97" s="154"/>
      <c r="R97" s="154"/>
      <c r="S97" s="154"/>
      <c r="T97" s="154"/>
      <c r="U97" s="154"/>
      <c r="V97" s="154"/>
      <c r="W97" s="154"/>
      <c r="X97" s="154"/>
      <c r="Y97" s="154"/>
      <c r="Z97" s="154"/>
      <c r="AA97" s="154"/>
      <c r="AB97" s="154"/>
      <c r="AC97" s="154"/>
      <c r="AD97" s="154"/>
      <c r="AE97" s="154"/>
      <c r="AF97" s="154"/>
      <c r="AG97" s="154"/>
      <c r="AH97" s="154"/>
      <c r="AI97" s="154"/>
      <c r="AJ97" s="154"/>
      <c r="AK97" s="154"/>
      <c r="AL97" s="154"/>
      <c r="AM97" s="154"/>
      <c r="AN97" s="154"/>
      <c r="AO97" s="154"/>
      <c r="AP97" s="154"/>
      <c r="AQ97" s="154"/>
      <c r="AR97" s="154"/>
      <c r="AS97" s="154"/>
      <c r="AT97" s="154"/>
      <c r="AU97" s="154"/>
      <c r="AV97" s="154"/>
      <c r="AW97" s="154"/>
      <c r="AX97" s="154"/>
      <c r="AY97" s="154"/>
    </row>
    <row r="98" spans="2:51">
      <c r="B98" s="154">
        <v>55</v>
      </c>
      <c r="C98" s="182"/>
      <c r="D98" s="182"/>
      <c r="E98" s="182"/>
      <c r="F98" s="154"/>
      <c r="G98" s="154"/>
      <c r="H98" s="154"/>
      <c r="I98" s="154"/>
      <c r="J98" s="154"/>
      <c r="K98" s="154"/>
      <c r="L98" s="154"/>
      <c r="M98" s="154"/>
      <c r="N98" s="154"/>
      <c r="O98" s="154"/>
      <c r="P98" s="154"/>
      <c r="Q98" s="154"/>
      <c r="R98" s="154"/>
      <c r="S98" s="154"/>
      <c r="T98" s="154"/>
      <c r="U98" s="154"/>
      <c r="V98" s="154"/>
      <c r="W98" s="154"/>
      <c r="X98" s="154"/>
      <c r="Y98" s="154"/>
      <c r="Z98" s="154"/>
      <c r="AA98" s="154"/>
      <c r="AB98" s="154"/>
      <c r="AC98" s="154"/>
      <c r="AD98" s="154"/>
      <c r="AE98" s="154"/>
      <c r="AF98" s="154"/>
      <c r="AG98" s="154"/>
      <c r="AH98" s="154"/>
      <c r="AI98" s="154"/>
      <c r="AJ98" s="154"/>
      <c r="AK98" s="154"/>
      <c r="AL98" s="154"/>
      <c r="AM98" s="154"/>
      <c r="AN98" s="154"/>
      <c r="AO98" s="154"/>
      <c r="AP98" s="154"/>
      <c r="AQ98" s="154"/>
      <c r="AR98" s="154"/>
      <c r="AS98" s="154"/>
      <c r="AT98" s="154"/>
      <c r="AU98" s="154"/>
      <c r="AV98" s="154"/>
      <c r="AW98" s="154"/>
      <c r="AX98" s="154"/>
      <c r="AY98" s="154"/>
    </row>
    <row r="99" spans="2:51">
      <c r="B99" s="154">
        <v>56</v>
      </c>
      <c r="C99" s="182"/>
      <c r="D99" s="182"/>
      <c r="E99" s="182"/>
      <c r="F99" s="154"/>
      <c r="G99" s="154"/>
      <c r="H99" s="154"/>
      <c r="I99" s="154"/>
      <c r="J99" s="154"/>
      <c r="K99" s="154"/>
      <c r="L99" s="154"/>
      <c r="M99" s="154"/>
      <c r="N99" s="154"/>
      <c r="O99" s="154"/>
      <c r="P99" s="154"/>
      <c r="Q99" s="154"/>
      <c r="R99" s="154"/>
      <c r="S99" s="154"/>
      <c r="T99" s="154"/>
      <c r="U99" s="154"/>
      <c r="V99" s="154"/>
      <c r="W99" s="154"/>
      <c r="X99" s="154"/>
      <c r="Y99" s="154"/>
      <c r="Z99" s="154"/>
      <c r="AA99" s="154"/>
      <c r="AB99" s="154"/>
      <c r="AC99" s="154"/>
      <c r="AD99" s="154"/>
      <c r="AE99" s="154"/>
      <c r="AF99" s="154"/>
      <c r="AG99" s="154"/>
      <c r="AH99" s="154"/>
      <c r="AI99" s="154"/>
      <c r="AJ99" s="154"/>
      <c r="AK99" s="154"/>
      <c r="AL99" s="154"/>
      <c r="AM99" s="154"/>
      <c r="AN99" s="154"/>
      <c r="AO99" s="154"/>
      <c r="AP99" s="154"/>
      <c r="AQ99" s="154"/>
      <c r="AR99" s="154"/>
      <c r="AS99" s="154"/>
      <c r="AT99" s="154"/>
      <c r="AU99" s="154"/>
      <c r="AV99" s="154"/>
      <c r="AW99" s="154"/>
      <c r="AX99" s="154"/>
      <c r="AY99" s="154"/>
    </row>
    <row r="100" spans="2:51">
      <c r="B100" s="154">
        <v>57</v>
      </c>
      <c r="C100" s="182"/>
      <c r="D100" s="182"/>
      <c r="E100" s="182"/>
      <c r="F100" s="154"/>
      <c r="G100" s="154"/>
      <c r="H100" s="154"/>
      <c r="I100" s="154"/>
      <c r="J100" s="154"/>
      <c r="K100" s="154"/>
      <c r="L100" s="154"/>
      <c r="M100" s="154"/>
      <c r="N100" s="154"/>
      <c r="O100" s="154"/>
      <c r="P100" s="154"/>
      <c r="Q100" s="154"/>
      <c r="R100" s="154"/>
      <c r="S100" s="154"/>
      <c r="T100" s="154"/>
      <c r="U100" s="154"/>
      <c r="V100" s="154"/>
      <c r="W100" s="154"/>
      <c r="X100" s="154"/>
      <c r="Y100" s="154"/>
      <c r="Z100" s="154"/>
      <c r="AA100" s="154"/>
      <c r="AB100" s="154"/>
      <c r="AC100" s="154"/>
      <c r="AD100" s="154"/>
      <c r="AE100" s="154"/>
      <c r="AF100" s="154"/>
      <c r="AG100" s="154"/>
      <c r="AH100" s="154"/>
      <c r="AI100" s="154"/>
      <c r="AJ100" s="154"/>
      <c r="AK100" s="154"/>
      <c r="AL100" s="154"/>
      <c r="AM100" s="154"/>
      <c r="AN100" s="154"/>
      <c r="AO100" s="154"/>
      <c r="AP100" s="154"/>
      <c r="AQ100" s="154"/>
      <c r="AR100" s="154"/>
      <c r="AS100" s="154"/>
      <c r="AT100" s="154"/>
      <c r="AU100" s="154"/>
      <c r="AV100" s="154"/>
      <c r="AW100" s="154"/>
      <c r="AX100" s="154"/>
      <c r="AY100" s="154"/>
    </row>
    <row r="101" spans="2:51">
      <c r="B101" s="154">
        <v>58</v>
      </c>
      <c r="C101" s="182"/>
      <c r="D101" s="182"/>
      <c r="E101" s="182"/>
      <c r="F101" s="154"/>
      <c r="G101" s="154"/>
      <c r="H101" s="154"/>
      <c r="I101" s="154"/>
      <c r="J101" s="154"/>
      <c r="K101" s="154"/>
      <c r="L101" s="154"/>
      <c r="M101" s="154"/>
      <c r="N101" s="154"/>
      <c r="O101" s="154"/>
      <c r="P101" s="154"/>
      <c r="Q101" s="154"/>
      <c r="R101" s="154"/>
      <c r="S101" s="154"/>
      <c r="T101" s="154"/>
      <c r="U101" s="154"/>
      <c r="V101" s="154"/>
      <c r="W101" s="154"/>
      <c r="X101" s="154"/>
      <c r="Y101" s="154"/>
      <c r="Z101" s="154"/>
      <c r="AA101" s="154"/>
      <c r="AB101" s="154"/>
      <c r="AC101" s="154"/>
      <c r="AD101" s="154"/>
      <c r="AE101" s="154"/>
      <c r="AF101" s="154"/>
      <c r="AG101" s="154"/>
      <c r="AH101" s="154"/>
      <c r="AI101" s="154"/>
      <c r="AJ101" s="154"/>
      <c r="AK101" s="154"/>
      <c r="AL101" s="154"/>
      <c r="AM101" s="154"/>
      <c r="AN101" s="154"/>
      <c r="AO101" s="154"/>
      <c r="AP101" s="154"/>
      <c r="AQ101" s="154"/>
      <c r="AR101" s="154"/>
      <c r="AS101" s="154"/>
      <c r="AT101" s="154"/>
      <c r="AU101" s="154"/>
      <c r="AV101" s="154"/>
      <c r="AW101" s="154"/>
      <c r="AX101" s="154"/>
      <c r="AY101" s="154"/>
    </row>
    <row r="102" spans="2:51">
      <c r="B102" s="154">
        <v>59</v>
      </c>
      <c r="C102" s="182"/>
      <c r="D102" s="182"/>
      <c r="E102" s="182"/>
      <c r="F102" s="154"/>
      <c r="G102" s="154"/>
      <c r="H102" s="154"/>
      <c r="I102" s="154"/>
      <c r="J102" s="154"/>
      <c r="K102" s="154"/>
      <c r="L102" s="154"/>
      <c r="M102" s="154"/>
      <c r="N102" s="154"/>
      <c r="O102" s="154"/>
      <c r="P102" s="154"/>
      <c r="Q102" s="154"/>
      <c r="R102" s="154"/>
      <c r="S102" s="154"/>
      <c r="T102" s="154"/>
      <c r="U102" s="154"/>
      <c r="V102" s="154"/>
      <c r="W102" s="154"/>
      <c r="X102" s="154"/>
      <c r="Y102" s="154"/>
      <c r="Z102" s="154"/>
      <c r="AA102" s="154"/>
      <c r="AB102" s="154"/>
      <c r="AC102" s="154"/>
      <c r="AD102" s="154"/>
      <c r="AE102" s="154"/>
      <c r="AF102" s="154"/>
      <c r="AG102" s="154"/>
      <c r="AH102" s="154"/>
      <c r="AI102" s="154"/>
      <c r="AJ102" s="154"/>
      <c r="AK102" s="154"/>
      <c r="AL102" s="154"/>
      <c r="AM102" s="154"/>
      <c r="AN102" s="154"/>
      <c r="AO102" s="154"/>
      <c r="AP102" s="154"/>
      <c r="AQ102" s="154"/>
      <c r="AR102" s="154"/>
      <c r="AS102" s="154"/>
      <c r="AT102" s="154"/>
      <c r="AU102" s="154"/>
      <c r="AV102" s="154"/>
      <c r="AW102" s="154"/>
      <c r="AX102" s="154"/>
      <c r="AY102" s="154"/>
    </row>
    <row r="103" spans="2:51">
      <c r="B103" s="154">
        <v>60</v>
      </c>
      <c r="C103" s="182"/>
      <c r="D103" s="182"/>
      <c r="E103" s="182"/>
      <c r="F103" s="154"/>
      <c r="G103" s="154"/>
      <c r="H103" s="154"/>
      <c r="I103" s="154"/>
      <c r="J103" s="154"/>
      <c r="K103" s="154"/>
      <c r="L103" s="154"/>
      <c r="M103" s="154"/>
      <c r="N103" s="154"/>
      <c r="O103" s="154"/>
      <c r="P103" s="154"/>
      <c r="Q103" s="154"/>
      <c r="R103" s="154"/>
      <c r="S103" s="154"/>
      <c r="T103" s="154"/>
      <c r="U103" s="154"/>
      <c r="V103" s="154"/>
      <c r="W103" s="154"/>
      <c r="X103" s="154"/>
      <c r="Y103" s="154"/>
      <c r="Z103" s="154"/>
      <c r="AA103" s="154"/>
      <c r="AB103" s="154"/>
      <c r="AC103" s="154"/>
      <c r="AD103" s="154"/>
      <c r="AE103" s="154"/>
      <c r="AF103" s="154"/>
      <c r="AG103" s="154"/>
      <c r="AH103" s="154"/>
      <c r="AI103" s="154"/>
      <c r="AJ103" s="154"/>
      <c r="AK103" s="154"/>
      <c r="AL103" s="154"/>
      <c r="AM103" s="154"/>
      <c r="AN103" s="154"/>
      <c r="AO103" s="154"/>
      <c r="AP103" s="154"/>
      <c r="AQ103" s="154"/>
      <c r="AR103" s="154"/>
      <c r="AS103" s="154"/>
      <c r="AT103" s="154"/>
      <c r="AU103" s="154"/>
      <c r="AV103" s="154"/>
      <c r="AW103" s="154"/>
      <c r="AX103" s="154"/>
      <c r="AY103" s="154"/>
    </row>
    <row r="104" spans="2:51">
      <c r="B104" s="154">
        <v>61</v>
      </c>
      <c r="C104" s="182"/>
      <c r="D104" s="182"/>
      <c r="E104" s="182"/>
      <c r="F104" s="154"/>
      <c r="G104" s="154"/>
      <c r="H104" s="154"/>
      <c r="I104" s="154"/>
      <c r="J104" s="154"/>
      <c r="K104" s="154"/>
      <c r="L104" s="154"/>
      <c r="M104" s="154"/>
      <c r="N104" s="154"/>
      <c r="O104" s="154"/>
      <c r="P104" s="154"/>
      <c r="Q104" s="154"/>
      <c r="R104" s="154"/>
      <c r="S104" s="154"/>
      <c r="T104" s="154"/>
      <c r="U104" s="154"/>
      <c r="V104" s="154"/>
      <c r="W104" s="154"/>
      <c r="X104" s="154"/>
      <c r="Y104" s="154"/>
      <c r="Z104" s="154"/>
      <c r="AA104" s="154"/>
      <c r="AB104" s="154"/>
      <c r="AC104" s="154"/>
      <c r="AD104" s="154"/>
      <c r="AE104" s="154"/>
      <c r="AF104" s="154"/>
      <c r="AG104" s="154"/>
      <c r="AH104" s="154"/>
      <c r="AI104" s="154"/>
      <c r="AJ104" s="154"/>
      <c r="AK104" s="154"/>
      <c r="AL104" s="154"/>
      <c r="AM104" s="154"/>
      <c r="AN104" s="154"/>
      <c r="AO104" s="154"/>
      <c r="AP104" s="154"/>
      <c r="AQ104" s="154"/>
      <c r="AR104" s="154"/>
      <c r="AS104" s="154"/>
      <c r="AT104" s="154"/>
      <c r="AU104" s="154"/>
      <c r="AV104" s="154"/>
      <c r="AW104" s="154"/>
      <c r="AX104" s="154"/>
      <c r="AY104" s="154"/>
    </row>
    <row r="105" spans="2:51">
      <c r="B105" s="154">
        <v>62</v>
      </c>
      <c r="C105" s="182"/>
      <c r="D105" s="182"/>
      <c r="E105" s="182"/>
      <c r="F105" s="154"/>
      <c r="G105" s="154"/>
      <c r="H105" s="154"/>
      <c r="I105" s="154"/>
      <c r="J105" s="154"/>
      <c r="K105" s="154"/>
      <c r="L105" s="154"/>
      <c r="M105" s="154"/>
      <c r="N105" s="154"/>
      <c r="O105" s="154"/>
      <c r="P105" s="154"/>
      <c r="Q105" s="154"/>
      <c r="R105" s="154"/>
      <c r="S105" s="154"/>
      <c r="T105" s="154"/>
      <c r="U105" s="154"/>
      <c r="V105" s="154"/>
      <c r="W105" s="154"/>
      <c r="X105" s="154"/>
      <c r="Y105" s="154"/>
      <c r="Z105" s="154"/>
      <c r="AA105" s="154"/>
      <c r="AB105" s="154"/>
      <c r="AC105" s="154"/>
      <c r="AD105" s="154"/>
      <c r="AE105" s="154"/>
      <c r="AF105" s="154"/>
      <c r="AG105" s="154"/>
      <c r="AH105" s="154"/>
      <c r="AI105" s="154"/>
      <c r="AJ105" s="154"/>
      <c r="AK105" s="154"/>
      <c r="AL105" s="154"/>
      <c r="AM105" s="154"/>
      <c r="AN105" s="154"/>
      <c r="AO105" s="154"/>
      <c r="AP105" s="154"/>
      <c r="AQ105" s="154"/>
      <c r="AR105" s="154"/>
      <c r="AS105" s="154"/>
      <c r="AT105" s="154"/>
      <c r="AU105" s="154"/>
      <c r="AV105" s="154"/>
      <c r="AW105" s="154"/>
      <c r="AX105" s="154"/>
      <c r="AY105" s="154"/>
    </row>
    <row r="106" spans="2:51">
      <c r="B106" s="154">
        <v>63</v>
      </c>
      <c r="C106" s="182"/>
      <c r="D106" s="182"/>
      <c r="E106" s="182"/>
      <c r="F106" s="154"/>
      <c r="G106" s="154"/>
      <c r="H106" s="154"/>
      <c r="I106" s="154"/>
      <c r="J106" s="154"/>
      <c r="K106" s="154"/>
      <c r="L106" s="154"/>
      <c r="M106" s="154"/>
      <c r="N106" s="154"/>
      <c r="O106" s="154"/>
      <c r="P106" s="154"/>
      <c r="Q106" s="154"/>
      <c r="R106" s="154"/>
      <c r="S106" s="154"/>
      <c r="T106" s="154"/>
      <c r="U106" s="154"/>
      <c r="V106" s="154"/>
      <c r="W106" s="154"/>
      <c r="X106" s="154"/>
      <c r="Y106" s="154"/>
      <c r="Z106" s="154"/>
      <c r="AA106" s="154"/>
      <c r="AB106" s="154"/>
      <c r="AC106" s="154"/>
      <c r="AD106" s="154"/>
      <c r="AE106" s="154"/>
      <c r="AF106" s="154"/>
      <c r="AG106" s="154"/>
      <c r="AH106" s="154"/>
      <c r="AI106" s="154"/>
      <c r="AJ106" s="154"/>
      <c r="AK106" s="154"/>
      <c r="AL106" s="154"/>
      <c r="AM106" s="154"/>
      <c r="AN106" s="154"/>
      <c r="AO106" s="154"/>
      <c r="AP106" s="154"/>
      <c r="AQ106" s="154"/>
      <c r="AR106" s="154"/>
      <c r="AS106" s="154"/>
      <c r="AT106" s="154"/>
      <c r="AU106" s="154"/>
      <c r="AV106" s="154"/>
      <c r="AW106" s="154"/>
      <c r="AX106" s="154"/>
      <c r="AY106" s="154"/>
    </row>
    <row r="107" spans="2:51">
      <c r="B107" s="154">
        <v>64</v>
      </c>
      <c r="C107" s="182"/>
      <c r="D107" s="182"/>
      <c r="E107" s="182"/>
      <c r="F107" s="154"/>
      <c r="G107" s="154"/>
      <c r="H107" s="154"/>
      <c r="I107" s="154"/>
      <c r="J107" s="154"/>
      <c r="K107" s="154"/>
      <c r="L107" s="154"/>
      <c r="M107" s="154"/>
      <c r="N107" s="154"/>
      <c r="O107" s="154"/>
      <c r="P107" s="154"/>
      <c r="Q107" s="154"/>
      <c r="R107" s="154"/>
      <c r="S107" s="154"/>
      <c r="T107" s="154"/>
      <c r="U107" s="154"/>
      <c r="V107" s="154"/>
      <c r="W107" s="154"/>
      <c r="X107" s="154"/>
      <c r="Y107" s="154"/>
      <c r="Z107" s="154"/>
      <c r="AA107" s="154"/>
      <c r="AB107" s="154"/>
      <c r="AC107" s="154"/>
      <c r="AD107" s="154"/>
      <c r="AE107" s="154"/>
      <c r="AF107" s="154"/>
      <c r="AG107" s="154"/>
      <c r="AH107" s="154"/>
      <c r="AI107" s="154"/>
      <c r="AJ107" s="154"/>
      <c r="AK107" s="154"/>
      <c r="AL107" s="154"/>
      <c r="AM107" s="154"/>
      <c r="AN107" s="154"/>
      <c r="AO107" s="154"/>
      <c r="AP107" s="154"/>
      <c r="AQ107" s="154"/>
      <c r="AR107" s="154"/>
      <c r="AS107" s="154"/>
      <c r="AT107" s="154"/>
      <c r="AU107" s="154"/>
      <c r="AV107" s="154"/>
      <c r="AW107" s="154"/>
      <c r="AX107" s="154"/>
      <c r="AY107" s="154"/>
    </row>
  </sheetData>
  <phoneticPr fontId="3"/>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AI47"/>
  <sheetViews>
    <sheetView zoomScale="85" zoomScaleNormal="85" workbookViewId="0">
      <selection activeCell="V9" sqref="V9"/>
    </sheetView>
  </sheetViews>
  <sheetFormatPr baseColWidth="10" defaultColWidth="8.7109375" defaultRowHeight="20"/>
  <sheetData>
    <row r="2" spans="2:21">
      <c r="N2" s="3" t="s">
        <v>955</v>
      </c>
      <c r="O2" s="3"/>
      <c r="P2" s="3"/>
      <c r="Q2" s="3"/>
      <c r="R2" s="3"/>
      <c r="S2" s="3"/>
      <c r="T2" s="3" t="s">
        <v>1256</v>
      </c>
      <c r="U2" s="3"/>
    </row>
    <row r="3" spans="2:21">
      <c r="N3" s="1"/>
      <c r="O3" s="10" t="s">
        <v>901</v>
      </c>
      <c r="P3" s="10" t="s">
        <v>681</v>
      </c>
      <c r="Q3" s="10" t="s">
        <v>706</v>
      </c>
      <c r="R3" s="10" t="s">
        <v>962</v>
      </c>
    </row>
    <row r="4" spans="2:21">
      <c r="B4" t="s">
        <v>960</v>
      </c>
      <c r="N4" s="1"/>
      <c r="O4" s="1" t="s">
        <v>953</v>
      </c>
      <c r="P4" s="1" t="s">
        <v>951</v>
      </c>
      <c r="Q4" s="64" t="s">
        <v>723</v>
      </c>
      <c r="R4" s="64" t="s">
        <v>952</v>
      </c>
    </row>
    <row r="5" spans="2:21">
      <c r="B5" s="35"/>
      <c r="C5" s="35"/>
      <c r="D5" s="35"/>
      <c r="E5" s="35"/>
      <c r="N5" s="1"/>
      <c r="O5" s="1" t="s">
        <v>724</v>
      </c>
      <c r="P5" s="1" t="s">
        <v>724</v>
      </c>
      <c r="Q5" s="64" t="s">
        <v>723</v>
      </c>
      <c r="R5" s="64" t="s">
        <v>723</v>
      </c>
    </row>
    <row r="6" spans="2:21">
      <c r="B6" s="35" t="s">
        <v>958</v>
      </c>
      <c r="C6" s="35"/>
      <c r="D6" s="35"/>
      <c r="E6" s="35"/>
      <c r="N6" s="10" t="s">
        <v>954</v>
      </c>
      <c r="O6" s="22">
        <v>0</v>
      </c>
      <c r="P6" s="22">
        <v>0.95</v>
      </c>
      <c r="Q6" s="22" t="s">
        <v>693</v>
      </c>
      <c r="R6" s="22">
        <v>0.71499999999999997</v>
      </c>
    </row>
    <row r="7" spans="2:21">
      <c r="B7" s="35" t="s">
        <v>959</v>
      </c>
      <c r="C7" s="35"/>
      <c r="D7" s="35"/>
      <c r="E7" s="35"/>
      <c r="N7" s="10" t="s">
        <v>697</v>
      </c>
      <c r="O7" s="22">
        <v>0.85</v>
      </c>
      <c r="P7" s="22">
        <v>0.7</v>
      </c>
      <c r="Q7" s="22" t="s">
        <v>693</v>
      </c>
      <c r="R7" s="22">
        <v>0.65</v>
      </c>
    </row>
    <row r="8" spans="2:21">
      <c r="B8" s="35" t="s">
        <v>961</v>
      </c>
      <c r="C8" s="35"/>
      <c r="D8" s="35"/>
      <c r="E8" s="35"/>
    </row>
    <row r="10" spans="2:21">
      <c r="B10" t="s">
        <v>684</v>
      </c>
    </row>
    <row r="11" spans="2:21">
      <c r="B11" s="35"/>
      <c r="C11" s="35"/>
      <c r="D11" s="35"/>
      <c r="E11" s="35"/>
      <c r="N11" s="3" t="s">
        <v>956</v>
      </c>
      <c r="O11" s="3"/>
      <c r="P11" s="3"/>
      <c r="Q11" s="3"/>
      <c r="R11" s="3"/>
    </row>
    <row r="12" spans="2:21">
      <c r="B12" s="35"/>
      <c r="C12" s="35"/>
      <c r="D12" s="35"/>
      <c r="E12" s="35"/>
      <c r="N12" s="1"/>
      <c r="O12" s="10" t="s">
        <v>901</v>
      </c>
      <c r="P12" s="10" t="s">
        <v>950</v>
      </c>
      <c r="Q12" s="10" t="s">
        <v>706</v>
      </c>
      <c r="R12" s="10" t="s">
        <v>962</v>
      </c>
    </row>
    <row r="13" spans="2:21">
      <c r="B13" s="35"/>
      <c r="C13" s="35"/>
      <c r="D13" s="35"/>
      <c r="E13" s="35"/>
      <c r="N13" s="1"/>
      <c r="O13" s="1" t="s">
        <v>953</v>
      </c>
      <c r="P13" s="1" t="s">
        <v>951</v>
      </c>
      <c r="Q13" s="64" t="s">
        <v>723</v>
      </c>
      <c r="R13" s="64" t="s">
        <v>952</v>
      </c>
    </row>
    <row r="14" spans="2:21">
      <c r="B14" s="35"/>
      <c r="C14" s="35"/>
      <c r="D14" s="35"/>
      <c r="E14" s="35"/>
      <c r="N14" s="1"/>
      <c r="O14" s="1" t="s">
        <v>724</v>
      </c>
      <c r="P14" s="1" t="s">
        <v>724</v>
      </c>
      <c r="Q14" s="64" t="s">
        <v>723</v>
      </c>
      <c r="R14" s="64" t="s">
        <v>723</v>
      </c>
    </row>
    <row r="15" spans="2:21">
      <c r="B15" s="35"/>
      <c r="C15" s="35"/>
      <c r="D15" s="35"/>
      <c r="E15" s="35"/>
      <c r="N15" s="10" t="s">
        <v>954</v>
      </c>
      <c r="O15" s="22">
        <v>0</v>
      </c>
      <c r="P15" s="22">
        <v>0.95</v>
      </c>
      <c r="Q15" s="1">
        <v>1</v>
      </c>
      <c r="R15" s="22">
        <v>0.71499999999999997</v>
      </c>
    </row>
    <row r="16" spans="2:21">
      <c r="B16" s="35"/>
      <c r="C16" s="35"/>
      <c r="D16" s="35"/>
      <c r="E16" s="35"/>
      <c r="N16" s="10" t="s">
        <v>957</v>
      </c>
      <c r="O16" s="22">
        <v>0</v>
      </c>
      <c r="P16" s="22">
        <v>0.95</v>
      </c>
      <c r="Q16" s="1">
        <v>1</v>
      </c>
      <c r="R16" s="22">
        <v>0.71499999999999997</v>
      </c>
    </row>
    <row r="17" spans="2:32">
      <c r="B17" s="35"/>
      <c r="C17" s="35"/>
      <c r="D17" s="35"/>
      <c r="E17" s="35"/>
      <c r="N17" s="10" t="s">
        <v>697</v>
      </c>
      <c r="O17" s="22">
        <v>0.85</v>
      </c>
      <c r="P17" s="22">
        <v>0.7</v>
      </c>
      <c r="Q17" s="1">
        <v>1</v>
      </c>
      <c r="R17" s="22">
        <v>0.65</v>
      </c>
    </row>
    <row r="18" spans="2:32">
      <c r="B18" s="35"/>
      <c r="C18" s="35"/>
      <c r="D18" s="35"/>
      <c r="E18" s="35"/>
    </row>
    <row r="19" spans="2:32">
      <c r="B19" s="35"/>
      <c r="C19" s="35"/>
      <c r="D19" s="35"/>
      <c r="E19" s="35"/>
    </row>
    <row r="20" spans="2:32">
      <c r="B20" s="35"/>
      <c r="C20" s="35"/>
      <c r="D20" s="35"/>
      <c r="E20" s="35"/>
    </row>
    <row r="21" spans="2:32">
      <c r="B21" s="35"/>
      <c r="C21" s="35"/>
      <c r="D21" s="35"/>
      <c r="E21" s="35"/>
    </row>
    <row r="22" spans="2:32">
      <c r="B22" s="35"/>
      <c r="C22" s="35"/>
      <c r="D22" s="35"/>
      <c r="E22" s="35"/>
      <c r="G22" t="s">
        <v>963</v>
      </c>
      <c r="X22" t="s">
        <v>922</v>
      </c>
      <c r="AB22" s="3" t="s">
        <v>840</v>
      </c>
      <c r="AC22" s="3"/>
      <c r="AE22" s="3"/>
      <c r="AF22" s="3"/>
    </row>
    <row r="23" spans="2:32">
      <c r="B23" s="35"/>
      <c r="C23" s="35"/>
      <c r="D23" s="35"/>
      <c r="E23" s="35"/>
      <c r="G23" s="10" t="s">
        <v>901</v>
      </c>
      <c r="H23" s="10" t="s">
        <v>923</v>
      </c>
      <c r="I23" s="10" t="s">
        <v>644</v>
      </c>
      <c r="J23" s="10" t="s">
        <v>403</v>
      </c>
      <c r="K23" s="10" t="s">
        <v>645</v>
      </c>
      <c r="L23" s="10" t="s">
        <v>810</v>
      </c>
      <c r="M23" s="10" t="s">
        <v>811</v>
      </c>
      <c r="N23" s="10" t="s">
        <v>812</v>
      </c>
      <c r="O23" s="10" t="s">
        <v>813</v>
      </c>
      <c r="P23" s="10" t="s">
        <v>815</v>
      </c>
      <c r="Q23" s="10" t="s">
        <v>636</v>
      </c>
      <c r="R23" s="10" t="s">
        <v>816</v>
      </c>
      <c r="S23" s="10"/>
      <c r="T23" s="10" t="s">
        <v>817</v>
      </c>
      <c r="U23" s="10" t="s">
        <v>774</v>
      </c>
      <c r="V23" s="10" t="s">
        <v>818</v>
      </c>
      <c r="W23" s="10" t="s">
        <v>819</v>
      </c>
      <c r="X23" s="10" t="s">
        <v>820</v>
      </c>
      <c r="Y23" s="10" t="s">
        <v>821</v>
      </c>
      <c r="Z23" s="10" t="s">
        <v>822</v>
      </c>
      <c r="AA23" s="10" t="s">
        <v>823</v>
      </c>
      <c r="AB23" s="112" t="s">
        <v>841</v>
      </c>
      <c r="AC23" s="112" t="s">
        <v>842</v>
      </c>
      <c r="AD23" s="112" t="s">
        <v>843</v>
      </c>
      <c r="AE23" s="112" t="s">
        <v>844</v>
      </c>
      <c r="AF23" s="112" t="s">
        <v>845</v>
      </c>
    </row>
    <row r="24" spans="2:32">
      <c r="B24" s="35"/>
      <c r="C24" s="35"/>
      <c r="D24" s="35"/>
      <c r="E24" s="35"/>
      <c r="G24" s="1" t="s">
        <v>953</v>
      </c>
      <c r="H24" s="1" t="s">
        <v>45</v>
      </c>
      <c r="I24" s="1" t="s">
        <v>637</v>
      </c>
      <c r="J24" s="1" t="s">
        <v>46</v>
      </c>
      <c r="K24" s="1" t="s">
        <v>46</v>
      </c>
      <c r="L24" s="1" t="s">
        <v>46</v>
      </c>
      <c r="M24" s="1" t="s">
        <v>46</v>
      </c>
      <c r="N24" s="1" t="s">
        <v>46</v>
      </c>
      <c r="O24" s="1" t="s">
        <v>46</v>
      </c>
      <c r="P24" s="1" t="s">
        <v>46</v>
      </c>
      <c r="Q24" s="1" t="s">
        <v>642</v>
      </c>
      <c r="R24" s="1" t="s">
        <v>824</v>
      </c>
      <c r="S24" s="1" t="s">
        <v>825</v>
      </c>
      <c r="T24" s="1" t="s">
        <v>826</v>
      </c>
      <c r="U24" s="1" t="s">
        <v>827</v>
      </c>
      <c r="V24" s="1" t="s">
        <v>828</v>
      </c>
      <c r="W24" s="1" t="s">
        <v>829</v>
      </c>
      <c r="X24" s="1" t="s">
        <v>830</v>
      </c>
      <c r="Y24" s="1" t="s">
        <v>831</v>
      </c>
      <c r="Z24" s="1" t="s">
        <v>832</v>
      </c>
      <c r="AA24" s="1" t="s">
        <v>833</v>
      </c>
      <c r="AB24" s="1" t="s">
        <v>846</v>
      </c>
      <c r="AC24" s="1" t="s">
        <v>847</v>
      </c>
      <c r="AD24" s="1" t="s">
        <v>848</v>
      </c>
      <c r="AE24" s="1" t="s">
        <v>849</v>
      </c>
      <c r="AF24" s="1" t="s">
        <v>850</v>
      </c>
    </row>
    <row r="25" spans="2:32" ht="21" thickBot="1">
      <c r="B25" s="35"/>
      <c r="C25" s="35"/>
      <c r="D25" s="35"/>
      <c r="E25" s="35"/>
      <c r="G25" s="20" t="s">
        <v>5</v>
      </c>
      <c r="H25" s="20" t="s">
        <v>45</v>
      </c>
      <c r="I25" s="20" t="s">
        <v>650</v>
      </c>
      <c r="J25" s="20" t="s">
        <v>650</v>
      </c>
      <c r="K25" s="20" t="s">
        <v>666</v>
      </c>
      <c r="L25" s="20" t="s">
        <v>667</v>
      </c>
      <c r="M25" s="20" t="s">
        <v>667</v>
      </c>
      <c r="N25" s="20" t="s">
        <v>667</v>
      </c>
      <c r="O25" s="20" t="s">
        <v>667</v>
      </c>
      <c r="P25" s="20" t="s">
        <v>45</v>
      </c>
      <c r="Q25" s="20" t="s">
        <v>651</v>
      </c>
      <c r="R25" s="20" t="s">
        <v>834</v>
      </c>
      <c r="S25" s="20" t="s">
        <v>834</v>
      </c>
      <c r="T25" s="20" t="s">
        <v>834</v>
      </c>
      <c r="U25" s="20" t="s">
        <v>835</v>
      </c>
      <c r="V25" s="20" t="s">
        <v>836</v>
      </c>
      <c r="W25" s="20" t="s">
        <v>837</v>
      </c>
      <c r="X25" s="20" t="s">
        <v>838</v>
      </c>
      <c r="Y25" s="20" t="s">
        <v>838</v>
      </c>
      <c r="Z25" s="20" t="s">
        <v>839</v>
      </c>
      <c r="AA25" s="20" t="s">
        <v>839</v>
      </c>
      <c r="AB25" s="20" t="s">
        <v>851</v>
      </c>
      <c r="AC25" s="20" t="s">
        <v>852</v>
      </c>
      <c r="AD25" s="20" t="s">
        <v>853</v>
      </c>
      <c r="AE25" s="20" t="s">
        <v>851</v>
      </c>
      <c r="AF25" s="20" t="s">
        <v>723</v>
      </c>
    </row>
    <row r="26" spans="2:32" ht="21" thickTop="1">
      <c r="B26" s="35"/>
      <c r="C26" s="35"/>
      <c r="D26" s="35"/>
      <c r="E26" s="35"/>
      <c r="G26" s="4">
        <v>0</v>
      </c>
      <c r="H26" s="135" t="s">
        <v>530</v>
      </c>
      <c r="I26" s="113">
        <v>15</v>
      </c>
      <c r="J26" s="113">
        <v>15</v>
      </c>
      <c r="K26" s="113">
        <v>0</v>
      </c>
      <c r="L26" s="135">
        <v>0</v>
      </c>
      <c r="M26" s="135">
        <v>0</v>
      </c>
      <c r="N26" s="113">
        <v>0</v>
      </c>
      <c r="O26" s="113">
        <v>0</v>
      </c>
      <c r="P26" s="113">
        <v>0</v>
      </c>
      <c r="Q26" s="2">
        <v>0</v>
      </c>
      <c r="R26" s="1">
        <v>128.55212654337893</v>
      </c>
      <c r="S26" s="1">
        <v>16.303408580287435</v>
      </c>
      <c r="T26" s="29">
        <v>-1041.8410000000001</v>
      </c>
      <c r="U26" s="29">
        <v>-1041.8410000000001</v>
      </c>
      <c r="V26" s="29">
        <v>-1041.8410000000001</v>
      </c>
      <c r="W26" s="29">
        <v>-1041.8410000000001</v>
      </c>
      <c r="X26" s="29">
        <v>-1041.8410000000001</v>
      </c>
      <c r="Y26" s="29">
        <v>-1041.8410000000001</v>
      </c>
      <c r="Z26" s="29">
        <v>-1041.8410000000001</v>
      </c>
      <c r="AA26" s="29">
        <v>-1041.8410000000001</v>
      </c>
      <c r="AB26" s="29">
        <v>-1041.8410000000001</v>
      </c>
      <c r="AC26" s="29">
        <v>-1041.8410000000001</v>
      </c>
      <c r="AD26" s="29">
        <v>-1041.8410000000001</v>
      </c>
      <c r="AE26" s="29">
        <v>-1041.8410000000001</v>
      </c>
      <c r="AF26" s="29">
        <v>-1041.8410000000001</v>
      </c>
    </row>
    <row r="27" spans="2:32">
      <c r="B27" s="35"/>
      <c r="C27" s="35"/>
      <c r="D27" s="35"/>
      <c r="E27" s="35"/>
      <c r="G27" s="22">
        <v>3.5</v>
      </c>
      <c r="H27" s="28"/>
      <c r="I27" s="29"/>
      <c r="J27" s="29"/>
      <c r="K27" s="29"/>
      <c r="L27" s="28"/>
      <c r="M27" s="28"/>
      <c r="N27" s="29"/>
      <c r="O27" s="29"/>
      <c r="P27" s="29"/>
      <c r="Q27" s="1"/>
      <c r="R27" s="1"/>
      <c r="S27" s="1"/>
      <c r="T27" s="29"/>
      <c r="U27" s="29"/>
      <c r="V27" s="29"/>
      <c r="W27" s="29"/>
      <c r="X27" s="29"/>
      <c r="Y27" s="29"/>
      <c r="Z27" s="29"/>
      <c r="AA27" s="29"/>
      <c r="AB27" s="29"/>
      <c r="AC27" s="29"/>
      <c r="AD27" s="29"/>
      <c r="AE27" s="29"/>
      <c r="AF27" s="29"/>
    </row>
    <row r="28" spans="2:32">
      <c r="B28" s="35"/>
      <c r="C28" s="35"/>
      <c r="D28" s="35"/>
      <c r="E28" s="35"/>
    </row>
    <row r="29" spans="2:32">
      <c r="B29" s="35"/>
      <c r="C29" s="35"/>
      <c r="D29" s="35"/>
      <c r="E29" s="35"/>
      <c r="G29" s="35" t="s">
        <v>924</v>
      </c>
      <c r="H29" s="134">
        <v>500</v>
      </c>
      <c r="I29" s="35" t="s">
        <v>837</v>
      </c>
      <c r="K29" s="35" t="s">
        <v>936</v>
      </c>
      <c r="L29" s="35" t="e">
        <f>(#REF!-H28)*(H29-1)+#REF!</f>
        <v>#REF!</v>
      </c>
      <c r="M29" s="35" t="s">
        <v>837</v>
      </c>
    </row>
    <row r="30" spans="2:32">
      <c r="B30" s="35"/>
      <c r="C30" s="35"/>
      <c r="D30" s="35"/>
      <c r="E30" s="35"/>
      <c r="G30" s="35" t="s">
        <v>925</v>
      </c>
      <c r="H30" s="134">
        <v>40</v>
      </c>
      <c r="I30" s="35" t="s">
        <v>837</v>
      </c>
      <c r="K30" s="35" t="s">
        <v>938</v>
      </c>
      <c r="L30" s="35" t="e">
        <f>L29-H30*2</f>
        <v>#REF!</v>
      </c>
      <c r="M30" s="35" t="s">
        <v>837</v>
      </c>
      <c r="O30" s="1" t="s">
        <v>943</v>
      </c>
      <c r="P30" s="22">
        <v>10</v>
      </c>
      <c r="Q30" s="1" t="s">
        <v>837</v>
      </c>
      <c r="V30" t="s">
        <v>934</v>
      </c>
      <c r="W30" t="s">
        <v>935</v>
      </c>
    </row>
    <row r="31" spans="2:32">
      <c r="B31" s="35"/>
      <c r="C31" s="35"/>
      <c r="D31" s="35"/>
      <c r="E31" s="35"/>
      <c r="G31" s="35" t="s">
        <v>926</v>
      </c>
      <c r="H31" s="134">
        <v>9</v>
      </c>
      <c r="I31" s="35" t="s">
        <v>927</v>
      </c>
      <c r="K31" s="35" t="s">
        <v>940</v>
      </c>
      <c r="L31" s="35" t="e">
        <f>(L30-#REF!)/2</f>
        <v>#REF!</v>
      </c>
      <c r="M31" s="35" t="s">
        <v>837</v>
      </c>
      <c r="O31" s="1" t="s">
        <v>944</v>
      </c>
      <c r="P31" s="22">
        <v>10</v>
      </c>
      <c r="Q31" s="1" t="s">
        <v>837</v>
      </c>
      <c r="T31" t="s">
        <v>937</v>
      </c>
      <c r="U31" s="35" t="s">
        <v>930</v>
      </c>
      <c r="V31" s="142" t="e">
        <f>#REF!</f>
        <v>#REF!</v>
      </c>
      <c r="W31" s="142" t="e">
        <f>V31+P29*(#REF!+#REF!)*2</f>
        <v>#REF!</v>
      </c>
    </row>
    <row r="32" spans="2:32">
      <c r="B32" s="35"/>
      <c r="C32" s="35"/>
      <c r="D32" s="35"/>
      <c r="E32" s="35"/>
      <c r="G32" s="35" t="s">
        <v>928</v>
      </c>
      <c r="H32" s="134">
        <v>50</v>
      </c>
      <c r="I32" s="35" t="s">
        <v>837</v>
      </c>
      <c r="K32" s="35" t="s">
        <v>946</v>
      </c>
      <c r="L32" s="35"/>
      <c r="M32" s="35" t="s">
        <v>36</v>
      </c>
      <c r="O32" s="1" t="s">
        <v>945</v>
      </c>
      <c r="P32" s="28">
        <v>1000</v>
      </c>
      <c r="Q32" s="1" t="s">
        <v>837</v>
      </c>
      <c r="U32" s="35" t="s">
        <v>939</v>
      </c>
      <c r="V32" s="142" t="e">
        <f>#REF!*#REF!</f>
        <v>#REF!</v>
      </c>
      <c r="W32" s="142" t="e">
        <f>V32+P29*#REF!*2</f>
        <v>#REF!</v>
      </c>
    </row>
    <row r="33" spans="2:35">
      <c r="B33" s="35"/>
      <c r="C33" s="35"/>
      <c r="D33" s="35"/>
      <c r="E33" s="35"/>
      <c r="U33" s="35" t="s">
        <v>941</v>
      </c>
      <c r="V33" s="142">
        <f>L28</f>
        <v>0</v>
      </c>
      <c r="W33" s="142" t="e">
        <f>V33+P29*(#REF!+#REF!)*2</f>
        <v>#REF!</v>
      </c>
    </row>
    <row r="34" spans="2:35">
      <c r="B34" s="35"/>
      <c r="C34" s="35"/>
      <c r="D34" s="35"/>
      <c r="E34" s="35"/>
      <c r="U34" s="35" t="s">
        <v>933</v>
      </c>
      <c r="V34" s="142" t="e">
        <f>L28*#REF!</f>
        <v>#REF!</v>
      </c>
      <c r="W34" s="142" t="e">
        <f>V34+P29*#REF!*2</f>
        <v>#REF!</v>
      </c>
    </row>
    <row r="35" spans="2:35">
      <c r="B35" s="35"/>
      <c r="C35" s="35"/>
      <c r="D35" s="35"/>
      <c r="E35" s="35"/>
      <c r="G35" s="38" t="s">
        <v>929</v>
      </c>
      <c r="H35" s="38">
        <v>1</v>
      </c>
      <c r="I35" s="38">
        <v>2</v>
      </c>
      <c r="J35" s="38">
        <v>3</v>
      </c>
      <c r="K35" s="38">
        <v>4</v>
      </c>
      <c r="L35" s="38">
        <v>5</v>
      </c>
      <c r="M35" s="38">
        <v>6</v>
      </c>
      <c r="N35" s="38">
        <v>7</v>
      </c>
      <c r="O35" s="38">
        <v>8</v>
      </c>
      <c r="P35" s="38">
        <v>9</v>
      </c>
      <c r="Q35" s="38"/>
      <c r="R35" s="38"/>
      <c r="T35" t="s">
        <v>942</v>
      </c>
      <c r="U35" s="35" t="s">
        <v>930</v>
      </c>
      <c r="V35" s="142" t="e">
        <f>H36-#REF!*H30</f>
        <v>#REF!</v>
      </c>
      <c r="W35" s="142" t="e">
        <f>V35+P29*(#REF!+#REF!)*2</f>
        <v>#REF!</v>
      </c>
    </row>
    <row r="36" spans="2:35">
      <c r="G36" s="38" t="s">
        <v>930</v>
      </c>
      <c r="H36" s="141" t="e">
        <f>#REF!+#REF!*(#REF!-$C$4)/2</f>
        <v>#REF!</v>
      </c>
      <c r="I36" s="141" t="e">
        <f>H38+#REF!*$C$6</f>
        <v>#REF!</v>
      </c>
      <c r="J36" s="141" t="e">
        <f>I38+#REF!*$C$6</f>
        <v>#REF!</v>
      </c>
      <c r="K36" s="141" t="e">
        <f>J38+#REF!*$C$6</f>
        <v>#REF!</v>
      </c>
      <c r="L36" s="141" t="e">
        <f>K38+#REF!*$C$6</f>
        <v>#REF!</v>
      </c>
      <c r="M36" s="141" t="e">
        <f>L38+#REF!*$C$6</f>
        <v>#REF!</v>
      </c>
      <c r="N36" s="141" t="e">
        <f>M38+#REF!*$C$6</f>
        <v>#REF!</v>
      </c>
      <c r="O36" s="141" t="e">
        <f>N38+#REF!*$C$6</f>
        <v>#REF!</v>
      </c>
      <c r="P36" s="141" t="e">
        <f>O38+#REF!*$C$6</f>
        <v>#REF!</v>
      </c>
      <c r="Q36" s="141"/>
      <c r="R36" s="141"/>
      <c r="U36" s="35" t="s">
        <v>939</v>
      </c>
      <c r="V36" s="142" t="e">
        <f>V35*#REF!</f>
        <v>#REF!</v>
      </c>
      <c r="W36" s="142" t="e">
        <f>V36+P29*#REF!*2</f>
        <v>#REF!</v>
      </c>
    </row>
    <row r="37" spans="2:35">
      <c r="G37" s="38" t="s">
        <v>931</v>
      </c>
      <c r="H37" s="141" t="e">
        <f>H36*#REF!</f>
        <v>#REF!</v>
      </c>
      <c r="I37" s="141" t="e">
        <f>I36*#REF!</f>
        <v>#REF!</v>
      </c>
      <c r="J37" s="141" t="e">
        <f>J36*#REF!</f>
        <v>#REF!</v>
      </c>
      <c r="K37" s="141" t="e">
        <f>K36*#REF!</f>
        <v>#REF!</v>
      </c>
      <c r="L37" s="141" t="e">
        <f>L36*#REF!</f>
        <v>#REF!</v>
      </c>
      <c r="M37" s="141" t="e">
        <f>M36*#REF!</f>
        <v>#REF!</v>
      </c>
      <c r="N37" s="141" t="e">
        <f>N36*#REF!</f>
        <v>#REF!</v>
      </c>
      <c r="O37" s="141" t="e">
        <f>O36*#REF!</f>
        <v>#REF!</v>
      </c>
      <c r="P37" s="141" t="e">
        <f>P36*#REF!</f>
        <v>#REF!</v>
      </c>
      <c r="Q37" s="141"/>
      <c r="R37" s="141"/>
      <c r="U37" s="35" t="s">
        <v>941</v>
      </c>
      <c r="V37" s="142" t="e">
        <f>O38+H30*#REF!</f>
        <v>#REF!</v>
      </c>
      <c r="W37" s="142" t="e">
        <f>V37+P29*(#REF!+#REF!)*2</f>
        <v>#REF!</v>
      </c>
    </row>
    <row r="38" spans="2:35">
      <c r="G38" s="38" t="s">
        <v>932</v>
      </c>
      <c r="H38" s="141" t="e">
        <f>H36-#REF!*$C$5</f>
        <v>#REF!</v>
      </c>
      <c r="I38" s="141" t="e">
        <f>I36-#REF!*$C$5</f>
        <v>#REF!</v>
      </c>
      <c r="J38" s="141" t="e">
        <f>J36-#REF!*$C$5</f>
        <v>#REF!</v>
      </c>
      <c r="K38" s="141" t="e">
        <f>K36-#REF!*$C$5</f>
        <v>#REF!</v>
      </c>
      <c r="L38" s="141" t="e">
        <f>L36-#REF!*$C$5</f>
        <v>#REF!</v>
      </c>
      <c r="M38" s="141" t="e">
        <f>M36-#REF!*$C$5</f>
        <v>#REF!</v>
      </c>
      <c r="N38" s="141" t="e">
        <f>N36-#REF!*$C$5</f>
        <v>#REF!</v>
      </c>
      <c r="O38" s="141" t="e">
        <f>O36-#REF!*$C$5</f>
        <v>#REF!</v>
      </c>
      <c r="P38" s="141" t="e">
        <f>P36-#REF!*$C$5</f>
        <v>#REF!</v>
      </c>
      <c r="Q38" s="141"/>
      <c r="R38" s="141"/>
      <c r="U38" s="35" t="s">
        <v>933</v>
      </c>
      <c r="V38" s="142" t="e">
        <f>V37*#REF!</f>
        <v>#REF!</v>
      </c>
      <c r="W38" s="142" t="e">
        <f>V38+P29*#REF!*2</f>
        <v>#REF!</v>
      </c>
    </row>
    <row r="39" spans="2:35">
      <c r="G39" s="38" t="s">
        <v>933</v>
      </c>
      <c r="H39" s="141" t="e">
        <f>H38*#REF!</f>
        <v>#REF!</v>
      </c>
      <c r="I39" s="141" t="e">
        <f>I38*#REF!</f>
        <v>#REF!</v>
      </c>
      <c r="J39" s="141" t="e">
        <f>J38*#REF!</f>
        <v>#REF!</v>
      </c>
      <c r="K39" s="141" t="e">
        <f>K38*#REF!</f>
        <v>#REF!</v>
      </c>
      <c r="L39" s="141" t="e">
        <f>L38*#REF!</f>
        <v>#REF!</v>
      </c>
      <c r="M39" s="141" t="e">
        <f>M38*#REF!</f>
        <v>#REF!</v>
      </c>
      <c r="N39" s="141" t="e">
        <f>N38*#REF!</f>
        <v>#REF!</v>
      </c>
      <c r="O39" s="141" t="e">
        <f>O38*#REF!</f>
        <v>#REF!</v>
      </c>
      <c r="P39" s="141" t="e">
        <f>P38*#REF!</f>
        <v>#REF!</v>
      </c>
      <c r="Q39" s="141"/>
      <c r="R39" s="141"/>
    </row>
    <row r="42" spans="2:35">
      <c r="G42" t="s">
        <v>964</v>
      </c>
      <c r="H42" t="s">
        <v>794</v>
      </c>
      <c r="P42" s="3"/>
      <c r="Q42" t="s">
        <v>730</v>
      </c>
    </row>
    <row r="43" spans="2:35">
      <c r="G43" s="10" t="s">
        <v>696</v>
      </c>
      <c r="H43" s="10" t="s">
        <v>769</v>
      </c>
      <c r="I43" s="10" t="s">
        <v>771</v>
      </c>
      <c r="J43" s="10" t="s">
        <v>772</v>
      </c>
      <c r="K43" s="10" t="s">
        <v>775</v>
      </c>
      <c r="L43" s="10" t="s">
        <v>776</v>
      </c>
      <c r="M43" s="10" t="s">
        <v>795</v>
      </c>
      <c r="N43" s="10" t="s">
        <v>799</v>
      </c>
      <c r="O43" s="10" t="s">
        <v>798</v>
      </c>
      <c r="P43" s="10" t="s">
        <v>796</v>
      </c>
      <c r="Q43" s="10" t="s">
        <v>737</v>
      </c>
      <c r="R43" s="10" t="s">
        <v>731</v>
      </c>
      <c r="S43" s="10" t="s">
        <v>732</v>
      </c>
      <c r="T43" s="10" t="s">
        <v>802</v>
      </c>
      <c r="U43" s="10" t="s">
        <v>342</v>
      </c>
      <c r="V43" s="10" t="s">
        <v>355</v>
      </c>
      <c r="W43" s="10" t="s">
        <v>805</v>
      </c>
      <c r="X43" s="10" t="s">
        <v>367</v>
      </c>
      <c r="Y43" s="10" t="s">
        <v>807</v>
      </c>
      <c r="Z43" s="10" t="s">
        <v>349</v>
      </c>
      <c r="AA43" s="10" t="s">
        <v>733</v>
      </c>
      <c r="AB43" s="10" t="s">
        <v>757</v>
      </c>
      <c r="AC43" s="10" t="s">
        <v>758</v>
      </c>
      <c r="AD43" s="10" t="s">
        <v>759</v>
      </c>
      <c r="AE43" s="10" t="s">
        <v>735</v>
      </c>
      <c r="AF43" s="10" t="s">
        <v>734</v>
      </c>
      <c r="AG43" s="10" t="s">
        <v>738</v>
      </c>
      <c r="AH43" s="10" t="s">
        <v>736</v>
      </c>
      <c r="AI43" s="10" t="s">
        <v>763</v>
      </c>
    </row>
    <row r="44" spans="2:35">
      <c r="G44" s="1" t="s">
        <v>494</v>
      </c>
      <c r="H44" s="1" t="s">
        <v>45</v>
      </c>
      <c r="I44" s="1" t="s">
        <v>45</v>
      </c>
      <c r="J44" s="1" t="s">
        <v>45</v>
      </c>
      <c r="K44" s="1" t="s">
        <v>45</v>
      </c>
      <c r="L44" s="1" t="s">
        <v>45</v>
      </c>
      <c r="M44" s="1" t="s">
        <v>45</v>
      </c>
      <c r="N44" s="1" t="s">
        <v>45</v>
      </c>
      <c r="O44" s="1" t="s">
        <v>45</v>
      </c>
      <c r="P44" s="64" t="s">
        <v>45</v>
      </c>
      <c r="Q44" s="64" t="s">
        <v>751</v>
      </c>
      <c r="R44" s="64" t="s">
        <v>739</v>
      </c>
      <c r="S44" s="64" t="s">
        <v>740</v>
      </c>
      <c r="T44" s="64" t="s">
        <v>803</v>
      </c>
      <c r="U44" s="64" t="s">
        <v>741</v>
      </c>
      <c r="V44" s="64" t="s">
        <v>742</v>
      </c>
      <c r="W44" s="64" t="s">
        <v>806</v>
      </c>
      <c r="X44" s="64" t="s">
        <v>743</v>
      </c>
      <c r="Y44" s="64" t="s">
        <v>746</v>
      </c>
      <c r="Z44" s="64" t="s">
        <v>744</v>
      </c>
      <c r="AA44" s="64" t="s">
        <v>745</v>
      </c>
      <c r="AB44" s="64" t="s">
        <v>369</v>
      </c>
      <c r="AC44" s="64" t="s">
        <v>372</v>
      </c>
      <c r="AD44" s="64" t="s">
        <v>910</v>
      </c>
      <c r="AE44" s="64" t="s">
        <v>749</v>
      </c>
      <c r="AF44" s="64" t="s">
        <v>748</v>
      </c>
      <c r="AG44" s="64" t="s">
        <v>752</v>
      </c>
      <c r="AH44" s="64" t="s">
        <v>750</v>
      </c>
      <c r="AI44" s="64" t="s">
        <v>760</v>
      </c>
    </row>
    <row r="45" spans="2:35" ht="21" thickBot="1">
      <c r="G45" s="20" t="s">
        <v>5</v>
      </c>
      <c r="H45" s="137" t="s">
        <v>797</v>
      </c>
      <c r="I45" s="137" t="s">
        <v>797</v>
      </c>
      <c r="J45" s="137" t="s">
        <v>797</v>
      </c>
      <c r="K45" s="20" t="s">
        <v>797</v>
      </c>
      <c r="L45" s="20" t="s">
        <v>797</v>
      </c>
      <c r="M45" s="20" t="s">
        <v>797</v>
      </c>
      <c r="N45" s="20" t="s">
        <v>797</v>
      </c>
      <c r="O45" s="20" t="s">
        <v>797</v>
      </c>
      <c r="P45" s="131" t="s">
        <v>797</v>
      </c>
      <c r="Q45" s="131" t="s">
        <v>753</v>
      </c>
      <c r="R45" s="131" t="s">
        <v>753</v>
      </c>
      <c r="S45" s="131" t="s">
        <v>723</v>
      </c>
      <c r="T45" s="131" t="s">
        <v>723</v>
      </c>
      <c r="U45" s="131" t="s">
        <v>723</v>
      </c>
      <c r="V45" s="131" t="s">
        <v>723</v>
      </c>
      <c r="W45" s="131" t="s">
        <v>723</v>
      </c>
      <c r="X45" s="131" t="s">
        <v>723</v>
      </c>
      <c r="Y45" s="131" t="s">
        <v>723</v>
      </c>
      <c r="Z45" s="131" t="s">
        <v>754</v>
      </c>
      <c r="AA45" s="131" t="s">
        <v>754</v>
      </c>
      <c r="AB45" s="131" t="s">
        <v>279</v>
      </c>
      <c r="AC45" s="131" t="s">
        <v>279</v>
      </c>
      <c r="AD45" s="131" t="s">
        <v>804</v>
      </c>
      <c r="AE45" s="131" t="s">
        <v>755</v>
      </c>
      <c r="AF45" s="131" t="s">
        <v>755</v>
      </c>
      <c r="AG45" s="131" t="s">
        <v>755</v>
      </c>
      <c r="AH45" s="131" t="s">
        <v>756</v>
      </c>
      <c r="AI45" s="131" t="s">
        <v>756</v>
      </c>
    </row>
    <row r="46" spans="2:35" ht="21" thickTop="1">
      <c r="G46" s="4">
        <v>0</v>
      </c>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row>
    <row r="47" spans="2:35">
      <c r="G47" s="22">
        <v>3.5</v>
      </c>
    </row>
  </sheetData>
  <phoneticPr fontId="3"/>
  <pageMargins left="0.7" right="0.7" top="0.75" bottom="0.75" header="0.3" footer="0.3"/>
  <pageSetup paperSize="9" orientation="portrait" horizontalDpi="0" verticalDpi="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B2:E17"/>
  <sheetViews>
    <sheetView zoomScaleNormal="60" workbookViewId="0">
      <selection activeCell="D23" sqref="D23"/>
    </sheetView>
  </sheetViews>
  <sheetFormatPr baseColWidth="10" defaultColWidth="8.7109375" defaultRowHeight="20"/>
  <sheetData>
    <row r="2" spans="2:5">
      <c r="B2" s="3" t="s">
        <v>862</v>
      </c>
      <c r="C2" s="3"/>
      <c r="D2" s="3"/>
      <c r="E2" s="3"/>
    </row>
    <row r="3" spans="2:5">
      <c r="B3" s="10" t="s">
        <v>180</v>
      </c>
      <c r="C3" s="10" t="s">
        <v>181</v>
      </c>
      <c r="D3" s="10" t="s">
        <v>863</v>
      </c>
      <c r="E3" s="10" t="s">
        <v>182</v>
      </c>
    </row>
    <row r="4" spans="2:5">
      <c r="B4" s="1" t="s">
        <v>864</v>
      </c>
      <c r="C4" s="1" t="s">
        <v>865</v>
      </c>
      <c r="D4" s="22">
        <v>3.5209999999999999</v>
      </c>
      <c r="E4" s="1" t="s">
        <v>724</v>
      </c>
    </row>
    <row r="5" spans="2:5">
      <c r="B5" s="1" t="s">
        <v>715</v>
      </c>
      <c r="C5" s="1" t="s">
        <v>866</v>
      </c>
      <c r="D5" s="22">
        <v>-1.5</v>
      </c>
      <c r="E5" s="1" t="s">
        <v>724</v>
      </c>
    </row>
    <row r="6" spans="2:5">
      <c r="B6" s="1"/>
      <c r="C6" s="1" t="s">
        <v>867</v>
      </c>
      <c r="D6" s="22">
        <v>0</v>
      </c>
      <c r="E6" s="1" t="s">
        <v>724</v>
      </c>
    </row>
    <row r="7" spans="2:5">
      <c r="B7" s="1"/>
      <c r="C7" s="1" t="s">
        <v>868</v>
      </c>
      <c r="D7" s="22">
        <v>4.5999999999999999E-2</v>
      </c>
      <c r="E7" s="1" t="s">
        <v>724</v>
      </c>
    </row>
    <row r="8" spans="2:5">
      <c r="B8" s="1" t="s">
        <v>339</v>
      </c>
      <c r="C8" s="1" t="s">
        <v>739</v>
      </c>
      <c r="D8" s="22">
        <v>-5.2380000000000004</v>
      </c>
      <c r="E8" s="1" t="s">
        <v>753</v>
      </c>
    </row>
    <row r="9" spans="2:5">
      <c r="B9" s="1" t="s">
        <v>869</v>
      </c>
      <c r="C9" s="1" t="s">
        <v>870</v>
      </c>
      <c r="D9" s="28">
        <v>73</v>
      </c>
      <c r="E9" s="1" t="s">
        <v>723</v>
      </c>
    </row>
    <row r="10" spans="2:5">
      <c r="B10" s="1" t="s">
        <v>871</v>
      </c>
      <c r="C10" s="1" t="s">
        <v>872</v>
      </c>
      <c r="D10" s="28">
        <v>90</v>
      </c>
      <c r="E10" s="1" t="s">
        <v>723</v>
      </c>
    </row>
    <row r="11" spans="2:5">
      <c r="B11" s="1" t="s">
        <v>873</v>
      </c>
      <c r="C11" s="1" t="s">
        <v>723</v>
      </c>
      <c r="D11" s="29" t="s">
        <v>874</v>
      </c>
      <c r="E11" s="1" t="s">
        <v>723</v>
      </c>
    </row>
    <row r="12" spans="2:5">
      <c r="B12" s="1" t="s">
        <v>875</v>
      </c>
      <c r="C12" s="1" t="s">
        <v>723</v>
      </c>
      <c r="D12" s="29" t="s">
        <v>876</v>
      </c>
      <c r="E12" s="1" t="s">
        <v>723</v>
      </c>
    </row>
    <row r="13" spans="2:5">
      <c r="B13" s="1" t="s">
        <v>877</v>
      </c>
      <c r="C13" s="1" t="s">
        <v>878</v>
      </c>
      <c r="D13" s="1">
        <v>0.46397713446944971</v>
      </c>
      <c r="E13" s="1" t="s">
        <v>768</v>
      </c>
    </row>
    <row r="14" spans="2:5">
      <c r="B14" s="1" t="s">
        <v>879</v>
      </c>
      <c r="C14" s="1" t="s">
        <v>880</v>
      </c>
      <c r="D14" s="1">
        <v>0.95184732967148733</v>
      </c>
      <c r="E14" s="1" t="s">
        <v>881</v>
      </c>
    </row>
    <row r="15" spans="2:5">
      <c r="B15" s="1" t="s">
        <v>882</v>
      </c>
      <c r="C15" s="1" t="s">
        <v>883</v>
      </c>
      <c r="D15" s="1">
        <v>2.901613310275148</v>
      </c>
      <c r="E15" s="1" t="s">
        <v>768</v>
      </c>
    </row>
    <row r="16" spans="2:5">
      <c r="B16" s="1" t="s">
        <v>884</v>
      </c>
      <c r="C16" s="1" t="s">
        <v>885</v>
      </c>
      <c r="D16" s="1"/>
      <c r="E16" s="1"/>
    </row>
    <row r="17" spans="2:5">
      <c r="B17" s="1" t="s">
        <v>886</v>
      </c>
      <c r="C17" s="1" t="s">
        <v>887</v>
      </c>
      <c r="D17" s="1"/>
      <c r="E17" s="1"/>
    </row>
  </sheetData>
  <phoneticPr fontId="3"/>
  <dataValidations count="1">
    <dataValidation type="list" allowBlank="1" showInputMessage="1" showErrorMessage="1" sqref="D11:D12" xr:uid="{F45DE845-AECD-614E-9ACE-A88114B74641}">
      <formula1>"あり,なし"</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5CFD-42A2-8F40-922C-1D750A7F23EC}">
  <sheetPr codeName="Sheet2">
    <tabColor theme="7" tint="0.59999389629810485"/>
  </sheetPr>
  <dimension ref="B2:AA50"/>
  <sheetViews>
    <sheetView zoomScale="75" workbookViewId="0">
      <selection activeCell="J29" sqref="J29"/>
    </sheetView>
  </sheetViews>
  <sheetFormatPr baseColWidth="10" defaultColWidth="11.5703125" defaultRowHeight="20"/>
  <sheetData>
    <row r="2" spans="2:21">
      <c r="B2" s="3"/>
      <c r="C2" s="3"/>
      <c r="D2" s="3"/>
      <c r="E2" s="3"/>
      <c r="F2" s="3" t="s">
        <v>655</v>
      </c>
      <c r="G2" s="3"/>
      <c r="H2" s="3"/>
      <c r="I2" s="3"/>
      <c r="J2" s="3" t="s">
        <v>656</v>
      </c>
      <c r="K2" s="3"/>
      <c r="L2" s="3"/>
      <c r="M2" s="3"/>
      <c r="N2" s="3" t="s">
        <v>657</v>
      </c>
      <c r="O2" s="3"/>
      <c r="P2" s="3"/>
      <c r="Q2" s="3"/>
      <c r="R2" s="3" t="s">
        <v>56</v>
      </c>
      <c r="S2" s="3"/>
      <c r="T2" s="3"/>
      <c r="U2" s="3"/>
    </row>
    <row r="3" spans="2:21">
      <c r="B3" s="112"/>
      <c r="C3" s="112" t="s">
        <v>161</v>
      </c>
      <c r="D3" s="112" t="s">
        <v>161</v>
      </c>
      <c r="E3" s="112" t="s">
        <v>161</v>
      </c>
      <c r="F3" s="112" t="s">
        <v>646</v>
      </c>
      <c r="G3" s="112" t="s">
        <v>647</v>
      </c>
      <c r="H3" s="112" t="s">
        <v>648</v>
      </c>
      <c r="I3" s="112" t="s">
        <v>649</v>
      </c>
      <c r="J3" s="112" t="s">
        <v>646</v>
      </c>
      <c r="K3" s="112" t="s">
        <v>647</v>
      </c>
      <c r="L3" s="112" t="s">
        <v>648</v>
      </c>
      <c r="M3" s="112" t="s">
        <v>649</v>
      </c>
      <c r="N3" s="112" t="s">
        <v>646</v>
      </c>
      <c r="O3" s="112" t="s">
        <v>647</v>
      </c>
      <c r="P3" s="112" t="s">
        <v>648</v>
      </c>
      <c r="Q3" s="112" t="s">
        <v>649</v>
      </c>
      <c r="R3" s="112" t="s">
        <v>646</v>
      </c>
      <c r="S3" s="112" t="s">
        <v>647</v>
      </c>
      <c r="T3" s="112" t="s">
        <v>648</v>
      </c>
      <c r="U3" s="112" t="s">
        <v>649</v>
      </c>
    </row>
    <row r="4" spans="2:21">
      <c r="B4" s="112"/>
      <c r="C4" s="1" t="s">
        <v>20</v>
      </c>
      <c r="D4" s="1" t="s">
        <v>22</v>
      </c>
      <c r="E4" s="1" t="s">
        <v>23</v>
      </c>
      <c r="F4" s="1" t="s">
        <v>658</v>
      </c>
      <c r="G4" s="1" t="s">
        <v>659</v>
      </c>
      <c r="H4" s="1" t="s">
        <v>660</v>
      </c>
      <c r="I4" s="1" t="s">
        <v>658</v>
      </c>
      <c r="J4" s="1" t="s">
        <v>659</v>
      </c>
      <c r="K4" s="1" t="s">
        <v>660</v>
      </c>
      <c r="L4" s="1" t="s">
        <v>661</v>
      </c>
      <c r="M4" s="1" t="s">
        <v>662</v>
      </c>
      <c r="N4" s="1" t="s">
        <v>663</v>
      </c>
      <c r="O4" s="1" t="s">
        <v>664</v>
      </c>
      <c r="P4" s="1" t="s">
        <v>665</v>
      </c>
      <c r="Q4" s="1" t="s">
        <v>662</v>
      </c>
      <c r="R4" s="1" t="s">
        <v>663</v>
      </c>
      <c r="S4" s="1" t="s">
        <v>664</v>
      </c>
      <c r="T4" s="1" t="s">
        <v>665</v>
      </c>
      <c r="U4" s="1" t="s">
        <v>662</v>
      </c>
    </row>
    <row r="5" spans="2:21">
      <c r="B5" s="112"/>
      <c r="C5" s="1" t="s">
        <v>37</v>
      </c>
      <c r="D5" s="1" t="s">
        <v>37</v>
      </c>
      <c r="E5" s="1" t="s">
        <v>37</v>
      </c>
      <c r="F5" s="1" t="s">
        <v>667</v>
      </c>
      <c r="G5" s="1" t="s">
        <v>667</v>
      </c>
      <c r="H5" s="1" t="s">
        <v>667</v>
      </c>
      <c r="I5" s="1" t="s">
        <v>667</v>
      </c>
      <c r="J5" s="1" t="s">
        <v>667</v>
      </c>
      <c r="K5" s="1" t="s">
        <v>667</v>
      </c>
      <c r="L5" s="1" t="s">
        <v>667</v>
      </c>
      <c r="M5" s="1" t="s">
        <v>667</v>
      </c>
      <c r="N5" s="1" t="s">
        <v>667</v>
      </c>
      <c r="O5" s="1" t="s">
        <v>667</v>
      </c>
      <c r="P5" s="1" t="s">
        <v>667</v>
      </c>
      <c r="Q5" s="1" t="s">
        <v>667</v>
      </c>
      <c r="R5" s="1" t="s">
        <v>667</v>
      </c>
      <c r="S5" s="1" t="s">
        <v>667</v>
      </c>
      <c r="T5" s="1" t="s">
        <v>667</v>
      </c>
      <c r="U5" s="1" t="s">
        <v>667</v>
      </c>
    </row>
    <row r="6" spans="2:21">
      <c r="B6" s="112" t="s">
        <v>652</v>
      </c>
      <c r="C6" s="22">
        <v>0</v>
      </c>
      <c r="D6" s="22">
        <v>0.23499999999999999</v>
      </c>
      <c r="E6" s="22">
        <v>0</v>
      </c>
      <c r="F6" s="1">
        <f>H6+2*$D$27*$C$6</f>
        <v>97.942000000000007</v>
      </c>
      <c r="G6" s="1">
        <f>I6+2*$D$27*$D$6</f>
        <v>0</v>
      </c>
      <c r="H6" s="22">
        <f>100-2.058</f>
        <v>97.942000000000007</v>
      </c>
      <c r="I6" s="1">
        <f>H6*$D$20</f>
        <v>0</v>
      </c>
      <c r="J6" s="1"/>
      <c r="K6" s="1"/>
      <c r="L6" s="1"/>
      <c r="M6" s="1"/>
      <c r="N6" s="1"/>
      <c r="O6" s="1"/>
      <c r="P6" s="1"/>
      <c r="Q6" s="1"/>
      <c r="R6" s="1"/>
      <c r="S6" s="1"/>
      <c r="T6" s="1"/>
      <c r="U6" s="1"/>
    </row>
    <row r="7" spans="2:21">
      <c r="B7" s="112" t="s">
        <v>668</v>
      </c>
      <c r="C7" s="22">
        <v>0.25</v>
      </c>
      <c r="D7" s="22">
        <v>0.16250000000000001</v>
      </c>
      <c r="E7" s="22">
        <v>0.32</v>
      </c>
      <c r="F7" s="1">
        <f>H7+2*$D$27*$C$6</f>
        <v>73.456500000000005</v>
      </c>
      <c r="G7" s="1">
        <f>I7+2*$D$27*$D$6</f>
        <v>0</v>
      </c>
      <c r="H7" s="1">
        <f>H6-$F$6*(C7-C6)</f>
        <v>73.456500000000005</v>
      </c>
      <c r="I7" s="1">
        <f>H7*$D$20</f>
        <v>0</v>
      </c>
      <c r="J7" s="1">
        <f>L7+2*$D$27*$C$7</f>
        <v>97.942000000000007</v>
      </c>
      <c r="K7" s="1">
        <f>M7+2*$D$27*$D$7</f>
        <v>0</v>
      </c>
      <c r="L7" s="22">
        <f>100-2.058</f>
        <v>97.942000000000007</v>
      </c>
      <c r="M7" s="1">
        <f>L7*$D$19</f>
        <v>0</v>
      </c>
      <c r="N7" s="1">
        <f>P7+2*$D$27*$C$8</f>
        <v>97.942000000000007</v>
      </c>
      <c r="O7" s="1">
        <f>Q7+2*$D$27*$D$8</f>
        <v>0</v>
      </c>
      <c r="P7" s="22">
        <f>100-2.058</f>
        <v>97.942000000000007</v>
      </c>
      <c r="Q7" s="1">
        <f>P7*$D$19</f>
        <v>0</v>
      </c>
      <c r="R7" s="1"/>
      <c r="S7" s="1"/>
      <c r="T7" s="1"/>
      <c r="U7" s="1"/>
    </row>
    <row r="8" spans="2:21">
      <c r="B8" s="112" t="s">
        <v>669</v>
      </c>
      <c r="C8" s="22">
        <v>0.45</v>
      </c>
      <c r="D8" s="22">
        <v>0</v>
      </c>
      <c r="E8" s="22">
        <v>0.32</v>
      </c>
      <c r="F8" s="1"/>
      <c r="G8" s="1"/>
      <c r="H8" s="1"/>
      <c r="I8" s="1"/>
      <c r="J8" s="1"/>
      <c r="K8" s="1"/>
      <c r="L8" s="1"/>
      <c r="M8" s="1"/>
      <c r="N8" s="1">
        <f>P8+2*$D$27*$C$8</f>
        <v>97.942000000000007</v>
      </c>
      <c r="O8" s="1">
        <f>Q8+2*$D$27*$D$8</f>
        <v>0</v>
      </c>
      <c r="P8" s="1">
        <f>P7-$F$8*(C8-C7)</f>
        <v>97.942000000000007</v>
      </c>
      <c r="Q8" s="1">
        <f>P8*$D$19</f>
        <v>0</v>
      </c>
      <c r="R8" s="1">
        <f>T8+2*$D$27*$C$9</f>
        <v>105</v>
      </c>
      <c r="S8" s="1">
        <f>U8+2*$D$27*$D$9</f>
        <v>0</v>
      </c>
      <c r="T8" s="22">
        <v>105</v>
      </c>
      <c r="U8" s="1">
        <f>T8*$D$19</f>
        <v>0</v>
      </c>
    </row>
    <row r="9" spans="2:21">
      <c r="B9" s="112" t="s">
        <v>670</v>
      </c>
      <c r="C9" s="22">
        <v>0.85</v>
      </c>
      <c r="D9" s="22">
        <v>0</v>
      </c>
      <c r="E9" s="22">
        <v>0.32</v>
      </c>
      <c r="F9" s="1"/>
      <c r="G9" s="1"/>
      <c r="H9" s="1"/>
      <c r="I9" s="1"/>
      <c r="J9" s="1"/>
      <c r="K9" s="1"/>
      <c r="L9" s="1"/>
      <c r="M9" s="1"/>
      <c r="N9" s="1">
        <f>P9+2*$D$27*$C$8</f>
        <v>97.942000000000007</v>
      </c>
      <c r="O9" s="1">
        <f>Q9+2*$D$27*$D$8</f>
        <v>0</v>
      </c>
      <c r="P9" s="1">
        <f>P8-$F$8*(C9-C8)</f>
        <v>97.942000000000007</v>
      </c>
      <c r="Q9" s="1">
        <f>P9*$D$19</f>
        <v>0</v>
      </c>
      <c r="R9" s="1">
        <f>T9+2*$D$27*$C$9</f>
        <v>105</v>
      </c>
      <c r="S9" s="1">
        <f>U9+2*$D$27*$D$9</f>
        <v>0</v>
      </c>
      <c r="T9" s="1">
        <f>T8-$F$9*(C9-C8)</f>
        <v>105</v>
      </c>
      <c r="U9" s="1">
        <f>T9*$D$19</f>
        <v>0</v>
      </c>
    </row>
    <row r="10" spans="2:21">
      <c r="B10" s="112" t="s">
        <v>671</v>
      </c>
      <c r="C10" s="22">
        <v>3.2</v>
      </c>
      <c r="D10" s="22">
        <v>0</v>
      </c>
      <c r="E10" s="22">
        <v>0.32</v>
      </c>
      <c r="F10" s="1"/>
      <c r="G10" s="1"/>
      <c r="H10" s="1"/>
      <c r="I10" s="1"/>
      <c r="J10" s="1"/>
      <c r="K10" s="1"/>
      <c r="L10" s="1"/>
      <c r="M10" s="1"/>
      <c r="N10" s="1"/>
      <c r="O10" s="1"/>
      <c r="P10" s="1"/>
      <c r="Q10" s="1"/>
      <c r="R10" s="1">
        <f>T10+2*$D$27*$C$9</f>
        <v>105</v>
      </c>
      <c r="S10" s="1">
        <f>U10+2*$D$27*$D$9</f>
        <v>0</v>
      </c>
      <c r="T10" s="1">
        <f>T9-$F$9*(C10-C9)</f>
        <v>105</v>
      </c>
      <c r="U10" s="1">
        <f>T10*$D$19</f>
        <v>0</v>
      </c>
    </row>
    <row r="26" spans="2:27">
      <c r="B26" t="s">
        <v>808</v>
      </c>
    </row>
    <row r="28" spans="2:27">
      <c r="B28" s="38" t="s">
        <v>703</v>
      </c>
      <c r="C28" s="38" t="s">
        <v>801</v>
      </c>
      <c r="D28" s="38" t="s">
        <v>814</v>
      </c>
      <c r="E28" s="38" t="s">
        <v>809</v>
      </c>
    </row>
    <row r="29" spans="2:27">
      <c r="B29" s="35" t="s">
        <v>45</v>
      </c>
      <c r="C29" s="35" t="s">
        <v>37</v>
      </c>
      <c r="D29" s="35" t="s">
        <v>37</v>
      </c>
      <c r="E29" s="35" t="s">
        <v>36</v>
      </c>
    </row>
    <row r="30" spans="2:27">
      <c r="B30" s="134" t="s">
        <v>530</v>
      </c>
      <c r="C30" s="134">
        <v>0</v>
      </c>
      <c r="D30" s="134">
        <v>0</v>
      </c>
      <c r="E30" s="35">
        <v>0</v>
      </c>
    </row>
    <row r="31" spans="2:27">
      <c r="S31" t="s">
        <v>922</v>
      </c>
      <c r="W31" s="3" t="s">
        <v>840</v>
      </c>
      <c r="X31" s="3"/>
      <c r="Y31" s="3"/>
      <c r="Z31" s="3"/>
    </row>
    <row r="32" spans="2:27">
      <c r="B32" s="10" t="s">
        <v>696</v>
      </c>
      <c r="C32" s="10" t="s">
        <v>923</v>
      </c>
      <c r="D32" s="10" t="s">
        <v>644</v>
      </c>
      <c r="E32" s="10" t="s">
        <v>403</v>
      </c>
      <c r="F32" s="10" t="s">
        <v>645</v>
      </c>
      <c r="G32" s="10" t="s">
        <v>810</v>
      </c>
      <c r="H32" s="10" t="s">
        <v>811</v>
      </c>
      <c r="I32" s="10" t="s">
        <v>812</v>
      </c>
      <c r="J32" s="10" t="s">
        <v>813</v>
      </c>
      <c r="K32" s="10" t="s">
        <v>815</v>
      </c>
      <c r="L32" s="10" t="s">
        <v>636</v>
      </c>
      <c r="M32" s="10" t="s">
        <v>816</v>
      </c>
      <c r="N32" s="10"/>
      <c r="O32" s="10" t="s">
        <v>817</v>
      </c>
      <c r="P32" s="10" t="s">
        <v>774</v>
      </c>
      <c r="Q32" s="10" t="s">
        <v>818</v>
      </c>
      <c r="R32" s="10" t="s">
        <v>819</v>
      </c>
      <c r="S32" s="10" t="s">
        <v>820</v>
      </c>
      <c r="T32" s="10" t="s">
        <v>821</v>
      </c>
      <c r="U32" s="10" t="s">
        <v>822</v>
      </c>
      <c r="V32" s="10" t="s">
        <v>823</v>
      </c>
      <c r="W32" s="112" t="s">
        <v>841</v>
      </c>
      <c r="X32" s="112" t="s">
        <v>842</v>
      </c>
      <c r="Y32" s="112" t="s">
        <v>843</v>
      </c>
      <c r="Z32" s="112" t="s">
        <v>844</v>
      </c>
      <c r="AA32" s="112" t="s">
        <v>845</v>
      </c>
    </row>
    <row r="33" spans="2:27">
      <c r="B33" s="1" t="s">
        <v>494</v>
      </c>
      <c r="C33" s="1" t="s">
        <v>45</v>
      </c>
      <c r="D33" s="1" t="s">
        <v>637</v>
      </c>
      <c r="E33" s="1" t="s">
        <v>46</v>
      </c>
      <c r="F33" s="1" t="s">
        <v>46</v>
      </c>
      <c r="G33" s="1" t="s">
        <v>46</v>
      </c>
      <c r="H33" s="1" t="s">
        <v>46</v>
      </c>
      <c r="I33" s="1" t="s">
        <v>46</v>
      </c>
      <c r="J33" s="1" t="s">
        <v>46</v>
      </c>
      <c r="K33" s="1" t="s">
        <v>46</v>
      </c>
      <c r="L33" s="1" t="s">
        <v>642</v>
      </c>
      <c r="M33" s="1" t="s">
        <v>824</v>
      </c>
      <c r="N33" s="1" t="s">
        <v>825</v>
      </c>
      <c r="O33" s="1" t="s">
        <v>826</v>
      </c>
      <c r="P33" s="1" t="s">
        <v>827</v>
      </c>
      <c r="Q33" s="1" t="s">
        <v>828</v>
      </c>
      <c r="R33" s="1" t="s">
        <v>829</v>
      </c>
      <c r="S33" s="1" t="s">
        <v>830</v>
      </c>
      <c r="T33" s="1" t="s">
        <v>831</v>
      </c>
      <c r="U33" s="1" t="s">
        <v>832</v>
      </c>
      <c r="V33" s="1" t="s">
        <v>833</v>
      </c>
      <c r="W33" s="1" t="s">
        <v>846</v>
      </c>
      <c r="X33" s="1" t="s">
        <v>847</v>
      </c>
      <c r="Y33" s="1" t="s">
        <v>848</v>
      </c>
      <c r="Z33" s="1" t="s">
        <v>849</v>
      </c>
      <c r="AA33" s="1" t="s">
        <v>850</v>
      </c>
    </row>
    <row r="34" spans="2:27" ht="21" thickBot="1">
      <c r="B34" s="20" t="s">
        <v>5</v>
      </c>
      <c r="C34" s="20" t="s">
        <v>45</v>
      </c>
      <c r="D34" s="20" t="s">
        <v>650</v>
      </c>
      <c r="E34" s="20" t="s">
        <v>650</v>
      </c>
      <c r="F34" s="20" t="s">
        <v>666</v>
      </c>
      <c r="G34" s="20" t="s">
        <v>667</v>
      </c>
      <c r="H34" s="20" t="s">
        <v>667</v>
      </c>
      <c r="I34" s="20" t="s">
        <v>667</v>
      </c>
      <c r="J34" s="20" t="s">
        <v>667</v>
      </c>
      <c r="K34" s="20" t="s">
        <v>45</v>
      </c>
      <c r="L34" s="20" t="s">
        <v>651</v>
      </c>
      <c r="M34" s="20" t="s">
        <v>834</v>
      </c>
      <c r="N34" s="20" t="s">
        <v>834</v>
      </c>
      <c r="O34" s="20" t="s">
        <v>834</v>
      </c>
      <c r="P34" s="20" t="s">
        <v>835</v>
      </c>
      <c r="Q34" s="20" t="s">
        <v>836</v>
      </c>
      <c r="R34" s="20" t="s">
        <v>837</v>
      </c>
      <c r="S34" s="20" t="s">
        <v>838</v>
      </c>
      <c r="T34" s="20" t="s">
        <v>838</v>
      </c>
      <c r="U34" s="20" t="s">
        <v>839</v>
      </c>
      <c r="V34" s="20" t="s">
        <v>839</v>
      </c>
      <c r="W34" s="20" t="s">
        <v>851</v>
      </c>
      <c r="X34" s="20" t="s">
        <v>852</v>
      </c>
      <c r="Y34" s="20" t="s">
        <v>853</v>
      </c>
      <c r="Z34" s="20" t="s">
        <v>851</v>
      </c>
      <c r="AA34" s="20" t="s">
        <v>723</v>
      </c>
    </row>
    <row r="35" spans="2:27" ht="21" thickTop="1">
      <c r="B35" s="4">
        <v>0</v>
      </c>
      <c r="C35" s="135" t="s">
        <v>530</v>
      </c>
      <c r="D35" s="113">
        <v>15</v>
      </c>
      <c r="E35" s="113">
        <v>15</v>
      </c>
      <c r="F35" s="113">
        <v>0</v>
      </c>
      <c r="G35" s="135">
        <v>0</v>
      </c>
      <c r="H35" s="135">
        <v>0</v>
      </c>
      <c r="I35" s="113">
        <v>0</v>
      </c>
      <c r="J35" s="113">
        <v>0</v>
      </c>
      <c r="K35" s="113">
        <v>0</v>
      </c>
      <c r="L35" s="2">
        <v>0</v>
      </c>
      <c r="M35" s="1">
        <v>128.55212654337893</v>
      </c>
      <c r="N35" s="1">
        <v>16.303408580287435</v>
      </c>
      <c r="O35" s="29">
        <v>-1041.8410000000001</v>
      </c>
      <c r="P35" s="29">
        <v>-1041.8410000000001</v>
      </c>
      <c r="Q35" s="29">
        <v>-1041.8410000000001</v>
      </c>
      <c r="R35" s="29">
        <v>-1041.8410000000001</v>
      </c>
      <c r="S35" s="29">
        <v>-1041.8410000000001</v>
      </c>
      <c r="T35" s="29">
        <v>-1041.8410000000001</v>
      </c>
      <c r="U35" s="29">
        <v>-1041.8410000000001</v>
      </c>
      <c r="V35" s="29">
        <v>-1041.8410000000001</v>
      </c>
      <c r="W35" s="29">
        <v>-1041.8410000000001</v>
      </c>
      <c r="X35" s="29">
        <v>-1041.8410000000001</v>
      </c>
      <c r="Y35" s="29">
        <v>-1041.8410000000001</v>
      </c>
      <c r="Z35" s="29">
        <v>-1041.8410000000001</v>
      </c>
      <c r="AA35" s="29">
        <v>-1041.8410000000001</v>
      </c>
    </row>
    <row r="36" spans="2:27">
      <c r="B36" s="22">
        <v>3.5</v>
      </c>
      <c r="C36" s="28"/>
      <c r="D36" s="29"/>
      <c r="E36" s="29"/>
      <c r="F36" s="29"/>
      <c r="G36" s="28"/>
      <c r="H36" s="28"/>
      <c r="I36" s="29"/>
      <c r="J36" s="29"/>
      <c r="K36" s="29"/>
      <c r="L36" s="1"/>
      <c r="M36" s="1"/>
      <c r="N36" s="1"/>
      <c r="O36" s="29"/>
      <c r="P36" s="29"/>
      <c r="Q36" s="29"/>
      <c r="R36" s="29"/>
      <c r="S36" s="29"/>
      <c r="T36" s="29"/>
      <c r="U36" s="29"/>
      <c r="V36" s="29"/>
      <c r="W36" s="29"/>
      <c r="X36" s="29"/>
      <c r="Y36" s="29"/>
      <c r="Z36" s="29"/>
      <c r="AA36" s="29"/>
    </row>
    <row r="37" spans="2:27">
      <c r="B37" s="22"/>
      <c r="C37" s="28"/>
      <c r="D37" s="29"/>
      <c r="E37" s="29"/>
      <c r="F37" s="29"/>
      <c r="G37" s="28"/>
      <c r="H37" s="28"/>
      <c r="I37" s="29"/>
      <c r="J37" s="29"/>
      <c r="K37" s="29"/>
      <c r="L37" s="1"/>
      <c r="M37" s="1"/>
      <c r="N37" s="1"/>
      <c r="O37" s="29"/>
      <c r="P37" s="29"/>
      <c r="Q37" s="29"/>
      <c r="R37" s="29"/>
      <c r="S37" s="29"/>
      <c r="T37" s="29"/>
      <c r="U37" s="29"/>
      <c r="V37" s="29"/>
      <c r="W37" s="29"/>
      <c r="X37" s="29"/>
      <c r="Y37" s="29"/>
      <c r="Z37" s="29"/>
      <c r="AA37" s="29"/>
    </row>
    <row r="38" spans="2:27">
      <c r="B38" s="22"/>
      <c r="C38" s="28"/>
      <c r="D38" s="29"/>
      <c r="E38" s="29"/>
      <c r="F38" s="29"/>
      <c r="G38" s="28"/>
      <c r="H38" s="28"/>
      <c r="I38" s="29"/>
      <c r="J38" s="29"/>
      <c r="K38" s="29"/>
      <c r="L38" s="1"/>
      <c r="M38" s="1"/>
      <c r="N38" s="1"/>
      <c r="O38" s="29"/>
      <c r="P38" s="29"/>
      <c r="Q38" s="29"/>
      <c r="R38" s="29"/>
      <c r="S38" s="29"/>
      <c r="T38" s="29"/>
      <c r="U38" s="29"/>
      <c r="V38" s="29"/>
      <c r="W38" s="29"/>
      <c r="X38" s="29"/>
      <c r="Y38" s="29"/>
      <c r="Z38" s="29"/>
      <c r="AA38" s="29"/>
    </row>
    <row r="40" spans="2:27">
      <c r="B40" s="35" t="s">
        <v>924</v>
      </c>
      <c r="C40" s="134">
        <v>500</v>
      </c>
      <c r="D40" s="35" t="s">
        <v>837</v>
      </c>
      <c r="F40" s="35" t="s">
        <v>936</v>
      </c>
      <c r="G40" s="35">
        <f>(C38-C39)*(C40-1)+C38</f>
        <v>0</v>
      </c>
      <c r="H40" s="35" t="s">
        <v>837</v>
      </c>
    </row>
    <row r="41" spans="2:27">
      <c r="B41" s="35" t="s">
        <v>925</v>
      </c>
      <c r="C41" s="134">
        <v>40</v>
      </c>
      <c r="D41" s="35" t="s">
        <v>837</v>
      </c>
      <c r="F41" s="35" t="s">
        <v>938</v>
      </c>
      <c r="G41" s="35">
        <f>G40-C41*2</f>
        <v>-80</v>
      </c>
      <c r="H41" s="35" t="s">
        <v>837</v>
      </c>
      <c r="J41" s="1" t="s">
        <v>943</v>
      </c>
      <c r="K41" s="22">
        <v>10</v>
      </c>
      <c r="L41" s="1" t="s">
        <v>837</v>
      </c>
      <c r="Q41" t="s">
        <v>934</v>
      </c>
      <c r="R41" t="s">
        <v>935</v>
      </c>
    </row>
    <row r="42" spans="2:27">
      <c r="B42" s="35" t="s">
        <v>926</v>
      </c>
      <c r="C42" s="134">
        <v>9</v>
      </c>
      <c r="D42" s="35" t="s">
        <v>927</v>
      </c>
      <c r="F42" s="35" t="s">
        <v>940</v>
      </c>
      <c r="G42" s="35">
        <f>(G41-C37)/2</f>
        <v>-40</v>
      </c>
      <c r="H42" s="35" t="s">
        <v>837</v>
      </c>
      <c r="J42" s="1" t="s">
        <v>944</v>
      </c>
      <c r="K42" s="22">
        <v>10</v>
      </c>
      <c r="L42" s="1" t="s">
        <v>837</v>
      </c>
      <c r="O42" t="s">
        <v>937</v>
      </c>
      <c r="P42" s="35" t="s">
        <v>930</v>
      </c>
      <c r="Q42" s="142">
        <f>G38</f>
        <v>0</v>
      </c>
      <c r="R42" s="142">
        <f>Q42+K40*(K37+K38)*2</f>
        <v>0</v>
      </c>
    </row>
    <row r="43" spans="2:27">
      <c r="B43" s="35" t="s">
        <v>928</v>
      </c>
      <c r="C43" s="134">
        <v>50</v>
      </c>
      <c r="D43" s="35" t="s">
        <v>837</v>
      </c>
      <c r="F43" s="35" t="s">
        <v>946</v>
      </c>
      <c r="G43" s="35"/>
      <c r="H43" s="35" t="s">
        <v>36</v>
      </c>
      <c r="J43" s="1" t="s">
        <v>945</v>
      </c>
      <c r="K43" s="28">
        <v>1000</v>
      </c>
      <c r="L43" s="1" t="s">
        <v>837</v>
      </c>
      <c r="P43" s="35" t="s">
        <v>939</v>
      </c>
      <c r="Q43" s="142">
        <f>G38*G37</f>
        <v>0</v>
      </c>
      <c r="R43" s="142">
        <f>Q43+K40*K37*2</f>
        <v>0</v>
      </c>
    </row>
    <row r="44" spans="2:27">
      <c r="P44" s="35" t="s">
        <v>941</v>
      </c>
      <c r="Q44" s="142">
        <f>G39</f>
        <v>0</v>
      </c>
      <c r="R44" s="142">
        <f>Q44+K40*(K37+K38)*2</f>
        <v>0</v>
      </c>
    </row>
    <row r="45" spans="2:27">
      <c r="P45" s="35" t="s">
        <v>933</v>
      </c>
      <c r="Q45" s="142">
        <f>G39*G37</f>
        <v>0</v>
      </c>
      <c r="R45" s="142">
        <f>Q45+K40*K37*2</f>
        <v>0</v>
      </c>
    </row>
    <row r="46" spans="2:27">
      <c r="B46" s="38" t="s">
        <v>929</v>
      </c>
      <c r="C46" s="38">
        <v>1</v>
      </c>
      <c r="D46" s="38">
        <v>2</v>
      </c>
      <c r="E46" s="38">
        <v>3</v>
      </c>
      <c r="F46" s="38">
        <v>4</v>
      </c>
      <c r="G46" s="38">
        <v>5</v>
      </c>
      <c r="H46" s="38">
        <v>6</v>
      </c>
      <c r="I46" s="38">
        <v>7</v>
      </c>
      <c r="J46" s="38">
        <v>8</v>
      </c>
      <c r="K46" s="38">
        <v>9</v>
      </c>
      <c r="L46" s="38"/>
      <c r="M46" s="38"/>
      <c r="O46" t="s">
        <v>942</v>
      </c>
      <c r="P46" s="35" t="s">
        <v>930</v>
      </c>
      <c r="Q46" s="142" t="e">
        <f>C47-#REF!*C41</f>
        <v>#REF!</v>
      </c>
      <c r="R46" s="142" t="e">
        <f>Q46+K40*(K37+K38)*2</f>
        <v>#REF!</v>
      </c>
    </row>
    <row r="47" spans="2:27">
      <c r="B47" s="38" t="s">
        <v>930</v>
      </c>
      <c r="C47" s="141" t="e">
        <f>G38+$G$7*(#REF!-$C$4)/2</f>
        <v>#REF!</v>
      </c>
      <c r="D47" s="141" t="e">
        <f t="shared" ref="D47:K47" si="0">C49+$G$7*$C$6</f>
        <v>#REF!</v>
      </c>
      <c r="E47" s="141" t="e">
        <f t="shared" si="0"/>
        <v>#REF!</v>
      </c>
      <c r="F47" s="141" t="e">
        <f t="shared" si="0"/>
        <v>#REF!</v>
      </c>
      <c r="G47" s="141" t="e">
        <f t="shared" si="0"/>
        <v>#REF!</v>
      </c>
      <c r="H47" s="141" t="e">
        <f t="shared" si="0"/>
        <v>#REF!</v>
      </c>
      <c r="I47" s="141" t="e">
        <f t="shared" si="0"/>
        <v>#REF!</v>
      </c>
      <c r="J47" s="141" t="e">
        <f t="shared" si="0"/>
        <v>#REF!</v>
      </c>
      <c r="K47" s="141" t="e">
        <f t="shared" si="0"/>
        <v>#REF!</v>
      </c>
      <c r="L47" s="141"/>
      <c r="M47" s="141"/>
      <c r="P47" s="35" t="s">
        <v>939</v>
      </c>
      <c r="Q47" s="142" t="e">
        <f>Q46*G37</f>
        <v>#REF!</v>
      </c>
      <c r="R47" s="142" t="e">
        <f>Q47+K40*K37*2</f>
        <v>#REF!</v>
      </c>
    </row>
    <row r="48" spans="2:27">
      <c r="B48" s="38" t="s">
        <v>931</v>
      </c>
      <c r="C48" s="141" t="e">
        <f>C47*G37</f>
        <v>#REF!</v>
      </c>
      <c r="D48" s="141" t="e">
        <f t="shared" ref="D48:K48" si="1">D47*$G$4</f>
        <v>#REF!</v>
      </c>
      <c r="E48" s="141" t="e">
        <f t="shared" si="1"/>
        <v>#REF!</v>
      </c>
      <c r="F48" s="141" t="e">
        <f t="shared" si="1"/>
        <v>#REF!</v>
      </c>
      <c r="G48" s="141" t="e">
        <f t="shared" si="1"/>
        <v>#REF!</v>
      </c>
      <c r="H48" s="141" t="e">
        <f t="shared" si="1"/>
        <v>#REF!</v>
      </c>
      <c r="I48" s="141" t="e">
        <f t="shared" si="1"/>
        <v>#REF!</v>
      </c>
      <c r="J48" s="141" t="e">
        <f t="shared" si="1"/>
        <v>#REF!</v>
      </c>
      <c r="K48" s="141" t="e">
        <f t="shared" si="1"/>
        <v>#REF!</v>
      </c>
      <c r="L48" s="141"/>
      <c r="M48" s="141"/>
      <c r="P48" s="35" t="s">
        <v>941</v>
      </c>
      <c r="Q48" s="142" t="e">
        <f>J49+C41*#REF!</f>
        <v>#REF!</v>
      </c>
      <c r="R48" s="142" t="e">
        <f>Q48+K40*(K37+K38)*2</f>
        <v>#REF!</v>
      </c>
    </row>
    <row r="49" spans="2:18">
      <c r="B49" s="38" t="s">
        <v>932</v>
      </c>
      <c r="C49" s="141" t="e">
        <f t="shared" ref="C49:K49" si="2">C47-$G$7*$C$5</f>
        <v>#REF!</v>
      </c>
      <c r="D49" s="141" t="e">
        <f t="shared" si="2"/>
        <v>#REF!</v>
      </c>
      <c r="E49" s="141" t="e">
        <f t="shared" si="2"/>
        <v>#REF!</v>
      </c>
      <c r="F49" s="141" t="e">
        <f t="shared" si="2"/>
        <v>#REF!</v>
      </c>
      <c r="G49" s="141" t="e">
        <f t="shared" si="2"/>
        <v>#REF!</v>
      </c>
      <c r="H49" s="141" t="e">
        <f t="shared" si="2"/>
        <v>#REF!</v>
      </c>
      <c r="I49" s="141" t="e">
        <f t="shared" si="2"/>
        <v>#REF!</v>
      </c>
      <c r="J49" s="141" t="e">
        <f t="shared" si="2"/>
        <v>#REF!</v>
      </c>
      <c r="K49" s="141" t="e">
        <f t="shared" si="2"/>
        <v>#REF!</v>
      </c>
      <c r="L49" s="141"/>
      <c r="M49" s="141"/>
      <c r="P49" s="35" t="s">
        <v>933</v>
      </c>
      <c r="Q49" s="142" t="e">
        <f>Q48*G37</f>
        <v>#REF!</v>
      </c>
      <c r="R49" s="142" t="e">
        <f>Q49+K40*K37*2</f>
        <v>#REF!</v>
      </c>
    </row>
    <row r="50" spans="2:18">
      <c r="B50" s="38" t="s">
        <v>933</v>
      </c>
      <c r="C50" s="141" t="e">
        <f t="shared" ref="C50:K50" si="3">C49*$G$4</f>
        <v>#REF!</v>
      </c>
      <c r="D50" s="141" t="e">
        <f t="shared" si="3"/>
        <v>#REF!</v>
      </c>
      <c r="E50" s="141" t="e">
        <f t="shared" si="3"/>
        <v>#REF!</v>
      </c>
      <c r="F50" s="141" t="e">
        <f t="shared" si="3"/>
        <v>#REF!</v>
      </c>
      <c r="G50" s="141" t="e">
        <f t="shared" si="3"/>
        <v>#REF!</v>
      </c>
      <c r="H50" s="141" t="e">
        <f t="shared" si="3"/>
        <v>#REF!</v>
      </c>
      <c r="I50" s="141" t="e">
        <f t="shared" si="3"/>
        <v>#REF!</v>
      </c>
      <c r="J50" s="141" t="e">
        <f t="shared" si="3"/>
        <v>#REF!</v>
      </c>
      <c r="K50" s="141" t="e">
        <f t="shared" si="3"/>
        <v>#REF!</v>
      </c>
      <c r="L50" s="141"/>
      <c r="M50" s="141"/>
    </row>
  </sheetData>
  <phoneticPr fontId="3"/>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7504-F610-9C44-AF08-1690E3F8C564}">
  <sheetPr codeName="Sheet8">
    <tabColor theme="7" tint="0.59999389629810485"/>
  </sheetPr>
  <dimension ref="A1:AV1288"/>
  <sheetViews>
    <sheetView zoomScale="113" zoomScaleNormal="70" workbookViewId="0">
      <selection activeCell="I56" sqref="I56"/>
    </sheetView>
  </sheetViews>
  <sheetFormatPr baseColWidth="10" defaultColWidth="11.5703125" defaultRowHeight="20"/>
  <cols>
    <col min="1" max="1" width="11.5703125" customWidth="1"/>
    <col min="2" max="2" width="11.42578125" customWidth="1"/>
    <col min="3" max="5" width="11.5703125" customWidth="1"/>
    <col min="32" max="32" width="11.5703125" style="216"/>
    <col min="34" max="34" width="11.5703125" style="3"/>
  </cols>
  <sheetData>
    <row r="1" spans="2:48">
      <c r="Y1" s="216"/>
      <c r="AA1" s="3"/>
      <c r="AF1"/>
      <c r="AH1"/>
    </row>
    <row r="2" spans="2:48">
      <c r="B2" s="3"/>
      <c r="C2" s="3"/>
      <c r="D2" t="s">
        <v>947</v>
      </c>
      <c r="F2" s="3" t="s">
        <v>915</v>
      </c>
      <c r="G2" s="3"/>
      <c r="H2" s="3"/>
      <c r="I2" s="3"/>
      <c r="J2" s="3" t="s">
        <v>916</v>
      </c>
      <c r="K2" s="3"/>
      <c r="L2" s="3"/>
      <c r="M2" s="3"/>
      <c r="N2" s="3" t="s">
        <v>917</v>
      </c>
      <c r="O2" s="3"/>
      <c r="P2" s="3"/>
      <c r="Q2" s="3"/>
      <c r="R2" s="3" t="s">
        <v>918</v>
      </c>
      <c r="S2" s="3"/>
      <c r="T2" s="3"/>
      <c r="U2" s="3"/>
      <c r="X2" t="s">
        <v>1238</v>
      </c>
      <c r="Y2" s="216"/>
      <c r="AA2" s="3"/>
      <c r="AF2"/>
      <c r="AH2"/>
    </row>
    <row r="3" spans="2:48">
      <c r="B3" s="10"/>
      <c r="C3" s="12" t="s">
        <v>919</v>
      </c>
      <c r="D3" s="13" t="s">
        <v>704</v>
      </c>
      <c r="E3" s="44" t="s">
        <v>705</v>
      </c>
      <c r="F3" s="14" t="s">
        <v>810</v>
      </c>
      <c r="G3" s="10" t="s">
        <v>811</v>
      </c>
      <c r="H3" s="10" t="s">
        <v>812</v>
      </c>
      <c r="I3" s="44" t="s">
        <v>813</v>
      </c>
      <c r="J3" s="14" t="s">
        <v>810</v>
      </c>
      <c r="K3" s="10" t="s">
        <v>811</v>
      </c>
      <c r="L3" s="10" t="s">
        <v>812</v>
      </c>
      <c r="M3" s="44" t="s">
        <v>813</v>
      </c>
      <c r="N3" s="14" t="s">
        <v>810</v>
      </c>
      <c r="O3" s="10" t="s">
        <v>811</v>
      </c>
      <c r="P3" s="10" t="s">
        <v>812</v>
      </c>
      <c r="Q3" s="44" t="s">
        <v>813</v>
      </c>
      <c r="R3" s="14" t="s">
        <v>810</v>
      </c>
      <c r="S3" s="10" t="s">
        <v>811</v>
      </c>
      <c r="T3" s="10" t="s">
        <v>812</v>
      </c>
      <c r="U3" s="10" t="s">
        <v>813</v>
      </c>
      <c r="X3" s="10" t="s">
        <v>1092</v>
      </c>
      <c r="Y3" s="217" t="s">
        <v>1149</v>
      </c>
      <c r="Z3" s="10" t="s">
        <v>1073</v>
      </c>
      <c r="AA3" s="10" t="s">
        <v>1148</v>
      </c>
      <c r="AB3" s="10" t="s">
        <v>1150</v>
      </c>
      <c r="AC3" s="10" t="s">
        <v>1151</v>
      </c>
      <c r="AD3" s="10" t="s">
        <v>1152</v>
      </c>
      <c r="AE3" s="10" t="s">
        <v>1153</v>
      </c>
      <c r="AF3" s="10" t="s">
        <v>1154</v>
      </c>
      <c r="AG3" s="10" t="s">
        <v>1066</v>
      </c>
      <c r="AH3" s="10" t="s">
        <v>1155</v>
      </c>
      <c r="AI3" s="10" t="s">
        <v>1156</v>
      </c>
      <c r="AJ3" s="10" t="s">
        <v>1157</v>
      </c>
      <c r="AK3" s="10" t="s">
        <v>1158</v>
      </c>
      <c r="AL3" s="10" t="s">
        <v>1159</v>
      </c>
      <c r="AM3" s="10" t="s">
        <v>1160</v>
      </c>
      <c r="AN3" s="10" t="s">
        <v>1161</v>
      </c>
      <c r="AO3" s="10" t="s">
        <v>1162</v>
      </c>
      <c r="AP3" s="10" t="s">
        <v>1163</v>
      </c>
      <c r="AQ3" s="112" t="s">
        <v>1164</v>
      </c>
      <c r="AR3" s="112" t="s">
        <v>1165</v>
      </c>
      <c r="AS3" s="112" t="s">
        <v>1166</v>
      </c>
      <c r="AT3" s="112" t="s">
        <v>1025</v>
      </c>
      <c r="AU3" s="112" t="s">
        <v>1167</v>
      </c>
      <c r="AV3" s="112" t="s">
        <v>1168</v>
      </c>
    </row>
    <row r="4" spans="2:48">
      <c r="B4" s="10"/>
      <c r="C4" s="9" t="s">
        <v>920</v>
      </c>
      <c r="D4" s="71" t="s">
        <v>1067</v>
      </c>
      <c r="E4" s="70" t="s">
        <v>1068</v>
      </c>
      <c r="F4" s="23" t="s">
        <v>1069</v>
      </c>
      <c r="G4" s="1" t="s">
        <v>1072</v>
      </c>
      <c r="H4" s="1" t="s">
        <v>1071</v>
      </c>
      <c r="I4" s="70" t="s">
        <v>1070</v>
      </c>
      <c r="J4" s="23" t="s">
        <v>1069</v>
      </c>
      <c r="K4" s="1" t="s">
        <v>1072</v>
      </c>
      <c r="L4" s="1" t="s">
        <v>1071</v>
      </c>
      <c r="M4" s="70" t="s">
        <v>1070</v>
      </c>
      <c r="N4" s="23" t="s">
        <v>1069</v>
      </c>
      <c r="O4" s="1" t="s">
        <v>1072</v>
      </c>
      <c r="P4" s="1" t="s">
        <v>1071</v>
      </c>
      <c r="Q4" s="70" t="s">
        <v>1070</v>
      </c>
      <c r="R4" s="23" t="s">
        <v>1069</v>
      </c>
      <c r="S4" s="1" t="s">
        <v>1072</v>
      </c>
      <c r="T4" s="1" t="s">
        <v>1071</v>
      </c>
      <c r="U4" s="1" t="s">
        <v>1070</v>
      </c>
      <c r="X4" s="1" t="s">
        <v>60</v>
      </c>
      <c r="Y4" s="218" t="s">
        <v>637</v>
      </c>
      <c r="Z4" s="1" t="s">
        <v>46</v>
      </c>
      <c r="AA4" s="2" t="s">
        <v>46</v>
      </c>
      <c r="AB4" s="1" t="s">
        <v>1142</v>
      </c>
      <c r="AC4" s="1" t="s">
        <v>1143</v>
      </c>
      <c r="AD4" s="1" t="s">
        <v>1144</v>
      </c>
      <c r="AE4" s="1" t="s">
        <v>1145</v>
      </c>
      <c r="AF4" s="1" t="s">
        <v>1074</v>
      </c>
      <c r="AG4" s="1" t="s">
        <v>1075</v>
      </c>
      <c r="AH4" s="1" t="s">
        <v>1076</v>
      </c>
      <c r="AI4" s="1" t="s">
        <v>1077</v>
      </c>
      <c r="AJ4" s="1" t="s">
        <v>1078</v>
      </c>
      <c r="AK4" s="1" t="s">
        <v>494</v>
      </c>
      <c r="AL4" s="1" t="s">
        <v>1079</v>
      </c>
      <c r="AM4" s="1" t="s">
        <v>596</v>
      </c>
      <c r="AN4" s="1" t="s">
        <v>1080</v>
      </c>
      <c r="AO4" s="1" t="s">
        <v>1081</v>
      </c>
      <c r="AP4" s="1" t="s">
        <v>46</v>
      </c>
      <c r="AQ4" s="1" t="s">
        <v>1082</v>
      </c>
      <c r="AR4" s="1" t="s">
        <v>21</v>
      </c>
      <c r="AS4" s="1" t="s">
        <v>1083</v>
      </c>
      <c r="AT4" s="1" t="s">
        <v>595</v>
      </c>
      <c r="AU4" s="1" t="s">
        <v>1084</v>
      </c>
      <c r="AV4" s="1" t="s">
        <v>46</v>
      </c>
    </row>
    <row r="5" spans="2:48" ht="21" thickBot="1">
      <c r="B5" s="10"/>
      <c r="C5" s="9" t="s">
        <v>724</v>
      </c>
      <c r="D5" s="71" t="s">
        <v>837</v>
      </c>
      <c r="E5" s="70" t="s">
        <v>837</v>
      </c>
      <c r="F5" s="23" t="s">
        <v>837</v>
      </c>
      <c r="G5" s="1" t="s">
        <v>837</v>
      </c>
      <c r="H5" s="1" t="s">
        <v>837</v>
      </c>
      <c r="I5" s="70" t="s">
        <v>837</v>
      </c>
      <c r="J5" s="23" t="s">
        <v>837</v>
      </c>
      <c r="K5" s="1" t="s">
        <v>837</v>
      </c>
      <c r="L5" s="1" t="s">
        <v>837</v>
      </c>
      <c r="M5" s="70" t="s">
        <v>837</v>
      </c>
      <c r="N5" s="23" t="s">
        <v>837</v>
      </c>
      <c r="O5" s="1" t="s">
        <v>837</v>
      </c>
      <c r="P5" s="1" t="s">
        <v>837</v>
      </c>
      <c r="Q5" s="70" t="s">
        <v>837</v>
      </c>
      <c r="R5" s="23" t="s">
        <v>837</v>
      </c>
      <c r="S5" s="1" t="s">
        <v>837</v>
      </c>
      <c r="T5" s="1" t="s">
        <v>837</v>
      </c>
      <c r="U5" s="1" t="s">
        <v>837</v>
      </c>
      <c r="X5" s="20" t="s">
        <v>62</v>
      </c>
      <c r="Y5" s="219" t="s">
        <v>46</v>
      </c>
      <c r="Z5" s="20" t="s">
        <v>46</v>
      </c>
      <c r="AA5" s="20" t="s">
        <v>5</v>
      </c>
      <c r="AB5" s="20" t="s">
        <v>1054</v>
      </c>
      <c r="AC5" s="20" t="s">
        <v>1054</v>
      </c>
      <c r="AD5" s="20" t="s">
        <v>1054</v>
      </c>
      <c r="AE5" s="20" t="s">
        <v>1054</v>
      </c>
      <c r="AF5" s="20" t="s">
        <v>1085</v>
      </c>
      <c r="AG5" s="20" t="s">
        <v>1085</v>
      </c>
      <c r="AH5" s="20" t="s">
        <v>1085</v>
      </c>
      <c r="AI5" s="20" t="s">
        <v>1086</v>
      </c>
      <c r="AJ5" s="20" t="s">
        <v>1087</v>
      </c>
      <c r="AK5" s="20" t="s">
        <v>1054</v>
      </c>
      <c r="AL5" s="20" t="s">
        <v>116</v>
      </c>
      <c r="AM5" s="20" t="s">
        <v>116</v>
      </c>
      <c r="AN5" s="20" t="s">
        <v>1088</v>
      </c>
      <c r="AO5" s="20" t="s">
        <v>1088</v>
      </c>
      <c r="AP5" s="20" t="s">
        <v>1054</v>
      </c>
      <c r="AQ5" s="20" t="s">
        <v>1089</v>
      </c>
      <c r="AR5" s="20" t="s">
        <v>1090</v>
      </c>
      <c r="AS5" s="20" t="s">
        <v>1091</v>
      </c>
      <c r="AT5" s="20" t="s">
        <v>1089</v>
      </c>
      <c r="AU5" s="20" t="s">
        <v>46</v>
      </c>
      <c r="AV5" s="20" t="s">
        <v>6</v>
      </c>
    </row>
    <row r="6" spans="2:48" ht="21" thickTop="1">
      <c r="B6" s="10" t="s">
        <v>698</v>
      </c>
      <c r="C6" s="292">
        <v>0</v>
      </c>
      <c r="D6" s="71"/>
      <c r="E6" s="70"/>
      <c r="F6" s="263">
        <v>110</v>
      </c>
      <c r="G6" s="1">
        <f>F6*($C$21*($C6-$C$6)+$C$20*($C$8-$C6))/($C$8-$C$6)</f>
        <v>110</v>
      </c>
      <c r="H6" s="1">
        <f>F6+D$20*2</f>
        <v>113.39</v>
      </c>
      <c r="I6" s="70">
        <f>G6+E$20*2</f>
        <v>113.39</v>
      </c>
      <c r="J6" s="23"/>
      <c r="K6" s="1"/>
      <c r="L6" s="1"/>
      <c r="M6" s="70"/>
      <c r="N6" s="23"/>
      <c r="O6" s="1"/>
      <c r="P6" s="1"/>
      <c r="Q6" s="70"/>
      <c r="R6" s="23"/>
      <c r="S6" s="1"/>
      <c r="T6" s="1"/>
      <c r="U6" s="1"/>
      <c r="X6" s="2" t="s">
        <v>61</v>
      </c>
      <c r="Y6" s="220">
        <v>0</v>
      </c>
      <c r="Z6" s="113" t="str">
        <f>IF(AA6&lt;$C$7,"0",IF(AA6&lt;$C$8,"0-1接合",IF(AA6&lt;$C$9,"1",IF(AA6&lt;$C$10,"1-2接合",IF(AA6&lt;$C$11,"2",IF(AA6&lt;$C$12,"2-3接合",IF(AA6&lt;$C$13,"3","ウィングレット")))))))</f>
        <v>0</v>
      </c>
      <c r="AA6" s="85">
        <f>VLOOKUP(Y6,主翼!B44:C150,2)</f>
        <v>0</v>
      </c>
      <c r="AB6" s="199">
        <v>55</v>
      </c>
      <c r="AC6" s="199">
        <v>55</v>
      </c>
      <c r="AD6" s="199">
        <v>56.695</v>
      </c>
      <c r="AE6" s="199">
        <v>56.695</v>
      </c>
      <c r="AF6" s="197">
        <v>927564.33127605473</v>
      </c>
      <c r="AG6" s="197">
        <v>927564.3312760609</v>
      </c>
      <c r="AH6" s="197">
        <v>1855128.6642813568</v>
      </c>
      <c r="AI6" s="198">
        <v>594.79397672067023</v>
      </c>
      <c r="AJ6" s="198">
        <v>9798.4492207984258</v>
      </c>
      <c r="AK6" s="199">
        <v>350.91090072022854</v>
      </c>
      <c r="AL6" s="86">
        <v>128.54669117765229</v>
      </c>
      <c r="AM6" s="199">
        <v>16.301557051223895</v>
      </c>
      <c r="AN6" s="27">
        <f>AL6*AF6*10^-3</f>
        <v>119235.32563994858</v>
      </c>
      <c r="AO6" s="200">
        <f>AM6*AH6*10^-3</f>
        <v>30241.485758143321</v>
      </c>
      <c r="AP6" s="2">
        <f>主翼!K44</f>
        <v>0</v>
      </c>
      <c r="AQ6" s="113"/>
      <c r="AR6" s="113"/>
      <c r="AS6" s="113"/>
      <c r="AT6" s="113"/>
      <c r="AU6" s="2"/>
      <c r="AV6" s="2">
        <f>AI6*AA6*10^-6*$T$17</f>
        <v>0</v>
      </c>
    </row>
    <row r="7" spans="2:48">
      <c r="B7" s="10" t="s">
        <v>921</v>
      </c>
      <c r="C7" s="203">
        <v>1.4</v>
      </c>
      <c r="D7" s="71">
        <f>(J7-H7)/2</f>
        <v>2.0549999999999997</v>
      </c>
      <c r="E7" s="70">
        <f>(K7-I7)/2</f>
        <v>3.2887500000000003</v>
      </c>
      <c r="F7" s="23">
        <f>$F$6-$G$20*$C7</f>
        <v>110</v>
      </c>
      <c r="G7" s="1">
        <f>F7*($C$21*($C7-$C$6)+$C$20*($C$8-$C7))/($C$8-$C$6)</f>
        <v>110</v>
      </c>
      <c r="H7" s="1">
        <f>F7+D$20*2</f>
        <v>113.39</v>
      </c>
      <c r="I7" s="70">
        <f>G7+E$20*2</f>
        <v>113.39</v>
      </c>
      <c r="J7" s="263">
        <v>117.5</v>
      </c>
      <c r="K7" s="1">
        <f>$J7*($C$23*($C7-$C$7)+$C$22*($C$10-$C7))/($C$10-$C$7)</f>
        <v>119.9675</v>
      </c>
      <c r="L7" s="1">
        <f>J7+2*$D$22</f>
        <v>121.91</v>
      </c>
      <c r="M7" s="70">
        <f>K7+2*$E$22</f>
        <v>122.31950000000001</v>
      </c>
      <c r="N7" s="23"/>
      <c r="O7" s="1"/>
      <c r="P7" s="1"/>
      <c r="Q7" s="70"/>
      <c r="R7" s="23"/>
      <c r="S7" s="1"/>
      <c r="T7" s="1"/>
      <c r="U7" s="1"/>
      <c r="X7" s="1"/>
      <c r="Y7" s="220">
        <v>1</v>
      </c>
      <c r="Z7" s="113" t="str">
        <f>IF(AA7&lt;$C$7,"0",IF(AA7&lt;$C$8,"0-1接合",IF(AA7&lt;$C$9,"1",IF(AA7&lt;$C$10,"1-2接合",IF(AA7&lt;$C$11,"2",IF(AA7&lt;$C$12,"2-3接合",IF(AA7&lt;$C$13,"3","ウィングレット")))))))</f>
        <v>0</v>
      </c>
      <c r="AA7" s="85">
        <f>VLOOKUP(Y7,主翼!B45:C151,2)</f>
        <v>0.8</v>
      </c>
      <c r="AB7" s="86">
        <v>55</v>
      </c>
      <c r="AC7" s="86">
        <v>55</v>
      </c>
      <c r="AD7" s="86">
        <v>56.695</v>
      </c>
      <c r="AE7" s="86">
        <v>56.695</v>
      </c>
      <c r="AF7" s="201">
        <v>927564.33127605473</v>
      </c>
      <c r="AG7" s="201">
        <v>927564.3312760609</v>
      </c>
      <c r="AH7" s="201">
        <v>1855128.6642813568</v>
      </c>
      <c r="AI7" s="202">
        <v>594.79397672067023</v>
      </c>
      <c r="AJ7" s="202">
        <v>9798.4492207984258</v>
      </c>
      <c r="AK7" s="86">
        <v>350.91090072022854</v>
      </c>
      <c r="AL7" s="86">
        <v>128.54669117765229</v>
      </c>
      <c r="AM7" s="199">
        <v>16.301557051223895</v>
      </c>
      <c r="AN7" s="27">
        <f t="shared" ref="AN7:AN65" si="0">AL7*AF7*10^-3</f>
        <v>119235.32563994858</v>
      </c>
      <c r="AO7" s="200">
        <f t="shared" ref="AO7:AO65" si="1">AM7*AH7*10^-3</f>
        <v>30241.485758143321</v>
      </c>
      <c r="AP7" s="2">
        <f>主翼!K45</f>
        <v>0</v>
      </c>
      <c r="AQ7" s="29"/>
      <c r="AR7" s="29"/>
      <c r="AS7" s="29"/>
      <c r="AT7" s="29"/>
      <c r="AU7" s="1"/>
      <c r="AV7" s="2">
        <f>IF((AA7-AA6)&gt;0,(AI6+AI7+SQRT(AI6*AI7))*(AA7-AA6)/3*10^-6*$T$17,0)</f>
        <v>0.71375277206480425</v>
      </c>
    </row>
    <row r="8" spans="2:48">
      <c r="B8" s="10" t="s">
        <v>699</v>
      </c>
      <c r="C8" s="292">
        <f>F20/2</f>
        <v>1.75</v>
      </c>
      <c r="D8" s="71">
        <f>(J8-H8)/2</f>
        <v>0.65500000000000114</v>
      </c>
      <c r="E8" s="70">
        <f>(K8-I8)/2</f>
        <v>1.859349999999985</v>
      </c>
      <c r="F8" s="23">
        <f>$F$6-$G$20*$C8</f>
        <v>110</v>
      </c>
      <c r="G8" s="1">
        <f>F8*($C$21*($C8-$C$6)+$C$20*($C$8-$C8))/($C$8-$C$6)</f>
        <v>110</v>
      </c>
      <c r="H8" s="1">
        <f>F8+D$20*2</f>
        <v>113.39</v>
      </c>
      <c r="I8" s="70">
        <f>G8+E$20*2</f>
        <v>113.39</v>
      </c>
      <c r="J8" s="23">
        <f>$J$7-$G$22*(C8-$C$7)</f>
        <v>114.7</v>
      </c>
      <c r="K8" s="1">
        <f>$J8*($C$23*($C8-$C$7)+$C$22*($C$10-$C8))/($C$10-$C$7)</f>
        <v>117.10869999999997</v>
      </c>
      <c r="L8" s="1">
        <f>J8+2*$D$22</f>
        <v>119.11</v>
      </c>
      <c r="M8" s="70">
        <f>K8+2*$E$22</f>
        <v>119.46069999999997</v>
      </c>
      <c r="N8" s="23"/>
      <c r="O8" s="1"/>
      <c r="P8" s="1"/>
      <c r="Q8" s="70"/>
      <c r="R8" s="23"/>
      <c r="S8" s="1"/>
      <c r="T8" s="1"/>
      <c r="U8" s="1"/>
      <c r="X8" s="1"/>
      <c r="Y8" s="220">
        <v>2</v>
      </c>
      <c r="Z8" s="113" t="str">
        <f>IF(AA8&lt;$C$7,"0",IF(AA8&lt;$C$8,"0-1接合",IF(AA8&lt;$C$9,"1",IF(AA8&lt;$C$10,"1-2接合",IF(AA8&lt;$C$11,"2",IF(AA8&lt;$C$12,"2-3接合",IF(AA8&lt;$C$13,"3","ウィングレット")))))))</f>
        <v>0</v>
      </c>
      <c r="AA8" s="85">
        <f>VLOOKUP(Y8,主翼!B46:C152,2)</f>
        <v>1</v>
      </c>
      <c r="AB8" s="86">
        <v>55</v>
      </c>
      <c r="AC8" s="86">
        <v>55</v>
      </c>
      <c r="AD8" s="86">
        <v>56.695</v>
      </c>
      <c r="AE8" s="86">
        <v>56.695</v>
      </c>
      <c r="AF8" s="201">
        <v>927564.33127605473</v>
      </c>
      <c r="AG8" s="201">
        <v>927564.3312760609</v>
      </c>
      <c r="AH8" s="201">
        <v>1855128.6642813568</v>
      </c>
      <c r="AI8" s="202">
        <v>594.79397672067023</v>
      </c>
      <c r="AJ8" s="202">
        <v>9798.4492207984258</v>
      </c>
      <c r="AK8" s="86">
        <v>350.91090072022854</v>
      </c>
      <c r="AL8" s="86">
        <v>128.54669117765229</v>
      </c>
      <c r="AM8" s="199">
        <v>16.301557051223895</v>
      </c>
      <c r="AN8" s="27">
        <f t="shared" si="0"/>
        <v>119235.32563994858</v>
      </c>
      <c r="AO8" s="200">
        <f t="shared" si="1"/>
        <v>30241.485758143321</v>
      </c>
      <c r="AP8" s="2">
        <f>主翼!K46</f>
        <v>0</v>
      </c>
      <c r="AQ8" s="29"/>
      <c r="AR8" s="29"/>
      <c r="AS8" s="29"/>
      <c r="AT8" s="29"/>
      <c r="AU8" s="1"/>
      <c r="AV8" s="2">
        <f>IF((AA8-AA7)&gt;0,(AI7+AI8+SQRT(AI7*AI8))*(AA8-AA7)/3*10^-6*$T$17,0)</f>
        <v>0.17843819301620101</v>
      </c>
    </row>
    <row r="9" spans="2:48">
      <c r="B9" s="10" t="s">
        <v>653</v>
      </c>
      <c r="C9" s="203">
        <v>4.9000000000000004</v>
      </c>
      <c r="D9" s="71">
        <f>(N9-L9)/2</f>
        <v>1.2950000000000017</v>
      </c>
      <c r="E9" s="70">
        <f>(O9-M9)/2</f>
        <v>2.107999999999997</v>
      </c>
      <c r="F9" s="23"/>
      <c r="G9" s="1"/>
      <c r="H9" s="1"/>
      <c r="I9" s="70"/>
      <c r="J9" s="23">
        <f>$J$7-$G$22*(C9-$C$7)</f>
        <v>89.5</v>
      </c>
      <c r="K9" s="1">
        <f>$J9*($C$23*($C9-$C$7)+$C$22*($C$10-$C9))/($C$10-$C$7)</f>
        <v>91.379499999999993</v>
      </c>
      <c r="L9" s="1">
        <f>J9+2*$D$22</f>
        <v>93.91</v>
      </c>
      <c r="M9" s="70">
        <f>K9+2*$E$22</f>
        <v>93.731499999999997</v>
      </c>
      <c r="N9" s="263">
        <v>96.5</v>
      </c>
      <c r="O9" s="1">
        <f>$N9*($C$25*($C9-$C$9)+$C$24*($C$12-$C9))/($C$12-$C$9)</f>
        <v>97.947499999999991</v>
      </c>
      <c r="P9" s="1">
        <f>N9+2*D$24</f>
        <v>100.02800000000001</v>
      </c>
      <c r="Q9" s="70">
        <f>O9+2*E$24</f>
        <v>100.29949999999999</v>
      </c>
      <c r="R9" s="23"/>
      <c r="S9" s="1"/>
      <c r="T9" s="1"/>
      <c r="U9" s="1"/>
      <c r="X9" s="1"/>
      <c r="Y9" s="220">
        <v>3</v>
      </c>
      <c r="Z9" s="113" t="str">
        <f>IF(AA9&lt;$C$7,"0",IF(AA9&lt;$C$8,"0-1接合",IF(AA9&lt;$C$9,"1",IF(AA9&lt;$C$10,"1-2接合",IF(AA9&lt;$C$11,"2",IF(AA9&lt;$C$12,"2-3接合",IF(AA9&lt;$C$13,"3","ウィングレット")))))))</f>
        <v>0</v>
      </c>
      <c r="AA9" s="85">
        <f>VLOOKUP(Y9,主翼!B47:C153,2)</f>
        <v>1.2</v>
      </c>
      <c r="AB9" s="86">
        <v>55</v>
      </c>
      <c r="AC9" s="86">
        <v>55</v>
      </c>
      <c r="AD9" s="86">
        <v>56.695</v>
      </c>
      <c r="AE9" s="86">
        <v>56.695</v>
      </c>
      <c r="AF9" s="201">
        <v>927564.33127605473</v>
      </c>
      <c r="AG9" s="201">
        <v>927564.3312760609</v>
      </c>
      <c r="AH9" s="201">
        <v>1855128.6642813568</v>
      </c>
      <c r="AI9" s="202">
        <v>594.79397672067023</v>
      </c>
      <c r="AJ9" s="202">
        <v>9798.4492207984258</v>
      </c>
      <c r="AK9" s="86">
        <v>350.91090072022854</v>
      </c>
      <c r="AL9" s="86">
        <v>128.54669117765229</v>
      </c>
      <c r="AM9" s="199">
        <v>16.301557051223895</v>
      </c>
      <c r="AN9" s="27">
        <f t="shared" si="0"/>
        <v>119235.32563994858</v>
      </c>
      <c r="AO9" s="200">
        <f t="shared" si="1"/>
        <v>30241.485758143321</v>
      </c>
      <c r="AP9" s="2">
        <f>主翼!K47</f>
        <v>0</v>
      </c>
      <c r="AQ9" s="29"/>
      <c r="AR9" s="29"/>
      <c r="AS9" s="29"/>
      <c r="AT9" s="29"/>
      <c r="AU9" s="1"/>
      <c r="AV9" s="2">
        <f>IF((AA9-AA8)&gt;0,(AI8+AI9+SQRT(AI8*AI9))*(AA9-AA8)/3*10^-6*$T$17,0)</f>
        <v>0.17843819301620101</v>
      </c>
    </row>
    <row r="10" spans="2:48">
      <c r="B10" s="10" t="s">
        <v>700</v>
      </c>
      <c r="C10" s="292">
        <f>C7+F22</f>
        <v>5.1999999999999993</v>
      </c>
      <c r="D10" s="71">
        <f>(N10-L10)/2</f>
        <v>1.2950000000000017</v>
      </c>
      <c r="E10" s="70">
        <f>(O10-M10)/2</f>
        <v>2.1151999999999944</v>
      </c>
      <c r="F10" s="23"/>
      <c r="G10" s="1"/>
      <c r="H10" s="1"/>
      <c r="I10" s="70"/>
      <c r="J10" s="23">
        <f>$J$7-$G$22*(C10-$C$7)</f>
        <v>87.100000000000009</v>
      </c>
      <c r="K10" s="1">
        <f>$J10*($C$23*($C10-$C$7)+$C$22*($C$10-$C10))/($C$10-$C$7)</f>
        <v>88.929100000000005</v>
      </c>
      <c r="L10" s="1">
        <f>J10+2*$D$22</f>
        <v>91.51</v>
      </c>
      <c r="M10" s="70">
        <f>K10+2*$E$22</f>
        <v>91.281100000000009</v>
      </c>
      <c r="N10" s="23">
        <f>$N$9-$G$24*(C10-$C$9)</f>
        <v>94.100000000000009</v>
      </c>
      <c r="O10" s="1">
        <f>$N10*($C$25*($C10-$C$9)+$C$24*($C$12-$C10))/($C$12-$C$9)</f>
        <v>95.511499999999998</v>
      </c>
      <c r="P10" s="1">
        <f>N10+2*D$24</f>
        <v>97.628000000000014</v>
      </c>
      <c r="Q10" s="70">
        <f>O10+2*E$24</f>
        <v>97.863500000000002</v>
      </c>
      <c r="R10" s="23"/>
      <c r="S10" s="1"/>
      <c r="T10" s="1"/>
      <c r="U10" s="1"/>
      <c r="X10" s="1"/>
      <c r="Y10" s="220">
        <v>4</v>
      </c>
      <c r="Z10" s="113" t="str">
        <f>IF(AA10&lt;$C$7,"0",IF(AA10&lt;$C$8,"0-1接合",IF(AA10&lt;$C$9,"1",IF(AA10&lt;$C$10,"1-2接合",IF(AA10&lt;$C$11,"2",IF(AA10&lt;$C$12,"2-3接合",IF(AA10&lt;$C$13,"3","ウィングレット")))))))</f>
        <v>0-1接合</v>
      </c>
      <c r="AA10" s="85">
        <f>VLOOKUP(Y10,主翼!B48:C154,2)</f>
        <v>1.4</v>
      </c>
      <c r="AB10" s="86">
        <v>55</v>
      </c>
      <c r="AC10" s="86">
        <v>55</v>
      </c>
      <c r="AD10" s="86">
        <v>60.954999999999998</v>
      </c>
      <c r="AE10" s="86">
        <v>61.159749999999995</v>
      </c>
      <c r="AF10" s="201">
        <v>3679059.7778962436</v>
      </c>
      <c r="AG10" s="201">
        <v>3758310.0167815923</v>
      </c>
      <c r="AH10" s="201">
        <v>7436160.4959747586</v>
      </c>
      <c r="AI10" s="202">
        <v>2208.6491354470913</v>
      </c>
      <c r="AJ10" s="202">
        <v>10578.766475598</v>
      </c>
      <c r="AK10" s="86">
        <v>364.61626608747662</v>
      </c>
      <c r="AL10" s="86">
        <v>113.34563451684357</v>
      </c>
      <c r="AM10" s="199">
        <v>14.661092788303325</v>
      </c>
      <c r="AN10" s="27">
        <f t="shared" si="0"/>
        <v>417005.36495104729</v>
      </c>
      <c r="AO10" s="200">
        <f t="shared" si="1"/>
        <v>109022.23902020161</v>
      </c>
      <c r="AP10" s="2">
        <f>主翼!K48</f>
        <v>0</v>
      </c>
      <c r="AQ10" s="29"/>
      <c r="AR10" s="29"/>
      <c r="AS10" s="29"/>
      <c r="AT10" s="29"/>
      <c r="AU10" s="1"/>
      <c r="AV10" s="2">
        <f>IF((AA10-AA9)&gt;0,(AI9+AI10+SQRT(AI9*AI10))*(AA10-AA9)/3*10^-6*$T$17,0)</f>
        <v>0.39496068013732971</v>
      </c>
    </row>
    <row r="11" spans="2:48">
      <c r="B11" s="10" t="s">
        <v>654</v>
      </c>
      <c r="C11" s="203">
        <v>8.4</v>
      </c>
      <c r="D11" s="71">
        <f>(R11-P11)/2</f>
        <v>1.1859999999999999</v>
      </c>
      <c r="E11" s="70">
        <f>(S11-Q11)/2</f>
        <v>1.2602500000000134</v>
      </c>
      <c r="F11" s="23"/>
      <c r="G11" s="1"/>
      <c r="H11" s="1"/>
      <c r="I11" s="70"/>
      <c r="J11" s="23"/>
      <c r="K11" s="1"/>
      <c r="L11" s="1"/>
      <c r="M11" s="70"/>
      <c r="N11" s="23">
        <f>$N$9-$G$24*(C11-$C$9)</f>
        <v>68.5</v>
      </c>
      <c r="O11" s="1">
        <f>$N11*($C$25*($C11-$C$9)+$C$24*($C$12-$C11))/($C$12-$C$9)</f>
        <v>69.527499999999989</v>
      </c>
      <c r="P11" s="1">
        <f>N11+2*D$24</f>
        <v>72.028000000000006</v>
      </c>
      <c r="Q11" s="70">
        <f>O11+2*E$24</f>
        <v>71.879499999999993</v>
      </c>
      <c r="R11" s="263">
        <v>74.400000000000006</v>
      </c>
      <c r="S11" s="1">
        <f>$R11*($C$27*($C11-$C$11)+$C$26*($C$13-$C11))/($C$13-$C$11)</f>
        <v>74.40000000000002</v>
      </c>
      <c r="T11" s="1">
        <f>R11+2*D$26</f>
        <v>76.75200000000001</v>
      </c>
      <c r="U11" s="1">
        <f>S11+2*E$26</f>
        <v>76.752000000000024</v>
      </c>
      <c r="X11" s="1"/>
      <c r="Y11" s="220">
        <v>5</v>
      </c>
      <c r="Z11" s="113" t="str">
        <f>IF(AA11&lt;$C$7,"0",IF(AA11&lt;$C$8,"0-1接合",IF(AA11&lt;$C$9,"1",IF(AA11&lt;$C$10,"1-2接合",IF(AA11&lt;$C$11,"2",IF(AA11&lt;$C$12,"2-3接合",IF(AA11&lt;$C$13,"3","ウィングレット")))))))</f>
        <v>0-1接合</v>
      </c>
      <c r="AA11" s="85">
        <f>VLOOKUP(Y11,主翼!B49:C155,2)</f>
        <v>1.5999999999999999</v>
      </c>
      <c r="AB11" s="86">
        <v>55</v>
      </c>
      <c r="AC11" s="86">
        <v>55</v>
      </c>
      <c r="AD11" s="86">
        <v>60.155000000000001</v>
      </c>
      <c r="AE11" s="86">
        <v>60.342950000000002</v>
      </c>
      <c r="AF11" s="201">
        <v>3120848.0485842824</v>
      </c>
      <c r="AG11" s="201">
        <v>3190208.1344231619</v>
      </c>
      <c r="AH11" s="201">
        <v>6309925.0111976657</v>
      </c>
      <c r="AI11" s="202">
        <v>1900.557340455897</v>
      </c>
      <c r="AJ11" s="202">
        <v>10431.907697316106</v>
      </c>
      <c r="AK11" s="86">
        <v>362.07650359235737</v>
      </c>
      <c r="AL11" s="86">
        <v>113.34563451684357</v>
      </c>
      <c r="AM11" s="199">
        <v>14.661092788303325</v>
      </c>
      <c r="AN11" s="27">
        <f t="shared" si="0"/>
        <v>353734.50229743856</v>
      </c>
      <c r="AO11" s="200">
        <f t="shared" si="1"/>
        <v>92510.396076404868</v>
      </c>
      <c r="AP11" s="2">
        <f>主翼!K49</f>
        <v>0</v>
      </c>
      <c r="AQ11" s="29"/>
      <c r="AR11" s="29"/>
      <c r="AS11" s="29"/>
      <c r="AT11" s="29"/>
      <c r="AU11" s="1"/>
      <c r="AV11" s="2">
        <f>IF((AA11-AA10)&gt;0,(AI10+AI11+SQRT(AI10*AI11))*(AA11-AA10)/3*10^-6*$T$17,0)</f>
        <v>0.61580267039526659</v>
      </c>
    </row>
    <row r="12" spans="2:48">
      <c r="B12" s="10" t="s">
        <v>701</v>
      </c>
      <c r="C12" s="292">
        <f>C9+F24</f>
        <v>8.6999999999999993</v>
      </c>
      <c r="D12" s="71">
        <f>(R12-P12)/2</f>
        <v>1.1109999999999971</v>
      </c>
      <c r="E12" s="70">
        <f>(S12-Q12)/2</f>
        <v>1.2032500000000041</v>
      </c>
      <c r="F12" s="23"/>
      <c r="G12" s="1"/>
      <c r="H12" s="1"/>
      <c r="I12" s="70"/>
      <c r="J12" s="23"/>
      <c r="K12" s="1"/>
      <c r="L12" s="1"/>
      <c r="M12" s="70"/>
      <c r="N12" s="23">
        <f>$N$9-$G$24*(C12-$C$9)</f>
        <v>66.100000000000009</v>
      </c>
      <c r="O12" s="1">
        <f>$N12*($C$25*($C12-$C$9)+$C$24*($C$12-$C12))/($C$12-$C$9)</f>
        <v>67.091499999999996</v>
      </c>
      <c r="P12" s="1">
        <f>N12+2*D$24</f>
        <v>69.628000000000014</v>
      </c>
      <c r="Q12" s="70">
        <f>O12+2*E$24</f>
        <v>69.4435</v>
      </c>
      <c r="R12" s="23">
        <f>$R$11-$G$26*(C12-$C$11)</f>
        <v>71.850000000000009</v>
      </c>
      <c r="S12" s="1">
        <f>$R12*($C$27*($C12-$C$11)+$C$26*($C$13-$C12))/($C$13-$C$11)</f>
        <v>71.850000000000009</v>
      </c>
      <c r="T12" s="1">
        <f>R12+2*D$26</f>
        <v>74.202000000000012</v>
      </c>
      <c r="U12" s="1">
        <f>S12+2*E$26</f>
        <v>74.202000000000012</v>
      </c>
      <c r="X12" s="1"/>
      <c r="Y12" s="220">
        <v>6</v>
      </c>
      <c r="Z12" s="113" t="str">
        <f>IF(AA12&lt;$C$7,"0",IF(AA12&lt;$C$8,"0-1接合",IF(AA12&lt;$C$9,"1",IF(AA12&lt;$C$10,"1-2接合",IF(AA12&lt;$C$11,"2",IF(AA12&lt;$C$12,"2-3接合",IF(AA12&lt;$C$13,"3","ウィングレット")))))))</f>
        <v>1</v>
      </c>
      <c r="AA12" s="85">
        <f>VLOOKUP(Y12,主翼!B50:C156,2)</f>
        <v>1.7999999999999998</v>
      </c>
      <c r="AB12" s="86">
        <v>57.15</v>
      </c>
      <c r="AC12" s="86">
        <v>58.350149999999992</v>
      </c>
      <c r="AD12" s="86">
        <v>59.354999999999997</v>
      </c>
      <c r="AE12" s="86">
        <v>59.526149999999994</v>
      </c>
      <c r="AF12" s="201">
        <v>1211743.2997121168</v>
      </c>
      <c r="AG12" s="201">
        <v>917745.6479444342</v>
      </c>
      <c r="AH12" s="201">
        <v>2031706.4797556757</v>
      </c>
      <c r="AI12" s="202">
        <v>621.29100934949827</v>
      </c>
      <c r="AJ12" s="202">
        <v>10786.013039169731</v>
      </c>
      <c r="AK12" s="86">
        <v>368.18282279477393</v>
      </c>
      <c r="AL12" s="86">
        <v>98.144577856034871</v>
      </c>
      <c r="AM12" s="199">
        <v>13.020628525382756</v>
      </c>
      <c r="AN12" s="27">
        <f t="shared" si="0"/>
        <v>118926.03462012445</v>
      </c>
      <c r="AO12" s="200">
        <f t="shared" si="1"/>
        <v>26454.095345511734</v>
      </c>
      <c r="AP12" s="2">
        <f>主翼!K50</f>
        <v>0</v>
      </c>
      <c r="AQ12" s="29"/>
      <c r="AR12" s="29"/>
      <c r="AS12" s="29"/>
      <c r="AT12" s="29"/>
      <c r="AU12" s="1"/>
      <c r="AV12" s="2">
        <f>IF((AA12-AA11)&gt;0,(AI11+AI12+SQRT(AI11*AI12))*(AA12-AA11)/3*10^-6*$T$17,0)</f>
        <v>0.36084941929292896</v>
      </c>
    </row>
    <row r="13" spans="2:48">
      <c r="B13" s="10" t="s">
        <v>702</v>
      </c>
      <c r="C13" s="292">
        <f>C11+F26</f>
        <v>12.2</v>
      </c>
      <c r="D13" s="71"/>
      <c r="E13" s="70"/>
      <c r="F13" s="23"/>
      <c r="G13" s="1"/>
      <c r="H13" s="1"/>
      <c r="I13" s="70"/>
      <c r="J13" s="23"/>
      <c r="K13" s="1"/>
      <c r="L13" s="1"/>
      <c r="M13" s="70"/>
      <c r="N13" s="23"/>
      <c r="O13" s="1"/>
      <c r="P13" s="1"/>
      <c r="Q13" s="70"/>
      <c r="R13" s="23">
        <f>$R$11-$G$26*(C13-$C$11)</f>
        <v>42.100000000000016</v>
      </c>
      <c r="S13" s="1">
        <f>$R13*($C$27*($C13-$C$11)+$C$26*($C$13-$C13))/($C$13-$C$11)</f>
        <v>42.100000000000016</v>
      </c>
      <c r="T13" s="1">
        <f>R13+2*D$26</f>
        <v>44.452000000000012</v>
      </c>
      <c r="U13" s="1">
        <f>S13+2*E$26</f>
        <v>44.452000000000012</v>
      </c>
      <c r="X13" s="1"/>
      <c r="Y13" s="220">
        <v>7</v>
      </c>
      <c r="Z13" s="113" t="str">
        <f>IF(AA13&lt;$C$7,"0",IF(AA13&lt;$C$8,"0-1接合",IF(AA13&lt;$C$9,"1",IF(AA13&lt;$C$10,"1-2接合",IF(AA13&lt;$C$11,"2",IF(AA13&lt;$C$12,"2-3接合",IF(AA13&lt;$C$13,"3","ウィングレット")))))))</f>
        <v>1</v>
      </c>
      <c r="AA13" s="85">
        <f>VLOOKUP(Y13,主翼!B51:C157,2)</f>
        <v>1.9999999999999998</v>
      </c>
      <c r="AB13" s="86">
        <v>56.35</v>
      </c>
      <c r="AC13" s="86">
        <v>57.533349999999999</v>
      </c>
      <c r="AD13" s="86">
        <v>58.555</v>
      </c>
      <c r="AE13" s="86">
        <v>58.709350000000001</v>
      </c>
      <c r="AF13" s="201">
        <v>1162479.3559664472</v>
      </c>
      <c r="AG13" s="201">
        <v>880158.55648699601</v>
      </c>
      <c r="AH13" s="201">
        <v>1948813.6313182258</v>
      </c>
      <c r="AI13" s="202">
        <v>612.7312581753207</v>
      </c>
      <c r="AJ13" s="202">
        <v>10490.459158868071</v>
      </c>
      <c r="AK13" s="86">
        <v>363.10311963876757</v>
      </c>
      <c r="AL13" s="86">
        <v>98.144577856034871</v>
      </c>
      <c r="AM13" s="199">
        <v>13.020628525382756</v>
      </c>
      <c r="AN13" s="27">
        <f t="shared" si="0"/>
        <v>114091.04565768226</v>
      </c>
      <c r="AO13" s="200">
        <f t="shared" si="1"/>
        <v>25374.778358596843</v>
      </c>
      <c r="AP13" s="2">
        <f>主翼!K51</f>
        <v>0</v>
      </c>
      <c r="AQ13" s="29"/>
      <c r="AR13" s="29"/>
      <c r="AS13" s="29"/>
      <c r="AT13" s="29"/>
      <c r="AU13" s="1"/>
      <c r="AV13" s="2">
        <f>IF((AA13-AA12)&gt;0,(AI12+AI13+SQRT(AI12*AI13))*(AA13-AA12)/3*10^-6*$T$17,0)</f>
        <v>0.18510185575069649</v>
      </c>
    </row>
    <row r="14" spans="2:48">
      <c r="B14" s="10" t="s">
        <v>1057</v>
      </c>
      <c r="C14" s="9">
        <f>主翼!H13</f>
        <v>12.8</v>
      </c>
      <c r="D14" s="71"/>
      <c r="E14" s="70"/>
      <c r="F14" s="23"/>
      <c r="G14" s="1"/>
      <c r="H14" s="1"/>
      <c r="I14" s="70"/>
      <c r="J14" s="23"/>
      <c r="K14" s="1"/>
      <c r="L14" s="1"/>
      <c r="M14" s="70"/>
      <c r="N14" s="23"/>
      <c r="O14" s="1"/>
      <c r="P14" s="1"/>
      <c r="Q14" s="70"/>
      <c r="R14" s="23">
        <f>$R$11-$G$26*(C14-$C$11)</f>
        <v>37</v>
      </c>
      <c r="S14" s="1">
        <f>$R14*($C$27*($C14-$C$11)+$C$26*($C$13-$C14))/($C$13-$C$11)</f>
        <v>37</v>
      </c>
      <c r="T14" s="1">
        <f>R14+2*D$26</f>
        <v>39.351999999999997</v>
      </c>
      <c r="U14" s="1">
        <f>S14+2*E$26</f>
        <v>39.351999999999997</v>
      </c>
      <c r="X14" s="1"/>
      <c r="Y14" s="220">
        <v>8</v>
      </c>
      <c r="Z14" s="113" t="str">
        <f>IF(AA14&lt;$C$7,"0",IF(AA14&lt;$C$8,"0-1接合",IF(AA14&lt;$C$9,"1",IF(AA14&lt;$C$10,"1-2接合",IF(AA14&lt;$C$11,"2",IF(AA14&lt;$C$12,"2-3接合",IF(AA14&lt;$C$13,"3","ウィングレット")))))))</f>
        <v>1</v>
      </c>
      <c r="AA14" s="85">
        <f>VLOOKUP(Y14,主翼!B52:C158,2)</f>
        <v>2.1999999999999997</v>
      </c>
      <c r="AB14" s="86">
        <v>55.55</v>
      </c>
      <c r="AC14" s="86">
        <v>56.716549999999991</v>
      </c>
      <c r="AD14" s="86">
        <v>57.754999999999995</v>
      </c>
      <c r="AE14" s="86">
        <v>57.892549999999993</v>
      </c>
      <c r="AF14" s="201">
        <v>1114569.0696443412</v>
      </c>
      <c r="AG14" s="201">
        <v>843612.00815889717</v>
      </c>
      <c r="AH14" s="201">
        <v>1868206.6282121004</v>
      </c>
      <c r="AI14" s="202">
        <v>604.17150583651051</v>
      </c>
      <c r="AJ14" s="202">
        <v>10199.010963173529</v>
      </c>
      <c r="AK14" s="86">
        <v>358.02341798925579</v>
      </c>
      <c r="AL14" s="86">
        <v>98.144577856034871</v>
      </c>
      <c r="AM14" s="199">
        <v>13.020628525382756</v>
      </c>
      <c r="AN14" s="27">
        <f t="shared" si="0"/>
        <v>109388.9108316374</v>
      </c>
      <c r="AO14" s="200">
        <f t="shared" si="1"/>
        <v>24325.224514607613</v>
      </c>
      <c r="AP14" s="2">
        <f>主翼!K52</f>
        <v>0</v>
      </c>
      <c r="AQ14" s="29"/>
      <c r="AR14" s="29"/>
      <c r="AS14" s="29"/>
      <c r="AT14" s="29"/>
      <c r="AU14" s="1"/>
      <c r="AV14" s="2">
        <f>IF((AA14-AA13)&gt;0,(AI13+AI14+SQRT(AI13*AI14))*(AA14-AA13)/3*10^-6*$T$17,0)</f>
        <v>0.1825339093404548</v>
      </c>
    </row>
    <row r="15" spans="2:48">
      <c r="X15" s="1"/>
      <c r="Y15" s="220">
        <v>9</v>
      </c>
      <c r="Z15" s="113" t="str">
        <f>IF(AA15&lt;$C$7,"0",IF(AA15&lt;$C$8,"0-1接合",IF(AA15&lt;$C$9,"1",IF(AA15&lt;$C$10,"1-2接合",IF(AA15&lt;$C$11,"2",IF(AA15&lt;$C$12,"2-3接合",IF(AA15&lt;$C$13,"3","ウィングレット")))))))</f>
        <v>1</v>
      </c>
      <c r="AA15" s="85">
        <f>VLOOKUP(Y15,主翼!B53:C159,2)</f>
        <v>2.4</v>
      </c>
      <c r="AB15" s="86">
        <v>54.75</v>
      </c>
      <c r="AC15" s="86">
        <v>55.899749999999997</v>
      </c>
      <c r="AD15" s="86">
        <v>56.954999999999998</v>
      </c>
      <c r="AE15" s="86">
        <v>57.075749999999999</v>
      </c>
      <c r="AF15" s="201">
        <v>1067993.5828292524</v>
      </c>
      <c r="AG15" s="201">
        <v>808091.39693825436</v>
      </c>
      <c r="AH15" s="201">
        <v>1789853.511313939</v>
      </c>
      <c r="AI15" s="202">
        <v>595.61175228432967</v>
      </c>
      <c r="AJ15" s="202">
        <v>9911.6684520861145</v>
      </c>
      <c r="AK15" s="86">
        <v>352.94371791125519</v>
      </c>
      <c r="AL15" s="86">
        <v>98.144577856034871</v>
      </c>
      <c r="AM15" s="199">
        <v>13.020628525382756</v>
      </c>
      <c r="AN15" s="27">
        <f t="shared" si="0"/>
        <v>104817.77933973119</v>
      </c>
      <c r="AO15" s="200">
        <f t="shared" si="1"/>
        <v>23305.017685670762</v>
      </c>
      <c r="AP15" s="2">
        <f>主翼!K53</f>
        <v>0</v>
      </c>
      <c r="AQ15" s="29"/>
      <c r="AR15" s="29"/>
      <c r="AS15" s="29"/>
      <c r="AT15" s="29"/>
      <c r="AU15" s="1"/>
      <c r="AV15" s="2">
        <f>IF((AA15-AA14)&gt;0,(AI14+AI15+SQRT(AI14*AI15))*(AA15-AA14)/3*10^-6*$T$17,0)</f>
        <v>0.17996596197750961</v>
      </c>
    </row>
    <row r="16" spans="2:48">
      <c r="B16" t="s">
        <v>11</v>
      </c>
      <c r="M16" t="s">
        <v>1232</v>
      </c>
      <c r="X16" s="1"/>
      <c r="Y16" s="220">
        <v>10</v>
      </c>
      <c r="Z16" s="113" t="str">
        <f>IF(AA16&lt;$C$7,"0",IF(AA16&lt;$C$8,"0-1接合",IF(AA16&lt;$C$9,"1",IF(AA16&lt;$C$10,"1-2接合",IF(AA16&lt;$C$11,"2",IF(AA16&lt;$C$12,"2-3接合",IF(AA16&lt;$C$13,"3","ウィングレット")))))))</f>
        <v>1</v>
      </c>
      <c r="AA16" s="85">
        <f>VLOOKUP(Y16,主翼!B54:C160,2)</f>
        <v>2.6</v>
      </c>
      <c r="AB16" s="86">
        <v>53.95</v>
      </c>
      <c r="AC16" s="86">
        <v>55.082949999999997</v>
      </c>
      <c r="AD16" s="86">
        <v>56.155000000000001</v>
      </c>
      <c r="AE16" s="86">
        <v>56.258949999999999</v>
      </c>
      <c r="AF16" s="201">
        <v>1022734.0376046614</v>
      </c>
      <c r="AG16" s="201">
        <v>773582.11680316308</v>
      </c>
      <c r="AH16" s="201">
        <v>1713722.3215004622</v>
      </c>
      <c r="AI16" s="202">
        <v>587.05199746732058</v>
      </c>
      <c r="AJ16" s="202">
        <v>9628.4316256058228</v>
      </c>
      <c r="AK16" s="86">
        <v>347.86401947362458</v>
      </c>
      <c r="AL16" s="86">
        <v>98.144577856034871</v>
      </c>
      <c r="AM16" s="199">
        <v>13.020628525382756</v>
      </c>
      <c r="AN16" s="27">
        <f t="shared" si="0"/>
        <v>100375.80037970759</v>
      </c>
      <c r="AO16" s="200">
        <f t="shared" si="1"/>
        <v>22313.741743914081</v>
      </c>
      <c r="AP16" s="2">
        <f>主翼!K54</f>
        <v>0</v>
      </c>
      <c r="AQ16" s="29"/>
      <c r="AR16" s="29"/>
      <c r="AS16" s="29"/>
      <c r="AT16" s="29"/>
      <c r="AU16" s="1"/>
      <c r="AV16" s="2">
        <f>IF((AA16-AA15)&gt;0,(AI15+AI16+SQRT(AI15*AI16))*(AA16-AA15)/3*10^-6*$T$17,0)</f>
        <v>0.17739801362094659</v>
      </c>
    </row>
    <row r="17" spans="1:48">
      <c r="B17" s="10" t="s">
        <v>923</v>
      </c>
      <c r="C17" s="10" t="s">
        <v>1056</v>
      </c>
      <c r="D17" s="10" t="s">
        <v>1063</v>
      </c>
      <c r="E17" s="44" t="s">
        <v>1060</v>
      </c>
      <c r="F17" s="10" t="s">
        <v>1065</v>
      </c>
      <c r="G17" s="10" t="s">
        <v>636</v>
      </c>
      <c r="H17" s="14" t="s">
        <v>1</v>
      </c>
      <c r="I17" s="10" t="s">
        <v>1231</v>
      </c>
      <c r="J17" s="10" t="s">
        <v>1225</v>
      </c>
      <c r="M17" s="10" t="s">
        <v>1230</v>
      </c>
      <c r="N17" s="10" t="s">
        <v>1233</v>
      </c>
      <c r="O17" s="10" t="s">
        <v>1234</v>
      </c>
      <c r="P17" s="10" t="s">
        <v>1235</v>
      </c>
      <c r="S17" s="35" t="s">
        <v>1169</v>
      </c>
      <c r="T17" s="35">
        <f>パラメータ!D22</f>
        <v>1500</v>
      </c>
      <c r="U17" s="35" t="s">
        <v>66</v>
      </c>
      <c r="X17" s="1"/>
      <c r="Y17" s="220">
        <v>11</v>
      </c>
      <c r="Z17" s="113" t="str">
        <f>IF(AA17&lt;$C$7,"0",IF(AA17&lt;$C$8,"0-1接合",IF(AA17&lt;$C$9,"1",IF(AA17&lt;$C$10,"1-2接合",IF(AA17&lt;$C$11,"2",IF(AA17&lt;$C$12,"2-3接合",IF(AA17&lt;$C$13,"3","ウィングレット")))))))</f>
        <v>1</v>
      </c>
      <c r="AA17" s="85">
        <f>VLOOKUP(Y17,主翼!B55:C161,2)</f>
        <v>2.8000000000000003</v>
      </c>
      <c r="AB17" s="86">
        <v>53.15</v>
      </c>
      <c r="AC17" s="86">
        <v>54.266149999999996</v>
      </c>
      <c r="AD17" s="86">
        <v>55.354999999999997</v>
      </c>
      <c r="AE17" s="86">
        <v>55.442149999999998</v>
      </c>
      <c r="AF17" s="201">
        <v>978771.57605400798</v>
      </c>
      <c r="AG17" s="201">
        <v>740069.56173170707</v>
      </c>
      <c r="AH17" s="201">
        <v>1639781.0996483155</v>
      </c>
      <c r="AI17" s="202">
        <v>578.49224133104019</v>
      </c>
      <c r="AJ17" s="202">
        <v>9349.3004837326534</v>
      </c>
      <c r="AK17" s="86">
        <v>342.78432274926791</v>
      </c>
      <c r="AL17" s="86">
        <v>98.144577856034871</v>
      </c>
      <c r="AM17" s="199">
        <v>13.020628525382756</v>
      </c>
      <c r="AN17" s="27">
        <f t="shared" si="0"/>
        <v>96061.123149306542</v>
      </c>
      <c r="AO17" s="200">
        <f t="shared" si="1"/>
        <v>21350.980561464363</v>
      </c>
      <c r="AP17" s="2">
        <f>主翼!K55</f>
        <v>0</v>
      </c>
      <c r="AQ17" s="29"/>
      <c r="AR17" s="29"/>
      <c r="AS17" s="29"/>
      <c r="AT17" s="29"/>
      <c r="AU17" s="1"/>
      <c r="AV17" s="2">
        <f>IF((AA17-AA16)&gt;0,(AI16+AI17+SQRT(AI16*AI17))*(AA17-AA16)/3*10^-6*$T$17,0)</f>
        <v>0.17483006422747499</v>
      </c>
    </row>
    <row r="18" spans="1:48">
      <c r="B18" s="1" t="s">
        <v>45</v>
      </c>
      <c r="C18" s="1" t="s">
        <v>46</v>
      </c>
      <c r="D18" s="1" t="s">
        <v>1058</v>
      </c>
      <c r="E18" s="70" t="s">
        <v>1059</v>
      </c>
      <c r="F18" s="1" t="s">
        <v>494</v>
      </c>
      <c r="G18" s="1" t="s">
        <v>642</v>
      </c>
      <c r="H18" s="23" t="s">
        <v>494</v>
      </c>
      <c r="I18" s="1" t="s">
        <v>45</v>
      </c>
      <c r="J18" s="1" t="s">
        <v>494</v>
      </c>
      <c r="M18" s="1" t="s">
        <v>494</v>
      </c>
      <c r="N18" s="1" t="s">
        <v>46</v>
      </c>
      <c r="O18" s="1" t="s">
        <v>494</v>
      </c>
      <c r="P18" s="1" t="s">
        <v>45</v>
      </c>
      <c r="R18" s="278"/>
      <c r="S18" s="1" t="s">
        <v>943</v>
      </c>
      <c r="T18" s="22">
        <v>10</v>
      </c>
      <c r="U18" s="1" t="s">
        <v>837</v>
      </c>
      <c r="X18" s="1"/>
      <c r="Y18" s="220">
        <v>12</v>
      </c>
      <c r="Z18" s="113" t="str">
        <f>IF(AA18&lt;$C$7,"0",IF(AA18&lt;$C$8,"0-1接合",IF(AA18&lt;$C$9,"1",IF(AA18&lt;$C$10,"1-2接合",IF(AA18&lt;$C$11,"2",IF(AA18&lt;$C$12,"2-3接合",IF(AA18&lt;$C$13,"3","ウィングレット")))))))</f>
        <v>1</v>
      </c>
      <c r="AA18" s="85">
        <f>VLOOKUP(Y18,主翼!B56:C162,2)</f>
        <v>3.0000000000000004</v>
      </c>
      <c r="AB18" s="86">
        <v>52.349999999999994</v>
      </c>
      <c r="AC18" s="86">
        <v>53.449349999999988</v>
      </c>
      <c r="AD18" s="86">
        <v>54.554999999999993</v>
      </c>
      <c r="AE18" s="86">
        <v>54.62534999999999</v>
      </c>
      <c r="AF18" s="201">
        <v>936087.34026076109</v>
      </c>
      <c r="AG18" s="201">
        <v>707539.12570196204</v>
      </c>
      <c r="AH18" s="201">
        <v>1567997.8866341789</v>
      </c>
      <c r="AI18" s="202">
        <v>569.93248381788874</v>
      </c>
      <c r="AJ18" s="202">
        <v>9074.2750264666047</v>
      </c>
      <c r="AK18" s="86">
        <v>337.7046278154935</v>
      </c>
      <c r="AL18" s="86">
        <v>98.144577856034871</v>
      </c>
      <c r="AM18" s="199">
        <v>13.020628525382756</v>
      </c>
      <c r="AN18" s="27">
        <f t="shared" si="0"/>
        <v>91871.896846270873</v>
      </c>
      <c r="AO18" s="200">
        <f t="shared" si="1"/>
        <v>20416.318010448867</v>
      </c>
      <c r="AP18" s="2">
        <f>主翼!K56</f>
        <v>0</v>
      </c>
      <c r="AQ18" s="29"/>
      <c r="AR18" s="29"/>
      <c r="AS18" s="29"/>
      <c r="AT18" s="29"/>
      <c r="AU18" s="1"/>
      <c r="AV18" s="2">
        <f>IF((AA18-AA17)&gt;0,(AI17+AI18+SQRT(AI17*AI18))*(AA18-AA17)/3*10^-6*$T$17,0)</f>
        <v>0.1722621137512485</v>
      </c>
    </row>
    <row r="19" spans="1:48" ht="21" thickBot="1">
      <c r="B19" s="20" t="s">
        <v>45</v>
      </c>
      <c r="C19" s="20" t="s">
        <v>45</v>
      </c>
      <c r="D19" s="20" t="s">
        <v>1054</v>
      </c>
      <c r="E19" s="236" t="s">
        <v>1054</v>
      </c>
      <c r="F19" s="20" t="s">
        <v>5</v>
      </c>
      <c r="G19" s="20" t="s">
        <v>1064</v>
      </c>
      <c r="H19" s="183" t="s">
        <v>5</v>
      </c>
      <c r="I19" s="20" t="s">
        <v>45</v>
      </c>
      <c r="J19" s="20" t="s">
        <v>5</v>
      </c>
      <c r="M19" s="20" t="s">
        <v>5</v>
      </c>
      <c r="N19" s="20" t="s">
        <v>6</v>
      </c>
      <c r="O19" s="20" t="s">
        <v>5</v>
      </c>
      <c r="P19" s="20" t="s">
        <v>45</v>
      </c>
      <c r="S19" s="1" t="s">
        <v>944</v>
      </c>
      <c r="T19" s="22">
        <v>10</v>
      </c>
      <c r="U19" s="1" t="s">
        <v>837</v>
      </c>
      <c r="X19" s="1"/>
      <c r="Y19" s="220">
        <v>13</v>
      </c>
      <c r="Z19" s="113" t="str">
        <f>IF(AA19&lt;$C$7,"0",IF(AA19&lt;$C$8,"0-1接合",IF(AA19&lt;$C$9,"1",IF(AA19&lt;$C$10,"1-2接合",IF(AA19&lt;$C$11,"2",IF(AA19&lt;$C$12,"2-3接合",IF(AA19&lt;$C$13,"3","ウィングレット")))))))</f>
        <v>1</v>
      </c>
      <c r="AA19" s="85">
        <f>VLOOKUP(Y19,主翼!B57:C163,2)</f>
        <v>3.2000000000000006</v>
      </c>
      <c r="AB19" s="86">
        <v>51.55</v>
      </c>
      <c r="AC19" s="86">
        <v>52.632549999999995</v>
      </c>
      <c r="AD19" s="86">
        <v>53.754999999999995</v>
      </c>
      <c r="AE19" s="86">
        <v>53.808549999999997</v>
      </c>
      <c r="AF19" s="201">
        <v>894662.47230836505</v>
      </c>
      <c r="AG19" s="201">
        <v>675976.20269203256</v>
      </c>
      <c r="AH19" s="201">
        <v>1498340.7233347527</v>
      </c>
      <c r="AI19" s="202">
        <v>561.37272486687107</v>
      </c>
      <c r="AJ19" s="202">
        <v>8803.3552538076838</v>
      </c>
      <c r="AK19" s="86">
        <v>332.62493475432638</v>
      </c>
      <c r="AL19" s="86">
        <v>98.144577856034871</v>
      </c>
      <c r="AM19" s="199">
        <v>13.020628525382756</v>
      </c>
      <c r="AN19" s="27">
        <f t="shared" si="0"/>
        <v>87806.270668340978</v>
      </c>
      <c r="AO19" s="200">
        <f t="shared" si="1"/>
        <v>19509.337962995112</v>
      </c>
      <c r="AP19" s="2">
        <f>主翼!K57</f>
        <v>0</v>
      </c>
      <c r="AQ19" s="29"/>
      <c r="AR19" s="29"/>
      <c r="AS19" s="29"/>
      <c r="AT19" s="29"/>
      <c r="AU19" s="1"/>
      <c r="AV19" s="2">
        <f>IF((AA19-AA18)&gt;0,(AI18+AI19+SQRT(AI18*AI19))*(AA19-AA18)/3*10^-6*$T$17,0)</f>
        <v>0.16969416214367974</v>
      </c>
    </row>
    <row r="20" spans="1:48" ht="21" thickTop="1">
      <c r="A20" s="271" t="s">
        <v>523</v>
      </c>
      <c r="B20" s="193" t="s">
        <v>530</v>
      </c>
      <c r="C20" s="50">
        <v>1</v>
      </c>
      <c r="D20" s="25">
        <f>VLOOKUP(主桁!$B20,積層構成!$B$7:$M$29,7)</f>
        <v>1.6950000000000001</v>
      </c>
      <c r="E20" s="267">
        <f>VLOOKUP(主桁!$B20,積層構成!$B$7:$M$29,8)</f>
        <v>1.6950000000000001</v>
      </c>
      <c r="F20" s="291">
        <v>3.5</v>
      </c>
      <c r="G20" s="50">
        <v>0</v>
      </c>
      <c r="H20" s="274">
        <v>4</v>
      </c>
      <c r="I20" s="193">
        <v>6</v>
      </c>
      <c r="J20" s="50">
        <v>8</v>
      </c>
      <c r="L20" t="s">
        <v>1227</v>
      </c>
      <c r="M20" s="50">
        <v>0.35</v>
      </c>
      <c r="N20" s="270">
        <v>-4</v>
      </c>
      <c r="O20" s="50">
        <v>0.5</v>
      </c>
      <c r="P20" s="193">
        <v>2</v>
      </c>
      <c r="S20" s="1" t="s">
        <v>945</v>
      </c>
      <c r="T20" s="28">
        <v>1000</v>
      </c>
      <c r="U20" s="1" t="s">
        <v>837</v>
      </c>
      <c r="X20" s="1"/>
      <c r="Y20" s="220">
        <v>14</v>
      </c>
      <c r="Z20" s="113" t="str">
        <f>IF(AA20&lt;$C$7,"0",IF(AA20&lt;$C$8,"0-1接合",IF(AA20&lt;$C$9,"1",IF(AA20&lt;$C$10,"1-2接合",IF(AA20&lt;$C$11,"2",IF(AA20&lt;$C$12,"2-3接合",IF(AA20&lt;$C$13,"3","ウィングレット")))))))</f>
        <v>1</v>
      </c>
      <c r="AA20" s="85">
        <f>VLOOKUP(Y20,主翼!B58:C164,2)</f>
        <v>3.4000000000000008</v>
      </c>
      <c r="AB20" s="86">
        <v>50.75</v>
      </c>
      <c r="AC20" s="86">
        <v>51.815749999999994</v>
      </c>
      <c r="AD20" s="86">
        <v>52.954999999999998</v>
      </c>
      <c r="AE20" s="86">
        <v>52.991749999999996</v>
      </c>
      <c r="AF20" s="201">
        <v>854478.11428028019</v>
      </c>
      <c r="AG20" s="201">
        <v>645366.18667999993</v>
      </c>
      <c r="AH20" s="201">
        <v>1430777.6506266897</v>
      </c>
      <c r="AI20" s="202">
        <v>552.81296441332825</v>
      </c>
      <c r="AJ20" s="202">
        <v>8536.5411657558852</v>
      </c>
      <c r="AK20" s="86">
        <v>327.54524365288643</v>
      </c>
      <c r="AL20" s="86">
        <v>98.144577856034871</v>
      </c>
      <c r="AM20" s="199">
        <v>13.020628525382756</v>
      </c>
      <c r="AN20" s="27">
        <f t="shared" si="0"/>
        <v>83862.393813258823</v>
      </c>
      <c r="AO20" s="200">
        <f t="shared" si="1"/>
        <v>18629.624291229997</v>
      </c>
      <c r="AP20" s="2">
        <f>主翼!K58</f>
        <v>0</v>
      </c>
      <c r="AQ20" s="29"/>
      <c r="AR20" s="29"/>
      <c r="AS20" s="29"/>
      <c r="AT20" s="29"/>
      <c r="AU20" s="1"/>
      <c r="AV20" s="2">
        <f>IF((AA20-AA19)&gt;0,(AI19+AI20+SQRT(AI19*AI20))*(AA20-AA19)/3*10^-6*$T$17,0)</f>
        <v>0.1671262093532295</v>
      </c>
    </row>
    <row r="21" spans="1:48" ht="21" thickBot="1">
      <c r="A21" s="271"/>
      <c r="B21" s="194" t="s">
        <v>1026</v>
      </c>
      <c r="C21" s="195">
        <v>1</v>
      </c>
      <c r="D21" s="196">
        <f>VLOOKUP(主桁!$B21,積層構成!$B$7:$M$29,7)</f>
        <v>1.6950000000000001</v>
      </c>
      <c r="E21" s="275">
        <f>VLOOKUP(主桁!$B21,積層構成!$B$7:$M$29,8)</f>
        <v>1.6950000000000001</v>
      </c>
      <c r="F21" s="277"/>
      <c r="G21" s="272"/>
      <c r="H21" s="273"/>
      <c r="I21" s="273"/>
      <c r="J21" s="273"/>
      <c r="L21" t="s">
        <v>1228</v>
      </c>
      <c r="M21" s="22">
        <v>0.3</v>
      </c>
      <c r="N21" s="269">
        <v>0</v>
      </c>
      <c r="O21" s="22">
        <v>0.5</v>
      </c>
      <c r="P21" s="28">
        <v>2</v>
      </c>
      <c r="X21" s="1"/>
      <c r="Y21" s="220">
        <v>15</v>
      </c>
      <c r="Z21" s="113" t="str">
        <f>IF(AA21&lt;$C$7,"0",IF(AA21&lt;$C$8,"0-1接合",IF(AA21&lt;$C$9,"1",IF(AA21&lt;$C$10,"1-2接合",IF(AA21&lt;$C$11,"2",IF(AA21&lt;$C$12,"2-3接合",IF(AA21&lt;$C$13,"3","ウィングレット")))))))</f>
        <v>1</v>
      </c>
      <c r="AA21" s="85">
        <f>VLOOKUP(Y21,主翼!B59:C165,2)</f>
        <v>3.600000000000001</v>
      </c>
      <c r="AB21" s="86">
        <v>49.949999999999996</v>
      </c>
      <c r="AC21" s="86">
        <v>50.998949999999994</v>
      </c>
      <c r="AD21" s="86">
        <v>52.154999999999994</v>
      </c>
      <c r="AE21" s="86">
        <v>52.174949999999995</v>
      </c>
      <c r="AF21" s="201">
        <v>815515.40825995337</v>
      </c>
      <c r="AG21" s="201">
        <v>615694.47164392041</v>
      </c>
      <c r="AH21" s="201">
        <v>1365276.709386691</v>
      </c>
      <c r="AI21" s="202">
        <v>544.25320238868721</v>
      </c>
      <c r="AJ21" s="202">
        <v>8273.8327623112091</v>
      </c>
      <c r="AK21" s="86">
        <v>322.46555460376749</v>
      </c>
      <c r="AL21" s="86">
        <v>98.144577856034871</v>
      </c>
      <c r="AM21" s="199">
        <v>13.020628525382756</v>
      </c>
      <c r="AN21" s="27">
        <f t="shared" si="0"/>
        <v>80038.415478765062</v>
      </c>
      <c r="AO21" s="200">
        <f t="shared" si="1"/>
        <v>17776.760867281053</v>
      </c>
      <c r="AP21" s="2">
        <f>主翼!K59</f>
        <v>0</v>
      </c>
      <c r="AQ21" s="29"/>
      <c r="AR21" s="29"/>
      <c r="AS21" s="29"/>
      <c r="AT21" s="29"/>
      <c r="AU21" s="1"/>
      <c r="AV21" s="2">
        <f>IF((AA21-AA20)&gt;0,(AI20+AI21+SQRT(AI20*AI21))*(AA21-AA20)/3*10^-6*$T$17,0)</f>
        <v>0.16455825532518087</v>
      </c>
    </row>
    <row r="22" spans="1:48" ht="21" thickTop="1">
      <c r="A22" s="271" t="s">
        <v>524</v>
      </c>
      <c r="B22" s="193" t="s">
        <v>968</v>
      </c>
      <c r="C22" s="50">
        <v>1.0209999999999999</v>
      </c>
      <c r="D22" s="25">
        <f>VLOOKUP(主桁!$B22,積層構成!$B$7:$M$29,7)</f>
        <v>2.2050000000000001</v>
      </c>
      <c r="E22" s="267">
        <f>VLOOKUP(主桁!$B22,積層構成!$B$7:$M$29,8)</f>
        <v>1.1759999999999999</v>
      </c>
      <c r="F22" s="5">
        <v>3.8</v>
      </c>
      <c r="G22" s="4">
        <v>8</v>
      </c>
      <c r="H22" s="276">
        <v>3.5</v>
      </c>
      <c r="I22" s="135">
        <v>5</v>
      </c>
      <c r="J22" s="4">
        <v>6.5</v>
      </c>
      <c r="L22" t="s">
        <v>1229</v>
      </c>
      <c r="M22" s="22">
        <v>0.3</v>
      </c>
      <c r="N22" s="269">
        <v>-2.5</v>
      </c>
      <c r="O22" s="22">
        <v>0.5</v>
      </c>
      <c r="P22" s="28">
        <v>2</v>
      </c>
      <c r="X22" s="1"/>
      <c r="Y22" s="220">
        <v>16</v>
      </c>
      <c r="Z22" s="113" t="str">
        <f>IF(AA22&lt;$C$7,"0",IF(AA22&lt;$C$8,"0-1接合",IF(AA22&lt;$C$9,"1",IF(AA22&lt;$C$10,"1-2接合",IF(AA22&lt;$C$11,"2",IF(AA22&lt;$C$12,"2-3接合",IF(AA22&lt;$C$13,"3","ウィングレット")))))))</f>
        <v>1</v>
      </c>
      <c r="AA22" s="85">
        <f>VLOOKUP(Y22,主翼!B60:C166,2)</f>
        <v>3.8000000000000012</v>
      </c>
      <c r="AB22" s="86">
        <v>49.149999999999991</v>
      </c>
      <c r="AC22" s="86">
        <v>50.182149999999986</v>
      </c>
      <c r="AD22" s="86">
        <v>51.35499999999999</v>
      </c>
      <c r="AE22" s="86">
        <v>51.358149999999988</v>
      </c>
      <c r="AF22" s="201">
        <v>777755.49633082643</v>
      </c>
      <c r="AG22" s="201">
        <v>586946.45156191336</v>
      </c>
      <c r="AH22" s="201">
        <v>1301805.9404914088</v>
      </c>
      <c r="AI22" s="202">
        <v>535.69343872010734</v>
      </c>
      <c r="AJ22" s="202">
        <v>8015.2300434736553</v>
      </c>
      <c r="AK22" s="86">
        <v>317.38586770550478</v>
      </c>
      <c r="AL22" s="86">
        <v>98.144577856034871</v>
      </c>
      <c r="AM22" s="199">
        <v>13.020628525382756</v>
      </c>
      <c r="AN22" s="27">
        <f t="shared" si="0"/>
        <v>76332.484862599842</v>
      </c>
      <c r="AO22" s="200">
        <f t="shared" si="1"/>
        <v>16950.331563275166</v>
      </c>
      <c r="AP22" s="2">
        <f>主翼!K60</f>
        <v>0</v>
      </c>
      <c r="AQ22" s="29"/>
      <c r="AR22" s="29"/>
      <c r="AS22" s="29"/>
      <c r="AT22" s="29"/>
      <c r="AU22" s="1"/>
      <c r="AV22" s="2">
        <f>IF((AA22-AA21)&gt;0,(AI21+AI22+SQRT(AI21*AI22))*(AA22-AA21)/3*10^-6*$T$17,0)</f>
        <v>0.16199030000138712</v>
      </c>
    </row>
    <row r="23" spans="1:48" ht="21" thickBot="1">
      <c r="A23" s="271"/>
      <c r="B23" s="194" t="s">
        <v>968</v>
      </c>
      <c r="C23" s="195">
        <v>1.0209999999999999</v>
      </c>
      <c r="D23" s="196">
        <f>VLOOKUP(主桁!$B23,積層構成!$B$7:$M$29,7)</f>
        <v>2.2050000000000001</v>
      </c>
      <c r="E23" s="275">
        <f>VLOOKUP(主桁!$B23,積層構成!$B$7:$M$29,8)</f>
        <v>1.1759999999999999</v>
      </c>
      <c r="F23" s="277"/>
      <c r="G23" s="272"/>
      <c r="H23" s="273"/>
      <c r="I23" s="273"/>
      <c r="J23" s="273"/>
      <c r="X23" s="1"/>
      <c r="Y23" s="220">
        <v>17</v>
      </c>
      <c r="Z23" s="113" t="str">
        <f>IF(AA23&lt;$C$7,"0",IF(AA23&lt;$C$8,"0-1接合",IF(AA23&lt;$C$9,"1",IF(AA23&lt;$C$10,"1-2接合",IF(AA23&lt;$C$11,"2",IF(AA23&lt;$C$12,"2-3接合",IF(AA23&lt;$C$13,"3","ウィングレット")))))))</f>
        <v>1</v>
      </c>
      <c r="AA23" s="85">
        <f>VLOOKUP(Y23,主翼!B61:C167,2)</f>
        <v>4.0000000000000009</v>
      </c>
      <c r="AB23" s="86">
        <v>48.349999999999994</v>
      </c>
      <c r="AC23" s="86">
        <v>49.365349999999992</v>
      </c>
      <c r="AD23" s="86">
        <v>50.554999999999993</v>
      </c>
      <c r="AE23" s="86">
        <v>50.541349999999994</v>
      </c>
      <c r="AF23" s="201">
        <v>741179.52057635342</v>
      </c>
      <c r="AG23" s="201">
        <v>559107.52041201096</v>
      </c>
      <c r="AH23" s="201">
        <v>1240333.3848175448</v>
      </c>
      <c r="AI23" s="202">
        <v>527.13367333020426</v>
      </c>
      <c r="AJ23" s="202">
        <v>7760.7330092432285</v>
      </c>
      <c r="AK23" s="86">
        <v>312.30618306303074</v>
      </c>
      <c r="AL23" s="86">
        <v>98.144577856034871</v>
      </c>
      <c r="AM23" s="199">
        <v>13.020628525382756</v>
      </c>
      <c r="AN23" s="27">
        <f t="shared" si="0"/>
        <v>72742.75116250453</v>
      </c>
      <c r="AO23" s="200">
        <f t="shared" si="1"/>
        <v>16149.920251339872</v>
      </c>
      <c r="AP23" s="2">
        <f>主翼!K61</f>
        <v>0</v>
      </c>
      <c r="AQ23" s="29"/>
      <c r="AR23" s="29"/>
      <c r="AS23" s="29"/>
      <c r="AT23" s="29"/>
      <c r="AU23" s="1"/>
      <c r="AV23" s="2">
        <f>IF((AA23-AA22)&gt;0,(AI22+AI23+SQRT(AI22*AI23))*(AA23-AA22)/3*10^-6*$T$17,0)</f>
        <v>0.15942234331999941</v>
      </c>
    </row>
    <row r="24" spans="1:48" ht="21" thickTop="1">
      <c r="A24" s="271" t="s">
        <v>525</v>
      </c>
      <c r="B24" s="193" t="s">
        <v>1041</v>
      </c>
      <c r="C24" s="50">
        <v>1.0149999999999999</v>
      </c>
      <c r="D24" s="25">
        <f>VLOOKUP(主桁!$B24,積層構成!$B$7:$M$29,7)</f>
        <v>1.7639999999999998</v>
      </c>
      <c r="E24" s="267">
        <f>VLOOKUP(主桁!$B24,積層構成!$B$7:$M$29,8)</f>
        <v>1.1759999999999999</v>
      </c>
      <c r="F24" s="5">
        <v>3.8</v>
      </c>
      <c r="G24" s="4">
        <v>8</v>
      </c>
      <c r="H24" s="276">
        <v>1.75</v>
      </c>
      <c r="I24" s="135">
        <v>2.1666666666666701</v>
      </c>
      <c r="J24" s="4">
        <v>2.5833333333333299</v>
      </c>
      <c r="X24" s="1"/>
      <c r="Y24" s="220">
        <v>18</v>
      </c>
      <c r="Z24" s="113" t="str">
        <f>IF(AA24&lt;$C$7,"0",IF(AA24&lt;$C$8,"0-1接合",IF(AA24&lt;$C$9,"1",IF(AA24&lt;$C$10,"1-2接合",IF(AA24&lt;$C$11,"2",IF(AA24&lt;$C$12,"2-3接合",IF(AA24&lt;$C$13,"3","ウィングレット")))))))</f>
        <v>1</v>
      </c>
      <c r="AA24" s="85">
        <f>VLOOKUP(Y24,主翼!B62:C168,2)</f>
        <v>4.2000000000000011</v>
      </c>
      <c r="AB24" s="86">
        <v>47.55</v>
      </c>
      <c r="AC24" s="86">
        <v>48.548549999999992</v>
      </c>
      <c r="AD24" s="86">
        <v>49.754999999999995</v>
      </c>
      <c r="AE24" s="86">
        <v>49.724549999999994</v>
      </c>
      <c r="AF24" s="201">
        <v>705768.62307997711</v>
      </c>
      <c r="AG24" s="201">
        <v>532163.07217230392</v>
      </c>
      <c r="AH24" s="201">
        <v>1180827.0832417463</v>
      </c>
      <c r="AI24" s="202">
        <v>518.57390613666166</v>
      </c>
      <c r="AJ24" s="202">
        <v>7510.3416596199231</v>
      </c>
      <c r="AK24" s="86">
        <v>307.22650078823483</v>
      </c>
      <c r="AL24" s="86">
        <v>98.144577856034871</v>
      </c>
      <c r="AM24" s="199">
        <v>13.020628525382756</v>
      </c>
      <c r="AN24" s="27">
        <f t="shared" si="0"/>
        <v>69267.363576219344</v>
      </c>
      <c r="AO24" s="200">
        <f t="shared" si="1"/>
        <v>15375.110803602001</v>
      </c>
      <c r="AP24" s="2">
        <f>主翼!K62</f>
        <v>0</v>
      </c>
      <c r="AQ24" s="29"/>
      <c r="AR24" s="29"/>
      <c r="AS24" s="29"/>
      <c r="AT24" s="29"/>
      <c r="AU24" s="1"/>
      <c r="AV24" s="2">
        <f>IF((AA24-AA23)&gt;0,(AI23+AI24+SQRT(AI23*AI24))*(AA24-AA23)/3*10^-6*$T$17,0)</f>
        <v>0.15685438521517403</v>
      </c>
    </row>
    <row r="25" spans="1:48" ht="21" thickBot="1">
      <c r="A25" s="271"/>
      <c r="B25" s="194" t="s">
        <v>1041</v>
      </c>
      <c r="C25" s="195">
        <v>1.0149999999999999</v>
      </c>
      <c r="D25" s="196">
        <f>VLOOKUP(主桁!$B25,積層構成!$B$7:$M$29,7)</f>
        <v>1.7639999999999998</v>
      </c>
      <c r="E25" s="275">
        <f>VLOOKUP(主桁!$B25,積層構成!$B$7:$M$29,8)</f>
        <v>1.1759999999999999</v>
      </c>
      <c r="F25" s="277"/>
      <c r="G25" s="272"/>
      <c r="H25" s="273"/>
      <c r="I25" s="273"/>
      <c r="J25" s="273"/>
      <c r="X25" s="1"/>
      <c r="Y25" s="220">
        <v>19</v>
      </c>
      <c r="Z25" s="113" t="str">
        <f>IF(AA25&lt;$C$7,"0",IF(AA25&lt;$C$8,"0-1接合",IF(AA25&lt;$C$9,"1",IF(AA25&lt;$C$10,"1-2接合",IF(AA25&lt;$C$11,"2",IF(AA25&lt;$C$12,"2-3接合",IF(AA25&lt;$C$13,"3","ウィングレット")))))))</f>
        <v>1</v>
      </c>
      <c r="AA25" s="85">
        <f>VLOOKUP(Y25,主翼!B63:C169,2)</f>
        <v>4.4000000000000012</v>
      </c>
      <c r="AB25" s="86">
        <v>46.749999999999993</v>
      </c>
      <c r="AC25" s="86">
        <v>47.731749999999991</v>
      </c>
      <c r="AD25" s="86">
        <v>48.954999999999991</v>
      </c>
      <c r="AE25" s="86">
        <v>48.907749999999993</v>
      </c>
      <c r="AF25" s="201">
        <v>671503.94592512609</v>
      </c>
      <c r="AG25" s="201">
        <v>506098.50082082849</v>
      </c>
      <c r="AH25" s="201">
        <v>1123255.0766407165</v>
      </c>
      <c r="AI25" s="202">
        <v>510.01413705181182</v>
      </c>
      <c r="AJ25" s="202">
        <v>7264.0559946037401</v>
      </c>
      <c r="AK25" s="86">
        <v>302.14682100051664</v>
      </c>
      <c r="AL25" s="86">
        <v>98.144577856034871</v>
      </c>
      <c r="AM25" s="199">
        <v>13.020628525382756</v>
      </c>
      <c r="AN25" s="27">
        <f t="shared" si="0"/>
        <v>65904.471301483165</v>
      </c>
      <c r="AO25" s="200">
        <f t="shared" si="1"/>
        <v>14625.487092189107</v>
      </c>
      <c r="AP25" s="2">
        <f>主翼!K63</f>
        <v>0</v>
      </c>
      <c r="AQ25" s="29"/>
      <c r="AR25" s="29"/>
      <c r="AS25" s="29"/>
      <c r="AT25" s="29"/>
      <c r="AU25" s="1"/>
      <c r="AV25" s="2">
        <f>IF((AA25-AA24)&gt;0,(AI24+AI25+SQRT(AI24*AI25))*(AA25-AA24)/3*10^-6*$T$17,0)</f>
        <v>0.15428642561673336</v>
      </c>
    </row>
    <row r="26" spans="1:48" ht="21" thickTop="1">
      <c r="A26" s="271" t="s">
        <v>526</v>
      </c>
      <c r="B26" s="135" t="s">
        <v>1044</v>
      </c>
      <c r="C26" s="4">
        <v>1</v>
      </c>
      <c r="D26" s="2">
        <f>VLOOKUP(主桁!$B26,積層構成!$B$7:$M$29,7)</f>
        <v>1.1759999999999999</v>
      </c>
      <c r="E26" s="237">
        <f>VLOOKUP(主桁!$B26,積層構成!$B$7:$M$29,8)</f>
        <v>1.1759999999999999</v>
      </c>
      <c r="F26" s="5">
        <v>3.8</v>
      </c>
      <c r="G26" s="4">
        <v>8.5</v>
      </c>
      <c r="H26" s="276">
        <v>1.25</v>
      </c>
      <c r="I26" s="135">
        <v>1.1666666666666601</v>
      </c>
      <c r="J26" s="4">
        <v>1.0833333333333199</v>
      </c>
      <c r="X26" s="1"/>
      <c r="Y26" s="220">
        <v>20</v>
      </c>
      <c r="Z26" s="113" t="str">
        <f>IF(AA26&lt;$C$7,"0",IF(AA26&lt;$C$8,"0-1接合",IF(AA26&lt;$C$9,"1",IF(AA26&lt;$C$10,"1-2接合",IF(AA26&lt;$C$11,"2",IF(AA26&lt;$C$12,"2-3接合",IF(AA26&lt;$C$13,"3","ウィングレット")))))))</f>
        <v>1</v>
      </c>
      <c r="AA26" s="85">
        <f>VLOOKUP(Y26,主翼!B64:C170,2)</f>
        <v>4.6000000000000014</v>
      </c>
      <c r="AB26" s="86">
        <v>45.949999999999996</v>
      </c>
      <c r="AC26" s="86">
        <v>46.91494999999999</v>
      </c>
      <c r="AD26" s="86">
        <v>48.154999999999994</v>
      </c>
      <c r="AE26" s="86">
        <v>48.090949999999992</v>
      </c>
      <c r="AF26" s="201">
        <v>638366.6311952516</v>
      </c>
      <c r="AG26" s="201">
        <v>480899.20033566101</v>
      </c>
      <c r="AH26" s="201">
        <v>1067585.4058910895</v>
      </c>
      <c r="AI26" s="202">
        <v>501.45436598225274</v>
      </c>
      <c r="AJ26" s="202">
        <v>7021.8760141946823</v>
      </c>
      <c r="AK26" s="86">
        <v>297.06714382743826</v>
      </c>
      <c r="AL26" s="86">
        <v>98.144577856034871</v>
      </c>
      <c r="AM26" s="199">
        <v>13.020628525382756</v>
      </c>
      <c r="AN26" s="27">
        <f t="shared" si="0"/>
        <v>62652.223536037076</v>
      </c>
      <c r="AO26" s="200">
        <f t="shared" si="1"/>
        <v>13900.632989227848</v>
      </c>
      <c r="AP26" s="2">
        <f>主翼!K64</f>
        <v>0</v>
      </c>
      <c r="AQ26" s="29"/>
      <c r="AR26" s="29"/>
      <c r="AS26" s="29"/>
      <c r="AT26" s="29"/>
      <c r="AU26" s="1"/>
      <c r="AV26" s="2">
        <f>IF((AA26-AA25)&gt;0,(AI25+AI26+SQRT(AI25*AI26))*(AA26-AA25)/3*10^-6*$T$17,0)</f>
        <v>0.15171846444981305</v>
      </c>
    </row>
    <row r="27" spans="1:48">
      <c r="B27" s="135" t="s">
        <v>1044</v>
      </c>
      <c r="C27" s="4">
        <v>1</v>
      </c>
      <c r="D27" s="2">
        <f>VLOOKUP(主桁!$B27,積層構成!$B$7:$M$29,7)</f>
        <v>1.1759999999999999</v>
      </c>
      <c r="E27" s="237">
        <f>VLOOKUP(主桁!$B27,積層構成!$B$7:$M$29,8)</f>
        <v>1.1759999999999999</v>
      </c>
      <c r="X27" s="1"/>
      <c r="Y27" s="220">
        <v>21</v>
      </c>
      <c r="Z27" s="113" t="str">
        <f>IF(AA27&lt;$C$7,"0",IF(AA27&lt;$C$8,"0-1接合",IF(AA27&lt;$C$9,"1",IF(AA27&lt;$C$10,"1-2接合",IF(AA27&lt;$C$11,"2",IF(AA27&lt;$C$12,"2-3接合",IF(AA27&lt;$C$13,"3","ウィングレット")))))))</f>
        <v>1</v>
      </c>
      <c r="AA27" s="85">
        <f>VLOOKUP(Y27,主翼!B65:C171,2)</f>
        <v>4.7500000000000018</v>
      </c>
      <c r="AB27" s="86">
        <v>45.349999999999994</v>
      </c>
      <c r="AC27" s="86">
        <v>46.30234999999999</v>
      </c>
      <c r="AD27" s="86">
        <v>47.554999999999993</v>
      </c>
      <c r="AE27" s="86">
        <v>47.478349999999992</v>
      </c>
      <c r="AF27" s="201">
        <v>614242.13252379408</v>
      </c>
      <c r="AG27" s="201">
        <v>462558.77254271222</v>
      </c>
      <c r="AH27" s="201">
        <v>1027062.3353212699</v>
      </c>
      <c r="AI27" s="202">
        <v>495.03453631789654</v>
      </c>
      <c r="AJ27" s="202">
        <v>6842.9353844113139</v>
      </c>
      <c r="AK27" s="86">
        <v>293.2573877452179</v>
      </c>
      <c r="AL27" s="86">
        <v>98.144577856034871</v>
      </c>
      <c r="AM27" s="199">
        <v>13.020628525382756</v>
      </c>
      <c r="AN27" s="27">
        <f t="shared" si="0"/>
        <v>60284.534797938402</v>
      </c>
      <c r="AO27" s="200">
        <f t="shared" si="1"/>
        <v>13372.997140630358</v>
      </c>
      <c r="AP27" s="2">
        <f>主翼!K65</f>
        <v>0</v>
      </c>
      <c r="AQ27" s="29"/>
      <c r="AR27" s="29"/>
      <c r="AS27" s="29"/>
      <c r="AT27" s="29"/>
      <c r="AU27" s="1"/>
      <c r="AV27" s="2">
        <f>IF((AA27-AA26)&gt;0,(AI26+AI27+SQRT(AI26*AI27))*(AA27-AA26)/3*10^-6*$T$17,0)</f>
        <v>0.11210422601140921</v>
      </c>
    </row>
    <row r="28" spans="1:48">
      <c r="X28" s="1"/>
      <c r="Y28" s="220">
        <v>22</v>
      </c>
      <c r="Z28" s="113" t="str">
        <f>IF(AA28&lt;$C$7,"0",IF(AA28&lt;$C$8,"0-1接合",IF(AA28&lt;$C$9,"1",IF(AA28&lt;$C$10,"1-2接合",IF(AA28&lt;$C$11,"2",IF(AA28&lt;$C$12,"2-3接合",IF(AA28&lt;$C$13,"3","ウィングレット")))))))</f>
        <v>1-2接合</v>
      </c>
      <c r="AA28" s="85">
        <f>VLOOKUP(Y28,主翼!B66:C172,2)</f>
        <v>4.9000000000000021</v>
      </c>
      <c r="AB28" s="86">
        <v>44.749999999999993</v>
      </c>
      <c r="AC28" s="86">
        <v>45.689749999999989</v>
      </c>
      <c r="AD28" s="86">
        <v>50.013999999999996</v>
      </c>
      <c r="AE28" s="86">
        <v>50.14974999999999</v>
      </c>
      <c r="AF28" s="201">
        <v>1696264.7836370231</v>
      </c>
      <c r="AG28" s="201">
        <v>1606219.4316736383</v>
      </c>
      <c r="AH28" s="201">
        <v>3292205.2906225957</v>
      </c>
      <c r="AI28" s="202">
        <v>1455.0371499687415</v>
      </c>
      <c r="AJ28" s="202">
        <v>7133.0916602100242</v>
      </c>
      <c r="AK28" s="86">
        <v>299.41318156977997</v>
      </c>
      <c r="AL28" s="86">
        <v>92.023981569427491</v>
      </c>
      <c r="AM28" s="199">
        <v>14.148207091055601</v>
      </c>
      <c r="AN28" s="27">
        <f t="shared" si="0"/>
        <v>156097.03918628232</v>
      </c>
      <c r="AO28" s="200">
        <f t="shared" si="1"/>
        <v>46578.802237997377</v>
      </c>
      <c r="AP28" s="2">
        <f>主翼!K66</f>
        <v>0</v>
      </c>
      <c r="AQ28" s="29"/>
      <c r="AR28" s="29"/>
      <c r="AS28" s="29"/>
      <c r="AT28" s="29"/>
      <c r="AU28" s="1"/>
      <c r="AV28" s="2">
        <f>IF((AA28-AA27)&gt;0,(AI27+AI28+SQRT(AI27*AI28))*(AA28-AA27)/3*10^-6*$T$17,0)</f>
        <v>0.20990796267063094</v>
      </c>
    </row>
    <row r="29" spans="1:48">
      <c r="X29" s="1"/>
      <c r="Y29" s="220">
        <v>23</v>
      </c>
      <c r="Z29" s="113" t="str">
        <f>IF(AA29&lt;$C$7,"0",IF(AA29&lt;$C$8,"0-1接合",IF(AA29&lt;$C$9,"1",IF(AA29&lt;$C$10,"1-2接合",IF(AA29&lt;$C$11,"2",IF(AA29&lt;$C$12,"2-3接合",IF(AA29&lt;$C$13,"3","ウィングレット")))))))</f>
        <v>1-2接合</v>
      </c>
      <c r="AA29" s="85">
        <f>VLOOKUP(Y29,主翼!B67:C173,2)</f>
        <v>5.0500000000000025</v>
      </c>
      <c r="AB29" s="86">
        <v>44.149999999999991</v>
      </c>
      <c r="AC29" s="86">
        <v>45.077149999999989</v>
      </c>
      <c r="AD29" s="86">
        <v>49.413999999999994</v>
      </c>
      <c r="AE29" s="86">
        <v>49.540749999999989</v>
      </c>
      <c r="AF29" s="201">
        <v>1632899.7700968154</v>
      </c>
      <c r="AG29" s="201">
        <v>1546513.4215529545</v>
      </c>
      <c r="AH29" s="201">
        <v>3169612.0703123393</v>
      </c>
      <c r="AI29" s="202">
        <v>1437.0909924367886</v>
      </c>
      <c r="AJ29" s="202">
        <v>6952.9957910955472</v>
      </c>
      <c r="AK29" s="86">
        <v>295.6090944579729</v>
      </c>
      <c r="AL29" s="86">
        <v>92.023981569427491</v>
      </c>
      <c r="AM29" s="199">
        <v>14.148207091055601</v>
      </c>
      <c r="AN29" s="27">
        <f t="shared" si="0"/>
        <v>150265.93834811173</v>
      </c>
      <c r="AO29" s="200">
        <f t="shared" si="1"/>
        <v>44844.327969088466</v>
      </c>
      <c r="AP29" s="2">
        <f>主翼!K67</f>
        <v>0</v>
      </c>
      <c r="AQ29" s="29"/>
      <c r="AR29" s="29"/>
      <c r="AS29" s="29"/>
      <c r="AT29" s="29"/>
      <c r="AU29" s="1"/>
      <c r="AV29" s="2">
        <f>IF((AA29-AA28)&gt;0,(AI28+AI29+SQRT(AI28*AI29))*(AA29-AA28)/3*10^-6*$T$17,0)</f>
        <v>0.32536232801880438</v>
      </c>
    </row>
    <row r="30" spans="1:48">
      <c r="X30" s="1"/>
      <c r="Y30" s="220">
        <v>24</v>
      </c>
      <c r="Z30" s="113" t="str">
        <f>IF(AA30&lt;$C$7,"0",IF(AA30&lt;$C$8,"0-1接合",IF(AA30&lt;$C$9,"1",IF(AA30&lt;$C$10,"1-2接合",IF(AA30&lt;$C$11,"2",IF(AA30&lt;$C$12,"2-3接合",IF(AA30&lt;$C$13,"3","ウィングレット")))))))</f>
        <v>2</v>
      </c>
      <c r="AA30" s="85">
        <f>VLOOKUP(Y30,主翼!B68:C174,2)</f>
        <v>5.2000000000000028</v>
      </c>
      <c r="AB30" s="86">
        <v>47.04999999999999</v>
      </c>
      <c r="AC30" s="86">
        <v>47.755749999999985</v>
      </c>
      <c r="AD30" s="86">
        <v>48.813999999999993</v>
      </c>
      <c r="AE30" s="86">
        <v>48.931749999999987</v>
      </c>
      <c r="AF30" s="201">
        <v>560309.19549204863</v>
      </c>
      <c r="AG30" s="201">
        <v>468281.1690952839</v>
      </c>
      <c r="AH30" s="201">
        <v>1008585.2031832144</v>
      </c>
      <c r="AI30" s="202">
        <v>444.24717998171968</v>
      </c>
      <c r="AJ30" s="202">
        <v>7279.7381595055158</v>
      </c>
      <c r="AK30" s="86">
        <v>302.47118595681286</v>
      </c>
      <c r="AL30" s="86">
        <v>85.903385282820111</v>
      </c>
      <c r="AM30" s="199">
        <v>15.275785656728447</v>
      </c>
      <c r="AN30" s="27">
        <f t="shared" si="0"/>
        <v>48132.456697860427</v>
      </c>
      <c r="AO30" s="200">
        <f t="shared" si="1"/>
        <v>15406.931380374692</v>
      </c>
      <c r="AP30" s="2">
        <f>主翼!K68</f>
        <v>0</v>
      </c>
      <c r="AQ30" s="29"/>
      <c r="AR30" s="29"/>
      <c r="AS30" s="29"/>
      <c r="AT30" s="29"/>
      <c r="AU30" s="1"/>
      <c r="AV30" s="2">
        <f>IF((AA30-AA29)&gt;0,(AI29+AI30+SQRT(AI29*AI30))*(AA30-AA29)/3*10^-6*$T$17,0)</f>
        <v>0.2010264245975398</v>
      </c>
    </row>
    <row r="31" spans="1:48">
      <c r="X31" s="1"/>
      <c r="Y31" s="220">
        <v>25</v>
      </c>
      <c r="Z31" s="113" t="str">
        <f>IF(AA31&lt;$C$7,"0",IF(AA31&lt;$C$8,"0-1接合",IF(AA31&lt;$C$9,"1",IF(AA31&lt;$C$10,"1-2接合",IF(AA31&lt;$C$11,"2",IF(AA31&lt;$C$12,"2-3接合",IF(AA31&lt;$C$13,"3","ウィングレット")))))))</f>
        <v>2</v>
      </c>
      <c r="AA31" s="85">
        <f>VLOOKUP(Y31,主翼!B69:C175,2)</f>
        <v>5.400000000000003</v>
      </c>
      <c r="AB31" s="86">
        <v>46.249999999999986</v>
      </c>
      <c r="AC31" s="86">
        <v>46.94374999999998</v>
      </c>
      <c r="AD31" s="86">
        <v>48.013999999999989</v>
      </c>
      <c r="AE31" s="86">
        <v>48.119749999999982</v>
      </c>
      <c r="AF31" s="201">
        <v>532709.07291632204</v>
      </c>
      <c r="AG31" s="201">
        <v>445094.87184536806</v>
      </c>
      <c r="AH31" s="201">
        <v>958778.45159491396</v>
      </c>
      <c r="AI31" s="202">
        <v>436.81357519673031</v>
      </c>
      <c r="AJ31" s="202">
        <v>7038.0045931293471</v>
      </c>
      <c r="AK31" s="86">
        <v>297.40666955524443</v>
      </c>
      <c r="AL31" s="86">
        <v>85.903385282820111</v>
      </c>
      <c r="AM31" s="199">
        <v>15.275785656728447</v>
      </c>
      <c r="AN31" s="27">
        <f t="shared" si="0"/>
        <v>45761.512734384727</v>
      </c>
      <c r="AO31" s="200">
        <f t="shared" si="1"/>
        <v>14646.094118853896</v>
      </c>
      <c r="AP31" s="2">
        <f>主翼!K69</f>
        <v>0</v>
      </c>
      <c r="AQ31" s="29"/>
      <c r="AR31" s="29"/>
      <c r="AS31" s="29"/>
      <c r="AT31" s="29"/>
      <c r="AU31" s="1"/>
      <c r="AV31" s="2">
        <f>IF((AA31-AA30)&gt;0,(AI30+AI31+SQRT(AI30*AI31))*(AA31-AA30)/3*10^-6*$T$17,0)</f>
        <v>0.13215754529569479</v>
      </c>
    </row>
    <row r="32" spans="1:48">
      <c r="X32" s="1"/>
      <c r="Y32" s="220">
        <v>26</v>
      </c>
      <c r="Z32" s="113" t="str">
        <f>IF(AA32&lt;$C$7,"0",IF(AA32&lt;$C$8,"0-1接合",IF(AA32&lt;$C$9,"1",IF(AA32&lt;$C$10,"1-2接合",IF(AA32&lt;$C$11,"2",IF(AA32&lt;$C$12,"2-3接合",IF(AA32&lt;$C$13,"3","ウィングレット")))))))</f>
        <v>2</v>
      </c>
      <c r="AA32" s="85">
        <f>VLOOKUP(Y32,主翼!B70:C176,2)</f>
        <v>5.6000000000000032</v>
      </c>
      <c r="AB32" s="86">
        <v>45.449999999999989</v>
      </c>
      <c r="AC32" s="86">
        <v>46.131749999999982</v>
      </c>
      <c r="AD32" s="86">
        <v>47.213999999999992</v>
      </c>
      <c r="AE32" s="86">
        <v>47.307749999999984</v>
      </c>
      <c r="AF32" s="201">
        <v>506030.53046303376</v>
      </c>
      <c r="AG32" s="201">
        <v>422686.84891304286</v>
      </c>
      <c r="AH32" s="201">
        <v>910639.01197830832</v>
      </c>
      <c r="AI32" s="202">
        <v>429.37996981325608</v>
      </c>
      <c r="AJ32" s="202">
        <v>6800.352583928724</v>
      </c>
      <c r="AK32" s="86">
        <v>292.34215404888585</v>
      </c>
      <c r="AL32" s="86">
        <v>85.903385282820111</v>
      </c>
      <c r="AM32" s="199">
        <v>15.275785656728447</v>
      </c>
      <c r="AN32" s="27">
        <f t="shared" si="0"/>
        <v>43469.735623235829</v>
      </c>
      <c r="AO32" s="200">
        <f t="shared" si="1"/>
        <v>13910.726357635607</v>
      </c>
      <c r="AP32" s="2">
        <f>主翼!K70</f>
        <v>0</v>
      </c>
      <c r="AQ32" s="29"/>
      <c r="AR32" s="29"/>
      <c r="AS32" s="29"/>
      <c r="AT32" s="29"/>
      <c r="AU32" s="1"/>
      <c r="AV32" s="2">
        <f>IF((AA32-AA31)&gt;0,(AI31+AI32+SQRT(AI31*AI32))*(AA32-AA31)/3*10^-6*$T$17,0)</f>
        <v>0.12992743685660443</v>
      </c>
    </row>
    <row r="33" spans="2:48">
      <c r="X33" s="1"/>
      <c r="Y33" s="220">
        <v>27</v>
      </c>
      <c r="Z33" s="113" t="str">
        <f>IF(AA33&lt;$C$7,"0",IF(AA33&lt;$C$8,"0-1接合",IF(AA33&lt;$C$9,"1",IF(AA33&lt;$C$10,"1-2接合",IF(AA33&lt;$C$11,"2",IF(AA33&lt;$C$12,"2-3接合",IF(AA33&lt;$C$13,"3","ウィングレット")))))))</f>
        <v>2</v>
      </c>
      <c r="AA33" s="85">
        <f>VLOOKUP(Y33,主翼!B71:C177,2)</f>
        <v>5.8000000000000034</v>
      </c>
      <c r="AB33" s="86">
        <v>44.649999999999991</v>
      </c>
      <c r="AC33" s="86">
        <v>45.319749999999985</v>
      </c>
      <c r="AD33" s="86">
        <v>46.413999999999994</v>
      </c>
      <c r="AE33" s="86">
        <v>46.495749999999987</v>
      </c>
      <c r="AF33" s="201">
        <v>480257.91942906723</v>
      </c>
      <c r="AG33" s="201">
        <v>401043.8142377687</v>
      </c>
      <c r="AH33" s="201">
        <v>864138.49969917501</v>
      </c>
      <c r="AI33" s="202">
        <v>421.94636380070312</v>
      </c>
      <c r="AJ33" s="202">
        <v>6566.7821319036439</v>
      </c>
      <c r="AK33" s="86">
        <v>287.27763948508868</v>
      </c>
      <c r="AL33" s="86">
        <v>85.903385282820111</v>
      </c>
      <c r="AM33" s="199">
        <v>15.275785656728447</v>
      </c>
      <c r="AN33" s="27">
        <f t="shared" si="0"/>
        <v>41255.781087840747</v>
      </c>
      <c r="AO33" s="200">
        <f t="shared" si="1"/>
        <v>13200.394499131497</v>
      </c>
      <c r="AP33" s="2">
        <f>主翼!K71</f>
        <v>0</v>
      </c>
      <c r="AQ33" s="29"/>
      <c r="AR33" s="29"/>
      <c r="AS33" s="29"/>
      <c r="AT33" s="29"/>
      <c r="AU33" s="1"/>
      <c r="AV33" s="2">
        <f>IF((AA33-AA32)&gt;0,(AI32+AI33+SQRT(AI32*AI33))*(AA33-AA32)/3*10^-6*$T$17,0)</f>
        <v>0.12769732729328742</v>
      </c>
    </row>
    <row r="34" spans="2:48">
      <c r="X34" s="1"/>
      <c r="Y34" s="220">
        <v>28</v>
      </c>
      <c r="Z34" s="113" t="str">
        <f>IF(AA34&lt;$C$7,"0",IF(AA34&lt;$C$8,"0-1接合",IF(AA34&lt;$C$9,"1",IF(AA34&lt;$C$10,"1-2接合",IF(AA34&lt;$C$11,"2",IF(AA34&lt;$C$12,"2-3接合",IF(AA34&lt;$C$13,"3","ウィングレット")))))))</f>
        <v>2</v>
      </c>
      <c r="AA34" s="85">
        <f>VLOOKUP(Y34,主翼!B72:C178,2)</f>
        <v>6.0000000000000036</v>
      </c>
      <c r="AB34" s="86">
        <v>43.849999999999987</v>
      </c>
      <c r="AC34" s="86">
        <v>44.50774999999998</v>
      </c>
      <c r="AD34" s="86">
        <v>45.61399999999999</v>
      </c>
      <c r="AE34" s="86">
        <v>45.683749999999982</v>
      </c>
      <c r="AF34" s="201">
        <v>455375.59111130214</v>
      </c>
      <c r="AG34" s="201">
        <v>380152.48175901169</v>
      </c>
      <c r="AH34" s="201">
        <v>819248.53012333321</v>
      </c>
      <c r="AI34" s="202">
        <v>414.51275712634759</v>
      </c>
      <c r="AJ34" s="202">
        <v>6337.2932370541048</v>
      </c>
      <c r="AK34" s="86">
        <v>282.21312591458775</v>
      </c>
      <c r="AL34" s="86">
        <v>85.903385282820111</v>
      </c>
      <c r="AM34" s="199">
        <v>15.275785656728447</v>
      </c>
      <c r="AN34" s="27">
        <f t="shared" si="0"/>
        <v>39118.304851626141</v>
      </c>
      <c r="AO34" s="200">
        <f t="shared" si="1"/>
        <v>12514.664945753877</v>
      </c>
      <c r="AP34" s="2">
        <f>主翼!K72</f>
        <v>0</v>
      </c>
      <c r="AQ34" s="29"/>
      <c r="AR34" s="29"/>
      <c r="AS34" s="29"/>
      <c r="AT34" s="29"/>
      <c r="AU34" s="1"/>
      <c r="AV34" s="2">
        <f>IF((AA34-AA33)&gt;0,(AI33+AI34+SQRT(AI33*AI34))*(AA34-AA33)/3*10^-6*$T$17,0)</f>
        <v>0.1254672165461134</v>
      </c>
    </row>
    <row r="35" spans="2:48">
      <c r="X35" s="1"/>
      <c r="Y35" s="220">
        <v>29</v>
      </c>
      <c r="Z35" s="113" t="str">
        <f>IF(AA35&lt;$C$7,"0",IF(AA35&lt;$C$8,"0-1接合",IF(AA35&lt;$C$9,"1",IF(AA35&lt;$C$10,"1-2接合",IF(AA35&lt;$C$11,"2",IF(AA35&lt;$C$12,"2-3接合",IF(AA35&lt;$C$13,"3","ウィングレット")))))))</f>
        <v>2</v>
      </c>
      <c r="AA35" s="85">
        <f>VLOOKUP(Y35,主翼!B73:C179,2)</f>
        <v>6.2000000000000037</v>
      </c>
      <c r="AB35" s="86">
        <v>43.049999999999983</v>
      </c>
      <c r="AC35" s="86">
        <v>43.695749999999975</v>
      </c>
      <c r="AD35" s="86">
        <v>44.813999999999986</v>
      </c>
      <c r="AE35" s="86">
        <v>44.871749999999977</v>
      </c>
      <c r="AF35" s="201">
        <v>431367.89680660382</v>
      </c>
      <c r="AG35" s="201">
        <v>359999.56541622168</v>
      </c>
      <c r="AH35" s="201">
        <v>775940.71861654508</v>
      </c>
      <c r="AI35" s="202">
        <v>407.07914975515473</v>
      </c>
      <c r="AJ35" s="202">
        <v>6111.8858993801114</v>
      </c>
      <c r="AK35" s="86">
        <v>277.14861339183636</v>
      </c>
      <c r="AL35" s="86">
        <v>85.903385282820111</v>
      </c>
      <c r="AM35" s="199">
        <v>15.275785656728447</v>
      </c>
      <c r="AN35" s="27">
        <f t="shared" si="0"/>
        <v>37055.962638017474</v>
      </c>
      <c r="AO35" s="200">
        <f t="shared" si="1"/>
        <v>11853.104099914184</v>
      </c>
      <c r="AP35" s="2">
        <f>主翼!K73</f>
        <v>0</v>
      </c>
      <c r="AQ35" s="29"/>
      <c r="AR35" s="29"/>
      <c r="AS35" s="29"/>
      <c r="AT35" s="29"/>
      <c r="AU35" s="1"/>
      <c r="AV35" s="2">
        <f>IF((AA35-AA34)&gt;0,(AI34+AI35+SQRT(AI34*AI35))*(AA35-AA34)/3*10^-6*$T$17,0)</f>
        <v>0.12323710455115688</v>
      </c>
    </row>
    <row r="36" spans="2:48">
      <c r="X36" s="1"/>
      <c r="Y36" s="220">
        <v>30</v>
      </c>
      <c r="Z36" s="113" t="str">
        <f>IF(AA36&lt;$C$7,"0",IF(AA36&lt;$C$8,"0-1接合",IF(AA36&lt;$C$9,"1",IF(AA36&lt;$C$10,"1-2接合",IF(AA36&lt;$C$11,"2",IF(AA36&lt;$C$12,"2-3接合",IF(AA36&lt;$C$13,"3","ウィングレット")))))))</f>
        <v>2</v>
      </c>
      <c r="AA36" s="85">
        <f>VLOOKUP(Y36,主翼!B74:C180,2)</f>
        <v>6.4000000000000039</v>
      </c>
      <c r="AB36" s="86">
        <v>42.249999999999986</v>
      </c>
      <c r="AC36" s="86">
        <v>42.883749999999985</v>
      </c>
      <c r="AD36" s="86">
        <v>44.013999999999989</v>
      </c>
      <c r="AE36" s="86">
        <v>44.059749999999987</v>
      </c>
      <c r="AF36" s="201">
        <v>408219.18781185918</v>
      </c>
      <c r="AG36" s="201">
        <v>340571.77914885426</v>
      </c>
      <c r="AH36" s="201">
        <v>734186.68054460501</v>
      </c>
      <c r="AI36" s="202">
        <v>399.64554164959031</v>
      </c>
      <c r="AJ36" s="202">
        <v>5890.5601188816636</v>
      </c>
      <c r="AK36" s="86">
        <v>272.08410197533857</v>
      </c>
      <c r="AL36" s="86">
        <v>85.903385282820111</v>
      </c>
      <c r="AM36" s="199">
        <v>15.275785656728447</v>
      </c>
      <c r="AN36" s="27">
        <f t="shared" si="0"/>
        <v>35067.410170442046</v>
      </c>
      <c r="AO36" s="200">
        <f t="shared" si="1"/>
        <v>11215.278364024347</v>
      </c>
      <c r="AP36" s="2">
        <f>主翼!K74</f>
        <v>0</v>
      </c>
      <c r="AQ36" s="29"/>
      <c r="AR36" s="29"/>
      <c r="AS36" s="29"/>
      <c r="AT36" s="29"/>
      <c r="AU36" s="1"/>
      <c r="AV36" s="2">
        <f>IF((AA36-AA35)&gt;0,(AI35+AI36+SQRT(AI35*AI36))*(AA36-AA35)/3*10^-6*$T$17,0)</f>
        <v>0.12100699123980703</v>
      </c>
    </row>
    <row r="37" spans="2:48">
      <c r="X37" s="1"/>
      <c r="Y37" s="220">
        <v>31</v>
      </c>
      <c r="Z37" s="113" t="str">
        <f>IF(AA37&lt;$C$7,"0",IF(AA37&lt;$C$8,"0-1接合",IF(AA37&lt;$C$9,"1",IF(AA37&lt;$C$10,"1-2接合",IF(AA37&lt;$C$11,"2",IF(AA37&lt;$C$12,"2-3接合",IF(AA37&lt;$C$13,"3","ウィングレット")))))))</f>
        <v>2</v>
      </c>
      <c r="AA37" s="85">
        <f>VLOOKUP(Y37,主翼!B75:C181,2)</f>
        <v>6.6000000000000041</v>
      </c>
      <c r="AB37" s="86">
        <v>41.449999999999989</v>
      </c>
      <c r="AC37" s="86">
        <v>42.071749999999987</v>
      </c>
      <c r="AD37" s="86">
        <v>43.213999999999992</v>
      </c>
      <c r="AE37" s="86">
        <v>43.247749999999989</v>
      </c>
      <c r="AF37" s="201">
        <v>385913.81542393169</v>
      </c>
      <c r="AG37" s="201">
        <v>321855.83689636615</v>
      </c>
      <c r="AH37" s="201">
        <v>693958.03127332451</v>
      </c>
      <c r="AI37" s="202">
        <v>392.21193276935566</v>
      </c>
      <c r="AJ37" s="202">
        <v>5673.3158955587596</v>
      </c>
      <c r="AK37" s="86">
        <v>267.01959172803515</v>
      </c>
      <c r="AL37" s="86">
        <v>85.903385282820111</v>
      </c>
      <c r="AM37" s="199">
        <v>15.275785656728447</v>
      </c>
      <c r="AN37" s="27">
        <f t="shared" si="0"/>
        <v>33151.303172325133</v>
      </c>
      <c r="AO37" s="200">
        <f t="shared" si="1"/>
        <v>10600.754140496561</v>
      </c>
      <c r="AP37" s="2">
        <f>主翼!K75</f>
        <v>0</v>
      </c>
      <c r="AQ37" s="29"/>
      <c r="AR37" s="29"/>
      <c r="AS37" s="29"/>
      <c r="AT37" s="29"/>
      <c r="AU37" s="1"/>
      <c r="AV37" s="2">
        <f>IF((AA37-AA36)&gt;0,(AI36+AI37+SQRT(AI36*AI37))*(AA37-AA36)/3*10^-6*$T$17,0)</f>
        <v>0.11877687653832762</v>
      </c>
    </row>
    <row r="38" spans="2:48">
      <c r="X38" s="1"/>
      <c r="Y38" s="220">
        <v>32</v>
      </c>
      <c r="Z38" s="113" t="str">
        <f>IF(AA38&lt;$C$7,"0",IF(AA38&lt;$C$8,"0-1接合",IF(AA38&lt;$C$9,"1",IF(AA38&lt;$C$10,"1-2接合",IF(AA38&lt;$C$11,"2",IF(AA38&lt;$C$12,"2-3接合",IF(AA38&lt;$C$13,"3","ウィングレット")))))))</f>
        <v>2</v>
      </c>
      <c r="AA38" s="85">
        <f>VLOOKUP(Y38,主翼!B76:C182,2)</f>
        <v>6.8000000000000043</v>
      </c>
      <c r="AB38" s="86">
        <v>40.649999999999984</v>
      </c>
      <c r="AC38" s="86">
        <v>41.259749999999983</v>
      </c>
      <c r="AD38" s="86">
        <v>42.413999999999987</v>
      </c>
      <c r="AE38" s="86">
        <v>42.435749999999985</v>
      </c>
      <c r="AF38" s="201">
        <v>364436.13093970093</v>
      </c>
      <c r="AG38" s="201">
        <v>303838.45259820495</v>
      </c>
      <c r="AH38" s="201">
        <v>655226.38616846048</v>
      </c>
      <c r="AI38" s="202">
        <v>384.77832307116546</v>
      </c>
      <c r="AJ38" s="202">
        <v>5460.1532294113968</v>
      </c>
      <c r="AK38" s="86">
        <v>261.95508271774122</v>
      </c>
      <c r="AL38" s="86">
        <v>85.903385282820111</v>
      </c>
      <c r="AM38" s="199">
        <v>15.275785656728447</v>
      </c>
      <c r="AN38" s="27">
        <f t="shared" si="0"/>
        <v>31306.297367093408</v>
      </c>
      <c r="AO38" s="200">
        <f t="shared" si="1"/>
        <v>10009.097831742183</v>
      </c>
      <c r="AP38" s="2">
        <f>主翼!K76</f>
        <v>0</v>
      </c>
      <c r="AQ38" s="29"/>
      <c r="AR38" s="29"/>
      <c r="AS38" s="29"/>
      <c r="AT38" s="29"/>
      <c r="AU38" s="1"/>
      <c r="AV38" s="2">
        <f>IF((AA38-AA37)&gt;0,(AI37+AI38+SQRT(AI37*AI38))*(AA38-AA37)/3*10^-6*$T$17,0)</f>
        <v>0.11654676036736915</v>
      </c>
    </row>
    <row r="39" spans="2:48">
      <c r="X39" s="1"/>
      <c r="Y39" s="220">
        <v>33</v>
      </c>
      <c r="Z39" s="113" t="str">
        <f>IF(AA39&lt;$C$7,"0",IF(AA39&lt;$C$8,"0-1接合",IF(AA39&lt;$C$9,"1",IF(AA39&lt;$C$10,"1-2接合",IF(AA39&lt;$C$11,"2",IF(AA39&lt;$C$12,"2-3接合",IF(AA39&lt;$C$13,"3","ウィングレット")))))))</f>
        <v>2</v>
      </c>
      <c r="AA39" s="85">
        <f>VLOOKUP(Y39,主翼!B77:C183,2)</f>
        <v>7.0000000000000044</v>
      </c>
      <c r="AB39" s="86">
        <v>39.84999999999998</v>
      </c>
      <c r="AC39" s="86">
        <v>40.447749999999978</v>
      </c>
      <c r="AD39" s="86">
        <v>41.613999999999983</v>
      </c>
      <c r="AE39" s="86">
        <v>41.62374999999998</v>
      </c>
      <c r="AF39" s="201">
        <v>343770.48565603327</v>
      </c>
      <c r="AG39" s="201">
        <v>286506.34019381233</v>
      </c>
      <c r="AH39" s="201">
        <v>617963.36059582047</v>
      </c>
      <c r="AI39" s="202">
        <v>377.34471250844575</v>
      </c>
      <c r="AJ39" s="202">
        <v>5251.0721204395777</v>
      </c>
      <c r="AK39" s="86">
        <v>256.89057501761584</v>
      </c>
      <c r="AL39" s="86">
        <v>85.903385282820111</v>
      </c>
      <c r="AM39" s="199">
        <v>15.275785656728447</v>
      </c>
      <c r="AN39" s="27">
        <f t="shared" si="0"/>
        <v>29531.048478172412</v>
      </c>
      <c r="AO39" s="200">
        <f t="shared" si="1"/>
        <v>9439.875840173343</v>
      </c>
      <c r="AP39" s="2">
        <f>主翼!K77</f>
        <v>0</v>
      </c>
      <c r="AQ39" s="29"/>
      <c r="AR39" s="29"/>
      <c r="AS39" s="29"/>
      <c r="AT39" s="29"/>
      <c r="AU39" s="1"/>
      <c r="AV39" s="2">
        <f>IF((AA39-AA38)&gt;0,(AI38+AI39+SQRT(AI38*AI39))*(AA39-AA38)/3*10^-6*$T$17,0)</f>
        <v>0.11431664264142659</v>
      </c>
    </row>
    <row r="40" spans="2:48">
      <c r="X40" s="1"/>
      <c r="Y40" s="220">
        <v>34</v>
      </c>
      <c r="Z40" s="113" t="str">
        <f>IF(AA40&lt;$C$7,"0",IF(AA40&lt;$C$8,"0-1接合",IF(AA40&lt;$C$9,"1",IF(AA40&lt;$C$10,"1-2接合",IF(AA40&lt;$C$11,"2",IF(AA40&lt;$C$12,"2-3接合",IF(AA40&lt;$C$13,"3","ウィングレット")))))))</f>
        <v>2</v>
      </c>
      <c r="AA40" s="85">
        <f>VLOOKUP(Y40,主翼!B78:C184,2)</f>
        <v>7.2000000000000046</v>
      </c>
      <c r="AB40" s="86">
        <v>39.049999999999983</v>
      </c>
      <c r="AC40" s="86">
        <v>39.63574999999998</v>
      </c>
      <c r="AD40" s="86">
        <v>40.813999999999986</v>
      </c>
      <c r="AE40" s="86">
        <v>40.811749999999982</v>
      </c>
      <c r="AF40" s="201">
        <v>323901.23086980585</v>
      </c>
      <c r="AG40" s="201">
        <v>269846.21362264972</v>
      </c>
      <c r="AH40" s="201">
        <v>582140.56992117164</v>
      </c>
      <c r="AI40" s="202">
        <v>369.91110103102119</v>
      </c>
      <c r="AJ40" s="202">
        <v>5046.0725686433052</v>
      </c>
      <c r="AK40" s="86">
        <v>251.82606870669193</v>
      </c>
      <c r="AL40" s="86">
        <v>85.903385282820111</v>
      </c>
      <c r="AM40" s="199">
        <v>15.275785656728447</v>
      </c>
      <c r="AN40" s="27">
        <f t="shared" si="0"/>
        <v>27824.212228988599</v>
      </c>
      <c r="AO40" s="200">
        <f t="shared" si="1"/>
        <v>8892.6545682015567</v>
      </c>
      <c r="AP40" s="2">
        <f>主翼!K78</f>
        <v>0</v>
      </c>
      <c r="AQ40" s="29"/>
      <c r="AR40" s="29"/>
      <c r="AS40" s="29"/>
      <c r="AT40" s="29"/>
      <c r="AU40" s="1"/>
      <c r="AV40" s="2">
        <f>IF((AA40-AA39)&gt;0,(AI39+AI40+SQRT(AI39*AI40))*(AA40-AA39)/3*10^-6*$T$17,0)</f>
        <v>0.11208652326822853</v>
      </c>
    </row>
    <row r="41" spans="2:48">
      <c r="X41" s="1"/>
      <c r="Y41" s="220">
        <v>35</v>
      </c>
      <c r="Z41" s="113" t="str">
        <f>IF(AA41&lt;$C$7,"0",IF(AA41&lt;$C$8,"0-1接合",IF(AA41&lt;$C$9,"1",IF(AA41&lt;$C$10,"1-2接合",IF(AA41&lt;$C$11,"2",IF(AA41&lt;$C$12,"2-3接合",IF(AA41&lt;$C$13,"3","ウィングレット")))))))</f>
        <v>2</v>
      </c>
      <c r="AA41" s="85">
        <f>VLOOKUP(Y41,主翼!B79:C185,2)</f>
        <v>7.4000000000000048</v>
      </c>
      <c r="AB41" s="86">
        <v>38.249999999999986</v>
      </c>
      <c r="AC41" s="86">
        <v>38.823749999999983</v>
      </c>
      <c r="AD41" s="86">
        <v>40.013999999999989</v>
      </c>
      <c r="AE41" s="86">
        <v>39.999749999999985</v>
      </c>
      <c r="AF41" s="201">
        <v>304812.71787787491</v>
      </c>
      <c r="AG41" s="201">
        <v>253844.78682415155</v>
      </c>
      <c r="AH41" s="201">
        <v>547729.62951030489</v>
      </c>
      <c r="AI41" s="202">
        <v>362.47748858476467</v>
      </c>
      <c r="AJ41" s="202">
        <v>4845.1545740225756</v>
      </c>
      <c r="AK41" s="86">
        <v>246.76156387050486</v>
      </c>
      <c r="AL41" s="86">
        <v>85.903385282820111</v>
      </c>
      <c r="AM41" s="199">
        <v>15.275785656728447</v>
      </c>
      <c r="AN41" s="27">
        <f t="shared" si="0"/>
        <v>26184.444342966639</v>
      </c>
      <c r="AO41" s="200">
        <f t="shared" si="1"/>
        <v>8367.000418238702</v>
      </c>
      <c r="AP41" s="2">
        <f>主翼!K79</f>
        <v>0</v>
      </c>
      <c r="AQ41" s="29"/>
      <c r="AR41" s="29"/>
      <c r="AS41" s="29"/>
      <c r="AT41" s="29"/>
      <c r="AU41" s="1"/>
      <c r="AV41" s="2">
        <f>IF((AA41-AA40)&gt;0,(AI40+AI41+SQRT(AI40*AI41))*(AA41-AA40)/3*10^-6*$T$17,0)</f>
        <v>0.10985640214805552</v>
      </c>
    </row>
    <row r="42" spans="2:48">
      <c r="X42" s="1"/>
      <c r="Y42" s="220">
        <v>36</v>
      </c>
      <c r="Z42" s="113" t="str">
        <f>IF(AA42&lt;$C$7,"0",IF(AA42&lt;$C$8,"0-1接合",IF(AA42&lt;$C$9,"1",IF(AA42&lt;$C$10,"1-2接合",IF(AA42&lt;$C$11,"2",IF(AA42&lt;$C$12,"2-3接合",IF(AA42&lt;$C$13,"3","ウィングレット")))))))</f>
        <v>2</v>
      </c>
      <c r="AA42" s="85">
        <f>VLOOKUP(Y42,主翼!B80:C186,2)</f>
        <v>7.600000000000005</v>
      </c>
      <c r="AB42" s="86">
        <v>37.449999999999982</v>
      </c>
      <c r="AC42" s="86">
        <v>38.011749999999978</v>
      </c>
      <c r="AD42" s="86">
        <v>39.213999999999984</v>
      </c>
      <c r="AE42" s="86">
        <v>39.18774999999998</v>
      </c>
      <c r="AF42" s="201">
        <v>286489.29797711386</v>
      </c>
      <c r="AG42" s="201">
        <v>238488.77373775723</v>
      </c>
      <c r="AH42" s="201">
        <v>514702.15472897846</v>
      </c>
      <c r="AI42" s="202">
        <v>355.04387511119108</v>
      </c>
      <c r="AJ42" s="202">
        <v>4648.318136577388</v>
      </c>
      <c r="AK42" s="86">
        <v>241.69706060175457</v>
      </c>
      <c r="AL42" s="86">
        <v>85.903385282820111</v>
      </c>
      <c r="AM42" s="199">
        <v>15.275785656728447</v>
      </c>
      <c r="AN42" s="27">
        <f t="shared" si="0"/>
        <v>24610.400543532669</v>
      </c>
      <c r="AO42" s="200">
        <f t="shared" si="1"/>
        <v>7862.4797926961546</v>
      </c>
      <c r="AP42" s="2">
        <f>主翼!K80</f>
        <v>0</v>
      </c>
      <c r="AQ42" s="29"/>
      <c r="AR42" s="29"/>
      <c r="AS42" s="29"/>
      <c r="AT42" s="29"/>
      <c r="AU42" s="1"/>
      <c r="AV42" s="2">
        <f>IF((AA42-AA41)&gt;0,(AI41+AI42+SQRT(AI41*AI42))*(AA42-AA41)/3*10^-6*$T$17,0)</f>
        <v>0.10762627917297249</v>
      </c>
    </row>
    <row r="43" spans="2:48">
      <c r="X43" s="1"/>
      <c r="Y43" s="220">
        <v>37</v>
      </c>
      <c r="Z43" s="113" t="str">
        <f>IF(AA43&lt;$C$7,"0",IF(AA43&lt;$C$8,"0-1接合",IF(AA43&lt;$C$9,"1",IF(AA43&lt;$C$10,"1-2接合",IF(AA43&lt;$C$11,"2",IF(AA43&lt;$C$12,"2-3接合",IF(AA43&lt;$C$13,"3","ウィングレット")))))))</f>
        <v>2</v>
      </c>
      <c r="AA43" s="85">
        <f>VLOOKUP(Y43,主翼!B81:C187,2)</f>
        <v>7.8000000000000052</v>
      </c>
      <c r="AB43" s="86">
        <v>36.649999999999977</v>
      </c>
      <c r="AC43" s="86">
        <v>37.199749999999973</v>
      </c>
      <c r="AD43" s="86">
        <v>38.41399999999998</v>
      </c>
      <c r="AE43" s="86">
        <v>38.375749999999975</v>
      </c>
      <c r="AF43" s="201">
        <v>268915.32246437855</v>
      </c>
      <c r="AG43" s="201">
        <v>223764.88830290662</v>
      </c>
      <c r="AH43" s="201">
        <v>483029.76094297785</v>
      </c>
      <c r="AI43" s="202">
        <v>347.61026054702086</v>
      </c>
      <c r="AJ43" s="202">
        <v>4455.5632563077461</v>
      </c>
      <c r="AK43" s="86">
        <v>236.63255900107742</v>
      </c>
      <c r="AL43" s="86">
        <v>85.903385282820111</v>
      </c>
      <c r="AM43" s="199">
        <v>15.275785656728447</v>
      </c>
      <c r="AN43" s="27">
        <f t="shared" si="0"/>
        <v>23100.736554111321</v>
      </c>
      <c r="AO43" s="200">
        <f t="shared" si="1"/>
        <v>7378.6590939857115</v>
      </c>
      <c r="AP43" s="2">
        <f>主翼!K81</f>
        <v>0</v>
      </c>
      <c r="AQ43" s="29"/>
      <c r="AR43" s="29"/>
      <c r="AS43" s="29"/>
      <c r="AT43" s="29"/>
      <c r="AU43" s="1"/>
      <c r="AV43" s="2">
        <f>IF((AA43-AA42)&gt;0,(AI42+AI43+SQRT(AI42*AI43))*(AA43-AA42)/3*10^-6*$T$17,0)</f>
        <v>0.10539615422596467</v>
      </c>
    </row>
    <row r="44" spans="2:48">
      <c r="X44" s="1"/>
      <c r="Y44" s="220">
        <v>38</v>
      </c>
      <c r="Z44" s="113" t="str">
        <f>IF(AA44&lt;$C$7,"0",IF(AA44&lt;$C$8,"0-1接合",IF(AA44&lt;$C$9,"1",IF(AA44&lt;$C$10,"1-2接合",IF(AA44&lt;$C$11,"2",IF(AA44&lt;$C$12,"2-3接合",IF(AA44&lt;$C$13,"3","ウィングレット")))))))</f>
        <v>2</v>
      </c>
      <c r="AA44" s="85">
        <f>VLOOKUP(Y44,主翼!B82:C188,2)</f>
        <v>8.0000000000000053</v>
      </c>
      <c r="AB44" s="86">
        <v>35.84999999999998</v>
      </c>
      <c r="AC44" s="86">
        <v>36.387749999999976</v>
      </c>
      <c r="AD44" s="86">
        <v>37.613999999999983</v>
      </c>
      <c r="AE44" s="86">
        <v>37.563749999999978</v>
      </c>
      <c r="AF44" s="201">
        <v>252075.14263653546</v>
      </c>
      <c r="AG44" s="201">
        <v>209659.84445903162</v>
      </c>
      <c r="AH44" s="201">
        <v>452684.06351806998</v>
      </c>
      <c r="AI44" s="202">
        <v>340.17664482366717</v>
      </c>
      <c r="AJ44" s="202">
        <v>4266.8899332136489</v>
      </c>
      <c r="AK44" s="86">
        <v>231.56805917790666</v>
      </c>
      <c r="AL44" s="86">
        <v>85.903385282820111</v>
      </c>
      <c r="AM44" s="199">
        <v>15.275785656728447</v>
      </c>
      <c r="AN44" s="27">
        <f t="shared" si="0"/>
        <v>21654.108098128141</v>
      </c>
      <c r="AO44" s="200">
        <f t="shared" si="1"/>
        <v>6915.104724518882</v>
      </c>
      <c r="AP44" s="2">
        <f>主翼!K82</f>
        <v>0</v>
      </c>
      <c r="AQ44" s="29"/>
      <c r="AR44" s="29"/>
      <c r="AS44" s="29"/>
      <c r="AT44" s="29"/>
      <c r="AU44" s="1"/>
      <c r="AV44" s="2">
        <f>IF((AA44-AA43)&gt;0,(AI43+AI44+SQRT(AI43*AI44))*(AA44-AA43)/3*10^-6*$T$17,0)</f>
        <v>0.10316602717996205</v>
      </c>
    </row>
    <row r="45" spans="2:48">
      <c r="X45" s="1"/>
      <c r="Y45" s="220">
        <v>39</v>
      </c>
      <c r="Z45" s="113" t="str">
        <f>IF(AA45&lt;$C$7,"0",IF(AA45&lt;$C$8,"0-1接合",IF(AA45&lt;$C$9,"1",IF(AA45&lt;$C$10,"1-2接合",IF(AA45&lt;$C$11,"2",IF(AA45&lt;$C$12,"2-3接合",IF(AA45&lt;$C$13,"3","ウィングレット")))))))</f>
        <v>2</v>
      </c>
      <c r="AA45" s="85">
        <f>VLOOKUP(Y45,主翼!B83:C189,2)</f>
        <v>8.2000000000000046</v>
      </c>
      <c r="AB45" s="86">
        <v>35.049999999999983</v>
      </c>
      <c r="AC45" s="86">
        <v>35.575749999999978</v>
      </c>
      <c r="AD45" s="86">
        <v>36.813999999999986</v>
      </c>
      <c r="AE45" s="86">
        <v>36.75174999999998</v>
      </c>
      <c r="AF45" s="201">
        <v>235953.10979043774</v>
      </c>
      <c r="AG45" s="201">
        <v>196160.356145567</v>
      </c>
      <c r="AH45" s="201">
        <v>423636.67782002658</v>
      </c>
      <c r="AI45" s="202">
        <v>332.74302786667636</v>
      </c>
      <c r="AJ45" s="202">
        <v>4082.2981672950941</v>
      </c>
      <c r="AK45" s="86">
        <v>226.50356125147474</v>
      </c>
      <c r="AL45" s="86">
        <v>85.903385282820111</v>
      </c>
      <c r="AM45" s="199">
        <v>15.275785656728447</v>
      </c>
      <c r="AN45" s="27">
        <f t="shared" si="0"/>
        <v>20269.170899007524</v>
      </c>
      <c r="AO45" s="200">
        <f t="shared" si="1"/>
        <v>6471.383086707252</v>
      </c>
      <c r="AP45" s="2">
        <f>主翼!K83</f>
        <v>0</v>
      </c>
      <c r="AQ45" s="29"/>
      <c r="AR45" s="29"/>
      <c r="AS45" s="29"/>
      <c r="AT45" s="29"/>
      <c r="AU45" s="1"/>
      <c r="AV45" s="2">
        <f>IF((AA45-AA44)&gt;0,(AI44+AI45+SQRT(AI44*AI45))*(AA45-AA44)/3*10^-6*$T$17,0)</f>
        <v>0.10093589789673471</v>
      </c>
    </row>
    <row r="46" spans="2:48">
      <c r="X46" s="1"/>
      <c r="Y46" s="220">
        <v>40</v>
      </c>
      <c r="Z46" s="113" t="str">
        <f>IF(AA46&lt;$C$7,"0",IF(AA46&lt;$C$8,"0-1接合",IF(AA46&lt;$C$9,"1",IF(AA46&lt;$C$10,"1-2接合",IF(AA46&lt;$C$11,"2",IF(AA46&lt;$C$12,"2-3接合",IF(AA46&lt;$C$13,"3","ウィングレット")))))))</f>
        <v>2-3接合</v>
      </c>
      <c r="AA46" s="85">
        <f>VLOOKUP(Y46,主翼!B84:C190,2)</f>
        <v>8.4000000000000039</v>
      </c>
      <c r="AB46" s="86">
        <v>34.249999999999986</v>
      </c>
      <c r="AC46" s="86">
        <v>34.76374999999998</v>
      </c>
      <c r="AD46" s="86">
        <v>38.375999999999991</v>
      </c>
      <c r="AE46" s="86">
        <v>38.375999999999991</v>
      </c>
      <c r="AF46" s="201">
        <v>602333.69292182894</v>
      </c>
      <c r="AG46" s="201">
        <v>573642.09817685559</v>
      </c>
      <c r="AH46" s="201">
        <v>1173587.872951318</v>
      </c>
      <c r="AI46" s="202">
        <v>885.72366594038681</v>
      </c>
      <c r="AJ46" s="202">
        <v>4171.9152577882542</v>
      </c>
      <c r="AK46" s="86">
        <v>228.97671479633405</v>
      </c>
      <c r="AL46" s="86">
        <v>85.477862278174257</v>
      </c>
      <c r="AM46" s="199">
        <v>13.866312449637391</v>
      </c>
      <c r="AN46" s="27">
        <f t="shared" si="0"/>
        <v>51486.196449076197</v>
      </c>
      <c r="AO46" s="200">
        <f t="shared" si="1"/>
        <v>16273.336133448327</v>
      </c>
      <c r="AP46" s="2">
        <f>主翼!K84</f>
        <v>0</v>
      </c>
      <c r="AQ46" s="29"/>
      <c r="AR46" s="29"/>
      <c r="AS46" s="29"/>
      <c r="AT46" s="29"/>
      <c r="AU46" s="1"/>
      <c r="AV46" s="2">
        <f>IF((AA46-AA45)&gt;0,(AI45+AI46+SQRT(AI45*AI46))*(AA46-AA45)/3*10^-6*$T$17,0)</f>
        <v>0.17613463991361261</v>
      </c>
    </row>
    <row r="47" spans="2:48">
      <c r="X47" s="1"/>
      <c r="Y47" s="220">
        <v>41</v>
      </c>
      <c r="Z47" s="113" t="str">
        <f>IF(AA47&lt;$C$7,"0",IF(AA47&lt;$C$8,"0-1接合",IF(AA47&lt;$C$9,"1",IF(AA47&lt;$C$10,"1-2接合",IF(AA47&lt;$C$11,"2",IF(AA47&lt;$C$12,"2-3接合",IF(AA47&lt;$C$13,"3","ウィングレット")))))))</f>
        <v>2-3接合</v>
      </c>
      <c r="AA47" s="85">
        <f>VLOOKUP(Y47,主翼!B85:C191,2)</f>
        <v>8.6000000000000032</v>
      </c>
      <c r="AB47" s="86">
        <v>33.449999999999989</v>
      </c>
      <c r="AC47" s="86">
        <v>33.951749999999983</v>
      </c>
      <c r="AD47" s="86">
        <v>37.525999999999996</v>
      </c>
      <c r="AE47" s="86">
        <v>37.525999999999996</v>
      </c>
      <c r="AF47" s="201">
        <v>555596.40273045574</v>
      </c>
      <c r="AG47" s="201">
        <v>529551.70814734278</v>
      </c>
      <c r="AH47" s="201">
        <v>1082999.2013643503</v>
      </c>
      <c r="AI47" s="202">
        <v>855.75769410050168</v>
      </c>
      <c r="AJ47" s="202">
        <v>3984.4857198927471</v>
      </c>
      <c r="AK47" s="86">
        <v>223.77404446313724</v>
      </c>
      <c r="AL47" s="86">
        <v>85.477862278174257</v>
      </c>
      <c r="AM47" s="199">
        <v>13.866312449637391</v>
      </c>
      <c r="AN47" s="27">
        <f t="shared" si="0"/>
        <v>47491.192794842937</v>
      </c>
      <c r="AO47" s="200">
        <f t="shared" si="1"/>
        <v>15017.205308825842</v>
      </c>
      <c r="AP47" s="2">
        <f>主翼!K85</f>
        <v>0</v>
      </c>
      <c r="AQ47" s="29"/>
      <c r="AR47" s="29"/>
      <c r="AS47" s="29"/>
      <c r="AT47" s="29"/>
      <c r="AU47" s="1"/>
      <c r="AV47" s="2">
        <f>IF((AA47-AA46)&gt;0,(AI46+AI47+SQRT(AI46*AI47))*(AA47-AA46)/3*10^-6*$T$17,0)</f>
        <v>0.26120931230991251</v>
      </c>
    </row>
    <row r="48" spans="2:48">
      <c r="B48" t="s">
        <v>1226</v>
      </c>
      <c r="X48" s="1"/>
      <c r="Y48" s="220">
        <v>42</v>
      </c>
      <c r="Z48" s="113" t="str">
        <f>IF(AA48&lt;$C$7,"0",IF(AA48&lt;$C$8,"0-1接合",IF(AA48&lt;$C$9,"1",IF(AA48&lt;$C$10,"1-2接合",IF(AA48&lt;$C$11,"2",IF(AA48&lt;$C$12,"2-3接合",IF(AA48&lt;$C$13,"3","ウィングレット")))))))</f>
        <v>3</v>
      </c>
      <c r="AA48" s="85">
        <f>VLOOKUP(Y48,主翼!B86:C192,2)</f>
        <v>8.8000000000000025</v>
      </c>
      <c r="AB48" s="86">
        <v>35.499999999999993</v>
      </c>
      <c r="AC48" s="86">
        <v>35.499999999999993</v>
      </c>
      <c r="AD48" s="86">
        <v>36.675999999999995</v>
      </c>
      <c r="AE48" s="86">
        <v>36.675999999999995</v>
      </c>
      <c r="AF48" s="201">
        <v>173643.64390936267</v>
      </c>
      <c r="AG48" s="201">
        <v>173643.64390936503</v>
      </c>
      <c r="AH48" s="201">
        <v>347287.28814223426</v>
      </c>
      <c r="AI48" s="202">
        <v>266.66330561240511</v>
      </c>
      <c r="AJ48" s="202">
        <v>4091.4335385990248</v>
      </c>
      <c r="AK48" s="86">
        <v>226.75451157534059</v>
      </c>
      <c r="AL48" s="86">
        <v>85.052339273528418</v>
      </c>
      <c r="AM48" s="199">
        <v>12.456839242546334</v>
      </c>
      <c r="AN48" s="27">
        <f t="shared" si="0"/>
        <v>14768.79811447087</v>
      </c>
      <c r="AO48" s="200">
        <f t="shared" si="1"/>
        <v>4326.1019193676793</v>
      </c>
      <c r="AP48" s="2">
        <f>主翼!K86</f>
        <v>0</v>
      </c>
      <c r="AQ48" s="29"/>
      <c r="AR48" s="29"/>
      <c r="AS48" s="29"/>
      <c r="AT48" s="29"/>
      <c r="AU48" s="1"/>
      <c r="AV48" s="2">
        <f>IF((AA48-AA47)&gt;0,(AI47+AI48+SQRT(AI47*AI48))*(AA48-AA47)/3*10^-6*$T$17,0)</f>
        <v>0.16001229732404229</v>
      </c>
    </row>
    <row r="49" spans="2:48">
      <c r="X49" s="1"/>
      <c r="Y49" s="220">
        <v>43</v>
      </c>
      <c r="Z49" s="113" t="str">
        <f>IF(AA49&lt;$C$7,"0",IF(AA49&lt;$C$8,"0-1接合",IF(AA49&lt;$C$9,"1",IF(AA49&lt;$C$10,"1-2接合",IF(AA49&lt;$C$11,"2",IF(AA49&lt;$C$12,"2-3接合",IF(AA49&lt;$C$13,"3","ウィングレット")))))))</f>
        <v>3</v>
      </c>
      <c r="AA49" s="85">
        <f>VLOOKUP(Y49,主翼!B87:C193,2)</f>
        <v>9.0000000000000018</v>
      </c>
      <c r="AB49" s="86">
        <v>34.65</v>
      </c>
      <c r="AC49" s="86">
        <v>34.65</v>
      </c>
      <c r="AD49" s="86">
        <v>35.826000000000001</v>
      </c>
      <c r="AE49" s="86">
        <v>35.826000000000001</v>
      </c>
      <c r="AF49" s="201">
        <v>161660.60595430189</v>
      </c>
      <c r="AG49" s="201">
        <v>161660.60595430166</v>
      </c>
      <c r="AH49" s="201">
        <v>323321.21220957884</v>
      </c>
      <c r="AI49" s="202">
        <v>260.38244189672696</v>
      </c>
      <c r="AJ49" s="202">
        <v>3900.9678866305726</v>
      </c>
      <c r="AK49" s="86">
        <v>221.41364106857873</v>
      </c>
      <c r="AL49" s="86">
        <v>85.052339273528418</v>
      </c>
      <c r="AM49" s="199">
        <v>12.456839242546334</v>
      </c>
      <c r="AN49" s="27">
        <f t="shared" si="0"/>
        <v>13749.612704789473</v>
      </c>
      <c r="AO49" s="200">
        <f t="shared" si="1"/>
        <v>4027.5603641999328</v>
      </c>
      <c r="AP49" s="2">
        <f>主翼!K87</f>
        <v>0</v>
      </c>
      <c r="AQ49" s="29"/>
      <c r="AR49" s="29"/>
      <c r="AS49" s="29"/>
      <c r="AT49" s="29"/>
      <c r="AU49" s="1"/>
      <c r="AV49" s="2">
        <f>IF((AA49-AA48)&gt;0,(AI48+AI49+SQRT(AI48*AI49))*(AA49-AA48)/3*10^-6*$T$17,0)</f>
        <v>7.9054990815865533E-2</v>
      </c>
    </row>
    <row r="50" spans="2:48">
      <c r="B50" t="s">
        <v>1026</v>
      </c>
      <c r="X50" s="1"/>
      <c r="Y50" s="220">
        <v>44</v>
      </c>
      <c r="Z50" s="113" t="str">
        <f>IF(AA50&lt;$C$7,"0",IF(AA50&lt;$C$8,"0-1接合",IF(AA50&lt;$C$9,"1",IF(AA50&lt;$C$10,"1-2接合",IF(AA50&lt;$C$11,"2",IF(AA50&lt;$C$12,"2-3接合",IF(AA50&lt;$C$13,"3","ウィングレット")))))))</f>
        <v>3</v>
      </c>
      <c r="AA50" s="85">
        <f>VLOOKUP(Y50,主翼!B88:C194,2)</f>
        <v>9.2000000000000011</v>
      </c>
      <c r="AB50" s="86">
        <v>33.799999999999997</v>
      </c>
      <c r="AC50" s="86">
        <v>33.799999999999997</v>
      </c>
      <c r="AD50" s="86">
        <v>34.975999999999999</v>
      </c>
      <c r="AE50" s="86">
        <v>34.975999999999999</v>
      </c>
      <c r="AF50" s="201">
        <v>150241.94694205312</v>
      </c>
      <c r="AG50" s="201">
        <v>150241.94694205097</v>
      </c>
      <c r="AH50" s="201">
        <v>300483.89416411839</v>
      </c>
      <c r="AI50" s="202">
        <v>254.10157818104358</v>
      </c>
      <c r="AJ50" s="202">
        <v>3715.0418360465555</v>
      </c>
      <c r="AK50" s="86">
        <v>216.07277056230714</v>
      </c>
      <c r="AL50" s="86">
        <v>85.052339273528418</v>
      </c>
      <c r="AM50" s="199">
        <v>12.456839242546334</v>
      </c>
      <c r="AN50" s="27">
        <f t="shared" si="0"/>
        <v>12778.429044430959</v>
      </c>
      <c r="AO50" s="200">
        <f t="shared" si="1"/>
        <v>3743.0795645767294</v>
      </c>
      <c r="AP50" s="2">
        <f>主翼!K88</f>
        <v>0</v>
      </c>
      <c r="AQ50" s="29"/>
      <c r="AR50" s="29"/>
      <c r="AS50" s="29"/>
      <c r="AT50" s="29"/>
      <c r="AU50" s="1"/>
      <c r="AV50" s="2">
        <f>IF((AA50-AA49)&gt;0,(AI49+AI50+SQRT(AI49*AI50))*(AA50-AA49)/3*10^-6*$T$17,0)</f>
        <v>7.7170686007568129E-2</v>
      </c>
    </row>
    <row r="51" spans="2:48">
      <c r="X51" s="1"/>
      <c r="Y51" s="220">
        <v>45</v>
      </c>
      <c r="Z51" s="113" t="str">
        <f>IF(AA51&lt;$C$7,"0",IF(AA51&lt;$C$8,"0-1接合",IF(AA51&lt;$C$9,"1",IF(AA51&lt;$C$10,"1-2接合",IF(AA51&lt;$C$11,"2",IF(AA51&lt;$C$12,"2-3接合",IF(AA51&lt;$C$13,"3","ウィングレット")))))))</f>
        <v>3</v>
      </c>
      <c r="AA51" s="85">
        <f>VLOOKUP(Y51,主翼!B89:C195,2)</f>
        <v>9.4</v>
      </c>
      <c r="AB51" s="86">
        <v>32.950000000000003</v>
      </c>
      <c r="AC51" s="86">
        <v>32.950000000000003</v>
      </c>
      <c r="AD51" s="86">
        <v>34.126000000000005</v>
      </c>
      <c r="AE51" s="86">
        <v>34.126000000000005</v>
      </c>
      <c r="AF51" s="201">
        <v>139374.05310051149</v>
      </c>
      <c r="AG51" s="201">
        <v>139374.05310051152</v>
      </c>
      <c r="AH51" s="201">
        <v>278748.10646056669</v>
      </c>
      <c r="AI51" s="202">
        <v>247.82071446538842</v>
      </c>
      <c r="AJ51" s="202">
        <v>3533.6553868469778</v>
      </c>
      <c r="AK51" s="86">
        <v>210.7319000555658</v>
      </c>
      <c r="AL51" s="86">
        <v>85.052339273528418</v>
      </c>
      <c r="AM51" s="199">
        <v>12.456839242546334</v>
      </c>
      <c r="AN51" s="27">
        <f t="shared" si="0"/>
        <v>11854.089250231469</v>
      </c>
      <c r="AO51" s="200">
        <f t="shared" si="1"/>
        <v>3472.3203513434701</v>
      </c>
      <c r="AP51" s="2">
        <f>主翼!K89</f>
        <v>0</v>
      </c>
      <c r="AQ51" s="29"/>
      <c r="AR51" s="29"/>
      <c r="AS51" s="29"/>
      <c r="AT51" s="29"/>
      <c r="AU51" s="1"/>
      <c r="AV51" s="2">
        <f>IF((AA51-AA50)&gt;0,(AI50+AI51+SQRT(AI50*AI51))*(AA51-AA50)/3*10^-6*$T$17,0)</f>
        <v>7.5286378911843366E-2</v>
      </c>
    </row>
    <row r="52" spans="2:48">
      <c r="B52" s="35" t="s">
        <v>924</v>
      </c>
      <c r="C52" s="134">
        <v>500</v>
      </c>
      <c r="D52" s="35" t="s">
        <v>837</v>
      </c>
      <c r="F52" s="35" t="s">
        <v>936</v>
      </c>
      <c r="G52" s="35" t="e">
        <f>(C51-#REF!)*(C52-1)+C51</f>
        <v>#REF!</v>
      </c>
      <c r="H52" s="35" t="s">
        <v>837</v>
      </c>
      <c r="J52" s="35" t="s">
        <v>1236</v>
      </c>
      <c r="K52" s="35"/>
      <c r="L52" s="35" t="s">
        <v>36</v>
      </c>
      <c r="O52" t="s">
        <v>1237</v>
      </c>
      <c r="X52" s="1"/>
      <c r="Y52" s="220">
        <v>46</v>
      </c>
      <c r="Z52" s="113" t="str">
        <f>IF(AA52&lt;$C$7,"0",IF(AA52&lt;$C$8,"0-1接合",IF(AA52&lt;$C$9,"1",IF(AA52&lt;$C$10,"1-2接合",IF(AA52&lt;$C$11,"2",IF(AA52&lt;$C$12,"2-3接合",IF(AA52&lt;$C$13,"3","ウィングレット")))))))</f>
        <v>3</v>
      </c>
      <c r="AA52" s="85">
        <f>VLOOKUP(Y52,主翼!B90:C196,2)</f>
        <v>9.6</v>
      </c>
      <c r="AB52" s="86">
        <v>32.100000000000009</v>
      </c>
      <c r="AC52" s="86">
        <v>32.100000000000009</v>
      </c>
      <c r="AD52" s="86">
        <v>33.27600000000001</v>
      </c>
      <c r="AE52" s="86">
        <v>33.27600000000001</v>
      </c>
      <c r="AF52" s="201">
        <v>129043.31065757385</v>
      </c>
      <c r="AG52" s="201">
        <v>129043.3106575729</v>
      </c>
      <c r="AH52" s="201">
        <v>258086.62155568425</v>
      </c>
      <c r="AI52" s="202">
        <v>241.53985074970598</v>
      </c>
      <c r="AJ52" s="202">
        <v>3356.808539031837</v>
      </c>
      <c r="AK52" s="86">
        <v>205.39102954915421</v>
      </c>
      <c r="AL52" s="86">
        <v>85.052339273528418</v>
      </c>
      <c r="AM52" s="199">
        <v>12.456839242546334</v>
      </c>
      <c r="AN52" s="27">
        <f t="shared" si="0"/>
        <v>10975.435439027297</v>
      </c>
      <c r="AO52" s="200">
        <f t="shared" si="1"/>
        <v>3214.9435553710523</v>
      </c>
      <c r="AP52" s="2">
        <f>主翼!K90</f>
        <v>0</v>
      </c>
      <c r="AQ52" s="29"/>
      <c r="AR52" s="29"/>
      <c r="AS52" s="29"/>
      <c r="AT52" s="29"/>
      <c r="AU52" s="1"/>
      <c r="AV52" s="2">
        <f>IF((AA52-AA51)&gt;0,(AI51+AI52+SQRT(AI51*AI52))*(AA52-AA51)/3*10^-6*$T$17,0)</f>
        <v>7.3402069352507079E-2</v>
      </c>
    </row>
    <row r="53" spans="2:48">
      <c r="B53" s="35" t="s">
        <v>925</v>
      </c>
      <c r="C53" s="134">
        <v>40</v>
      </c>
      <c r="D53" s="35" t="s">
        <v>837</v>
      </c>
      <c r="F53" s="35" t="s">
        <v>938</v>
      </c>
      <c r="G53" s="35" t="e">
        <f>G52-C53*2</f>
        <v>#REF!</v>
      </c>
      <c r="H53" s="35" t="s">
        <v>837</v>
      </c>
      <c r="J53" s="35" t="s">
        <v>1095</v>
      </c>
      <c r="K53" s="35"/>
      <c r="L53" s="35" t="s">
        <v>6</v>
      </c>
      <c r="X53" s="1"/>
      <c r="Y53" s="220">
        <v>47</v>
      </c>
      <c r="Z53" s="113" t="str">
        <f>IF(AA53&lt;$C$7,"0",IF(AA53&lt;$C$8,"0-1接合",IF(AA53&lt;$C$9,"1",IF(AA53&lt;$C$10,"1-2接合",IF(AA53&lt;$C$11,"2",IF(AA53&lt;$C$12,"2-3接合",IF(AA53&lt;$C$13,"3","ウィングレット")))))))</f>
        <v>3</v>
      </c>
      <c r="AA53" s="85">
        <f>VLOOKUP(Y53,主翼!B91:C197,2)</f>
        <v>9.7999999999999989</v>
      </c>
      <c r="AB53" s="86">
        <v>31.250000000000007</v>
      </c>
      <c r="AC53" s="86">
        <v>31.250000000000007</v>
      </c>
      <c r="AD53" s="86">
        <v>32.426000000000009</v>
      </c>
      <c r="AE53" s="86">
        <v>32.426000000000009</v>
      </c>
      <c r="AF53" s="201">
        <v>119236.1058411363</v>
      </c>
      <c r="AG53" s="201">
        <v>119236.10584113518</v>
      </c>
      <c r="AH53" s="201">
        <v>238472.21190441577</v>
      </c>
      <c r="AI53" s="202">
        <v>235.2589870340297</v>
      </c>
      <c r="AJ53" s="202">
        <v>3184.5012926011318</v>
      </c>
      <c r="AK53" s="86">
        <v>200.0501590427312</v>
      </c>
      <c r="AL53" s="86">
        <v>85.052339273528418</v>
      </c>
      <c r="AM53" s="199">
        <v>12.456839242546334</v>
      </c>
      <c r="AN53" s="27">
        <f t="shared" si="0"/>
        <v>10141.309727654669</v>
      </c>
      <c r="AO53" s="200">
        <f t="shared" si="1"/>
        <v>2970.6100075077511</v>
      </c>
      <c r="AP53" s="2">
        <f>主翼!K91</f>
        <v>0</v>
      </c>
      <c r="AQ53" s="29"/>
      <c r="AR53" s="29"/>
      <c r="AS53" s="29"/>
      <c r="AT53" s="29"/>
      <c r="AU53" s="1"/>
      <c r="AV53" s="2">
        <f>IF((AA53-AA52)&gt;0,(AI52+AI53+SQRT(AI52*AI53))*(AA53-AA52)/3*10^-6*$T$17,0)</f>
        <v>7.1517757134804766E-2</v>
      </c>
    </row>
    <row r="54" spans="2:48">
      <c r="B54" s="35" t="s">
        <v>926</v>
      </c>
      <c r="C54" s="134">
        <v>9</v>
      </c>
      <c r="D54" s="35" t="s">
        <v>927</v>
      </c>
      <c r="F54" s="35" t="s">
        <v>940</v>
      </c>
      <c r="G54" s="35"/>
      <c r="H54" s="35" t="s">
        <v>837</v>
      </c>
      <c r="J54" s="269" t="s">
        <v>1224</v>
      </c>
      <c r="K54" s="134">
        <v>1.1000000000000001</v>
      </c>
      <c r="L54" s="35"/>
      <c r="Q54" t="s">
        <v>934</v>
      </c>
      <c r="R54" t="s">
        <v>935</v>
      </c>
      <c r="X54" s="1"/>
      <c r="Y54" s="220">
        <v>48</v>
      </c>
      <c r="Z54" s="113" t="str">
        <f>IF(AA54&lt;$C$7,"0",IF(AA54&lt;$C$8,"0-1接合",IF(AA54&lt;$C$9,"1",IF(AA54&lt;$C$10,"1-2接合",IF(AA54&lt;$C$11,"2",IF(AA54&lt;$C$12,"2-3接合",IF(AA54&lt;$C$13,"3","ウィングレット")))))))</f>
        <v>3</v>
      </c>
      <c r="AA54" s="85">
        <f>VLOOKUP(Y54,主翼!B92:C198,2)</f>
        <v>9.9999999999999982</v>
      </c>
      <c r="AB54" s="86">
        <v>30.400000000000013</v>
      </c>
      <c r="AC54" s="86">
        <v>30.400000000000013</v>
      </c>
      <c r="AD54" s="86">
        <v>31.576000000000011</v>
      </c>
      <c r="AE54" s="86">
        <v>31.576000000000011</v>
      </c>
      <c r="AF54" s="201">
        <v>109938.8248790951</v>
      </c>
      <c r="AG54" s="201">
        <v>109938.82487909358</v>
      </c>
      <c r="AH54" s="201">
        <v>219877.64996291313</v>
      </c>
      <c r="AI54" s="202">
        <v>228.97812331834791</v>
      </c>
      <c r="AJ54" s="202">
        <v>3016.7336475548655</v>
      </c>
      <c r="AK54" s="86">
        <v>194.7092885360114</v>
      </c>
      <c r="AL54" s="86">
        <v>85.052339273528418</v>
      </c>
      <c r="AM54" s="199">
        <v>12.456839242546334</v>
      </c>
      <c r="AN54" s="27">
        <f t="shared" si="0"/>
        <v>9350.5542329498239</v>
      </c>
      <c r="AO54" s="200">
        <f t="shared" si="1"/>
        <v>2738.9805386168828</v>
      </c>
      <c r="AP54" s="2">
        <f>主翼!K92</f>
        <v>0</v>
      </c>
      <c r="AQ54" s="29"/>
      <c r="AR54" s="29"/>
      <c r="AS54" s="29"/>
      <c r="AT54" s="29"/>
      <c r="AU54" s="1"/>
      <c r="AV54" s="2">
        <f>IF((AA54-AA53)&gt;0,(AI53+AI54+SQRT(AI53*AI54))*(AA54-AA53)/3*10^-6*$T$17,0)</f>
        <v>6.9633442042904892E-2</v>
      </c>
    </row>
    <row r="55" spans="2:48">
      <c r="B55" s="35" t="s">
        <v>928</v>
      </c>
      <c r="C55" s="134">
        <v>50</v>
      </c>
      <c r="D55" s="35" t="s">
        <v>837</v>
      </c>
      <c r="O55" t="s">
        <v>937</v>
      </c>
      <c r="P55" s="35" t="s">
        <v>930</v>
      </c>
      <c r="Q55" s="142" t="e">
        <f>#REF!</f>
        <v>#REF!</v>
      </c>
      <c r="R55" s="142" t="e">
        <f>Q55+#REF!*(#REF!+#REF!)*2</f>
        <v>#REF!</v>
      </c>
      <c r="X55" s="1"/>
      <c r="Y55" s="220">
        <v>49</v>
      </c>
      <c r="Z55" s="113" t="str">
        <f>IF(AA55&lt;$C$7,"0",IF(AA55&lt;$C$8,"0-1接合",IF(AA55&lt;$C$9,"1",IF(AA55&lt;$C$10,"1-2接合",IF(AA55&lt;$C$11,"2",IF(AA55&lt;$C$12,"2-3接合",IF(AA55&lt;$C$13,"3","ウィングレット")))))))</f>
        <v>3</v>
      </c>
      <c r="AA55" s="85">
        <f>VLOOKUP(Y55,主翼!B93:C199,2)</f>
        <v>10.199999999999998</v>
      </c>
      <c r="AB55" s="86">
        <v>29.550000000000015</v>
      </c>
      <c r="AC55" s="86">
        <v>29.550000000000015</v>
      </c>
      <c r="AD55" s="86">
        <v>30.726000000000013</v>
      </c>
      <c r="AE55" s="86">
        <v>30.726000000000013</v>
      </c>
      <c r="AF55" s="201">
        <v>101137.85399934588</v>
      </c>
      <c r="AG55" s="201">
        <v>101137.85399934708</v>
      </c>
      <c r="AH55" s="201">
        <v>202275.70818720915</v>
      </c>
      <c r="AI55" s="202">
        <v>222.69725960279808</v>
      </c>
      <c r="AJ55" s="202">
        <v>2853.5056038930347</v>
      </c>
      <c r="AK55" s="86">
        <v>189.36841802972947</v>
      </c>
      <c r="AL55" s="86">
        <v>85.052339273528418</v>
      </c>
      <c r="AM55" s="199">
        <v>12.456839242546334</v>
      </c>
      <c r="AN55" s="27">
        <f t="shared" si="0"/>
        <v>8602.0110717489497</v>
      </c>
      <c r="AO55" s="200">
        <f t="shared" si="1"/>
        <v>2519.7159795602779</v>
      </c>
      <c r="AP55" s="2">
        <f>主翼!K93</f>
        <v>0</v>
      </c>
      <c r="AQ55" s="29"/>
      <c r="AR55" s="29"/>
      <c r="AS55" s="29"/>
      <c r="AT55" s="29"/>
      <c r="AU55" s="1"/>
      <c r="AV55" s="2">
        <f>IF((AA55-AA54)&gt;0,(AI54+AI55+SQRT(AI54*AI55))*(AA55-AA54)/3*10^-6*$T$17,0)</f>
        <v>6.7749123836975386E-2</v>
      </c>
    </row>
    <row r="56" spans="2:48">
      <c r="P56" s="35" t="s">
        <v>939</v>
      </c>
      <c r="Q56" s="142" t="e">
        <f>#REF!*#REF!</f>
        <v>#REF!</v>
      </c>
      <c r="R56" s="142" t="e">
        <f>Q56+#REF!*#REF!*2</f>
        <v>#REF!</v>
      </c>
      <c r="X56" s="1"/>
      <c r="Y56" s="220">
        <v>50</v>
      </c>
      <c r="Z56" s="113" t="str">
        <f>IF(AA56&lt;$C$7,"0",IF(AA56&lt;$C$8,"0-1接合",IF(AA56&lt;$C$9,"1",IF(AA56&lt;$C$10,"1-2接合",IF(AA56&lt;$C$11,"2",IF(AA56&lt;$C$12,"2-3接合",IF(AA56&lt;$C$13,"3","ウィングレット")))))))</f>
        <v>3</v>
      </c>
      <c r="AA56" s="85">
        <f>VLOOKUP(Y56,主翼!B94:C200,2)</f>
        <v>10.399999999999997</v>
      </c>
      <c r="AB56" s="86">
        <v>28.700000000000017</v>
      </c>
      <c r="AC56" s="86">
        <v>28.700000000000017</v>
      </c>
      <c r="AD56" s="86">
        <v>29.876000000000015</v>
      </c>
      <c r="AE56" s="86">
        <v>29.876000000000015</v>
      </c>
      <c r="AF56" s="201">
        <v>92819.579429787424</v>
      </c>
      <c r="AG56" s="201">
        <v>92819.579429787511</v>
      </c>
      <c r="AH56" s="201">
        <v>185639.15903248076</v>
      </c>
      <c r="AI56" s="202">
        <v>216.41639588712061</v>
      </c>
      <c r="AJ56" s="202">
        <v>2694.8171616156428</v>
      </c>
      <c r="AK56" s="86">
        <v>184.02754752303656</v>
      </c>
      <c r="AL56" s="86">
        <v>85.052339273528418</v>
      </c>
      <c r="AM56" s="199">
        <v>12.456839242546334</v>
      </c>
      <c r="AN56" s="27">
        <f t="shared" si="0"/>
        <v>7894.5223608884999</v>
      </c>
      <c r="AO56" s="200">
        <f t="shared" si="1"/>
        <v>2312.477161189106</v>
      </c>
      <c r="AP56" s="2">
        <f>主翼!K94</f>
        <v>0</v>
      </c>
      <c r="AQ56" s="29"/>
      <c r="AR56" s="29"/>
      <c r="AS56" s="29"/>
      <c r="AT56" s="29"/>
      <c r="AU56" s="1"/>
      <c r="AV56" s="2">
        <f>IF((AA56-AA55)&gt;0,(AI55+AI56+SQRT(AI55*AI56))*(AA56-AA55)/3*10^-6*$T$17,0)</f>
        <v>6.5864802249694335E-2</v>
      </c>
    </row>
    <row r="57" spans="2:48">
      <c r="P57" s="35" t="s">
        <v>941</v>
      </c>
      <c r="Q57" s="142" t="e">
        <f>#REF!</f>
        <v>#REF!</v>
      </c>
      <c r="R57" s="142" t="e">
        <f>Q57+#REF!*(#REF!+#REF!)*2</f>
        <v>#REF!</v>
      </c>
      <c r="X57" s="1"/>
      <c r="Y57" s="220">
        <v>51</v>
      </c>
      <c r="Z57" s="113" t="str">
        <f>IF(AA57&lt;$C$7,"0",IF(AA57&lt;$C$8,"0-1接合",IF(AA57&lt;$C$9,"1",IF(AA57&lt;$C$10,"1-2接合",IF(AA57&lt;$C$11,"2",IF(AA57&lt;$C$12,"2-3接合",IF(AA57&lt;$C$13,"3","ウィングレット")))))))</f>
        <v>3</v>
      </c>
      <c r="AA57" s="85">
        <f>VLOOKUP(Y57,主翼!B95:C201,2)</f>
        <v>10.599999999999996</v>
      </c>
      <c r="AB57" s="86">
        <v>27.850000000000023</v>
      </c>
      <c r="AC57" s="86">
        <v>27.850000000000023</v>
      </c>
      <c r="AD57" s="86">
        <v>29.026000000000021</v>
      </c>
      <c r="AE57" s="86">
        <v>29.026000000000021</v>
      </c>
      <c r="AF57" s="201">
        <v>84970.387398313265</v>
      </c>
      <c r="AG57" s="201">
        <v>84970.387398314153</v>
      </c>
      <c r="AH57" s="201">
        <v>169940.77495503944</v>
      </c>
      <c r="AI57" s="202">
        <v>210.1355321714521</v>
      </c>
      <c r="AJ57" s="202">
        <v>2540.6683207226879</v>
      </c>
      <c r="AK57" s="86">
        <v>178.68667701657924</v>
      </c>
      <c r="AL57" s="86">
        <v>85.052339273528418</v>
      </c>
      <c r="AM57" s="199">
        <v>12.456839242546334</v>
      </c>
      <c r="AN57" s="27">
        <f t="shared" si="0"/>
        <v>7226.9302172044836</v>
      </c>
      <c r="AO57" s="200">
        <f t="shared" si="1"/>
        <v>2116.9249143686707</v>
      </c>
      <c r="AP57" s="2">
        <f>主翼!K95</f>
        <v>0</v>
      </c>
      <c r="AQ57" s="29"/>
      <c r="AR57" s="29"/>
      <c r="AS57" s="29"/>
      <c r="AT57" s="29"/>
      <c r="AU57" s="1"/>
      <c r="AV57" s="2">
        <f>IF((AA57-AA56)&gt;0,(AI56+AI57+SQRT(AI56*AI57))*(AA57-AA56)/3*10^-6*$T$17,0)</f>
        <v>6.3980476982244419E-2</v>
      </c>
    </row>
    <row r="58" spans="2:48">
      <c r="B58" s="38" t="s">
        <v>929</v>
      </c>
      <c r="C58" s="38">
        <v>1</v>
      </c>
      <c r="D58" s="38">
        <v>2</v>
      </c>
      <c r="E58" s="38">
        <v>3</v>
      </c>
      <c r="F58" s="38">
        <v>4</v>
      </c>
      <c r="G58" s="38">
        <v>5</v>
      </c>
      <c r="H58" s="38">
        <v>6</v>
      </c>
      <c r="I58" s="38">
        <v>7</v>
      </c>
      <c r="J58" s="38">
        <v>8</v>
      </c>
      <c r="K58" s="38">
        <v>9</v>
      </c>
      <c r="L58" s="38"/>
      <c r="M58" s="38"/>
      <c r="P58" s="35" t="s">
        <v>933</v>
      </c>
      <c r="Q58" s="142" t="e">
        <f>#REF!*#REF!</f>
        <v>#REF!</v>
      </c>
      <c r="R58" s="142" t="e">
        <f>Q58+#REF!*#REF!*2</f>
        <v>#REF!</v>
      </c>
      <c r="X58" s="1"/>
      <c r="Y58" s="220">
        <v>52</v>
      </c>
      <c r="Z58" s="113" t="str">
        <f>IF(AA58&lt;$C$7,"0",IF(AA58&lt;$C$8,"0-1接合",IF(AA58&lt;$C$9,"1",IF(AA58&lt;$C$10,"1-2接合",IF(AA58&lt;$C$11,"2",IF(AA58&lt;$C$12,"2-3接合",IF(AA58&lt;$C$13,"3","ウィングレット")))))))</f>
        <v>3</v>
      </c>
      <c r="AA58" s="85">
        <f>VLOOKUP(Y58,主翼!B96:C202,2)</f>
        <v>10.799999999999995</v>
      </c>
      <c r="AB58" s="86">
        <v>27.000000000000025</v>
      </c>
      <c r="AC58" s="86">
        <v>27.000000000000025</v>
      </c>
      <c r="AD58" s="86">
        <v>28.176000000000023</v>
      </c>
      <c r="AE58" s="86">
        <v>28.176000000000023</v>
      </c>
      <c r="AF58" s="201">
        <v>77576.66413282312</v>
      </c>
      <c r="AG58" s="201">
        <v>77576.664132823091</v>
      </c>
      <c r="AH58" s="201">
        <v>155153.32841003747</v>
      </c>
      <c r="AI58" s="202">
        <v>203.85466845581075</v>
      </c>
      <c r="AJ58" s="202">
        <v>2391.0590812141691</v>
      </c>
      <c r="AK58" s="86">
        <v>173.3458065101529</v>
      </c>
      <c r="AL58" s="86">
        <v>85.052339273528418</v>
      </c>
      <c r="AM58" s="199">
        <v>12.456839242546334</v>
      </c>
      <c r="AN58" s="27">
        <f t="shared" si="0"/>
        <v>6598.0767575334348</v>
      </c>
      <c r="AO58" s="200">
        <f t="shared" si="1"/>
        <v>1932.7200699498337</v>
      </c>
      <c r="AP58" s="2">
        <f>主翼!K96</f>
        <v>0</v>
      </c>
      <c r="AQ58" s="29"/>
      <c r="AR58" s="29"/>
      <c r="AS58" s="29"/>
      <c r="AT58" s="29"/>
      <c r="AU58" s="1"/>
      <c r="AV58" s="2">
        <f>IF((AA58-AA57)&gt;0,(AI57+AI58+SQRT(AI57*AI58))*(AA58-AA57)/3*10^-6*$T$17,0)</f>
        <v>6.209614769957382E-2</v>
      </c>
    </row>
    <row r="59" spans="2:48">
      <c r="B59" s="38" t="s">
        <v>930</v>
      </c>
      <c r="C59" s="141" t="e">
        <f>#REF!+$I$7*(#REF!-$C$4)/2</f>
        <v>#REF!</v>
      </c>
      <c r="D59" s="141" t="e">
        <f>C61+$I$7*$C$6</f>
        <v>#REF!</v>
      </c>
      <c r="E59" s="141" t="e">
        <f>D61+$I$7*$C$6</f>
        <v>#REF!</v>
      </c>
      <c r="F59" s="141" t="e">
        <f>E61+$I$7*$C$6</f>
        <v>#REF!</v>
      </c>
      <c r="G59" s="141" t="e">
        <f>F61+$I$7*$C$6</f>
        <v>#REF!</v>
      </c>
      <c r="H59" s="141" t="e">
        <f>G61+$I$7*$C$6</f>
        <v>#REF!</v>
      </c>
      <c r="I59" s="141" t="e">
        <f>H61+$I$7*$C$6</f>
        <v>#REF!</v>
      </c>
      <c r="J59" s="141" t="e">
        <f>I61+$I$7*$C$6</f>
        <v>#REF!</v>
      </c>
      <c r="K59" s="141" t="e">
        <f>J61+$I$7*$C$6</f>
        <v>#REF!</v>
      </c>
      <c r="L59" s="141"/>
      <c r="M59" s="141"/>
      <c r="O59" t="s">
        <v>942</v>
      </c>
      <c r="P59" s="35" t="s">
        <v>930</v>
      </c>
      <c r="Q59" s="142" t="e">
        <f>C59-#REF!*C53</f>
        <v>#REF!</v>
      </c>
      <c r="R59" s="142" t="e">
        <f>Q59+#REF!*(#REF!+#REF!)*2</f>
        <v>#REF!</v>
      </c>
      <c r="X59" s="1"/>
      <c r="Y59" s="220">
        <v>53</v>
      </c>
      <c r="Z59" s="113" t="str">
        <f>IF(AA59&lt;$C$7,"0",IF(AA59&lt;$C$8,"0-1接合",IF(AA59&lt;$C$9,"1",IF(AA59&lt;$C$10,"1-2接合",IF(AA59&lt;$C$11,"2",IF(AA59&lt;$C$12,"2-3接合",IF(AA59&lt;$C$13,"3","ウィングレット")))))))</f>
        <v>3</v>
      </c>
      <c r="AA59" s="85">
        <f>VLOOKUP(Y59,主翼!B97:C203,2)</f>
        <v>10.999999999999995</v>
      </c>
      <c r="AB59" s="86">
        <v>26.150000000000027</v>
      </c>
      <c r="AC59" s="86">
        <v>26.150000000000027</v>
      </c>
      <c r="AD59" s="86">
        <v>27.326000000000025</v>
      </c>
      <c r="AE59" s="86">
        <v>27.326000000000025</v>
      </c>
      <c r="AF59" s="201">
        <v>70624.795861208884</v>
      </c>
      <c r="AG59" s="201">
        <v>70624.795861209495</v>
      </c>
      <c r="AH59" s="201">
        <v>141249.59185394619</v>
      </c>
      <c r="AI59" s="202">
        <v>197.57380474013647</v>
      </c>
      <c r="AJ59" s="202">
        <v>2245.9894430900886</v>
      </c>
      <c r="AK59" s="86">
        <v>168.00493600362259</v>
      </c>
      <c r="AL59" s="86">
        <v>85.052339273528418</v>
      </c>
      <c r="AM59" s="199">
        <v>12.456839242546334</v>
      </c>
      <c r="AN59" s="27">
        <f t="shared" si="0"/>
        <v>6006.8040987112236</v>
      </c>
      <c r="AO59" s="200">
        <f t="shared" si="1"/>
        <v>1759.5234587998898</v>
      </c>
      <c r="AP59" s="2">
        <f>主翼!K97</f>
        <v>0</v>
      </c>
      <c r="AQ59" s="29"/>
      <c r="AR59" s="29"/>
      <c r="AS59" s="29"/>
      <c r="AT59" s="29"/>
      <c r="AU59" s="1"/>
      <c r="AV59" s="2">
        <f>IF((AA59-AA58)&gt;0,(AI58+AI59+SQRT(AI58*AI59))*(AA59-AA58)/3*10^-6*$T$17,0)</f>
        <v>6.0211814024647745E-2</v>
      </c>
    </row>
    <row r="60" spans="2:48">
      <c r="B60" s="38" t="s">
        <v>931</v>
      </c>
      <c r="C60" s="141" t="e">
        <f>C59*#REF!</f>
        <v>#REF!</v>
      </c>
      <c r="D60" s="141" t="e">
        <f>D59*$I$4</f>
        <v>#REF!</v>
      </c>
      <c r="E60" s="141" t="e">
        <f>E59*$I$4</f>
        <v>#REF!</v>
      </c>
      <c r="F60" s="141" t="e">
        <f>F59*$I$4</f>
        <v>#REF!</v>
      </c>
      <c r="G60" s="141" t="e">
        <f>G59*$I$4</f>
        <v>#REF!</v>
      </c>
      <c r="H60" s="141" t="e">
        <f>H59*$I$4</f>
        <v>#REF!</v>
      </c>
      <c r="I60" s="141" t="e">
        <f>I59*$I$4</f>
        <v>#REF!</v>
      </c>
      <c r="J60" s="141" t="e">
        <f>J59*$I$4</f>
        <v>#REF!</v>
      </c>
      <c r="K60" s="141" t="e">
        <f>K59*$I$4</f>
        <v>#REF!</v>
      </c>
      <c r="L60" s="141"/>
      <c r="M60" s="141"/>
      <c r="P60" s="35" t="s">
        <v>939</v>
      </c>
      <c r="Q60" s="142" t="e">
        <f>Q59*#REF!</f>
        <v>#REF!</v>
      </c>
      <c r="R60" s="142" t="e">
        <f>Q60+#REF!*#REF!*2</f>
        <v>#REF!</v>
      </c>
      <c r="X60" s="1"/>
      <c r="Y60" s="220">
        <v>54</v>
      </c>
      <c r="Z60" s="113" t="str">
        <f>IF(AA60&lt;$C$7,"0",IF(AA60&lt;$C$8,"0-1接合",IF(AA60&lt;$C$9,"1",IF(AA60&lt;$C$10,"1-2接合",IF(AA60&lt;$C$11,"2",IF(AA60&lt;$C$12,"2-3接合",IF(AA60&lt;$C$13,"3","ウィングレット")))))))</f>
        <v>3</v>
      </c>
      <c r="AA60" s="85">
        <f>VLOOKUP(Y60,主翼!B98:C204,2)</f>
        <v>11.199999999999994</v>
      </c>
      <c r="AB60" s="86">
        <v>25.300000000000029</v>
      </c>
      <c r="AC60" s="86">
        <v>25.300000000000029</v>
      </c>
      <c r="AD60" s="86">
        <v>26.476000000000028</v>
      </c>
      <c r="AE60" s="86">
        <v>26.476000000000028</v>
      </c>
      <c r="AF60" s="201">
        <v>64101.168811369578</v>
      </c>
      <c r="AG60" s="201">
        <v>64101.16881136944</v>
      </c>
      <c r="AH60" s="201">
        <v>128202.33774211223</v>
      </c>
      <c r="AI60" s="202">
        <v>191.29294102447028</v>
      </c>
      <c r="AJ60" s="202">
        <v>2105.4594063504442</v>
      </c>
      <c r="AK60" s="86">
        <v>162.66406549714401</v>
      </c>
      <c r="AL60" s="86">
        <v>85.052339273528418</v>
      </c>
      <c r="AM60" s="199">
        <v>12.456839242546334</v>
      </c>
      <c r="AN60" s="27">
        <f t="shared" si="0"/>
        <v>5451.9543575743246</v>
      </c>
      <c r="AO60" s="200">
        <f t="shared" si="1"/>
        <v>1596.9959117721226</v>
      </c>
      <c r="AP60" s="2">
        <f>主翼!K98</f>
        <v>0</v>
      </c>
      <c r="AQ60" s="29"/>
      <c r="AR60" s="29"/>
      <c r="AS60" s="29"/>
      <c r="AT60" s="29"/>
      <c r="AU60" s="1"/>
      <c r="AV60" s="2">
        <f>IF((AA60-AA59)&gt;0,(AI59+AI60+SQRT(AI59*AI60))*(AA60-AA59)/3*10^-6*$T$17,0)</f>
        <v>5.8327475531702803E-2</v>
      </c>
    </row>
    <row r="61" spans="2:48">
      <c r="B61" s="38" t="s">
        <v>932</v>
      </c>
      <c r="C61" s="141" t="e">
        <f>C59-$I$7*$C$5</f>
        <v>#REF!</v>
      </c>
      <c r="D61" s="141" t="e">
        <f>D59-$I$7*$C$5</f>
        <v>#REF!</v>
      </c>
      <c r="E61" s="141" t="e">
        <f>E59-$I$7*$C$5</f>
        <v>#REF!</v>
      </c>
      <c r="F61" s="141" t="e">
        <f>F59-$I$7*$C$5</f>
        <v>#REF!</v>
      </c>
      <c r="G61" s="141" t="e">
        <f>G59-$I$7*$C$5</f>
        <v>#REF!</v>
      </c>
      <c r="H61" s="141" t="e">
        <f>H59-$I$7*$C$5</f>
        <v>#REF!</v>
      </c>
      <c r="I61" s="141" t="e">
        <f>I59-$I$7*$C$5</f>
        <v>#REF!</v>
      </c>
      <c r="J61" s="141" t="e">
        <f>J59-$I$7*$C$5</f>
        <v>#REF!</v>
      </c>
      <c r="K61" s="141" t="e">
        <f>K59-$I$7*$C$5</f>
        <v>#REF!</v>
      </c>
      <c r="L61" s="141"/>
      <c r="M61" s="141"/>
      <c r="P61" s="35" t="s">
        <v>941</v>
      </c>
      <c r="Q61" s="142" t="e">
        <f>J61+C53*#REF!</f>
        <v>#REF!</v>
      </c>
      <c r="R61" s="142" t="e">
        <f>Q61+#REF!*(#REF!+#REF!)*2</f>
        <v>#REF!</v>
      </c>
      <c r="X61" s="1"/>
      <c r="Y61" s="220">
        <v>55</v>
      </c>
      <c r="Z61" s="113" t="str">
        <f>IF(AA61&lt;$C$7,"0",IF(AA61&lt;$C$8,"0-1接合",IF(AA61&lt;$C$9,"1",IF(AA61&lt;$C$10,"1-2接合",IF(AA61&lt;$C$11,"2",IF(AA61&lt;$C$12,"2-3接合",IF(AA61&lt;$C$13,"3","ウィングレット")))))))</f>
        <v>3</v>
      </c>
      <c r="AA61" s="85">
        <f>VLOOKUP(Y61,主翼!B99:C205,2)</f>
        <v>11.399999999999993</v>
      </c>
      <c r="AB61" s="86">
        <v>24.450000000000031</v>
      </c>
      <c r="AC61" s="86">
        <v>24.450000000000031</v>
      </c>
      <c r="AD61" s="86">
        <v>25.62600000000003</v>
      </c>
      <c r="AE61" s="86">
        <v>25.62600000000003</v>
      </c>
      <c r="AF61" s="201">
        <v>57992.169211201763</v>
      </c>
      <c r="AG61" s="201">
        <v>57992.169211201406</v>
      </c>
      <c r="AH61" s="201">
        <v>115984.33853040471</v>
      </c>
      <c r="AI61" s="202">
        <v>185.01207730879807</v>
      </c>
      <c r="AJ61" s="202">
        <v>1969.4689709952384</v>
      </c>
      <c r="AK61" s="86">
        <v>157.32319499051556</v>
      </c>
      <c r="AL61" s="86">
        <v>85.052339273528418</v>
      </c>
      <c r="AM61" s="199">
        <v>12.456839242546334</v>
      </c>
      <c r="AN61" s="27">
        <f t="shared" si="0"/>
        <v>4932.3696509590009</v>
      </c>
      <c r="AO61" s="200">
        <f t="shared" si="1"/>
        <v>1444.7982597263242</v>
      </c>
      <c r="AP61" s="2">
        <f>主翼!K99</f>
        <v>0</v>
      </c>
      <c r="AQ61" s="29"/>
      <c r="AR61" s="29"/>
      <c r="AS61" s="29"/>
      <c r="AT61" s="29"/>
      <c r="AU61" s="1"/>
      <c r="AV61" s="2">
        <f>IF((AA61-AA60)&gt;0,(AI60+AI61+SQRT(AI60*AI61))*(AA61-AA60)/3*10^-6*$T$17,0)</f>
        <v>5.6443131738113106E-2</v>
      </c>
    </row>
    <row r="62" spans="2:48">
      <c r="B62" s="38" t="s">
        <v>933</v>
      </c>
      <c r="C62" s="141" t="e">
        <f>C61*$I$4</f>
        <v>#REF!</v>
      </c>
      <c r="D62" s="141" t="e">
        <f>D61*$I$4</f>
        <v>#REF!</v>
      </c>
      <c r="E62" s="141" t="e">
        <f>E61*$I$4</f>
        <v>#REF!</v>
      </c>
      <c r="F62" s="141" t="e">
        <f>F61*$I$4</f>
        <v>#REF!</v>
      </c>
      <c r="G62" s="141" t="e">
        <f>G61*$I$4</f>
        <v>#REF!</v>
      </c>
      <c r="H62" s="141" t="e">
        <f>H61*$I$4</f>
        <v>#REF!</v>
      </c>
      <c r="I62" s="141" t="e">
        <f>I61*$I$4</f>
        <v>#REF!</v>
      </c>
      <c r="J62" s="141" t="e">
        <f>J61*$I$4</f>
        <v>#REF!</v>
      </c>
      <c r="K62" s="141" t="e">
        <f>K61*$I$4</f>
        <v>#REF!</v>
      </c>
      <c r="L62" s="141"/>
      <c r="M62" s="141"/>
      <c r="P62" s="35" t="s">
        <v>933</v>
      </c>
      <c r="Q62" s="142" t="e">
        <f>Q61*#REF!</f>
        <v>#REF!</v>
      </c>
      <c r="R62" s="142" t="e">
        <f>Q62+#REF!*#REF!*2</f>
        <v>#REF!</v>
      </c>
      <c r="X62" s="1"/>
      <c r="Y62" s="220">
        <v>56</v>
      </c>
      <c r="Z62" s="113" t="str">
        <f>IF(AA62&lt;$C$7,"0",IF(AA62&lt;$C$8,"0-1接合",IF(AA62&lt;$C$9,"1",IF(AA62&lt;$C$10,"1-2接合",IF(AA62&lt;$C$11,"2",IF(AA62&lt;$C$12,"2-3接合",IF(AA62&lt;$C$13,"3","ウィングレット")))))))</f>
        <v>3</v>
      </c>
      <c r="AA62" s="85">
        <f>VLOOKUP(Y62,主翼!B100:C206,2)</f>
        <v>11.599999999999993</v>
      </c>
      <c r="AB62" s="86">
        <v>23.600000000000037</v>
      </c>
      <c r="AC62" s="86">
        <v>23.600000000000037</v>
      </c>
      <c r="AD62" s="86">
        <v>24.776000000000035</v>
      </c>
      <c r="AE62" s="86">
        <v>24.776000000000035</v>
      </c>
      <c r="AF62" s="201">
        <v>52284.183288600289</v>
      </c>
      <c r="AG62" s="201">
        <v>52284.183288600027</v>
      </c>
      <c r="AH62" s="201">
        <v>104568.36667457869</v>
      </c>
      <c r="AI62" s="202">
        <v>178.73121359338845</v>
      </c>
      <c r="AJ62" s="202">
        <v>1838.0181370244693</v>
      </c>
      <c r="AK62" s="86">
        <v>151.98232448401427</v>
      </c>
      <c r="AL62" s="86">
        <v>85.052339273528418</v>
      </c>
      <c r="AM62" s="199">
        <v>12.456839242546334</v>
      </c>
      <c r="AN62" s="27">
        <f t="shared" si="0"/>
        <v>4446.892095701377</v>
      </c>
      <c r="AO62" s="200">
        <f t="shared" si="1"/>
        <v>1302.5913335208661</v>
      </c>
      <c r="AP62" s="2">
        <f>主翼!K100</f>
        <v>0</v>
      </c>
      <c r="AQ62" s="29"/>
      <c r="AR62" s="29"/>
      <c r="AS62" s="29"/>
      <c r="AT62" s="29"/>
      <c r="AU62" s="1"/>
      <c r="AV62" s="2">
        <f>IF((AA62-AA61)&gt;0,(AI61+AI62+SQRT(AI61*AI62))*(AA62-AA61)/3*10^-6*$T$17,0)</f>
        <v>5.4558782094594284E-2</v>
      </c>
    </row>
    <row r="63" spans="2:48">
      <c r="X63" s="1"/>
      <c r="Y63" s="220">
        <v>57</v>
      </c>
      <c r="Z63" s="113" t="str">
        <f>IF(AA63&lt;$C$7,"0",IF(AA63&lt;$C$8,"0-1接合",IF(AA63&lt;$C$9,"1",IF(AA63&lt;$C$10,"1-2接合",IF(AA63&lt;$C$11,"2",IF(AA63&lt;$C$12,"2-3接合",IF(AA63&lt;$C$13,"3","ウィングレット")))))))</f>
        <v>3</v>
      </c>
      <c r="AA63" s="85">
        <f>VLOOKUP(Y63,主翼!B101:C207,2)</f>
        <v>11.799999999999992</v>
      </c>
      <c r="AB63" s="86">
        <v>22.750000000000039</v>
      </c>
      <c r="AC63" s="86">
        <v>22.750000000000039</v>
      </c>
      <c r="AD63" s="86">
        <v>23.926000000000037</v>
      </c>
      <c r="AE63" s="86">
        <v>23.926000000000037</v>
      </c>
      <c r="AF63" s="201">
        <v>46963.597271462182</v>
      </c>
      <c r="AG63" s="201">
        <v>46963.597271462881</v>
      </c>
      <c r="AH63" s="201">
        <v>93927.194630422644</v>
      </c>
      <c r="AI63" s="202">
        <v>172.45034987769384</v>
      </c>
      <c r="AJ63" s="202">
        <v>1711.1069044381368</v>
      </c>
      <c r="AK63" s="86">
        <v>146.64145397752742</v>
      </c>
      <c r="AL63" s="86">
        <v>85.052339273528418</v>
      </c>
      <c r="AM63" s="199">
        <v>12.456839242546334</v>
      </c>
      <c r="AN63" s="27">
        <f t="shared" si="0"/>
        <v>3994.363808637755</v>
      </c>
      <c r="AO63" s="200">
        <f t="shared" si="1"/>
        <v>1170.0359640145359</v>
      </c>
      <c r="AP63" s="2">
        <f>主翼!K101</f>
        <v>0</v>
      </c>
      <c r="AQ63" s="29"/>
      <c r="AR63" s="29"/>
      <c r="AS63" s="29"/>
      <c r="AT63" s="29"/>
      <c r="AU63" s="1"/>
      <c r="AV63" s="2">
        <f>IF((AA63-AA62)&gt;0,(AI62+AI63+SQRT(AI62*AI63))*(AA63-AA62)/3*10^-6*$T$17,0)</f>
        <v>5.2674425973154651E-2</v>
      </c>
    </row>
    <row r="64" spans="2:48">
      <c r="X64" s="1"/>
      <c r="Y64" s="220">
        <v>58</v>
      </c>
      <c r="Z64" s="113" t="str">
        <f>IF(AA64&lt;$C$7,"0",IF(AA64&lt;$C$8,"0-1接合",IF(AA64&lt;$C$9,"1",IF(AA64&lt;$C$10,"1-2接合",IF(AA64&lt;$C$11,"2",IF(AA64&lt;$C$12,"2-3接合",IF(AA64&lt;$C$13,"3","ウィングレット")))))))</f>
        <v>3</v>
      </c>
      <c r="AA64" s="85">
        <f>VLOOKUP(Y64,主翼!B102:C208,2)</f>
        <v>11.999999999999991</v>
      </c>
      <c r="AB64" s="86">
        <v>21.900000000000041</v>
      </c>
      <c r="AC64" s="86">
        <v>21.900000000000041</v>
      </c>
      <c r="AD64" s="86">
        <v>23.07600000000004</v>
      </c>
      <c r="AE64" s="86">
        <v>23.07600000000004</v>
      </c>
      <c r="AF64" s="201">
        <v>42016.797387684179</v>
      </c>
      <c r="AG64" s="201">
        <v>42016.797387683924</v>
      </c>
      <c r="AH64" s="201">
        <v>84033.594853667557</v>
      </c>
      <c r="AI64" s="202">
        <v>166.16948616200702</v>
      </c>
      <c r="AJ64" s="202">
        <v>1588.7352732362424</v>
      </c>
      <c r="AK64" s="86">
        <v>141.30058347109832</v>
      </c>
      <c r="AL64" s="86">
        <v>85.052339273528418</v>
      </c>
      <c r="AM64" s="199">
        <v>12.456839242546334</v>
      </c>
      <c r="AN64" s="27">
        <f t="shared" si="0"/>
        <v>3573.6269066044174</v>
      </c>
      <c r="AO64" s="200">
        <f t="shared" si="1"/>
        <v>1046.7929820654058</v>
      </c>
      <c r="AP64" s="2">
        <f>主翼!K102</f>
        <v>0</v>
      </c>
      <c r="AQ64" s="29"/>
      <c r="AR64" s="29"/>
      <c r="AS64" s="29"/>
      <c r="AT64" s="29"/>
      <c r="AU64" s="1"/>
      <c r="AV64" s="2">
        <f>IF((AA64-AA63)&gt;0,(AI63+AI64+SQRT(AI63*AI64))*(AA64-AA63)/3*10^-6*$T$17,0)</f>
        <v>5.0790062652590492E-2</v>
      </c>
    </row>
    <row r="65" spans="24:48">
      <c r="X65" s="1"/>
      <c r="Y65" s="220">
        <v>59</v>
      </c>
      <c r="Z65" s="113" t="str">
        <f>IF(AA65&lt;$C$7,"0",IF(AA65&lt;$C$8,"0-1接合",IF(AA65&lt;$C$9,"1",IF(AA65&lt;$C$10,"1-2接合",IF(AA65&lt;$C$11,"2",IF(AA65&lt;$C$12,"2-3接合",IF(AA65&lt;$C$13,"3","ウィングレット")))))))</f>
        <v>ウィングレット</v>
      </c>
      <c r="AA65" s="85">
        <f>VLOOKUP(Y65,主翼!B103:C209,2)</f>
        <v>12.19999999999999</v>
      </c>
      <c r="AB65" s="86">
        <v>21.050000000000047</v>
      </c>
      <c r="AC65" s="86">
        <v>21.050000000000047</v>
      </c>
      <c r="AD65" s="86">
        <v>22.226000000000045</v>
      </c>
      <c r="AE65" s="86">
        <v>22.226000000000045</v>
      </c>
      <c r="AF65" s="201">
        <v>37430.16986516225</v>
      </c>
      <c r="AG65" s="201">
        <v>37430.169865162316</v>
      </c>
      <c r="AH65" s="201">
        <v>74860.339800101676</v>
      </c>
      <c r="AI65" s="202">
        <v>159.88862244631213</v>
      </c>
      <c r="AJ65" s="202">
        <v>1470.903243418785</v>
      </c>
      <c r="AK65" s="86">
        <v>135.95971296460743</v>
      </c>
      <c r="AL65" s="86">
        <v>85.052339273528418</v>
      </c>
      <c r="AM65" s="199">
        <v>12.456839242546334</v>
      </c>
      <c r="AN65" s="27">
        <f t="shared" si="0"/>
        <v>3183.5235064375793</v>
      </c>
      <c r="AO65" s="200">
        <f t="shared" si="1"/>
        <v>932.52321853225976</v>
      </c>
      <c r="AP65" s="2">
        <f>主翼!K103</f>
        <v>0</v>
      </c>
      <c r="AQ65" s="29"/>
      <c r="AR65" s="29"/>
      <c r="AS65" s="29"/>
      <c r="AT65" s="29"/>
      <c r="AU65" s="1"/>
      <c r="AV65" s="2">
        <f>IF((AA65-AA64)&gt;0,(AI64+AI65+SQRT(AI64*AI65))*(AA65-AA64)/3*10^-6*$T$17,0)</f>
        <v>4.890569130059412E-2</v>
      </c>
    </row>
    <row r="66" spans="24:48">
      <c r="X66" s="1"/>
      <c r="Y66" s="220">
        <v>60</v>
      </c>
      <c r="Z66" s="113" t="str">
        <f>IF(AA66&lt;$C$7,"0",IF(AA66&lt;$C$8,"0-1接合",IF(AA66&lt;$C$9,"1",IF(AA66&lt;$C$10,"1-2接合",IF(AA66&lt;$C$11,"2",IF(AA66&lt;$C$12,"2-3接合",IF(AA66&lt;$C$13,"3","ウィングレット")))))))</f>
        <v>ウィングレット</v>
      </c>
      <c r="AA66" s="85">
        <f>VLOOKUP(Y66,主翼!B104:C210,2)</f>
        <v>12.79999999999999</v>
      </c>
      <c r="AB66" s="86">
        <v>10</v>
      </c>
      <c r="AC66" s="86">
        <v>10</v>
      </c>
      <c r="AD66" s="86">
        <v>10</v>
      </c>
      <c r="AE66" s="86">
        <v>10</v>
      </c>
      <c r="AF66" s="201">
        <v>3141.6885332410543</v>
      </c>
      <c r="AG66" s="201">
        <v>3141.6885332410707</v>
      </c>
      <c r="AH66" s="201">
        <v>6283.3770723367443</v>
      </c>
      <c r="AI66" s="202">
        <v>62.833770664800838</v>
      </c>
      <c r="AJ66" s="202">
        <v>314.15926535897933</v>
      </c>
      <c r="AK66" s="86">
        <v>62.833770664800838</v>
      </c>
      <c r="AL66" s="86">
        <v>85.052339273528418</v>
      </c>
      <c r="AM66" s="199">
        <v>12.456839242546334</v>
      </c>
      <c r="AN66" s="27">
        <f t="shared" ref="AN66" si="2">AL66*AF66*10^-3</f>
        <v>267.207959020972</v>
      </c>
      <c r="AO66" s="200">
        <f t="shared" ref="AO66" si="3">AM66*AH66*10^-3</f>
        <v>78.271018090400247</v>
      </c>
      <c r="AP66" s="2">
        <f>主翼!K104</f>
        <v>0</v>
      </c>
      <c r="AQ66" s="29"/>
      <c r="AR66" s="29"/>
      <c r="AS66" s="29"/>
      <c r="AT66" s="29"/>
      <c r="AU66" s="1"/>
      <c r="AV66" s="2">
        <f>IF((AA66-AA65)&gt;0,(AI65+AI66+SQRT(AI65*AI66))*(AA66-AA65)/3*10^-6*$T$17,0)</f>
        <v>9.6886244918692702E-2</v>
      </c>
    </row>
    <row r="67" spans="24:48">
      <c r="X67" s="1"/>
      <c r="Y67" s="220"/>
      <c r="Z67" s="113"/>
      <c r="AA67" s="85"/>
      <c r="AB67" s="86"/>
      <c r="AC67" s="86"/>
      <c r="AD67" s="86"/>
      <c r="AE67" s="86"/>
      <c r="AF67" s="201"/>
      <c r="AG67" s="201"/>
      <c r="AH67" s="201"/>
      <c r="AI67" s="202"/>
      <c r="AJ67" s="202"/>
      <c r="AK67" s="86"/>
      <c r="AL67" s="86"/>
      <c r="AM67" s="199"/>
      <c r="AN67" s="27"/>
      <c r="AO67" s="200"/>
      <c r="AP67" s="2">
        <f>主翼!K105</f>
        <v>0</v>
      </c>
      <c r="AQ67" s="29"/>
      <c r="AR67" s="29"/>
      <c r="AS67" s="29"/>
      <c r="AT67" s="29"/>
      <c r="AU67" s="1"/>
      <c r="AV67" s="2">
        <f>IF((AA67-AA66)&gt;0,(AI66+AI67+SQRT(AI66*AI67))*(AA67-AA66)/3*10^-6*$T$17,0)</f>
        <v>0</v>
      </c>
    </row>
    <row r="68" spans="24:48">
      <c r="AA68" s="3"/>
      <c r="AF68"/>
      <c r="AH68"/>
    </row>
    <row r="69" spans="24:48">
      <c r="AF69"/>
    </row>
    <row r="70" spans="24:48">
      <c r="AF70"/>
    </row>
    <row r="71" spans="24:48">
      <c r="AF71"/>
    </row>
    <row r="72" spans="24:48">
      <c r="AF72"/>
    </row>
    <row r="73" spans="24:48">
      <c r="AF73"/>
    </row>
    <row r="74" spans="24:48">
      <c r="AF74"/>
    </row>
    <row r="75" spans="24:48">
      <c r="AF75"/>
    </row>
    <row r="76" spans="24:48">
      <c r="AF76"/>
    </row>
    <row r="77" spans="24:48">
      <c r="AF77"/>
    </row>
    <row r="78" spans="24:48">
      <c r="AF78"/>
    </row>
    <row r="79" spans="24:48">
      <c r="AF79"/>
    </row>
    <row r="80" spans="24:48">
      <c r="AF80"/>
    </row>
    <row r="81" spans="32:32">
      <c r="AF81"/>
    </row>
    <row r="82" spans="32:32">
      <c r="AF82"/>
    </row>
    <row r="83" spans="32:32">
      <c r="AF83"/>
    </row>
    <row r="84" spans="32:32">
      <c r="AF84"/>
    </row>
    <row r="85" spans="32:32">
      <c r="AF85"/>
    </row>
    <row r="86" spans="32:32">
      <c r="AF86"/>
    </row>
    <row r="87" spans="32:32">
      <c r="AF87"/>
    </row>
    <row r="88" spans="32:32">
      <c r="AF88"/>
    </row>
    <row r="89" spans="32:32">
      <c r="AF89"/>
    </row>
    <row r="90" spans="32:32">
      <c r="AF90"/>
    </row>
    <row r="91" spans="32:32">
      <c r="AF91"/>
    </row>
    <row r="92" spans="32:32">
      <c r="AF92"/>
    </row>
    <row r="93" spans="32:32">
      <c r="AF93"/>
    </row>
    <row r="94" spans="32:32">
      <c r="AF94"/>
    </row>
    <row r="95" spans="32:32">
      <c r="AF95"/>
    </row>
    <row r="96" spans="32:32">
      <c r="AF96"/>
    </row>
    <row r="97" spans="32:32">
      <c r="AF97"/>
    </row>
    <row r="98" spans="32:32">
      <c r="AF98"/>
    </row>
    <row r="99" spans="32:32">
      <c r="AF99"/>
    </row>
    <row r="100" spans="32:32">
      <c r="AF100"/>
    </row>
    <row r="101" spans="32:32">
      <c r="AF101"/>
    </row>
    <row r="102" spans="32:32">
      <c r="AF102"/>
    </row>
    <row r="103" spans="32:32">
      <c r="AF103"/>
    </row>
    <row r="104" spans="32:32">
      <c r="AF104"/>
    </row>
    <row r="105" spans="32:32">
      <c r="AF105"/>
    </row>
    <row r="106" spans="32:32">
      <c r="AF106"/>
    </row>
    <row r="107" spans="32:32">
      <c r="AF107"/>
    </row>
    <row r="108" spans="32:32">
      <c r="AF108"/>
    </row>
    <row r="109" spans="32:32">
      <c r="AF109"/>
    </row>
    <row r="110" spans="32:32">
      <c r="AF110"/>
    </row>
    <row r="111" spans="32:32">
      <c r="AF111"/>
    </row>
    <row r="112" spans="32:32">
      <c r="AF112"/>
    </row>
    <row r="113" spans="32:32">
      <c r="AF113"/>
    </row>
    <row r="114" spans="32:32">
      <c r="AF114"/>
    </row>
    <row r="115" spans="32:32">
      <c r="AF115"/>
    </row>
    <row r="116" spans="32:32">
      <c r="AF116"/>
    </row>
    <row r="117" spans="32:32">
      <c r="AF117"/>
    </row>
    <row r="118" spans="32:32">
      <c r="AF118"/>
    </row>
    <row r="119" spans="32:32">
      <c r="AF119"/>
    </row>
    <row r="120" spans="32:32">
      <c r="AF120"/>
    </row>
    <row r="121" spans="32:32">
      <c r="AF121"/>
    </row>
    <row r="122" spans="32:32">
      <c r="AF122"/>
    </row>
    <row r="123" spans="32:32">
      <c r="AF123"/>
    </row>
    <row r="124" spans="32:32">
      <c r="AF124"/>
    </row>
    <row r="125" spans="32:32">
      <c r="AF125"/>
    </row>
    <row r="126" spans="32:32">
      <c r="AF126"/>
    </row>
    <row r="127" spans="32:32">
      <c r="AF127"/>
    </row>
    <row r="128" spans="32:32">
      <c r="AF128"/>
    </row>
    <row r="129" spans="32:32">
      <c r="AF129"/>
    </row>
    <row r="130" spans="32:32">
      <c r="AF130"/>
    </row>
    <row r="131" spans="32:32">
      <c r="AF131"/>
    </row>
    <row r="132" spans="32:32">
      <c r="AF132"/>
    </row>
    <row r="133" spans="32:32">
      <c r="AF133"/>
    </row>
    <row r="134" spans="32:32">
      <c r="AF134"/>
    </row>
    <row r="135" spans="32:32">
      <c r="AF135"/>
    </row>
    <row r="136" spans="32:32">
      <c r="AF136"/>
    </row>
    <row r="137" spans="32:32">
      <c r="AF137"/>
    </row>
    <row r="138" spans="32:32">
      <c r="AF138"/>
    </row>
    <row r="139" spans="32:32">
      <c r="AF139"/>
    </row>
    <row r="140" spans="32:32">
      <c r="AF140"/>
    </row>
    <row r="141" spans="32:32">
      <c r="AF141"/>
    </row>
    <row r="142" spans="32:32">
      <c r="AF142"/>
    </row>
    <row r="143" spans="32:32">
      <c r="AF143"/>
    </row>
    <row r="144" spans="32:32">
      <c r="AF144"/>
    </row>
    <row r="145" spans="32:32">
      <c r="AF145"/>
    </row>
    <row r="146" spans="32:32">
      <c r="AF146"/>
    </row>
    <row r="147" spans="32:32">
      <c r="AF147"/>
    </row>
    <row r="148" spans="32:32">
      <c r="AF148"/>
    </row>
    <row r="149" spans="32:32">
      <c r="AF149"/>
    </row>
    <row r="150" spans="32:32">
      <c r="AF150"/>
    </row>
    <row r="151" spans="32:32">
      <c r="AF151"/>
    </row>
    <row r="152" spans="32:32">
      <c r="AF152"/>
    </row>
    <row r="153" spans="32:32">
      <c r="AF153"/>
    </row>
    <row r="154" spans="32:32">
      <c r="AF154"/>
    </row>
    <row r="155" spans="32:32">
      <c r="AF155"/>
    </row>
    <row r="156" spans="32:32">
      <c r="AF156"/>
    </row>
    <row r="157" spans="32:32">
      <c r="AF157"/>
    </row>
    <row r="158" spans="32:32">
      <c r="AF158"/>
    </row>
    <row r="159" spans="32:32">
      <c r="AF159"/>
    </row>
    <row r="160" spans="32:32">
      <c r="AF160"/>
    </row>
    <row r="161" spans="32:32">
      <c r="AF161"/>
    </row>
    <row r="162" spans="32:32">
      <c r="AF162"/>
    </row>
    <row r="163" spans="32:32">
      <c r="AF163"/>
    </row>
    <row r="164" spans="32:32">
      <c r="AF164"/>
    </row>
    <row r="165" spans="32:32">
      <c r="AF165"/>
    </row>
    <row r="166" spans="32:32">
      <c r="AF166"/>
    </row>
    <row r="167" spans="32:32">
      <c r="AF167"/>
    </row>
    <row r="168" spans="32:32">
      <c r="AF168"/>
    </row>
    <row r="169" spans="32:32">
      <c r="AF169"/>
    </row>
    <row r="170" spans="32:32">
      <c r="AF170"/>
    </row>
    <row r="171" spans="32:32">
      <c r="AF171"/>
    </row>
    <row r="172" spans="32:32">
      <c r="AF172"/>
    </row>
    <row r="173" spans="32:32">
      <c r="AF173"/>
    </row>
    <row r="174" spans="32:32">
      <c r="AF174"/>
    </row>
    <row r="175" spans="32:32">
      <c r="AF175"/>
    </row>
    <row r="176" spans="32:32">
      <c r="AF176"/>
    </row>
    <row r="177" spans="32:32">
      <c r="AF177"/>
    </row>
    <row r="178" spans="32:32">
      <c r="AF178"/>
    </row>
    <row r="179" spans="32:32">
      <c r="AF179"/>
    </row>
    <row r="180" spans="32:32">
      <c r="AF180"/>
    </row>
    <row r="181" spans="32:32">
      <c r="AF181"/>
    </row>
    <row r="182" spans="32:32">
      <c r="AF182"/>
    </row>
    <row r="183" spans="32:32">
      <c r="AF183"/>
    </row>
    <row r="184" spans="32:32">
      <c r="AF184"/>
    </row>
    <row r="185" spans="32:32">
      <c r="AF185"/>
    </row>
    <row r="186" spans="32:32">
      <c r="AF186"/>
    </row>
    <row r="187" spans="32:32">
      <c r="AF187"/>
    </row>
    <row r="188" spans="32:32">
      <c r="AF188"/>
    </row>
    <row r="189" spans="32:32">
      <c r="AF189"/>
    </row>
    <row r="190" spans="32:32">
      <c r="AF190"/>
    </row>
    <row r="191" spans="32:32">
      <c r="AF191"/>
    </row>
    <row r="192" spans="32:32">
      <c r="AF192"/>
    </row>
    <row r="193" spans="32:32">
      <c r="AF193"/>
    </row>
    <row r="194" spans="32:32">
      <c r="AF194"/>
    </row>
    <row r="195" spans="32:32">
      <c r="AF195"/>
    </row>
    <row r="196" spans="32:32">
      <c r="AF196"/>
    </row>
    <row r="197" spans="32:32">
      <c r="AF197"/>
    </row>
    <row r="198" spans="32:32">
      <c r="AF198"/>
    </row>
    <row r="199" spans="32:32">
      <c r="AF199"/>
    </row>
    <row r="200" spans="32:32">
      <c r="AF200"/>
    </row>
    <row r="201" spans="32:32">
      <c r="AF201"/>
    </row>
    <row r="202" spans="32:32">
      <c r="AF202"/>
    </row>
    <row r="203" spans="32:32">
      <c r="AF203"/>
    </row>
    <row r="204" spans="32:32">
      <c r="AF204"/>
    </row>
    <row r="205" spans="32:32">
      <c r="AF205"/>
    </row>
    <row r="206" spans="32:32">
      <c r="AF206"/>
    </row>
    <row r="207" spans="32:32">
      <c r="AF207"/>
    </row>
    <row r="208" spans="32:32">
      <c r="AF208"/>
    </row>
    <row r="209" spans="32:32">
      <c r="AF209"/>
    </row>
    <row r="210" spans="32:32">
      <c r="AF210"/>
    </row>
    <row r="211" spans="32:32">
      <c r="AF211"/>
    </row>
    <row r="212" spans="32:32">
      <c r="AF212"/>
    </row>
    <row r="213" spans="32:32">
      <c r="AF213"/>
    </row>
    <row r="214" spans="32:32">
      <c r="AF214"/>
    </row>
    <row r="215" spans="32:32">
      <c r="AF215"/>
    </row>
    <row r="216" spans="32:32">
      <c r="AF216"/>
    </row>
    <row r="217" spans="32:32">
      <c r="AF217"/>
    </row>
    <row r="218" spans="32:32">
      <c r="AF218"/>
    </row>
    <row r="219" spans="32:32">
      <c r="AF219"/>
    </row>
    <row r="220" spans="32:32">
      <c r="AF220"/>
    </row>
    <row r="221" spans="32:32">
      <c r="AF221"/>
    </row>
    <row r="222" spans="32:32">
      <c r="AF222"/>
    </row>
    <row r="223" spans="32:32">
      <c r="AF223"/>
    </row>
    <row r="224" spans="32:32">
      <c r="AF224"/>
    </row>
    <row r="225" spans="32:32">
      <c r="AF225"/>
    </row>
    <row r="226" spans="32:32">
      <c r="AF226"/>
    </row>
    <row r="227" spans="32:32">
      <c r="AF227"/>
    </row>
    <row r="228" spans="32:32">
      <c r="AF228"/>
    </row>
    <row r="229" spans="32:32">
      <c r="AF229"/>
    </row>
    <row r="230" spans="32:32">
      <c r="AF230"/>
    </row>
    <row r="231" spans="32:32">
      <c r="AF231"/>
    </row>
    <row r="232" spans="32:32">
      <c r="AF232"/>
    </row>
    <row r="233" spans="32:32">
      <c r="AF233"/>
    </row>
    <row r="234" spans="32:32">
      <c r="AF234"/>
    </row>
    <row r="235" spans="32:32">
      <c r="AF235"/>
    </row>
    <row r="236" spans="32:32">
      <c r="AF236"/>
    </row>
    <row r="237" spans="32:32">
      <c r="AF237"/>
    </row>
    <row r="238" spans="32:32">
      <c r="AF238"/>
    </row>
    <row r="239" spans="32:32">
      <c r="AF239"/>
    </row>
    <row r="240" spans="32:32">
      <c r="AF240"/>
    </row>
    <row r="241" spans="32:32">
      <c r="AF241"/>
    </row>
    <row r="242" spans="32:32">
      <c r="AF242"/>
    </row>
    <row r="243" spans="32:32">
      <c r="AF243"/>
    </row>
    <row r="244" spans="32:32">
      <c r="AF244"/>
    </row>
    <row r="245" spans="32:32">
      <c r="AF245"/>
    </row>
    <row r="246" spans="32:32">
      <c r="AF246"/>
    </row>
    <row r="247" spans="32:32">
      <c r="AF247"/>
    </row>
    <row r="248" spans="32:32">
      <c r="AF248"/>
    </row>
    <row r="249" spans="32:32">
      <c r="AF249"/>
    </row>
    <row r="250" spans="32:32">
      <c r="AF250"/>
    </row>
    <row r="251" spans="32:32">
      <c r="AF251"/>
    </row>
    <row r="252" spans="32:32">
      <c r="AF252"/>
    </row>
    <row r="253" spans="32:32">
      <c r="AF253"/>
    </row>
    <row r="254" spans="32:32">
      <c r="AF254"/>
    </row>
    <row r="255" spans="32:32">
      <c r="AF255"/>
    </row>
    <row r="256" spans="32:32">
      <c r="AF256"/>
    </row>
    <row r="257" spans="32:32">
      <c r="AF257"/>
    </row>
    <row r="258" spans="32:32">
      <c r="AF258"/>
    </row>
    <row r="259" spans="32:32">
      <c r="AF259"/>
    </row>
    <row r="260" spans="32:32">
      <c r="AF260"/>
    </row>
    <row r="261" spans="32:32">
      <c r="AF261"/>
    </row>
    <row r="262" spans="32:32">
      <c r="AF262"/>
    </row>
    <row r="263" spans="32:32">
      <c r="AF263"/>
    </row>
    <row r="264" spans="32:32">
      <c r="AF264"/>
    </row>
    <row r="265" spans="32:32">
      <c r="AF265"/>
    </row>
    <row r="266" spans="32:32">
      <c r="AF266"/>
    </row>
    <row r="267" spans="32:32">
      <c r="AF267"/>
    </row>
    <row r="268" spans="32:32">
      <c r="AF268"/>
    </row>
    <row r="269" spans="32:32">
      <c r="AF269"/>
    </row>
    <row r="270" spans="32:32">
      <c r="AF270"/>
    </row>
    <row r="271" spans="32:32">
      <c r="AF271"/>
    </row>
    <row r="272" spans="32:32">
      <c r="AF272"/>
    </row>
    <row r="273" spans="32:32">
      <c r="AF273"/>
    </row>
    <row r="274" spans="32:32">
      <c r="AF274"/>
    </row>
    <row r="275" spans="32:32">
      <c r="AF275"/>
    </row>
    <row r="276" spans="32:32">
      <c r="AF276"/>
    </row>
    <row r="277" spans="32:32">
      <c r="AF277"/>
    </row>
    <row r="278" spans="32:32">
      <c r="AF278"/>
    </row>
    <row r="279" spans="32:32">
      <c r="AF279"/>
    </row>
    <row r="280" spans="32:32">
      <c r="AF280"/>
    </row>
    <row r="281" spans="32:32">
      <c r="AF281"/>
    </row>
    <row r="282" spans="32:32">
      <c r="AF282"/>
    </row>
    <row r="283" spans="32:32">
      <c r="AF283"/>
    </row>
    <row r="284" spans="32:32">
      <c r="AF284"/>
    </row>
    <row r="285" spans="32:32">
      <c r="AF285"/>
    </row>
    <row r="286" spans="32:32">
      <c r="AF286"/>
    </row>
    <row r="287" spans="32:32">
      <c r="AF287"/>
    </row>
    <row r="288" spans="32:32">
      <c r="AF288"/>
    </row>
    <row r="289" spans="32:32">
      <c r="AF289"/>
    </row>
    <row r="290" spans="32:32">
      <c r="AF290"/>
    </row>
    <row r="291" spans="32:32">
      <c r="AF291"/>
    </row>
    <row r="292" spans="32:32">
      <c r="AF292"/>
    </row>
    <row r="293" spans="32:32">
      <c r="AF293"/>
    </row>
    <row r="294" spans="32:32">
      <c r="AF294"/>
    </row>
    <row r="295" spans="32:32">
      <c r="AF295"/>
    </row>
    <row r="296" spans="32:32">
      <c r="AF296"/>
    </row>
    <row r="297" spans="32:32">
      <c r="AF297"/>
    </row>
    <row r="298" spans="32:32">
      <c r="AF298"/>
    </row>
    <row r="299" spans="32:32">
      <c r="AF299"/>
    </row>
    <row r="300" spans="32:32">
      <c r="AF300"/>
    </row>
    <row r="301" spans="32:32">
      <c r="AF301"/>
    </row>
    <row r="302" spans="32:32">
      <c r="AF302"/>
    </row>
    <row r="303" spans="32:32">
      <c r="AF303"/>
    </row>
    <row r="304" spans="32:32">
      <c r="AF304"/>
    </row>
    <row r="305" spans="32:32">
      <c r="AF305"/>
    </row>
    <row r="306" spans="32:32">
      <c r="AF306"/>
    </row>
    <row r="307" spans="32:32">
      <c r="AF307"/>
    </row>
    <row r="308" spans="32:32">
      <c r="AF308"/>
    </row>
    <row r="309" spans="32:32">
      <c r="AF309"/>
    </row>
    <row r="310" spans="32:32">
      <c r="AF310"/>
    </row>
    <row r="311" spans="32:32">
      <c r="AF311"/>
    </row>
    <row r="312" spans="32:32">
      <c r="AF312"/>
    </row>
    <row r="313" spans="32:32">
      <c r="AF313"/>
    </row>
    <row r="314" spans="32:32">
      <c r="AF314"/>
    </row>
    <row r="315" spans="32:32">
      <c r="AF315"/>
    </row>
    <row r="316" spans="32:32">
      <c r="AF316"/>
    </row>
    <row r="317" spans="32:32">
      <c r="AF317"/>
    </row>
    <row r="318" spans="32:32">
      <c r="AF318"/>
    </row>
    <row r="319" spans="32:32">
      <c r="AF319"/>
    </row>
    <row r="320" spans="32:32">
      <c r="AF320"/>
    </row>
    <row r="321" spans="32:32">
      <c r="AF321"/>
    </row>
    <row r="322" spans="32:32">
      <c r="AF322"/>
    </row>
    <row r="323" spans="32:32">
      <c r="AF323"/>
    </row>
    <row r="324" spans="32:32">
      <c r="AF324"/>
    </row>
    <row r="325" spans="32:32">
      <c r="AF325"/>
    </row>
    <row r="326" spans="32:32">
      <c r="AF326"/>
    </row>
    <row r="327" spans="32:32">
      <c r="AF327"/>
    </row>
    <row r="328" spans="32:32">
      <c r="AF328"/>
    </row>
    <row r="329" spans="32:32">
      <c r="AF329"/>
    </row>
    <row r="330" spans="32:32">
      <c r="AF330"/>
    </row>
    <row r="331" spans="32:32">
      <c r="AF331"/>
    </row>
    <row r="332" spans="32:32">
      <c r="AF332"/>
    </row>
    <row r="333" spans="32:32">
      <c r="AF333"/>
    </row>
    <row r="334" spans="32:32">
      <c r="AF334"/>
    </row>
    <row r="335" spans="32:32">
      <c r="AF335"/>
    </row>
    <row r="336" spans="32:32">
      <c r="AF336"/>
    </row>
    <row r="337" spans="32:32">
      <c r="AF337"/>
    </row>
    <row r="338" spans="32:32">
      <c r="AF338"/>
    </row>
    <row r="339" spans="32:32">
      <c r="AF339"/>
    </row>
    <row r="340" spans="32:32">
      <c r="AF340"/>
    </row>
    <row r="341" spans="32:32">
      <c r="AF341"/>
    </row>
    <row r="342" spans="32:32">
      <c r="AF342"/>
    </row>
    <row r="343" spans="32:32">
      <c r="AF343"/>
    </row>
    <row r="344" spans="32:32">
      <c r="AF344"/>
    </row>
    <row r="345" spans="32:32">
      <c r="AF345"/>
    </row>
    <row r="346" spans="32:32">
      <c r="AF346"/>
    </row>
    <row r="347" spans="32:32">
      <c r="AF347"/>
    </row>
    <row r="348" spans="32:32">
      <c r="AF348"/>
    </row>
    <row r="349" spans="32:32">
      <c r="AF349"/>
    </row>
    <row r="350" spans="32:32">
      <c r="AF350"/>
    </row>
    <row r="351" spans="32:32">
      <c r="AF351"/>
    </row>
    <row r="352" spans="32:32">
      <c r="AF352"/>
    </row>
    <row r="353" spans="32:32">
      <c r="AF353"/>
    </row>
    <row r="354" spans="32:32">
      <c r="AF354"/>
    </row>
    <row r="355" spans="32:32">
      <c r="AF355"/>
    </row>
    <row r="356" spans="32:32">
      <c r="AF356"/>
    </row>
    <row r="357" spans="32:32">
      <c r="AF357"/>
    </row>
    <row r="358" spans="32:32">
      <c r="AF358"/>
    </row>
    <row r="359" spans="32:32">
      <c r="AF359"/>
    </row>
    <row r="360" spans="32:32">
      <c r="AF360"/>
    </row>
    <row r="361" spans="32:32">
      <c r="AF361"/>
    </row>
    <row r="362" spans="32:32">
      <c r="AF362"/>
    </row>
    <row r="363" spans="32:32">
      <c r="AF363"/>
    </row>
    <row r="364" spans="32:32">
      <c r="AF364"/>
    </row>
    <row r="365" spans="32:32">
      <c r="AF365"/>
    </row>
    <row r="366" spans="32:32">
      <c r="AF366"/>
    </row>
    <row r="367" spans="32:32">
      <c r="AF367"/>
    </row>
    <row r="368" spans="32:32">
      <c r="AF368"/>
    </row>
    <row r="369" spans="32:32">
      <c r="AF369"/>
    </row>
    <row r="370" spans="32:32">
      <c r="AF370"/>
    </row>
    <row r="371" spans="32:32">
      <c r="AF371"/>
    </row>
    <row r="372" spans="32:32">
      <c r="AF372"/>
    </row>
    <row r="373" spans="32:32">
      <c r="AF373"/>
    </row>
    <row r="374" spans="32:32">
      <c r="AF374"/>
    </row>
    <row r="375" spans="32:32">
      <c r="AF375"/>
    </row>
    <row r="376" spans="32:32">
      <c r="AF376"/>
    </row>
    <row r="377" spans="32:32">
      <c r="AF377"/>
    </row>
    <row r="378" spans="32:32">
      <c r="AF378"/>
    </row>
    <row r="379" spans="32:32">
      <c r="AF379"/>
    </row>
    <row r="380" spans="32:32">
      <c r="AF380"/>
    </row>
    <row r="381" spans="32:32">
      <c r="AF381"/>
    </row>
    <row r="382" spans="32:32">
      <c r="AF382"/>
    </row>
    <row r="383" spans="32:32">
      <c r="AF383"/>
    </row>
    <row r="384" spans="32:32">
      <c r="AF384"/>
    </row>
    <row r="385" spans="32:32">
      <c r="AF385"/>
    </row>
    <row r="386" spans="32:32">
      <c r="AF386"/>
    </row>
    <row r="387" spans="32:32">
      <c r="AF387"/>
    </row>
    <row r="388" spans="32:32">
      <c r="AF388"/>
    </row>
    <row r="389" spans="32:32">
      <c r="AF389"/>
    </row>
    <row r="390" spans="32:32">
      <c r="AF390"/>
    </row>
    <row r="391" spans="32:32">
      <c r="AF391"/>
    </row>
    <row r="392" spans="32:32">
      <c r="AF392"/>
    </row>
    <row r="393" spans="32:32">
      <c r="AF393"/>
    </row>
    <row r="394" spans="32:32">
      <c r="AF394"/>
    </row>
    <row r="395" spans="32:32">
      <c r="AF395"/>
    </row>
    <row r="396" spans="32:32">
      <c r="AF396"/>
    </row>
    <row r="397" spans="32:32">
      <c r="AF397"/>
    </row>
    <row r="398" spans="32:32">
      <c r="AF398"/>
    </row>
    <row r="399" spans="32:32">
      <c r="AF399"/>
    </row>
    <row r="400" spans="32:32">
      <c r="AF400"/>
    </row>
    <row r="401" spans="32:32">
      <c r="AF401"/>
    </row>
    <row r="402" spans="32:32">
      <c r="AF402"/>
    </row>
    <row r="403" spans="32:32">
      <c r="AF403"/>
    </row>
    <row r="404" spans="32:32">
      <c r="AF404"/>
    </row>
    <row r="405" spans="32:32">
      <c r="AF405"/>
    </row>
    <row r="406" spans="32:32">
      <c r="AF406"/>
    </row>
    <row r="407" spans="32:32">
      <c r="AF407"/>
    </row>
    <row r="408" spans="32:32">
      <c r="AF408"/>
    </row>
    <row r="409" spans="32:32">
      <c r="AF409"/>
    </row>
    <row r="410" spans="32:32">
      <c r="AF410"/>
    </row>
    <row r="411" spans="32:32">
      <c r="AF411"/>
    </row>
    <row r="412" spans="32:32">
      <c r="AF412"/>
    </row>
    <row r="413" spans="32:32">
      <c r="AF413"/>
    </row>
    <row r="414" spans="32:32">
      <c r="AF414"/>
    </row>
    <row r="415" spans="32:32">
      <c r="AF415"/>
    </row>
    <row r="416" spans="32:32">
      <c r="AF416"/>
    </row>
    <row r="417" spans="32:32">
      <c r="AF417"/>
    </row>
    <row r="418" spans="32:32">
      <c r="AF418"/>
    </row>
    <row r="419" spans="32:32">
      <c r="AF419"/>
    </row>
    <row r="420" spans="32:32">
      <c r="AF420"/>
    </row>
    <row r="421" spans="32:32">
      <c r="AF421"/>
    </row>
    <row r="422" spans="32:32">
      <c r="AF422"/>
    </row>
    <row r="423" spans="32:32">
      <c r="AF423"/>
    </row>
    <row r="424" spans="32:32">
      <c r="AF424"/>
    </row>
    <row r="425" spans="32:32">
      <c r="AF425"/>
    </row>
    <row r="426" spans="32:32">
      <c r="AF426"/>
    </row>
    <row r="427" spans="32:32">
      <c r="AF427"/>
    </row>
    <row r="428" spans="32:32">
      <c r="AF428"/>
    </row>
    <row r="429" spans="32:32">
      <c r="AF429"/>
    </row>
    <row r="430" spans="32:32">
      <c r="AF430"/>
    </row>
    <row r="431" spans="32:32">
      <c r="AF431"/>
    </row>
    <row r="432" spans="32:32">
      <c r="AF432"/>
    </row>
    <row r="433" spans="32:32">
      <c r="AF433"/>
    </row>
    <row r="434" spans="32:32">
      <c r="AF434"/>
    </row>
    <row r="435" spans="32:32">
      <c r="AF435"/>
    </row>
    <row r="436" spans="32:32">
      <c r="AF436"/>
    </row>
    <row r="437" spans="32:32">
      <c r="AF437"/>
    </row>
    <row r="438" spans="32:32">
      <c r="AF438"/>
    </row>
    <row r="439" spans="32:32">
      <c r="AF439"/>
    </row>
    <row r="440" spans="32:32">
      <c r="AF440"/>
    </row>
    <row r="441" spans="32:32">
      <c r="AF441"/>
    </row>
    <row r="442" spans="32:32">
      <c r="AF442"/>
    </row>
    <row r="443" spans="32:32">
      <c r="AF443"/>
    </row>
    <row r="444" spans="32:32">
      <c r="AF444"/>
    </row>
    <row r="445" spans="32:32">
      <c r="AF445"/>
    </row>
    <row r="446" spans="32:32">
      <c r="AF446"/>
    </row>
    <row r="447" spans="32:32">
      <c r="AF447"/>
    </row>
    <row r="448" spans="32:32">
      <c r="AF448"/>
    </row>
    <row r="449" spans="32:32">
      <c r="AF449"/>
    </row>
    <row r="450" spans="32:32">
      <c r="AF450"/>
    </row>
    <row r="451" spans="32:32">
      <c r="AF451"/>
    </row>
    <row r="452" spans="32:32">
      <c r="AF452"/>
    </row>
    <row r="453" spans="32:32">
      <c r="AF453"/>
    </row>
    <row r="454" spans="32:32">
      <c r="AF454"/>
    </row>
    <row r="455" spans="32:32">
      <c r="AF455"/>
    </row>
    <row r="456" spans="32:32">
      <c r="AF456"/>
    </row>
    <row r="457" spans="32:32">
      <c r="AF457"/>
    </row>
    <row r="458" spans="32:32">
      <c r="AF458"/>
    </row>
    <row r="459" spans="32:32">
      <c r="AF459"/>
    </row>
    <row r="460" spans="32:32">
      <c r="AF460"/>
    </row>
    <row r="461" spans="32:32">
      <c r="AF461"/>
    </row>
    <row r="462" spans="32:32">
      <c r="AF462"/>
    </row>
    <row r="463" spans="32:32">
      <c r="AF463"/>
    </row>
    <row r="464" spans="32:32">
      <c r="AF464"/>
    </row>
    <row r="465" spans="32:32">
      <c r="AF465"/>
    </row>
    <row r="466" spans="32:32">
      <c r="AF466"/>
    </row>
    <row r="467" spans="32:32">
      <c r="AF467"/>
    </row>
    <row r="468" spans="32:32">
      <c r="AF468"/>
    </row>
    <row r="469" spans="32:32">
      <c r="AF469"/>
    </row>
    <row r="470" spans="32:32">
      <c r="AF470"/>
    </row>
    <row r="471" spans="32:32">
      <c r="AF471"/>
    </row>
    <row r="472" spans="32:32">
      <c r="AF472"/>
    </row>
    <row r="473" spans="32:32">
      <c r="AF473"/>
    </row>
    <row r="474" spans="32:32">
      <c r="AF474"/>
    </row>
    <row r="475" spans="32:32">
      <c r="AF475"/>
    </row>
    <row r="476" spans="32:32">
      <c r="AF476"/>
    </row>
    <row r="477" spans="32:32">
      <c r="AF477"/>
    </row>
    <row r="478" spans="32:32">
      <c r="AF478"/>
    </row>
    <row r="479" spans="32:32">
      <c r="AF479"/>
    </row>
    <row r="480" spans="32:32">
      <c r="AF480"/>
    </row>
    <row r="481" spans="32:32">
      <c r="AF481"/>
    </row>
    <row r="482" spans="32:32">
      <c r="AF482"/>
    </row>
    <row r="483" spans="32:32">
      <c r="AF483"/>
    </row>
    <row r="484" spans="32:32">
      <c r="AF484"/>
    </row>
    <row r="485" spans="32:32">
      <c r="AF485"/>
    </row>
    <row r="486" spans="32:32">
      <c r="AF486"/>
    </row>
    <row r="487" spans="32:32">
      <c r="AF487"/>
    </row>
    <row r="488" spans="32:32">
      <c r="AF488"/>
    </row>
    <row r="489" spans="32:32">
      <c r="AF489"/>
    </row>
    <row r="490" spans="32:32">
      <c r="AF490"/>
    </row>
    <row r="491" spans="32:32">
      <c r="AF491"/>
    </row>
    <row r="492" spans="32:32">
      <c r="AF492"/>
    </row>
    <row r="493" spans="32:32">
      <c r="AF493"/>
    </row>
    <row r="494" spans="32:32">
      <c r="AF494"/>
    </row>
    <row r="495" spans="32:32">
      <c r="AF495"/>
    </row>
    <row r="496" spans="32:32">
      <c r="AF496"/>
    </row>
    <row r="497" spans="32:32">
      <c r="AF497"/>
    </row>
    <row r="498" spans="32:32">
      <c r="AF498"/>
    </row>
    <row r="499" spans="32:32">
      <c r="AF499"/>
    </row>
    <row r="500" spans="32:32">
      <c r="AF500"/>
    </row>
    <row r="501" spans="32:32">
      <c r="AF501"/>
    </row>
    <row r="502" spans="32:32">
      <c r="AF502"/>
    </row>
    <row r="503" spans="32:32">
      <c r="AF503"/>
    </row>
    <row r="504" spans="32:32">
      <c r="AF504"/>
    </row>
    <row r="505" spans="32:32">
      <c r="AF505"/>
    </row>
    <row r="506" spans="32:32">
      <c r="AF506"/>
    </row>
    <row r="507" spans="32:32">
      <c r="AF507"/>
    </row>
    <row r="508" spans="32:32">
      <c r="AF508"/>
    </row>
    <row r="509" spans="32:32">
      <c r="AF509"/>
    </row>
    <row r="510" spans="32:32">
      <c r="AF510"/>
    </row>
    <row r="511" spans="32:32">
      <c r="AF511"/>
    </row>
    <row r="512" spans="32:32">
      <c r="AF512"/>
    </row>
    <row r="513" spans="32:32">
      <c r="AF513"/>
    </row>
    <row r="514" spans="32:32">
      <c r="AF514"/>
    </row>
    <row r="515" spans="32:32">
      <c r="AF515"/>
    </row>
    <row r="516" spans="32:32">
      <c r="AF516"/>
    </row>
    <row r="517" spans="32:32">
      <c r="AF517"/>
    </row>
    <row r="518" spans="32:32">
      <c r="AF518"/>
    </row>
    <row r="519" spans="32:32">
      <c r="AF519"/>
    </row>
    <row r="520" spans="32:32">
      <c r="AF520"/>
    </row>
    <row r="521" spans="32:32">
      <c r="AF521"/>
    </row>
    <row r="522" spans="32:32">
      <c r="AF522"/>
    </row>
    <row r="523" spans="32:32">
      <c r="AF523"/>
    </row>
    <row r="524" spans="32:32">
      <c r="AF524"/>
    </row>
    <row r="525" spans="32:32">
      <c r="AF525"/>
    </row>
    <row r="526" spans="32:32">
      <c r="AF526"/>
    </row>
    <row r="527" spans="32:32">
      <c r="AF527"/>
    </row>
    <row r="528" spans="32:32">
      <c r="AF528"/>
    </row>
    <row r="529" spans="32:32">
      <c r="AF529"/>
    </row>
    <row r="530" spans="32:32">
      <c r="AF530"/>
    </row>
    <row r="531" spans="32:32">
      <c r="AF531"/>
    </row>
    <row r="532" spans="32:32">
      <c r="AF532"/>
    </row>
    <row r="533" spans="32:32">
      <c r="AF533"/>
    </row>
    <row r="534" spans="32:32">
      <c r="AF534"/>
    </row>
    <row r="535" spans="32:32">
      <c r="AF535"/>
    </row>
    <row r="536" spans="32:32">
      <c r="AF536"/>
    </row>
    <row r="537" spans="32:32">
      <c r="AF537"/>
    </row>
    <row r="538" spans="32:32">
      <c r="AF538"/>
    </row>
    <row r="539" spans="32:32">
      <c r="AF539"/>
    </row>
    <row r="540" spans="32:32">
      <c r="AF540"/>
    </row>
    <row r="541" spans="32:32">
      <c r="AF541"/>
    </row>
    <row r="542" spans="32:32">
      <c r="AF542"/>
    </row>
    <row r="543" spans="32:32">
      <c r="AF543"/>
    </row>
    <row r="544" spans="32:32">
      <c r="AF544"/>
    </row>
    <row r="545" spans="32:32">
      <c r="AF545"/>
    </row>
    <row r="546" spans="32:32">
      <c r="AF546"/>
    </row>
    <row r="547" spans="32:32">
      <c r="AF547"/>
    </row>
    <row r="548" spans="32:32">
      <c r="AF548"/>
    </row>
    <row r="549" spans="32:32">
      <c r="AF549"/>
    </row>
    <row r="550" spans="32:32">
      <c r="AF550"/>
    </row>
    <row r="551" spans="32:32">
      <c r="AF551"/>
    </row>
    <row r="552" spans="32:32">
      <c r="AF552"/>
    </row>
    <row r="553" spans="32:32">
      <c r="AF553"/>
    </row>
    <row r="554" spans="32:32">
      <c r="AF554"/>
    </row>
    <row r="555" spans="32:32">
      <c r="AF555"/>
    </row>
    <row r="556" spans="32:32">
      <c r="AF556"/>
    </row>
    <row r="557" spans="32:32">
      <c r="AF557"/>
    </row>
    <row r="558" spans="32:32">
      <c r="AF558"/>
    </row>
    <row r="559" spans="32:32">
      <c r="AF559"/>
    </row>
    <row r="560" spans="32:32">
      <c r="AF560"/>
    </row>
    <row r="561" spans="32:32">
      <c r="AF561"/>
    </row>
    <row r="562" spans="32:32">
      <c r="AF562"/>
    </row>
    <row r="563" spans="32:32">
      <c r="AF563"/>
    </row>
    <row r="564" spans="32:32">
      <c r="AF564"/>
    </row>
    <row r="565" spans="32:32">
      <c r="AF565"/>
    </row>
    <row r="566" spans="32:32">
      <c r="AF566"/>
    </row>
    <row r="567" spans="32:32">
      <c r="AF567"/>
    </row>
    <row r="568" spans="32:32">
      <c r="AF568"/>
    </row>
    <row r="569" spans="32:32">
      <c r="AF569"/>
    </row>
    <row r="570" spans="32:32">
      <c r="AF570"/>
    </row>
    <row r="571" spans="32:32">
      <c r="AF571"/>
    </row>
    <row r="572" spans="32:32">
      <c r="AF572"/>
    </row>
    <row r="573" spans="32:32">
      <c r="AF573"/>
    </row>
    <row r="574" spans="32:32">
      <c r="AF574"/>
    </row>
    <row r="575" spans="32:32">
      <c r="AF575"/>
    </row>
    <row r="576" spans="32:32">
      <c r="AF576"/>
    </row>
    <row r="577" spans="32:32">
      <c r="AF577"/>
    </row>
    <row r="578" spans="32:32">
      <c r="AF578"/>
    </row>
    <row r="579" spans="32:32">
      <c r="AF579"/>
    </row>
    <row r="580" spans="32:32">
      <c r="AF580"/>
    </row>
    <row r="581" spans="32:32">
      <c r="AF581"/>
    </row>
    <row r="582" spans="32:32">
      <c r="AF582"/>
    </row>
    <row r="583" spans="32:32">
      <c r="AF583"/>
    </row>
    <row r="584" spans="32:32">
      <c r="AF584"/>
    </row>
    <row r="585" spans="32:32">
      <c r="AF585"/>
    </row>
    <row r="586" spans="32:32">
      <c r="AF586"/>
    </row>
    <row r="587" spans="32:32">
      <c r="AF587"/>
    </row>
    <row r="588" spans="32:32">
      <c r="AF588"/>
    </row>
    <row r="589" spans="32:32">
      <c r="AF589"/>
    </row>
    <row r="590" spans="32:32">
      <c r="AF590"/>
    </row>
    <row r="591" spans="32:32">
      <c r="AF591"/>
    </row>
    <row r="592" spans="32:32">
      <c r="AF592"/>
    </row>
    <row r="593" spans="32:32">
      <c r="AF593"/>
    </row>
    <row r="594" spans="32:32">
      <c r="AF594"/>
    </row>
    <row r="595" spans="32:32">
      <c r="AF595"/>
    </row>
    <row r="596" spans="32:32">
      <c r="AF596"/>
    </row>
    <row r="597" spans="32:32">
      <c r="AF597"/>
    </row>
    <row r="598" spans="32:32">
      <c r="AF598"/>
    </row>
    <row r="599" spans="32:32">
      <c r="AF599"/>
    </row>
    <row r="600" spans="32:32">
      <c r="AF600"/>
    </row>
    <row r="601" spans="32:32">
      <c r="AF601"/>
    </row>
    <row r="602" spans="32:32">
      <c r="AF602"/>
    </row>
    <row r="603" spans="32:32">
      <c r="AF603"/>
    </row>
    <row r="604" spans="32:32">
      <c r="AF604"/>
    </row>
    <row r="605" spans="32:32">
      <c r="AF605"/>
    </row>
    <row r="606" spans="32:32">
      <c r="AF606"/>
    </row>
    <row r="607" spans="32:32">
      <c r="AF607"/>
    </row>
    <row r="608" spans="32:32">
      <c r="AF608"/>
    </row>
    <row r="609" spans="32:32">
      <c r="AF609"/>
    </row>
    <row r="610" spans="32:32">
      <c r="AF610"/>
    </row>
    <row r="611" spans="32:32">
      <c r="AF611"/>
    </row>
    <row r="612" spans="32:32">
      <c r="AF612"/>
    </row>
    <row r="613" spans="32:32">
      <c r="AF613"/>
    </row>
    <row r="614" spans="32:32">
      <c r="AF614"/>
    </row>
    <row r="615" spans="32:32">
      <c r="AF615"/>
    </row>
    <row r="616" spans="32:32">
      <c r="AF616"/>
    </row>
    <row r="617" spans="32:32">
      <c r="AF617"/>
    </row>
    <row r="618" spans="32:32">
      <c r="AF618"/>
    </row>
    <row r="619" spans="32:32">
      <c r="AF619"/>
    </row>
    <row r="620" spans="32:32">
      <c r="AF620"/>
    </row>
    <row r="621" spans="32:32">
      <c r="AF621"/>
    </row>
    <row r="622" spans="32:32">
      <c r="AF622"/>
    </row>
    <row r="623" spans="32:32">
      <c r="AF623"/>
    </row>
    <row r="624" spans="32:32">
      <c r="AF624"/>
    </row>
    <row r="625" spans="32:32">
      <c r="AF625"/>
    </row>
    <row r="626" spans="32:32">
      <c r="AF626"/>
    </row>
    <row r="627" spans="32:32">
      <c r="AF627"/>
    </row>
    <row r="628" spans="32:32">
      <c r="AF628"/>
    </row>
    <row r="629" spans="32:32">
      <c r="AF629"/>
    </row>
    <row r="630" spans="32:32">
      <c r="AF630"/>
    </row>
    <row r="631" spans="32:32">
      <c r="AF631"/>
    </row>
    <row r="632" spans="32:32">
      <c r="AF632"/>
    </row>
    <row r="633" spans="32:32">
      <c r="AF633"/>
    </row>
    <row r="634" spans="32:32">
      <c r="AF634"/>
    </row>
    <row r="635" spans="32:32">
      <c r="AF635"/>
    </row>
    <row r="636" spans="32:32">
      <c r="AF636"/>
    </row>
    <row r="637" spans="32:32">
      <c r="AF637"/>
    </row>
    <row r="638" spans="32:32">
      <c r="AF638"/>
    </row>
    <row r="639" spans="32:32">
      <c r="AF639"/>
    </row>
    <row r="640" spans="32:32">
      <c r="AF640"/>
    </row>
    <row r="641" spans="32:32">
      <c r="AF641"/>
    </row>
    <row r="642" spans="32:32">
      <c r="AF642"/>
    </row>
    <row r="643" spans="32:32">
      <c r="AF643"/>
    </row>
    <row r="644" spans="32:32">
      <c r="AF644"/>
    </row>
    <row r="645" spans="32:32">
      <c r="AF645"/>
    </row>
    <row r="646" spans="32:32">
      <c r="AF646"/>
    </row>
    <row r="647" spans="32:32">
      <c r="AF647"/>
    </row>
    <row r="648" spans="32:32">
      <c r="AF648"/>
    </row>
    <row r="649" spans="32:32">
      <c r="AF649"/>
    </row>
    <row r="650" spans="32:32">
      <c r="AF650"/>
    </row>
    <row r="651" spans="32:32">
      <c r="AF651"/>
    </row>
    <row r="652" spans="32:32">
      <c r="AF652"/>
    </row>
    <row r="653" spans="32:32">
      <c r="AF653"/>
    </row>
    <row r="654" spans="32:32">
      <c r="AF654"/>
    </row>
    <row r="655" spans="32:32">
      <c r="AF655"/>
    </row>
    <row r="656" spans="32:32">
      <c r="AF656"/>
    </row>
    <row r="657" spans="32:32">
      <c r="AF657"/>
    </row>
    <row r="658" spans="32:32">
      <c r="AF658"/>
    </row>
    <row r="659" spans="32:32">
      <c r="AF659"/>
    </row>
    <row r="660" spans="32:32">
      <c r="AF660"/>
    </row>
    <row r="661" spans="32:32">
      <c r="AF661"/>
    </row>
    <row r="662" spans="32:32">
      <c r="AF662"/>
    </row>
    <row r="663" spans="32:32">
      <c r="AF663"/>
    </row>
    <row r="664" spans="32:32">
      <c r="AF664"/>
    </row>
    <row r="665" spans="32:32">
      <c r="AF665"/>
    </row>
    <row r="666" spans="32:32">
      <c r="AF666"/>
    </row>
    <row r="667" spans="32:32">
      <c r="AF667"/>
    </row>
    <row r="668" spans="32:32">
      <c r="AF668"/>
    </row>
    <row r="669" spans="32:32">
      <c r="AF669"/>
    </row>
    <row r="670" spans="32:32">
      <c r="AF670"/>
    </row>
    <row r="671" spans="32:32">
      <c r="AF671"/>
    </row>
    <row r="672" spans="32:32">
      <c r="AF672"/>
    </row>
    <row r="673" spans="32:32">
      <c r="AF673"/>
    </row>
    <row r="674" spans="32:32">
      <c r="AF674"/>
    </row>
    <row r="675" spans="32:32">
      <c r="AF675"/>
    </row>
    <row r="676" spans="32:32">
      <c r="AF676"/>
    </row>
    <row r="677" spans="32:32">
      <c r="AF677"/>
    </row>
    <row r="678" spans="32:32">
      <c r="AF678"/>
    </row>
    <row r="679" spans="32:32">
      <c r="AF679"/>
    </row>
    <row r="680" spans="32:32">
      <c r="AF680"/>
    </row>
    <row r="681" spans="32:32">
      <c r="AF681"/>
    </row>
    <row r="682" spans="32:32">
      <c r="AF682"/>
    </row>
    <row r="683" spans="32:32">
      <c r="AF683"/>
    </row>
    <row r="684" spans="32:32">
      <c r="AF684"/>
    </row>
    <row r="685" spans="32:32">
      <c r="AF685"/>
    </row>
    <row r="686" spans="32:32">
      <c r="AF686"/>
    </row>
    <row r="687" spans="32:32">
      <c r="AF687"/>
    </row>
    <row r="688" spans="32:32">
      <c r="AF688"/>
    </row>
    <row r="689" spans="32:32">
      <c r="AF689"/>
    </row>
    <row r="690" spans="32:32">
      <c r="AF690"/>
    </row>
    <row r="691" spans="32:32">
      <c r="AF691"/>
    </row>
    <row r="692" spans="32:32">
      <c r="AF692"/>
    </row>
    <row r="693" spans="32:32">
      <c r="AF693"/>
    </row>
    <row r="694" spans="32:32">
      <c r="AF694"/>
    </row>
    <row r="695" spans="32:32">
      <c r="AF695"/>
    </row>
    <row r="696" spans="32:32">
      <c r="AF696"/>
    </row>
    <row r="697" spans="32:32">
      <c r="AF697"/>
    </row>
    <row r="698" spans="32:32">
      <c r="AF698"/>
    </row>
    <row r="699" spans="32:32">
      <c r="AF699"/>
    </row>
    <row r="700" spans="32:32">
      <c r="AF700"/>
    </row>
    <row r="701" spans="32:32">
      <c r="AF701"/>
    </row>
    <row r="702" spans="32:32">
      <c r="AF702"/>
    </row>
    <row r="703" spans="32:32">
      <c r="AF703"/>
    </row>
    <row r="704" spans="32:32">
      <c r="AF704"/>
    </row>
    <row r="705" spans="32:32">
      <c r="AF705"/>
    </row>
    <row r="706" spans="32:32">
      <c r="AF706"/>
    </row>
    <row r="707" spans="32:32">
      <c r="AF707"/>
    </row>
    <row r="708" spans="32:32">
      <c r="AF708"/>
    </row>
    <row r="709" spans="32:32">
      <c r="AF709"/>
    </row>
    <row r="710" spans="32:32">
      <c r="AF710"/>
    </row>
    <row r="711" spans="32:32">
      <c r="AF711"/>
    </row>
    <row r="712" spans="32:32">
      <c r="AF712"/>
    </row>
    <row r="713" spans="32:32">
      <c r="AF713"/>
    </row>
    <row r="714" spans="32:32">
      <c r="AF714"/>
    </row>
    <row r="715" spans="32:32">
      <c r="AF715"/>
    </row>
    <row r="716" spans="32:32">
      <c r="AF716"/>
    </row>
    <row r="717" spans="32:32">
      <c r="AF717"/>
    </row>
    <row r="718" spans="32:32">
      <c r="AF718"/>
    </row>
    <row r="719" spans="32:32">
      <c r="AF719"/>
    </row>
    <row r="720" spans="32:32">
      <c r="AF720"/>
    </row>
    <row r="721" spans="32:32">
      <c r="AF721"/>
    </row>
    <row r="722" spans="32:32">
      <c r="AF722"/>
    </row>
    <row r="723" spans="32:32">
      <c r="AF723"/>
    </row>
    <row r="724" spans="32:32">
      <c r="AF724"/>
    </row>
    <row r="725" spans="32:32">
      <c r="AF725"/>
    </row>
    <row r="726" spans="32:32">
      <c r="AF726"/>
    </row>
    <row r="727" spans="32:32">
      <c r="AF727"/>
    </row>
    <row r="728" spans="32:32">
      <c r="AF728"/>
    </row>
    <row r="729" spans="32:32">
      <c r="AF729"/>
    </row>
    <row r="730" spans="32:32">
      <c r="AF730"/>
    </row>
    <row r="731" spans="32:32">
      <c r="AF731"/>
    </row>
    <row r="732" spans="32:32">
      <c r="AF732"/>
    </row>
    <row r="733" spans="32:32">
      <c r="AF733"/>
    </row>
    <row r="734" spans="32:32">
      <c r="AF734"/>
    </row>
    <row r="735" spans="32:32">
      <c r="AF735"/>
    </row>
    <row r="736" spans="32:32">
      <c r="AF736"/>
    </row>
    <row r="737" spans="32:32">
      <c r="AF737"/>
    </row>
    <row r="738" spans="32:32">
      <c r="AF738"/>
    </row>
    <row r="739" spans="32:32">
      <c r="AF739"/>
    </row>
    <row r="740" spans="32:32">
      <c r="AF740"/>
    </row>
    <row r="741" spans="32:32">
      <c r="AF741"/>
    </row>
    <row r="742" spans="32:32">
      <c r="AF742"/>
    </row>
    <row r="743" spans="32:32">
      <c r="AF743"/>
    </row>
    <row r="744" spans="32:32">
      <c r="AF744"/>
    </row>
    <row r="745" spans="32:32">
      <c r="AF745"/>
    </row>
    <row r="746" spans="32:32">
      <c r="AF746"/>
    </row>
    <row r="747" spans="32:32">
      <c r="AF747"/>
    </row>
    <row r="748" spans="32:32">
      <c r="AF748"/>
    </row>
    <row r="749" spans="32:32">
      <c r="AF749"/>
    </row>
    <row r="750" spans="32:32">
      <c r="AF750"/>
    </row>
    <row r="751" spans="32:32">
      <c r="AF751"/>
    </row>
    <row r="752" spans="32:32">
      <c r="AF752"/>
    </row>
    <row r="753" spans="32:32">
      <c r="AF753"/>
    </row>
    <row r="754" spans="32:32">
      <c r="AF754"/>
    </row>
    <row r="755" spans="32:32">
      <c r="AF755"/>
    </row>
    <row r="756" spans="32:32">
      <c r="AF756"/>
    </row>
    <row r="757" spans="32:32">
      <c r="AF757"/>
    </row>
    <row r="758" spans="32:32">
      <c r="AF758"/>
    </row>
    <row r="759" spans="32:32">
      <c r="AF759"/>
    </row>
    <row r="760" spans="32:32">
      <c r="AF760"/>
    </row>
    <row r="761" spans="32:32">
      <c r="AF761"/>
    </row>
    <row r="762" spans="32:32">
      <c r="AF762"/>
    </row>
    <row r="763" spans="32:32">
      <c r="AF763"/>
    </row>
    <row r="764" spans="32:32">
      <c r="AF764"/>
    </row>
    <row r="765" spans="32:32">
      <c r="AF765"/>
    </row>
    <row r="766" spans="32:32">
      <c r="AF766"/>
    </row>
    <row r="767" spans="32:32">
      <c r="AF767"/>
    </row>
    <row r="768" spans="32:32">
      <c r="AF768"/>
    </row>
    <row r="769" spans="32:32">
      <c r="AF769"/>
    </row>
    <row r="770" spans="32:32">
      <c r="AF770"/>
    </row>
    <row r="771" spans="32:32">
      <c r="AF771"/>
    </row>
    <row r="772" spans="32:32">
      <c r="AF772"/>
    </row>
    <row r="773" spans="32:32">
      <c r="AF773"/>
    </row>
    <row r="774" spans="32:32">
      <c r="AF774"/>
    </row>
    <row r="775" spans="32:32">
      <c r="AF775"/>
    </row>
    <row r="776" spans="32:32">
      <c r="AF776"/>
    </row>
    <row r="777" spans="32:32">
      <c r="AF777"/>
    </row>
    <row r="778" spans="32:32">
      <c r="AF778"/>
    </row>
    <row r="779" spans="32:32">
      <c r="AF779"/>
    </row>
    <row r="780" spans="32:32">
      <c r="AF780"/>
    </row>
    <row r="781" spans="32:32">
      <c r="AF781"/>
    </row>
    <row r="782" spans="32:32">
      <c r="AF782"/>
    </row>
    <row r="783" spans="32:32">
      <c r="AF783"/>
    </row>
    <row r="784" spans="32:32">
      <c r="AF784"/>
    </row>
    <row r="785" spans="32:32">
      <c r="AF785"/>
    </row>
    <row r="786" spans="32:32">
      <c r="AF786"/>
    </row>
    <row r="787" spans="32:32">
      <c r="AF787"/>
    </row>
    <row r="788" spans="32:32">
      <c r="AF788"/>
    </row>
    <row r="789" spans="32:32">
      <c r="AF789"/>
    </row>
    <row r="790" spans="32:32">
      <c r="AF790"/>
    </row>
    <row r="791" spans="32:32">
      <c r="AF791"/>
    </row>
    <row r="792" spans="32:32">
      <c r="AF792"/>
    </row>
    <row r="793" spans="32:32">
      <c r="AF793"/>
    </row>
    <row r="794" spans="32:32">
      <c r="AF794"/>
    </row>
    <row r="795" spans="32:32">
      <c r="AF795"/>
    </row>
    <row r="796" spans="32:32">
      <c r="AF796"/>
    </row>
    <row r="797" spans="32:32">
      <c r="AF797"/>
    </row>
    <row r="798" spans="32:32">
      <c r="AF798"/>
    </row>
    <row r="799" spans="32:32">
      <c r="AF799"/>
    </row>
    <row r="800" spans="32:32">
      <c r="AF800"/>
    </row>
    <row r="801" spans="32:32">
      <c r="AF801"/>
    </row>
    <row r="802" spans="32:32">
      <c r="AF802"/>
    </row>
    <row r="803" spans="32:32">
      <c r="AF803"/>
    </row>
    <row r="804" spans="32:32">
      <c r="AF804"/>
    </row>
    <row r="805" spans="32:32">
      <c r="AF805"/>
    </row>
    <row r="806" spans="32:32">
      <c r="AF806"/>
    </row>
    <row r="807" spans="32:32">
      <c r="AF807"/>
    </row>
    <row r="808" spans="32:32">
      <c r="AF808"/>
    </row>
    <row r="809" spans="32:32">
      <c r="AF809"/>
    </row>
    <row r="810" spans="32:32">
      <c r="AF810"/>
    </row>
    <row r="811" spans="32:32">
      <c r="AF811"/>
    </row>
    <row r="812" spans="32:32">
      <c r="AF812"/>
    </row>
    <row r="813" spans="32:32">
      <c r="AF813"/>
    </row>
    <row r="814" spans="32:32">
      <c r="AF814"/>
    </row>
    <row r="815" spans="32:32">
      <c r="AF815"/>
    </row>
    <row r="816" spans="32:32">
      <c r="AF816"/>
    </row>
    <row r="817" spans="32:32">
      <c r="AF817"/>
    </row>
    <row r="818" spans="32:32">
      <c r="AF818"/>
    </row>
    <row r="819" spans="32:32">
      <c r="AF819"/>
    </row>
    <row r="820" spans="32:32">
      <c r="AF820"/>
    </row>
    <row r="821" spans="32:32">
      <c r="AF821"/>
    </row>
    <row r="822" spans="32:32">
      <c r="AF822"/>
    </row>
    <row r="823" spans="32:32">
      <c r="AF823"/>
    </row>
    <row r="824" spans="32:32">
      <c r="AF824"/>
    </row>
    <row r="825" spans="32:32">
      <c r="AF825"/>
    </row>
    <row r="826" spans="32:32">
      <c r="AF826"/>
    </row>
    <row r="827" spans="32:32">
      <c r="AF827"/>
    </row>
    <row r="828" spans="32:32">
      <c r="AF828"/>
    </row>
    <row r="829" spans="32:32">
      <c r="AF829"/>
    </row>
    <row r="830" spans="32:32">
      <c r="AF830"/>
    </row>
    <row r="831" spans="32:32">
      <c r="AF831"/>
    </row>
    <row r="832" spans="32:32">
      <c r="AF832"/>
    </row>
    <row r="833" spans="32:32">
      <c r="AF833"/>
    </row>
    <row r="834" spans="32:32">
      <c r="AF834"/>
    </row>
    <row r="835" spans="32:32">
      <c r="AF835"/>
    </row>
    <row r="836" spans="32:32">
      <c r="AF836"/>
    </row>
    <row r="837" spans="32:32">
      <c r="AF837"/>
    </row>
    <row r="838" spans="32:32">
      <c r="AF838"/>
    </row>
    <row r="839" spans="32:32">
      <c r="AF839"/>
    </row>
    <row r="840" spans="32:32">
      <c r="AF840"/>
    </row>
    <row r="841" spans="32:32">
      <c r="AF841"/>
    </row>
    <row r="842" spans="32:32">
      <c r="AF842"/>
    </row>
    <row r="843" spans="32:32">
      <c r="AF843"/>
    </row>
    <row r="844" spans="32:32">
      <c r="AF844"/>
    </row>
    <row r="845" spans="32:32">
      <c r="AF845"/>
    </row>
    <row r="846" spans="32:32">
      <c r="AF846"/>
    </row>
    <row r="847" spans="32:32">
      <c r="AF847"/>
    </row>
    <row r="848" spans="32:32">
      <c r="AF848"/>
    </row>
    <row r="849" spans="32:32">
      <c r="AF849"/>
    </row>
    <row r="850" spans="32:32">
      <c r="AF850"/>
    </row>
    <row r="851" spans="32:32">
      <c r="AF851"/>
    </row>
    <row r="852" spans="32:32">
      <c r="AF852"/>
    </row>
    <row r="853" spans="32:32">
      <c r="AF853"/>
    </row>
    <row r="854" spans="32:32">
      <c r="AF854"/>
    </row>
    <row r="855" spans="32:32">
      <c r="AF855"/>
    </row>
    <row r="856" spans="32:32">
      <c r="AF856"/>
    </row>
    <row r="857" spans="32:32">
      <c r="AF857"/>
    </row>
    <row r="858" spans="32:32">
      <c r="AF858"/>
    </row>
    <row r="859" spans="32:32">
      <c r="AF859"/>
    </row>
    <row r="860" spans="32:32">
      <c r="AF860"/>
    </row>
    <row r="861" spans="32:32">
      <c r="AF861"/>
    </row>
    <row r="862" spans="32:32">
      <c r="AF862"/>
    </row>
    <row r="863" spans="32:32">
      <c r="AF863"/>
    </row>
    <row r="864" spans="32:32">
      <c r="AF864"/>
    </row>
    <row r="865" spans="32:32">
      <c r="AF865"/>
    </row>
    <row r="866" spans="32:32">
      <c r="AF866"/>
    </row>
    <row r="867" spans="32:32">
      <c r="AF867"/>
    </row>
    <row r="868" spans="32:32">
      <c r="AF868"/>
    </row>
    <row r="869" spans="32:32">
      <c r="AF869"/>
    </row>
    <row r="870" spans="32:32">
      <c r="AF870"/>
    </row>
    <row r="871" spans="32:32">
      <c r="AF871"/>
    </row>
    <row r="872" spans="32:32">
      <c r="AF872"/>
    </row>
    <row r="873" spans="32:32">
      <c r="AF873"/>
    </row>
    <row r="874" spans="32:32">
      <c r="AF874"/>
    </row>
    <row r="875" spans="32:32">
      <c r="AF875"/>
    </row>
    <row r="876" spans="32:32">
      <c r="AF876"/>
    </row>
    <row r="877" spans="32:32">
      <c r="AF877"/>
    </row>
    <row r="878" spans="32:32">
      <c r="AF878"/>
    </row>
    <row r="879" spans="32:32">
      <c r="AF879"/>
    </row>
    <row r="880" spans="32:32">
      <c r="AF880"/>
    </row>
    <row r="881" spans="32:32">
      <c r="AF881"/>
    </row>
    <row r="882" spans="32:32">
      <c r="AF882"/>
    </row>
    <row r="883" spans="32:32">
      <c r="AF883"/>
    </row>
    <row r="884" spans="32:32">
      <c r="AF884"/>
    </row>
    <row r="885" spans="32:32">
      <c r="AF885"/>
    </row>
    <row r="886" spans="32:32">
      <c r="AF886"/>
    </row>
    <row r="887" spans="32:32">
      <c r="AF887"/>
    </row>
    <row r="888" spans="32:32">
      <c r="AF888"/>
    </row>
    <row r="889" spans="32:32">
      <c r="AF889"/>
    </row>
    <row r="890" spans="32:32">
      <c r="AF890"/>
    </row>
    <row r="891" spans="32:32">
      <c r="AF891"/>
    </row>
    <row r="892" spans="32:32">
      <c r="AF892"/>
    </row>
    <row r="893" spans="32:32">
      <c r="AF893"/>
    </row>
    <row r="894" spans="32:32">
      <c r="AF894"/>
    </row>
    <row r="895" spans="32:32">
      <c r="AF895"/>
    </row>
    <row r="896" spans="32:32">
      <c r="AF896"/>
    </row>
    <row r="897" spans="32:32">
      <c r="AF897"/>
    </row>
    <row r="898" spans="32:32">
      <c r="AF898"/>
    </row>
    <row r="899" spans="32:32">
      <c r="AF899"/>
    </row>
    <row r="900" spans="32:32">
      <c r="AF900"/>
    </row>
    <row r="901" spans="32:32">
      <c r="AF901"/>
    </row>
    <row r="902" spans="32:32">
      <c r="AF902"/>
    </row>
    <row r="903" spans="32:32">
      <c r="AF903"/>
    </row>
    <row r="904" spans="32:32">
      <c r="AF904"/>
    </row>
    <row r="905" spans="32:32">
      <c r="AF905"/>
    </row>
    <row r="906" spans="32:32">
      <c r="AF906"/>
    </row>
    <row r="907" spans="32:32">
      <c r="AF907"/>
    </row>
    <row r="908" spans="32:32">
      <c r="AF908"/>
    </row>
    <row r="909" spans="32:32">
      <c r="AF909"/>
    </row>
    <row r="910" spans="32:32">
      <c r="AF910"/>
    </row>
    <row r="911" spans="32:32">
      <c r="AF911"/>
    </row>
    <row r="912" spans="32:32">
      <c r="AF912"/>
    </row>
    <row r="913" spans="32:32">
      <c r="AF913"/>
    </row>
    <row r="914" spans="32:32">
      <c r="AF914"/>
    </row>
    <row r="915" spans="32:32">
      <c r="AF915"/>
    </row>
    <row r="916" spans="32:32">
      <c r="AF916"/>
    </row>
    <row r="917" spans="32:32">
      <c r="AF917"/>
    </row>
    <row r="918" spans="32:32">
      <c r="AF918"/>
    </row>
    <row r="919" spans="32:32">
      <c r="AF919"/>
    </row>
    <row r="920" spans="32:32">
      <c r="AF920"/>
    </row>
    <row r="921" spans="32:32">
      <c r="AF921"/>
    </row>
    <row r="922" spans="32:32">
      <c r="AF922"/>
    </row>
    <row r="923" spans="32:32">
      <c r="AF923"/>
    </row>
    <row r="924" spans="32:32">
      <c r="AF924"/>
    </row>
    <row r="925" spans="32:32">
      <c r="AF925"/>
    </row>
    <row r="926" spans="32:32">
      <c r="AF926"/>
    </row>
    <row r="927" spans="32:32">
      <c r="AF927"/>
    </row>
    <row r="928" spans="32:32">
      <c r="AF928"/>
    </row>
    <row r="929" spans="32:32">
      <c r="AF929"/>
    </row>
    <row r="930" spans="32:32">
      <c r="AF930"/>
    </row>
    <row r="931" spans="32:32">
      <c r="AF931"/>
    </row>
    <row r="932" spans="32:32">
      <c r="AF932"/>
    </row>
    <row r="933" spans="32:32">
      <c r="AF933"/>
    </row>
    <row r="934" spans="32:32">
      <c r="AF934"/>
    </row>
    <row r="935" spans="32:32">
      <c r="AF935"/>
    </row>
    <row r="936" spans="32:32">
      <c r="AF936"/>
    </row>
    <row r="937" spans="32:32">
      <c r="AF937"/>
    </row>
    <row r="938" spans="32:32">
      <c r="AF938"/>
    </row>
    <row r="939" spans="32:32">
      <c r="AF939"/>
    </row>
    <row r="940" spans="32:32">
      <c r="AF940"/>
    </row>
    <row r="941" spans="32:32">
      <c r="AF941"/>
    </row>
    <row r="942" spans="32:32">
      <c r="AF942"/>
    </row>
    <row r="943" spans="32:32">
      <c r="AF943"/>
    </row>
    <row r="944" spans="32:32">
      <c r="AF944"/>
    </row>
    <row r="945" spans="32:32">
      <c r="AF945"/>
    </row>
    <row r="946" spans="32:32">
      <c r="AF946"/>
    </row>
    <row r="947" spans="32:32">
      <c r="AF947"/>
    </row>
    <row r="948" spans="32:32">
      <c r="AF948"/>
    </row>
    <row r="949" spans="32:32">
      <c r="AF949"/>
    </row>
    <row r="950" spans="32:32">
      <c r="AF950"/>
    </row>
    <row r="951" spans="32:32">
      <c r="AF951"/>
    </row>
    <row r="952" spans="32:32">
      <c r="AF952"/>
    </row>
    <row r="953" spans="32:32">
      <c r="AF953"/>
    </row>
    <row r="954" spans="32:32">
      <c r="AF954"/>
    </row>
    <row r="955" spans="32:32">
      <c r="AF955"/>
    </row>
    <row r="956" spans="32:32">
      <c r="AF956"/>
    </row>
    <row r="957" spans="32:32">
      <c r="AF957"/>
    </row>
    <row r="958" spans="32:32">
      <c r="AF958"/>
    </row>
    <row r="959" spans="32:32">
      <c r="AF959"/>
    </row>
    <row r="960" spans="32:32">
      <c r="AF960"/>
    </row>
    <row r="961" spans="32:32">
      <c r="AF961"/>
    </row>
    <row r="962" spans="32:32">
      <c r="AF962"/>
    </row>
    <row r="963" spans="32:32">
      <c r="AF963"/>
    </row>
    <row r="964" spans="32:32">
      <c r="AF964"/>
    </row>
    <row r="965" spans="32:32">
      <c r="AF965"/>
    </row>
    <row r="966" spans="32:32">
      <c r="AF966"/>
    </row>
    <row r="967" spans="32:32">
      <c r="AF967"/>
    </row>
    <row r="968" spans="32:32">
      <c r="AF968"/>
    </row>
    <row r="969" spans="32:32">
      <c r="AF969"/>
    </row>
    <row r="970" spans="32:32">
      <c r="AF970"/>
    </row>
    <row r="971" spans="32:32">
      <c r="AF971"/>
    </row>
    <row r="972" spans="32:32">
      <c r="AF972"/>
    </row>
    <row r="973" spans="32:32">
      <c r="AF973"/>
    </row>
    <row r="974" spans="32:32">
      <c r="AF974"/>
    </row>
    <row r="975" spans="32:32">
      <c r="AF975"/>
    </row>
    <row r="976" spans="32:32">
      <c r="AF976"/>
    </row>
    <row r="977" spans="32:32">
      <c r="AF977"/>
    </row>
    <row r="978" spans="32:32">
      <c r="AF978"/>
    </row>
    <row r="979" spans="32:32">
      <c r="AF979"/>
    </row>
    <row r="980" spans="32:32">
      <c r="AF980"/>
    </row>
    <row r="981" spans="32:32">
      <c r="AF981"/>
    </row>
    <row r="982" spans="32:32">
      <c r="AF982"/>
    </row>
    <row r="983" spans="32:32">
      <c r="AF983"/>
    </row>
    <row r="984" spans="32:32">
      <c r="AF984"/>
    </row>
    <row r="985" spans="32:32">
      <c r="AF985"/>
    </row>
    <row r="986" spans="32:32">
      <c r="AF986"/>
    </row>
    <row r="987" spans="32:32">
      <c r="AF987"/>
    </row>
    <row r="988" spans="32:32">
      <c r="AF988"/>
    </row>
    <row r="989" spans="32:32">
      <c r="AF989"/>
    </row>
    <row r="990" spans="32:32">
      <c r="AF990"/>
    </row>
    <row r="991" spans="32:32">
      <c r="AF991"/>
    </row>
    <row r="992" spans="32:32">
      <c r="AF992"/>
    </row>
    <row r="993" spans="32:32">
      <c r="AF993"/>
    </row>
    <row r="994" spans="32:32">
      <c r="AF994"/>
    </row>
    <row r="995" spans="32:32">
      <c r="AF995"/>
    </row>
    <row r="996" spans="32:32">
      <c r="AF996"/>
    </row>
    <row r="997" spans="32:32">
      <c r="AF997"/>
    </row>
    <row r="998" spans="32:32">
      <c r="AF998"/>
    </row>
    <row r="999" spans="32:32">
      <c r="AF999"/>
    </row>
    <row r="1000" spans="32:32">
      <c r="AF1000"/>
    </row>
    <row r="1001" spans="32:32">
      <c r="AF1001"/>
    </row>
    <row r="1002" spans="32:32">
      <c r="AF1002"/>
    </row>
    <row r="1003" spans="32:32">
      <c r="AF1003"/>
    </row>
    <row r="1004" spans="32:32">
      <c r="AF1004"/>
    </row>
    <row r="1005" spans="32:32">
      <c r="AF1005"/>
    </row>
    <row r="1006" spans="32:32">
      <c r="AF1006"/>
    </row>
    <row r="1007" spans="32:32">
      <c r="AF1007"/>
    </row>
    <row r="1008" spans="32:32">
      <c r="AF1008"/>
    </row>
    <row r="1009" spans="32:32">
      <c r="AF1009"/>
    </row>
    <row r="1010" spans="32:32">
      <c r="AF1010"/>
    </row>
    <row r="1011" spans="32:32">
      <c r="AF1011"/>
    </row>
    <row r="1012" spans="32:32">
      <c r="AF1012"/>
    </row>
    <row r="1013" spans="32:32">
      <c r="AF1013"/>
    </row>
    <row r="1014" spans="32:32">
      <c r="AF1014"/>
    </row>
    <row r="1015" spans="32:32">
      <c r="AF1015"/>
    </row>
    <row r="1016" spans="32:32">
      <c r="AF1016"/>
    </row>
    <row r="1017" spans="32:32">
      <c r="AF1017"/>
    </row>
    <row r="1018" spans="32:32">
      <c r="AF1018"/>
    </row>
    <row r="1019" spans="32:32">
      <c r="AF1019"/>
    </row>
    <row r="1020" spans="32:32">
      <c r="AF1020"/>
    </row>
    <row r="1021" spans="32:32">
      <c r="AF1021"/>
    </row>
    <row r="1022" spans="32:32">
      <c r="AF1022"/>
    </row>
    <row r="1023" spans="32:32">
      <c r="AF1023"/>
    </row>
    <row r="1024" spans="32:32">
      <c r="AF1024"/>
    </row>
    <row r="1025" spans="32:32">
      <c r="AF1025"/>
    </row>
    <row r="1026" spans="32:32">
      <c r="AF1026"/>
    </row>
    <row r="1027" spans="32:32">
      <c r="AF1027"/>
    </row>
    <row r="1028" spans="32:32">
      <c r="AF1028"/>
    </row>
    <row r="1029" spans="32:32">
      <c r="AF1029"/>
    </row>
    <row r="1030" spans="32:32">
      <c r="AF1030"/>
    </row>
    <row r="1031" spans="32:32">
      <c r="AF1031"/>
    </row>
    <row r="1032" spans="32:32">
      <c r="AF1032"/>
    </row>
    <row r="1033" spans="32:32">
      <c r="AF1033"/>
    </row>
    <row r="1034" spans="32:32">
      <c r="AF1034"/>
    </row>
    <row r="1035" spans="32:32">
      <c r="AF1035"/>
    </row>
    <row r="1036" spans="32:32">
      <c r="AF1036"/>
    </row>
    <row r="1037" spans="32:32">
      <c r="AF1037"/>
    </row>
    <row r="1038" spans="32:32">
      <c r="AF1038"/>
    </row>
    <row r="1039" spans="32:32">
      <c r="AF1039"/>
    </row>
    <row r="1040" spans="32:32">
      <c r="AF1040"/>
    </row>
    <row r="1041" spans="32:32">
      <c r="AF1041"/>
    </row>
    <row r="1042" spans="32:32">
      <c r="AF1042"/>
    </row>
    <row r="1043" spans="32:32">
      <c r="AF1043"/>
    </row>
    <row r="1044" spans="32:32">
      <c r="AF1044"/>
    </row>
    <row r="1045" spans="32:32">
      <c r="AF1045"/>
    </row>
    <row r="1046" spans="32:32">
      <c r="AF1046"/>
    </row>
    <row r="1047" spans="32:32">
      <c r="AF1047"/>
    </row>
    <row r="1048" spans="32:32">
      <c r="AF1048"/>
    </row>
    <row r="1049" spans="32:32">
      <c r="AF1049"/>
    </row>
    <row r="1050" spans="32:32">
      <c r="AF1050"/>
    </row>
    <row r="1051" spans="32:32">
      <c r="AF1051"/>
    </row>
    <row r="1052" spans="32:32">
      <c r="AF1052"/>
    </row>
    <row r="1053" spans="32:32">
      <c r="AF1053"/>
    </row>
    <row r="1054" spans="32:32">
      <c r="AF1054"/>
    </row>
    <row r="1055" spans="32:32">
      <c r="AF1055"/>
    </row>
    <row r="1056" spans="32:32">
      <c r="AF1056"/>
    </row>
    <row r="1057" spans="32:32">
      <c r="AF1057"/>
    </row>
    <row r="1058" spans="32:32">
      <c r="AF1058"/>
    </row>
    <row r="1059" spans="32:32">
      <c r="AF1059"/>
    </row>
    <row r="1060" spans="32:32">
      <c r="AF1060"/>
    </row>
    <row r="1061" spans="32:32">
      <c r="AF1061"/>
    </row>
    <row r="1062" spans="32:32">
      <c r="AF1062"/>
    </row>
    <row r="1063" spans="32:32">
      <c r="AF1063"/>
    </row>
    <row r="1064" spans="32:32">
      <c r="AF1064"/>
    </row>
    <row r="1065" spans="32:32">
      <c r="AF1065"/>
    </row>
    <row r="1066" spans="32:32">
      <c r="AF1066"/>
    </row>
    <row r="1067" spans="32:32">
      <c r="AF1067"/>
    </row>
    <row r="1068" spans="32:32">
      <c r="AF1068"/>
    </row>
    <row r="1069" spans="32:32">
      <c r="AF1069"/>
    </row>
    <row r="1070" spans="32:32">
      <c r="AF1070"/>
    </row>
    <row r="1071" spans="32:32">
      <c r="AF1071"/>
    </row>
    <row r="1072" spans="32:32">
      <c r="AF1072"/>
    </row>
    <row r="1073" spans="32:32">
      <c r="AF1073"/>
    </row>
    <row r="1074" spans="32:32">
      <c r="AF1074"/>
    </row>
    <row r="1075" spans="32:32">
      <c r="AF1075"/>
    </row>
    <row r="1076" spans="32:32">
      <c r="AF1076"/>
    </row>
    <row r="1077" spans="32:32">
      <c r="AF1077"/>
    </row>
    <row r="1078" spans="32:32">
      <c r="AF1078"/>
    </row>
    <row r="1079" spans="32:32">
      <c r="AF1079"/>
    </row>
    <row r="1080" spans="32:32">
      <c r="AF1080"/>
    </row>
    <row r="1081" spans="32:32">
      <c r="AF1081"/>
    </row>
    <row r="1082" spans="32:32">
      <c r="AF1082"/>
    </row>
    <row r="1083" spans="32:32">
      <c r="AF1083"/>
    </row>
    <row r="1084" spans="32:32">
      <c r="AF1084"/>
    </row>
    <row r="1085" spans="32:32">
      <c r="AF1085"/>
    </row>
    <row r="1086" spans="32:32">
      <c r="AF1086"/>
    </row>
    <row r="1087" spans="32:32">
      <c r="AF1087"/>
    </row>
    <row r="1088" spans="32:32">
      <c r="AF1088"/>
    </row>
    <row r="1089" spans="32:32">
      <c r="AF1089"/>
    </row>
    <row r="1090" spans="32:32">
      <c r="AF1090"/>
    </row>
    <row r="1091" spans="32:32">
      <c r="AF1091"/>
    </row>
    <row r="1092" spans="32:32">
      <c r="AF1092"/>
    </row>
    <row r="1093" spans="32:32">
      <c r="AF1093"/>
    </row>
    <row r="1094" spans="32:32">
      <c r="AF1094"/>
    </row>
    <row r="1095" spans="32:32">
      <c r="AF1095"/>
    </row>
    <row r="1096" spans="32:32">
      <c r="AF1096"/>
    </row>
    <row r="1097" spans="32:32">
      <c r="AF1097"/>
    </row>
    <row r="1098" spans="32:32">
      <c r="AF1098"/>
    </row>
    <row r="1099" spans="32:32">
      <c r="AF1099"/>
    </row>
    <row r="1100" spans="32:32">
      <c r="AF1100"/>
    </row>
    <row r="1101" spans="32:32">
      <c r="AF1101"/>
    </row>
    <row r="1102" spans="32:32">
      <c r="AF1102"/>
    </row>
    <row r="1103" spans="32:32">
      <c r="AF1103"/>
    </row>
    <row r="1104" spans="32:32">
      <c r="AF1104"/>
    </row>
    <row r="1105" spans="32:32">
      <c r="AF1105"/>
    </row>
    <row r="1106" spans="32:32">
      <c r="AF1106"/>
    </row>
    <row r="1107" spans="32:32">
      <c r="AF1107"/>
    </row>
    <row r="1108" spans="32:32">
      <c r="AF1108"/>
    </row>
    <row r="1109" spans="32:32">
      <c r="AF1109"/>
    </row>
    <row r="1110" spans="32:32">
      <c r="AF1110"/>
    </row>
    <row r="1111" spans="32:32">
      <c r="AF1111"/>
    </row>
    <row r="1112" spans="32:32">
      <c r="AF1112"/>
    </row>
    <row r="1113" spans="32:32">
      <c r="AF1113"/>
    </row>
    <row r="1114" spans="32:32">
      <c r="AF1114"/>
    </row>
    <row r="1115" spans="32:32">
      <c r="AF1115"/>
    </row>
    <row r="1116" spans="32:32">
      <c r="AF1116"/>
    </row>
    <row r="1117" spans="32:32">
      <c r="AF1117"/>
    </row>
    <row r="1118" spans="32:32">
      <c r="AF1118"/>
    </row>
    <row r="1119" spans="32:32">
      <c r="AF1119"/>
    </row>
    <row r="1120" spans="32:32">
      <c r="AF1120"/>
    </row>
    <row r="1121" spans="32:32">
      <c r="AF1121"/>
    </row>
    <row r="1122" spans="32:32">
      <c r="AF1122"/>
    </row>
    <row r="1123" spans="32:32">
      <c r="AF1123"/>
    </row>
    <row r="1124" spans="32:32">
      <c r="AF1124"/>
    </row>
    <row r="1125" spans="32:32">
      <c r="AF1125"/>
    </row>
    <row r="1126" spans="32:32">
      <c r="AF1126"/>
    </row>
    <row r="1127" spans="32:32">
      <c r="AF1127"/>
    </row>
    <row r="1128" spans="32:32">
      <c r="AF1128"/>
    </row>
    <row r="1129" spans="32:32">
      <c r="AF1129"/>
    </row>
    <row r="1130" spans="32:32">
      <c r="AF1130"/>
    </row>
    <row r="1131" spans="32:32">
      <c r="AF1131"/>
    </row>
    <row r="1132" spans="32:32">
      <c r="AF1132"/>
    </row>
    <row r="1133" spans="32:32">
      <c r="AF1133"/>
    </row>
    <row r="1134" spans="32:32">
      <c r="AF1134"/>
    </row>
    <row r="1135" spans="32:32">
      <c r="AF1135"/>
    </row>
    <row r="1136" spans="32:32">
      <c r="AF1136"/>
    </row>
    <row r="1137" spans="32:32">
      <c r="AF1137"/>
    </row>
    <row r="1138" spans="32:32">
      <c r="AF1138"/>
    </row>
    <row r="1139" spans="32:32">
      <c r="AF1139"/>
    </row>
    <row r="1140" spans="32:32">
      <c r="AF1140"/>
    </row>
    <row r="1141" spans="32:32">
      <c r="AF1141"/>
    </row>
    <row r="1142" spans="32:32">
      <c r="AF1142"/>
    </row>
    <row r="1143" spans="32:32">
      <c r="AF1143"/>
    </row>
    <row r="1144" spans="32:32">
      <c r="AF1144"/>
    </row>
    <row r="1145" spans="32:32">
      <c r="AF1145"/>
    </row>
    <row r="1146" spans="32:32">
      <c r="AF1146"/>
    </row>
    <row r="1147" spans="32:32">
      <c r="AF1147"/>
    </row>
    <row r="1148" spans="32:32">
      <c r="AF1148"/>
    </row>
    <row r="1149" spans="32:32">
      <c r="AF1149"/>
    </row>
    <row r="1150" spans="32:32">
      <c r="AF1150"/>
    </row>
    <row r="1151" spans="32:32">
      <c r="AF1151"/>
    </row>
    <row r="1152" spans="32:32">
      <c r="AF1152"/>
    </row>
    <row r="1153" spans="32:32">
      <c r="AF1153"/>
    </row>
    <row r="1154" spans="32:32">
      <c r="AF1154"/>
    </row>
    <row r="1155" spans="32:32">
      <c r="AF1155"/>
    </row>
    <row r="1156" spans="32:32">
      <c r="AF1156"/>
    </row>
    <row r="1157" spans="32:32">
      <c r="AF1157"/>
    </row>
    <row r="1158" spans="32:32">
      <c r="AF1158"/>
    </row>
    <row r="1159" spans="32:32">
      <c r="AF1159"/>
    </row>
    <row r="1160" spans="32:32">
      <c r="AF1160"/>
    </row>
    <row r="1161" spans="32:32">
      <c r="AF1161"/>
    </row>
    <row r="1162" spans="32:32">
      <c r="AF1162"/>
    </row>
    <row r="1163" spans="32:32">
      <c r="AF1163"/>
    </row>
    <row r="1164" spans="32:32">
      <c r="AF1164"/>
    </row>
    <row r="1165" spans="32:32">
      <c r="AF1165"/>
    </row>
    <row r="1166" spans="32:32">
      <c r="AF1166"/>
    </row>
    <row r="1167" spans="32:32">
      <c r="AF1167"/>
    </row>
    <row r="1168" spans="32:32">
      <c r="AF1168"/>
    </row>
    <row r="1169" spans="32:32">
      <c r="AF1169"/>
    </row>
    <row r="1170" spans="32:32">
      <c r="AF1170"/>
    </row>
    <row r="1171" spans="32:32">
      <c r="AF1171"/>
    </row>
    <row r="1172" spans="32:32">
      <c r="AF1172"/>
    </row>
    <row r="1173" spans="32:32">
      <c r="AF1173"/>
    </row>
    <row r="1174" spans="32:32">
      <c r="AF1174"/>
    </row>
    <row r="1175" spans="32:32">
      <c r="AF1175"/>
    </row>
    <row r="1176" spans="32:32">
      <c r="AF1176"/>
    </row>
    <row r="1177" spans="32:32">
      <c r="AF1177"/>
    </row>
    <row r="1178" spans="32:32">
      <c r="AF1178"/>
    </row>
    <row r="1179" spans="32:32">
      <c r="AF1179"/>
    </row>
    <row r="1180" spans="32:32">
      <c r="AF1180"/>
    </row>
    <row r="1181" spans="32:32">
      <c r="AF1181"/>
    </row>
    <row r="1182" spans="32:32">
      <c r="AF1182"/>
    </row>
    <row r="1183" spans="32:32">
      <c r="AF1183"/>
    </row>
    <row r="1184" spans="32:32">
      <c r="AF1184"/>
    </row>
    <row r="1185" spans="32:32">
      <c r="AF1185"/>
    </row>
    <row r="1186" spans="32:32">
      <c r="AF1186"/>
    </row>
    <row r="1187" spans="32:32">
      <c r="AF1187"/>
    </row>
    <row r="1188" spans="32:32">
      <c r="AF1188"/>
    </row>
    <row r="1189" spans="32:32">
      <c r="AF1189"/>
    </row>
    <row r="1190" spans="32:32">
      <c r="AF1190"/>
    </row>
    <row r="1191" spans="32:32">
      <c r="AF1191"/>
    </row>
    <row r="1192" spans="32:32">
      <c r="AF1192"/>
    </row>
    <row r="1193" spans="32:32">
      <c r="AF1193"/>
    </row>
    <row r="1194" spans="32:32">
      <c r="AF1194"/>
    </row>
    <row r="1195" spans="32:32">
      <c r="AF1195"/>
    </row>
    <row r="1196" spans="32:32">
      <c r="AF1196"/>
    </row>
    <row r="1197" spans="32:32">
      <c r="AF1197"/>
    </row>
    <row r="1198" spans="32:32">
      <c r="AF1198"/>
    </row>
    <row r="1199" spans="32:32">
      <c r="AF1199"/>
    </row>
    <row r="1200" spans="32:32">
      <c r="AF1200"/>
    </row>
    <row r="1201" spans="32:32">
      <c r="AF1201"/>
    </row>
    <row r="1202" spans="32:32">
      <c r="AF1202"/>
    </row>
    <row r="1203" spans="32:32">
      <c r="AF1203"/>
    </row>
    <row r="1204" spans="32:32">
      <c r="AF1204"/>
    </row>
    <row r="1205" spans="32:32">
      <c r="AF1205"/>
    </row>
    <row r="1206" spans="32:32">
      <c r="AF1206"/>
    </row>
    <row r="1207" spans="32:32">
      <c r="AF1207"/>
    </row>
    <row r="1208" spans="32:32">
      <c r="AF1208"/>
    </row>
    <row r="1209" spans="32:32">
      <c r="AF1209"/>
    </row>
    <row r="1210" spans="32:32">
      <c r="AF1210"/>
    </row>
    <row r="1211" spans="32:32">
      <c r="AF1211"/>
    </row>
    <row r="1212" spans="32:32">
      <c r="AF1212"/>
    </row>
    <row r="1213" spans="32:32">
      <c r="AF1213"/>
    </row>
    <row r="1214" spans="32:32">
      <c r="AF1214"/>
    </row>
    <row r="1215" spans="32:32">
      <c r="AF1215"/>
    </row>
    <row r="1216" spans="32:32">
      <c r="AF1216"/>
    </row>
    <row r="1217" spans="32:32">
      <c r="AF1217"/>
    </row>
    <row r="1218" spans="32:32">
      <c r="AF1218"/>
    </row>
    <row r="1219" spans="32:32">
      <c r="AF1219"/>
    </row>
    <row r="1220" spans="32:32">
      <c r="AF1220"/>
    </row>
    <row r="1221" spans="32:32">
      <c r="AF1221"/>
    </row>
    <row r="1222" spans="32:32">
      <c r="AF1222"/>
    </row>
    <row r="1223" spans="32:32">
      <c r="AF1223"/>
    </row>
    <row r="1224" spans="32:32">
      <c r="AF1224"/>
    </row>
    <row r="1225" spans="32:32">
      <c r="AF1225"/>
    </row>
    <row r="1226" spans="32:32">
      <c r="AF1226"/>
    </row>
    <row r="1227" spans="32:32">
      <c r="AF1227"/>
    </row>
    <row r="1228" spans="32:32">
      <c r="AF1228"/>
    </row>
    <row r="1229" spans="32:32">
      <c r="AF1229"/>
    </row>
    <row r="1230" spans="32:32">
      <c r="AF1230"/>
    </row>
    <row r="1231" spans="32:32">
      <c r="AF1231"/>
    </row>
    <row r="1232" spans="32:32">
      <c r="AF1232"/>
    </row>
    <row r="1233" spans="32:32">
      <c r="AF1233"/>
    </row>
    <row r="1234" spans="32:32">
      <c r="AF1234"/>
    </row>
    <row r="1235" spans="32:32">
      <c r="AF1235"/>
    </row>
    <row r="1236" spans="32:32">
      <c r="AF1236"/>
    </row>
    <row r="1237" spans="32:32">
      <c r="AF1237"/>
    </row>
    <row r="1238" spans="32:32">
      <c r="AF1238"/>
    </row>
    <row r="1239" spans="32:32">
      <c r="AF1239"/>
    </row>
    <row r="1240" spans="32:32">
      <c r="AF1240"/>
    </row>
    <row r="1241" spans="32:32">
      <c r="AF1241"/>
    </row>
    <row r="1242" spans="32:32">
      <c r="AF1242"/>
    </row>
    <row r="1243" spans="32:32">
      <c r="AF1243"/>
    </row>
    <row r="1244" spans="32:32">
      <c r="AF1244"/>
    </row>
    <row r="1245" spans="32:32">
      <c r="AF1245"/>
    </row>
    <row r="1246" spans="32:32">
      <c r="AF1246"/>
    </row>
    <row r="1247" spans="32:32">
      <c r="AF1247"/>
    </row>
    <row r="1248" spans="32:32">
      <c r="AF1248"/>
    </row>
    <row r="1249" spans="32:32">
      <c r="AF1249"/>
    </row>
    <row r="1250" spans="32:32">
      <c r="AF1250"/>
    </row>
    <row r="1251" spans="32:32">
      <c r="AF1251"/>
    </row>
    <row r="1252" spans="32:32">
      <c r="AF1252"/>
    </row>
    <row r="1253" spans="32:32">
      <c r="AF1253"/>
    </row>
    <row r="1254" spans="32:32">
      <c r="AF1254"/>
    </row>
    <row r="1255" spans="32:32">
      <c r="AF1255"/>
    </row>
    <row r="1256" spans="32:32">
      <c r="AF1256"/>
    </row>
    <row r="1257" spans="32:32">
      <c r="AF1257"/>
    </row>
    <row r="1258" spans="32:32">
      <c r="AF1258"/>
    </row>
    <row r="1259" spans="32:32">
      <c r="AF1259"/>
    </row>
    <row r="1260" spans="32:32">
      <c r="AF1260"/>
    </row>
    <row r="1261" spans="32:32">
      <c r="AF1261"/>
    </row>
    <row r="1262" spans="32:32">
      <c r="AF1262"/>
    </row>
    <row r="1263" spans="32:32">
      <c r="AF1263"/>
    </row>
    <row r="1264" spans="32:32">
      <c r="AF1264"/>
    </row>
    <row r="1265" spans="32:32">
      <c r="AF1265"/>
    </row>
    <row r="1266" spans="32:32">
      <c r="AF1266"/>
    </row>
    <row r="1267" spans="32:32">
      <c r="AF1267"/>
    </row>
    <row r="1268" spans="32:32">
      <c r="AF1268"/>
    </row>
    <row r="1269" spans="32:32">
      <c r="AF1269"/>
    </row>
    <row r="1270" spans="32:32">
      <c r="AF1270"/>
    </row>
    <row r="1271" spans="32:32">
      <c r="AF1271"/>
    </row>
    <row r="1272" spans="32:32">
      <c r="AF1272"/>
    </row>
    <row r="1273" spans="32:32">
      <c r="AF1273"/>
    </row>
    <row r="1274" spans="32:32">
      <c r="AF1274"/>
    </row>
    <row r="1275" spans="32:32">
      <c r="AF1275"/>
    </row>
    <row r="1276" spans="32:32">
      <c r="AF1276"/>
    </row>
    <row r="1277" spans="32:32">
      <c r="AF1277"/>
    </row>
    <row r="1278" spans="32:32">
      <c r="AF1278"/>
    </row>
    <row r="1279" spans="32:32">
      <c r="AF1279"/>
    </row>
    <row r="1280" spans="32:32">
      <c r="AF1280"/>
    </row>
    <row r="1281" spans="32:32">
      <c r="AF1281"/>
    </row>
    <row r="1282" spans="32:32">
      <c r="AF1282"/>
    </row>
    <row r="1283" spans="32:32">
      <c r="AF1283"/>
    </row>
    <row r="1284" spans="32:32">
      <c r="AF1284"/>
    </row>
    <row r="1285" spans="32:32">
      <c r="AF1285"/>
    </row>
    <row r="1286" spans="32:32">
      <c r="AF1286"/>
    </row>
    <row r="1287" spans="32:32">
      <c r="AF1287"/>
    </row>
    <row r="1288" spans="32:32">
      <c r="AF1288"/>
    </row>
  </sheetData>
  <phoneticPr fontId="3"/>
  <conditionalFormatting sqref="AP6:AP67">
    <cfRule type="cellIs" dxfId="0" priority="1" operator="lessThan">
      <formula>10</formula>
    </cfRule>
  </conditionalFormatting>
  <pageMargins left="0.7" right="0.7" top="0.75" bottom="0.75" header="0.3" footer="0.3"/>
  <pageSetup paperSize="9" orientation="portrait" horizontalDpi="0"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3:M29"/>
  <sheetViews>
    <sheetView zoomScale="115" zoomScaleNormal="85" workbookViewId="0">
      <selection activeCell="G21" sqref="G21"/>
    </sheetView>
  </sheetViews>
  <sheetFormatPr baseColWidth="10" defaultColWidth="8.7109375" defaultRowHeight="20"/>
  <cols>
    <col min="5" max="5" width="8.7109375" customWidth="1"/>
    <col min="6" max="6" width="8.85546875" customWidth="1"/>
    <col min="7" max="7" width="74.85546875" customWidth="1"/>
  </cols>
  <sheetData>
    <row r="3" spans="2:13">
      <c r="G3" t="s">
        <v>1015</v>
      </c>
    </row>
    <row r="4" spans="2:13">
      <c r="B4" s="38" t="s">
        <v>1019</v>
      </c>
      <c r="C4" s="38" t="s">
        <v>100</v>
      </c>
      <c r="D4" s="38" t="s">
        <v>1020</v>
      </c>
      <c r="E4" s="38" t="s">
        <v>1021</v>
      </c>
      <c r="F4" s="38" t="s">
        <v>645</v>
      </c>
      <c r="G4" s="38" t="s">
        <v>1014</v>
      </c>
      <c r="H4" s="38" t="s">
        <v>1055</v>
      </c>
      <c r="I4" s="38" t="s">
        <v>1061</v>
      </c>
      <c r="J4" s="38" t="s">
        <v>1022</v>
      </c>
      <c r="K4" s="38" t="s">
        <v>1023</v>
      </c>
      <c r="L4" s="38" t="s">
        <v>1024</v>
      </c>
      <c r="M4" s="38" t="s">
        <v>1025</v>
      </c>
    </row>
    <row r="5" spans="2:13">
      <c r="B5" s="35" t="s">
        <v>46</v>
      </c>
      <c r="C5" s="35" t="s">
        <v>46</v>
      </c>
      <c r="D5" s="35" t="s">
        <v>637</v>
      </c>
      <c r="E5" s="35" t="s">
        <v>46</v>
      </c>
      <c r="F5" s="35" t="s">
        <v>46</v>
      </c>
      <c r="G5" s="35" t="s">
        <v>46</v>
      </c>
      <c r="H5" s="35" t="s">
        <v>132</v>
      </c>
      <c r="I5" s="35" t="s">
        <v>132</v>
      </c>
      <c r="J5" s="35" t="s">
        <v>673</v>
      </c>
      <c r="K5" s="35" t="s">
        <v>674</v>
      </c>
      <c r="L5" s="35" t="s">
        <v>675</v>
      </c>
      <c r="M5" s="35"/>
    </row>
    <row r="6" spans="2:13" ht="21" thickBot="1">
      <c r="B6" s="81" t="s">
        <v>46</v>
      </c>
      <c r="C6" s="81" t="s">
        <v>46</v>
      </c>
      <c r="D6" s="81" t="s">
        <v>46</v>
      </c>
      <c r="E6" s="81" t="s">
        <v>46</v>
      </c>
      <c r="F6" s="81" t="s">
        <v>46</v>
      </c>
      <c r="G6" s="81" t="s">
        <v>46</v>
      </c>
      <c r="H6" s="81" t="s">
        <v>1054</v>
      </c>
      <c r="I6" s="81" t="s">
        <v>1054</v>
      </c>
      <c r="J6" s="81" t="s">
        <v>116</v>
      </c>
      <c r="K6" s="81" t="s">
        <v>116</v>
      </c>
      <c r="L6" s="81" t="s">
        <v>46</v>
      </c>
      <c r="M6" s="81"/>
    </row>
    <row r="7" spans="2:13" ht="21" thickTop="1">
      <c r="B7" s="140" t="s">
        <v>1026</v>
      </c>
      <c r="C7" s="134" t="s">
        <v>103</v>
      </c>
      <c r="D7" s="206" t="s">
        <v>1255</v>
      </c>
      <c r="E7" s="206">
        <v>15</v>
      </c>
      <c r="F7" s="206">
        <v>0</v>
      </c>
      <c r="G7" s="140" t="s">
        <v>1027</v>
      </c>
      <c r="H7" s="206">
        <v>1.6950000000000001</v>
      </c>
      <c r="I7" s="206">
        <v>1.6950000000000001</v>
      </c>
      <c r="J7" s="206">
        <v>128.54669117765229</v>
      </c>
      <c r="K7" s="206">
        <v>16.301557051223895</v>
      </c>
      <c r="L7" s="206">
        <v>0.3102623243021736</v>
      </c>
      <c r="M7" s="206"/>
    </row>
    <row r="8" spans="2:13">
      <c r="B8" s="134" t="s">
        <v>1039</v>
      </c>
      <c r="C8" s="134" t="s">
        <v>102</v>
      </c>
      <c r="D8" s="209">
        <v>15</v>
      </c>
      <c r="E8" s="209">
        <v>8</v>
      </c>
      <c r="F8" s="209">
        <v>7</v>
      </c>
      <c r="G8" s="134" t="s">
        <v>1028</v>
      </c>
      <c r="H8" s="209">
        <v>2.2050000000000001</v>
      </c>
      <c r="I8" s="209">
        <v>1.1759999999999999</v>
      </c>
      <c r="J8" s="209">
        <v>98.144577856034871</v>
      </c>
      <c r="K8" s="209">
        <v>13.020628525382756</v>
      </c>
      <c r="L8" s="209">
        <v>0.32222199749785485</v>
      </c>
      <c r="M8" s="209"/>
    </row>
    <row r="9" spans="2:13">
      <c r="B9" s="134" t="s">
        <v>1040</v>
      </c>
      <c r="C9" s="134" t="s">
        <v>102</v>
      </c>
      <c r="D9" s="209">
        <v>17</v>
      </c>
      <c r="E9" s="209">
        <v>10</v>
      </c>
      <c r="F9" s="209">
        <v>7</v>
      </c>
      <c r="G9" s="134" t="s">
        <v>1036</v>
      </c>
      <c r="H9" s="209">
        <v>2.4989999999999997</v>
      </c>
      <c r="I9" s="209">
        <v>1.47</v>
      </c>
      <c r="J9" s="209">
        <v>88.708836278420023</v>
      </c>
      <c r="K9" s="209">
        <v>11.959378110631844</v>
      </c>
      <c r="L9" s="209">
        <v>0.21741313156667993</v>
      </c>
      <c r="M9" s="209"/>
    </row>
    <row r="10" spans="2:13">
      <c r="B10" s="134" t="s">
        <v>1042</v>
      </c>
      <c r="C10" s="134" t="s">
        <v>102</v>
      </c>
      <c r="D10" s="209">
        <v>12</v>
      </c>
      <c r="E10" s="209">
        <v>8</v>
      </c>
      <c r="F10" s="209">
        <v>4</v>
      </c>
      <c r="G10" s="134" t="s">
        <v>1029</v>
      </c>
      <c r="H10" s="209">
        <v>1.7639999999999998</v>
      </c>
      <c r="I10" s="209">
        <v>1.1759999999999999</v>
      </c>
      <c r="J10" s="209">
        <v>85.903385282820111</v>
      </c>
      <c r="K10" s="209">
        <v>15.275785656728447</v>
      </c>
      <c r="L10" s="209">
        <v>0.32217766505946849</v>
      </c>
      <c r="M10" s="209"/>
    </row>
    <row r="11" spans="2:13">
      <c r="B11" s="134" t="s">
        <v>1043</v>
      </c>
      <c r="C11" s="134" t="s">
        <v>102</v>
      </c>
      <c r="D11" s="209">
        <v>14</v>
      </c>
      <c r="E11" s="209">
        <v>10</v>
      </c>
      <c r="F11" s="209">
        <v>4</v>
      </c>
      <c r="G11" s="134" t="s">
        <v>1035</v>
      </c>
      <c r="H11" s="209">
        <v>2.0579999999999998</v>
      </c>
      <c r="I11" s="209">
        <v>1.47</v>
      </c>
      <c r="J11" s="209">
        <v>76.171783392281426</v>
      </c>
      <c r="K11" s="209">
        <v>13.664959134338668</v>
      </c>
      <c r="L11" s="209">
        <v>0.2138972933390928</v>
      </c>
      <c r="M11" s="209"/>
    </row>
    <row r="12" spans="2:13">
      <c r="B12" s="134" t="s">
        <v>1045</v>
      </c>
      <c r="C12" s="134" t="s">
        <v>102</v>
      </c>
      <c r="D12" s="209">
        <v>8</v>
      </c>
      <c r="E12" s="209">
        <v>8</v>
      </c>
      <c r="F12" s="209">
        <v>0</v>
      </c>
      <c r="G12" s="134" t="s">
        <v>1030</v>
      </c>
      <c r="H12" s="209">
        <v>1.1759999999999999</v>
      </c>
      <c r="I12" s="209">
        <v>1.1759999999999999</v>
      </c>
      <c r="J12" s="209">
        <v>85.052339273528418</v>
      </c>
      <c r="K12" s="209">
        <v>12.456839242546334</v>
      </c>
      <c r="L12" s="209">
        <v>0.21626661808150291</v>
      </c>
      <c r="M12" s="209"/>
    </row>
    <row r="13" spans="2:13">
      <c r="B13" s="134" t="s">
        <v>1046</v>
      </c>
      <c r="C13" s="134" t="s">
        <v>102</v>
      </c>
      <c r="D13" s="209">
        <v>5</v>
      </c>
      <c r="E13" s="209">
        <v>5</v>
      </c>
      <c r="F13" s="209">
        <v>0</v>
      </c>
      <c r="G13" s="134" t="s">
        <v>1032</v>
      </c>
      <c r="H13" s="209">
        <v>0.73499999999999999</v>
      </c>
      <c r="I13" s="209">
        <v>0.73499999999999999</v>
      </c>
      <c r="J13" s="209">
        <v>92.370558215228073</v>
      </c>
      <c r="K13" s="209">
        <v>3.9999999999999996</v>
      </c>
      <c r="L13" s="209">
        <v>4.5751633986928116E-2</v>
      </c>
      <c r="M13" s="209"/>
    </row>
    <row r="14" spans="2:13">
      <c r="B14" s="134" t="s">
        <v>1047</v>
      </c>
      <c r="C14" s="134" t="s">
        <v>102</v>
      </c>
      <c r="D14" s="209">
        <v>4</v>
      </c>
      <c r="E14" s="209">
        <v>4</v>
      </c>
      <c r="F14" s="209">
        <v>0</v>
      </c>
      <c r="G14" s="134" t="s">
        <v>1031</v>
      </c>
      <c r="H14" s="209">
        <v>0.58799999999999997</v>
      </c>
      <c r="I14" s="209">
        <v>0.58799999999999997</v>
      </c>
      <c r="J14" s="209">
        <v>78.504487918393622</v>
      </c>
      <c r="K14" s="209">
        <v>3.9999999999999996</v>
      </c>
      <c r="L14" s="209">
        <v>3.766816143497758E-2</v>
      </c>
      <c r="M14" s="209"/>
    </row>
    <row r="15" spans="2:13">
      <c r="B15" s="134" t="s">
        <v>1048</v>
      </c>
      <c r="C15" s="134" t="s">
        <v>102</v>
      </c>
      <c r="D15" s="209">
        <v>16</v>
      </c>
      <c r="E15" s="209">
        <v>10</v>
      </c>
      <c r="F15" s="209">
        <v>6</v>
      </c>
      <c r="G15" s="134" t="s">
        <v>1033</v>
      </c>
      <c r="H15" s="209">
        <v>2.3519999999999999</v>
      </c>
      <c r="I15" s="209">
        <v>1.47</v>
      </c>
      <c r="J15" s="209">
        <v>96.444703565710427</v>
      </c>
      <c r="K15" s="209">
        <v>10.342629431909753</v>
      </c>
      <c r="L15" s="209">
        <v>0.2012550987364857</v>
      </c>
      <c r="M15" s="209"/>
    </row>
    <row r="16" spans="2:13">
      <c r="B16" s="134" t="s">
        <v>1049</v>
      </c>
      <c r="C16" s="134" t="s">
        <v>102</v>
      </c>
      <c r="D16" s="209">
        <v>16</v>
      </c>
      <c r="E16" s="209">
        <v>12</v>
      </c>
      <c r="F16" s="209">
        <v>4</v>
      </c>
      <c r="G16" s="134" t="s">
        <v>1034</v>
      </c>
      <c r="H16" s="209">
        <v>2.3519999999999999</v>
      </c>
      <c r="I16" s="209">
        <v>1.7639999999999998</v>
      </c>
      <c r="J16" s="209">
        <v>88.05948027706377</v>
      </c>
      <c r="K16" s="209">
        <v>10.342629431909753</v>
      </c>
      <c r="L16" s="209">
        <v>0.16943724529910401</v>
      </c>
      <c r="M16" s="209"/>
    </row>
    <row r="17" spans="2:13">
      <c r="B17" s="134" t="s">
        <v>557</v>
      </c>
      <c r="C17" s="134" t="s">
        <v>102</v>
      </c>
      <c r="D17" s="209">
        <v>8</v>
      </c>
      <c r="E17" s="209">
        <v>6</v>
      </c>
      <c r="F17" s="209">
        <v>2</v>
      </c>
      <c r="G17" s="134" t="s">
        <v>1037</v>
      </c>
      <c r="H17" s="209">
        <v>1.1759999999999999</v>
      </c>
      <c r="I17" s="209">
        <v>0.8819999999999999</v>
      </c>
      <c r="J17" s="209">
        <v>85.052339273528418</v>
      </c>
      <c r="K17" s="209">
        <v>12.456839242546334</v>
      </c>
      <c r="L17" s="209">
        <v>0.21626661808150291</v>
      </c>
      <c r="M17" s="209"/>
    </row>
    <row r="18" spans="2:13">
      <c r="B18" s="134" t="s">
        <v>1050</v>
      </c>
      <c r="C18" s="134" t="s">
        <v>102</v>
      </c>
      <c r="D18" s="209">
        <v>7</v>
      </c>
      <c r="E18" s="209">
        <v>7</v>
      </c>
      <c r="F18" s="209">
        <v>0</v>
      </c>
      <c r="G18" s="134" t="s">
        <v>1038</v>
      </c>
      <c r="H18" s="209">
        <v>1.0289999999999999</v>
      </c>
      <c r="I18" s="209">
        <v>1.0289999999999999</v>
      </c>
      <c r="J18" s="209">
        <v>76.171783392281398</v>
      </c>
      <c r="K18" s="209">
        <v>13.664959134338668</v>
      </c>
      <c r="L18" s="209">
        <v>0.21389729333909271</v>
      </c>
      <c r="M18" s="209"/>
    </row>
    <row r="19" spans="2:13">
      <c r="B19" s="134" t="s">
        <v>1051</v>
      </c>
      <c r="C19" s="134" t="s">
        <v>102</v>
      </c>
      <c r="D19" s="209">
        <v>7</v>
      </c>
      <c r="E19" s="209">
        <v>7</v>
      </c>
      <c r="F19" s="209">
        <v>0</v>
      </c>
      <c r="G19" s="134" t="s">
        <v>1038</v>
      </c>
      <c r="H19" s="209">
        <v>1.0289999999999999</v>
      </c>
      <c r="I19" s="209">
        <v>1.0289999999999999</v>
      </c>
      <c r="J19" s="209">
        <v>76.171783392281398</v>
      </c>
      <c r="K19" s="209">
        <v>13.664959134338668</v>
      </c>
      <c r="L19" s="209">
        <v>0.21389729333909271</v>
      </c>
      <c r="M19" s="209"/>
    </row>
    <row r="20" spans="2:13">
      <c r="B20" s="134" t="s">
        <v>1052</v>
      </c>
      <c r="C20" s="134" t="s">
        <v>102</v>
      </c>
      <c r="D20" s="209">
        <v>7</v>
      </c>
      <c r="E20" s="209">
        <v>7</v>
      </c>
      <c r="F20" s="209">
        <v>0</v>
      </c>
      <c r="G20" s="134" t="s">
        <v>1038</v>
      </c>
      <c r="H20" s="209">
        <v>1.0289999999999999</v>
      </c>
      <c r="I20" s="209">
        <v>1.0289999999999999</v>
      </c>
      <c r="J20" s="209">
        <v>76.171783392281398</v>
      </c>
      <c r="K20" s="209">
        <v>13.664959134338668</v>
      </c>
      <c r="L20" s="209">
        <v>0.21389729333909271</v>
      </c>
      <c r="M20" s="209"/>
    </row>
    <row r="21" spans="2:13">
      <c r="B21" s="134" t="s">
        <v>1053</v>
      </c>
      <c r="C21" s="134" t="s">
        <v>102</v>
      </c>
      <c r="D21" s="209">
        <v>5</v>
      </c>
      <c r="E21" s="209">
        <v>5</v>
      </c>
      <c r="F21" s="209">
        <v>0</v>
      </c>
      <c r="G21" s="134" t="s">
        <v>1254</v>
      </c>
      <c r="H21" s="209">
        <v>0.73499999999999999</v>
      </c>
      <c r="I21" s="209">
        <v>0.73499999999999999</v>
      </c>
      <c r="J21" s="209">
        <v>120.04870179798367</v>
      </c>
      <c r="K21" s="209">
        <v>3.9999999999999996</v>
      </c>
      <c r="L21" s="209">
        <v>8.0152671755725172E-2</v>
      </c>
      <c r="M21" s="209"/>
    </row>
    <row r="22" spans="2:13">
      <c r="B22" s="134"/>
      <c r="C22" s="134"/>
      <c r="D22" s="209"/>
      <c r="E22" s="209"/>
      <c r="F22" s="209"/>
      <c r="G22" s="134"/>
      <c r="H22" s="209"/>
      <c r="I22" s="209"/>
      <c r="J22" s="209"/>
      <c r="K22" s="209"/>
      <c r="L22" s="209"/>
      <c r="M22" s="209"/>
    </row>
    <row r="23" spans="2:13">
      <c r="B23" s="134"/>
      <c r="C23" s="134"/>
      <c r="D23" s="209"/>
      <c r="E23" s="209"/>
      <c r="F23" s="209"/>
      <c r="G23" s="134"/>
      <c r="H23" s="209"/>
      <c r="I23" s="209"/>
      <c r="J23" s="209"/>
      <c r="K23" s="209"/>
      <c r="L23" s="209"/>
      <c r="M23" s="209"/>
    </row>
    <row r="24" spans="2:13">
      <c r="B24" s="134"/>
      <c r="C24" s="134"/>
      <c r="D24" s="209"/>
      <c r="E24" s="209"/>
      <c r="F24" s="209"/>
      <c r="G24" s="134"/>
      <c r="H24" s="209"/>
      <c r="I24" s="209"/>
      <c r="J24" s="209"/>
      <c r="K24" s="209"/>
      <c r="L24" s="209"/>
      <c r="M24" s="209"/>
    </row>
    <row r="25" spans="2:13">
      <c r="B25" s="134"/>
      <c r="C25" s="134"/>
      <c r="D25" s="209"/>
      <c r="E25" s="209"/>
      <c r="F25" s="209"/>
      <c r="G25" s="134"/>
      <c r="H25" s="209"/>
      <c r="I25" s="209"/>
      <c r="J25" s="209"/>
      <c r="K25" s="209"/>
      <c r="L25" s="209"/>
      <c r="M25" s="209"/>
    </row>
    <row r="26" spans="2:13">
      <c r="B26" s="134"/>
      <c r="C26" s="134"/>
      <c r="D26" s="209"/>
      <c r="E26" s="209"/>
      <c r="F26" s="209"/>
      <c r="G26" s="134"/>
      <c r="H26" s="209"/>
      <c r="I26" s="209"/>
      <c r="J26" s="209"/>
      <c r="K26" s="209"/>
      <c r="L26" s="209"/>
      <c r="M26" s="209"/>
    </row>
    <row r="27" spans="2:13">
      <c r="B27" s="134"/>
      <c r="C27" s="134"/>
      <c r="D27" s="209"/>
      <c r="E27" s="209"/>
      <c r="F27" s="209"/>
      <c r="G27" s="134"/>
      <c r="H27" s="209"/>
      <c r="I27" s="209"/>
      <c r="J27" s="209"/>
      <c r="K27" s="209"/>
      <c r="L27" s="209"/>
      <c r="M27" s="209"/>
    </row>
    <row r="28" spans="2:13">
      <c r="B28" s="134"/>
      <c r="C28" s="134"/>
      <c r="D28" s="209"/>
      <c r="E28" s="209"/>
      <c r="F28" s="209"/>
      <c r="G28" s="134"/>
      <c r="H28" s="209"/>
      <c r="I28" s="209"/>
      <c r="J28" s="209"/>
      <c r="K28" s="209"/>
      <c r="L28" s="209"/>
      <c r="M28" s="209"/>
    </row>
    <row r="29" spans="2:13">
      <c r="B29" s="134"/>
      <c r="C29" s="134"/>
      <c r="D29" s="209"/>
      <c r="E29" s="209"/>
      <c r="F29" s="209"/>
      <c r="G29" s="134"/>
      <c r="H29" s="209"/>
      <c r="I29" s="209"/>
      <c r="J29" s="209"/>
      <c r="K29" s="209"/>
      <c r="L29" s="209"/>
      <c r="M29" s="209"/>
    </row>
  </sheetData>
  <phoneticPr fontId="3"/>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7" tint="0.59999389629810485"/>
  </sheetPr>
  <dimension ref="B1:AA22"/>
  <sheetViews>
    <sheetView topLeftCell="A2" zoomScale="125" zoomScaleNormal="90" workbookViewId="0">
      <selection activeCell="R15" sqref="R15"/>
    </sheetView>
  </sheetViews>
  <sheetFormatPr baseColWidth="10" defaultColWidth="8.7109375" defaultRowHeight="20"/>
  <cols>
    <col min="2" max="3" width="8.7109375" customWidth="1"/>
    <col min="4" max="4" width="9.7109375" customWidth="1"/>
    <col min="5" max="5" width="8.7109375" bestFit="1" customWidth="1"/>
    <col min="9" max="9" width="8.7109375" style="144"/>
    <col min="17" max="18" width="8.7109375" customWidth="1"/>
    <col min="19" max="19" width="86.7109375" customWidth="1"/>
    <col min="20" max="22" width="26.7109375" customWidth="1"/>
  </cols>
  <sheetData>
    <row r="1" spans="2:27" ht="21" thickBot="1">
      <c r="G1" t="s">
        <v>1252</v>
      </c>
    </row>
    <row r="2" spans="2:27" ht="20" customHeight="1">
      <c r="B2" s="10" t="s">
        <v>173</v>
      </c>
      <c r="C2" s="10" t="s">
        <v>174</v>
      </c>
      <c r="D2" s="10" t="s">
        <v>175</v>
      </c>
      <c r="E2" s="10" t="s">
        <v>176</v>
      </c>
      <c r="G2" s="282" t="s">
        <v>1253</v>
      </c>
      <c r="H2" s="283"/>
      <c r="I2" s="283"/>
      <c r="J2" s="283"/>
      <c r="K2" s="283"/>
      <c r="L2" s="283"/>
      <c r="M2" s="283"/>
      <c r="N2" s="283"/>
      <c r="O2" s="283"/>
      <c r="P2" s="284"/>
      <c r="Q2" s="80"/>
    </row>
    <row r="3" spans="2:27">
      <c r="B3" s="1" t="s">
        <v>177</v>
      </c>
      <c r="C3" s="22">
        <v>-10</v>
      </c>
      <c r="D3" s="22">
        <v>20</v>
      </c>
      <c r="E3" s="22">
        <v>0.1</v>
      </c>
      <c r="G3" s="285"/>
      <c r="H3" s="286"/>
      <c r="I3" s="286"/>
      <c r="J3" s="286"/>
      <c r="K3" s="286"/>
      <c r="L3" s="286"/>
      <c r="M3" s="286"/>
      <c r="N3" s="286"/>
      <c r="O3" s="286"/>
      <c r="P3" s="287"/>
      <c r="Q3" s="80"/>
    </row>
    <row r="4" spans="2:27">
      <c r="B4" s="1" t="s">
        <v>178</v>
      </c>
      <c r="C4" s="143">
        <v>100000</v>
      </c>
      <c r="D4" s="143">
        <v>1000000</v>
      </c>
      <c r="E4" s="143">
        <v>20000</v>
      </c>
      <c r="G4" s="285"/>
      <c r="H4" s="286"/>
      <c r="I4" s="286"/>
      <c r="J4" s="286"/>
      <c r="K4" s="286"/>
      <c r="L4" s="286"/>
      <c r="M4" s="286"/>
      <c r="N4" s="286"/>
      <c r="O4" s="286"/>
      <c r="P4" s="287"/>
      <c r="Q4" s="80"/>
    </row>
    <row r="5" spans="2:27">
      <c r="F5" s="3"/>
      <c r="G5" s="285"/>
      <c r="H5" s="286"/>
      <c r="I5" s="286"/>
      <c r="J5" s="286"/>
      <c r="K5" s="286"/>
      <c r="L5" s="286"/>
      <c r="M5" s="286"/>
      <c r="N5" s="286"/>
      <c r="O5" s="286"/>
      <c r="P5" s="287"/>
      <c r="Q5" s="80"/>
    </row>
    <row r="6" spans="2:27">
      <c r="G6" s="285"/>
      <c r="H6" s="286"/>
      <c r="I6" s="286"/>
      <c r="J6" s="286"/>
      <c r="K6" s="286"/>
      <c r="L6" s="286"/>
      <c r="M6" s="286"/>
      <c r="N6" s="286"/>
      <c r="O6" s="286"/>
      <c r="P6" s="287"/>
      <c r="Q6" s="80"/>
    </row>
    <row r="7" spans="2:27">
      <c r="G7" s="285"/>
      <c r="H7" s="286"/>
      <c r="I7" s="286"/>
      <c r="J7" s="286"/>
      <c r="K7" s="286"/>
      <c r="L7" s="286"/>
      <c r="M7" s="286"/>
      <c r="N7" s="286"/>
      <c r="O7" s="286"/>
      <c r="P7" s="287"/>
      <c r="Q7" s="80"/>
    </row>
    <row r="8" spans="2:27" ht="21" thickBot="1">
      <c r="G8" s="288"/>
      <c r="H8" s="289"/>
      <c r="I8" s="289"/>
      <c r="J8" s="289"/>
      <c r="K8" s="289"/>
      <c r="L8" s="289"/>
      <c r="M8" s="289"/>
      <c r="N8" s="289"/>
      <c r="O8" s="289"/>
      <c r="P8" s="290"/>
    </row>
    <row r="10" spans="2:27">
      <c r="C10" t="s">
        <v>172</v>
      </c>
      <c r="I10" s="144" t="s">
        <v>171</v>
      </c>
      <c r="S10" t="s">
        <v>405</v>
      </c>
      <c r="AA10" s="128"/>
    </row>
    <row r="11" spans="2:27">
      <c r="B11" s="40" t="s">
        <v>994</v>
      </c>
      <c r="C11" s="42" t="s">
        <v>995</v>
      </c>
      <c r="D11" s="38" t="s">
        <v>992</v>
      </c>
      <c r="E11" s="38" t="s">
        <v>160</v>
      </c>
      <c r="F11" s="38" t="s">
        <v>993</v>
      </c>
      <c r="G11" s="38" t="s">
        <v>1062</v>
      </c>
      <c r="H11" s="117" t="s">
        <v>996</v>
      </c>
      <c r="I11" s="145" t="s">
        <v>997</v>
      </c>
      <c r="J11" s="38" t="s">
        <v>998</v>
      </c>
      <c r="K11" s="114" t="s">
        <v>999</v>
      </c>
      <c r="L11" s="114" t="s">
        <v>1011</v>
      </c>
      <c r="M11" s="38" t="s">
        <v>1000</v>
      </c>
      <c r="N11" s="38" t="s">
        <v>1001</v>
      </c>
      <c r="O11" s="114" t="s">
        <v>1002</v>
      </c>
      <c r="P11" s="38" t="s">
        <v>1003</v>
      </c>
      <c r="Q11" s="38" t="s">
        <v>1004</v>
      </c>
      <c r="R11" s="40" t="s">
        <v>1005</v>
      </c>
      <c r="S11" s="129" t="s">
        <v>1006</v>
      </c>
      <c r="T11" s="38" t="s">
        <v>912</v>
      </c>
      <c r="U11" s="121" t="s">
        <v>911</v>
      </c>
      <c r="V11" s="121" t="s">
        <v>913</v>
      </c>
      <c r="W11" s="121"/>
      <c r="X11" s="121"/>
      <c r="Y11" s="121"/>
      <c r="Z11" s="114"/>
      <c r="AA11" s="128"/>
    </row>
    <row r="12" spans="2:27">
      <c r="B12" s="40"/>
      <c r="C12" s="42" t="s">
        <v>132</v>
      </c>
      <c r="D12" s="38" t="s">
        <v>46</v>
      </c>
      <c r="E12" s="38" t="s">
        <v>1007</v>
      </c>
      <c r="F12" s="38" t="s">
        <v>46</v>
      </c>
      <c r="G12" s="38" t="s">
        <v>46</v>
      </c>
      <c r="H12" s="117" t="s">
        <v>46</v>
      </c>
      <c r="I12" s="145" t="s">
        <v>178</v>
      </c>
      <c r="J12" s="38" t="s">
        <v>170</v>
      </c>
      <c r="K12" s="114" t="s">
        <v>1008</v>
      </c>
      <c r="L12" s="114" t="s">
        <v>177</v>
      </c>
      <c r="M12" s="38" t="s">
        <v>177</v>
      </c>
      <c r="N12" s="38" t="s">
        <v>1009</v>
      </c>
      <c r="O12" s="114" t="s">
        <v>1010</v>
      </c>
      <c r="P12" s="38" t="s">
        <v>166</v>
      </c>
      <c r="Q12" s="38" t="s">
        <v>163</v>
      </c>
      <c r="R12" s="40" t="s">
        <v>164</v>
      </c>
      <c r="S12" s="42"/>
      <c r="T12" s="38"/>
      <c r="U12" s="121"/>
      <c r="V12" s="121"/>
      <c r="W12" s="121"/>
      <c r="X12" s="121"/>
      <c r="Y12" s="121"/>
      <c r="Z12" s="114"/>
      <c r="AA12" s="128"/>
    </row>
    <row r="13" spans="2:27" ht="19" customHeight="1" thickBot="1">
      <c r="B13" s="41"/>
      <c r="C13" s="43" t="s">
        <v>157</v>
      </c>
      <c r="D13" s="39" t="s">
        <v>157</v>
      </c>
      <c r="E13" s="39" t="s">
        <v>157</v>
      </c>
      <c r="F13" s="39" t="s">
        <v>157</v>
      </c>
      <c r="G13" s="39" t="s">
        <v>5</v>
      </c>
      <c r="H13" s="118" t="s">
        <v>318</v>
      </c>
      <c r="I13" s="146" t="s">
        <v>46</v>
      </c>
      <c r="J13" s="39" t="s">
        <v>46</v>
      </c>
      <c r="K13" s="115" t="s">
        <v>46</v>
      </c>
      <c r="L13" s="115" t="s">
        <v>318</v>
      </c>
      <c r="M13" s="39" t="s">
        <v>318</v>
      </c>
      <c r="N13" s="39" t="s">
        <v>46</v>
      </c>
      <c r="O13" s="115" t="s">
        <v>46</v>
      </c>
      <c r="P13" s="39" t="s">
        <v>46</v>
      </c>
      <c r="Q13" s="39" t="s">
        <v>157</v>
      </c>
      <c r="R13" s="41" t="s">
        <v>162</v>
      </c>
      <c r="S13" s="43"/>
      <c r="T13" s="39"/>
      <c r="U13" s="122"/>
      <c r="V13" s="122"/>
      <c r="W13" s="122"/>
      <c r="X13" s="122"/>
      <c r="Y13" s="122"/>
      <c r="Z13" s="115"/>
      <c r="AA13" s="128"/>
    </row>
    <row r="14" spans="2:27" ht="108" customHeight="1" thickTop="1">
      <c r="B14" s="119" t="s">
        <v>676</v>
      </c>
      <c r="C14" s="205">
        <v>14.080387494903704</v>
      </c>
      <c r="D14" s="206">
        <v>32.9</v>
      </c>
      <c r="E14" s="206">
        <v>5.0922297489936863</v>
      </c>
      <c r="F14" s="206">
        <v>47.300000000000004</v>
      </c>
      <c r="G14" s="206">
        <v>1</v>
      </c>
      <c r="H14" s="207">
        <v>0.1</v>
      </c>
      <c r="I14" s="147">
        <v>700000</v>
      </c>
      <c r="J14" s="206">
        <v>1.6730999999999978</v>
      </c>
      <c r="K14" s="205">
        <v>145.07371007370918</v>
      </c>
      <c r="L14" s="205">
        <v>4.9999999999997868</v>
      </c>
      <c r="M14" s="140">
        <v>5</v>
      </c>
      <c r="N14" s="206">
        <v>1.1809000000000001</v>
      </c>
      <c r="O14" s="206">
        <v>145.07371007371009</v>
      </c>
      <c r="P14" s="206">
        <v>-0.13780000000000001</v>
      </c>
      <c r="Q14" s="206">
        <v>35.85</v>
      </c>
      <c r="R14" s="211">
        <v>55.789999999999992</v>
      </c>
      <c r="S14" s="126"/>
      <c r="T14" s="51"/>
      <c r="U14" s="123"/>
      <c r="V14" s="123"/>
      <c r="W14" s="123"/>
      <c r="X14" s="123"/>
      <c r="Y14" s="123"/>
      <c r="Z14" s="124"/>
      <c r="AA14" s="128"/>
    </row>
    <row r="15" spans="2:27" ht="108" customHeight="1">
      <c r="B15" s="120" t="s">
        <v>677</v>
      </c>
      <c r="C15" s="208">
        <v>13.227287992011144</v>
      </c>
      <c r="D15" s="209">
        <v>30.8</v>
      </c>
      <c r="E15" s="209">
        <v>3.5061503119141224</v>
      </c>
      <c r="F15" s="209">
        <v>44</v>
      </c>
      <c r="G15" s="209">
        <v>1</v>
      </c>
      <c r="H15" s="210">
        <v>0.1</v>
      </c>
      <c r="I15" s="147">
        <v>400000</v>
      </c>
      <c r="J15" s="209">
        <v>1.5118999999999982</v>
      </c>
      <c r="K15" s="208">
        <v>100.1873048907385</v>
      </c>
      <c r="L15" s="208">
        <v>5.0999999999997847</v>
      </c>
      <c r="M15" s="134">
        <v>5</v>
      </c>
      <c r="N15" s="209">
        <v>0.95250000000000001</v>
      </c>
      <c r="O15" s="209">
        <v>100.05252100840336</v>
      </c>
      <c r="P15" s="209">
        <v>-8.0600000000000005E-2</v>
      </c>
      <c r="Q15" s="209">
        <v>32.72</v>
      </c>
      <c r="R15" s="212">
        <v>50.23</v>
      </c>
      <c r="S15" s="127"/>
      <c r="T15" s="35"/>
      <c r="U15" s="125"/>
      <c r="V15" s="125"/>
      <c r="W15" s="125"/>
      <c r="X15" s="125"/>
      <c r="Y15" s="125"/>
      <c r="Z15" s="116"/>
      <c r="AA15" s="128"/>
    </row>
    <row r="16" spans="2:27" ht="108" customHeight="1">
      <c r="B16" s="120" t="s">
        <v>1012</v>
      </c>
      <c r="C16" s="208">
        <v>9.0025847148535583</v>
      </c>
      <c r="D16" s="209">
        <v>30</v>
      </c>
      <c r="E16" s="209">
        <v>1.0408340855860843E-15</v>
      </c>
      <c r="F16" s="209">
        <v>39</v>
      </c>
      <c r="G16" s="209">
        <v>1</v>
      </c>
      <c r="H16" s="210">
        <v>0.1</v>
      </c>
      <c r="I16" s="147">
        <v>600000</v>
      </c>
      <c r="J16" s="209">
        <v>1.0999999999999988</v>
      </c>
      <c r="K16" s="208">
        <v>56.968085106382674</v>
      </c>
      <c r="L16" s="208">
        <v>5.6999999999997719</v>
      </c>
      <c r="M16" s="140">
        <v>10</v>
      </c>
      <c r="N16" s="209">
        <v>1.0246999999999999</v>
      </c>
      <c r="O16" s="209">
        <v>41.46904087414002</v>
      </c>
      <c r="P16" s="209">
        <v>1.21E-2</v>
      </c>
      <c r="Q16" s="209">
        <v>22.91</v>
      </c>
      <c r="R16" s="212">
        <v>1.4000000000000001</v>
      </c>
      <c r="S16" s="127"/>
      <c r="T16" s="35"/>
      <c r="U16" s="125"/>
      <c r="V16" s="125"/>
      <c r="W16" s="125"/>
      <c r="X16" s="125"/>
      <c r="Y16" s="125"/>
      <c r="Z16" s="116"/>
    </row>
    <row r="17" spans="2:26" ht="108" customHeight="1">
      <c r="B17" s="120" t="s">
        <v>1013</v>
      </c>
      <c r="C17" s="208">
        <v>12.003448079787852</v>
      </c>
      <c r="D17" s="209">
        <v>30</v>
      </c>
      <c r="E17" s="209">
        <v>1.3877787807814457E-15</v>
      </c>
      <c r="F17" s="209">
        <v>42.4</v>
      </c>
      <c r="G17" s="209">
        <v>1</v>
      </c>
      <c r="H17" s="210">
        <v>0.1</v>
      </c>
      <c r="I17" s="147">
        <v>600000</v>
      </c>
      <c r="J17" s="209">
        <v>1.2681999999999991</v>
      </c>
      <c r="K17" s="208">
        <v>64.995773457311657</v>
      </c>
      <c r="L17" s="208">
        <v>6.4999999999997549</v>
      </c>
      <c r="M17" s="134">
        <v>10</v>
      </c>
      <c r="N17" s="209">
        <v>1.052</v>
      </c>
      <c r="O17" s="209">
        <v>57.865786578657861</v>
      </c>
      <c r="P17" s="209">
        <v>9.7000000000000003E-3</v>
      </c>
      <c r="Q17" s="209">
        <v>22.97</v>
      </c>
      <c r="R17" s="212">
        <v>3.0700000000000003</v>
      </c>
      <c r="S17" s="127"/>
      <c r="T17" s="35"/>
      <c r="U17" s="125"/>
      <c r="V17" s="125"/>
      <c r="W17" s="125"/>
      <c r="X17" s="125"/>
      <c r="Y17" s="125"/>
      <c r="Z17" s="116"/>
    </row>
    <row r="18" spans="2:26" ht="108" customHeight="1">
      <c r="B18" s="120"/>
      <c r="C18" s="208"/>
      <c r="D18" s="209"/>
      <c r="E18" s="209"/>
      <c r="F18" s="209"/>
      <c r="G18" s="209"/>
      <c r="H18" s="210"/>
      <c r="I18" s="148"/>
      <c r="J18" s="209"/>
      <c r="K18" s="208"/>
      <c r="L18" s="208"/>
      <c r="M18" s="134"/>
      <c r="N18" s="209"/>
      <c r="O18" s="209"/>
      <c r="P18" s="209"/>
      <c r="Q18" s="209"/>
      <c r="R18" s="212"/>
      <c r="S18" s="127"/>
      <c r="T18" s="35"/>
      <c r="U18" s="125"/>
      <c r="V18" s="125"/>
      <c r="W18" s="125"/>
      <c r="X18" s="125"/>
      <c r="Y18" s="125"/>
      <c r="Z18" s="116"/>
    </row>
    <row r="19" spans="2:26" ht="108" customHeight="1"/>
    <row r="20" spans="2:26" ht="108" customHeight="1"/>
    <row r="21" spans="2:26" ht="108" customHeight="1"/>
    <row r="22" spans="2:26" ht="108" customHeight="1"/>
  </sheetData>
  <mergeCells count="1">
    <mergeCell ref="G2:P8"/>
  </mergeCells>
  <phoneticPr fontId="3"/>
  <dataValidations count="1">
    <dataValidation type="list" allowBlank="1" showInputMessage="1" showErrorMessage="1" sqref="L12" xr:uid="{4AA66253-9EE5-BC43-83A9-CCE52606DC3A}">
      <formula1>"Cl,α"</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topLeftCell="A3" zoomScale="113" zoomScaleNormal="60" workbookViewId="0">
      <selection activeCell="J30" sqref="J30"/>
    </sheetView>
  </sheetViews>
  <sheetFormatPr baseColWidth="10" defaultColWidth="8.7109375" defaultRowHeight="20"/>
  <cols>
    <col min="4" max="4" width="10.28515625" bestFit="1" customWidth="1"/>
  </cols>
  <sheetData>
    <row r="2" spans="2:23">
      <c r="B2" s="3" t="s">
        <v>58</v>
      </c>
      <c r="C2" s="3"/>
      <c r="D2" s="3"/>
      <c r="E2" s="3"/>
      <c r="F2" s="26"/>
      <c r="G2" s="26"/>
      <c r="H2" s="26"/>
      <c r="I2" s="26"/>
      <c r="K2" s="3"/>
      <c r="L2" s="3" t="s">
        <v>134</v>
      </c>
      <c r="M2" s="3"/>
      <c r="N2" s="3"/>
      <c r="O2" s="3"/>
      <c r="P2" s="3"/>
      <c r="Q2" s="3"/>
      <c r="R2" s="3"/>
      <c r="S2" s="3"/>
      <c r="T2" s="3"/>
      <c r="U2" s="3"/>
      <c r="V2" s="3"/>
      <c r="W2" s="3"/>
    </row>
    <row r="3" spans="2:23">
      <c r="B3" s="10" t="s">
        <v>59</v>
      </c>
      <c r="C3" s="10" t="s">
        <v>60</v>
      </c>
      <c r="D3" s="10" t="s">
        <v>61</v>
      </c>
      <c r="E3" s="10" t="s">
        <v>62</v>
      </c>
      <c r="F3" s="254" t="s">
        <v>63</v>
      </c>
      <c r="G3" s="254"/>
      <c r="H3" s="254"/>
      <c r="I3" s="254"/>
      <c r="K3" s="3"/>
      <c r="L3" s="10" t="s">
        <v>59</v>
      </c>
      <c r="M3" s="10" t="s">
        <v>61</v>
      </c>
      <c r="N3" s="248" t="s">
        <v>63</v>
      </c>
      <c r="O3" s="249"/>
      <c r="P3" s="250"/>
    </row>
    <row r="4" spans="2:23">
      <c r="B4" s="1" t="s">
        <v>64</v>
      </c>
      <c r="C4" s="1" t="s">
        <v>65</v>
      </c>
      <c r="D4" s="1">
        <f>D11/(D12*D9)</f>
        <v>1.1643136152857254</v>
      </c>
      <c r="E4" s="1" t="s">
        <v>66</v>
      </c>
      <c r="F4" s="255" t="s">
        <v>67</v>
      </c>
      <c r="G4" s="252"/>
      <c r="H4" s="252"/>
      <c r="I4" s="253"/>
      <c r="K4" s="3" t="s">
        <v>615</v>
      </c>
      <c r="L4" s="1" t="s">
        <v>1246</v>
      </c>
      <c r="M4" s="22" t="s">
        <v>1129</v>
      </c>
      <c r="N4" s="280"/>
      <c r="O4" s="280"/>
      <c r="P4" s="280"/>
    </row>
    <row r="5" spans="2:23">
      <c r="B5" s="1" t="s">
        <v>68</v>
      </c>
      <c r="C5" s="1" t="s">
        <v>69</v>
      </c>
      <c r="D5" s="22">
        <v>9.7970000000000006</v>
      </c>
      <c r="E5" s="1" t="s">
        <v>70</v>
      </c>
      <c r="F5" s="255" t="s">
        <v>71</v>
      </c>
      <c r="G5" s="252"/>
      <c r="H5" s="252"/>
      <c r="I5" s="253"/>
      <c r="K5" s="3"/>
      <c r="L5" s="1" t="s">
        <v>1240</v>
      </c>
      <c r="M5" s="279" t="s">
        <v>876</v>
      </c>
      <c r="N5" s="280"/>
      <c r="O5" s="280"/>
      <c r="P5" s="280"/>
    </row>
    <row r="6" spans="2:23">
      <c r="B6" s="1" t="s">
        <v>72</v>
      </c>
      <c r="C6" s="1" t="s">
        <v>73</v>
      </c>
      <c r="D6" s="27">
        <f>(1.458*(10^-6)*(D9^(3/2)))/(D9+110.4)</f>
        <v>1.8608692424914869E-5</v>
      </c>
      <c r="E6" s="1" t="s">
        <v>74</v>
      </c>
      <c r="F6" s="251" t="s">
        <v>75</v>
      </c>
      <c r="G6" s="252"/>
      <c r="H6" s="252"/>
      <c r="I6" s="253"/>
      <c r="K6" s="3"/>
      <c r="L6" s="1" t="s">
        <v>1241</v>
      </c>
      <c r="M6" s="279" t="s">
        <v>876</v>
      </c>
      <c r="N6" s="280"/>
      <c r="O6" s="280"/>
      <c r="P6" s="280"/>
    </row>
    <row r="7" spans="2:23">
      <c r="B7" s="1" t="s">
        <v>76</v>
      </c>
      <c r="C7" s="1" t="s">
        <v>77</v>
      </c>
      <c r="D7" s="27">
        <f>D6/D4</f>
        <v>1.5982543002684247E-5</v>
      </c>
      <c r="E7" s="1" t="s">
        <v>78</v>
      </c>
      <c r="F7" s="251" t="s">
        <v>75</v>
      </c>
      <c r="G7" s="252"/>
      <c r="H7" s="252"/>
      <c r="I7" s="253"/>
      <c r="K7" s="3"/>
      <c r="L7" s="1" t="s">
        <v>1242</v>
      </c>
      <c r="M7" s="279" t="s">
        <v>876</v>
      </c>
      <c r="N7" s="280"/>
      <c r="O7" s="280"/>
      <c r="P7" s="280"/>
    </row>
    <row r="8" spans="2:23">
      <c r="B8" s="1" t="s">
        <v>79</v>
      </c>
      <c r="C8" s="1" t="s">
        <v>80</v>
      </c>
      <c r="D8" s="22">
        <v>30</v>
      </c>
      <c r="E8" s="1" t="s">
        <v>81</v>
      </c>
      <c r="F8" s="251"/>
      <c r="G8" s="252"/>
      <c r="H8" s="252"/>
      <c r="I8" s="253"/>
      <c r="K8" s="3" t="s">
        <v>1245</v>
      </c>
      <c r="L8" s="1" t="s">
        <v>1243</v>
      </c>
      <c r="M8" s="279" t="s">
        <v>874</v>
      </c>
      <c r="N8" s="280"/>
      <c r="O8" s="280"/>
      <c r="P8" s="280"/>
    </row>
    <row r="9" spans="2:23">
      <c r="B9" s="1"/>
      <c r="C9" s="1"/>
      <c r="D9" s="1">
        <f>273.15+D8</f>
        <v>303.14999999999998</v>
      </c>
      <c r="E9" s="1" t="s">
        <v>82</v>
      </c>
      <c r="F9" s="251"/>
      <c r="G9" s="252"/>
      <c r="H9" s="252"/>
      <c r="I9" s="253"/>
      <c r="K9" s="3"/>
      <c r="L9" s="1" t="s">
        <v>1244</v>
      </c>
      <c r="M9" s="22">
        <v>0.99999999999999989</v>
      </c>
      <c r="N9" s="280"/>
      <c r="O9" s="280"/>
      <c r="P9" s="280"/>
    </row>
    <row r="10" spans="2:23">
      <c r="B10" s="1" t="s">
        <v>83</v>
      </c>
      <c r="C10" s="1" t="s">
        <v>84</v>
      </c>
      <c r="D10" s="28">
        <v>1013</v>
      </c>
      <c r="E10" s="1" t="s">
        <v>85</v>
      </c>
      <c r="F10" s="251"/>
      <c r="G10" s="252"/>
      <c r="H10" s="252"/>
      <c r="I10" s="253"/>
      <c r="K10" s="3"/>
      <c r="L10" s="1"/>
      <c r="M10" s="28"/>
      <c r="N10" s="280"/>
      <c r="O10" s="280"/>
      <c r="P10" s="280"/>
    </row>
    <row r="11" spans="2:23">
      <c r="B11" s="1"/>
      <c r="C11" s="1"/>
      <c r="D11" s="29">
        <f>D10*100</f>
        <v>101300</v>
      </c>
      <c r="E11" s="1" t="s">
        <v>86</v>
      </c>
      <c r="F11" s="251"/>
      <c r="G11" s="252"/>
      <c r="H11" s="252"/>
      <c r="I11" s="253"/>
      <c r="K11" s="3"/>
      <c r="L11" s="1"/>
      <c r="M11" s="28"/>
      <c r="N11" s="280"/>
      <c r="O11" s="280"/>
      <c r="P11" s="280"/>
    </row>
    <row r="12" spans="2:23">
      <c r="B12" s="1" t="s">
        <v>87</v>
      </c>
      <c r="C12" s="1" t="s">
        <v>88</v>
      </c>
      <c r="D12" s="22">
        <v>287</v>
      </c>
      <c r="E12" s="1" t="s">
        <v>89</v>
      </c>
      <c r="F12" s="251" t="s">
        <v>75</v>
      </c>
      <c r="G12" s="252"/>
      <c r="H12" s="252"/>
      <c r="I12" s="253"/>
      <c r="K12" s="3"/>
      <c r="L12" s="1"/>
      <c r="M12" s="22"/>
      <c r="N12" s="280"/>
      <c r="O12" s="280"/>
      <c r="P12" s="280"/>
    </row>
    <row r="13" spans="2:23">
      <c r="B13" s="1" t="s">
        <v>90</v>
      </c>
      <c r="C13" s="1" t="s">
        <v>91</v>
      </c>
      <c r="D13" s="22">
        <v>1.4</v>
      </c>
      <c r="E13" s="1" t="s">
        <v>46</v>
      </c>
      <c r="F13" s="251" t="s">
        <v>75</v>
      </c>
      <c r="G13" s="252"/>
      <c r="H13" s="252"/>
      <c r="I13" s="253"/>
      <c r="K13" s="3"/>
      <c r="L13" s="1"/>
      <c r="M13" s="22"/>
      <c r="N13" s="280"/>
      <c r="O13" s="280"/>
      <c r="P13" s="280"/>
    </row>
    <row r="14" spans="2:23">
      <c r="B14" s="1" t="s">
        <v>92</v>
      </c>
      <c r="C14" s="1" t="s">
        <v>93</v>
      </c>
      <c r="D14" s="1">
        <f>SQRT(D13*D12*D9)</f>
        <v>349.00669048028288</v>
      </c>
      <c r="E14" s="1" t="s">
        <v>94</v>
      </c>
      <c r="F14" s="251" t="s">
        <v>75</v>
      </c>
      <c r="G14" s="252"/>
      <c r="H14" s="252"/>
      <c r="I14" s="253"/>
      <c r="K14" s="3"/>
      <c r="L14" s="1"/>
      <c r="M14" s="22"/>
      <c r="N14" s="280"/>
      <c r="O14" s="280"/>
      <c r="P14" s="280"/>
    </row>
    <row r="15" spans="2:23">
      <c r="B15" s="1" t="s">
        <v>95</v>
      </c>
      <c r="C15" s="1" t="s">
        <v>96</v>
      </c>
      <c r="D15" s="22">
        <v>0.4</v>
      </c>
      <c r="E15" s="1" t="s">
        <v>46</v>
      </c>
      <c r="F15" s="30" t="s">
        <v>97</v>
      </c>
      <c r="G15" s="31"/>
      <c r="H15" s="31"/>
      <c r="I15" s="32"/>
      <c r="K15" s="3"/>
      <c r="L15" s="1"/>
      <c r="M15" s="22"/>
      <c r="N15" s="280"/>
      <c r="O15" s="280"/>
      <c r="P15" s="280"/>
    </row>
    <row r="16" spans="2:23">
      <c r="B16" s="1" t="s">
        <v>98</v>
      </c>
      <c r="C16" s="1" t="s">
        <v>99</v>
      </c>
      <c r="D16" s="22">
        <v>0.01</v>
      </c>
      <c r="E16" s="1" t="s">
        <v>46</v>
      </c>
      <c r="F16" s="33" t="s">
        <v>97</v>
      </c>
      <c r="G16" s="31"/>
      <c r="H16" s="31"/>
      <c r="I16" s="32"/>
      <c r="K16" s="3"/>
      <c r="L16" s="1"/>
      <c r="M16" s="22"/>
      <c r="N16" s="280"/>
      <c r="O16" s="280"/>
      <c r="P16" s="280"/>
    </row>
    <row r="17" spans="1:36">
      <c r="B17" s="3"/>
      <c r="C17" s="3"/>
      <c r="D17" s="3"/>
      <c r="E17" s="3"/>
      <c r="F17" s="3"/>
      <c r="G17" s="3"/>
      <c r="H17" s="3"/>
      <c r="I17" s="3"/>
      <c r="J17" s="3"/>
      <c r="K17" s="3"/>
      <c r="L17" s="3"/>
      <c r="M17" s="3"/>
      <c r="N17" s="3"/>
      <c r="O17" s="3"/>
      <c r="P17" s="3"/>
      <c r="Q17" s="3"/>
    </row>
    <row r="18" spans="1:36">
      <c r="C18" s="3"/>
      <c r="D18" s="3"/>
      <c r="E18" s="3"/>
      <c r="F18" s="3"/>
      <c r="G18" s="3"/>
      <c r="H18" s="3"/>
      <c r="I18" s="3"/>
      <c r="J18" s="3"/>
      <c r="K18" s="3"/>
      <c r="L18" s="3"/>
      <c r="M18" s="3"/>
      <c r="N18" s="3"/>
      <c r="O18" s="3"/>
      <c r="P18" s="3"/>
      <c r="Q18" s="3"/>
      <c r="V18" s="3"/>
      <c r="W18" s="3"/>
    </row>
    <row r="19" spans="1:36">
      <c r="A19" s="3"/>
      <c r="B19" s="3" t="s">
        <v>981</v>
      </c>
      <c r="C19" s="3"/>
      <c r="D19" s="3"/>
      <c r="E19" s="3"/>
      <c r="H19" s="3"/>
      <c r="I19" s="3"/>
      <c r="J19" s="3"/>
      <c r="L19" s="3" t="s">
        <v>17</v>
      </c>
      <c r="M19" s="3"/>
      <c r="N19" s="3"/>
      <c r="O19" s="3"/>
      <c r="P19" s="3"/>
      <c r="Q19" s="3"/>
      <c r="R19" s="3"/>
      <c r="S19" s="3"/>
      <c r="T19" s="3"/>
      <c r="U19" s="3"/>
      <c r="V19" s="3"/>
      <c r="W19" s="3"/>
      <c r="X19" s="3"/>
      <c r="Y19" s="3"/>
      <c r="Z19" s="3"/>
      <c r="AA19" s="3"/>
      <c r="AB19" s="3"/>
      <c r="AC19" s="3"/>
      <c r="AD19" s="3"/>
      <c r="AE19" s="3"/>
      <c r="AF19" s="3"/>
      <c r="AG19" s="3"/>
      <c r="AH19" s="3"/>
      <c r="AI19" s="3"/>
      <c r="AJ19" s="3"/>
    </row>
    <row r="20" spans="1:36">
      <c r="A20" s="3"/>
      <c r="B20" s="10" t="s">
        <v>0</v>
      </c>
      <c r="C20" s="10" t="s">
        <v>135</v>
      </c>
      <c r="D20" s="10" t="s">
        <v>136</v>
      </c>
      <c r="E20" s="10" t="s">
        <v>1128</v>
      </c>
      <c r="F20" s="10" t="s">
        <v>1127</v>
      </c>
      <c r="G20" s="10" t="s">
        <v>1024</v>
      </c>
      <c r="H20" s="10" t="s">
        <v>114</v>
      </c>
      <c r="I20" s="10" t="s">
        <v>63</v>
      </c>
      <c r="J20" s="3"/>
      <c r="L20" s="10" t="s">
        <v>0</v>
      </c>
      <c r="M20" s="10" t="s">
        <v>135</v>
      </c>
      <c r="N20" s="10" t="s">
        <v>136</v>
      </c>
      <c r="O20" s="10" t="s">
        <v>146</v>
      </c>
      <c r="P20" s="10" t="s">
        <v>147</v>
      </c>
      <c r="Q20" s="10" t="s">
        <v>63</v>
      </c>
      <c r="R20" s="3"/>
      <c r="S20" s="3"/>
      <c r="T20" s="3"/>
      <c r="U20" s="3"/>
      <c r="V20" s="3"/>
      <c r="W20" s="3"/>
      <c r="X20" s="3"/>
      <c r="Y20" s="3"/>
      <c r="Z20" s="3"/>
      <c r="AA20" s="3"/>
      <c r="AB20" s="3"/>
      <c r="AC20" s="3"/>
      <c r="AD20" s="3"/>
      <c r="AE20" s="3"/>
      <c r="AF20" s="3"/>
      <c r="AG20" s="3"/>
      <c r="AH20" s="3"/>
      <c r="AI20" s="3"/>
      <c r="AJ20" s="3"/>
    </row>
    <row r="21" spans="1:36" ht="21" thickBot="1">
      <c r="A21" s="3"/>
      <c r="B21" s="37" t="s">
        <v>46</v>
      </c>
      <c r="C21" s="37" t="s">
        <v>46</v>
      </c>
      <c r="D21" s="37" t="s">
        <v>66</v>
      </c>
      <c r="E21" s="37" t="s">
        <v>86</v>
      </c>
      <c r="F21" s="37" t="s">
        <v>86</v>
      </c>
      <c r="G21" s="37" t="s">
        <v>86</v>
      </c>
      <c r="H21" s="37" t="s">
        <v>86</v>
      </c>
      <c r="I21" s="37" t="s">
        <v>46</v>
      </c>
      <c r="J21" s="3"/>
      <c r="L21" s="37" t="s">
        <v>46</v>
      </c>
      <c r="M21" s="37" t="s">
        <v>46</v>
      </c>
      <c r="N21" s="37" t="s">
        <v>66</v>
      </c>
      <c r="O21" s="37" t="s">
        <v>86</v>
      </c>
      <c r="P21" s="37" t="s">
        <v>86</v>
      </c>
      <c r="Q21" s="37" t="s">
        <v>46</v>
      </c>
      <c r="R21" s="3"/>
      <c r="S21" s="3"/>
      <c r="T21" s="3"/>
      <c r="U21" s="3"/>
      <c r="V21" s="3"/>
      <c r="W21" s="3"/>
      <c r="X21" s="3"/>
      <c r="Y21" s="3"/>
      <c r="Z21" s="3"/>
      <c r="AA21" s="3"/>
      <c r="AB21" s="3"/>
      <c r="AC21" s="3"/>
      <c r="AD21" s="3"/>
      <c r="AE21" s="3"/>
      <c r="AF21" s="3"/>
      <c r="AG21" s="3"/>
      <c r="AH21" s="3"/>
      <c r="AI21" s="3"/>
      <c r="AJ21" s="3"/>
    </row>
    <row r="22" spans="1:36" ht="21" thickTop="1">
      <c r="A22" s="3"/>
      <c r="B22" s="25" t="s">
        <v>137</v>
      </c>
      <c r="C22" s="25"/>
      <c r="D22" s="50">
        <v>1500</v>
      </c>
      <c r="E22" s="50"/>
      <c r="F22" s="50"/>
      <c r="G22" s="50"/>
      <c r="H22" s="50"/>
      <c r="I22" s="25"/>
      <c r="J22" s="3"/>
      <c r="L22" s="25" t="s">
        <v>986</v>
      </c>
      <c r="M22" s="25"/>
      <c r="N22" s="50"/>
      <c r="O22" s="50"/>
      <c r="P22" s="50"/>
      <c r="Q22" s="25"/>
      <c r="R22" s="3"/>
      <c r="S22" s="3"/>
      <c r="T22" s="3"/>
      <c r="U22" s="3"/>
      <c r="V22" s="3"/>
      <c r="W22" s="3"/>
      <c r="X22" s="3"/>
      <c r="Y22" s="3"/>
      <c r="Z22" s="3"/>
      <c r="AA22" s="3"/>
      <c r="AB22" s="3"/>
      <c r="AC22" s="3"/>
      <c r="AD22" s="3"/>
      <c r="AE22" s="3"/>
      <c r="AF22" s="3"/>
      <c r="AG22" s="3"/>
      <c r="AH22" s="3"/>
      <c r="AI22" s="3"/>
      <c r="AJ22" s="3"/>
    </row>
    <row r="23" spans="1:36">
      <c r="A23" s="3"/>
      <c r="B23" s="1" t="s">
        <v>138</v>
      </c>
      <c r="C23" s="1"/>
      <c r="D23" s="22">
        <v>20</v>
      </c>
      <c r="E23" s="22">
        <v>0.05</v>
      </c>
      <c r="F23" s="22">
        <v>2.5000000000000001E-2</v>
      </c>
      <c r="G23" s="22">
        <v>0.12</v>
      </c>
      <c r="H23" s="22">
        <v>2E-3</v>
      </c>
      <c r="I23" s="213" t="s">
        <v>1126</v>
      </c>
      <c r="J23" s="3"/>
      <c r="L23" s="1" t="s">
        <v>987</v>
      </c>
      <c r="M23" s="1"/>
      <c r="N23" s="22"/>
      <c r="O23" s="22"/>
      <c r="P23" s="22"/>
      <c r="Q23" s="1"/>
      <c r="R23" s="3"/>
      <c r="S23" s="3"/>
      <c r="T23" s="3"/>
      <c r="U23" s="3"/>
      <c r="V23" s="3"/>
      <c r="W23" s="3"/>
      <c r="X23" s="3"/>
      <c r="Y23" s="3"/>
      <c r="Z23" s="3"/>
      <c r="AA23" s="3"/>
      <c r="AB23" s="3"/>
      <c r="AC23" s="3"/>
      <c r="AD23" s="3"/>
      <c r="AE23" s="3"/>
      <c r="AF23" s="3"/>
      <c r="AG23" s="3"/>
      <c r="AH23" s="3"/>
      <c r="AI23" s="3"/>
      <c r="AJ23" s="3"/>
    </row>
    <row r="24" spans="1:36">
      <c r="A24" s="3"/>
      <c r="B24" s="1" t="s">
        <v>139</v>
      </c>
      <c r="C24" s="1"/>
      <c r="D24" s="22">
        <v>33</v>
      </c>
      <c r="E24" s="22">
        <v>0.1</v>
      </c>
      <c r="F24" s="22">
        <v>0.05</v>
      </c>
      <c r="G24" s="22">
        <v>0.17499999999999999</v>
      </c>
      <c r="H24" s="22">
        <v>5.0000000000000001E-3</v>
      </c>
      <c r="I24" s="213" t="s">
        <v>1126</v>
      </c>
      <c r="J24" s="3"/>
      <c r="L24" s="1" t="s">
        <v>988</v>
      </c>
      <c r="M24" s="1"/>
      <c r="N24" s="22"/>
      <c r="O24" s="22"/>
      <c r="P24" s="22"/>
      <c r="Q24" s="1"/>
      <c r="R24" s="3"/>
      <c r="S24" s="3"/>
      <c r="T24" s="3"/>
      <c r="U24" s="3"/>
      <c r="V24" s="3"/>
      <c r="W24" s="3"/>
      <c r="X24" s="3"/>
      <c r="Y24" s="3"/>
      <c r="Z24" s="3"/>
      <c r="AA24" s="3"/>
      <c r="AB24" s="3"/>
      <c r="AC24" s="3"/>
      <c r="AD24" s="3"/>
      <c r="AE24" s="3"/>
      <c r="AF24" s="3"/>
      <c r="AG24" s="3"/>
      <c r="AH24" s="3"/>
      <c r="AI24" s="3"/>
      <c r="AJ24" s="3"/>
    </row>
    <row r="25" spans="1:36">
      <c r="A25" s="3"/>
      <c r="B25" s="1" t="s">
        <v>990</v>
      </c>
      <c r="C25" s="1"/>
      <c r="D25" s="22">
        <v>33</v>
      </c>
      <c r="E25" s="22"/>
      <c r="F25" s="22"/>
      <c r="G25" s="22"/>
      <c r="H25" s="22"/>
      <c r="I25" s="1"/>
      <c r="J25" s="3"/>
      <c r="L25" s="1" t="s">
        <v>991</v>
      </c>
      <c r="M25" s="1"/>
      <c r="N25" s="22"/>
      <c r="O25" s="22"/>
      <c r="P25" s="22"/>
      <c r="Q25" s="1"/>
      <c r="R25" s="3"/>
      <c r="S25" s="3"/>
      <c r="T25" s="3"/>
      <c r="U25" s="3"/>
      <c r="V25" s="3"/>
      <c r="W25" s="3"/>
      <c r="X25" s="3"/>
      <c r="Y25" s="3"/>
      <c r="Z25" s="3"/>
      <c r="AA25" s="3"/>
      <c r="AB25" s="3"/>
      <c r="AC25" s="3"/>
      <c r="AD25" s="3"/>
      <c r="AE25" s="3"/>
      <c r="AF25" s="3"/>
      <c r="AG25" s="3"/>
      <c r="AH25" s="3"/>
      <c r="AI25" s="3"/>
      <c r="AJ25" s="3"/>
    </row>
    <row r="26" spans="1:36">
      <c r="A26" s="3"/>
      <c r="B26" s="1" t="s">
        <v>1093</v>
      </c>
      <c r="C26" s="1"/>
      <c r="D26" s="22">
        <v>33</v>
      </c>
      <c r="E26" s="22"/>
      <c r="F26" s="22"/>
      <c r="G26" s="22"/>
      <c r="H26" s="22"/>
      <c r="I26" s="1"/>
      <c r="J26" s="3"/>
      <c r="L26" s="1" t="s">
        <v>989</v>
      </c>
      <c r="M26" s="1"/>
      <c r="N26" s="22"/>
      <c r="O26" s="22"/>
      <c r="P26" s="22"/>
      <c r="Q26" s="1"/>
      <c r="R26" s="3"/>
      <c r="S26" s="3"/>
      <c r="T26" s="3"/>
      <c r="U26" s="3"/>
      <c r="V26" s="3"/>
      <c r="W26" s="3"/>
      <c r="X26" s="3"/>
      <c r="Y26" s="3"/>
      <c r="Z26" s="3"/>
      <c r="AA26" s="3"/>
      <c r="AB26" s="3"/>
      <c r="AC26" s="3"/>
      <c r="AD26" s="3"/>
      <c r="AE26" s="3"/>
      <c r="AF26" s="3"/>
      <c r="AG26" s="3"/>
      <c r="AH26" s="3"/>
      <c r="AI26" s="3"/>
      <c r="AJ26" s="3"/>
    </row>
    <row r="27" spans="1:36" ht="19.5" customHeight="1">
      <c r="A27" s="3"/>
      <c r="B27" s="1" t="s">
        <v>1094</v>
      </c>
      <c r="C27" s="1"/>
      <c r="D27" s="22"/>
      <c r="E27" s="22"/>
      <c r="F27" s="22"/>
      <c r="G27" s="22"/>
      <c r="H27" s="22"/>
      <c r="I27" s="1"/>
      <c r="J27" s="3"/>
      <c r="L27" s="1"/>
      <c r="M27" s="1"/>
      <c r="N27" s="22"/>
      <c r="O27" s="22"/>
      <c r="P27" s="22"/>
      <c r="Q27" s="1"/>
      <c r="R27" s="3"/>
      <c r="S27" s="3"/>
      <c r="T27" s="3"/>
      <c r="U27" s="3"/>
      <c r="V27" s="3"/>
      <c r="W27" s="3"/>
      <c r="X27" s="3"/>
      <c r="Y27" s="3"/>
      <c r="Z27" s="3"/>
      <c r="AA27" s="3"/>
      <c r="AB27" s="3"/>
      <c r="AC27" s="3"/>
      <c r="AD27" s="3"/>
      <c r="AE27" s="3"/>
      <c r="AF27" s="3"/>
      <c r="AG27" s="3"/>
      <c r="AH27" s="3"/>
      <c r="AI27" s="3"/>
      <c r="AJ27" s="3"/>
    </row>
    <row r="28" spans="1:36">
      <c r="A28" s="3"/>
      <c r="B28" s="1" t="s">
        <v>140</v>
      </c>
      <c r="C28" s="1"/>
      <c r="D28" s="22">
        <v>510</v>
      </c>
      <c r="E28" s="22"/>
      <c r="F28" s="22"/>
      <c r="G28" s="22"/>
      <c r="H28" s="22"/>
      <c r="I28" s="1"/>
      <c r="J28" s="3"/>
      <c r="L28" s="1"/>
      <c r="M28" s="1"/>
      <c r="N28" s="22"/>
      <c r="O28" s="22"/>
      <c r="P28" s="22"/>
      <c r="Q28" s="1"/>
      <c r="R28" s="3"/>
      <c r="S28" s="3"/>
      <c r="T28" s="3"/>
      <c r="U28" s="3"/>
      <c r="V28" s="3"/>
      <c r="W28" s="3"/>
      <c r="X28" s="3"/>
      <c r="Y28" s="3"/>
      <c r="Z28" s="3"/>
      <c r="AA28" s="3"/>
      <c r="AB28" s="3"/>
      <c r="AC28" s="3"/>
      <c r="AD28" s="3"/>
      <c r="AE28" s="3"/>
      <c r="AF28" s="3"/>
      <c r="AG28" s="3"/>
      <c r="AH28" s="3"/>
      <c r="AI28" s="3"/>
      <c r="AJ28" s="3"/>
    </row>
    <row r="29" spans="1:36">
      <c r="A29" s="3"/>
      <c r="B29" s="1" t="s">
        <v>529</v>
      </c>
      <c r="C29" s="1"/>
      <c r="D29" s="22"/>
      <c r="E29" s="22"/>
      <c r="F29" s="22"/>
      <c r="G29" s="22"/>
      <c r="H29" s="22"/>
      <c r="I29" s="1"/>
      <c r="J29" s="3"/>
      <c r="L29" s="1"/>
      <c r="M29" s="1"/>
      <c r="N29" s="22"/>
      <c r="O29" s="22"/>
      <c r="P29" s="22"/>
      <c r="Q29" s="1"/>
      <c r="R29" s="3"/>
      <c r="S29" s="3"/>
      <c r="T29" s="3"/>
      <c r="U29" s="3"/>
      <c r="V29" s="3"/>
      <c r="W29" s="3"/>
      <c r="X29" s="3"/>
      <c r="Y29" s="3"/>
      <c r="Z29" s="3"/>
      <c r="AA29" s="3"/>
      <c r="AB29" s="3"/>
      <c r="AC29" s="3"/>
      <c r="AD29" s="3"/>
      <c r="AE29" s="3"/>
      <c r="AF29" s="3"/>
      <c r="AG29" s="3"/>
      <c r="AH29" s="3"/>
      <c r="AI29" s="3"/>
      <c r="AJ29" s="3"/>
    </row>
    <row r="30" spans="1:36">
      <c r="A30" s="3"/>
      <c r="B30" s="1" t="s">
        <v>141</v>
      </c>
      <c r="C30" s="1"/>
      <c r="D30" s="22">
        <v>85</v>
      </c>
      <c r="E30" s="22"/>
      <c r="F30" s="22"/>
      <c r="G30" s="22"/>
      <c r="H30" s="22"/>
      <c r="I30" s="1"/>
      <c r="J30" s="3"/>
      <c r="L30" s="1"/>
      <c r="M30" s="1"/>
      <c r="N30" s="22"/>
      <c r="O30" s="22"/>
      <c r="P30" s="22"/>
      <c r="Q30" s="1"/>
      <c r="R30" s="3"/>
      <c r="S30" s="3"/>
      <c r="T30" s="3"/>
      <c r="U30" s="3"/>
      <c r="V30" s="3"/>
      <c r="W30" s="3"/>
      <c r="X30" s="3"/>
      <c r="Y30" s="3"/>
      <c r="Z30" s="3"/>
      <c r="AA30" s="3"/>
      <c r="AB30" s="3"/>
      <c r="AC30" s="3"/>
      <c r="AD30" s="3"/>
      <c r="AE30" s="3"/>
      <c r="AF30" s="3"/>
      <c r="AG30" s="3"/>
      <c r="AH30" s="3"/>
      <c r="AI30" s="3"/>
      <c r="AJ30" s="3"/>
    </row>
    <row r="31" spans="1:36">
      <c r="A31" s="3"/>
      <c r="B31" s="1" t="s">
        <v>142</v>
      </c>
      <c r="C31" s="1"/>
      <c r="D31" s="22"/>
      <c r="E31" s="22"/>
      <c r="F31" s="22"/>
      <c r="G31" s="22"/>
      <c r="H31" s="22"/>
      <c r="I31" s="1"/>
      <c r="J31" s="3"/>
      <c r="L31" s="1"/>
      <c r="M31" s="1"/>
      <c r="N31" s="22"/>
      <c r="O31" s="22"/>
      <c r="P31" s="22"/>
      <c r="Q31" s="1"/>
      <c r="R31" s="3"/>
      <c r="S31" s="3"/>
      <c r="T31" s="3"/>
      <c r="U31" s="3"/>
      <c r="V31" s="3"/>
      <c r="W31" s="3"/>
      <c r="X31" s="3"/>
      <c r="Y31" s="3"/>
      <c r="Z31" s="3"/>
      <c r="AA31" s="3"/>
      <c r="AB31" s="3"/>
      <c r="AC31" s="3"/>
      <c r="AD31" s="3"/>
      <c r="AE31" s="3"/>
      <c r="AF31" s="3"/>
      <c r="AG31" s="3"/>
      <c r="AH31" s="3"/>
      <c r="AI31" s="3"/>
      <c r="AJ31" s="3"/>
    </row>
    <row r="32" spans="1:36">
      <c r="A32" s="3"/>
      <c r="B32" s="1" t="s">
        <v>143</v>
      </c>
      <c r="C32" s="1"/>
      <c r="D32" s="22"/>
      <c r="E32" s="22"/>
      <c r="F32" s="22"/>
      <c r="G32" s="22"/>
      <c r="H32" s="22"/>
      <c r="I32" s="1"/>
      <c r="J32" s="3"/>
      <c r="L32" s="1"/>
      <c r="M32" s="1"/>
      <c r="N32" s="22"/>
      <c r="O32" s="22"/>
      <c r="P32" s="22"/>
      <c r="Q32" s="1"/>
      <c r="R32" s="3"/>
      <c r="S32" s="3"/>
      <c r="T32" s="3"/>
      <c r="U32" s="3"/>
      <c r="V32" s="3"/>
      <c r="W32" s="3"/>
      <c r="X32" s="3"/>
      <c r="Y32" s="3"/>
      <c r="Z32" s="3"/>
      <c r="AA32" s="3"/>
      <c r="AB32" s="3"/>
      <c r="AC32" s="3"/>
      <c r="AD32" s="3"/>
      <c r="AE32" s="3"/>
      <c r="AF32" s="3"/>
      <c r="AG32" s="3"/>
      <c r="AH32" s="3"/>
      <c r="AI32" s="3"/>
      <c r="AJ32" s="3"/>
    </row>
    <row r="33" spans="1:36">
      <c r="A33" s="3"/>
      <c r="B33" s="1" t="s">
        <v>144</v>
      </c>
      <c r="C33" s="1"/>
      <c r="D33" s="22"/>
      <c r="E33" s="22"/>
      <c r="F33" s="22"/>
      <c r="G33" s="22"/>
      <c r="H33" s="22"/>
      <c r="I33" s="1"/>
      <c r="J33" s="3"/>
      <c r="L33" s="1"/>
      <c r="M33" s="1"/>
      <c r="N33" s="22"/>
      <c r="O33" s="22"/>
      <c r="P33" s="22"/>
      <c r="Q33" s="1"/>
      <c r="R33" s="3"/>
      <c r="S33" s="3"/>
      <c r="T33" s="3"/>
      <c r="U33" s="3"/>
      <c r="V33" s="3"/>
      <c r="W33" s="3"/>
      <c r="X33" s="3"/>
      <c r="Y33" s="3"/>
      <c r="Z33" s="3"/>
      <c r="AA33" s="3"/>
      <c r="AB33" s="3"/>
      <c r="AC33" s="3"/>
      <c r="AD33" s="3"/>
      <c r="AE33" s="3"/>
      <c r="AF33" s="3"/>
      <c r="AG33" s="3"/>
      <c r="AH33" s="3"/>
      <c r="AI33" s="3"/>
      <c r="AJ33" s="3"/>
    </row>
    <row r="34" spans="1:36">
      <c r="A34" s="3"/>
      <c r="B34" s="1" t="s">
        <v>145</v>
      </c>
      <c r="C34" s="1"/>
      <c r="D34" s="22"/>
      <c r="E34" s="22"/>
      <c r="F34" s="22"/>
      <c r="G34" s="22"/>
      <c r="H34" s="22"/>
      <c r="I34" s="1"/>
      <c r="J34" s="3"/>
      <c r="L34" s="1"/>
      <c r="M34" s="1"/>
      <c r="N34" s="22"/>
      <c r="O34" s="22"/>
      <c r="P34" s="22"/>
      <c r="Q34" s="1"/>
      <c r="R34" s="3"/>
      <c r="S34" s="3"/>
      <c r="T34" s="3"/>
      <c r="U34" s="3"/>
      <c r="V34" s="3"/>
      <c r="W34" s="3"/>
      <c r="X34" s="3"/>
      <c r="Y34" s="3"/>
      <c r="Z34" s="3"/>
      <c r="AA34" s="3"/>
      <c r="AB34" s="3"/>
      <c r="AC34" s="3"/>
      <c r="AD34" s="3"/>
      <c r="AE34" s="3"/>
      <c r="AF34" s="3"/>
      <c r="AG34" s="3"/>
      <c r="AH34" s="3"/>
      <c r="AI34" s="3"/>
      <c r="AJ34" s="3"/>
    </row>
    <row r="35" spans="1:36">
      <c r="A35" s="3"/>
      <c r="B35" s="1"/>
      <c r="C35" s="1"/>
      <c r="D35" s="22"/>
      <c r="E35" s="22"/>
      <c r="F35" s="22"/>
      <c r="G35" s="22"/>
      <c r="H35" s="22"/>
      <c r="I35" s="1"/>
      <c r="J35" s="3"/>
      <c r="L35" s="1"/>
      <c r="M35" s="1"/>
      <c r="N35" s="22"/>
      <c r="O35" s="22"/>
      <c r="P35" s="22"/>
      <c r="Q35" s="1"/>
      <c r="R35" s="3"/>
      <c r="S35" s="3"/>
      <c r="T35" s="3"/>
      <c r="U35" s="3"/>
      <c r="V35" s="3"/>
      <c r="W35" s="3"/>
      <c r="X35" s="3"/>
      <c r="Y35" s="3"/>
      <c r="Z35" s="3"/>
      <c r="AA35" s="3"/>
      <c r="AB35" s="3"/>
      <c r="AC35" s="3"/>
      <c r="AD35" s="3"/>
      <c r="AE35" s="3"/>
      <c r="AF35" s="3"/>
      <c r="AG35" s="3"/>
      <c r="AH35" s="3"/>
      <c r="AI35" s="3"/>
      <c r="AJ35" s="3"/>
    </row>
    <row r="36" spans="1:36">
      <c r="A36" s="3"/>
      <c r="B36" s="1"/>
      <c r="C36" s="1"/>
      <c r="D36" s="22"/>
      <c r="E36" s="22"/>
      <c r="F36" s="22"/>
      <c r="G36" s="22"/>
      <c r="H36" s="22"/>
      <c r="I36" s="1"/>
      <c r="J36" s="3"/>
      <c r="L36" s="1"/>
      <c r="M36" s="1"/>
      <c r="N36" s="22"/>
      <c r="O36" s="22"/>
      <c r="P36" s="22"/>
      <c r="Q36" s="1"/>
      <c r="R36" s="3"/>
      <c r="S36" s="3"/>
      <c r="T36" s="3"/>
      <c r="U36" s="3"/>
      <c r="V36" s="3"/>
      <c r="W36" s="3"/>
      <c r="X36" s="3"/>
      <c r="Y36" s="3"/>
      <c r="Z36" s="3"/>
      <c r="AA36" s="3"/>
      <c r="AB36" s="3"/>
      <c r="AC36" s="3"/>
      <c r="AD36" s="3"/>
      <c r="AE36" s="3"/>
      <c r="AF36" s="3"/>
      <c r="AG36" s="3"/>
      <c r="AH36" s="3"/>
      <c r="AI36" s="3"/>
      <c r="AJ36" s="3"/>
    </row>
    <row r="37" spans="1:36">
      <c r="A37" s="3"/>
      <c r="B37" s="1"/>
      <c r="C37" s="1"/>
      <c r="D37" s="22"/>
      <c r="E37" s="22"/>
      <c r="F37" s="22"/>
      <c r="G37" s="22"/>
      <c r="H37" s="22"/>
      <c r="I37" s="1"/>
      <c r="J37" s="3"/>
      <c r="L37" s="1"/>
      <c r="M37" s="1"/>
      <c r="N37" s="22"/>
      <c r="O37" s="22"/>
      <c r="P37" s="22"/>
      <c r="Q37" s="1"/>
      <c r="R37" s="3"/>
      <c r="S37" s="3"/>
      <c r="T37" s="3"/>
      <c r="U37" s="3"/>
      <c r="V37" s="3"/>
      <c r="W37" s="3"/>
      <c r="X37" s="3"/>
      <c r="Y37" s="3"/>
      <c r="Z37" s="3"/>
      <c r="AA37" s="3"/>
      <c r="AB37" s="3"/>
      <c r="AC37" s="3"/>
      <c r="AD37" s="3"/>
      <c r="AE37" s="3"/>
      <c r="AF37" s="3"/>
      <c r="AG37" s="3"/>
      <c r="AH37" s="3"/>
      <c r="AI37" s="3"/>
      <c r="AJ37" s="3"/>
    </row>
    <row r="38" spans="1:36">
      <c r="A38" s="3"/>
      <c r="B38" s="1"/>
      <c r="C38" s="1"/>
      <c r="D38" s="22"/>
      <c r="E38" s="22"/>
      <c r="F38" s="22"/>
      <c r="G38" s="22"/>
      <c r="H38" s="22"/>
      <c r="I38" s="1"/>
      <c r="J38" s="3"/>
      <c r="L38" s="1"/>
      <c r="M38" s="1"/>
      <c r="N38" s="22"/>
      <c r="O38" s="22"/>
      <c r="P38" s="22"/>
      <c r="Q38" s="1"/>
      <c r="R38" s="3"/>
      <c r="S38" s="3"/>
      <c r="T38" s="3"/>
      <c r="U38" s="3"/>
      <c r="V38" s="3"/>
      <c r="W38" s="3"/>
      <c r="X38" s="3"/>
      <c r="Y38" s="3"/>
      <c r="Z38" s="3"/>
      <c r="AA38" s="3"/>
      <c r="AB38" s="3"/>
      <c r="AC38" s="3"/>
      <c r="AD38" s="3"/>
      <c r="AE38" s="3"/>
      <c r="AF38" s="3"/>
      <c r="AG38" s="3"/>
      <c r="AH38" s="3"/>
      <c r="AI38" s="3"/>
      <c r="AJ38" s="3"/>
    </row>
    <row r="39" spans="1:36">
      <c r="A39" s="3"/>
      <c r="B39" s="1"/>
      <c r="C39" s="1"/>
      <c r="D39" s="22"/>
      <c r="E39" s="22"/>
      <c r="F39" s="22"/>
      <c r="G39" s="22"/>
      <c r="H39" s="22"/>
      <c r="I39" s="1"/>
      <c r="J39" s="3"/>
      <c r="L39" s="1"/>
      <c r="M39" s="1"/>
      <c r="N39" s="22"/>
      <c r="O39" s="22"/>
      <c r="P39" s="22"/>
      <c r="Q39" s="1"/>
      <c r="R39" s="3"/>
      <c r="S39" s="3"/>
      <c r="T39" s="3"/>
      <c r="U39" s="3"/>
      <c r="V39" s="3"/>
      <c r="W39" s="3"/>
      <c r="X39" s="3"/>
      <c r="Y39" s="3"/>
      <c r="Z39" s="3"/>
      <c r="AA39" s="3"/>
      <c r="AB39" s="3"/>
      <c r="AC39" s="3"/>
      <c r="AD39" s="3"/>
      <c r="AE39" s="3"/>
      <c r="AF39" s="3"/>
      <c r="AG39" s="3"/>
      <c r="AH39" s="3"/>
      <c r="AI39" s="3"/>
      <c r="AJ39" s="3"/>
    </row>
    <row r="40" spans="1:36">
      <c r="A40" s="3"/>
      <c r="B40" s="1"/>
      <c r="C40" s="1"/>
      <c r="D40" s="22"/>
      <c r="E40" s="22"/>
      <c r="F40" s="22"/>
      <c r="G40" s="22"/>
      <c r="H40" s="22"/>
      <c r="I40" s="1"/>
      <c r="J40" s="3"/>
      <c r="L40" s="1"/>
      <c r="M40" s="1"/>
      <c r="N40" s="22"/>
      <c r="O40" s="22"/>
      <c r="P40" s="22"/>
      <c r="Q40" s="1"/>
      <c r="R40" s="3"/>
      <c r="S40" s="3"/>
      <c r="T40" s="3"/>
      <c r="U40" s="3"/>
      <c r="V40" s="3"/>
      <c r="W40" s="3"/>
      <c r="X40" s="3"/>
      <c r="Y40" s="3"/>
      <c r="Z40" s="3"/>
      <c r="AA40" s="3"/>
      <c r="AB40" s="3"/>
      <c r="AC40" s="3"/>
      <c r="AD40" s="3"/>
      <c r="AE40" s="3"/>
      <c r="AF40" s="3"/>
      <c r="AG40" s="3"/>
      <c r="AH40" s="3"/>
      <c r="AI40" s="3"/>
      <c r="AJ40" s="3"/>
    </row>
    <row r="41" spans="1:36">
      <c r="A41" s="3"/>
      <c r="B41" s="1"/>
      <c r="C41" s="1"/>
      <c r="D41" s="22"/>
      <c r="E41" s="22"/>
      <c r="F41" s="22"/>
      <c r="G41" s="22"/>
      <c r="H41" s="22"/>
      <c r="I41" s="1"/>
      <c r="J41" s="3"/>
      <c r="L41" s="1"/>
      <c r="M41" s="1"/>
      <c r="N41" s="22"/>
      <c r="O41" s="22"/>
      <c r="P41" s="22"/>
      <c r="Q41" s="1"/>
      <c r="R41" s="3"/>
      <c r="S41" s="3"/>
      <c r="T41" s="3"/>
      <c r="U41" s="3"/>
      <c r="V41" s="3"/>
      <c r="W41" s="3"/>
      <c r="X41" s="3"/>
      <c r="Y41" s="3"/>
      <c r="Z41" s="3"/>
      <c r="AA41" s="3"/>
      <c r="AB41" s="3"/>
      <c r="AC41" s="3"/>
      <c r="AD41" s="3"/>
      <c r="AE41" s="3"/>
      <c r="AF41" s="3"/>
      <c r="AG41" s="3"/>
      <c r="AH41" s="3"/>
      <c r="AI41" s="3"/>
      <c r="AJ41" s="3"/>
    </row>
    <row r="42" spans="1:36">
      <c r="A42" s="3"/>
      <c r="B42" s="1"/>
      <c r="C42" s="1"/>
      <c r="D42" s="22"/>
      <c r="E42" s="22"/>
      <c r="F42" s="22"/>
      <c r="G42" s="22"/>
      <c r="H42" s="22"/>
      <c r="I42" s="1"/>
      <c r="J42" s="3"/>
      <c r="L42" s="1"/>
      <c r="M42" s="1"/>
      <c r="N42" s="22"/>
      <c r="O42" s="22"/>
      <c r="P42" s="22"/>
      <c r="Q42" s="1"/>
      <c r="R42" s="3"/>
      <c r="S42" s="3"/>
      <c r="T42" s="3"/>
      <c r="U42" s="3"/>
      <c r="V42" s="3"/>
      <c r="W42" s="3"/>
      <c r="X42" s="3"/>
      <c r="Y42" s="3"/>
      <c r="Z42" s="3"/>
      <c r="AA42" s="3"/>
      <c r="AB42" s="3"/>
      <c r="AC42" s="3"/>
      <c r="AD42" s="3"/>
      <c r="AE42" s="3"/>
      <c r="AF42" s="3"/>
      <c r="AG42" s="3"/>
      <c r="AH42" s="3"/>
      <c r="AI42" s="3"/>
      <c r="AJ42" s="3"/>
    </row>
    <row r="43" spans="1:36">
      <c r="A43" s="3"/>
      <c r="B43" s="1"/>
      <c r="C43" s="1"/>
      <c r="D43" s="22"/>
      <c r="E43" s="22"/>
      <c r="F43" s="22"/>
      <c r="G43" s="22"/>
      <c r="H43" s="22"/>
      <c r="I43" s="1"/>
      <c r="J43" s="3"/>
      <c r="L43" s="1"/>
      <c r="M43" s="1"/>
      <c r="N43" s="22"/>
      <c r="O43" s="22"/>
      <c r="P43" s="22"/>
      <c r="Q43" s="1"/>
      <c r="R43" s="3"/>
      <c r="S43" s="3"/>
      <c r="T43" s="3"/>
      <c r="U43" s="3"/>
      <c r="V43" s="3"/>
      <c r="W43" s="3"/>
      <c r="X43" s="3"/>
      <c r="Y43" s="3"/>
      <c r="Z43" s="3"/>
      <c r="AA43" s="3"/>
      <c r="AB43" s="3"/>
      <c r="AC43" s="3"/>
      <c r="AD43" s="3"/>
      <c r="AE43" s="3"/>
      <c r="AF43" s="3"/>
      <c r="AG43" s="3"/>
      <c r="AH43" s="3"/>
      <c r="AI43" s="3"/>
      <c r="AJ43" s="3"/>
    </row>
    <row r="44" spans="1:36">
      <c r="A44" s="3"/>
      <c r="B44" s="1"/>
      <c r="C44" s="1"/>
      <c r="D44" s="22"/>
      <c r="E44" s="22"/>
      <c r="F44" s="22"/>
      <c r="G44" s="22"/>
      <c r="H44" s="22"/>
      <c r="I44" s="1"/>
      <c r="J44" s="3"/>
      <c r="L44" s="1"/>
      <c r="M44" s="1"/>
      <c r="N44" s="22"/>
      <c r="O44" s="22"/>
      <c r="P44" s="22"/>
      <c r="Q44" s="1"/>
      <c r="R44" s="3"/>
      <c r="S44" s="3"/>
      <c r="T44" s="3"/>
      <c r="U44" s="3"/>
      <c r="V44" s="3"/>
      <c r="W44" s="3"/>
      <c r="X44" s="3"/>
      <c r="Y44" s="3"/>
      <c r="Z44" s="3"/>
      <c r="AA44" s="3"/>
      <c r="AB44" s="3"/>
      <c r="AC44" s="3"/>
      <c r="AD44" s="3"/>
      <c r="AE44" s="3"/>
      <c r="AF44" s="3"/>
      <c r="AG44" s="3"/>
      <c r="AH44" s="3"/>
      <c r="AI44" s="3"/>
      <c r="AJ44" s="3"/>
    </row>
    <row r="45" spans="1:36">
      <c r="A45" s="3"/>
      <c r="B45" s="1"/>
      <c r="C45" s="1"/>
      <c r="D45" s="22"/>
      <c r="E45" s="22"/>
      <c r="F45" s="22"/>
      <c r="G45" s="22"/>
      <c r="H45" s="22"/>
      <c r="I45" s="1"/>
      <c r="J45" s="3"/>
      <c r="L45" s="1"/>
      <c r="M45" s="1"/>
      <c r="N45" s="22"/>
      <c r="O45" s="22"/>
      <c r="P45" s="22"/>
      <c r="Q45" s="1"/>
      <c r="R45" s="3"/>
      <c r="S45" s="3"/>
      <c r="T45" s="3"/>
      <c r="U45" s="3"/>
      <c r="V45" s="3"/>
      <c r="W45" s="3"/>
      <c r="X45" s="3"/>
      <c r="Y45" s="3"/>
      <c r="Z45" s="3"/>
      <c r="AA45" s="3"/>
      <c r="AB45" s="3"/>
      <c r="AC45" s="3"/>
      <c r="AD45" s="3"/>
      <c r="AE45" s="3"/>
      <c r="AF45" s="3"/>
      <c r="AG45" s="3"/>
      <c r="AH45" s="3"/>
      <c r="AI45" s="3"/>
      <c r="AJ45" s="3"/>
    </row>
    <row r="46" spans="1:36">
      <c r="A46" s="3"/>
      <c r="B46" s="1"/>
      <c r="C46" s="1"/>
      <c r="D46" s="22"/>
      <c r="E46" s="22"/>
      <c r="F46" s="22"/>
      <c r="G46" s="22"/>
      <c r="H46" s="22"/>
      <c r="I46" s="1"/>
      <c r="J46" s="3"/>
      <c r="L46" s="1"/>
      <c r="M46" s="1"/>
      <c r="N46" s="22"/>
      <c r="O46" s="22"/>
      <c r="P46" s="22"/>
      <c r="Q46" s="1"/>
      <c r="R46" s="3"/>
      <c r="S46" s="3"/>
      <c r="T46" s="3"/>
      <c r="U46" s="3"/>
      <c r="V46" s="3"/>
      <c r="W46" s="3"/>
      <c r="X46" s="3"/>
      <c r="Y46" s="3"/>
      <c r="Z46" s="3"/>
      <c r="AA46" s="3"/>
      <c r="AB46" s="3"/>
      <c r="AC46" s="3"/>
      <c r="AD46" s="3"/>
      <c r="AE46" s="3"/>
      <c r="AF46" s="3"/>
      <c r="AG46" s="3"/>
      <c r="AH46" s="3"/>
      <c r="AI46" s="3"/>
      <c r="AJ46" s="3"/>
    </row>
    <row r="47" spans="1:36">
      <c r="A47" s="3"/>
      <c r="B47" s="1"/>
      <c r="C47" s="1"/>
      <c r="D47" s="22"/>
      <c r="E47" s="22"/>
      <c r="F47" s="22"/>
      <c r="G47" s="22"/>
      <c r="H47" s="22"/>
      <c r="I47" s="1"/>
      <c r="J47" s="3"/>
      <c r="L47" s="1"/>
      <c r="M47" s="1"/>
      <c r="N47" s="22"/>
      <c r="O47" s="22"/>
      <c r="P47" s="22"/>
      <c r="Q47" s="1"/>
      <c r="R47" s="3"/>
      <c r="S47" s="3"/>
      <c r="T47" s="3"/>
      <c r="U47" s="3"/>
      <c r="V47" s="3"/>
      <c r="W47" s="3"/>
      <c r="X47" s="3"/>
      <c r="Y47" s="3"/>
      <c r="Z47" s="3"/>
      <c r="AA47" s="3"/>
      <c r="AB47" s="3"/>
      <c r="AC47" s="3"/>
      <c r="AD47" s="3"/>
      <c r="AE47" s="3"/>
      <c r="AF47" s="3"/>
      <c r="AG47" s="3"/>
      <c r="AH47" s="3"/>
      <c r="AI47" s="3"/>
      <c r="AJ47" s="3"/>
    </row>
    <row r="48" spans="1:36">
      <c r="A48" s="3"/>
      <c r="B48" s="1"/>
      <c r="C48" s="1"/>
      <c r="D48" s="22"/>
      <c r="E48" s="22"/>
      <c r="F48" s="22"/>
      <c r="G48" s="22"/>
      <c r="H48" s="22"/>
      <c r="I48" s="1"/>
      <c r="J48" s="3"/>
      <c r="L48" s="1"/>
      <c r="M48" s="1"/>
      <c r="N48" s="22"/>
      <c r="O48" s="22"/>
      <c r="P48" s="22"/>
      <c r="Q48" s="1"/>
      <c r="R48" s="3"/>
      <c r="S48" s="3"/>
      <c r="T48" s="3"/>
      <c r="U48" s="3"/>
      <c r="V48" s="3"/>
      <c r="W48" s="3"/>
      <c r="X48" s="3"/>
      <c r="Y48" s="3"/>
      <c r="Z48" s="3"/>
      <c r="AA48" s="3"/>
      <c r="AB48" s="3"/>
      <c r="AC48" s="3"/>
      <c r="AD48" s="3"/>
      <c r="AE48" s="3"/>
      <c r="AF48" s="3"/>
      <c r="AG48" s="3"/>
      <c r="AH48" s="3"/>
      <c r="AI48" s="3"/>
      <c r="AJ48" s="3"/>
    </row>
    <row r="49" spans="1:38">
      <c r="A49" s="3"/>
      <c r="B49" s="1"/>
      <c r="C49" s="1"/>
      <c r="D49" s="22"/>
      <c r="E49" s="22"/>
      <c r="F49" s="22"/>
      <c r="G49" s="22"/>
      <c r="H49" s="22"/>
      <c r="I49" s="1"/>
      <c r="J49" s="3"/>
      <c r="L49" s="1"/>
      <c r="M49" s="1"/>
      <c r="N49" s="22"/>
      <c r="O49" s="22"/>
      <c r="P49" s="22"/>
      <c r="Q49" s="1"/>
      <c r="R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100</v>
      </c>
      <c r="C52" s="3"/>
      <c r="D52" s="3"/>
      <c r="E52" s="3"/>
      <c r="F52" s="3"/>
      <c r="G52" s="3"/>
      <c r="H52" s="3"/>
      <c r="I52" s="3" t="s">
        <v>150</v>
      </c>
      <c r="J52" s="3"/>
      <c r="K52" s="3"/>
      <c r="L52" s="3" t="s">
        <v>149</v>
      </c>
      <c r="M52" s="3"/>
      <c r="N52" s="3"/>
      <c r="O52" s="3" t="s">
        <v>148</v>
      </c>
      <c r="P52" s="3"/>
      <c r="Q52" s="3"/>
      <c r="R52" s="3" t="s">
        <v>151</v>
      </c>
      <c r="S52" s="3"/>
      <c r="T52" s="3"/>
      <c r="U52" s="3" t="s">
        <v>127</v>
      </c>
      <c r="V52" s="3"/>
      <c r="W52" s="3" t="s">
        <v>130</v>
      </c>
      <c r="X52" s="3"/>
      <c r="Y52" s="3"/>
      <c r="Z52" s="3"/>
      <c r="AA52" s="3"/>
      <c r="AB52" s="3"/>
      <c r="AC52" s="3"/>
      <c r="AD52" s="3"/>
      <c r="AE52" s="3"/>
      <c r="AF52" s="3"/>
      <c r="AG52" s="3"/>
      <c r="AH52" s="3"/>
      <c r="AI52" s="3"/>
      <c r="AJ52" s="3"/>
    </row>
    <row r="53" spans="1:38">
      <c r="A53" s="3"/>
      <c r="B53" s="10" t="s">
        <v>101</v>
      </c>
      <c r="C53" s="10" t="s">
        <v>135</v>
      </c>
      <c r="D53" s="10" t="s">
        <v>104</v>
      </c>
      <c r="E53" s="10" t="s">
        <v>107</v>
      </c>
      <c r="F53" s="10" t="s">
        <v>109</v>
      </c>
      <c r="G53" s="10" t="s">
        <v>111</v>
      </c>
      <c r="H53" s="12" t="s">
        <v>112</v>
      </c>
      <c r="I53" s="13" t="s">
        <v>114</v>
      </c>
      <c r="J53" s="10" t="s">
        <v>117</v>
      </c>
      <c r="K53" s="44" t="s">
        <v>119</v>
      </c>
      <c r="L53" s="13" t="s">
        <v>114</v>
      </c>
      <c r="M53" s="10" t="s">
        <v>117</v>
      </c>
      <c r="N53" s="44" t="s">
        <v>119</v>
      </c>
      <c r="O53" s="13" t="s">
        <v>114</v>
      </c>
      <c r="P53" s="10" t="s">
        <v>117</v>
      </c>
      <c r="Q53" s="44" t="s">
        <v>119</v>
      </c>
      <c r="R53" s="13" t="s">
        <v>114</v>
      </c>
      <c r="S53" s="10" t="s">
        <v>117</v>
      </c>
      <c r="T53" s="44" t="s">
        <v>119</v>
      </c>
      <c r="U53" s="13" t="s">
        <v>114</v>
      </c>
      <c r="V53" s="44" t="s">
        <v>117</v>
      </c>
      <c r="W53" s="45" t="s">
        <v>114</v>
      </c>
      <c r="X53" s="14" t="s">
        <v>131</v>
      </c>
      <c r="Y53" s="3"/>
      <c r="Z53" s="3"/>
      <c r="AA53" s="3"/>
      <c r="AB53" s="3"/>
      <c r="AC53" s="3"/>
      <c r="AD53" s="3"/>
      <c r="AE53" s="3"/>
      <c r="AF53" s="3"/>
      <c r="AG53" s="3"/>
      <c r="AH53" s="3"/>
      <c r="AI53" s="3"/>
      <c r="AJ53" s="3"/>
    </row>
    <row r="54" spans="1:38">
      <c r="A54" s="3"/>
      <c r="B54" s="10" t="s">
        <v>46</v>
      </c>
      <c r="C54" s="10" t="s">
        <v>46</v>
      </c>
      <c r="D54" s="10" t="s">
        <v>46</v>
      </c>
      <c r="E54" s="10" t="s">
        <v>46</v>
      </c>
      <c r="F54" s="10" t="s">
        <v>109</v>
      </c>
      <c r="G54" s="10" t="s">
        <v>111</v>
      </c>
      <c r="H54" s="12" t="s">
        <v>46</v>
      </c>
      <c r="I54" s="13" t="s">
        <v>115</v>
      </c>
      <c r="J54" s="10" t="s">
        <v>118</v>
      </c>
      <c r="K54" s="44" t="s">
        <v>120</v>
      </c>
      <c r="L54" s="13" t="s">
        <v>121</v>
      </c>
      <c r="M54" s="10" t="s">
        <v>1016</v>
      </c>
      <c r="N54" s="44" t="s">
        <v>122</v>
      </c>
      <c r="O54" s="13" t="s">
        <v>123</v>
      </c>
      <c r="P54" s="10" t="s">
        <v>1017</v>
      </c>
      <c r="Q54" s="44" t="s">
        <v>124</v>
      </c>
      <c r="R54" s="13" t="s">
        <v>125</v>
      </c>
      <c r="S54" s="10" t="s">
        <v>1018</v>
      </c>
      <c r="T54" s="44" t="s">
        <v>152</v>
      </c>
      <c r="U54" s="13" t="s">
        <v>126</v>
      </c>
      <c r="V54" s="44" t="s">
        <v>128</v>
      </c>
      <c r="W54" s="45" t="s">
        <v>129</v>
      </c>
      <c r="X54" s="14" t="s">
        <v>132</v>
      </c>
      <c r="Y54" s="3"/>
      <c r="Z54" s="3"/>
      <c r="AA54" s="3"/>
      <c r="AB54" s="3"/>
      <c r="AC54" s="3"/>
      <c r="AD54" s="3"/>
      <c r="AE54" s="3"/>
      <c r="AF54" s="3"/>
      <c r="AG54" s="3"/>
      <c r="AH54" s="3"/>
      <c r="AI54" s="3"/>
      <c r="AJ54" s="3"/>
    </row>
    <row r="55" spans="1:38" ht="21" thickBot="1">
      <c r="A55" s="3"/>
      <c r="B55" s="11" t="s">
        <v>46</v>
      </c>
      <c r="C55" s="11" t="s">
        <v>46</v>
      </c>
      <c r="D55" s="11" t="s">
        <v>46</v>
      </c>
      <c r="E55" s="11" t="s">
        <v>46</v>
      </c>
      <c r="F55" s="11" t="s">
        <v>110</v>
      </c>
      <c r="G55" s="11" t="s">
        <v>157</v>
      </c>
      <c r="H55" s="15" t="s">
        <v>46</v>
      </c>
      <c r="I55" s="16" t="s">
        <v>116</v>
      </c>
      <c r="J55" s="11" t="s">
        <v>116</v>
      </c>
      <c r="K55" s="46" t="s">
        <v>46</v>
      </c>
      <c r="L55" s="16" t="s">
        <v>116</v>
      </c>
      <c r="M55" s="11" t="s">
        <v>116</v>
      </c>
      <c r="N55" s="46" t="s">
        <v>46</v>
      </c>
      <c r="O55" s="16" t="s">
        <v>116</v>
      </c>
      <c r="P55" s="11" t="s">
        <v>116</v>
      </c>
      <c r="Q55" s="46" t="s">
        <v>46</v>
      </c>
      <c r="R55" s="16" t="s">
        <v>116</v>
      </c>
      <c r="S55" s="11" t="s">
        <v>116</v>
      </c>
      <c r="T55" s="46" t="s">
        <v>46</v>
      </c>
      <c r="U55" s="16" t="s">
        <v>116</v>
      </c>
      <c r="V55" s="46" t="s">
        <v>116</v>
      </c>
      <c r="W55" s="47" t="s">
        <v>116</v>
      </c>
      <c r="X55" s="17" t="s">
        <v>133</v>
      </c>
      <c r="Y55" s="3"/>
      <c r="Z55" s="3"/>
      <c r="AA55" s="3"/>
      <c r="AB55" s="3"/>
      <c r="AC55" s="3"/>
      <c r="AD55" s="3"/>
      <c r="AE55" s="3"/>
      <c r="AF55" s="3"/>
      <c r="AG55" s="3"/>
      <c r="AH55" s="3"/>
      <c r="AI55" s="3"/>
      <c r="AJ55" s="3"/>
    </row>
    <row r="56" spans="1:38" ht="21" thickTop="1">
      <c r="A56" s="3"/>
      <c r="B56" s="25" t="s">
        <v>102</v>
      </c>
      <c r="C56" s="25" t="s">
        <v>156</v>
      </c>
      <c r="D56" s="25" t="s">
        <v>105</v>
      </c>
      <c r="E56" s="25" t="s">
        <v>108</v>
      </c>
      <c r="F56" s="25">
        <v>150</v>
      </c>
      <c r="G56" s="25">
        <v>33</v>
      </c>
      <c r="H56" s="25" t="s">
        <v>158</v>
      </c>
      <c r="I56" s="50">
        <v>3.1819999999999999</v>
      </c>
      <c r="J56" s="50">
        <v>166</v>
      </c>
      <c r="K56" s="50">
        <v>0.33</v>
      </c>
      <c r="L56" s="50">
        <v>7.5999999999999998E-2</v>
      </c>
      <c r="M56" s="50">
        <v>8</v>
      </c>
      <c r="N56" s="50">
        <v>0.02</v>
      </c>
      <c r="O56" s="50">
        <v>-1.4690000000000001</v>
      </c>
      <c r="P56" s="50">
        <v>147</v>
      </c>
      <c r="Q56" s="50">
        <v>0.36</v>
      </c>
      <c r="R56" s="50">
        <v>-0.18099999999999999</v>
      </c>
      <c r="S56" s="50">
        <v>9.1</v>
      </c>
      <c r="T56" s="50">
        <v>0.02</v>
      </c>
      <c r="U56" s="50">
        <v>0.125</v>
      </c>
      <c r="V56" s="50">
        <v>4</v>
      </c>
      <c r="W56" s="50">
        <v>8.5999999999999993E-2</v>
      </c>
      <c r="X56" s="50">
        <v>0.14699999999999999</v>
      </c>
      <c r="Y56" s="3"/>
      <c r="Z56" s="3"/>
      <c r="AA56" s="3"/>
      <c r="AB56" s="3"/>
      <c r="AC56" s="3"/>
      <c r="AD56" s="3"/>
      <c r="AE56" s="3"/>
      <c r="AF56" s="3"/>
      <c r="AG56" s="3"/>
      <c r="AH56" s="3"/>
      <c r="AI56" s="3"/>
      <c r="AJ56" s="3"/>
    </row>
    <row r="57" spans="1:38">
      <c r="A57" s="3"/>
      <c r="B57" s="1" t="s">
        <v>103</v>
      </c>
      <c r="C57" s="1" t="s">
        <v>159</v>
      </c>
      <c r="D57" s="1" t="s">
        <v>106</v>
      </c>
      <c r="E57" s="1" t="s">
        <v>108</v>
      </c>
      <c r="F57" s="1">
        <v>116</v>
      </c>
      <c r="G57" s="1">
        <v>33</v>
      </c>
      <c r="H57" s="1"/>
      <c r="I57" s="22">
        <v>2.2549999999999999</v>
      </c>
      <c r="J57" s="22">
        <v>215.74600000000001</v>
      </c>
      <c r="K57" s="22">
        <v>0.3</v>
      </c>
      <c r="L57" s="22">
        <v>4.9000000000000002E-2</v>
      </c>
      <c r="M57" s="22">
        <v>7.8449999999999998</v>
      </c>
      <c r="N57" s="22">
        <v>1.0908661110750603E-2</v>
      </c>
      <c r="O57" s="22">
        <v>-1.2258</v>
      </c>
      <c r="P57" s="22">
        <v>194.17140000000001</v>
      </c>
      <c r="Q57" s="22">
        <v>0.3</v>
      </c>
      <c r="R57" s="22">
        <v>-0.18099999999999999</v>
      </c>
      <c r="S57" s="22">
        <v>8.6295000000000002</v>
      </c>
      <c r="T57" s="22">
        <v>1.0908661110750603E-2</v>
      </c>
      <c r="U57" s="22">
        <v>0.125</v>
      </c>
      <c r="V57" s="22">
        <v>4.1188000000000002</v>
      </c>
      <c r="W57" s="22">
        <v>8.8300000000000003E-2</v>
      </c>
      <c r="X57" s="22">
        <v>0.113</v>
      </c>
      <c r="Y57" s="3"/>
      <c r="Z57" s="3"/>
      <c r="AA57" s="3"/>
      <c r="AB57" s="3"/>
      <c r="AC57" s="3"/>
      <c r="AD57" s="3"/>
      <c r="AE57" s="3"/>
      <c r="AF57" s="3"/>
      <c r="AG57" s="3"/>
      <c r="AH57" s="3"/>
      <c r="AI57" s="3"/>
      <c r="AJ57" s="3"/>
    </row>
    <row r="58" spans="1:38">
      <c r="A58" s="3"/>
      <c r="B58" s="3"/>
      <c r="C58" s="3"/>
      <c r="D58" s="3"/>
      <c r="E58" s="3"/>
      <c r="F58" s="3"/>
      <c r="G58" s="3"/>
      <c r="H58" s="3"/>
      <c r="I58" s="3"/>
      <c r="J58" s="3"/>
      <c r="K58" s="3"/>
      <c r="L58" s="3"/>
      <c r="M58" s="3"/>
      <c r="N58" s="3"/>
      <c r="O58" s="3"/>
      <c r="P58" s="3"/>
      <c r="AL58" s="3"/>
    </row>
    <row r="59" spans="1:38">
      <c r="A59" s="3"/>
      <c r="B59" s="3"/>
      <c r="C59" s="3"/>
      <c r="D59" s="3"/>
      <c r="E59" s="3"/>
      <c r="F59" s="3"/>
      <c r="G59" s="3"/>
      <c r="H59" s="3"/>
      <c r="I59" s="3"/>
      <c r="J59" s="3"/>
      <c r="K59" s="3"/>
      <c r="L59" s="3"/>
      <c r="M59" s="3"/>
      <c r="N59" s="3"/>
      <c r="O59" s="3"/>
      <c r="P59" s="3"/>
      <c r="AL59" s="3"/>
    </row>
    <row r="60" spans="1:38">
      <c r="A60" s="3"/>
      <c r="B60" s="3"/>
      <c r="C60" s="3"/>
      <c r="D60" s="3"/>
      <c r="E60" s="3"/>
      <c r="F60" s="3"/>
      <c r="G60" s="3"/>
      <c r="H60" s="3"/>
      <c r="I60" s="3"/>
      <c r="J60" s="3"/>
      <c r="K60" s="3"/>
      <c r="L60" s="3"/>
      <c r="M60" s="3"/>
      <c r="N60" s="3"/>
      <c r="O60" s="3"/>
      <c r="P60" s="3"/>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48"/>
      <c r="D63" s="48"/>
      <c r="E63" s="48"/>
      <c r="F63" s="48"/>
      <c r="G63" s="48"/>
      <c r="H63" s="48"/>
      <c r="I63" s="3"/>
      <c r="J63" s="3"/>
      <c r="K63" s="3"/>
      <c r="L63" s="3"/>
      <c r="M63" s="48"/>
      <c r="N63" s="48"/>
      <c r="O63" s="48"/>
      <c r="P63" s="48"/>
      <c r="Q63" s="48"/>
      <c r="R63" s="48"/>
      <c r="S63" s="3"/>
      <c r="T63" s="3"/>
      <c r="U63" s="3"/>
      <c r="AL63" s="3"/>
    </row>
    <row r="64" spans="1:38">
      <c r="A64" s="3"/>
      <c r="B64" s="3"/>
      <c r="C64" s="48"/>
      <c r="D64" s="48"/>
      <c r="E64" s="48"/>
      <c r="F64" s="48"/>
      <c r="G64" s="48"/>
      <c r="H64" s="48"/>
      <c r="I64" s="3"/>
      <c r="J64" s="3"/>
      <c r="K64" s="3"/>
      <c r="L64" s="3"/>
      <c r="M64" s="48"/>
      <c r="N64" s="48"/>
      <c r="O64" s="48"/>
      <c r="P64" s="48"/>
      <c r="Q64" s="48"/>
      <c r="R64" s="48"/>
      <c r="S64" s="3"/>
      <c r="T64" s="3"/>
      <c r="U64" s="3"/>
      <c r="AL64" s="3"/>
    </row>
    <row r="65" spans="1:38">
      <c r="A65" s="3"/>
      <c r="B65" s="26"/>
      <c r="C65" s="26"/>
      <c r="D65" s="26"/>
      <c r="E65" s="26"/>
      <c r="F65" s="26"/>
      <c r="G65" s="26"/>
      <c r="H65" s="26"/>
      <c r="I65" s="3"/>
      <c r="J65" s="3"/>
      <c r="K65" s="3"/>
      <c r="L65" s="26"/>
      <c r="M65" s="26"/>
      <c r="N65" s="26"/>
      <c r="O65" s="26"/>
      <c r="P65" s="26"/>
      <c r="Q65" s="26"/>
      <c r="R65" s="26"/>
      <c r="S65" s="3"/>
      <c r="T65" s="3"/>
      <c r="U65" s="3"/>
      <c r="AL65" s="3"/>
    </row>
    <row r="66" spans="1:38">
      <c r="A66" s="3"/>
      <c r="B66" s="26"/>
      <c r="C66" s="26"/>
      <c r="D66" s="26"/>
      <c r="E66" s="26"/>
      <c r="F66" s="26"/>
      <c r="G66" s="26"/>
      <c r="H66" s="26"/>
      <c r="I66" s="3"/>
      <c r="J66" s="3"/>
      <c r="K66" s="3"/>
      <c r="L66" s="26"/>
      <c r="M66" s="26"/>
      <c r="N66" s="26"/>
      <c r="O66" s="26"/>
      <c r="P66" s="26"/>
      <c r="Q66" s="26"/>
      <c r="R66" s="26"/>
      <c r="S66" s="3"/>
      <c r="T66" s="3"/>
      <c r="U66" s="3"/>
      <c r="AL66" s="3"/>
    </row>
    <row r="67" spans="1:38">
      <c r="A67" s="3"/>
      <c r="B67" s="26"/>
      <c r="C67" s="26"/>
      <c r="D67" s="26"/>
      <c r="E67" s="26"/>
      <c r="F67" s="26"/>
      <c r="G67" s="26"/>
      <c r="H67" s="26"/>
      <c r="I67" s="3"/>
      <c r="J67" s="3"/>
      <c r="K67" s="3"/>
      <c r="L67" s="26"/>
      <c r="M67" s="26"/>
      <c r="N67" s="26"/>
      <c r="O67" s="26"/>
      <c r="P67" s="26"/>
      <c r="Q67" s="26"/>
      <c r="R67" s="26"/>
      <c r="S67" s="3"/>
      <c r="T67" s="3"/>
      <c r="U67" s="3"/>
      <c r="AL67" s="3"/>
    </row>
    <row r="68" spans="1:38">
      <c r="A68" s="3"/>
      <c r="B68" s="3"/>
      <c r="C68" s="3"/>
      <c r="D68" s="26"/>
      <c r="E68" s="26"/>
      <c r="F68" s="26"/>
      <c r="G68" s="26"/>
      <c r="H68" s="26"/>
      <c r="I68" s="3"/>
      <c r="J68" s="3"/>
      <c r="K68" s="3"/>
      <c r="L68" s="3"/>
      <c r="M68" s="3"/>
      <c r="N68" s="26"/>
      <c r="O68" s="26"/>
      <c r="P68" s="26"/>
      <c r="Q68" s="26"/>
      <c r="R68" s="26"/>
      <c r="S68" s="3"/>
      <c r="T68" s="3"/>
      <c r="U68" s="3"/>
      <c r="AL68" s="3"/>
    </row>
    <row r="69" spans="1:38">
      <c r="A69" s="3"/>
      <c r="B69" s="3"/>
      <c r="C69" s="3"/>
      <c r="D69" s="26"/>
      <c r="E69" s="26"/>
      <c r="F69" s="26"/>
      <c r="G69" s="26"/>
      <c r="H69" s="26"/>
      <c r="I69" s="3"/>
      <c r="J69" s="3"/>
      <c r="K69" s="3"/>
      <c r="L69" s="3"/>
      <c r="M69" s="3"/>
      <c r="N69" s="26"/>
      <c r="O69" s="26"/>
      <c r="P69" s="26"/>
      <c r="Q69" s="26"/>
      <c r="R69" s="26"/>
      <c r="S69" s="3"/>
      <c r="T69" s="3"/>
      <c r="U69" s="3"/>
      <c r="AL69" s="3"/>
    </row>
    <row r="70" spans="1:38">
      <c r="A70" s="26"/>
      <c r="B70" s="49"/>
      <c r="C70" s="49"/>
      <c r="D70" s="49"/>
      <c r="E70" s="49"/>
      <c r="F70" s="49"/>
      <c r="G70" s="49"/>
      <c r="H70" s="49"/>
      <c r="I70" s="3"/>
      <c r="J70" s="3"/>
      <c r="K70" s="26"/>
      <c r="L70" s="49"/>
      <c r="M70" s="49"/>
      <c r="N70" s="49"/>
      <c r="O70" s="49"/>
      <c r="P70" s="49"/>
      <c r="Q70" s="49"/>
      <c r="R70" s="49"/>
      <c r="S70" s="3"/>
      <c r="T70" s="3"/>
      <c r="U70" s="3"/>
      <c r="AL70" s="3"/>
    </row>
    <row r="71" spans="1:38">
      <c r="A71" s="26"/>
      <c r="B71" s="49"/>
      <c r="C71" s="49"/>
      <c r="D71" s="49"/>
      <c r="E71" s="49"/>
      <c r="F71" s="49"/>
      <c r="G71" s="49"/>
      <c r="H71" s="49"/>
      <c r="I71" s="3"/>
      <c r="J71" s="3"/>
      <c r="K71" s="26"/>
      <c r="L71" s="49"/>
      <c r="M71" s="49"/>
      <c r="N71" s="49"/>
      <c r="O71" s="49"/>
      <c r="P71" s="49"/>
      <c r="Q71" s="49"/>
      <c r="R71" s="49"/>
      <c r="S71" s="3"/>
      <c r="T71" s="3"/>
      <c r="U71" s="3"/>
      <c r="AL71" s="3"/>
    </row>
    <row r="72" spans="1:38">
      <c r="A72" s="26"/>
      <c r="B72" s="49"/>
      <c r="C72" s="49"/>
      <c r="D72" s="49"/>
      <c r="E72" s="49"/>
      <c r="F72" s="49"/>
      <c r="G72" s="49"/>
      <c r="H72" s="49"/>
      <c r="I72" s="3"/>
      <c r="J72" s="3"/>
      <c r="K72" s="26"/>
      <c r="L72" s="49"/>
      <c r="M72" s="49"/>
      <c r="N72" s="49"/>
      <c r="O72" s="49"/>
      <c r="P72" s="49"/>
      <c r="Q72" s="49"/>
      <c r="R72" s="49"/>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26"/>
      <c r="P75" s="26"/>
      <c r="Q75" s="26"/>
      <c r="R75" s="26"/>
      <c r="S75" s="3"/>
      <c r="T75" s="3"/>
      <c r="U75" s="3"/>
      <c r="AL75" s="3"/>
    </row>
    <row r="76" spans="1:38">
      <c r="A76" s="3"/>
      <c r="B76" s="3"/>
      <c r="C76" s="3"/>
      <c r="D76" s="3"/>
      <c r="E76" s="3"/>
      <c r="F76" s="3"/>
      <c r="G76" s="3"/>
      <c r="H76" s="3"/>
      <c r="I76" s="3"/>
      <c r="J76" s="3"/>
      <c r="K76" s="3"/>
      <c r="L76" s="3"/>
      <c r="M76" s="3"/>
      <c r="N76" s="3"/>
      <c r="O76" s="26"/>
      <c r="P76" s="26"/>
      <c r="Q76" s="26"/>
      <c r="R76" s="26"/>
      <c r="S76" s="3"/>
      <c r="T76" s="3"/>
      <c r="U76" s="3"/>
      <c r="AL76" s="3"/>
    </row>
    <row r="77" spans="1:38">
      <c r="A77" s="3"/>
      <c r="B77" s="3"/>
      <c r="C77" s="3"/>
      <c r="D77" s="3"/>
      <c r="E77" s="3"/>
      <c r="F77" s="3"/>
      <c r="G77" s="3"/>
      <c r="H77" s="3"/>
      <c r="I77" s="3"/>
      <c r="J77" s="3"/>
      <c r="K77" s="3"/>
      <c r="L77" s="3"/>
      <c r="M77" s="3"/>
      <c r="N77" s="3"/>
      <c r="O77" s="26"/>
      <c r="P77" s="26"/>
      <c r="Q77" s="26"/>
      <c r="R77" s="26"/>
      <c r="S77" s="3"/>
      <c r="T77" s="3"/>
      <c r="U77" s="3"/>
      <c r="AL77" s="3"/>
    </row>
    <row r="78" spans="1:38">
      <c r="A78" s="3"/>
      <c r="B78" s="3"/>
      <c r="C78" s="3"/>
      <c r="D78" s="3"/>
      <c r="E78" s="3"/>
      <c r="F78" s="3"/>
      <c r="G78" s="3"/>
      <c r="H78" s="3"/>
      <c r="I78" s="3"/>
      <c r="J78" s="3"/>
      <c r="K78" s="3"/>
      <c r="L78" s="3"/>
      <c r="M78" s="3"/>
      <c r="N78" s="3"/>
      <c r="O78" s="26"/>
      <c r="P78" s="26"/>
      <c r="Q78" s="26"/>
      <c r="R78" s="26"/>
      <c r="S78" s="3"/>
      <c r="T78" s="3"/>
      <c r="U78" s="3"/>
      <c r="AL78" s="3"/>
    </row>
    <row r="79" spans="1:38">
      <c r="A79" s="3"/>
      <c r="B79" s="3"/>
      <c r="C79" s="3"/>
      <c r="D79" s="3"/>
      <c r="E79" s="3"/>
      <c r="F79" s="3"/>
      <c r="G79" s="3"/>
      <c r="H79" s="3"/>
      <c r="I79" s="3"/>
      <c r="J79" s="3"/>
      <c r="K79" s="3"/>
      <c r="L79" s="3"/>
      <c r="M79" s="3"/>
      <c r="N79" s="3"/>
      <c r="O79" s="26"/>
      <c r="P79" s="26"/>
      <c r="Q79" s="26"/>
      <c r="R79" s="26"/>
      <c r="S79" s="3"/>
      <c r="T79" s="3"/>
      <c r="U79" s="3"/>
      <c r="AL79" s="3"/>
    </row>
    <row r="80" spans="1:38">
      <c r="A80" s="3"/>
      <c r="B80" s="3"/>
      <c r="C80" s="3"/>
      <c r="D80" s="3"/>
      <c r="E80" s="3"/>
      <c r="F80" s="3"/>
      <c r="G80" s="3"/>
      <c r="H80" s="3"/>
      <c r="I80" s="3"/>
      <c r="J80" s="3"/>
      <c r="K80" s="3"/>
      <c r="L80" s="3"/>
      <c r="M80" s="3"/>
      <c r="N80" s="3"/>
      <c r="O80" s="26"/>
      <c r="P80" s="26"/>
      <c r="Q80" s="26"/>
      <c r="R80" s="26"/>
      <c r="S80" s="3"/>
      <c r="T80" s="3"/>
      <c r="U80" s="3"/>
      <c r="AL80" s="3"/>
    </row>
    <row r="81" spans="1:38">
      <c r="A81" s="3"/>
      <c r="B81" s="3"/>
      <c r="C81" s="3"/>
      <c r="D81" s="3"/>
      <c r="E81" s="3"/>
      <c r="F81" s="3"/>
      <c r="G81" s="3"/>
      <c r="H81" s="3"/>
      <c r="I81" s="3"/>
      <c r="J81" s="3"/>
      <c r="K81" s="3"/>
      <c r="L81" s="3"/>
      <c r="M81" s="3"/>
      <c r="N81" s="3"/>
      <c r="O81" s="26"/>
      <c r="P81" s="26"/>
      <c r="Q81" s="26"/>
      <c r="R81" s="26"/>
      <c r="S81" s="3"/>
      <c r="T81" s="3"/>
      <c r="U81" s="3"/>
      <c r="AL81" s="3"/>
    </row>
    <row r="82" spans="1:38">
      <c r="A82" s="3"/>
      <c r="B82" s="3"/>
      <c r="C82" s="3"/>
      <c r="D82" s="3"/>
      <c r="E82" s="3"/>
      <c r="F82" s="3"/>
      <c r="G82" s="3"/>
      <c r="H82" s="3"/>
      <c r="I82" s="3"/>
      <c r="J82" s="3"/>
      <c r="K82" s="3"/>
      <c r="L82" s="3"/>
      <c r="M82" s="3"/>
      <c r="N82" s="3"/>
      <c r="O82" s="26"/>
      <c r="P82" s="26"/>
      <c r="Q82" s="26"/>
      <c r="R82" s="26"/>
      <c r="S82" s="3"/>
      <c r="T82" s="3"/>
      <c r="U82" s="3"/>
      <c r="AL82" s="3"/>
    </row>
    <row r="83" spans="1:38">
      <c r="A83" s="3"/>
      <c r="B83" s="3"/>
      <c r="C83" s="3"/>
      <c r="D83" s="3"/>
      <c r="E83" s="3"/>
      <c r="F83" s="3"/>
      <c r="G83" s="3"/>
      <c r="H83" s="3"/>
      <c r="I83" s="3"/>
      <c r="J83" s="3"/>
      <c r="K83" s="3"/>
      <c r="L83" s="3"/>
      <c r="M83" s="3"/>
      <c r="N83" s="3"/>
      <c r="O83" s="26"/>
      <c r="P83" s="26"/>
      <c r="Q83" s="26"/>
      <c r="R83" s="26"/>
      <c r="S83" s="3"/>
      <c r="T83" s="3"/>
      <c r="U83" s="3"/>
      <c r="AL83" s="3"/>
    </row>
    <row r="84" spans="1:38">
      <c r="A84" s="3"/>
      <c r="B84" s="3"/>
      <c r="C84" s="3"/>
      <c r="D84" s="3"/>
      <c r="E84" s="3"/>
      <c r="F84" s="3"/>
      <c r="G84" s="3"/>
      <c r="H84" s="3"/>
      <c r="I84" s="3"/>
      <c r="J84" s="3"/>
      <c r="K84" s="3"/>
      <c r="L84" s="3"/>
      <c r="M84" s="3"/>
      <c r="N84" s="3"/>
      <c r="O84" s="26"/>
      <c r="P84" s="26"/>
      <c r="Q84" s="26"/>
      <c r="R84" s="26"/>
      <c r="S84" s="3"/>
      <c r="T84" s="3"/>
      <c r="U84" s="3"/>
      <c r="AL84" s="3"/>
    </row>
    <row r="85" spans="1:38">
      <c r="A85" s="3"/>
      <c r="B85" s="3"/>
      <c r="C85" s="3"/>
      <c r="D85" s="3"/>
      <c r="E85" s="3"/>
      <c r="F85" s="3"/>
      <c r="G85" s="3"/>
      <c r="H85" s="3"/>
      <c r="I85" s="3"/>
      <c r="J85" s="3"/>
      <c r="K85" s="3"/>
      <c r="L85" s="3"/>
      <c r="M85" s="3"/>
      <c r="N85" s="3"/>
      <c r="O85" s="26"/>
      <c r="P85" s="26"/>
      <c r="Q85" s="26"/>
      <c r="R85" s="26"/>
      <c r="S85" s="3"/>
      <c r="T85" s="3"/>
      <c r="U85" s="3"/>
      <c r="AL85" s="3"/>
    </row>
    <row r="86" spans="1:38">
      <c r="A86" s="3"/>
      <c r="B86" s="3"/>
      <c r="C86" s="3"/>
      <c r="D86" s="3"/>
      <c r="E86" s="3"/>
      <c r="F86" s="3"/>
      <c r="G86" s="3"/>
      <c r="H86" s="3"/>
      <c r="I86" s="3"/>
      <c r="J86" s="3"/>
      <c r="K86" s="3"/>
      <c r="L86" s="3"/>
      <c r="M86" s="3"/>
      <c r="N86" s="3"/>
      <c r="O86" s="26"/>
      <c r="P86" s="26"/>
      <c r="Q86" s="26"/>
      <c r="R86" s="26"/>
      <c r="S86" s="3"/>
      <c r="T86" s="3"/>
      <c r="U86" s="3"/>
      <c r="AL86" s="3"/>
    </row>
    <row r="87" spans="1:38">
      <c r="A87" s="3"/>
      <c r="B87" s="3"/>
      <c r="C87" s="3"/>
      <c r="D87" s="3"/>
      <c r="E87" s="3"/>
      <c r="F87" s="3"/>
      <c r="G87" s="3"/>
      <c r="H87" s="3"/>
      <c r="I87" s="3"/>
      <c r="J87" s="3"/>
      <c r="K87" s="3"/>
      <c r="L87" s="3"/>
      <c r="M87" s="3"/>
      <c r="N87" s="3"/>
      <c r="O87" s="26"/>
      <c r="P87" s="26"/>
      <c r="Q87" s="26"/>
      <c r="R87" s="26"/>
      <c r="S87" s="3"/>
      <c r="T87" s="3"/>
      <c r="U87" s="3"/>
      <c r="AL87" s="3"/>
    </row>
    <row r="88" spans="1:38">
      <c r="A88" s="3"/>
      <c r="B88" s="3"/>
      <c r="C88" s="3"/>
      <c r="D88" s="3"/>
      <c r="E88" s="3"/>
      <c r="F88" s="3"/>
      <c r="G88" s="3"/>
      <c r="H88" s="3"/>
      <c r="I88" s="3"/>
      <c r="J88" s="3"/>
      <c r="K88" s="3"/>
      <c r="L88" s="3"/>
      <c r="M88" s="3"/>
      <c r="N88" s="3"/>
      <c r="O88" s="26"/>
      <c r="P88" s="26"/>
      <c r="Q88" s="26"/>
      <c r="R88" s="26"/>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26"/>
      <c r="P89" s="26"/>
      <c r="Q89" s="26"/>
      <c r="R89" s="26"/>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26"/>
      <c r="P90" s="26"/>
      <c r="Q90" s="26"/>
      <c r="R90" s="26"/>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26"/>
      <c r="P91" s="26"/>
      <c r="Q91" s="26"/>
      <c r="R91" s="26"/>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26">
    <mergeCell ref="N15:P15"/>
    <mergeCell ref="N16:P16"/>
    <mergeCell ref="F14:I14"/>
    <mergeCell ref="F3:I3"/>
    <mergeCell ref="F4:I4"/>
    <mergeCell ref="F5:I5"/>
    <mergeCell ref="F6:I6"/>
    <mergeCell ref="F7:I7"/>
    <mergeCell ref="F8:I8"/>
    <mergeCell ref="F9:I9"/>
    <mergeCell ref="F10:I10"/>
    <mergeCell ref="F11:I11"/>
    <mergeCell ref="F12:I12"/>
    <mergeCell ref="F13:I13"/>
    <mergeCell ref="N3:P3"/>
    <mergeCell ref="N4:P4"/>
    <mergeCell ref="N5:P5"/>
    <mergeCell ref="N6:P6"/>
    <mergeCell ref="N7:P7"/>
    <mergeCell ref="N8:P8"/>
    <mergeCell ref="N9:P9"/>
    <mergeCell ref="N10:P10"/>
    <mergeCell ref="N11:P11"/>
    <mergeCell ref="N12:P12"/>
    <mergeCell ref="N13:P13"/>
    <mergeCell ref="N14:P14"/>
  </mergeCells>
  <phoneticPr fontId="3"/>
  <dataValidations count="1">
    <dataValidation type="list" allowBlank="1" showInputMessage="1" showErrorMessage="1" sqref="M5:M8" xr:uid="{9869AF96-81CB-474A-B168-728E116357DC}">
      <formula1>"あり,なし"</formula1>
    </dataValidation>
  </dataValidations>
  <hyperlinks>
    <hyperlink ref="F4" r:id="rId1" xr:uid="{C6B42BBF-4995-429F-A45D-BE567FE19C78}"/>
    <hyperlink ref="F5" r:id="rId2" xr:uid="{BAD3EEDA-54CC-4BFD-B693-7660153C2744}"/>
    <hyperlink ref="I23" r:id="rId3" xr:uid="{553D53E2-6DAF-3941-A3BE-53F3AFC80A2D}"/>
    <hyperlink ref="I24" r:id="rId4" xr:uid="{F32DD154-C026-1342-BD03-5471A9581A19}"/>
  </hyperlinks>
  <pageMargins left="0.7" right="0.7" top="0.75" bottom="0.75" header="0.3" footer="0.3"/>
  <pageSetup paperSize="9" orientation="portrait" horizontalDpi="0" verticalDpi="0"/>
  <legacyDrawing r:id="rId5"/>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zoomScale="92" zoomScaleNormal="70" workbookViewId="0">
      <selection activeCell="F45" sqref="F45"/>
    </sheetView>
  </sheetViews>
  <sheetFormatPr baseColWidth="10" defaultColWidth="8.7109375" defaultRowHeight="20"/>
  <sheetData>
    <row r="2" spans="2:27">
      <c r="B2" s="26"/>
      <c r="C2" s="10" t="s">
        <v>180</v>
      </c>
      <c r="D2" s="10" t="s">
        <v>181</v>
      </c>
      <c r="E2" s="10" t="s">
        <v>182</v>
      </c>
      <c r="K2" s="52"/>
      <c r="L2" s="52"/>
      <c r="M2" s="52"/>
      <c r="N2" s="52"/>
      <c r="O2" s="52"/>
      <c r="P2" s="52"/>
      <c r="S2" s="52"/>
      <c r="T2" s="52"/>
      <c r="U2" s="52"/>
      <c r="V2" s="52"/>
      <c r="W2" s="52"/>
      <c r="X2" s="52"/>
      <c r="Y2" s="52"/>
      <c r="Z2" s="52"/>
      <c r="AA2" s="52"/>
    </row>
    <row r="3" spans="2:27">
      <c r="B3" s="53"/>
      <c r="C3" s="258" t="s">
        <v>183</v>
      </c>
      <c r="D3" s="258"/>
      <c r="E3" s="258"/>
      <c r="F3" s="54">
        <v>2023</v>
      </c>
      <c r="G3" s="54">
        <v>2022</v>
      </c>
      <c r="H3" s="54">
        <v>2021</v>
      </c>
      <c r="I3" s="54">
        <v>2020</v>
      </c>
      <c r="J3" s="54">
        <v>2019</v>
      </c>
      <c r="K3" s="54">
        <v>2018</v>
      </c>
      <c r="L3" s="54">
        <v>2017</v>
      </c>
      <c r="M3" s="54">
        <v>2016</v>
      </c>
      <c r="N3" s="54">
        <v>2015</v>
      </c>
      <c r="O3" s="54">
        <v>2014</v>
      </c>
      <c r="P3" s="54">
        <v>2013</v>
      </c>
      <c r="Q3" s="54">
        <v>2012</v>
      </c>
      <c r="R3" s="54">
        <v>2011</v>
      </c>
      <c r="S3" s="54">
        <v>2010</v>
      </c>
      <c r="T3" s="54">
        <v>2009</v>
      </c>
      <c r="U3" s="54">
        <v>2008</v>
      </c>
      <c r="V3" s="54">
        <v>2007</v>
      </c>
      <c r="W3" s="54">
        <v>2006</v>
      </c>
      <c r="X3" s="54">
        <v>2005</v>
      </c>
      <c r="Y3" s="54">
        <v>2004</v>
      </c>
      <c r="Z3" s="54">
        <v>2003</v>
      </c>
    </row>
    <row r="4" spans="2:27">
      <c r="B4" s="26"/>
      <c r="C4" s="259" t="s">
        <v>184</v>
      </c>
      <c r="D4" s="259"/>
      <c r="E4" s="259"/>
      <c r="F4" s="1" t="s">
        <v>185</v>
      </c>
      <c r="G4" s="55" t="s">
        <v>186</v>
      </c>
      <c r="H4" s="55" t="s">
        <v>187</v>
      </c>
      <c r="I4" s="55" t="s">
        <v>188</v>
      </c>
      <c r="J4" s="55" t="s">
        <v>189</v>
      </c>
      <c r="K4" s="55" t="s">
        <v>190</v>
      </c>
      <c r="L4" s="55" t="s">
        <v>191</v>
      </c>
      <c r="M4" s="55" t="s">
        <v>192</v>
      </c>
      <c r="N4" s="55" t="s">
        <v>193</v>
      </c>
      <c r="O4" s="55" t="s">
        <v>194</v>
      </c>
      <c r="P4" s="55" t="s">
        <v>195</v>
      </c>
      <c r="Q4" s="55" t="s">
        <v>196</v>
      </c>
      <c r="R4" s="55" t="s">
        <v>197</v>
      </c>
      <c r="S4" s="55" t="s">
        <v>198</v>
      </c>
      <c r="T4" s="55" t="s">
        <v>199</v>
      </c>
      <c r="U4" s="55" t="s">
        <v>200</v>
      </c>
      <c r="V4" s="55" t="s">
        <v>201</v>
      </c>
      <c r="W4" s="55" t="s">
        <v>202</v>
      </c>
      <c r="X4" s="55" t="s">
        <v>203</v>
      </c>
      <c r="Y4" s="55" t="s">
        <v>204</v>
      </c>
      <c r="Z4" s="55" t="s">
        <v>205</v>
      </c>
    </row>
    <row r="5" spans="2:27">
      <c r="B5" s="26"/>
      <c r="C5" s="259" t="s">
        <v>47</v>
      </c>
      <c r="D5" s="259"/>
      <c r="E5" s="259"/>
      <c r="F5" s="1" t="s">
        <v>206</v>
      </c>
      <c r="G5" s="55" t="s">
        <v>207</v>
      </c>
      <c r="H5" s="55" t="s">
        <v>208</v>
      </c>
      <c r="I5" s="55" t="s">
        <v>209</v>
      </c>
      <c r="J5" s="55" t="s">
        <v>210</v>
      </c>
      <c r="K5" s="55" t="s">
        <v>210</v>
      </c>
      <c r="L5" s="55" t="s">
        <v>211</v>
      </c>
      <c r="M5" s="55" t="s">
        <v>211</v>
      </c>
      <c r="N5" s="55" t="s">
        <v>212</v>
      </c>
      <c r="O5" s="55" t="s">
        <v>212</v>
      </c>
      <c r="P5" s="55" t="s">
        <v>212</v>
      </c>
      <c r="Q5" s="55" t="s">
        <v>213</v>
      </c>
      <c r="R5" s="55" t="s">
        <v>213</v>
      </c>
      <c r="S5" s="55" t="s">
        <v>213</v>
      </c>
      <c r="T5" s="55" t="s">
        <v>213</v>
      </c>
      <c r="U5" s="55" t="s">
        <v>214</v>
      </c>
      <c r="V5" s="55" t="s">
        <v>215</v>
      </c>
      <c r="W5" s="55" t="s">
        <v>215</v>
      </c>
      <c r="X5" s="55" t="s">
        <v>215</v>
      </c>
      <c r="Y5" s="55" t="s">
        <v>216</v>
      </c>
      <c r="Z5" s="55" t="s">
        <v>216</v>
      </c>
    </row>
    <row r="6" spans="2:27">
      <c r="B6" s="26"/>
      <c r="C6" s="259" t="s">
        <v>217</v>
      </c>
      <c r="D6" s="259"/>
      <c r="E6" s="259"/>
      <c r="F6" s="1" t="s">
        <v>218</v>
      </c>
      <c r="G6" s="55" t="s">
        <v>219</v>
      </c>
      <c r="H6" s="55" t="s">
        <v>220</v>
      </c>
      <c r="I6" s="55" t="s">
        <v>221</v>
      </c>
      <c r="J6" s="55" t="s">
        <v>222</v>
      </c>
      <c r="K6" s="55" t="s">
        <v>223</v>
      </c>
      <c r="L6" s="55" t="s">
        <v>224</v>
      </c>
      <c r="M6" s="55" t="s">
        <v>225</v>
      </c>
      <c r="N6" s="55" t="s">
        <v>226</v>
      </c>
      <c r="O6" s="55" t="s">
        <v>227</v>
      </c>
      <c r="P6" s="55" t="s">
        <v>228</v>
      </c>
      <c r="Q6" s="55" t="s">
        <v>229</v>
      </c>
      <c r="R6" s="55" t="s">
        <v>230</v>
      </c>
      <c r="S6" s="55" t="s">
        <v>231</v>
      </c>
      <c r="T6" s="55" t="s">
        <v>232</v>
      </c>
      <c r="U6" s="55" t="s">
        <v>233</v>
      </c>
      <c r="V6" s="55" t="s">
        <v>234</v>
      </c>
      <c r="W6" s="55" t="s">
        <v>235</v>
      </c>
      <c r="X6" s="55" t="s">
        <v>236</v>
      </c>
      <c r="Y6" s="55" t="s">
        <v>237</v>
      </c>
      <c r="Z6" s="55" t="s">
        <v>238</v>
      </c>
    </row>
    <row r="7" spans="2:27">
      <c r="B7" s="26"/>
      <c r="C7" s="259" t="s">
        <v>239</v>
      </c>
      <c r="D7" s="259"/>
      <c r="E7" s="259"/>
      <c r="F7" s="1" t="s">
        <v>240</v>
      </c>
      <c r="G7" s="55" t="s">
        <v>220</v>
      </c>
      <c r="H7" s="55" t="s">
        <v>221</v>
      </c>
      <c r="I7" s="55" t="s">
        <v>241</v>
      </c>
      <c r="J7" s="55" t="s">
        <v>242</v>
      </c>
      <c r="K7" s="55" t="s">
        <v>243</v>
      </c>
      <c r="L7" s="55" t="s">
        <v>244</v>
      </c>
      <c r="M7" s="55" t="s">
        <v>226</v>
      </c>
      <c r="N7" s="55" t="s">
        <v>245</v>
      </c>
      <c r="O7" s="55" t="s">
        <v>228</v>
      </c>
      <c r="P7" s="55" t="s">
        <v>246</v>
      </c>
      <c r="Q7" s="55" t="s">
        <v>247</v>
      </c>
      <c r="R7" s="55" t="s">
        <v>247</v>
      </c>
      <c r="S7" s="55" t="s">
        <v>248</v>
      </c>
      <c r="T7" s="55" t="s">
        <v>232</v>
      </c>
      <c r="U7" s="55" t="s">
        <v>215</v>
      </c>
      <c r="V7" s="55" t="s">
        <v>234</v>
      </c>
      <c r="W7" s="55" t="s">
        <v>235</v>
      </c>
      <c r="X7" s="55" t="s">
        <v>236</v>
      </c>
      <c r="Y7" s="55" t="s">
        <v>237</v>
      </c>
      <c r="Z7" s="55" t="s">
        <v>238</v>
      </c>
    </row>
    <row r="8" spans="2:27">
      <c r="B8" s="26"/>
      <c r="C8" s="259" t="s">
        <v>249</v>
      </c>
      <c r="D8" s="259"/>
      <c r="E8" s="259"/>
      <c r="F8" s="1"/>
      <c r="G8" s="55" t="s">
        <v>46</v>
      </c>
      <c r="H8" s="55" t="s">
        <v>250</v>
      </c>
      <c r="I8" s="55" t="s">
        <v>251</v>
      </c>
      <c r="J8" s="55">
        <v>317.57</v>
      </c>
      <c r="K8" s="55">
        <v>127.75</v>
      </c>
      <c r="L8" s="55">
        <v>352.44</v>
      </c>
      <c r="M8" s="55">
        <v>332.91</v>
      </c>
      <c r="N8" s="55">
        <v>373.75</v>
      </c>
      <c r="O8" s="55">
        <v>350.77</v>
      </c>
      <c r="P8" s="55">
        <v>390.73</v>
      </c>
      <c r="Q8" s="55">
        <v>369.38</v>
      </c>
      <c r="R8" s="55">
        <v>27.18</v>
      </c>
      <c r="S8" s="55">
        <v>371.8</v>
      </c>
      <c r="T8" s="55" t="s">
        <v>252</v>
      </c>
      <c r="U8" s="55">
        <v>341.14</v>
      </c>
      <c r="V8" s="55">
        <v>241.56</v>
      </c>
      <c r="W8" s="55">
        <v>40.92</v>
      </c>
      <c r="X8" s="55">
        <v>37.67</v>
      </c>
      <c r="Y8" s="55">
        <v>34.96</v>
      </c>
      <c r="Z8" s="55">
        <v>41.96</v>
      </c>
    </row>
    <row r="9" spans="2:27">
      <c r="B9" s="53"/>
      <c r="C9" s="258" t="s">
        <v>253</v>
      </c>
      <c r="D9" s="258"/>
      <c r="E9" s="258"/>
      <c r="F9" s="56"/>
      <c r="G9" s="56" t="s">
        <v>46</v>
      </c>
      <c r="H9" s="56" t="s">
        <v>250</v>
      </c>
      <c r="I9" s="56" t="s">
        <v>251</v>
      </c>
      <c r="J9" s="56">
        <v>2</v>
      </c>
      <c r="K9" s="56">
        <v>5</v>
      </c>
      <c r="L9" s="56">
        <v>3</v>
      </c>
      <c r="M9" s="56">
        <v>3</v>
      </c>
      <c r="N9" s="56">
        <v>1</v>
      </c>
      <c r="O9" s="56">
        <v>4</v>
      </c>
      <c r="P9" s="56">
        <v>2</v>
      </c>
      <c r="Q9" s="56">
        <v>2</v>
      </c>
      <c r="R9" s="56" t="s">
        <v>45</v>
      </c>
      <c r="S9" s="56">
        <v>2</v>
      </c>
      <c r="T9" s="56" t="s">
        <v>254</v>
      </c>
      <c r="U9" s="56">
        <v>2</v>
      </c>
      <c r="V9" s="56">
        <v>5</v>
      </c>
      <c r="W9" s="56" t="s">
        <v>45</v>
      </c>
      <c r="X9" s="56" t="s">
        <v>45</v>
      </c>
      <c r="Y9" s="56">
        <v>6</v>
      </c>
      <c r="Z9" s="56">
        <v>8</v>
      </c>
    </row>
    <row r="10" spans="2:27">
      <c r="B10" s="26"/>
      <c r="C10" s="55" t="s">
        <v>255</v>
      </c>
      <c r="D10" s="259" t="s">
        <v>256</v>
      </c>
      <c r="E10" s="259"/>
      <c r="F10" s="1" t="s">
        <v>257</v>
      </c>
      <c r="G10" s="55"/>
      <c r="H10" s="55"/>
      <c r="I10" s="55"/>
      <c r="J10" s="55"/>
      <c r="K10" s="55" t="s">
        <v>258</v>
      </c>
      <c r="L10" s="55" t="s">
        <v>259</v>
      </c>
      <c r="M10" s="55" t="s">
        <v>259</v>
      </c>
      <c r="N10" s="55" t="s">
        <v>259</v>
      </c>
      <c r="O10" s="55" t="s">
        <v>259</v>
      </c>
      <c r="P10" s="55" t="s">
        <v>259</v>
      </c>
      <c r="Q10" s="55" t="s">
        <v>259</v>
      </c>
      <c r="R10" s="55" t="s">
        <v>259</v>
      </c>
      <c r="S10" s="55" t="s">
        <v>259</v>
      </c>
      <c r="T10" s="55" t="s">
        <v>259</v>
      </c>
      <c r="U10" s="55" t="s">
        <v>259</v>
      </c>
      <c r="V10" s="55" t="s">
        <v>259</v>
      </c>
      <c r="W10" s="55" t="s">
        <v>259</v>
      </c>
      <c r="X10" s="55" t="s">
        <v>259</v>
      </c>
      <c r="Y10" s="55" t="s">
        <v>259</v>
      </c>
      <c r="Z10" s="55" t="s">
        <v>259</v>
      </c>
    </row>
    <row r="11" spans="2:27">
      <c r="B11" s="26"/>
      <c r="C11" s="55"/>
      <c r="D11" s="259" t="s">
        <v>260</v>
      </c>
      <c r="E11" s="259"/>
      <c r="F11" s="1" t="s">
        <v>261</v>
      </c>
      <c r="G11" s="55" t="s">
        <v>261</v>
      </c>
      <c r="H11" s="55" t="s">
        <v>262</v>
      </c>
      <c r="I11" s="55" t="s">
        <v>262</v>
      </c>
      <c r="J11" s="55" t="s">
        <v>263</v>
      </c>
      <c r="K11" s="55" t="s">
        <v>263</v>
      </c>
      <c r="L11" s="55"/>
      <c r="M11" s="55"/>
      <c r="N11" s="55" t="s">
        <v>262</v>
      </c>
      <c r="O11" s="55" t="s">
        <v>262</v>
      </c>
      <c r="P11" s="55"/>
      <c r="Q11" s="55"/>
      <c r="R11" s="55"/>
      <c r="S11" s="55"/>
      <c r="T11" s="55"/>
      <c r="U11" s="55"/>
      <c r="V11" s="55"/>
      <c r="W11" s="55"/>
      <c r="X11" s="55"/>
      <c r="Y11" s="55"/>
      <c r="Z11" s="55"/>
    </row>
    <row r="12" spans="2:27">
      <c r="B12" s="256" t="s">
        <v>264</v>
      </c>
      <c r="C12" s="55" t="s">
        <v>265</v>
      </c>
      <c r="D12" s="55" t="s">
        <v>179</v>
      </c>
      <c r="E12" s="55" t="s">
        <v>266</v>
      </c>
      <c r="F12" s="55">
        <v>1.5764761738534672</v>
      </c>
      <c r="G12" s="1">
        <v>1.4620544906879693</v>
      </c>
      <c r="H12" s="55">
        <v>1.1974377391693776</v>
      </c>
      <c r="I12" s="55">
        <v>1.245531064274104</v>
      </c>
      <c r="J12" s="55">
        <v>2.8</v>
      </c>
      <c r="K12" s="55">
        <v>0.6</v>
      </c>
      <c r="L12" s="55">
        <v>-0.55000000000000004</v>
      </c>
      <c r="M12" s="55">
        <v>-0.1</v>
      </c>
      <c r="N12" s="55">
        <v>-0.25</v>
      </c>
      <c r="O12" s="55">
        <v>-1</v>
      </c>
      <c r="P12" s="55">
        <v>-0.5</v>
      </c>
      <c r="Q12" s="55"/>
      <c r="R12" s="55"/>
      <c r="S12" s="55"/>
      <c r="T12" s="55"/>
      <c r="U12" s="55"/>
      <c r="V12" s="55"/>
      <c r="W12" s="55"/>
      <c r="X12" s="55"/>
      <c r="Y12" s="55"/>
      <c r="Z12" s="55"/>
    </row>
    <row r="13" spans="2:27">
      <c r="B13" s="256"/>
      <c r="C13" s="55" t="s">
        <v>267</v>
      </c>
      <c r="D13" s="55" t="s">
        <v>268</v>
      </c>
      <c r="E13" s="55" t="s">
        <v>266</v>
      </c>
      <c r="F13" s="55">
        <v>0</v>
      </c>
      <c r="G13" s="1">
        <v>0</v>
      </c>
      <c r="H13" s="55">
        <v>0</v>
      </c>
      <c r="I13" s="55">
        <v>0</v>
      </c>
      <c r="J13" s="55">
        <v>0</v>
      </c>
      <c r="K13" s="55">
        <v>0</v>
      </c>
      <c r="L13" s="55">
        <v>0</v>
      </c>
      <c r="M13" s="55">
        <v>0</v>
      </c>
      <c r="N13" s="55">
        <v>0</v>
      </c>
      <c r="O13" s="55">
        <v>0</v>
      </c>
      <c r="P13" s="55">
        <v>0</v>
      </c>
      <c r="Q13" s="55"/>
      <c r="R13" s="55"/>
      <c r="S13" s="55"/>
      <c r="T13" s="55"/>
      <c r="U13" s="55"/>
      <c r="V13" s="55"/>
      <c r="W13" s="55"/>
      <c r="X13" s="55"/>
      <c r="Y13" s="55"/>
      <c r="Z13" s="55"/>
    </row>
    <row r="14" spans="2:27">
      <c r="B14" s="256"/>
      <c r="C14" s="55" t="s">
        <v>269</v>
      </c>
      <c r="D14" s="55" t="s">
        <v>270</v>
      </c>
      <c r="E14" s="55" t="s">
        <v>271</v>
      </c>
      <c r="F14" s="55">
        <v>10.5</v>
      </c>
      <c r="G14" s="1">
        <v>9.5</v>
      </c>
      <c r="H14" s="55">
        <v>11</v>
      </c>
      <c r="I14" s="55">
        <v>9.6</v>
      </c>
      <c r="J14" s="55">
        <v>8.3000000000000007</v>
      </c>
      <c r="K14" s="55">
        <v>10</v>
      </c>
      <c r="L14" s="55">
        <v>11</v>
      </c>
      <c r="M14" s="55">
        <v>10.5</v>
      </c>
      <c r="N14" s="55">
        <v>10</v>
      </c>
      <c r="O14" s="55">
        <v>9.5</v>
      </c>
      <c r="P14" s="55">
        <v>9</v>
      </c>
      <c r="Q14" s="55">
        <v>8.8000000000000007</v>
      </c>
      <c r="R14" s="55">
        <v>9</v>
      </c>
      <c r="S14" s="55">
        <v>8.8000000000000007</v>
      </c>
      <c r="T14" s="55">
        <v>9.11</v>
      </c>
      <c r="U14" s="55">
        <v>8.76</v>
      </c>
      <c r="V14" s="55">
        <v>8.5</v>
      </c>
      <c r="W14" s="55">
        <v>8.5299999999999994</v>
      </c>
      <c r="X14" s="55">
        <v>7.69</v>
      </c>
      <c r="Y14" s="55">
        <v>8</v>
      </c>
      <c r="Z14" s="55">
        <v>7.6</v>
      </c>
    </row>
    <row r="15" spans="2:27" ht="21" thickBot="1">
      <c r="B15" s="257"/>
      <c r="C15" s="57" t="s">
        <v>272</v>
      </c>
      <c r="D15" s="57" t="s">
        <v>273</v>
      </c>
      <c r="E15" s="57" t="s">
        <v>37</v>
      </c>
      <c r="F15" s="57">
        <v>100</v>
      </c>
      <c r="G15" s="20">
        <v>100</v>
      </c>
      <c r="H15" s="57">
        <v>2</v>
      </c>
      <c r="I15" s="57">
        <v>2</v>
      </c>
      <c r="J15" s="57">
        <v>2</v>
      </c>
      <c r="K15" s="57">
        <v>2</v>
      </c>
      <c r="L15" s="57">
        <v>2</v>
      </c>
      <c r="M15" s="57">
        <v>2</v>
      </c>
      <c r="N15" s="57">
        <v>2</v>
      </c>
      <c r="O15" s="57">
        <v>2</v>
      </c>
      <c r="P15" s="57">
        <v>2</v>
      </c>
      <c r="Q15" s="57"/>
      <c r="R15" s="57"/>
      <c r="S15" s="57"/>
      <c r="T15" s="57"/>
      <c r="U15" s="57"/>
      <c r="V15" s="57"/>
      <c r="W15" s="57"/>
      <c r="X15" s="57"/>
      <c r="Y15" s="57"/>
      <c r="Z15" s="57"/>
    </row>
    <row r="16" spans="2:27" ht="21" thickTop="1">
      <c r="B16" s="256" t="s">
        <v>19</v>
      </c>
      <c r="C16" s="58" t="s">
        <v>274</v>
      </c>
      <c r="D16" s="55" t="s">
        <v>45</v>
      </c>
      <c r="E16" s="55" t="s">
        <v>36</v>
      </c>
      <c r="F16" s="55">
        <v>42.574195183784404</v>
      </c>
      <c r="G16" s="2">
        <v>40.629999999999995</v>
      </c>
      <c r="H16" s="55">
        <v>44.93644280491565</v>
      </c>
      <c r="I16" s="55">
        <v>45.797063524200141</v>
      </c>
      <c r="J16" s="55">
        <v>44.512043873841378</v>
      </c>
      <c r="K16" s="55">
        <v>44.343872785418093</v>
      </c>
      <c r="L16" s="55">
        <v>38.544311560569746</v>
      </c>
      <c r="M16" s="55">
        <v>40.157903567729356</v>
      </c>
      <c r="N16" s="55">
        <v>38.481598500930382</v>
      </c>
      <c r="O16" s="55">
        <v>39.1303852973776</v>
      </c>
      <c r="P16" s="55">
        <v>39.785132411188641</v>
      </c>
      <c r="Q16" s="55">
        <v>36</v>
      </c>
      <c r="R16" s="55">
        <v>35</v>
      </c>
      <c r="S16" s="55">
        <v>36</v>
      </c>
      <c r="T16" s="55">
        <v>36</v>
      </c>
      <c r="U16" s="55">
        <v>34</v>
      </c>
      <c r="V16" s="55">
        <v>36.5</v>
      </c>
      <c r="W16" s="55">
        <v>40</v>
      </c>
      <c r="X16" s="55">
        <v>40</v>
      </c>
      <c r="Y16" s="55">
        <v>37.5</v>
      </c>
      <c r="Z16" s="55">
        <v>37.5</v>
      </c>
    </row>
    <row r="17" spans="2:26">
      <c r="B17" s="256"/>
      <c r="C17" s="58" t="s">
        <v>275</v>
      </c>
      <c r="D17" s="55" t="s">
        <v>45</v>
      </c>
      <c r="E17" s="55" t="s">
        <v>36</v>
      </c>
      <c r="F17" s="55">
        <v>61</v>
      </c>
      <c r="G17" s="1">
        <v>58.5</v>
      </c>
      <c r="H17" s="55">
        <v>65</v>
      </c>
      <c r="I17" s="55">
        <v>53</v>
      </c>
      <c r="J17" s="55">
        <v>53</v>
      </c>
      <c r="K17" s="55">
        <v>51</v>
      </c>
      <c r="L17" s="55">
        <v>53</v>
      </c>
      <c r="M17" s="55">
        <v>55</v>
      </c>
      <c r="N17" s="55">
        <v>49</v>
      </c>
      <c r="O17" s="55">
        <v>49</v>
      </c>
      <c r="P17" s="55">
        <v>49</v>
      </c>
      <c r="Q17" s="55"/>
      <c r="R17" s="55"/>
      <c r="S17" s="55"/>
      <c r="T17" s="55"/>
      <c r="U17" s="55"/>
      <c r="V17" s="55"/>
      <c r="W17" s="55"/>
      <c r="X17" s="55"/>
      <c r="Y17" s="55"/>
      <c r="Z17" s="55"/>
    </row>
    <row r="18" spans="2:26">
      <c r="B18" s="256"/>
      <c r="C18" s="58" t="s">
        <v>276</v>
      </c>
      <c r="D18" s="55" t="s">
        <v>37</v>
      </c>
      <c r="E18" s="55" t="s">
        <v>36</v>
      </c>
      <c r="F18" s="55">
        <v>103.57419518378441</v>
      </c>
      <c r="G18" s="1">
        <v>99.13</v>
      </c>
      <c r="H18" s="55">
        <v>109.93644280491566</v>
      </c>
      <c r="I18" s="55">
        <v>98.797063524200141</v>
      </c>
      <c r="J18" s="55">
        <v>97.512043873841378</v>
      </c>
      <c r="K18" s="55">
        <v>95.343872785418085</v>
      </c>
      <c r="L18" s="55">
        <v>91.544311560569753</v>
      </c>
      <c r="M18" s="55">
        <v>95.157903567729363</v>
      </c>
      <c r="N18" s="55">
        <v>87.481598500930374</v>
      </c>
      <c r="O18" s="55">
        <v>88.1303852973776</v>
      </c>
      <c r="P18" s="55">
        <v>88.785132411188641</v>
      </c>
      <c r="Q18" s="55">
        <v>85</v>
      </c>
      <c r="R18" s="55">
        <v>84</v>
      </c>
      <c r="S18" s="55">
        <v>86</v>
      </c>
      <c r="T18" s="55">
        <v>88</v>
      </c>
      <c r="U18" s="55">
        <v>86</v>
      </c>
      <c r="V18" s="55">
        <v>91.5</v>
      </c>
      <c r="W18" s="55">
        <v>96</v>
      </c>
      <c r="X18" s="55">
        <v>96</v>
      </c>
      <c r="Y18" s="55">
        <v>89</v>
      </c>
      <c r="Z18" s="55">
        <v>89</v>
      </c>
    </row>
    <row r="19" spans="2:26">
      <c r="B19" s="256"/>
      <c r="C19" s="58" t="s">
        <v>277</v>
      </c>
      <c r="D19" s="55" t="s">
        <v>278</v>
      </c>
      <c r="E19" s="55" t="s">
        <v>279</v>
      </c>
      <c r="F19" s="55">
        <v>1014.716390215536</v>
      </c>
      <c r="G19" s="1">
        <v>970.97834999999998</v>
      </c>
      <c r="H19" s="55">
        <v>1076.8274572741489</v>
      </c>
      <c r="I19" s="55">
        <v>967.71723721954038</v>
      </c>
      <c r="J19" s="55">
        <v>955.1304697442763</v>
      </c>
      <c r="K19" s="55">
        <v>933.89323393317011</v>
      </c>
      <c r="L19" s="55">
        <v>896.67653173578071</v>
      </c>
      <c r="M19" s="55">
        <v>932.07166544590916</v>
      </c>
      <c r="N19" s="55">
        <v>856.88225731661305</v>
      </c>
      <c r="O19" s="55">
        <v>863.23712398781356</v>
      </c>
      <c r="P19" s="55">
        <v>869.65037196759272</v>
      </c>
      <c r="Q19" s="55"/>
      <c r="R19" s="55"/>
      <c r="S19" s="55"/>
      <c r="T19" s="55"/>
      <c r="U19" s="55"/>
      <c r="V19" s="55"/>
      <c r="W19" s="55"/>
      <c r="X19" s="55"/>
      <c r="Y19" s="55"/>
      <c r="Z19" s="55"/>
    </row>
    <row r="20" spans="2:26" ht="21" thickBot="1">
      <c r="B20" s="257"/>
      <c r="C20" s="57" t="s">
        <v>280</v>
      </c>
      <c r="D20" s="57" t="s">
        <v>281</v>
      </c>
      <c r="E20" s="57" t="s">
        <v>282</v>
      </c>
      <c r="F20" s="57">
        <v>5.8642150459954827</v>
      </c>
      <c r="G20" s="20">
        <v>5.2592371024187807</v>
      </c>
      <c r="H20" s="57">
        <v>5.7667803807721114</v>
      </c>
      <c r="I20" s="57">
        <v>5.2494263298141739</v>
      </c>
      <c r="J20" s="57">
        <v>5.3211758695686999</v>
      </c>
      <c r="K20" s="57">
        <v>5.2796190648854795</v>
      </c>
      <c r="L20" s="57">
        <v>4.9932308466401985</v>
      </c>
      <c r="M20" s="57">
        <v>5.3626377908957457</v>
      </c>
      <c r="N20" s="57">
        <v>4.7387905392098775</v>
      </c>
      <c r="O20" s="57">
        <v>4.7065826929369603</v>
      </c>
      <c r="P20" s="57">
        <v>4.7787575826698534</v>
      </c>
      <c r="Q20" s="57">
        <v>4.4800000000000004</v>
      </c>
      <c r="R20" s="57">
        <v>5.21</v>
      </c>
      <c r="S20" s="57">
        <v>4.66</v>
      </c>
      <c r="T20" s="57">
        <v>4.6100000000000003</v>
      </c>
      <c r="U20" s="57">
        <v>4.51</v>
      </c>
      <c r="V20" s="57">
        <v>4.83</v>
      </c>
      <c r="W20" s="57">
        <v>4.01</v>
      </c>
      <c r="X20" s="57">
        <v>4.0199999999999996</v>
      </c>
      <c r="Y20" s="57">
        <v>4.3600000000000003</v>
      </c>
      <c r="Z20" s="57">
        <v>4.03</v>
      </c>
    </row>
    <row r="21" spans="2:26" ht="21" thickTop="1">
      <c r="B21" s="256" t="s">
        <v>283</v>
      </c>
      <c r="C21" s="55" t="s">
        <v>284</v>
      </c>
      <c r="D21" s="55" t="s">
        <v>285</v>
      </c>
      <c r="E21" s="55" t="s">
        <v>37</v>
      </c>
      <c r="F21" s="55">
        <v>0.23544509320633827</v>
      </c>
      <c r="G21" s="2">
        <v>0.2492959690889035</v>
      </c>
      <c r="H21" s="55">
        <v>0.27955130115864996</v>
      </c>
      <c r="I21" s="55">
        <v>0.28948775014121375</v>
      </c>
      <c r="J21" s="55">
        <v>0.2817978091561667</v>
      </c>
      <c r="K21" s="55">
        <v>0.21242587219432632</v>
      </c>
      <c r="L21" s="55">
        <v>0.22847891878415774</v>
      </c>
      <c r="M21" s="55">
        <v>0.22279182074093792</v>
      </c>
      <c r="N21" s="55">
        <v>0.23342359262169821</v>
      </c>
      <c r="O21" s="55">
        <v>0.23788263073181701</v>
      </c>
      <c r="P21" s="55">
        <v>0.22527494420692037</v>
      </c>
      <c r="Q21" s="55"/>
      <c r="R21" s="55"/>
      <c r="S21" s="55"/>
      <c r="T21" s="55"/>
      <c r="U21" s="55"/>
      <c r="V21" s="55"/>
      <c r="W21" s="55"/>
      <c r="X21" s="55"/>
      <c r="Y21" s="55"/>
      <c r="Z21" s="55"/>
    </row>
    <row r="22" spans="2:26">
      <c r="B22" s="256"/>
      <c r="C22" s="55" t="s">
        <v>284</v>
      </c>
      <c r="D22" s="55" t="s">
        <v>286</v>
      </c>
      <c r="E22" s="55" t="s">
        <v>45</v>
      </c>
      <c r="F22" s="55">
        <v>0.35</v>
      </c>
      <c r="G22" s="1">
        <v>0.33</v>
      </c>
      <c r="H22" s="55">
        <v>0.33</v>
      </c>
      <c r="I22" s="55">
        <v>0.32319999999999999</v>
      </c>
      <c r="J22" s="55">
        <v>0.32319999999999999</v>
      </c>
      <c r="K22" s="55">
        <v>0.32319999999999999</v>
      </c>
      <c r="L22" s="55">
        <v>0.32319999999999999</v>
      </c>
      <c r="M22" s="55">
        <v>0.32319999999999999</v>
      </c>
      <c r="N22" s="55">
        <v>0.32319999999999999</v>
      </c>
      <c r="O22" s="55">
        <v>0.32319999999999999</v>
      </c>
      <c r="P22" s="55">
        <v>0.32319999999999999</v>
      </c>
      <c r="Q22" s="55">
        <v>33</v>
      </c>
      <c r="R22" s="55">
        <v>33</v>
      </c>
      <c r="S22" s="55">
        <v>33</v>
      </c>
      <c r="T22" s="55">
        <v>33</v>
      </c>
      <c r="U22" s="55">
        <v>30</v>
      </c>
      <c r="V22" s="55">
        <v>33</v>
      </c>
      <c r="W22" s="55">
        <v>30</v>
      </c>
      <c r="X22" s="55">
        <v>25</v>
      </c>
      <c r="Y22" s="55">
        <v>25</v>
      </c>
      <c r="Z22" s="55">
        <v>25</v>
      </c>
    </row>
    <row r="23" spans="2:26" ht="21" thickBot="1">
      <c r="B23" s="257"/>
      <c r="C23" s="57" t="s">
        <v>287</v>
      </c>
      <c r="D23" s="57" t="s">
        <v>288</v>
      </c>
      <c r="E23" s="57" t="s">
        <v>45</v>
      </c>
      <c r="F23" s="57">
        <v>0.55274022409528079</v>
      </c>
      <c r="G23" s="20">
        <v>0.51724507324221358</v>
      </c>
      <c r="H23" s="57">
        <v>0.5231483199220881</v>
      </c>
      <c r="I23" s="57">
        <v>0.52800508218192999</v>
      </c>
      <c r="J23" s="57">
        <v>0.49513467835370822</v>
      </c>
      <c r="K23" s="57">
        <v>0.49508048406814709</v>
      </c>
      <c r="L23" s="57">
        <v>0.50801579155783205</v>
      </c>
      <c r="M23" s="57">
        <v>0.49050073651817705</v>
      </c>
      <c r="N23" s="57">
        <v>0.50150590032370146</v>
      </c>
      <c r="O23" s="57">
        <v>0.49779989846597406</v>
      </c>
      <c r="P23" s="57">
        <v>0.50245945268494019</v>
      </c>
      <c r="Q23" s="57"/>
      <c r="R23" s="57"/>
      <c r="S23" s="57"/>
      <c r="T23" s="57"/>
      <c r="U23" s="57"/>
      <c r="V23" s="57"/>
      <c r="W23" s="57"/>
      <c r="X23" s="57"/>
      <c r="Y23" s="57"/>
      <c r="Z23" s="57"/>
    </row>
    <row r="24" spans="2:26" ht="21" thickTop="1">
      <c r="B24" s="260" t="s">
        <v>289</v>
      </c>
      <c r="C24" s="59" t="s">
        <v>290</v>
      </c>
      <c r="D24" s="59" t="s">
        <v>291</v>
      </c>
      <c r="E24" s="59" t="s">
        <v>292</v>
      </c>
      <c r="F24" s="60">
        <v>17.662073162632822</v>
      </c>
      <c r="G24" s="2">
        <v>18.848741380077545</v>
      </c>
      <c r="H24" s="60">
        <v>19.063747107739921</v>
      </c>
      <c r="I24" s="60">
        <v>18.820544820884741</v>
      </c>
      <c r="J24" s="59">
        <v>18.32528115289395</v>
      </c>
      <c r="K24" s="59">
        <v>18.058854552508553</v>
      </c>
      <c r="L24" s="59">
        <v>18.333683014508992</v>
      </c>
      <c r="M24" s="59">
        <v>17.744607649854849</v>
      </c>
      <c r="N24" s="59">
        <v>18.460743891735003</v>
      </c>
      <c r="O24" s="59">
        <v>18.724920190955629</v>
      </c>
      <c r="P24" s="59">
        <v>18.579124568521241</v>
      </c>
      <c r="Q24" s="59">
        <v>19</v>
      </c>
      <c r="R24" s="59">
        <v>19.2</v>
      </c>
      <c r="S24" s="59">
        <v>19</v>
      </c>
      <c r="T24" s="59">
        <v>19.2</v>
      </c>
      <c r="U24" s="59">
        <v>19.05</v>
      </c>
      <c r="V24" s="59">
        <v>19.100000000000001</v>
      </c>
      <c r="W24" s="59">
        <v>22.4</v>
      </c>
      <c r="X24" s="59">
        <v>23.8</v>
      </c>
      <c r="Y24" s="59">
        <v>20.2</v>
      </c>
      <c r="Z24" s="59">
        <v>20.37</v>
      </c>
    </row>
    <row r="25" spans="2:26">
      <c r="B25" s="256"/>
      <c r="C25" s="55" t="s">
        <v>293</v>
      </c>
      <c r="D25" s="55" t="s">
        <v>294</v>
      </c>
      <c r="E25" s="55" t="s">
        <v>292</v>
      </c>
      <c r="F25" s="61">
        <v>1.54</v>
      </c>
      <c r="G25" s="1">
        <v>1.353</v>
      </c>
      <c r="H25" s="61">
        <v>1.6703999999999999</v>
      </c>
      <c r="I25" s="61">
        <v>1.5264</v>
      </c>
      <c r="J25" s="55">
        <v>1.5475999999999996</v>
      </c>
      <c r="K25" s="55">
        <v>1.375</v>
      </c>
      <c r="L25" s="55">
        <v>1.254</v>
      </c>
      <c r="M25" s="55">
        <v>1.3559999999999999</v>
      </c>
      <c r="N25" s="55">
        <v>1.254</v>
      </c>
      <c r="O25" s="55">
        <v>1.254</v>
      </c>
      <c r="P25" s="55">
        <v>1.254</v>
      </c>
      <c r="Q25" s="55">
        <v>1.32</v>
      </c>
      <c r="R25" s="55">
        <v>1.3</v>
      </c>
      <c r="S25" s="55">
        <v>1.3</v>
      </c>
      <c r="T25" s="55">
        <v>1.4</v>
      </c>
      <c r="U25" s="55">
        <v>1.38</v>
      </c>
      <c r="V25" s="55">
        <v>1.39</v>
      </c>
      <c r="W25" s="55">
        <v>2.1</v>
      </c>
      <c r="X25" s="55">
        <v>2.16</v>
      </c>
      <c r="Y25" s="55">
        <v>1.69</v>
      </c>
      <c r="Z25" s="55">
        <v>1.7</v>
      </c>
    </row>
    <row r="26" spans="2:26" ht="21" thickBot="1">
      <c r="B26" s="257"/>
      <c r="C26" s="57" t="s">
        <v>295</v>
      </c>
      <c r="D26" s="57" t="s">
        <v>296</v>
      </c>
      <c r="E26" s="57" t="s">
        <v>292</v>
      </c>
      <c r="F26" s="62">
        <v>0.70125000000000004</v>
      </c>
      <c r="G26" s="20">
        <v>0.62600000000000011</v>
      </c>
      <c r="H26" s="62">
        <v>0.63319999999999999</v>
      </c>
      <c r="I26" s="62">
        <v>0.63319999999999999</v>
      </c>
      <c r="J26" s="57">
        <v>0.55503775834658209</v>
      </c>
      <c r="K26" s="57">
        <v>0.57000000000000006</v>
      </c>
      <c r="L26" s="57">
        <v>0.4</v>
      </c>
      <c r="M26" s="57">
        <v>0.36000000000000004</v>
      </c>
      <c r="N26" s="57">
        <v>0.4</v>
      </c>
      <c r="O26" s="57">
        <v>0.4</v>
      </c>
      <c r="P26" s="57">
        <v>0.4</v>
      </c>
      <c r="Q26" s="57">
        <v>0.4</v>
      </c>
      <c r="R26" s="57">
        <v>0.45</v>
      </c>
      <c r="S26" s="57">
        <v>0.38300000000000001</v>
      </c>
      <c r="T26" s="57">
        <v>0.72199999999999998</v>
      </c>
      <c r="U26" s="57">
        <v>0.73</v>
      </c>
      <c r="V26" s="57">
        <v>0.92</v>
      </c>
      <c r="W26" s="57">
        <v>1.32</v>
      </c>
      <c r="X26" s="57">
        <v>1.24</v>
      </c>
      <c r="Y26" s="57">
        <v>1.05</v>
      </c>
      <c r="Z26" s="57">
        <v>1.05</v>
      </c>
    </row>
    <row r="27" spans="2:26" ht="21" thickTop="1">
      <c r="B27" s="261" t="s">
        <v>40</v>
      </c>
      <c r="C27" s="63" t="s">
        <v>297</v>
      </c>
      <c r="D27" s="63" t="s">
        <v>298</v>
      </c>
      <c r="E27" s="63" t="s">
        <v>37</v>
      </c>
      <c r="F27" s="63">
        <v>24.585465220630464</v>
      </c>
      <c r="G27" s="2">
        <v>26.522536724685345</v>
      </c>
      <c r="H27" s="63">
        <v>25.696443303325886</v>
      </c>
      <c r="I27" s="63">
        <v>26.687812794039022</v>
      </c>
      <c r="J27" s="63">
        <v>26.482901442796813</v>
      </c>
      <c r="K27" s="63">
        <v>25.157304326023652</v>
      </c>
      <c r="L27" s="63">
        <v>26.797336910170205</v>
      </c>
      <c r="M27" s="63">
        <v>25.901214194796381</v>
      </c>
      <c r="N27" s="63">
        <v>26.665379765339125</v>
      </c>
      <c r="O27" s="63">
        <v>27.831659171718915</v>
      </c>
      <c r="P27" s="63">
        <v>26.704262449297481</v>
      </c>
      <c r="Q27" s="63">
        <v>25</v>
      </c>
      <c r="R27" s="63">
        <v>25</v>
      </c>
      <c r="S27" s="63">
        <v>25</v>
      </c>
      <c r="T27" s="63">
        <v>25</v>
      </c>
      <c r="U27" s="63">
        <v>24.2</v>
      </c>
      <c r="V27" s="63">
        <v>24.6</v>
      </c>
      <c r="W27" s="63">
        <v>24</v>
      </c>
      <c r="X27" s="63">
        <v>25</v>
      </c>
      <c r="Y27" s="63">
        <v>23</v>
      </c>
      <c r="Z27" s="63">
        <v>22.9</v>
      </c>
    </row>
    <row r="28" spans="2:26">
      <c r="B28" s="256"/>
      <c r="C28" s="55" t="s">
        <v>299</v>
      </c>
      <c r="D28" s="55" t="s">
        <v>300</v>
      </c>
      <c r="E28" s="55" t="s">
        <v>45</v>
      </c>
      <c r="F28" s="55">
        <v>34.222771842755051</v>
      </c>
      <c r="G28" s="1">
        <v>37.320526613824697</v>
      </c>
      <c r="H28" s="55">
        <v>34.636800137416621</v>
      </c>
      <c r="I28" s="55">
        <v>37.843715923638761</v>
      </c>
      <c r="J28" s="55">
        <v>38.271940439949674</v>
      </c>
      <c r="K28" s="55">
        <v>35.045963691216159</v>
      </c>
      <c r="L28" s="55">
        <v>39.168194678007659</v>
      </c>
      <c r="M28" s="55">
        <v>37.80714175273463</v>
      </c>
      <c r="N28" s="55">
        <v>38.516458610754881</v>
      </c>
      <c r="O28" s="55">
        <v>41.36739939884324</v>
      </c>
      <c r="P28" s="55">
        <v>38.382735975041598</v>
      </c>
      <c r="Q28" s="55">
        <v>32.9</v>
      </c>
      <c r="R28" s="55">
        <v>32.6</v>
      </c>
      <c r="S28" s="55">
        <v>32.799999999999997</v>
      </c>
      <c r="T28" s="55">
        <v>31</v>
      </c>
      <c r="U28" s="55">
        <v>29.3</v>
      </c>
      <c r="V28" s="55">
        <v>30.19</v>
      </c>
      <c r="W28" s="55">
        <v>25.7</v>
      </c>
      <c r="X28" s="55">
        <v>26.2</v>
      </c>
      <c r="Y28" s="55">
        <v>26.2</v>
      </c>
      <c r="Z28" s="55">
        <v>25.74</v>
      </c>
    </row>
    <row r="29" spans="2:26">
      <c r="B29" s="256"/>
      <c r="C29" s="55" t="s">
        <v>301</v>
      </c>
      <c r="D29" s="55" t="s">
        <v>302</v>
      </c>
      <c r="E29" s="55" t="s">
        <v>37</v>
      </c>
      <c r="F29" s="55">
        <v>0.75501262265133262</v>
      </c>
      <c r="G29" s="1">
        <v>0.77033183441003639</v>
      </c>
      <c r="H29" s="55">
        <v>0.79254432983788059</v>
      </c>
      <c r="I29" s="55">
        <v>0.75472648598482284</v>
      </c>
      <c r="J29" s="55">
        <v>0.74907663009657421</v>
      </c>
      <c r="K29" s="55">
        <v>0.76454669157292232</v>
      </c>
      <c r="L29" s="55">
        <v>0.7392500571267937</v>
      </c>
      <c r="M29" s="55">
        <v>0.73843862040532482</v>
      </c>
      <c r="N29" s="55">
        <v>0.7418913760048218</v>
      </c>
      <c r="O29" s="55">
        <v>0.73538366710057068</v>
      </c>
      <c r="P29" s="55">
        <v>0.74501081421659832</v>
      </c>
      <c r="Q29" s="55">
        <v>0.78300000000000003</v>
      </c>
      <c r="R29" s="55">
        <v>0.78700000000000003</v>
      </c>
      <c r="S29" s="55">
        <v>0.79400000000000004</v>
      </c>
      <c r="T29" s="55">
        <v>0.82799999999999996</v>
      </c>
      <c r="U29" s="55">
        <v>0.83599999999999997</v>
      </c>
      <c r="V29" s="55">
        <v>0.83399999999999996</v>
      </c>
      <c r="W29" s="55">
        <v>1.05</v>
      </c>
      <c r="X29" s="55">
        <v>1.04</v>
      </c>
      <c r="Y29" s="55">
        <v>0.95</v>
      </c>
      <c r="Z29" s="55">
        <v>0.89</v>
      </c>
    </row>
    <row r="30" spans="2:26">
      <c r="B30" s="256"/>
      <c r="C30" s="55" t="s">
        <v>303</v>
      </c>
      <c r="D30" s="55" t="s">
        <v>304</v>
      </c>
      <c r="E30" s="55" t="s">
        <v>37</v>
      </c>
      <c r="F30" s="55">
        <v>5.3518975325674409</v>
      </c>
      <c r="G30" s="1">
        <v>5.5528508888626043</v>
      </c>
      <c r="H30" s="55">
        <v>5.4785617201595151</v>
      </c>
      <c r="I30" s="55">
        <v>5.7156252767200275</v>
      </c>
      <c r="J30" s="55">
        <v>6.9413681054456706</v>
      </c>
      <c r="K30" s="55">
        <v>6.5208255603551191</v>
      </c>
      <c r="L30" s="55">
        <v>6.8168060737590235</v>
      </c>
      <c r="M30" s="55">
        <v>6.2937869269897311</v>
      </c>
      <c r="N30" s="55">
        <v>6.6913667016195841</v>
      </c>
      <c r="O30" s="55">
        <v>6.8903242022534164</v>
      </c>
      <c r="P30" s="55">
        <v>6.8926165956630623</v>
      </c>
      <c r="Q30" s="55"/>
      <c r="R30" s="55"/>
      <c r="S30" s="55"/>
      <c r="T30" s="55"/>
      <c r="U30" s="55"/>
      <c r="V30" s="55"/>
      <c r="W30" s="55"/>
      <c r="X30" s="55"/>
      <c r="Y30" s="55"/>
      <c r="Z30" s="55"/>
    </row>
    <row r="31" spans="2:26">
      <c r="B31" s="256"/>
      <c r="C31" s="55" t="s">
        <v>305</v>
      </c>
      <c r="D31" s="55" t="s">
        <v>306</v>
      </c>
      <c r="E31" s="55" t="s">
        <v>45</v>
      </c>
      <c r="F31" s="55">
        <v>0.25</v>
      </c>
      <c r="G31" s="1">
        <v>0.25</v>
      </c>
      <c r="H31" s="55">
        <v>0.25</v>
      </c>
      <c r="I31" s="55">
        <v>0.25</v>
      </c>
      <c r="J31" s="55">
        <v>0.25</v>
      </c>
      <c r="K31" s="55">
        <v>0.25</v>
      </c>
      <c r="L31" s="55">
        <v>0.25</v>
      </c>
      <c r="M31" s="55">
        <v>0.25</v>
      </c>
      <c r="N31" s="55">
        <v>0.25</v>
      </c>
      <c r="O31" s="55">
        <v>0.25</v>
      </c>
      <c r="P31" s="55">
        <v>0.25</v>
      </c>
      <c r="Q31" s="55"/>
      <c r="R31" s="55"/>
      <c r="S31" s="55"/>
      <c r="T31" s="55"/>
      <c r="U31" s="55"/>
      <c r="V31" s="55"/>
      <c r="W31" s="55"/>
      <c r="X31" s="55"/>
      <c r="Y31" s="55"/>
      <c r="Z31" s="55"/>
    </row>
    <row r="32" spans="2:26">
      <c r="B32" s="256"/>
      <c r="C32" s="55" t="s">
        <v>307</v>
      </c>
      <c r="D32" s="55" t="s">
        <v>308</v>
      </c>
      <c r="E32" s="55" t="s">
        <v>45</v>
      </c>
      <c r="F32" s="55">
        <v>1.0033821094050335</v>
      </c>
      <c r="G32" s="1">
        <v>0.99250802706810226</v>
      </c>
      <c r="H32" s="55">
        <v>1.7805617050996969</v>
      </c>
      <c r="I32" s="55">
        <v>1.7731267172912202</v>
      </c>
      <c r="J32" s="55">
        <v>1.7066097267535372</v>
      </c>
      <c r="K32" s="55">
        <v>1.9579540414279473</v>
      </c>
      <c r="L32" s="55">
        <v>1.9434745281125376</v>
      </c>
      <c r="M32" s="55">
        <v>1.9584644392092285</v>
      </c>
      <c r="N32" s="55">
        <v>1.9309507687771426</v>
      </c>
      <c r="O32" s="55">
        <v>1.9606085843940717</v>
      </c>
      <c r="P32" s="55">
        <v>1.8703274241793417</v>
      </c>
      <c r="Q32" s="55"/>
      <c r="R32" s="55"/>
      <c r="S32" s="55"/>
      <c r="T32" s="55"/>
      <c r="U32" s="55"/>
      <c r="V32" s="55"/>
      <c r="W32" s="55"/>
      <c r="X32" s="55"/>
      <c r="Y32" s="55"/>
      <c r="Z32" s="55"/>
    </row>
    <row r="33" spans="2:26">
      <c r="B33" s="256"/>
      <c r="C33" s="55" t="s">
        <v>309</v>
      </c>
      <c r="D33" s="55" t="s">
        <v>310</v>
      </c>
      <c r="E33" s="55" t="s">
        <v>45</v>
      </c>
      <c r="F33" s="55">
        <v>0.11093402044426547</v>
      </c>
      <c r="G33" s="1">
        <v>0.11758499978781374</v>
      </c>
      <c r="H33" s="55">
        <v>0.1170786455478971</v>
      </c>
      <c r="I33" s="55">
        <v>0.11419203368739703</v>
      </c>
      <c r="J33" s="55">
        <v>0.1108294313611778</v>
      </c>
      <c r="K33" s="55">
        <v>0.11609664028196555</v>
      </c>
      <c r="L33" s="55">
        <v>0.11480993359989657</v>
      </c>
      <c r="M33" s="55">
        <v>0.11779240220037493</v>
      </c>
      <c r="N33" s="55">
        <v>0.11645898497470911</v>
      </c>
      <c r="O33" s="55">
        <v>0.11806821332309325</v>
      </c>
      <c r="P33" s="55">
        <v>0.11482817842248566</v>
      </c>
      <c r="Q33" s="55"/>
      <c r="R33" s="55"/>
      <c r="S33" s="55"/>
      <c r="T33" s="55"/>
      <c r="U33" s="55"/>
      <c r="V33" s="55"/>
      <c r="W33" s="55"/>
      <c r="X33" s="55"/>
      <c r="Y33" s="55"/>
      <c r="Z33" s="55"/>
    </row>
    <row r="34" spans="2:26">
      <c r="B34" s="256"/>
      <c r="C34" s="55" t="s">
        <v>311</v>
      </c>
      <c r="D34" s="55" t="s">
        <v>312</v>
      </c>
      <c r="E34" s="55" t="s">
        <v>266</v>
      </c>
      <c r="F34" s="55">
        <v>0.10474185445756348</v>
      </c>
      <c r="G34" s="1">
        <v>0.11119553796618663</v>
      </c>
      <c r="H34" s="55">
        <v>0.11028019104580952</v>
      </c>
      <c r="I34" s="55">
        <v>0.10823561805284826</v>
      </c>
      <c r="J34" s="55">
        <v>0.10526973696124349</v>
      </c>
      <c r="K34" s="55">
        <v>0.10948213075902856</v>
      </c>
      <c r="L34" s="55">
        <v>0.10898379773170222</v>
      </c>
      <c r="M34" s="55">
        <v>0.11145907911771946</v>
      </c>
      <c r="N34" s="55">
        <v>0.11037258319132046</v>
      </c>
      <c r="O34" s="55">
        <v>0.11222646535285601</v>
      </c>
      <c r="P34" s="55">
        <v>0.10888714601460912</v>
      </c>
      <c r="Q34" s="55"/>
      <c r="R34" s="55"/>
      <c r="S34" s="55"/>
      <c r="T34" s="55"/>
      <c r="U34" s="55"/>
      <c r="V34" s="55"/>
      <c r="W34" s="55"/>
      <c r="X34" s="55"/>
      <c r="Y34" s="55"/>
      <c r="Z34" s="55"/>
    </row>
    <row r="35" spans="2:26">
      <c r="B35" s="256"/>
      <c r="C35" s="55" t="s">
        <v>313</v>
      </c>
      <c r="D35" s="55" t="s">
        <v>45</v>
      </c>
      <c r="E35" s="55" t="s">
        <v>46</v>
      </c>
      <c r="F35" s="55">
        <v>0.35</v>
      </c>
      <c r="G35" s="1">
        <v>0.33</v>
      </c>
      <c r="H35" s="55">
        <v>0.33</v>
      </c>
      <c r="I35" s="55">
        <v>0.32319999999999999</v>
      </c>
      <c r="J35" s="55">
        <v>0.32319999999999999</v>
      </c>
      <c r="K35" s="55">
        <v>0.32319999999999999</v>
      </c>
      <c r="L35" s="55">
        <v>0.32319999999999999</v>
      </c>
      <c r="M35" s="55">
        <v>0.32319999999999999</v>
      </c>
      <c r="N35" s="55">
        <v>0.32319999999999999</v>
      </c>
      <c r="O35" s="55">
        <v>0.32319999999999999</v>
      </c>
      <c r="P35" s="55">
        <v>0.32319999999999999</v>
      </c>
      <c r="Q35" s="55"/>
      <c r="R35" s="55"/>
      <c r="S35" s="55"/>
      <c r="T35" s="55"/>
      <c r="U35" s="55"/>
      <c r="V35" s="55"/>
      <c r="W35" s="55"/>
      <c r="X35" s="55"/>
      <c r="Y35" s="55"/>
      <c r="Z35" s="55"/>
    </row>
    <row r="36" spans="2:26">
      <c r="B36" s="256"/>
      <c r="C36" s="55" t="s">
        <v>314</v>
      </c>
      <c r="D36" s="55" t="s">
        <v>315</v>
      </c>
      <c r="E36" s="55" t="s">
        <v>5</v>
      </c>
      <c r="F36" s="55">
        <v>0.83746843256447934</v>
      </c>
      <c r="G36" s="1">
        <v>1.4360432109387011</v>
      </c>
      <c r="H36" s="55">
        <v>1.0377574932920675</v>
      </c>
      <c r="I36" s="55">
        <v>1.0222454839469268</v>
      </c>
      <c r="J36" s="55">
        <v>0.85529195385742918</v>
      </c>
      <c r="K36" s="55">
        <v>0.65958789862370848</v>
      </c>
      <c r="L36" s="55">
        <v>1.0432033827672182</v>
      </c>
      <c r="M36" s="55">
        <v>0.97342364555717686</v>
      </c>
      <c r="N36" s="55">
        <v>1.1320297023472368</v>
      </c>
      <c r="O36" s="55">
        <v>1.2815087284463602</v>
      </c>
      <c r="P36" s="55">
        <v>0.96662922926928074</v>
      </c>
      <c r="Q36" s="55"/>
      <c r="R36" s="55"/>
      <c r="S36" s="55"/>
      <c r="T36" s="55"/>
      <c r="U36" s="55"/>
      <c r="V36" s="55"/>
      <c r="W36" s="55"/>
      <c r="X36" s="55"/>
      <c r="Y36" s="55"/>
      <c r="Z36" s="55"/>
    </row>
    <row r="37" spans="2:26" ht="21" thickBot="1">
      <c r="B37" s="257"/>
      <c r="C37" s="57" t="s">
        <v>316</v>
      </c>
      <c r="D37" s="57" t="s">
        <v>317</v>
      </c>
      <c r="E37" s="57" t="s">
        <v>318</v>
      </c>
      <c r="F37" s="57">
        <v>-0.28010179717063205</v>
      </c>
      <c r="G37" s="20">
        <v>-0.5018358811952609</v>
      </c>
      <c r="H37" s="57">
        <v>-0.57805363370660279</v>
      </c>
      <c r="I37" s="57">
        <v>-0.65128744152501072</v>
      </c>
      <c r="J37" s="57">
        <v>-0.94594713681692288</v>
      </c>
      <c r="K37" s="57">
        <v>-1.361712510409832</v>
      </c>
      <c r="L37" s="57">
        <v>-2.5882887143491735</v>
      </c>
      <c r="M37" s="57">
        <v>-2.0481021907093688</v>
      </c>
      <c r="N37" s="57">
        <v>-2.3150464167749276</v>
      </c>
      <c r="O37" s="57">
        <v>-1.6910095810387213</v>
      </c>
      <c r="P37" s="57">
        <v>-0.92332880559383013</v>
      </c>
      <c r="Q37" s="57"/>
      <c r="R37" s="57"/>
      <c r="S37" s="57"/>
      <c r="T37" s="57"/>
      <c r="U37" s="57"/>
      <c r="V37" s="57"/>
      <c r="W37" s="57"/>
      <c r="X37" s="57"/>
      <c r="Y37" s="57"/>
      <c r="Z37" s="57"/>
    </row>
    <row r="38" spans="2:26" ht="21" thickTop="1">
      <c r="B38" s="261" t="s">
        <v>50</v>
      </c>
      <c r="C38" s="63" t="s">
        <v>297</v>
      </c>
      <c r="D38" s="63" t="s">
        <v>298</v>
      </c>
      <c r="E38" s="63" t="s">
        <v>37</v>
      </c>
      <c r="F38" s="63">
        <v>2.8000000000000003</v>
      </c>
      <c r="G38" s="2">
        <v>2.2000000000000002</v>
      </c>
      <c r="H38" s="63">
        <v>2.88</v>
      </c>
      <c r="I38" s="63">
        <v>2.88</v>
      </c>
      <c r="J38" s="63">
        <v>2.88</v>
      </c>
      <c r="K38" s="63">
        <v>2.2000000000000002</v>
      </c>
      <c r="L38" s="63">
        <v>2.2000000000000002</v>
      </c>
      <c r="M38" s="63">
        <v>2.4000000000000004</v>
      </c>
      <c r="N38" s="63">
        <v>2.2000000000000002</v>
      </c>
      <c r="O38" s="63">
        <v>2.2000000000000002</v>
      </c>
      <c r="P38" s="63">
        <v>2.2000000000000002</v>
      </c>
      <c r="Q38" s="63"/>
      <c r="R38" s="63"/>
      <c r="S38" s="63"/>
      <c r="T38" s="63"/>
      <c r="U38" s="63"/>
      <c r="V38" s="63"/>
      <c r="W38" s="63"/>
      <c r="X38" s="63"/>
      <c r="Y38" s="63"/>
      <c r="Z38" s="63"/>
    </row>
    <row r="39" spans="2:26">
      <c r="B39" s="256"/>
      <c r="C39" s="55" t="s">
        <v>299</v>
      </c>
      <c r="D39" s="55" t="s">
        <v>300</v>
      </c>
      <c r="E39" s="55" t="s">
        <v>45</v>
      </c>
      <c r="F39" s="55">
        <v>5.0909090909090917</v>
      </c>
      <c r="G39" s="1">
        <v>3.5772357723577244</v>
      </c>
      <c r="H39" s="55">
        <v>4.9655172413793105</v>
      </c>
      <c r="I39" s="55">
        <v>5.4339622641509431</v>
      </c>
      <c r="J39" s="55">
        <v>5.3595244249159997</v>
      </c>
      <c r="K39" s="55">
        <v>3.5200000000000005</v>
      </c>
      <c r="L39" s="55">
        <v>3.859649122807018</v>
      </c>
      <c r="M39" s="55">
        <v>4.2477876106194703</v>
      </c>
      <c r="N39" s="55">
        <v>3.859649122807018</v>
      </c>
      <c r="O39" s="55">
        <v>3.859649122807018</v>
      </c>
      <c r="P39" s="55">
        <v>3.859649122807018</v>
      </c>
      <c r="Q39" s="55"/>
      <c r="R39" s="55"/>
      <c r="S39" s="55"/>
      <c r="T39" s="55"/>
      <c r="U39" s="55"/>
      <c r="V39" s="55"/>
      <c r="W39" s="55"/>
      <c r="X39" s="55"/>
      <c r="Y39" s="55"/>
      <c r="Z39" s="55"/>
    </row>
    <row r="40" spans="2:26">
      <c r="B40" s="256"/>
      <c r="C40" s="55" t="s">
        <v>301</v>
      </c>
      <c r="D40" s="55" t="s">
        <v>302</v>
      </c>
      <c r="E40" s="55" t="s">
        <v>37</v>
      </c>
      <c r="F40" s="55">
        <v>0.55593692022263463</v>
      </c>
      <c r="G40" s="1">
        <v>0.6150000000000001</v>
      </c>
      <c r="H40" s="55">
        <v>0.57999999999999996</v>
      </c>
      <c r="I40" s="55">
        <v>0.52999999999999992</v>
      </c>
      <c r="J40" s="55">
        <v>0.59857456707159462</v>
      </c>
      <c r="K40" s="55">
        <v>0.68353719008264457</v>
      </c>
      <c r="L40" s="55">
        <v>0.62370305930114567</v>
      </c>
      <c r="M40" s="55">
        <v>0.61433894624713203</v>
      </c>
      <c r="N40" s="55">
        <v>0.62370305930114567</v>
      </c>
      <c r="O40" s="55">
        <v>0.62370305930114567</v>
      </c>
      <c r="P40" s="55">
        <v>0.62370305930114567</v>
      </c>
      <c r="Q40" s="55"/>
      <c r="R40" s="55"/>
      <c r="S40" s="55"/>
      <c r="T40" s="55"/>
      <c r="U40" s="55"/>
      <c r="V40" s="55"/>
      <c r="W40" s="55"/>
      <c r="X40" s="55"/>
      <c r="Y40" s="55"/>
      <c r="Z40" s="55"/>
    </row>
    <row r="41" spans="2:26">
      <c r="B41" s="256"/>
      <c r="C41" s="55" t="s">
        <v>303</v>
      </c>
      <c r="D41" s="55" t="s">
        <v>304</v>
      </c>
      <c r="E41" s="55" t="s">
        <v>37</v>
      </c>
      <c r="F41" s="55">
        <v>-0.65844155844155861</v>
      </c>
      <c r="G41" s="1">
        <v>-0.55000000000000004</v>
      </c>
      <c r="H41" s="55">
        <v>-0.72000000000000008</v>
      </c>
      <c r="I41" s="55">
        <v>-0.7200000000000002</v>
      </c>
      <c r="J41" s="55">
        <v>0.69998449211682623</v>
      </c>
      <c r="K41" s="55">
        <v>0.53545454545454541</v>
      </c>
      <c r="L41" s="55">
        <v>0.53405103668261578</v>
      </c>
      <c r="M41" s="55">
        <v>0.58066617502458218</v>
      </c>
      <c r="N41" s="55">
        <v>0.53405103668261578</v>
      </c>
      <c r="O41" s="55">
        <v>0.53405103668261578</v>
      </c>
      <c r="P41" s="55">
        <v>0.53405103668261578</v>
      </c>
      <c r="Q41" s="55"/>
      <c r="R41" s="55"/>
      <c r="S41" s="55"/>
      <c r="T41" s="55"/>
      <c r="U41" s="55"/>
      <c r="V41" s="55"/>
      <c r="W41" s="55"/>
      <c r="X41" s="55"/>
      <c r="Y41" s="55"/>
      <c r="Z41" s="55"/>
    </row>
    <row r="42" spans="2:26">
      <c r="B42" s="256"/>
      <c r="C42" s="55" t="s">
        <v>305</v>
      </c>
      <c r="D42" s="55" t="s">
        <v>306</v>
      </c>
      <c r="E42" s="55" t="s">
        <v>45</v>
      </c>
      <c r="F42" s="55">
        <v>0.25</v>
      </c>
      <c r="G42" s="1">
        <v>0.25</v>
      </c>
      <c r="H42" s="55">
        <v>0.25</v>
      </c>
      <c r="I42" s="55">
        <v>0.25</v>
      </c>
      <c r="J42" s="55">
        <v>0.25</v>
      </c>
      <c r="K42" s="55">
        <v>0.25</v>
      </c>
      <c r="L42" s="55">
        <v>0.25</v>
      </c>
      <c r="M42" s="55">
        <v>0.25</v>
      </c>
      <c r="N42" s="55">
        <v>0.25</v>
      </c>
      <c r="O42" s="55">
        <v>0.25</v>
      </c>
      <c r="P42" s="55">
        <v>0.25</v>
      </c>
      <c r="Q42" s="55"/>
      <c r="R42" s="55"/>
      <c r="S42" s="55"/>
      <c r="T42" s="55"/>
      <c r="U42" s="55"/>
      <c r="V42" s="55"/>
      <c r="W42" s="55"/>
      <c r="X42" s="55"/>
      <c r="Y42" s="55"/>
      <c r="Z42" s="55"/>
    </row>
    <row r="43" spans="2:26">
      <c r="B43" s="256"/>
      <c r="C43" s="55" t="s">
        <v>307</v>
      </c>
      <c r="D43" s="55" t="s">
        <v>308</v>
      </c>
      <c r="E43" s="55" t="s">
        <v>45</v>
      </c>
      <c r="F43" s="55">
        <v>1.0682092392323017</v>
      </c>
      <c r="G43" s="1">
        <v>1.0449706976611999</v>
      </c>
      <c r="H43" s="55">
        <v>1.0440102521550767</v>
      </c>
      <c r="I43" s="55">
        <v>1.0414860681499853</v>
      </c>
      <c r="J43" s="55">
        <v>1.0393368682673272</v>
      </c>
      <c r="K43" s="55">
        <v>1.0431606651390797</v>
      </c>
      <c r="L43" s="55">
        <v>1.0425708010062988</v>
      </c>
      <c r="M43" s="55">
        <v>1.0381114983534576</v>
      </c>
      <c r="N43" s="55">
        <v>1.0425708010062988</v>
      </c>
      <c r="O43" s="55">
        <v>1.0425708010062993</v>
      </c>
      <c r="P43" s="55">
        <v>1.0425708010062988</v>
      </c>
      <c r="Q43" s="55"/>
      <c r="R43" s="55"/>
      <c r="S43" s="55"/>
      <c r="T43" s="55"/>
      <c r="U43" s="55"/>
      <c r="V43" s="55"/>
      <c r="W43" s="55"/>
      <c r="X43" s="55"/>
      <c r="Y43" s="55"/>
      <c r="Z43" s="55"/>
    </row>
    <row r="44" spans="2:26" ht="21" thickBot="1">
      <c r="B44" s="257"/>
      <c r="C44" s="57" t="s">
        <v>313</v>
      </c>
      <c r="D44" s="57" t="s">
        <v>45</v>
      </c>
      <c r="E44" s="57" t="s">
        <v>46</v>
      </c>
      <c r="F44" s="57">
        <v>0.36</v>
      </c>
      <c r="G44" s="20">
        <v>0.36</v>
      </c>
      <c r="H44" s="57">
        <v>0.36</v>
      </c>
      <c r="I44" s="57">
        <v>0.36</v>
      </c>
      <c r="J44" s="57">
        <v>0.36</v>
      </c>
      <c r="K44" s="57">
        <v>0.36</v>
      </c>
      <c r="L44" s="57">
        <v>0.36</v>
      </c>
      <c r="M44" s="57">
        <v>0.36</v>
      </c>
      <c r="N44" s="57">
        <v>0.36</v>
      </c>
      <c r="O44" s="57">
        <v>0.36</v>
      </c>
      <c r="P44" s="57">
        <v>0.36</v>
      </c>
      <c r="Q44" s="57"/>
      <c r="R44" s="57"/>
      <c r="S44" s="57"/>
      <c r="T44" s="57"/>
      <c r="U44" s="57"/>
      <c r="V44" s="57"/>
      <c r="W44" s="57"/>
      <c r="X44" s="57"/>
      <c r="Y44" s="57"/>
      <c r="Z44" s="57"/>
    </row>
    <row r="45" spans="2:26" ht="21" thickTop="1">
      <c r="B45" s="256" t="s">
        <v>51</v>
      </c>
      <c r="C45" s="55" t="s">
        <v>297</v>
      </c>
      <c r="D45" s="55" t="s">
        <v>298</v>
      </c>
      <c r="E45" s="55" t="s">
        <v>37</v>
      </c>
      <c r="F45" s="55">
        <v>0.85</v>
      </c>
      <c r="G45" s="2">
        <v>0.8</v>
      </c>
      <c r="H45" s="55">
        <v>0.8</v>
      </c>
      <c r="I45" s="55">
        <v>0.8</v>
      </c>
      <c r="J45" s="55">
        <v>1</v>
      </c>
      <c r="K45" s="55">
        <v>1.1000000000000001</v>
      </c>
      <c r="L45" s="55">
        <v>0.8</v>
      </c>
      <c r="M45" s="55">
        <v>0.8</v>
      </c>
      <c r="N45" s="55">
        <v>0.8</v>
      </c>
      <c r="O45" s="55">
        <v>0.8</v>
      </c>
      <c r="P45" s="55">
        <v>0.8</v>
      </c>
      <c r="Q45" s="55"/>
      <c r="R45" s="55"/>
      <c r="S45" s="55"/>
      <c r="T45" s="55"/>
      <c r="U45" s="55"/>
      <c r="V45" s="55"/>
      <c r="W45" s="55"/>
      <c r="X45" s="55"/>
      <c r="Y45" s="55"/>
      <c r="Z45" s="55"/>
    </row>
    <row r="46" spans="2:26">
      <c r="B46" s="256"/>
      <c r="C46" s="55" t="s">
        <v>299</v>
      </c>
      <c r="D46" s="55" t="s">
        <v>300</v>
      </c>
      <c r="E46" s="55" t="s">
        <v>45</v>
      </c>
      <c r="F46" s="55">
        <v>1.0303030303030303</v>
      </c>
      <c r="G46" s="1">
        <v>1.0223642172523961</v>
      </c>
      <c r="H46" s="55">
        <v>1.0107391029690462</v>
      </c>
      <c r="I46" s="55">
        <v>1.0107391029690462</v>
      </c>
      <c r="J46" s="55">
        <v>1.8016792280563554</v>
      </c>
      <c r="K46" s="55">
        <v>2.1228070175438596</v>
      </c>
      <c r="L46" s="55">
        <v>1.6</v>
      </c>
      <c r="M46" s="55">
        <v>1.7777777777777777</v>
      </c>
      <c r="N46" s="55">
        <v>1.6</v>
      </c>
      <c r="O46" s="55">
        <v>1.6</v>
      </c>
      <c r="P46" s="55">
        <v>1.6</v>
      </c>
      <c r="Q46" s="55"/>
      <c r="R46" s="55"/>
      <c r="S46" s="55"/>
      <c r="T46" s="55"/>
      <c r="U46" s="55"/>
      <c r="V46" s="55"/>
      <c r="W46" s="55"/>
      <c r="X46" s="55"/>
      <c r="Y46" s="55"/>
      <c r="Z46" s="55"/>
    </row>
    <row r="47" spans="2:26">
      <c r="B47" s="256"/>
      <c r="C47" s="55" t="s">
        <v>301</v>
      </c>
      <c r="D47" s="55" t="s">
        <v>302</v>
      </c>
      <c r="E47" s="55" t="s">
        <v>37</v>
      </c>
      <c r="F47" s="55">
        <v>0.83131225752333027</v>
      </c>
      <c r="G47" s="1">
        <v>0.78608788438498378</v>
      </c>
      <c r="H47" s="55">
        <v>0.79512419555432723</v>
      </c>
      <c r="I47" s="55">
        <v>0.79512419555432723</v>
      </c>
      <c r="J47" s="55">
        <v>0.60333136917444674</v>
      </c>
      <c r="K47" s="55">
        <v>0.56002506265664143</v>
      </c>
      <c r="L47" s="55">
        <v>0.57187500000000002</v>
      </c>
      <c r="M47" s="55">
        <v>0.52968749999999987</v>
      </c>
      <c r="N47" s="55">
        <v>0.57187500000000002</v>
      </c>
      <c r="O47" s="55">
        <v>0.57187500000000002</v>
      </c>
      <c r="P47" s="55">
        <v>0.57187500000000002</v>
      </c>
      <c r="Q47" s="55"/>
      <c r="R47" s="55"/>
      <c r="S47" s="55"/>
      <c r="T47" s="55"/>
      <c r="U47" s="55"/>
      <c r="V47" s="55"/>
      <c r="W47" s="55"/>
      <c r="X47" s="55"/>
      <c r="Y47" s="55"/>
      <c r="Z47" s="55"/>
    </row>
    <row r="48" spans="2:26" ht="21" thickBot="1">
      <c r="B48" s="257"/>
      <c r="C48" s="57" t="s">
        <v>303</v>
      </c>
      <c r="D48" s="57" t="s">
        <v>304</v>
      </c>
      <c r="E48" s="57" t="s">
        <v>37</v>
      </c>
      <c r="F48" s="57">
        <v>0.40353832442067739</v>
      </c>
      <c r="G48" s="20">
        <v>0.38448482428115011</v>
      </c>
      <c r="H48" s="57">
        <v>0.38449542008843973</v>
      </c>
      <c r="I48" s="57">
        <v>0.38449542008843973</v>
      </c>
      <c r="J48" s="57">
        <v>0.51590672944377791</v>
      </c>
      <c r="K48" s="57">
        <v>0.52105263157894732</v>
      </c>
      <c r="L48" s="57">
        <v>0.37375000000000003</v>
      </c>
      <c r="M48" s="57">
        <v>0.35624999999999996</v>
      </c>
      <c r="N48" s="57">
        <v>0.37375000000000003</v>
      </c>
      <c r="O48" s="57">
        <v>0.37375000000000003</v>
      </c>
      <c r="P48" s="57">
        <v>0.37375000000000003</v>
      </c>
      <c r="Q48" s="57"/>
      <c r="R48" s="57"/>
      <c r="S48" s="57"/>
      <c r="T48" s="57"/>
      <c r="U48" s="57"/>
      <c r="V48" s="57"/>
      <c r="W48" s="57"/>
      <c r="X48" s="57"/>
      <c r="Y48" s="57"/>
      <c r="Z48" s="57"/>
    </row>
    <row r="49" spans="2:26" ht="21" thickTop="1">
      <c r="B49" s="256" t="s">
        <v>319</v>
      </c>
      <c r="C49" s="55" t="s">
        <v>320</v>
      </c>
      <c r="D49" s="55" t="s">
        <v>321</v>
      </c>
      <c r="E49" s="55" t="s">
        <v>45</v>
      </c>
      <c r="F49" s="55">
        <v>0.3695513620523892</v>
      </c>
      <c r="G49" s="2">
        <v>0.3913694173202345</v>
      </c>
      <c r="H49" s="55">
        <v>0.35378435870142183</v>
      </c>
      <c r="I49" s="55">
        <v>0.34387179305970833</v>
      </c>
      <c r="J49" s="55">
        <v>0.3607711533983225</v>
      </c>
      <c r="K49" s="55">
        <v>0.41827101965108376</v>
      </c>
      <c r="L49" s="55">
        <v>0.41635996685508009</v>
      </c>
      <c r="M49" s="55">
        <v>0.38807007439517721</v>
      </c>
      <c r="N49" s="55">
        <v>0.41202211795625671</v>
      </c>
      <c r="O49" s="55">
        <v>0.40980390739689798</v>
      </c>
      <c r="P49" s="55">
        <v>0.40768264772815699</v>
      </c>
      <c r="Q49" s="55">
        <v>0.40899999999999997</v>
      </c>
      <c r="R49" s="55">
        <v>0.36199999999999999</v>
      </c>
      <c r="S49" s="55">
        <v>0.36099999999999999</v>
      </c>
      <c r="T49" s="55">
        <v>0.39600000000000002</v>
      </c>
      <c r="U49" s="55">
        <v>0.39</v>
      </c>
      <c r="V49" s="55">
        <v>0.39</v>
      </c>
      <c r="W49" s="55">
        <v>0.4</v>
      </c>
      <c r="X49" s="55">
        <v>0.39</v>
      </c>
      <c r="Y49" s="55">
        <v>0.4</v>
      </c>
      <c r="Z49" s="55">
        <v>0.4</v>
      </c>
    </row>
    <row r="50" spans="2:26">
      <c r="B50" s="256"/>
      <c r="C50" s="55"/>
      <c r="D50" s="55" t="s">
        <v>322</v>
      </c>
      <c r="E50" s="55" t="s">
        <v>45</v>
      </c>
      <c r="F50" s="55" t="s">
        <v>45</v>
      </c>
      <c r="G50" s="1" t="s">
        <v>45</v>
      </c>
      <c r="H50" s="55" t="s">
        <v>45</v>
      </c>
      <c r="I50" s="55" t="s">
        <v>45</v>
      </c>
      <c r="J50" s="55">
        <v>0.36695301325928892</v>
      </c>
      <c r="K50" s="55">
        <v>0.42384446284524346</v>
      </c>
      <c r="L50" s="55">
        <v>0.42136675135808244</v>
      </c>
      <c r="M50" s="55">
        <v>0.39366384135574523</v>
      </c>
      <c r="N50" s="55">
        <v>0.41699444196109253</v>
      </c>
      <c r="O50" s="55">
        <v>0.41470608049370705</v>
      </c>
      <c r="P50" s="55">
        <v>0.41262328955772543</v>
      </c>
      <c r="Q50" s="55"/>
      <c r="R50" s="55"/>
      <c r="S50" s="55"/>
      <c r="T50" s="55"/>
      <c r="U50" s="55"/>
      <c r="V50" s="55"/>
      <c r="W50" s="55"/>
      <c r="X50" s="55"/>
      <c r="Y50" s="55"/>
      <c r="Z50" s="55"/>
    </row>
    <row r="51" spans="2:26">
      <c r="B51" s="256"/>
      <c r="C51" s="55" t="s">
        <v>323</v>
      </c>
      <c r="D51" s="55" t="s">
        <v>324</v>
      </c>
      <c r="E51" s="55" t="s">
        <v>45</v>
      </c>
      <c r="F51" s="55">
        <v>5.1677648361201567E-3</v>
      </c>
      <c r="G51" s="1">
        <v>5.259278978381356E-3</v>
      </c>
      <c r="H51" s="55">
        <v>4.1362768601852541E-3</v>
      </c>
      <c r="I51" s="55">
        <v>4.0340911854252481E-3</v>
      </c>
      <c r="J51" s="55">
        <v>3.659791094887305E-3</v>
      </c>
      <c r="K51" s="55">
        <v>4.3285221790316779E-3</v>
      </c>
      <c r="L51" s="55">
        <v>3.0531623930240884E-3</v>
      </c>
      <c r="M51" s="55">
        <v>3.5247513864828297E-3</v>
      </c>
      <c r="N51" s="55">
        <v>3.0471531926554761E-3</v>
      </c>
      <c r="O51" s="55">
        <v>2.8782743426983997E-3</v>
      </c>
      <c r="P51" s="55">
        <v>3.0233291045002851E-3</v>
      </c>
      <c r="Q51" s="55">
        <v>3.1900000000000001E-3</v>
      </c>
      <c r="R51" s="55">
        <v>3.0999999999999999E-3</v>
      </c>
      <c r="S51" s="55">
        <v>3.0100000000000001E-3</v>
      </c>
      <c r="T51" s="55">
        <v>5.8500000000000002E-3</v>
      </c>
      <c r="U51" s="55">
        <v>6.1999999999999998E-3</v>
      </c>
      <c r="V51" s="55">
        <v>8.0000000000000002E-3</v>
      </c>
      <c r="W51" s="55">
        <v>9.1999999999999998E-3</v>
      </c>
      <c r="X51" s="55">
        <v>8.3000000000000001E-3</v>
      </c>
      <c r="Y51" s="55">
        <v>0.01</v>
      </c>
      <c r="Z51" s="55">
        <v>0.01</v>
      </c>
    </row>
    <row r="52" spans="2:26">
      <c r="B52" s="256"/>
      <c r="C52" s="55" t="s">
        <v>45</v>
      </c>
      <c r="D52" s="55" t="s">
        <v>325</v>
      </c>
      <c r="E52" s="55" t="s">
        <v>45</v>
      </c>
      <c r="F52" s="55">
        <v>0</v>
      </c>
      <c r="G52" s="1">
        <v>0</v>
      </c>
      <c r="H52" s="55">
        <v>0</v>
      </c>
      <c r="I52" s="55">
        <v>0</v>
      </c>
      <c r="J52" s="55">
        <v>0.10032884463362519</v>
      </c>
      <c r="K52" s="55">
        <v>0.11394833660771307</v>
      </c>
      <c r="L52" s="55">
        <v>0.10149184283126518</v>
      </c>
      <c r="M52" s="55">
        <v>0.10753364333094993</v>
      </c>
      <c r="N52" s="55">
        <v>0.10452438315017795</v>
      </c>
      <c r="O52" s="55">
        <v>9.8955473379635589E-2</v>
      </c>
      <c r="P52" s="55">
        <v>0.10347690766316585</v>
      </c>
      <c r="Q52" s="55"/>
      <c r="R52" s="55"/>
      <c r="S52" s="55"/>
      <c r="T52" s="55"/>
      <c r="U52" s="55"/>
      <c r="V52" s="55"/>
      <c r="W52" s="55"/>
      <c r="X52" s="55"/>
      <c r="Y52" s="55"/>
      <c r="Z52" s="55"/>
    </row>
    <row r="53" spans="2:26" ht="21" thickBot="1">
      <c r="B53" s="257"/>
      <c r="C53" s="57" t="s">
        <v>326</v>
      </c>
      <c r="D53" s="57" t="s">
        <v>45</v>
      </c>
      <c r="E53" s="57" t="s">
        <v>45</v>
      </c>
      <c r="F53" s="57" t="s">
        <v>327</v>
      </c>
      <c r="G53" s="20" t="s">
        <v>327</v>
      </c>
      <c r="H53" s="57" t="s">
        <v>327</v>
      </c>
      <c r="I53" s="57" t="s">
        <v>327</v>
      </c>
      <c r="J53" s="57" t="s">
        <v>328</v>
      </c>
      <c r="K53" s="57" t="s">
        <v>328</v>
      </c>
      <c r="L53" s="57" t="s">
        <v>328</v>
      </c>
      <c r="M53" s="57" t="s">
        <v>328</v>
      </c>
      <c r="N53" s="57" t="s">
        <v>328</v>
      </c>
      <c r="O53" s="57" t="s">
        <v>328</v>
      </c>
      <c r="P53" s="57" t="s">
        <v>328</v>
      </c>
      <c r="Q53" s="57"/>
      <c r="R53" s="57"/>
      <c r="S53" s="57"/>
      <c r="T53" s="57"/>
      <c r="U53" s="57"/>
      <c r="V53" s="57"/>
      <c r="W53" s="57"/>
      <c r="X53" s="57"/>
      <c r="Y53" s="57"/>
      <c r="Z53" s="57"/>
    </row>
    <row r="54" spans="2:26" ht="21" thickTop="1">
      <c r="B54" s="256" t="s">
        <v>329</v>
      </c>
      <c r="C54" s="55" t="s">
        <v>330</v>
      </c>
      <c r="D54" s="55" t="s">
        <v>331</v>
      </c>
      <c r="E54" s="55" t="s">
        <v>37</v>
      </c>
      <c r="F54" s="55">
        <v>3.2</v>
      </c>
      <c r="G54" s="2">
        <v>4.2</v>
      </c>
      <c r="H54" s="55">
        <v>3.2</v>
      </c>
      <c r="I54" s="55">
        <v>3.2</v>
      </c>
      <c r="J54" s="55">
        <v>3.2</v>
      </c>
      <c r="K54" s="55">
        <v>4.2</v>
      </c>
      <c r="L54" s="55">
        <v>4.5</v>
      </c>
      <c r="M54" s="55">
        <v>3.75</v>
      </c>
      <c r="N54" s="55">
        <v>4.5</v>
      </c>
      <c r="O54" s="55">
        <v>4.5</v>
      </c>
      <c r="P54" s="55">
        <v>4.5</v>
      </c>
      <c r="Q54" s="55"/>
      <c r="R54" s="55"/>
      <c r="S54" s="55"/>
      <c r="T54" s="55"/>
      <c r="U54" s="55"/>
      <c r="V54" s="55"/>
      <c r="W54" s="55"/>
      <c r="X54" s="55"/>
      <c r="Y54" s="55"/>
      <c r="Z54" s="55"/>
    </row>
    <row r="55" spans="2:26">
      <c r="B55" s="256"/>
      <c r="C55" s="55" t="s">
        <v>332</v>
      </c>
      <c r="D55" s="55" t="s">
        <v>333</v>
      </c>
      <c r="E55" s="55" t="s">
        <v>37</v>
      </c>
      <c r="F55" s="55" t="s">
        <v>45</v>
      </c>
      <c r="G55" s="1" t="s">
        <v>45</v>
      </c>
      <c r="H55" s="55" t="s">
        <v>45</v>
      </c>
      <c r="I55" s="55" t="s">
        <v>45</v>
      </c>
      <c r="J55" s="55">
        <v>3.2548324093230696</v>
      </c>
      <c r="K55" s="55">
        <v>4.2559648178231377</v>
      </c>
      <c r="L55" s="55">
        <v>4.5541131041816811</v>
      </c>
      <c r="M55" s="55">
        <v>3.80405370701367</v>
      </c>
      <c r="N55" s="55">
        <v>4.5543064487235529</v>
      </c>
      <c r="O55" s="55">
        <v>4.5538300844317616</v>
      </c>
      <c r="P55" s="55">
        <v>4.5545347916006547</v>
      </c>
      <c r="Q55" s="55"/>
      <c r="R55" s="55"/>
      <c r="S55" s="55"/>
      <c r="T55" s="55"/>
      <c r="U55" s="55"/>
      <c r="V55" s="55"/>
      <c r="W55" s="55"/>
      <c r="X55" s="55"/>
      <c r="Y55" s="55"/>
      <c r="Z55" s="55"/>
    </row>
    <row r="56" spans="2:26">
      <c r="B56" s="256"/>
      <c r="C56" s="55" t="s">
        <v>334</v>
      </c>
      <c r="D56" s="55" t="s">
        <v>335</v>
      </c>
      <c r="E56" s="55" t="s">
        <v>37</v>
      </c>
      <c r="F56" s="55">
        <v>3.2</v>
      </c>
      <c r="G56" s="1">
        <v>4.2</v>
      </c>
      <c r="H56" s="55">
        <v>3.2</v>
      </c>
      <c r="I56" s="55">
        <v>3.2</v>
      </c>
      <c r="J56" s="55">
        <v>3.2</v>
      </c>
      <c r="K56" s="55">
        <v>3.45</v>
      </c>
      <c r="L56" s="55">
        <v>3.75</v>
      </c>
      <c r="M56" s="55">
        <v>4.5</v>
      </c>
      <c r="N56" s="55">
        <v>3.75</v>
      </c>
      <c r="O56" s="55">
        <v>3.75</v>
      </c>
      <c r="P56" s="55">
        <v>3.75</v>
      </c>
      <c r="Q56" s="55"/>
      <c r="R56" s="55"/>
      <c r="S56" s="55"/>
      <c r="T56" s="55"/>
      <c r="U56" s="55"/>
      <c r="V56" s="55"/>
      <c r="W56" s="55"/>
      <c r="X56" s="55"/>
      <c r="Y56" s="55"/>
      <c r="Z56" s="55"/>
    </row>
    <row r="57" spans="2:26">
      <c r="B57" s="256"/>
      <c r="C57" s="55" t="s">
        <v>336</v>
      </c>
      <c r="D57" s="55" t="s">
        <v>337</v>
      </c>
      <c r="E57" s="55" t="s">
        <v>37</v>
      </c>
      <c r="F57" s="55">
        <v>0.16455490679366175</v>
      </c>
      <c r="G57" s="1">
        <v>0.10070403091109648</v>
      </c>
      <c r="H57" s="55">
        <v>0.12044869884135007</v>
      </c>
      <c r="I57" s="55">
        <v>0.11051224985878627</v>
      </c>
      <c r="J57" s="55">
        <v>0.11820219084383332</v>
      </c>
      <c r="K57" s="55">
        <v>0.1875741278056737</v>
      </c>
      <c r="L57" s="55">
        <v>0.17152108121584228</v>
      </c>
      <c r="M57" s="55">
        <v>0.1772081792590621</v>
      </c>
      <c r="N57" s="55">
        <v>0.16657640737830182</v>
      </c>
      <c r="O57" s="55">
        <v>0.16211736926818301</v>
      </c>
      <c r="P57" s="55">
        <v>0.17472505579307965</v>
      </c>
      <c r="Q57" s="55"/>
      <c r="R57" s="55"/>
      <c r="S57" s="55"/>
      <c r="T57" s="55"/>
      <c r="U57" s="55"/>
      <c r="V57" s="55"/>
      <c r="W57" s="55"/>
      <c r="X57" s="55"/>
      <c r="Y57" s="55"/>
      <c r="Z57" s="55"/>
    </row>
    <row r="58" spans="2:26">
      <c r="B58" s="256"/>
      <c r="C58" s="55" t="s">
        <v>338</v>
      </c>
      <c r="D58" s="55" t="s">
        <v>304</v>
      </c>
      <c r="E58" s="55" t="s">
        <v>37</v>
      </c>
      <c r="F58" s="55">
        <v>0.40353832442067739</v>
      </c>
      <c r="G58" s="1">
        <v>0.38448482428115011</v>
      </c>
      <c r="H58" s="55">
        <v>0.38449542008843973</v>
      </c>
      <c r="I58" s="55">
        <v>0.38449542008843973</v>
      </c>
      <c r="J58" s="55">
        <v>0.51590672944377791</v>
      </c>
      <c r="K58" s="55">
        <v>0.52105263157894732</v>
      </c>
      <c r="L58" s="55">
        <v>0.37375000000000003</v>
      </c>
      <c r="M58" s="55">
        <v>0.35624999999999996</v>
      </c>
      <c r="N58" s="55">
        <v>0.37375000000000003</v>
      </c>
      <c r="O58" s="55">
        <v>0.37375000000000003</v>
      </c>
      <c r="P58" s="55">
        <v>0.37375000000000003</v>
      </c>
      <c r="Q58" s="55"/>
      <c r="R58" s="55"/>
      <c r="S58" s="55"/>
      <c r="T58" s="55"/>
      <c r="U58" s="55"/>
      <c r="V58" s="55"/>
      <c r="W58" s="55"/>
      <c r="X58" s="55"/>
      <c r="Y58" s="55"/>
      <c r="Z58" s="55"/>
    </row>
    <row r="59" spans="2:26" ht="21" thickBot="1">
      <c r="B59" s="257"/>
      <c r="C59" s="57" t="s">
        <v>339</v>
      </c>
      <c r="D59" s="57" t="s">
        <v>340</v>
      </c>
      <c r="E59" s="57" t="s">
        <v>266</v>
      </c>
      <c r="F59" s="57">
        <v>-3.6</v>
      </c>
      <c r="G59" s="20">
        <v>-2.94</v>
      </c>
      <c r="H59" s="57">
        <v>-2.5</v>
      </c>
      <c r="I59" s="57">
        <v>-3.3</v>
      </c>
      <c r="J59" s="57">
        <v>-2.4500000000000002</v>
      </c>
      <c r="K59" s="57">
        <v>-3.6</v>
      </c>
      <c r="L59" s="57">
        <v>-2.8</v>
      </c>
      <c r="M59" s="57">
        <v>-2.65</v>
      </c>
      <c r="N59" s="57">
        <v>-2.4</v>
      </c>
      <c r="O59" s="57">
        <v>-1.1200000000000001</v>
      </c>
      <c r="P59" s="57">
        <v>-0.92</v>
      </c>
      <c r="Q59" s="57"/>
      <c r="R59" s="57"/>
      <c r="S59" s="57"/>
      <c r="T59" s="57"/>
      <c r="U59" s="57"/>
      <c r="V59" s="57"/>
      <c r="W59" s="57"/>
      <c r="X59" s="57"/>
      <c r="Y59" s="57"/>
      <c r="Z59" s="57"/>
    </row>
    <row r="60" spans="2:26" ht="21" thickTop="1">
      <c r="B60" s="256" t="s">
        <v>341</v>
      </c>
      <c r="C60" s="55" t="s">
        <v>342</v>
      </c>
      <c r="D60" s="55" t="s">
        <v>343</v>
      </c>
      <c r="E60" s="55" t="s">
        <v>45</v>
      </c>
      <c r="F60" s="55">
        <v>0.89334209521379149</v>
      </c>
      <c r="G60" s="2">
        <v>0.99518048364603229</v>
      </c>
      <c r="H60" s="55">
        <v>0.80775540451913708</v>
      </c>
      <c r="I60" s="55">
        <v>0.96089613516659922</v>
      </c>
      <c r="J60" s="55">
        <v>1.30602091427374</v>
      </c>
      <c r="K60" s="55">
        <v>0.88960674611935719</v>
      </c>
      <c r="L60" s="55">
        <v>0.69702410295988126</v>
      </c>
      <c r="M60" s="55">
        <v>0.82370987878542834</v>
      </c>
      <c r="N60" s="55">
        <v>0.80156902974961186</v>
      </c>
      <c r="O60" s="55">
        <v>0.88292500309175725</v>
      </c>
      <c r="P60" s="55">
        <v>1.0035204565390832</v>
      </c>
      <c r="Q60" s="55"/>
      <c r="R60" s="55"/>
      <c r="S60" s="55"/>
      <c r="T60" s="55"/>
      <c r="U60" s="55"/>
      <c r="V60" s="55"/>
      <c r="W60" s="55"/>
      <c r="X60" s="55"/>
      <c r="Y60" s="55"/>
      <c r="Z60" s="55"/>
    </row>
    <row r="61" spans="2:26">
      <c r="B61" s="256"/>
      <c r="C61" s="55" t="s">
        <v>344</v>
      </c>
      <c r="D61" s="55" t="s">
        <v>345</v>
      </c>
      <c r="E61" s="55" t="s">
        <v>45</v>
      </c>
      <c r="F61" s="55">
        <v>1.6847046002102821</v>
      </c>
      <c r="G61" s="1">
        <v>1.5700690055057438</v>
      </c>
      <c r="H61" s="55">
        <v>1.5891699804771495</v>
      </c>
      <c r="I61" s="55">
        <v>1.6971035733910482</v>
      </c>
      <c r="J61" s="55">
        <v>1.4207165009077423</v>
      </c>
      <c r="K61" s="55">
        <v>0</v>
      </c>
      <c r="L61" s="55">
        <v>1.4207165009077423</v>
      </c>
      <c r="M61" s="55">
        <v>1.4207165009077423</v>
      </c>
      <c r="N61" s="55">
        <v>1.4207165009077423</v>
      </c>
      <c r="O61" s="55">
        <v>1.4207165009077423</v>
      </c>
      <c r="P61" s="55">
        <v>1.4207165009077423</v>
      </c>
      <c r="Q61" s="55"/>
      <c r="R61" s="55"/>
      <c r="S61" s="55"/>
      <c r="T61" s="55"/>
      <c r="U61" s="55"/>
      <c r="V61" s="55"/>
      <c r="W61" s="55"/>
      <c r="X61" s="55"/>
      <c r="Y61" s="55"/>
      <c r="Z61" s="55"/>
    </row>
    <row r="62" spans="2:26">
      <c r="B62" s="256"/>
      <c r="C62" s="55" t="s">
        <v>290</v>
      </c>
      <c r="D62" s="55" t="s">
        <v>346</v>
      </c>
      <c r="E62" s="55" t="s">
        <v>45</v>
      </c>
      <c r="F62" s="55">
        <v>0.90637713276099385</v>
      </c>
      <c r="G62" s="1">
        <v>1.0017730159086871</v>
      </c>
      <c r="H62" s="55">
        <v>0.81590850011517313</v>
      </c>
      <c r="I62" s="55">
        <v>0.97317771376468332</v>
      </c>
      <c r="J62" s="55">
        <v>1.325966844745778</v>
      </c>
      <c r="K62" s="55">
        <v>0.90647103754541036</v>
      </c>
      <c r="L62" s="55">
        <v>0.71342407448361023</v>
      </c>
      <c r="M62" s="55">
        <v>0.84026657875366129</v>
      </c>
      <c r="N62" s="55">
        <v>0.81526467001619241</v>
      </c>
      <c r="O62" s="55">
        <v>0.89408404389796436</v>
      </c>
      <c r="P62" s="55">
        <v>1.0125387143621192</v>
      </c>
      <c r="Q62" s="55"/>
      <c r="R62" s="55"/>
      <c r="S62" s="55"/>
      <c r="T62" s="55"/>
      <c r="U62" s="55"/>
      <c r="V62" s="55"/>
      <c r="W62" s="55"/>
      <c r="X62" s="55"/>
      <c r="Y62" s="55"/>
      <c r="Z62" s="55"/>
    </row>
    <row r="63" spans="2:26">
      <c r="B63" s="256"/>
      <c r="C63" s="55" t="s">
        <v>293</v>
      </c>
      <c r="D63" s="55" t="s">
        <v>347</v>
      </c>
      <c r="E63" s="55" t="s">
        <v>45</v>
      </c>
      <c r="F63" s="55">
        <v>-0.14949726417945014</v>
      </c>
      <c r="G63" s="1">
        <v>-9.1841046310862567E-2</v>
      </c>
      <c r="H63" s="55">
        <v>-9.3048702459326255E-2</v>
      </c>
      <c r="I63" s="55">
        <v>-0.15143212819474611</v>
      </c>
      <c r="J63" s="55">
        <v>-0.23618169020171326</v>
      </c>
      <c r="K63" s="55">
        <v>-0.22149075345033498</v>
      </c>
      <c r="L63" s="55">
        <v>-0.23977023872649147</v>
      </c>
      <c r="M63" s="55">
        <v>-0.21666087382939367</v>
      </c>
      <c r="N63" s="55">
        <v>-0.20162018133546727</v>
      </c>
      <c r="O63" s="55">
        <v>-0.16662850757882444</v>
      </c>
      <c r="P63" s="55">
        <v>-0.1336135051716322</v>
      </c>
      <c r="Q63" s="55"/>
      <c r="R63" s="55"/>
      <c r="S63" s="55"/>
      <c r="T63" s="55"/>
      <c r="U63" s="55"/>
      <c r="V63" s="55"/>
      <c r="W63" s="55"/>
      <c r="X63" s="55"/>
      <c r="Y63" s="55"/>
      <c r="Z63" s="55"/>
    </row>
    <row r="64" spans="2:26">
      <c r="B64" s="256"/>
      <c r="C64" s="55" t="s">
        <v>295</v>
      </c>
      <c r="D64" s="55" t="s">
        <v>348</v>
      </c>
      <c r="E64" s="55" t="s">
        <v>45</v>
      </c>
      <c r="F64" s="55">
        <v>1.0552889856616786E-10</v>
      </c>
      <c r="G64" s="1">
        <v>1.1551489497962747E-10</v>
      </c>
      <c r="H64" s="55">
        <v>1.144306420943344E-10</v>
      </c>
      <c r="I64" s="55">
        <v>1.1443064209433443E-10</v>
      </c>
      <c r="J64" s="55">
        <v>1.7255164367239104E-10</v>
      </c>
      <c r="K64" s="55">
        <v>1.9216568733856887E-10</v>
      </c>
      <c r="L64" s="55">
        <v>1.6213365045382322E-10</v>
      </c>
      <c r="M64" s="55">
        <v>1.7302477097702235E-10</v>
      </c>
      <c r="N64" s="55">
        <v>1.621336504538232E-10</v>
      </c>
      <c r="O64" s="55">
        <v>1.6213365045382317E-10</v>
      </c>
      <c r="P64" s="55">
        <v>1.6213365045382322E-10</v>
      </c>
      <c r="Q64" s="55"/>
      <c r="R64" s="55"/>
      <c r="S64" s="55"/>
      <c r="T64" s="55"/>
      <c r="U64" s="55"/>
      <c r="V64" s="55"/>
      <c r="W64" s="55"/>
      <c r="X64" s="55"/>
      <c r="Y64" s="55"/>
      <c r="Z64" s="55"/>
    </row>
    <row r="65" spans="2:26">
      <c r="B65" s="256"/>
      <c r="C65" s="55" t="s">
        <v>349</v>
      </c>
      <c r="D65" s="55" t="s">
        <v>350</v>
      </c>
      <c r="E65" s="55" t="s">
        <v>351</v>
      </c>
      <c r="F65" s="55">
        <v>0.1122234567979726</v>
      </c>
      <c r="G65" s="1">
        <v>0.1166459034194281</v>
      </c>
      <c r="H65" s="55">
        <v>0.11774072013896636</v>
      </c>
      <c r="I65" s="55">
        <v>0.11533241778015911</v>
      </c>
      <c r="J65" s="55">
        <v>0.11167813026207936</v>
      </c>
      <c r="K65" s="55">
        <v>0.11459456176974697</v>
      </c>
      <c r="L65" s="55">
        <v>0.11380768012303166</v>
      </c>
      <c r="M65" s="55">
        <v>0.117000046311916</v>
      </c>
      <c r="N65" s="55">
        <v>0.11514709501136162</v>
      </c>
      <c r="O65" s="55">
        <v>0.11696289055066557</v>
      </c>
      <c r="P65" s="55">
        <v>0.11363678542164531</v>
      </c>
      <c r="Q65" s="55"/>
      <c r="R65" s="55"/>
      <c r="S65" s="55"/>
      <c r="T65" s="55"/>
      <c r="U65" s="55"/>
      <c r="V65" s="55"/>
      <c r="W65" s="55"/>
      <c r="X65" s="55"/>
      <c r="Y65" s="55"/>
      <c r="Z65" s="55"/>
    </row>
    <row r="66" spans="2:26">
      <c r="B66" s="256"/>
      <c r="C66" s="55" t="s">
        <v>290</v>
      </c>
      <c r="D66" s="55" t="s">
        <v>352</v>
      </c>
      <c r="E66" s="55" t="s">
        <v>351</v>
      </c>
      <c r="F66" s="55">
        <v>0.10474185445756348</v>
      </c>
      <c r="G66" s="1">
        <v>0.11119553796618663</v>
      </c>
      <c r="H66" s="55">
        <v>0.11028019104580952</v>
      </c>
      <c r="I66" s="55">
        <v>0.10823561805284826</v>
      </c>
      <c r="J66" s="55">
        <v>0.10526973696124349</v>
      </c>
      <c r="K66" s="55">
        <v>0.10948213075902856</v>
      </c>
      <c r="L66" s="55">
        <v>0.10898379773170222</v>
      </c>
      <c r="M66" s="55">
        <v>0.11145907911771946</v>
      </c>
      <c r="N66" s="55">
        <v>0.11037258319132046</v>
      </c>
      <c r="O66" s="55">
        <v>0.11222646535285601</v>
      </c>
      <c r="P66" s="55">
        <v>0.10888714601460912</v>
      </c>
      <c r="Q66" s="55"/>
      <c r="R66" s="55"/>
      <c r="S66" s="55"/>
      <c r="T66" s="55"/>
      <c r="U66" s="55"/>
      <c r="V66" s="55"/>
      <c r="W66" s="55"/>
      <c r="X66" s="55"/>
      <c r="Y66" s="55"/>
      <c r="Z66" s="55"/>
    </row>
    <row r="67" spans="2:26">
      <c r="B67" s="256"/>
      <c r="C67" s="55" t="s">
        <v>293</v>
      </c>
      <c r="D67" s="55" t="s">
        <v>353</v>
      </c>
      <c r="E67" s="55" t="s">
        <v>351</v>
      </c>
      <c r="F67" s="55">
        <v>8.5805589551968084E-2</v>
      </c>
      <c r="G67" s="1">
        <v>7.5929437439067077E-2</v>
      </c>
      <c r="H67" s="55">
        <v>8.514465991491757E-2</v>
      </c>
      <c r="I67" s="55">
        <v>8.7503693234208854E-2</v>
      </c>
      <c r="J67" s="55">
        <v>8.4344600691053831E-2</v>
      </c>
      <c r="K67" s="55">
        <v>7.5780229689853401E-2</v>
      </c>
      <c r="L67" s="55">
        <v>7.8492266268236979E-2</v>
      </c>
      <c r="M67" s="55">
        <v>8.1245709757649165E-2</v>
      </c>
      <c r="N67" s="55">
        <v>7.8492266341715702E-2</v>
      </c>
      <c r="O67" s="55">
        <v>7.8492266341715702E-2</v>
      </c>
      <c r="P67" s="55">
        <v>7.8492266341715702E-2</v>
      </c>
      <c r="Q67" s="55"/>
      <c r="R67" s="55"/>
      <c r="S67" s="55"/>
      <c r="T67" s="55"/>
      <c r="U67" s="55"/>
      <c r="V67" s="55"/>
      <c r="W67" s="55"/>
      <c r="X67" s="55"/>
      <c r="Y67" s="55"/>
      <c r="Z67" s="55"/>
    </row>
    <row r="68" spans="2:26">
      <c r="B68" s="256"/>
      <c r="C68" s="55" t="s">
        <v>295</v>
      </c>
      <c r="D68" s="55" t="s">
        <v>354</v>
      </c>
      <c r="E68" s="55" t="s">
        <v>351</v>
      </c>
      <c r="F68" s="55">
        <v>3.8172620602696196E-2</v>
      </c>
      <c r="G68" s="1">
        <v>3.7973374933672942E-2</v>
      </c>
      <c r="H68" s="55">
        <v>4.4859693176593024E-2</v>
      </c>
      <c r="I68" s="55">
        <v>4.4859693176593024E-2</v>
      </c>
      <c r="J68" s="55">
        <v>5.4188314512789909E-2</v>
      </c>
      <c r="K68" s="55">
        <v>5.9091684649062455E-2</v>
      </c>
      <c r="L68" s="55">
        <v>5.0683925103064187E-2</v>
      </c>
      <c r="M68" s="55">
        <v>5.3791614430781218E-2</v>
      </c>
      <c r="N68" s="55">
        <v>5.0683925103064187E-2</v>
      </c>
      <c r="O68" s="55">
        <v>5.0683925103064187E-2</v>
      </c>
      <c r="P68" s="55">
        <v>5.0683925103064187E-2</v>
      </c>
      <c r="Q68" s="55"/>
      <c r="R68" s="55"/>
      <c r="S68" s="55"/>
      <c r="T68" s="55"/>
      <c r="U68" s="55"/>
      <c r="V68" s="55"/>
      <c r="W68" s="55"/>
      <c r="X68" s="55"/>
      <c r="Y68" s="55"/>
      <c r="Z68" s="55"/>
    </row>
    <row r="69" spans="2:26">
      <c r="B69" s="256"/>
      <c r="C69" s="55" t="s">
        <v>355</v>
      </c>
      <c r="D69" s="55" t="s">
        <v>356</v>
      </c>
      <c r="E69" s="55" t="s">
        <v>45</v>
      </c>
      <c r="F69" s="55">
        <v>2.4586244303371366E-2</v>
      </c>
      <c r="G69" s="1">
        <v>2.5400195265692326E-2</v>
      </c>
      <c r="H69" s="55">
        <v>1.6883925147005055E-2</v>
      </c>
      <c r="I69" s="55">
        <v>2.0891845066662008E-2</v>
      </c>
      <c r="J69" s="55">
        <v>2.700464340732707E-2</v>
      </c>
      <c r="K69" s="55">
        <v>1.9246178282943501E-2</v>
      </c>
      <c r="L69" s="55">
        <v>1.4609803781242738E-2</v>
      </c>
      <c r="M69" s="55">
        <v>1.7977683005341426E-2</v>
      </c>
      <c r="N69" s="55">
        <v>1.833623693228548E-2</v>
      </c>
      <c r="O69" s="55">
        <v>1.9029566101812397E-2</v>
      </c>
      <c r="P69" s="55">
        <v>2.1598977553327306E-2</v>
      </c>
      <c r="Q69" s="55"/>
      <c r="R69" s="55"/>
      <c r="S69" s="55"/>
      <c r="T69" s="55"/>
      <c r="U69" s="55"/>
      <c r="V69" s="55"/>
      <c r="W69" s="55"/>
      <c r="X69" s="55"/>
      <c r="Y69" s="55"/>
      <c r="Z69" s="55"/>
    </row>
    <row r="70" spans="2:26">
      <c r="B70" s="256"/>
      <c r="C70" s="55" t="s">
        <v>290</v>
      </c>
      <c r="D70" s="55" t="s">
        <v>357</v>
      </c>
      <c r="E70" s="55" t="s">
        <v>45</v>
      </c>
      <c r="F70" s="55">
        <v>1.7113168423305021E-2</v>
      </c>
      <c r="G70" s="1">
        <v>1.8476000854648834E-2</v>
      </c>
      <c r="H70" s="55">
        <v>1.0858153475370291E-2</v>
      </c>
      <c r="I70" s="55">
        <v>1.4480626253271449E-2</v>
      </c>
      <c r="J70" s="55">
        <v>2.16275929469061E-2</v>
      </c>
      <c r="K70" s="55">
        <v>1.4187463673077026E-2</v>
      </c>
      <c r="L70" s="55">
        <v>1.1964276319624713E-2</v>
      </c>
      <c r="M70" s="55">
        <v>1.3410295971976124E-2</v>
      </c>
      <c r="N70" s="55">
        <v>1.3999642604226066E-2</v>
      </c>
      <c r="O70" s="55">
        <v>1.5001352600841939E-2</v>
      </c>
      <c r="P70" s="55">
        <v>1.7373362208508655E-2</v>
      </c>
      <c r="Q70" s="55"/>
      <c r="R70" s="55"/>
      <c r="S70" s="55"/>
      <c r="T70" s="55"/>
      <c r="U70" s="55"/>
      <c r="V70" s="55"/>
      <c r="W70" s="55"/>
      <c r="X70" s="55"/>
      <c r="Y70" s="55"/>
      <c r="Z70" s="55"/>
    </row>
    <row r="71" spans="2:26">
      <c r="B71" s="256"/>
      <c r="C71" s="55" t="s">
        <v>293</v>
      </c>
      <c r="D71" s="55" t="s">
        <v>358</v>
      </c>
      <c r="E71" s="55" t="s">
        <v>45</v>
      </c>
      <c r="F71" s="55">
        <v>9.3619884584271104E-3</v>
      </c>
      <c r="G71" s="1">
        <v>8.4402488272241772E-3</v>
      </c>
      <c r="H71" s="55">
        <v>7.4624279567092455E-3</v>
      </c>
      <c r="I71" s="55">
        <v>1.0672391889346024E-2</v>
      </c>
      <c r="J71" s="55">
        <v>1.4315481593539282E-2</v>
      </c>
      <c r="K71" s="55">
        <v>1.2843563962288657E-2</v>
      </c>
      <c r="L71" s="55">
        <v>1.3450839511804251E-2</v>
      </c>
      <c r="M71" s="55">
        <v>1.247658728967543E-2</v>
      </c>
      <c r="N71" s="55">
        <v>1.2705848998838821E-2</v>
      </c>
      <c r="O71" s="55">
        <v>1.1778432817228986E-2</v>
      </c>
      <c r="P71" s="55">
        <v>1.1340906504749983E-2</v>
      </c>
      <c r="Q71" s="55"/>
      <c r="R71" s="55"/>
      <c r="S71" s="55"/>
      <c r="T71" s="55"/>
      <c r="U71" s="55"/>
      <c r="V71" s="55"/>
      <c r="W71" s="55"/>
      <c r="X71" s="55"/>
      <c r="Y71" s="55"/>
      <c r="Z71" s="55"/>
    </row>
    <row r="72" spans="2:26">
      <c r="B72" s="256"/>
      <c r="C72" s="55" t="s">
        <v>295</v>
      </c>
      <c r="D72" s="55" t="s">
        <v>359</v>
      </c>
      <c r="E72" s="55" t="s">
        <v>45</v>
      </c>
      <c r="F72" s="55">
        <v>8.867077996424633E-3</v>
      </c>
      <c r="G72" s="1">
        <v>1.2361311155327367E-2</v>
      </c>
      <c r="H72" s="55">
        <v>8.8474419386210413E-3</v>
      </c>
      <c r="I72" s="55">
        <v>1.1948743953588643E-2</v>
      </c>
      <c r="J72" s="55">
        <v>1.5964930119893229E-2</v>
      </c>
      <c r="K72" s="55">
        <v>1.5379800048954029E-2</v>
      </c>
      <c r="L72" s="55">
        <v>1.5111839261076759E-2</v>
      </c>
      <c r="M72" s="55">
        <v>1.5800325577597366E-2</v>
      </c>
      <c r="N72" s="55">
        <v>1.5607690220090443E-2</v>
      </c>
      <c r="O72" s="55">
        <v>1.583954007527542E-2</v>
      </c>
      <c r="P72" s="55">
        <v>1.6075946859339992E-2</v>
      </c>
      <c r="Q72" s="55"/>
      <c r="R72" s="55"/>
      <c r="S72" s="55"/>
      <c r="T72" s="55"/>
      <c r="U72" s="55"/>
      <c r="V72" s="55"/>
      <c r="W72" s="55"/>
      <c r="X72" s="55"/>
      <c r="Y72" s="55"/>
      <c r="Z72" s="55"/>
    </row>
    <row r="73" spans="2:26">
      <c r="B73" s="256"/>
      <c r="C73" s="55" t="s">
        <v>41</v>
      </c>
      <c r="D73" s="55" t="s">
        <v>360</v>
      </c>
      <c r="E73" s="55" t="s">
        <v>45</v>
      </c>
      <c r="F73" s="55">
        <v>0.2</v>
      </c>
      <c r="G73" s="1">
        <v>0.2</v>
      </c>
      <c r="H73" s="55">
        <v>0.20307417424463414</v>
      </c>
      <c r="I73" s="55">
        <v>0.20307417424463414</v>
      </c>
      <c r="J73" s="55">
        <v>0.11253363853407559</v>
      </c>
      <c r="K73" s="55">
        <v>0.10821367481029676</v>
      </c>
      <c r="L73" s="55">
        <v>4.2650289058750408E-2</v>
      </c>
      <c r="M73" s="55">
        <v>9.7400202198944769E-2</v>
      </c>
      <c r="N73" s="55">
        <v>9.6467577533459026E-2</v>
      </c>
      <c r="O73" s="55">
        <v>9.0536675891477375E-2</v>
      </c>
      <c r="P73" s="55">
        <v>9.6427263948913433E-2</v>
      </c>
      <c r="Q73" s="55"/>
      <c r="R73" s="55"/>
      <c r="S73" s="55"/>
      <c r="T73" s="55"/>
      <c r="U73" s="55"/>
      <c r="V73" s="55"/>
      <c r="W73" s="55"/>
      <c r="X73" s="55"/>
      <c r="Y73" s="55"/>
      <c r="Z73" s="55"/>
    </row>
    <row r="74" spans="2:26">
      <c r="B74" s="256"/>
      <c r="C74" s="55" t="s">
        <v>361</v>
      </c>
      <c r="D74" s="55" t="s">
        <v>362</v>
      </c>
      <c r="E74" s="55" t="s">
        <v>45</v>
      </c>
      <c r="F74" s="55">
        <v>0.20472728608752949</v>
      </c>
      <c r="G74" s="1">
        <v>0.20433083126946039</v>
      </c>
      <c r="H74" s="55">
        <v>0.20228944613939059</v>
      </c>
      <c r="I74" s="55">
        <v>0.20246292449307876</v>
      </c>
      <c r="J74" s="55">
        <v>1</v>
      </c>
      <c r="K74" s="55">
        <v>1</v>
      </c>
      <c r="L74" s="55">
        <v>1</v>
      </c>
      <c r="M74" s="55">
        <v>1</v>
      </c>
      <c r="N74" s="55">
        <v>1</v>
      </c>
      <c r="O74" s="55">
        <v>1</v>
      </c>
      <c r="P74" s="55">
        <v>1</v>
      </c>
      <c r="Q74" s="55"/>
      <c r="R74" s="55"/>
      <c r="S74" s="55"/>
      <c r="T74" s="55"/>
      <c r="U74" s="55"/>
      <c r="V74" s="55"/>
      <c r="W74" s="55"/>
      <c r="X74" s="55"/>
      <c r="Y74" s="55"/>
      <c r="Z74" s="55"/>
    </row>
    <row r="75" spans="2:26">
      <c r="B75" s="256"/>
      <c r="C75" s="55" t="s">
        <v>363</v>
      </c>
      <c r="D75" s="55" t="s">
        <v>364</v>
      </c>
      <c r="E75" s="55" t="s">
        <v>45</v>
      </c>
      <c r="F75" s="55">
        <v>1.2</v>
      </c>
      <c r="G75" s="1">
        <v>1.2</v>
      </c>
      <c r="H75" s="55">
        <v>1.2</v>
      </c>
      <c r="I75" s="55">
        <v>1.2</v>
      </c>
      <c r="J75" s="55">
        <v>1.2</v>
      </c>
      <c r="K75" s="55">
        <v>1.2</v>
      </c>
      <c r="L75" s="55">
        <v>1.2</v>
      </c>
      <c r="M75" s="55">
        <v>1.2</v>
      </c>
      <c r="N75" s="55">
        <v>1.2</v>
      </c>
      <c r="O75" s="55">
        <v>1.2</v>
      </c>
      <c r="P75" s="55">
        <v>1.2</v>
      </c>
      <c r="Q75" s="55"/>
      <c r="R75" s="55"/>
      <c r="S75" s="55"/>
      <c r="T75" s="55"/>
      <c r="U75" s="55"/>
      <c r="V75" s="55"/>
      <c r="W75" s="55"/>
      <c r="X75" s="55"/>
      <c r="Y75" s="55"/>
      <c r="Z75" s="55"/>
    </row>
    <row r="76" spans="2:26">
      <c r="B76" s="256"/>
      <c r="C76" s="55" t="s">
        <v>365</v>
      </c>
      <c r="D76" s="55" t="s">
        <v>366</v>
      </c>
      <c r="E76" s="55" t="s">
        <v>45</v>
      </c>
      <c r="F76" s="55">
        <v>48.86585600467933</v>
      </c>
      <c r="G76" s="1">
        <v>51.054795874434618</v>
      </c>
      <c r="H76" s="55">
        <v>68.419686714309421</v>
      </c>
      <c r="I76" s="55">
        <v>61.016281531367596</v>
      </c>
      <c r="J76" s="55">
        <v>56.004072703101656</v>
      </c>
      <c r="K76" s="55">
        <v>56.840933983222001</v>
      </c>
      <c r="L76" s="55">
        <v>52.748899444464207</v>
      </c>
      <c r="M76" s="55">
        <v>56.094667669967592</v>
      </c>
      <c r="N76" s="55">
        <v>52.731662474475193</v>
      </c>
      <c r="O76" s="55">
        <v>54.743115805968664</v>
      </c>
      <c r="P76" s="55">
        <v>54.288584977975084</v>
      </c>
      <c r="Q76" s="55"/>
      <c r="R76" s="55"/>
      <c r="S76" s="55"/>
      <c r="T76" s="55"/>
      <c r="U76" s="55"/>
      <c r="V76" s="55"/>
      <c r="W76" s="55"/>
      <c r="X76" s="55"/>
      <c r="Y76" s="55"/>
      <c r="Z76" s="55"/>
    </row>
    <row r="77" spans="2:26">
      <c r="B77" s="256"/>
      <c r="C77" s="55" t="s">
        <v>367</v>
      </c>
      <c r="D77" s="55" t="s">
        <v>165</v>
      </c>
      <c r="E77" s="55" t="s">
        <v>45</v>
      </c>
      <c r="F77" s="55">
        <v>7.9321225425896518E-4</v>
      </c>
      <c r="G77" s="1">
        <v>1.1196133917099668E-4</v>
      </c>
      <c r="H77" s="55">
        <v>5.0388112890804772E-4</v>
      </c>
      <c r="I77" s="55">
        <v>-3.1383800751981668E-4</v>
      </c>
      <c r="J77" s="55">
        <v>-1.2981101169055875E-4</v>
      </c>
      <c r="K77" s="55">
        <v>3.0913437415344691E-4</v>
      </c>
      <c r="L77" s="55">
        <v>-1.3604911429110356E-4</v>
      </c>
      <c r="M77" s="55">
        <v>-4.1431794856480741E-5</v>
      </c>
      <c r="N77" s="55">
        <v>-3.7852648738045946E-4</v>
      </c>
      <c r="O77" s="55">
        <v>-2.3021686617781534E-4</v>
      </c>
      <c r="P77" s="55">
        <v>-4.3738887125700787E-5</v>
      </c>
      <c r="Q77" s="55"/>
      <c r="R77" s="55"/>
      <c r="S77" s="55"/>
      <c r="T77" s="55"/>
      <c r="U77" s="55"/>
      <c r="V77" s="55"/>
      <c r="W77" s="55"/>
      <c r="X77" s="55"/>
      <c r="Y77" s="55"/>
      <c r="Z77" s="55"/>
    </row>
    <row r="78" spans="2:26">
      <c r="B78" s="256"/>
      <c r="C78" s="55" t="s">
        <v>368</v>
      </c>
      <c r="D78" s="55" t="s">
        <v>369</v>
      </c>
      <c r="E78" s="55" t="s">
        <v>279</v>
      </c>
      <c r="F78" s="55">
        <v>1012.6935801942534</v>
      </c>
      <c r="G78" s="1">
        <v>985.53351320983711</v>
      </c>
      <c r="H78" s="55">
        <v>1084.7096188961623</v>
      </c>
      <c r="I78" s="55">
        <v>970.26660603808079</v>
      </c>
      <c r="J78" s="55">
        <v>959.83579788656823</v>
      </c>
      <c r="K78" s="55">
        <v>935.25114416985036</v>
      </c>
      <c r="L78" s="55">
        <v>900.1665385883714</v>
      </c>
      <c r="M78" s="55">
        <v>938.12185616804322</v>
      </c>
      <c r="N78" s="55">
        <v>861.45006221899473</v>
      </c>
      <c r="O78" s="55">
        <v>868.62231422494881</v>
      </c>
      <c r="P78" s="55">
        <v>879.17731923931979</v>
      </c>
      <c r="Q78" s="55"/>
      <c r="R78" s="55"/>
      <c r="S78" s="55"/>
      <c r="T78" s="55"/>
      <c r="U78" s="55"/>
      <c r="V78" s="55"/>
      <c r="W78" s="55"/>
      <c r="X78" s="55"/>
      <c r="Y78" s="55"/>
      <c r="Z78" s="55"/>
    </row>
    <row r="79" spans="2:26">
      <c r="B79" s="256"/>
      <c r="C79" s="55"/>
      <c r="D79" s="55"/>
      <c r="E79" s="55" t="s">
        <v>370</v>
      </c>
      <c r="F79" s="55">
        <v>103.36772279210507</v>
      </c>
      <c r="G79" s="1">
        <v>100.61597888819163</v>
      </c>
      <c r="H79" s="55">
        <v>110.74115557898543</v>
      </c>
      <c r="I79" s="55">
        <v>99.057335991636634</v>
      </c>
      <c r="J79" s="55">
        <v>97.992424490716516</v>
      </c>
      <c r="K79" s="55">
        <v>95.482505785589623</v>
      </c>
      <c r="L79" s="55">
        <v>91.900616497026178</v>
      </c>
      <c r="M79" s="55">
        <v>95.775585111591951</v>
      </c>
      <c r="N79" s="55">
        <v>87.947938970800891</v>
      </c>
      <c r="O79" s="55">
        <v>88.680175010204067</v>
      </c>
      <c r="P79" s="55">
        <v>89.757766129588546</v>
      </c>
      <c r="Q79" s="55"/>
      <c r="R79" s="55"/>
      <c r="S79" s="55"/>
      <c r="T79" s="55"/>
      <c r="U79" s="55"/>
      <c r="V79" s="55"/>
      <c r="W79" s="55"/>
      <c r="X79" s="55"/>
      <c r="Y79" s="55"/>
      <c r="Z79" s="55"/>
    </row>
    <row r="80" spans="2:26">
      <c r="B80" s="256"/>
      <c r="C80" s="55" t="s">
        <v>371</v>
      </c>
      <c r="D80" s="55" t="s">
        <v>372</v>
      </c>
      <c r="E80" s="55" t="s">
        <v>279</v>
      </c>
      <c r="F80" s="55">
        <v>27.870993542684378</v>
      </c>
      <c r="G80" s="1">
        <v>25.153973663853844</v>
      </c>
      <c r="H80" s="55">
        <v>22.672898143692077</v>
      </c>
      <c r="I80" s="55">
        <v>21.095578247058995</v>
      </c>
      <c r="J80" s="55">
        <v>19.8465607772658</v>
      </c>
      <c r="K80" s="55">
        <v>20.233671044581762</v>
      </c>
      <c r="L80" s="55">
        <v>18.867721278748267</v>
      </c>
      <c r="M80" s="55">
        <v>20.474754261099356</v>
      </c>
      <c r="N80" s="55">
        <v>19.706041351315328</v>
      </c>
      <c r="O80" s="55">
        <v>18.721302135709376</v>
      </c>
      <c r="P80" s="55">
        <v>18.922714589331328</v>
      </c>
      <c r="Q80" s="55"/>
      <c r="R80" s="55"/>
      <c r="S80" s="55"/>
      <c r="T80" s="55"/>
      <c r="U80" s="55"/>
      <c r="V80" s="55"/>
      <c r="W80" s="55"/>
      <c r="X80" s="55"/>
      <c r="Y80" s="55"/>
      <c r="Z80" s="55"/>
    </row>
    <row r="81" spans="2:26">
      <c r="B81" s="256"/>
      <c r="C81" s="55"/>
      <c r="D81" s="55"/>
      <c r="E81" s="55" t="s">
        <v>370</v>
      </c>
      <c r="F81" s="55">
        <v>2.8448498053163598</v>
      </c>
      <c r="G81" s="1">
        <v>2.5680422321443435</v>
      </c>
      <c r="H81" s="55">
        <v>2.314742025900161</v>
      </c>
      <c r="I81" s="55">
        <v>2.1537088562592133</v>
      </c>
      <c r="J81" s="55">
        <v>2.0261930349429096</v>
      </c>
      <c r="K81" s="55">
        <v>2.0657142465116651</v>
      </c>
      <c r="L81" s="55">
        <v>1.9262604674577097</v>
      </c>
      <c r="M81" s="55">
        <v>2.0903271323225479</v>
      </c>
      <c r="N81" s="55">
        <v>2.0118469986028922</v>
      </c>
      <c r="O81" s="55">
        <v>1.9113121118641527</v>
      </c>
      <c r="P81" s="55">
        <v>1.931874894265577</v>
      </c>
      <c r="Q81" s="55"/>
      <c r="R81" s="55"/>
      <c r="S81" s="55"/>
      <c r="T81" s="55"/>
      <c r="U81" s="55"/>
      <c r="V81" s="55"/>
      <c r="W81" s="55"/>
      <c r="X81" s="55"/>
      <c r="Y81" s="55"/>
      <c r="Z81" s="55"/>
    </row>
    <row r="82" spans="2:26" ht="21" thickBot="1">
      <c r="B82" s="257"/>
      <c r="C82" s="57" t="s">
        <v>373</v>
      </c>
      <c r="D82" s="57" t="s">
        <v>374</v>
      </c>
      <c r="E82" s="57" t="s">
        <v>370</v>
      </c>
      <c r="F82" s="57">
        <v>-0.20647239167934117</v>
      </c>
      <c r="G82" s="20">
        <v>1.4859788881916387</v>
      </c>
      <c r="H82" s="57">
        <v>0.80471277406977038</v>
      </c>
      <c r="I82" s="57">
        <v>0.26027246743649357</v>
      </c>
      <c r="J82" s="57">
        <v>0.48038061687513789</v>
      </c>
      <c r="K82" s="57">
        <v>0.1386330001715379</v>
      </c>
      <c r="L82" s="57">
        <v>0.35630493645642503</v>
      </c>
      <c r="M82" s="57">
        <v>0.617681543862588</v>
      </c>
      <c r="N82" s="57">
        <v>0.46634046987051647</v>
      </c>
      <c r="O82" s="57">
        <v>0.54978971282646683</v>
      </c>
      <c r="P82" s="57">
        <v>0.97263371839990498</v>
      </c>
      <c r="Q82" s="57"/>
      <c r="R82" s="57"/>
      <c r="S82" s="57"/>
      <c r="T82" s="57"/>
      <c r="U82" s="57"/>
      <c r="V82" s="57"/>
      <c r="W82" s="57"/>
      <c r="X82" s="57"/>
      <c r="Y82" s="57"/>
      <c r="Z82" s="57"/>
    </row>
    <row r="83" spans="2:26" ht="21" thickTop="1">
      <c r="B83" s="256" t="s">
        <v>24</v>
      </c>
      <c r="C83" s="55" t="s">
        <v>375</v>
      </c>
      <c r="D83" s="55" t="s">
        <v>25</v>
      </c>
      <c r="E83" s="55" t="s">
        <v>376</v>
      </c>
      <c r="F83" s="56">
        <v>918.40715156383294</v>
      </c>
      <c r="G83" s="2">
        <v>833.81063889746554</v>
      </c>
      <c r="H83" s="56">
        <v>941.40599435392676</v>
      </c>
      <c r="I83" s="56">
        <v>1010.1455163950034</v>
      </c>
      <c r="J83" s="56">
        <v>904.52562693682296</v>
      </c>
      <c r="K83" s="56">
        <v>885.1284285239492</v>
      </c>
      <c r="L83" s="56">
        <v>805.38723643263461</v>
      </c>
      <c r="M83" s="56">
        <v>815.91501256870231</v>
      </c>
      <c r="N83" s="56">
        <v>832.47226848351579</v>
      </c>
      <c r="O83" s="56">
        <v>892.78855554089125</v>
      </c>
      <c r="P83" s="56">
        <v>891.80653593857642</v>
      </c>
      <c r="Q83" s="56"/>
      <c r="R83" s="56"/>
      <c r="S83" s="56"/>
      <c r="T83" s="56"/>
      <c r="U83" s="56"/>
      <c r="V83" s="56"/>
      <c r="W83" s="56"/>
      <c r="X83" s="56"/>
      <c r="Y83" s="56"/>
      <c r="Z83" s="56"/>
    </row>
    <row r="84" spans="2:26">
      <c r="B84" s="256"/>
      <c r="C84" s="55"/>
      <c r="D84" s="55" t="s">
        <v>27</v>
      </c>
      <c r="E84" s="55" t="s">
        <v>376</v>
      </c>
      <c r="F84" s="56">
        <v>55.530862171617095</v>
      </c>
      <c r="G84" s="1">
        <v>72.911848683691176</v>
      </c>
      <c r="H84" s="56">
        <v>58.680109429353045</v>
      </c>
      <c r="I84" s="56">
        <v>57.72518969576015</v>
      </c>
      <c r="J84" s="56">
        <v>52.359348891475904</v>
      </c>
      <c r="K84" s="56">
        <v>57.310584566883882</v>
      </c>
      <c r="L84" s="56">
        <v>61.608111818404758</v>
      </c>
      <c r="M84" s="56">
        <v>61.309209303595203</v>
      </c>
      <c r="N84" s="56">
        <v>61.555242693094755</v>
      </c>
      <c r="O84" s="56">
        <v>61.979275376536179</v>
      </c>
      <c r="P84" s="56">
        <v>61.134686718395209</v>
      </c>
      <c r="Q84" s="56"/>
      <c r="R84" s="56"/>
      <c r="S84" s="56"/>
      <c r="T84" s="56"/>
      <c r="U84" s="56"/>
      <c r="V84" s="56"/>
      <c r="W84" s="56"/>
      <c r="X84" s="56"/>
      <c r="Y84" s="56"/>
      <c r="Z84" s="56"/>
    </row>
    <row r="85" spans="2:26">
      <c r="B85" s="256"/>
      <c r="C85" s="55"/>
      <c r="D85" s="55" t="s">
        <v>29</v>
      </c>
      <c r="E85" s="55" t="s">
        <v>376</v>
      </c>
      <c r="F85" s="56">
        <v>963.51180413877057</v>
      </c>
      <c r="G85" s="1">
        <v>896.99496843978659</v>
      </c>
      <c r="H85" s="56">
        <v>982.70276637670884</v>
      </c>
      <c r="I85" s="56">
        <v>1050.537846066663</v>
      </c>
      <c r="J85" s="56">
        <v>938.77426688646835</v>
      </c>
      <c r="K85" s="56">
        <v>935.64369229074987</v>
      </c>
      <c r="L85" s="56">
        <v>859.90611138054135</v>
      </c>
      <c r="M85" s="56">
        <v>871.2826765478984</v>
      </c>
      <c r="N85" s="56">
        <v>887.03226452233321</v>
      </c>
      <c r="O85" s="56">
        <v>946.92451889626716</v>
      </c>
      <c r="P85" s="56">
        <v>946.7870879520932</v>
      </c>
      <c r="Q85" s="56"/>
      <c r="R85" s="56"/>
      <c r="S85" s="56"/>
      <c r="T85" s="56"/>
      <c r="U85" s="56"/>
      <c r="V85" s="56"/>
      <c r="W85" s="56"/>
      <c r="X85" s="56"/>
      <c r="Y85" s="56"/>
      <c r="Z85" s="56"/>
    </row>
    <row r="86" spans="2:26">
      <c r="B86" s="256"/>
      <c r="C86" s="55"/>
      <c r="D86" s="55" t="s">
        <v>31</v>
      </c>
      <c r="E86" s="55" t="s">
        <v>376</v>
      </c>
      <c r="F86" s="55">
        <v>0</v>
      </c>
      <c r="G86" s="1">
        <v>0</v>
      </c>
      <c r="H86" s="55">
        <v>0</v>
      </c>
      <c r="I86" s="55">
        <v>0</v>
      </c>
      <c r="J86" s="55">
        <v>0</v>
      </c>
      <c r="K86" s="55">
        <v>0</v>
      </c>
      <c r="L86" s="55">
        <v>0</v>
      </c>
      <c r="M86" s="55">
        <v>0</v>
      </c>
      <c r="N86" s="55">
        <v>0</v>
      </c>
      <c r="O86" s="55">
        <v>0</v>
      </c>
      <c r="P86" s="55">
        <v>0</v>
      </c>
      <c r="Q86" s="55"/>
      <c r="R86" s="55"/>
      <c r="S86" s="55"/>
      <c r="T86" s="55"/>
      <c r="U86" s="55"/>
      <c r="V86" s="55"/>
      <c r="W86" s="55"/>
      <c r="X86" s="55"/>
      <c r="Y86" s="55"/>
      <c r="Z86" s="55"/>
    </row>
    <row r="87" spans="2:26">
      <c r="B87" s="256"/>
      <c r="C87" s="55"/>
      <c r="D87" s="55" t="s">
        <v>33</v>
      </c>
      <c r="E87" s="55" t="s">
        <v>376</v>
      </c>
      <c r="F87" s="55">
        <v>0</v>
      </c>
      <c r="G87" s="1">
        <v>0</v>
      </c>
      <c r="H87" s="55">
        <v>0</v>
      </c>
      <c r="I87" s="55">
        <v>0</v>
      </c>
      <c r="J87" s="55">
        <v>0</v>
      </c>
      <c r="K87" s="55">
        <v>0</v>
      </c>
      <c r="L87" s="55">
        <v>0</v>
      </c>
      <c r="M87" s="55">
        <v>0</v>
      </c>
      <c r="N87" s="55">
        <v>0</v>
      </c>
      <c r="O87" s="55">
        <v>0</v>
      </c>
      <c r="P87" s="55">
        <v>0</v>
      </c>
      <c r="Q87" s="55"/>
      <c r="R87" s="55"/>
      <c r="S87" s="55"/>
      <c r="T87" s="55"/>
      <c r="U87" s="55"/>
      <c r="V87" s="55"/>
      <c r="W87" s="55"/>
      <c r="X87" s="55"/>
      <c r="Y87" s="55"/>
      <c r="Z87" s="55"/>
    </row>
    <row r="88" spans="2:26" ht="21" thickBot="1">
      <c r="B88" s="257"/>
      <c r="C88" s="57"/>
      <c r="D88" s="57" t="s">
        <v>377</v>
      </c>
      <c r="E88" s="57" t="s">
        <v>376</v>
      </c>
      <c r="F88" s="57">
        <v>-5.6196454676211225</v>
      </c>
      <c r="G88" s="20">
        <v>-6.0825334963457909</v>
      </c>
      <c r="H88" s="57">
        <v>-6.9131857565410044</v>
      </c>
      <c r="I88" s="57">
        <v>-6.5852125029812028</v>
      </c>
      <c r="J88" s="57">
        <v>-4.987654749548712</v>
      </c>
      <c r="K88" s="57">
        <v>-7.6748803539465982</v>
      </c>
      <c r="L88" s="57">
        <v>-5.784948570851979</v>
      </c>
      <c r="M88" s="57">
        <v>-5.6420922591709717</v>
      </c>
      <c r="N88" s="57">
        <v>-5.7208954706653863</v>
      </c>
      <c r="O88" s="57">
        <v>-5.6642768869536919</v>
      </c>
      <c r="P88" s="57">
        <v>-5.8243628376211198</v>
      </c>
      <c r="Q88" s="57"/>
      <c r="R88" s="57"/>
      <c r="S88" s="57"/>
      <c r="T88" s="57"/>
      <c r="U88" s="57"/>
      <c r="V88" s="57"/>
      <c r="W88" s="57"/>
      <c r="X88" s="57"/>
      <c r="Y88" s="57"/>
      <c r="Z88" s="57"/>
    </row>
    <row r="89" spans="2:26" ht="21" thickTop="1">
      <c r="B89" s="256" t="s">
        <v>378</v>
      </c>
      <c r="C89" s="55"/>
      <c r="D89" s="55" t="s">
        <v>167</v>
      </c>
      <c r="E89" s="55" t="s">
        <v>351</v>
      </c>
      <c r="F89" s="55">
        <v>-2.1235387044881707E-2</v>
      </c>
      <c r="G89" s="2">
        <v>-2.0820816650685955E-2</v>
      </c>
      <c r="H89" s="55">
        <v>-2.130043362118501E-2</v>
      </c>
      <c r="I89" s="55">
        <v>-2.2167204650325574E-2</v>
      </c>
      <c r="J89" s="55">
        <v>-2.0018827319272563E-2</v>
      </c>
      <c r="K89" s="55">
        <v>-2.0535400940715834E-2</v>
      </c>
      <c r="L89" s="55">
        <v>-2.1866528705799238E-2</v>
      </c>
      <c r="M89" s="55">
        <v>-2.0430634259647602E-2</v>
      </c>
      <c r="N89" s="55">
        <v>-2.1374283181142786E-2</v>
      </c>
      <c r="O89" s="55">
        <v>-2.1277877173263921E-2</v>
      </c>
      <c r="P89" s="55">
        <v>-2.1202289228846573E-2</v>
      </c>
      <c r="Q89" s="55"/>
      <c r="R89" s="55"/>
      <c r="S89" s="55"/>
      <c r="T89" s="55"/>
      <c r="U89" s="55"/>
      <c r="V89" s="55"/>
      <c r="W89" s="55"/>
      <c r="X89" s="55"/>
      <c r="Y89" s="55"/>
      <c r="Z89" s="55"/>
    </row>
    <row r="90" spans="2:26">
      <c r="B90" s="256"/>
      <c r="C90" s="55"/>
      <c r="D90" s="55" t="s">
        <v>379</v>
      </c>
      <c r="E90" s="55" t="s">
        <v>351</v>
      </c>
      <c r="F90" s="55">
        <v>-3.3102396725761384E-3</v>
      </c>
      <c r="G90" s="1">
        <v>-3.4932616092385018E-3</v>
      </c>
      <c r="H90" s="55">
        <v>-4.0605550085478061E-3</v>
      </c>
      <c r="I90" s="55">
        <v>-3.9301510675748665E-3</v>
      </c>
      <c r="J90" s="55">
        <v>-4.5244603596246253E-3</v>
      </c>
      <c r="K90" s="55">
        <v>-1.6261031494530539E-3</v>
      </c>
      <c r="L90" s="55">
        <v>-2.8747141341960475E-3</v>
      </c>
      <c r="M90" s="55">
        <v>-2.3232525096361562E-3</v>
      </c>
      <c r="N90" s="55">
        <v>-2.6407031537638032E-3</v>
      </c>
      <c r="O90" s="55">
        <v>-2.8537063442499789E-3</v>
      </c>
      <c r="P90" s="55">
        <v>-2.1937912085889066E-3</v>
      </c>
      <c r="Q90" s="55"/>
      <c r="R90" s="55"/>
      <c r="S90" s="55"/>
      <c r="T90" s="55"/>
      <c r="U90" s="55"/>
      <c r="V90" s="55"/>
      <c r="W90" s="55"/>
      <c r="X90" s="55"/>
      <c r="Y90" s="55"/>
      <c r="Z90" s="55"/>
    </row>
    <row r="91" spans="2:26" ht="21" thickBot="1">
      <c r="B91" s="257"/>
      <c r="C91" s="57"/>
      <c r="D91" s="57" t="s">
        <v>380</v>
      </c>
      <c r="E91" s="57" t="s">
        <v>351</v>
      </c>
      <c r="F91" s="57">
        <v>-3.1702415539934146E-4</v>
      </c>
      <c r="G91" s="20">
        <v>-3.7529757345022873E-4</v>
      </c>
      <c r="H91" s="57">
        <v>1.8555211084135206E-4</v>
      </c>
      <c r="I91" s="57">
        <v>1.8096809282457506E-4</v>
      </c>
      <c r="J91" s="57">
        <v>1.9831791090086103E-4</v>
      </c>
      <c r="K91" s="57">
        <v>2.557796675998126E-4</v>
      </c>
      <c r="L91" s="57">
        <v>1.5474625405552511E-4</v>
      </c>
      <c r="M91" s="57">
        <v>1.8960206754604588E-4</v>
      </c>
      <c r="N91" s="57">
        <v>1.5444168419411308E-4</v>
      </c>
      <c r="O91" s="57">
        <v>1.45882241211397E-4</v>
      </c>
      <c r="P91" s="57">
        <v>1.5323418589440656E-4</v>
      </c>
      <c r="Q91" s="57"/>
      <c r="R91" s="57"/>
      <c r="S91" s="57"/>
      <c r="T91" s="57"/>
      <c r="U91" s="57"/>
      <c r="V91" s="57"/>
      <c r="W91" s="57"/>
      <c r="X91" s="57"/>
      <c r="Y91" s="57"/>
      <c r="Z91" s="57"/>
    </row>
    <row r="92" spans="2:26" ht="21" thickTop="1">
      <c r="B92" s="256" t="s">
        <v>381</v>
      </c>
      <c r="C92" s="55" t="s">
        <v>382</v>
      </c>
      <c r="D92" s="55" t="s">
        <v>383</v>
      </c>
      <c r="E92" s="55" t="s">
        <v>384</v>
      </c>
      <c r="F92" s="55">
        <v>8.7453503909277899</v>
      </c>
      <c r="G92" s="2">
        <v>8.2104818110790951</v>
      </c>
      <c r="H92" s="55">
        <v>9.4963161479902265</v>
      </c>
      <c r="I92" s="55">
        <v>8.3860722086699404</v>
      </c>
      <c r="J92" s="55">
        <v>7.0458658976119821</v>
      </c>
      <c r="K92" s="55">
        <v>9.2901291803350876</v>
      </c>
      <c r="L92" s="55">
        <v>10.401330090247521</v>
      </c>
      <c r="M92" s="55">
        <v>8.7455376688500372</v>
      </c>
      <c r="N92" s="55">
        <v>9.7013471072537136</v>
      </c>
      <c r="O92" s="55">
        <v>9.2531089919488565</v>
      </c>
      <c r="P92" s="55">
        <v>8.6584587070829002</v>
      </c>
      <c r="Q92" s="55"/>
      <c r="R92" s="55"/>
      <c r="S92" s="55"/>
      <c r="T92" s="55"/>
      <c r="U92" s="55"/>
      <c r="V92" s="55"/>
      <c r="W92" s="55"/>
      <c r="X92" s="55"/>
      <c r="Y92" s="55"/>
      <c r="Z92" s="55"/>
    </row>
    <row r="93" spans="2:26">
      <c r="B93" s="256"/>
      <c r="C93" s="55"/>
      <c r="D93" s="55" t="s">
        <v>385</v>
      </c>
      <c r="E93" s="55" t="s">
        <v>45</v>
      </c>
      <c r="F93" s="55">
        <v>0.87466672375566978</v>
      </c>
      <c r="G93" s="1">
        <v>0.90435520631105559</v>
      </c>
      <c r="H93" s="55">
        <v>0.87289716628344272</v>
      </c>
      <c r="I93" s="55">
        <v>0.87324814934969552</v>
      </c>
      <c r="J93" s="55">
        <v>0.92923133755955545</v>
      </c>
      <c r="K93" s="55">
        <v>0.9925505543187817</v>
      </c>
      <c r="L93" s="55">
        <v>0.98803141841708864</v>
      </c>
      <c r="M93" s="55">
        <v>0.95074838866354594</v>
      </c>
      <c r="N93" s="55">
        <v>0.98825436767997343</v>
      </c>
      <c r="O93" s="55">
        <v>0.98368694325554928</v>
      </c>
      <c r="P93" s="55">
        <v>0.98948080665334137</v>
      </c>
      <c r="Q93" s="55"/>
      <c r="R93" s="55"/>
      <c r="S93" s="55"/>
      <c r="T93" s="55"/>
      <c r="U93" s="55"/>
      <c r="V93" s="55"/>
      <c r="W93" s="55"/>
      <c r="X93" s="55"/>
      <c r="Y93" s="55"/>
      <c r="Z93" s="55"/>
    </row>
    <row r="94" spans="2:26">
      <c r="B94" s="256"/>
      <c r="C94" s="55"/>
      <c r="D94" s="55" t="s">
        <v>386</v>
      </c>
      <c r="E94" s="55" t="s">
        <v>384</v>
      </c>
      <c r="F94" s="55">
        <v>4.2390881345512756</v>
      </c>
      <c r="G94" s="1">
        <v>3.5040741639495896</v>
      </c>
      <c r="H94" s="55">
        <v>4.6332928125957356</v>
      </c>
      <c r="I94" s="55">
        <v>4.0863297379258734</v>
      </c>
      <c r="J94" s="55">
        <v>2.6034366877272448</v>
      </c>
      <c r="K94" s="55">
        <v>1.1318487780818216</v>
      </c>
      <c r="L94" s="55">
        <v>1.6044339500554228</v>
      </c>
      <c r="M94" s="55">
        <v>2.7107993008886107</v>
      </c>
      <c r="N94" s="55">
        <v>1.4825393080339162</v>
      </c>
      <c r="O94" s="55">
        <v>1.6645311178490798</v>
      </c>
      <c r="P94" s="55">
        <v>1.2525690769984914</v>
      </c>
      <c r="Q94" s="55"/>
      <c r="R94" s="55"/>
      <c r="S94" s="55"/>
      <c r="T94" s="55"/>
      <c r="U94" s="55"/>
      <c r="V94" s="55"/>
      <c r="W94" s="55"/>
      <c r="X94" s="55"/>
      <c r="Y94" s="55"/>
      <c r="Z94" s="55"/>
    </row>
    <row r="95" spans="2:26">
      <c r="B95" s="256"/>
      <c r="C95" s="55"/>
      <c r="D95" s="55" t="s">
        <v>387</v>
      </c>
      <c r="E95" s="55" t="s">
        <v>388</v>
      </c>
      <c r="F95" s="55">
        <v>1.4822020934095739</v>
      </c>
      <c r="G95" s="1">
        <v>1.7931085397169628</v>
      </c>
      <c r="H95" s="55">
        <v>1.3560950195287835</v>
      </c>
      <c r="I95" s="55">
        <v>1.5376109394365189</v>
      </c>
      <c r="J95" s="55">
        <v>2.413419668240405</v>
      </c>
      <c r="K95" s="55">
        <v>5.5512586388332643</v>
      </c>
      <c r="L95" s="55">
        <v>3.9161383408538213</v>
      </c>
      <c r="M95" s="55">
        <v>2.3178349297640493</v>
      </c>
      <c r="N95" s="55">
        <v>4.2381239223343714</v>
      </c>
      <c r="O95" s="55">
        <v>3.7747478793299867</v>
      </c>
      <c r="P95" s="55">
        <v>5.0162385632542277</v>
      </c>
      <c r="Q95" s="55"/>
      <c r="R95" s="55"/>
      <c r="S95" s="55"/>
      <c r="T95" s="55"/>
      <c r="U95" s="55"/>
      <c r="V95" s="55"/>
      <c r="W95" s="55"/>
      <c r="X95" s="55"/>
      <c r="Y95" s="55"/>
      <c r="Z95" s="55"/>
    </row>
    <row r="96" spans="2:26">
      <c r="B96" s="256"/>
      <c r="C96" s="55" t="s">
        <v>389</v>
      </c>
      <c r="D96" s="55" t="s">
        <v>390</v>
      </c>
      <c r="E96" s="55" t="s">
        <v>384</v>
      </c>
      <c r="F96" s="55">
        <v>0.65326714854755707</v>
      </c>
      <c r="G96" s="1">
        <v>0.62732315975683761</v>
      </c>
      <c r="H96" s="55">
        <v>0.62382508504723611</v>
      </c>
      <c r="I96" s="55">
        <v>0.70448947113508698</v>
      </c>
      <c r="J96" s="55">
        <v>0.82248996349895132</v>
      </c>
      <c r="K96" s="55">
        <v>0.60563290975250206</v>
      </c>
      <c r="L96" s="55">
        <v>0.53340329177995904</v>
      </c>
      <c r="M96" s="55">
        <v>0.60440909762581829</v>
      </c>
      <c r="N96" s="55">
        <v>0.5686171003563496</v>
      </c>
      <c r="O96" s="55">
        <v>0.5943886699925105</v>
      </c>
      <c r="P96" s="55">
        <v>0.64010513773290212</v>
      </c>
      <c r="Q96" s="55"/>
      <c r="R96" s="55"/>
      <c r="S96" s="55"/>
      <c r="T96" s="55"/>
      <c r="U96" s="55"/>
      <c r="V96" s="55"/>
      <c r="W96" s="55"/>
      <c r="X96" s="55"/>
      <c r="Y96" s="55"/>
      <c r="Z96" s="55"/>
    </row>
    <row r="97" spans="2:27">
      <c r="B97" s="256"/>
      <c r="C97" s="55"/>
      <c r="D97" s="55" t="s">
        <v>391</v>
      </c>
      <c r="E97" s="55" t="s">
        <v>45</v>
      </c>
      <c r="F97" s="55">
        <v>3.9293704054904489E-2</v>
      </c>
      <c r="G97" s="1">
        <v>4.1935643099854196E-2</v>
      </c>
      <c r="H97" s="55">
        <v>2.9829612677350483E-2</v>
      </c>
      <c r="I97" s="55">
        <v>3.148157310602704E-2</v>
      </c>
      <c r="J97" s="55">
        <v>3.2163274407309643E-2</v>
      </c>
      <c r="K97" s="55">
        <v>3.7242807874262492E-2</v>
      </c>
      <c r="L97" s="55">
        <v>3.6480889219473393E-2</v>
      </c>
      <c r="M97" s="55">
        <v>3.5390909123463973E-2</v>
      </c>
      <c r="N97" s="55">
        <v>4.1291947701511719E-2</v>
      </c>
      <c r="O97" s="55">
        <v>3.9216782953523835E-2</v>
      </c>
      <c r="P97" s="55">
        <v>3.8981032713419926E-2</v>
      </c>
      <c r="Q97" s="55"/>
      <c r="R97" s="55"/>
      <c r="S97" s="55"/>
      <c r="T97" s="55"/>
      <c r="U97" s="55"/>
      <c r="V97" s="55"/>
      <c r="W97" s="55"/>
      <c r="X97" s="55"/>
      <c r="Y97" s="55"/>
      <c r="Z97" s="55"/>
    </row>
    <row r="98" spans="2:27">
      <c r="B98" s="256"/>
      <c r="C98" s="55"/>
      <c r="D98" s="55" t="s">
        <v>392</v>
      </c>
      <c r="E98" s="55" t="s">
        <v>384</v>
      </c>
      <c r="F98" s="55">
        <v>0.65276263306619364</v>
      </c>
      <c r="G98" s="1">
        <v>0.62677131235269212</v>
      </c>
      <c r="H98" s="55">
        <v>0.62354748169313978</v>
      </c>
      <c r="I98" s="55">
        <v>0.70414027855380978</v>
      </c>
      <c r="J98" s="55">
        <v>0.82206443026501153</v>
      </c>
      <c r="K98" s="55">
        <v>0.6052127494888383</v>
      </c>
      <c r="L98" s="55">
        <v>0.53304823231428844</v>
      </c>
      <c r="M98" s="55">
        <v>0.60403046285887607</v>
      </c>
      <c r="N98" s="55">
        <v>0.56813214038081983</v>
      </c>
      <c r="O98" s="55">
        <v>0.59393142228808504</v>
      </c>
      <c r="P98" s="55">
        <v>0.63961862627541599</v>
      </c>
      <c r="Q98" s="55"/>
      <c r="R98" s="55"/>
      <c r="S98" s="55"/>
      <c r="T98" s="55"/>
      <c r="U98" s="55"/>
      <c r="V98" s="55"/>
      <c r="W98" s="55"/>
      <c r="X98" s="55"/>
      <c r="Y98" s="55"/>
      <c r="Z98" s="55"/>
    </row>
    <row r="99" spans="2:27">
      <c r="B99" s="256"/>
      <c r="C99" s="55"/>
      <c r="D99" s="55" t="s">
        <v>393</v>
      </c>
      <c r="E99" s="55" t="s">
        <v>388</v>
      </c>
      <c r="F99" s="55">
        <v>9.6255284676236013</v>
      </c>
      <c r="G99" s="1">
        <v>10.024685532582192</v>
      </c>
      <c r="H99" s="55">
        <v>10.07651460658399</v>
      </c>
      <c r="I99" s="55">
        <v>8.9232010986280077</v>
      </c>
      <c r="J99" s="55">
        <v>7.6431786559042045</v>
      </c>
      <c r="K99" s="55">
        <v>10.381779485786369</v>
      </c>
      <c r="L99" s="55">
        <v>11.78727350787833</v>
      </c>
      <c r="M99" s="55">
        <v>10.402100048797656</v>
      </c>
      <c r="N99" s="55">
        <v>11.059373094026959</v>
      </c>
      <c r="O99" s="55">
        <v>10.57897439231956</v>
      </c>
      <c r="P99" s="55">
        <v>9.8233307303250488</v>
      </c>
      <c r="Q99" s="55"/>
      <c r="R99" s="55"/>
      <c r="S99" s="55"/>
      <c r="T99" s="55"/>
      <c r="U99" s="55"/>
      <c r="V99" s="55"/>
      <c r="W99" s="55"/>
      <c r="X99" s="55"/>
      <c r="Y99" s="55"/>
      <c r="Z99" s="55"/>
    </row>
    <row r="100" spans="2:27">
      <c r="B100" s="256"/>
      <c r="C100" s="55" t="s">
        <v>394</v>
      </c>
      <c r="D100" s="55" t="s">
        <v>395</v>
      </c>
      <c r="E100" s="55" t="s">
        <v>384</v>
      </c>
      <c r="F100" s="55">
        <v>0.71452193292878585</v>
      </c>
      <c r="G100" s="1">
        <v>0.72438011711662642</v>
      </c>
      <c r="H100" s="55">
        <v>1.2535547569359917</v>
      </c>
      <c r="I100" s="55">
        <v>1.1385918604631449</v>
      </c>
      <c r="J100" s="55">
        <v>1.2646822697445395</v>
      </c>
      <c r="K100" s="55">
        <v>0.92879097528311116</v>
      </c>
      <c r="L100" s="55">
        <v>1.0987067653094216</v>
      </c>
      <c r="M100" s="55">
        <v>1.0366318104894019</v>
      </c>
      <c r="N100" s="55">
        <v>1.0300195391903519</v>
      </c>
      <c r="O100" s="55">
        <v>1.0391027576319321</v>
      </c>
      <c r="P100" s="55">
        <v>0.91300620956946987</v>
      </c>
      <c r="Q100" s="55"/>
      <c r="R100" s="55"/>
      <c r="S100" s="55"/>
      <c r="T100" s="55"/>
      <c r="U100" s="55"/>
      <c r="V100" s="55"/>
      <c r="W100" s="55"/>
      <c r="X100" s="55"/>
      <c r="Y100" s="55"/>
      <c r="Z100" s="55"/>
    </row>
    <row r="101" spans="2:27">
      <c r="B101" s="256"/>
      <c r="C101" s="55"/>
      <c r="D101" s="55" t="s">
        <v>396</v>
      </c>
      <c r="E101" s="55"/>
      <c r="F101" s="55">
        <v>0.15159055837003976</v>
      </c>
      <c r="G101" s="1">
        <v>0.18493539126626099</v>
      </c>
      <c r="H101" s="55">
        <v>0.20060718601528893</v>
      </c>
      <c r="I101" s="55">
        <v>0.20270423647798141</v>
      </c>
      <c r="J101" s="55">
        <v>0.2034993555069157</v>
      </c>
      <c r="K101" s="55">
        <v>0.25141588908449458</v>
      </c>
      <c r="L101" s="55">
        <v>0.22647111129224112</v>
      </c>
      <c r="M101" s="55">
        <v>0.22202189401394098</v>
      </c>
      <c r="N101" s="55">
        <v>0.21710302695420797</v>
      </c>
      <c r="O101" s="55">
        <v>0.21427229647500562</v>
      </c>
      <c r="P101" s="55">
        <v>0.21084076252157694</v>
      </c>
      <c r="Q101" s="55"/>
      <c r="R101" s="55"/>
      <c r="S101" s="55"/>
      <c r="T101" s="55"/>
      <c r="U101" s="55"/>
      <c r="V101" s="55"/>
      <c r="W101" s="55"/>
      <c r="X101" s="55"/>
      <c r="Y101" s="55"/>
      <c r="Z101" s="55"/>
    </row>
    <row r="102" spans="2:27">
      <c r="B102" s="256"/>
      <c r="C102" s="55"/>
      <c r="D102" s="55" t="s">
        <v>395</v>
      </c>
      <c r="E102" s="55" t="s">
        <v>384</v>
      </c>
      <c r="F102" s="55">
        <v>0.70626446982278512</v>
      </c>
      <c r="G102" s="1">
        <v>0.71188505341810548</v>
      </c>
      <c r="H102" s="55">
        <v>1.2280721947135658</v>
      </c>
      <c r="I102" s="55">
        <v>1.1149547021103381</v>
      </c>
      <c r="J102" s="55">
        <v>1.2382188944449084</v>
      </c>
      <c r="K102" s="55">
        <v>0.8989574205057016</v>
      </c>
      <c r="L102" s="55">
        <v>1.070160037215744</v>
      </c>
      <c r="M102" s="55">
        <v>1.0107592224882171</v>
      </c>
      <c r="N102" s="55">
        <v>1.0054522294995805</v>
      </c>
      <c r="O102" s="55">
        <v>1.0149685228812946</v>
      </c>
      <c r="P102" s="55">
        <v>0.89248221406783212</v>
      </c>
      <c r="Q102" s="55"/>
      <c r="R102" s="55"/>
      <c r="S102" s="55"/>
      <c r="T102" s="55"/>
      <c r="U102" s="55"/>
      <c r="V102" s="55"/>
      <c r="W102" s="55"/>
      <c r="X102" s="55"/>
      <c r="Y102" s="55"/>
      <c r="Z102" s="55"/>
    </row>
    <row r="103" spans="2:27">
      <c r="B103" s="256"/>
      <c r="C103" s="55"/>
      <c r="D103" s="55" t="s">
        <v>397</v>
      </c>
      <c r="E103" s="55" t="s">
        <v>388</v>
      </c>
      <c r="F103" s="55">
        <v>8.8963632968201765</v>
      </c>
      <c r="G103" s="1">
        <v>8.8261233706354218</v>
      </c>
      <c r="H103" s="55">
        <v>5.1162996232848261</v>
      </c>
      <c r="I103" s="55">
        <v>5.635372715400047</v>
      </c>
      <c r="J103" s="55">
        <v>5.0743736308403919</v>
      </c>
      <c r="K103" s="55">
        <v>6.9894136961960092</v>
      </c>
      <c r="L103" s="55">
        <v>5.8712576518243669</v>
      </c>
      <c r="M103" s="55">
        <v>6.2163027231273489</v>
      </c>
      <c r="N103" s="55">
        <v>6.2491137050904593</v>
      </c>
      <c r="O103" s="55">
        <v>6.1905223320057923</v>
      </c>
      <c r="P103" s="55">
        <v>7.0401238345597328</v>
      </c>
      <c r="Q103" s="55"/>
      <c r="R103" s="55"/>
      <c r="S103" s="55"/>
      <c r="T103" s="55"/>
      <c r="U103" s="55"/>
      <c r="V103" s="55"/>
      <c r="W103" s="55"/>
      <c r="X103" s="55"/>
      <c r="Y103" s="55"/>
      <c r="Z103" s="55"/>
    </row>
    <row r="104" spans="2:27">
      <c r="B104" s="256"/>
      <c r="C104" s="55" t="s">
        <v>398</v>
      </c>
      <c r="D104" s="55" t="s">
        <v>399</v>
      </c>
      <c r="E104" s="55"/>
      <c r="F104" s="55">
        <v>0.24829176159103347</v>
      </c>
      <c r="G104" s="1">
        <v>0.36269510456588794</v>
      </c>
      <c r="H104" s="55">
        <v>-1.9216585040664196E-2</v>
      </c>
      <c r="I104" s="55">
        <v>-2.7297176747471005E-2</v>
      </c>
      <c r="J104" s="55">
        <v>-4.372860158895997E-2</v>
      </c>
      <c r="K104" s="55">
        <v>-9.0773124665995492E-2</v>
      </c>
      <c r="L104" s="55">
        <v>-8.6694976076733751E-3</v>
      </c>
      <c r="M104" s="55">
        <v>-3.4806930541028493E-2</v>
      </c>
      <c r="N104" s="55">
        <v>-2.1839647168287717E-2</v>
      </c>
      <c r="O104" s="55">
        <v>-1.7593155317140192E-2</v>
      </c>
      <c r="P104" s="55">
        <v>-4.9245769222332134E-2</v>
      </c>
      <c r="Q104" s="55"/>
      <c r="R104" s="55"/>
      <c r="S104" s="55"/>
      <c r="T104" s="55"/>
      <c r="U104" s="55"/>
      <c r="V104" s="55"/>
      <c r="W104" s="55"/>
      <c r="X104" s="55"/>
      <c r="Y104" s="55"/>
      <c r="Z104" s="55"/>
    </row>
    <row r="105" spans="2:27">
      <c r="B105" s="256"/>
      <c r="C105" s="55"/>
      <c r="D105" s="55" t="s">
        <v>400</v>
      </c>
      <c r="E105" s="55" t="s">
        <v>388</v>
      </c>
      <c r="F105" s="55">
        <v>-2.7916640331451772</v>
      </c>
      <c r="G105" s="1">
        <v>-1.9111015611572082</v>
      </c>
      <c r="H105" s="55">
        <v>36.070258013751001</v>
      </c>
      <c r="I105" s="55">
        <v>25.392632614439261</v>
      </c>
      <c r="J105" s="55">
        <v>15.851117012050578</v>
      </c>
      <c r="K105" s="55">
        <v>7.6360396660401078</v>
      </c>
      <c r="L105" s="55">
        <v>79.952404617591739</v>
      </c>
      <c r="M105" s="55">
        <v>19.914056476278528</v>
      </c>
      <c r="N105" s="55">
        <v>31.738021004589779</v>
      </c>
      <c r="O105" s="55">
        <v>39.398684776268887</v>
      </c>
      <c r="P105" s="55">
        <v>14.075263550672991</v>
      </c>
      <c r="Q105" s="55"/>
      <c r="R105" s="55"/>
      <c r="S105" s="55"/>
      <c r="T105" s="55"/>
      <c r="U105" s="55"/>
      <c r="V105" s="55"/>
      <c r="W105" s="55"/>
      <c r="X105" s="55"/>
      <c r="Y105" s="55"/>
      <c r="Z105" s="55"/>
    </row>
    <row r="106" spans="2:27" ht="21" thickBot="1">
      <c r="B106" s="257"/>
      <c r="C106" s="57" t="s">
        <v>401</v>
      </c>
      <c r="D106" s="57" t="s">
        <v>402</v>
      </c>
      <c r="E106" s="57"/>
      <c r="F106" s="57">
        <v>30.228339155625207</v>
      </c>
      <c r="G106" s="20">
        <v>36.246940958040639</v>
      </c>
      <c r="H106" s="57">
        <v>36.670209300235157</v>
      </c>
      <c r="I106" s="57">
        <v>30.660436314858401</v>
      </c>
      <c r="J106" s="57">
        <v>28.448149995144675</v>
      </c>
      <c r="K106" s="57">
        <v>33.360693861526748</v>
      </c>
      <c r="L106" s="57">
        <v>44.430982222470632</v>
      </c>
      <c r="M106" s="57">
        <v>39.510875685444965</v>
      </c>
      <c r="N106" s="57">
        <v>40.323482713556857</v>
      </c>
      <c r="O106" s="57">
        <v>39.16291360077927</v>
      </c>
      <c r="P106" s="57">
        <v>33.317151314646928</v>
      </c>
      <c r="Q106" s="57"/>
      <c r="R106" s="57"/>
      <c r="S106" s="57"/>
      <c r="T106" s="57"/>
      <c r="U106" s="57"/>
      <c r="V106" s="57"/>
      <c r="W106" s="57"/>
      <c r="X106" s="57"/>
      <c r="Y106" s="57"/>
      <c r="Z106" s="57"/>
    </row>
    <row r="107" spans="2:27" ht="21" thickTop="1">
      <c r="B107" s="26"/>
      <c r="C107" s="3"/>
      <c r="D107" s="3"/>
      <c r="E107" s="3"/>
      <c r="F107" s="3"/>
      <c r="H107" s="3"/>
      <c r="I107" s="52"/>
      <c r="J107" s="52"/>
      <c r="K107" s="52"/>
      <c r="L107" s="52"/>
      <c r="M107" s="52"/>
      <c r="N107" s="52"/>
      <c r="O107" s="52"/>
      <c r="P107" s="52"/>
      <c r="Q107" s="52"/>
      <c r="R107" s="52"/>
      <c r="S107" s="52"/>
      <c r="T107" s="52"/>
      <c r="U107" s="52"/>
      <c r="V107" s="52"/>
      <c r="W107" s="52"/>
      <c r="X107" s="52"/>
      <c r="Y107" s="52"/>
      <c r="Z107" s="52"/>
      <c r="AA107" s="52"/>
    </row>
  </sheetData>
  <mergeCells count="22">
    <mergeCell ref="B60:B82"/>
    <mergeCell ref="B83:B88"/>
    <mergeCell ref="B89:B91"/>
    <mergeCell ref="B92:B106"/>
    <mergeCell ref="B24:B26"/>
    <mergeCell ref="B27:B37"/>
    <mergeCell ref="B38:B44"/>
    <mergeCell ref="B45:B48"/>
    <mergeCell ref="B49:B53"/>
    <mergeCell ref="B54:B59"/>
    <mergeCell ref="B21:B23"/>
    <mergeCell ref="C3:E3"/>
    <mergeCell ref="C4:E4"/>
    <mergeCell ref="C5:E5"/>
    <mergeCell ref="C6:E6"/>
    <mergeCell ref="C7:E7"/>
    <mergeCell ref="C8:E8"/>
    <mergeCell ref="C9:E9"/>
    <mergeCell ref="D10:E10"/>
    <mergeCell ref="D11:E11"/>
    <mergeCell ref="B12:B15"/>
    <mergeCell ref="B16:B20"/>
  </mergeCells>
  <phoneticPr fontId="3"/>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F796-600D-9D4F-B484-E361FF10B5A9}">
  <sheetPr codeName="Sheet20">
    <tabColor theme="4" tint="0.59999389629810485"/>
  </sheetPr>
  <dimension ref="A1"/>
  <sheetViews>
    <sheetView workbookViewId="0"/>
  </sheetViews>
  <sheetFormatPr baseColWidth="10" defaultColWidth="8.7109375" defaultRowHeight="20"/>
  <sheetData/>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15</vt:i4>
      </vt:variant>
    </vt:vector>
  </HeadingPairs>
  <TitlesOfParts>
    <vt:vector size="15" baseType="lpstr">
      <vt:lpstr>全機諸元</vt:lpstr>
      <vt:lpstr>フライトプラン</vt:lpstr>
      <vt:lpstr>重量分布</vt:lpstr>
      <vt:lpstr>荷重評価</vt:lpstr>
      <vt:lpstr>主翼</vt:lpstr>
      <vt:lpstr>水平尾翼</vt:lpstr>
      <vt:lpstr>垂直尾翼</vt:lpstr>
      <vt:lpstr>カウル</vt:lpstr>
      <vt:lpstr>胴接桁</vt:lpstr>
      <vt:lpstr>主桁</vt:lpstr>
      <vt:lpstr>積層構成</vt:lpstr>
      <vt:lpstr>翼型</vt:lpstr>
      <vt:lpstr>パラメータ</vt:lpstr>
      <vt:lpstr>歴代主要諸元</vt:lpstr>
      <vt:lpstr>垂直尾翼（通常配置）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2023-05-20T09:09:36Z</dcterms:created>
  <dcterms:modified xsi:type="dcterms:W3CDTF">2023-07-15T21:00:09Z</dcterms:modified>
</cp:coreProperties>
</file>