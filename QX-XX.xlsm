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omments4.xml" ContentType="application/vnd.openxmlformats-officedocument.spreadsheetml.comments+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qu365-my.sharepoint.com/personal/mori_hayato_889_s_kyushu-u_ac_jp/Documents/AircraftDesign/QX-design/"/>
    </mc:Choice>
  </mc:AlternateContent>
  <xr:revisionPtr revIDLastSave="317" documentId="13_ncr:1_{C6AE686A-B72A-9143-A403-6F2BC25A29A5}" xr6:coauthVersionLast="47" xr6:coauthVersionMax="47" xr10:uidLastSave="{D4E502E6-5258-4540-9A70-1C98943B8CFC}"/>
  <bookViews>
    <workbookView xWindow="13050" yWindow="375" windowWidth="16020" windowHeight="15450" tabRatio="1000" activeTab="12" xr2:uid="{BFAAB446-3423-2144-9A78-B75F1F696C9D}"/>
  </bookViews>
  <sheets>
    <sheet name="全機諸元" sheetId="11" r:id="rId1"/>
    <sheet name="三面図" sheetId="25" r:id="rId2"/>
    <sheet name="飛行経路" sheetId="17" r:id="rId3"/>
    <sheet name="機体重量" sheetId="1" r:id="rId4"/>
    <sheet name="主翼" sheetId="6" r:id="rId5"/>
    <sheet name="水平尾翼" sheetId="8" r:id="rId6"/>
    <sheet name="垂直尾翼" sheetId="9" r:id="rId7"/>
    <sheet name="カウル" sheetId="10" r:id="rId8"/>
    <sheet name="胴接桁" sheetId="24" r:id="rId9"/>
    <sheet name="主桁" sheetId="21" r:id="rId10"/>
    <sheet name="積層構成" sheetId="15" r:id="rId11"/>
    <sheet name="翼型" sheetId="4" r:id="rId12"/>
    <sheet name="パラメータ" sheetId="2" r:id="rId13"/>
    <sheet name="歴代主要諸元" sheetId="5" r:id="rId14"/>
  </sheets>
  <functionGroups builtInGroupCount="19"/>
  <externalReferences>
    <externalReference r:id="rId15"/>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8" i="21" l="1"/>
  <c r="C11" i="21"/>
  <c r="C9" i="21"/>
  <c r="C7" i="21"/>
  <c r="G54" i="21"/>
  <c r="G40" i="11"/>
  <c r="F40" i="11"/>
  <c r="AX45" i="6"/>
  <c r="P99" i="11"/>
  <c r="P100" i="11"/>
  <c r="P101" i="11"/>
  <c r="P102" i="11"/>
  <c r="P103" i="11"/>
  <c r="P104" i="11"/>
  <c r="P92" i="11"/>
  <c r="P93" i="11"/>
  <c r="P97" i="11"/>
  <c r="P98" i="11"/>
  <c r="P105" i="11"/>
  <c r="P89" i="11"/>
  <c r="P90" i="11"/>
  <c r="P91" i="11"/>
  <c r="P96" i="11"/>
  <c r="P88" i="11"/>
  <c r="C8" i="1"/>
  <c r="N5" i="11"/>
  <c r="D14" i="11"/>
  <c r="N4" i="11" s="1"/>
  <c r="H89" i="11"/>
  <c r="I89" i="11"/>
  <c r="H90" i="11"/>
  <c r="I90" i="11"/>
  <c r="H96" i="11"/>
  <c r="I96" i="11"/>
  <c r="H97" i="11"/>
  <c r="I97" i="11"/>
  <c r="H98" i="11"/>
  <c r="I98" i="11"/>
  <c r="H99" i="11"/>
  <c r="I99" i="11"/>
  <c r="H100" i="11"/>
  <c r="I100" i="11"/>
  <c r="H101" i="11"/>
  <c r="I101" i="11"/>
  <c r="H102" i="11"/>
  <c r="I102" i="11"/>
  <c r="H103" i="11"/>
  <c r="I103" i="11"/>
  <c r="H104" i="11"/>
  <c r="I104" i="11"/>
  <c r="H95" i="11"/>
  <c r="I95" i="11"/>
  <c r="H92" i="11"/>
  <c r="I92" i="11"/>
  <c r="H93" i="11"/>
  <c r="I93" i="11"/>
  <c r="H94" i="11"/>
  <c r="I94" i="11"/>
  <c r="N23" i="24"/>
  <c r="N22" i="24"/>
  <c r="N21" i="24"/>
  <c r="H91" i="11" l="1"/>
  <c r="I91" i="11"/>
  <c r="M21" i="1"/>
  <c r="M20" i="1"/>
  <c r="M18" i="1"/>
  <c r="M17" i="1"/>
  <c r="M16" i="1"/>
  <c r="M15" i="1"/>
  <c r="AE3" i="1"/>
  <c r="AC3" i="1"/>
  <c r="T64" i="1"/>
  <c r="Q17" i="24"/>
  <c r="M14" i="24"/>
  <c r="N14" i="24"/>
  <c r="P14" i="24"/>
  <c r="P15" i="24" s="1"/>
  <c r="M15" i="24"/>
  <c r="N15" i="24"/>
  <c r="O15" i="24"/>
  <c r="Q15" i="24"/>
  <c r="L15" i="24"/>
  <c r="U5" i="1"/>
  <c r="U64" i="1"/>
  <c r="T57" i="1"/>
  <c r="T56" i="1"/>
  <c r="T55" i="1"/>
  <c r="T59" i="1"/>
  <c r="T29" i="1"/>
  <c r="U31" i="1"/>
  <c r="U38" i="1"/>
  <c r="U12" i="1"/>
  <c r="V40" i="1"/>
  <c r="T11" i="1" l="1"/>
  <c r="W18" i="1" l="1"/>
  <c r="W16" i="1"/>
  <c r="W14" i="1"/>
  <c r="W13" i="1" l="1"/>
  <c r="W15" i="1"/>
  <c r="W17" i="1"/>
  <c r="BE112" i="6"/>
  <c r="BE113" i="6"/>
  <c r="BE114" i="6"/>
  <c r="AS112" i="6"/>
  <c r="AT112" i="6"/>
  <c r="AW112" i="6" s="1"/>
  <c r="AS113" i="6"/>
  <c r="AX113" i="6" s="1"/>
  <c r="AT113" i="6"/>
  <c r="BC113" i="6" s="1"/>
  <c r="AS114" i="6"/>
  <c r="AX114" i="6" s="1"/>
  <c r="AT114" i="6"/>
  <c r="AV114" i="6" s="1"/>
  <c r="AP7" i="21"/>
  <c r="AP8" i="21"/>
  <c r="AP9" i="21"/>
  <c r="AP10" i="21"/>
  <c r="AP11" i="21"/>
  <c r="AP12" i="21"/>
  <c r="AP13" i="21"/>
  <c r="AP14" i="21"/>
  <c r="AP15" i="21"/>
  <c r="AP16" i="21"/>
  <c r="AP17" i="21"/>
  <c r="AP18" i="21"/>
  <c r="AP19" i="21"/>
  <c r="AP20" i="21"/>
  <c r="AP21" i="21"/>
  <c r="AP22" i="21"/>
  <c r="AP23" i="21"/>
  <c r="AP24" i="21"/>
  <c r="AP25" i="21"/>
  <c r="AP26" i="21"/>
  <c r="AP27" i="21"/>
  <c r="AP28" i="21"/>
  <c r="AP29" i="21"/>
  <c r="AP30" i="21"/>
  <c r="AP31" i="21"/>
  <c r="AP32" i="21"/>
  <c r="AP33" i="21"/>
  <c r="AP34" i="21"/>
  <c r="AP35" i="21"/>
  <c r="AP36" i="21"/>
  <c r="AP37" i="21"/>
  <c r="AP38" i="21"/>
  <c r="AP39" i="21"/>
  <c r="AP40" i="21"/>
  <c r="AP41" i="21"/>
  <c r="AP42" i="21"/>
  <c r="AP43" i="21"/>
  <c r="AP44" i="21"/>
  <c r="AP45" i="21"/>
  <c r="AP46" i="21"/>
  <c r="AP47" i="21"/>
  <c r="AP48" i="21"/>
  <c r="AP49" i="21"/>
  <c r="AP50" i="21"/>
  <c r="AP51" i="21"/>
  <c r="AP52" i="21"/>
  <c r="AP53" i="21"/>
  <c r="AP54" i="21"/>
  <c r="AP55" i="21"/>
  <c r="AP56" i="21"/>
  <c r="AP57" i="21"/>
  <c r="AP58" i="21"/>
  <c r="AP59" i="21"/>
  <c r="AP60" i="21"/>
  <c r="AP61" i="21"/>
  <c r="AP62" i="21"/>
  <c r="AP63" i="21"/>
  <c r="AP64" i="21"/>
  <c r="AP65" i="21"/>
  <c r="AP66" i="21"/>
  <c r="AP67" i="21"/>
  <c r="AP6" i="21"/>
  <c r="BF113" i="6"/>
  <c r="BF114" i="6"/>
  <c r="I52" i="6"/>
  <c r="J52" i="6"/>
  <c r="I53" i="6"/>
  <c r="J53" i="6"/>
  <c r="I54" i="6"/>
  <c r="J54" i="6"/>
  <c r="I55" i="6"/>
  <c r="J55" i="6"/>
  <c r="I56" i="6"/>
  <c r="J56" i="6"/>
  <c r="I57" i="6"/>
  <c r="J57" i="6"/>
  <c r="I58" i="6"/>
  <c r="J58" i="6"/>
  <c r="I59" i="6"/>
  <c r="J59" i="6"/>
  <c r="I60" i="6"/>
  <c r="J60" i="6"/>
  <c r="I61" i="6"/>
  <c r="J61" i="6"/>
  <c r="I62" i="6"/>
  <c r="J62" i="6"/>
  <c r="I63" i="6"/>
  <c r="J63" i="6"/>
  <c r="I64" i="6"/>
  <c r="J64" i="6"/>
  <c r="I65" i="6"/>
  <c r="J65" i="6"/>
  <c r="I66" i="6"/>
  <c r="J66" i="6"/>
  <c r="I67" i="6"/>
  <c r="J67" i="6"/>
  <c r="I68" i="6"/>
  <c r="J68" i="6"/>
  <c r="I69" i="6"/>
  <c r="J69" i="6"/>
  <c r="I70" i="6"/>
  <c r="J70" i="6"/>
  <c r="I71" i="6"/>
  <c r="J71" i="6"/>
  <c r="I72" i="6"/>
  <c r="J72" i="6"/>
  <c r="I73" i="6"/>
  <c r="J73" i="6"/>
  <c r="I74" i="6"/>
  <c r="J74" i="6"/>
  <c r="I75" i="6"/>
  <c r="J75" i="6"/>
  <c r="I76" i="6"/>
  <c r="J76" i="6"/>
  <c r="I77" i="6"/>
  <c r="J77" i="6"/>
  <c r="I78" i="6"/>
  <c r="J78" i="6"/>
  <c r="I79" i="6"/>
  <c r="J79" i="6"/>
  <c r="I80" i="6"/>
  <c r="J80" i="6"/>
  <c r="I81" i="6"/>
  <c r="J81" i="6"/>
  <c r="I82" i="6"/>
  <c r="J82" i="6"/>
  <c r="I83" i="6"/>
  <c r="J83" i="6"/>
  <c r="I84" i="6"/>
  <c r="J84" i="6"/>
  <c r="I85" i="6"/>
  <c r="J85" i="6"/>
  <c r="I86" i="6"/>
  <c r="J86" i="6"/>
  <c r="I87" i="6"/>
  <c r="J87" i="6"/>
  <c r="I88" i="6"/>
  <c r="J88" i="6"/>
  <c r="I89" i="6"/>
  <c r="J89" i="6"/>
  <c r="I90" i="6"/>
  <c r="J90" i="6"/>
  <c r="I91" i="6"/>
  <c r="J91" i="6"/>
  <c r="I92" i="6"/>
  <c r="J92" i="6"/>
  <c r="I93" i="6"/>
  <c r="J93" i="6"/>
  <c r="I94" i="6"/>
  <c r="J94" i="6"/>
  <c r="I95" i="6"/>
  <c r="J95" i="6"/>
  <c r="I96" i="6"/>
  <c r="J96" i="6"/>
  <c r="I97" i="6"/>
  <c r="J97" i="6"/>
  <c r="I98" i="6"/>
  <c r="J98" i="6"/>
  <c r="I99" i="6"/>
  <c r="J99" i="6"/>
  <c r="I100" i="6"/>
  <c r="J100" i="6"/>
  <c r="I101" i="6"/>
  <c r="J101" i="6"/>
  <c r="I102" i="6"/>
  <c r="J102" i="6"/>
  <c r="I103" i="6"/>
  <c r="J103" i="6"/>
  <c r="I104" i="6"/>
  <c r="J104" i="6"/>
  <c r="I105" i="6"/>
  <c r="J105" i="6"/>
  <c r="I106" i="6"/>
  <c r="J106" i="6"/>
  <c r="I107" i="6"/>
  <c r="J107" i="6"/>
  <c r="I108" i="6"/>
  <c r="J108" i="6"/>
  <c r="I109" i="6"/>
  <c r="J109" i="6"/>
  <c r="I110" i="6"/>
  <c r="J110" i="6"/>
  <c r="I111" i="6"/>
  <c r="J111" i="6"/>
  <c r="J51" i="6"/>
  <c r="I51" i="6"/>
  <c r="C13" i="21"/>
  <c r="C12" i="21"/>
  <c r="C10" i="21"/>
  <c r="C8" i="21"/>
  <c r="AA6" i="21"/>
  <c r="AN66" i="21"/>
  <c r="AO66" i="21"/>
  <c r="E51" i="6"/>
  <c r="C52" i="6" s="1"/>
  <c r="AA7" i="21" s="1"/>
  <c r="F51" i="6"/>
  <c r="AC51" i="6"/>
  <c r="AE51" i="6"/>
  <c r="AL51" i="6"/>
  <c r="AZ51" i="6"/>
  <c r="BB51" i="6"/>
  <c r="BD51" i="6"/>
  <c r="C14" i="21"/>
  <c r="AZ53" i="6"/>
  <c r="BB53" i="6"/>
  <c r="BD53" i="6"/>
  <c r="AZ54" i="6"/>
  <c r="BB54" i="6"/>
  <c r="BD54" i="6"/>
  <c r="AZ55" i="6"/>
  <c r="BB55" i="6"/>
  <c r="BD55" i="6"/>
  <c r="AZ56" i="6"/>
  <c r="BB56" i="6"/>
  <c r="BD56" i="6"/>
  <c r="AZ57" i="6"/>
  <c r="BB57" i="6"/>
  <c r="BD57" i="6"/>
  <c r="AZ58" i="6"/>
  <c r="BB58" i="6"/>
  <c r="BD58" i="6"/>
  <c r="AZ59" i="6"/>
  <c r="BB59" i="6"/>
  <c r="BD59" i="6"/>
  <c r="AZ60" i="6"/>
  <c r="BB60" i="6"/>
  <c r="BD60" i="6"/>
  <c r="AZ61" i="6"/>
  <c r="BB61" i="6"/>
  <c r="BD61" i="6"/>
  <c r="AZ62" i="6"/>
  <c r="BB62" i="6"/>
  <c r="BD62" i="6"/>
  <c r="AZ63" i="6"/>
  <c r="BB63" i="6"/>
  <c r="BD63" i="6"/>
  <c r="AZ64" i="6"/>
  <c r="BB64" i="6"/>
  <c r="BD64" i="6"/>
  <c r="AZ65" i="6"/>
  <c r="BB65" i="6"/>
  <c r="BD65" i="6"/>
  <c r="AZ66" i="6"/>
  <c r="BB66" i="6"/>
  <c r="BD66" i="6"/>
  <c r="AZ67" i="6"/>
  <c r="BB67" i="6"/>
  <c r="BD67" i="6"/>
  <c r="AZ68" i="6"/>
  <c r="BB68" i="6"/>
  <c r="BD68" i="6"/>
  <c r="AZ69" i="6"/>
  <c r="BB69" i="6"/>
  <c r="BD69" i="6"/>
  <c r="AZ70" i="6"/>
  <c r="BB70" i="6"/>
  <c r="BD70" i="6"/>
  <c r="AZ71" i="6"/>
  <c r="BB71" i="6"/>
  <c r="BD71" i="6"/>
  <c r="AZ72" i="6"/>
  <c r="BB72" i="6"/>
  <c r="BD72" i="6"/>
  <c r="AZ73" i="6"/>
  <c r="BB73" i="6"/>
  <c r="BD73" i="6"/>
  <c r="AZ74" i="6"/>
  <c r="BB74" i="6"/>
  <c r="BD74" i="6"/>
  <c r="AZ75" i="6"/>
  <c r="BB75" i="6"/>
  <c r="BD75" i="6"/>
  <c r="AZ76" i="6"/>
  <c r="BB76" i="6"/>
  <c r="BD76" i="6"/>
  <c r="AZ77" i="6"/>
  <c r="BB77" i="6"/>
  <c r="BD77" i="6"/>
  <c r="AZ78" i="6"/>
  <c r="BB78" i="6"/>
  <c r="BD78" i="6"/>
  <c r="AZ79" i="6"/>
  <c r="BB79" i="6"/>
  <c r="BD79" i="6"/>
  <c r="AZ80" i="6"/>
  <c r="BB80" i="6"/>
  <c r="BD80" i="6"/>
  <c r="AZ81" i="6"/>
  <c r="BB81" i="6"/>
  <c r="BD81" i="6"/>
  <c r="AZ82" i="6"/>
  <c r="BB82" i="6"/>
  <c r="BD82" i="6"/>
  <c r="AZ83" i="6"/>
  <c r="BB83" i="6"/>
  <c r="BD83" i="6"/>
  <c r="AZ84" i="6"/>
  <c r="BB84" i="6"/>
  <c r="BD84" i="6"/>
  <c r="AZ85" i="6"/>
  <c r="BB85" i="6"/>
  <c r="BD85" i="6"/>
  <c r="AZ86" i="6"/>
  <c r="BB86" i="6"/>
  <c r="BD86" i="6"/>
  <c r="AZ87" i="6"/>
  <c r="BB87" i="6"/>
  <c r="BD87" i="6"/>
  <c r="AZ88" i="6"/>
  <c r="BB88" i="6"/>
  <c r="BD88" i="6"/>
  <c r="AZ89" i="6"/>
  <c r="BB89" i="6"/>
  <c r="BD89" i="6"/>
  <c r="AZ90" i="6"/>
  <c r="BB90" i="6"/>
  <c r="BD90" i="6"/>
  <c r="AZ91" i="6"/>
  <c r="BB91" i="6"/>
  <c r="BD91" i="6"/>
  <c r="AZ92" i="6"/>
  <c r="BB92" i="6"/>
  <c r="BD92" i="6"/>
  <c r="AZ93" i="6"/>
  <c r="BB93" i="6"/>
  <c r="BD93" i="6"/>
  <c r="AZ94" i="6"/>
  <c r="BB94" i="6"/>
  <c r="BD94" i="6"/>
  <c r="AZ95" i="6"/>
  <c r="BB95" i="6"/>
  <c r="BD95" i="6"/>
  <c r="AZ96" i="6"/>
  <c r="BB96" i="6"/>
  <c r="BD96" i="6"/>
  <c r="AZ97" i="6"/>
  <c r="BB97" i="6"/>
  <c r="BD97" i="6"/>
  <c r="AZ98" i="6"/>
  <c r="BB98" i="6"/>
  <c r="BD98" i="6"/>
  <c r="AZ99" i="6"/>
  <c r="BB99" i="6"/>
  <c r="BD99" i="6"/>
  <c r="AZ100" i="6"/>
  <c r="BB100" i="6"/>
  <c r="BD100" i="6"/>
  <c r="AZ101" i="6"/>
  <c r="BB101" i="6"/>
  <c r="BD101" i="6"/>
  <c r="AZ102" i="6"/>
  <c r="BB102" i="6"/>
  <c r="BD102" i="6"/>
  <c r="AZ103" i="6"/>
  <c r="BB103" i="6"/>
  <c r="BD103" i="6"/>
  <c r="AZ104" i="6"/>
  <c r="BB104" i="6"/>
  <c r="BD104" i="6"/>
  <c r="AZ105" i="6"/>
  <c r="BB105" i="6"/>
  <c r="BD105" i="6"/>
  <c r="AZ106" i="6"/>
  <c r="BB106" i="6"/>
  <c r="BD106" i="6"/>
  <c r="AZ107" i="6"/>
  <c r="BB107" i="6"/>
  <c r="BD107" i="6"/>
  <c r="AZ108" i="6"/>
  <c r="BB108" i="6"/>
  <c r="BD108" i="6"/>
  <c r="AZ109" i="6"/>
  <c r="BB109" i="6"/>
  <c r="BD109" i="6"/>
  <c r="AZ110" i="6"/>
  <c r="BB110" i="6"/>
  <c r="BD110" i="6"/>
  <c r="AZ111" i="6"/>
  <c r="BB111" i="6"/>
  <c r="BD111" i="6"/>
  <c r="AX112" i="6"/>
  <c r="AZ112" i="6"/>
  <c r="BB112" i="6"/>
  <c r="BC112" i="6"/>
  <c r="BD112" i="6"/>
  <c r="AZ113" i="6"/>
  <c r="BB113" i="6"/>
  <c r="BD113" i="6"/>
  <c r="AZ114" i="6"/>
  <c r="BB114" i="6"/>
  <c r="BD114" i="6"/>
  <c r="BD52" i="6"/>
  <c r="BB52" i="6"/>
  <c r="AZ52" i="6"/>
  <c r="X6" i="6"/>
  <c r="W20" i="1" l="1"/>
  <c r="W19" i="1"/>
  <c r="AW114" i="6"/>
  <c r="AW113" i="6"/>
  <c r="AV113" i="6"/>
  <c r="AV112" i="6"/>
  <c r="BC114" i="6"/>
  <c r="AF51" i="6"/>
  <c r="AD51" i="6" s="1"/>
  <c r="BA114" i="6"/>
  <c r="BA113" i="6"/>
  <c r="BA112" i="6"/>
  <c r="Z7" i="21" l="1"/>
  <c r="K27" i="6" a="1"/>
  <c r="K27" i="6" s="1"/>
  <c r="K28" i="6" a="1"/>
  <c r="K28" i="6" s="1"/>
  <c r="K29" i="6" a="1"/>
  <c r="K29" i="6" s="1"/>
  <c r="K30" i="6" a="1"/>
  <c r="K30" i="6" s="1"/>
  <c r="K31" i="6" a="1"/>
  <c r="K31" i="6" s="1"/>
  <c r="K32" i="6" a="1"/>
  <c r="K32" i="6" s="1"/>
  <c r="K26" i="6" a="1"/>
  <c r="K26" i="6" s="1"/>
  <c r="I27" i="6" a="1"/>
  <c r="I27" i="6" s="1"/>
  <c r="I28" i="6" a="1"/>
  <c r="I28" i="6" s="1"/>
  <c r="I29" i="6" a="1"/>
  <c r="I29" i="6" s="1"/>
  <c r="I30" i="6" a="1"/>
  <c r="I30" i="6" s="1"/>
  <c r="I31" i="6" a="1"/>
  <c r="I31" i="6" s="1"/>
  <c r="I32" i="6" a="1"/>
  <c r="I32" i="6" s="1"/>
  <c r="I26" i="6" a="1"/>
  <c r="I26" i="6" s="1"/>
  <c r="G32" i="6" a="1"/>
  <c r="G32" i="6" s="1"/>
  <c r="G31" i="6" a="1"/>
  <c r="G31" i="6" s="1"/>
  <c r="S7" i="6"/>
  <c r="S8" i="6"/>
  <c r="S9" i="6"/>
  <c r="S10" i="6"/>
  <c r="S11" i="6"/>
  <c r="S12" i="6"/>
  <c r="S6" i="6"/>
  <c r="G26" i="6" a="1"/>
  <c r="G26" i="6" s="1"/>
  <c r="C53" i="6"/>
  <c r="AA8" i="21" s="1"/>
  <c r="Z8" i="21" s="1"/>
  <c r="I45" i="6"/>
  <c r="H45" i="6"/>
  <c r="G45" i="6"/>
  <c r="F45" i="6"/>
  <c r="G27" i="6" a="1"/>
  <c r="G27" i="6" s="1"/>
  <c r="G28" i="6" a="1"/>
  <c r="G28" i="6" s="1"/>
  <c r="G29" i="6" a="1"/>
  <c r="G29" i="6" s="1"/>
  <c r="G30" i="6" a="1"/>
  <c r="G30" i="6" s="1"/>
  <c r="P17" i="21"/>
  <c r="AN7" i="21"/>
  <c r="AO7" i="21"/>
  <c r="AN8" i="21"/>
  <c r="AO8" i="21"/>
  <c r="AN9" i="21"/>
  <c r="AO9" i="21"/>
  <c r="AN10" i="21"/>
  <c r="AO10" i="21"/>
  <c r="AN11" i="21"/>
  <c r="AO11" i="21"/>
  <c r="AN12" i="21"/>
  <c r="AO12" i="21"/>
  <c r="AN13" i="21"/>
  <c r="AO13" i="21"/>
  <c r="AN14" i="21"/>
  <c r="AO14" i="21"/>
  <c r="AN15" i="21"/>
  <c r="AO15" i="21"/>
  <c r="AN16" i="21"/>
  <c r="AO16" i="21"/>
  <c r="AN17" i="21"/>
  <c r="AO17" i="21"/>
  <c r="AN18" i="21"/>
  <c r="AO18" i="21"/>
  <c r="AN19" i="21"/>
  <c r="AO19" i="21"/>
  <c r="AN20" i="21"/>
  <c r="AO20" i="21"/>
  <c r="AN21" i="21"/>
  <c r="AO21" i="21"/>
  <c r="AN22" i="21"/>
  <c r="AO22" i="21"/>
  <c r="AN23" i="21"/>
  <c r="AO23" i="21"/>
  <c r="AN24" i="21"/>
  <c r="AO24" i="21"/>
  <c r="AN25" i="21"/>
  <c r="AO25" i="21"/>
  <c r="AN26" i="21"/>
  <c r="AO26" i="21"/>
  <c r="AN27" i="21"/>
  <c r="AO27" i="21"/>
  <c r="AN28" i="21"/>
  <c r="AO28" i="21"/>
  <c r="AN29" i="21"/>
  <c r="AO29" i="21"/>
  <c r="AN30" i="21"/>
  <c r="AO30" i="21"/>
  <c r="AN31" i="21"/>
  <c r="AO31" i="21"/>
  <c r="AN32" i="21"/>
  <c r="AO32" i="21"/>
  <c r="AN33" i="21"/>
  <c r="AO33" i="21"/>
  <c r="AN34" i="21"/>
  <c r="AO34" i="21"/>
  <c r="AN35" i="21"/>
  <c r="AO35" i="21"/>
  <c r="AN36" i="21"/>
  <c r="AO36" i="21"/>
  <c r="AN37" i="21"/>
  <c r="AO37" i="21"/>
  <c r="AN38" i="21"/>
  <c r="AO38" i="21"/>
  <c r="AN39" i="21"/>
  <c r="AO39" i="21"/>
  <c r="AN40" i="21"/>
  <c r="AO40" i="21"/>
  <c r="AN41" i="21"/>
  <c r="AO41" i="21"/>
  <c r="AN42" i="21"/>
  <c r="AO42" i="21"/>
  <c r="AN43" i="21"/>
  <c r="AO43" i="21"/>
  <c r="AN44" i="21"/>
  <c r="AO44" i="21"/>
  <c r="AN45" i="21"/>
  <c r="AO45" i="21"/>
  <c r="AN46" i="21"/>
  <c r="AO46" i="21"/>
  <c r="AN47" i="21"/>
  <c r="AO47" i="21"/>
  <c r="AN48" i="21"/>
  <c r="AO48" i="21"/>
  <c r="AN49" i="21"/>
  <c r="AO49" i="21"/>
  <c r="AN50" i="21"/>
  <c r="AO50" i="21"/>
  <c r="AN51" i="21"/>
  <c r="AO51" i="21"/>
  <c r="AN52" i="21"/>
  <c r="AO52" i="21"/>
  <c r="AN53" i="21"/>
  <c r="AO53" i="21"/>
  <c r="AN54" i="21"/>
  <c r="AO54" i="21"/>
  <c r="AN55" i="21"/>
  <c r="AO55" i="21"/>
  <c r="AN56" i="21"/>
  <c r="AO56" i="21"/>
  <c r="AN57" i="21"/>
  <c r="AO57" i="21"/>
  <c r="AN58" i="21"/>
  <c r="AO58" i="21"/>
  <c r="AN59" i="21"/>
  <c r="AO59" i="21"/>
  <c r="AN60" i="21"/>
  <c r="AO60" i="21"/>
  <c r="AN61" i="21"/>
  <c r="AO61" i="21"/>
  <c r="AN62" i="21"/>
  <c r="AO62" i="21"/>
  <c r="AN63" i="21"/>
  <c r="AO63" i="21"/>
  <c r="AN64" i="21"/>
  <c r="AO64" i="21"/>
  <c r="AN65" i="21"/>
  <c r="AO65" i="21"/>
  <c r="AO6" i="21"/>
  <c r="AN6" i="21"/>
  <c r="H51" i="6" l="1"/>
  <c r="AV6" i="21"/>
  <c r="BF51" i="6" s="1"/>
  <c r="AV7" i="21"/>
  <c r="BF52" i="6" s="1"/>
  <c r="D51" i="6"/>
  <c r="AK51" i="6"/>
  <c r="AV8" i="21"/>
  <c r="BF53" i="6" s="1"/>
  <c r="AK53" i="6"/>
  <c r="G51" i="6"/>
  <c r="BE51" i="6" s="1"/>
  <c r="H52" i="6"/>
  <c r="AL52" i="6"/>
  <c r="AJ53" i="6" s="1"/>
  <c r="H53" i="6"/>
  <c r="AE53" i="6"/>
  <c r="AC53" i="6"/>
  <c r="AC52" i="6"/>
  <c r="D52" i="6"/>
  <c r="AE52" i="6"/>
  <c r="C54" i="6"/>
  <c r="AA9" i="21" s="1"/>
  <c r="Z9" i="21" s="1"/>
  <c r="AL53" i="6"/>
  <c r="AK52" i="6"/>
  <c r="G52" i="6"/>
  <c r="BE52" i="6" s="1"/>
  <c r="Z6" i="21"/>
  <c r="F52" i="6"/>
  <c r="F53" i="6"/>
  <c r="AG51" i="6" l="1"/>
  <c r="AH51" i="6" s="1"/>
  <c r="AS52" i="6"/>
  <c r="AX52" i="6" s="1"/>
  <c r="AT52" i="6"/>
  <c r="AT51" i="6"/>
  <c r="AS51" i="6"/>
  <c r="AX51" i="6" s="1"/>
  <c r="AV9" i="21"/>
  <c r="BF54" i="6" s="1"/>
  <c r="AG52" i="6"/>
  <c r="AH52" i="6" s="1"/>
  <c r="AI53" i="6"/>
  <c r="AI54" i="6" s="1"/>
  <c r="AJ54" i="6"/>
  <c r="AF53" i="6"/>
  <c r="AD53" i="6" s="1"/>
  <c r="AF52" i="6"/>
  <c r="AD52" i="6" s="1"/>
  <c r="AC54" i="6"/>
  <c r="H54" i="6"/>
  <c r="AE54" i="6"/>
  <c r="C55" i="6"/>
  <c r="AA10" i="21" s="1"/>
  <c r="AK54" i="6"/>
  <c r="AL54" i="6"/>
  <c r="G53" i="6"/>
  <c r="BE53" i="6" s="1"/>
  <c r="D53" i="6"/>
  <c r="D54" i="6"/>
  <c r="AT54" i="6" l="1"/>
  <c r="AS54" i="6"/>
  <c r="AX54" i="6" s="1"/>
  <c r="AG53" i="6"/>
  <c r="AH53" i="6" s="1"/>
  <c r="AS53" i="6"/>
  <c r="AX53" i="6" s="1"/>
  <c r="AT53" i="6"/>
  <c r="AU63" i="6"/>
  <c r="AY63" i="6" s="1"/>
  <c r="AU71" i="6"/>
  <c r="AY71" i="6" s="1"/>
  <c r="AU79" i="6"/>
  <c r="AY79" i="6" s="1"/>
  <c r="AU87" i="6"/>
  <c r="AY87" i="6" s="1"/>
  <c r="AU95" i="6"/>
  <c r="AY95" i="6" s="1"/>
  <c r="AU103" i="6"/>
  <c r="AY103" i="6" s="1"/>
  <c r="AU111" i="6"/>
  <c r="AY111" i="6" s="1"/>
  <c r="AU56" i="6"/>
  <c r="AY56" i="6" s="1"/>
  <c r="BC51" i="6"/>
  <c r="AU64" i="6"/>
  <c r="AY64" i="6" s="1"/>
  <c r="AU72" i="6"/>
  <c r="AY72" i="6" s="1"/>
  <c r="AU80" i="6"/>
  <c r="AY80" i="6" s="1"/>
  <c r="AU88" i="6"/>
  <c r="AY88" i="6" s="1"/>
  <c r="AU96" i="6"/>
  <c r="AY96" i="6" s="1"/>
  <c r="AU104" i="6"/>
  <c r="AY104" i="6" s="1"/>
  <c r="AU112" i="6"/>
  <c r="AY112" i="6" s="1"/>
  <c r="BG112" i="6" s="1"/>
  <c r="AU57" i="6"/>
  <c r="AY57" i="6" s="1"/>
  <c r="AU65" i="6"/>
  <c r="AY65" i="6" s="1"/>
  <c r="AU73" i="6"/>
  <c r="AY73" i="6" s="1"/>
  <c r="AU81" i="6"/>
  <c r="AY81" i="6" s="1"/>
  <c r="AU89" i="6"/>
  <c r="AY89" i="6" s="1"/>
  <c r="AU97" i="6"/>
  <c r="AY97" i="6" s="1"/>
  <c r="AU105" i="6"/>
  <c r="AY105" i="6" s="1"/>
  <c r="AU113" i="6"/>
  <c r="AY113" i="6" s="1"/>
  <c r="BG113" i="6" s="1"/>
  <c r="AU58" i="6"/>
  <c r="AY58" i="6" s="1"/>
  <c r="AU67" i="6"/>
  <c r="AY67" i="6" s="1"/>
  <c r="AU91" i="6"/>
  <c r="AY91" i="6" s="1"/>
  <c r="AU51" i="6"/>
  <c r="AY51" i="6" s="1"/>
  <c r="AW51" i="6"/>
  <c r="AU66" i="6"/>
  <c r="AY66" i="6" s="1"/>
  <c r="AU74" i="6"/>
  <c r="AY74" i="6" s="1"/>
  <c r="AU82" i="6"/>
  <c r="AY82" i="6" s="1"/>
  <c r="AU90" i="6"/>
  <c r="AY90" i="6" s="1"/>
  <c r="AU98" i="6"/>
  <c r="AY98" i="6" s="1"/>
  <c r="AU106" i="6"/>
  <c r="AY106" i="6" s="1"/>
  <c r="AU114" i="6"/>
  <c r="AY114" i="6" s="1"/>
  <c r="BG114" i="6" s="1"/>
  <c r="BH114" i="6" s="1"/>
  <c r="AU59" i="6"/>
  <c r="AY59" i="6" s="1"/>
  <c r="AV51" i="6"/>
  <c r="AU107" i="6"/>
  <c r="AY107" i="6" s="1"/>
  <c r="AU60" i="6"/>
  <c r="AY60" i="6" s="1"/>
  <c r="AU68" i="6"/>
  <c r="AY68" i="6" s="1"/>
  <c r="AU76" i="6"/>
  <c r="AY76" i="6" s="1"/>
  <c r="AU84" i="6"/>
  <c r="AY84" i="6" s="1"/>
  <c r="AU92" i="6"/>
  <c r="AY92" i="6" s="1"/>
  <c r="AU100" i="6"/>
  <c r="AY100" i="6" s="1"/>
  <c r="AU108" i="6"/>
  <c r="AY108" i="6" s="1"/>
  <c r="AU53" i="6"/>
  <c r="AY53" i="6" s="1"/>
  <c r="AU75" i="6"/>
  <c r="AY75" i="6" s="1"/>
  <c r="AU52" i="6"/>
  <c r="AY52" i="6" s="1"/>
  <c r="AU61" i="6"/>
  <c r="AY61" i="6" s="1"/>
  <c r="AU69" i="6"/>
  <c r="AY69" i="6" s="1"/>
  <c r="AU77" i="6"/>
  <c r="AY77" i="6" s="1"/>
  <c r="AU85" i="6"/>
  <c r="AY85" i="6" s="1"/>
  <c r="AU93" i="6"/>
  <c r="AY93" i="6" s="1"/>
  <c r="AU101" i="6"/>
  <c r="AY101" i="6" s="1"/>
  <c r="AU109" i="6"/>
  <c r="AY109" i="6" s="1"/>
  <c r="AU54" i="6"/>
  <c r="AY54" i="6" s="1"/>
  <c r="AU83" i="6"/>
  <c r="AY83" i="6" s="1"/>
  <c r="AU62" i="6"/>
  <c r="AY62" i="6" s="1"/>
  <c r="AU70" i="6"/>
  <c r="AY70" i="6" s="1"/>
  <c r="AU78" i="6"/>
  <c r="AY78" i="6" s="1"/>
  <c r="AU86" i="6"/>
  <c r="AY86" i="6" s="1"/>
  <c r="AU94" i="6"/>
  <c r="AY94" i="6" s="1"/>
  <c r="AU102" i="6"/>
  <c r="AY102" i="6" s="1"/>
  <c r="AU110" i="6"/>
  <c r="AY110" i="6" s="1"/>
  <c r="AU55" i="6"/>
  <c r="AY55" i="6" s="1"/>
  <c r="AU99" i="6"/>
  <c r="AY99" i="6" s="1"/>
  <c r="BC52" i="6"/>
  <c r="AV52" i="6"/>
  <c r="AW52" i="6"/>
  <c r="Z10" i="21"/>
  <c r="AV10" i="21"/>
  <c r="BF55" i="6" s="1"/>
  <c r="AI55" i="6"/>
  <c r="AG54" i="6"/>
  <c r="AH54" i="6" s="1"/>
  <c r="AJ55" i="6"/>
  <c r="AE55" i="6"/>
  <c r="AC55" i="6"/>
  <c r="H55" i="6"/>
  <c r="AF54" i="6"/>
  <c r="AD54" i="6" s="1"/>
  <c r="C56" i="6"/>
  <c r="AA11" i="21" s="1"/>
  <c r="AL55" i="6"/>
  <c r="AK55" i="6"/>
  <c r="G54" i="6"/>
  <c r="BE54" i="6" s="1"/>
  <c r="D55" i="6"/>
  <c r="F55" i="6"/>
  <c r="BA51" i="6" l="1"/>
  <c r="BG51" i="6" s="1"/>
  <c r="AW53" i="6"/>
  <c r="AV53" i="6"/>
  <c r="BA53" i="6" s="1"/>
  <c r="BC53" i="6"/>
  <c r="BA52" i="6"/>
  <c r="BG52" i="6" s="1"/>
  <c r="BH52" i="6" s="1"/>
  <c r="AV54" i="6"/>
  <c r="AW54" i="6"/>
  <c r="BC54" i="6"/>
  <c r="AS55" i="6"/>
  <c r="AT55" i="6"/>
  <c r="Z11" i="21"/>
  <c r="AV11" i="21"/>
  <c r="BF56" i="6" s="1"/>
  <c r="AI56" i="6"/>
  <c r="AF55" i="6"/>
  <c r="AD55" i="6" s="1"/>
  <c r="AJ56" i="6"/>
  <c r="AG55" i="6"/>
  <c r="AH55" i="6" s="1"/>
  <c r="AE56" i="6"/>
  <c r="H56" i="6"/>
  <c r="AC56" i="6"/>
  <c r="C57" i="6"/>
  <c r="AA12" i="21" s="1"/>
  <c r="AL56" i="6"/>
  <c r="AK56" i="6"/>
  <c r="G55" i="6"/>
  <c r="D56" i="6"/>
  <c r="BA54" i="6" l="1"/>
  <c r="BG54" i="6" s="1"/>
  <c r="BH54" i="6" s="1"/>
  <c r="BG53" i="6"/>
  <c r="BH53" i="6" s="1"/>
  <c r="BC55" i="6"/>
  <c r="AV55" i="6"/>
  <c r="AW55" i="6"/>
  <c r="AX55" i="6"/>
  <c r="BE55" i="6"/>
  <c r="AS56" i="6"/>
  <c r="AX56" i="6" s="1"/>
  <c r="AT56" i="6"/>
  <c r="AI57" i="6"/>
  <c r="Z12" i="21"/>
  <c r="AV12" i="21"/>
  <c r="BF57" i="6" s="1"/>
  <c r="AF56" i="6"/>
  <c r="AD56" i="6" s="1"/>
  <c r="AJ57" i="6"/>
  <c r="AG56" i="6"/>
  <c r="AH56" i="6" s="1"/>
  <c r="AC57" i="6"/>
  <c r="AE57" i="6"/>
  <c r="H57" i="6"/>
  <c r="C58" i="6"/>
  <c r="AA13" i="21" s="1"/>
  <c r="AL57" i="6"/>
  <c r="AI58" i="6" s="1"/>
  <c r="AK57" i="6"/>
  <c r="G56" i="6"/>
  <c r="BE56" i="6" s="1"/>
  <c r="D57" i="6"/>
  <c r="F57" i="6"/>
  <c r="BA55" i="6" l="1"/>
  <c r="BG55" i="6" s="1"/>
  <c r="BH55" i="6" s="1"/>
  <c r="AS57" i="6"/>
  <c r="AX57" i="6" s="1"/>
  <c r="AT57" i="6"/>
  <c r="BC56" i="6"/>
  <c r="AV56" i="6"/>
  <c r="AW56" i="6"/>
  <c r="Z13" i="21"/>
  <c r="AV13" i="21"/>
  <c r="BF58" i="6" s="1"/>
  <c r="AJ58" i="6"/>
  <c r="AF57" i="6"/>
  <c r="AD57" i="6" s="1"/>
  <c r="AG57" i="6"/>
  <c r="AH57" i="6" s="1"/>
  <c r="AE58" i="6"/>
  <c r="H58" i="6"/>
  <c r="AC58" i="6"/>
  <c r="C59" i="6"/>
  <c r="AA14" i="21" s="1"/>
  <c r="AL58" i="6"/>
  <c r="AI59" i="6" s="1"/>
  <c r="AK58" i="6"/>
  <c r="G57" i="6"/>
  <c r="BE57" i="6" s="1"/>
  <c r="D58" i="6"/>
  <c r="F58" i="6"/>
  <c r="BA56" i="6" l="1"/>
  <c r="BG56" i="6" s="1"/>
  <c r="BH56" i="6" s="1"/>
  <c r="AW57" i="6"/>
  <c r="BC57" i="6"/>
  <c r="AV57" i="6"/>
  <c r="BA57" i="6" s="1"/>
  <c r="BG57" i="6" s="1"/>
  <c r="BH57" i="6" s="1"/>
  <c r="AT58" i="6"/>
  <c r="AS58" i="6"/>
  <c r="AX58" i="6" s="1"/>
  <c r="Z14" i="21"/>
  <c r="AV14" i="21"/>
  <c r="BF59" i="6" s="1"/>
  <c r="AF58" i="6"/>
  <c r="AD58" i="6" s="1"/>
  <c r="AJ59" i="6"/>
  <c r="AG58" i="6"/>
  <c r="AH58" i="6" s="1"/>
  <c r="AE59" i="6"/>
  <c r="AC59" i="6"/>
  <c r="H59" i="6"/>
  <c r="C60" i="6"/>
  <c r="AA15" i="21" s="1"/>
  <c r="AL59" i="6"/>
  <c r="AI60" i="6" s="1"/>
  <c r="AK59" i="6"/>
  <c r="G58" i="6"/>
  <c r="BE58" i="6" s="1"/>
  <c r="D59" i="6"/>
  <c r="F59" i="6"/>
  <c r="AV58" i="6" l="1"/>
  <c r="AW58" i="6"/>
  <c r="BC58" i="6"/>
  <c r="AS59" i="6"/>
  <c r="AX59" i="6" s="1"/>
  <c r="AT59" i="6"/>
  <c r="Z15" i="21"/>
  <c r="AV15" i="21"/>
  <c r="BF60" i="6" s="1"/>
  <c r="AF59" i="6"/>
  <c r="AD59" i="6" s="1"/>
  <c r="AJ60" i="6"/>
  <c r="AG59" i="6"/>
  <c r="AH59" i="6" s="1"/>
  <c r="AC60" i="6"/>
  <c r="H60" i="6"/>
  <c r="AE60" i="6"/>
  <c r="C61" i="6"/>
  <c r="AA16" i="21" s="1"/>
  <c r="AK60" i="6"/>
  <c r="AL60" i="6"/>
  <c r="AI61" i="6" s="1"/>
  <c r="F60" i="6"/>
  <c r="G59" i="6"/>
  <c r="BE59" i="6" s="1"/>
  <c r="BC59" i="6" l="1"/>
  <c r="AW59" i="6"/>
  <c r="AV59" i="6"/>
  <c r="BA59" i="6" s="1"/>
  <c r="BG59" i="6" s="1"/>
  <c r="BH59" i="6" s="1"/>
  <c r="BA58" i="6"/>
  <c r="BG58" i="6" s="1"/>
  <c r="BH58" i="6" s="1"/>
  <c r="Z16" i="21"/>
  <c r="AV16" i="21"/>
  <c r="BF61" i="6" s="1"/>
  <c r="AJ61" i="6"/>
  <c r="AC61" i="6"/>
  <c r="H61" i="6"/>
  <c r="AE61" i="6"/>
  <c r="AF60" i="6"/>
  <c r="AD60" i="6" s="1"/>
  <c r="C62" i="6"/>
  <c r="AK61" i="6"/>
  <c r="AL61" i="6"/>
  <c r="AI62" i="6" s="1"/>
  <c r="D60" i="6"/>
  <c r="G60" i="6"/>
  <c r="BE60" i="6" s="1"/>
  <c r="G61" i="6"/>
  <c r="BE61" i="6" s="1"/>
  <c r="AG60" i="6" l="1"/>
  <c r="AH60" i="6" s="1"/>
  <c r="AS60" i="6"/>
  <c r="AX60" i="6" s="1"/>
  <c r="AT60" i="6"/>
  <c r="G62" i="6"/>
  <c r="BE62" i="6" s="1"/>
  <c r="AA17" i="21"/>
  <c r="F62" i="6"/>
  <c r="AJ62" i="6"/>
  <c r="AC62" i="6"/>
  <c r="H62" i="6"/>
  <c r="AE62" i="6"/>
  <c r="D62" i="6"/>
  <c r="AF61" i="6"/>
  <c r="AD61" i="6" s="1"/>
  <c r="C63" i="6"/>
  <c r="AK62" i="6"/>
  <c r="AL62" i="6"/>
  <c r="AI63" i="6" s="1"/>
  <c r="D61" i="6"/>
  <c r="F61" i="6"/>
  <c r="AV60" i="6" l="1"/>
  <c r="AW60" i="6"/>
  <c r="BC60" i="6"/>
  <c r="AT62" i="6"/>
  <c r="AS62" i="6"/>
  <c r="AX62" i="6" s="1"/>
  <c r="AG61" i="6"/>
  <c r="AH61" i="6" s="1"/>
  <c r="AS61" i="6"/>
  <c r="AX61" i="6" s="1"/>
  <c r="AT61" i="6"/>
  <c r="F63" i="6"/>
  <c r="AA18" i="21"/>
  <c r="Z17" i="21"/>
  <c r="AV17" i="21"/>
  <c r="BF62" i="6" s="1"/>
  <c r="AG62" i="6"/>
  <c r="AH62" i="6" s="1"/>
  <c r="AJ63" i="6"/>
  <c r="AC63" i="6"/>
  <c r="H63" i="6"/>
  <c r="AE63" i="6"/>
  <c r="D63" i="6"/>
  <c r="AF62" i="6"/>
  <c r="AD62" i="6" s="1"/>
  <c r="C64" i="6"/>
  <c r="AA19" i="21" s="1"/>
  <c r="AL63" i="6"/>
  <c r="AI64" i="6" s="1"/>
  <c r="AK63" i="6"/>
  <c r="G63" i="6"/>
  <c r="BE63" i="6" s="1"/>
  <c r="AS63" i="6" l="1"/>
  <c r="AX63" i="6" s="1"/>
  <c r="AT63" i="6"/>
  <c r="BA60" i="6"/>
  <c r="BG60" i="6" s="1"/>
  <c r="BH60" i="6" s="1"/>
  <c r="AV62" i="6"/>
  <c r="AW62" i="6"/>
  <c r="BC62" i="6"/>
  <c r="AW61" i="6"/>
  <c r="BC61" i="6"/>
  <c r="AV61" i="6"/>
  <c r="Z19" i="21"/>
  <c r="AV19" i="21"/>
  <c r="BF64" i="6" s="1"/>
  <c r="Z18" i="21"/>
  <c r="AV18" i="21"/>
  <c r="BF63" i="6" s="1"/>
  <c r="AG63" i="6"/>
  <c r="AH63" i="6" s="1"/>
  <c r="AJ64" i="6"/>
  <c r="AE64" i="6"/>
  <c r="AC64" i="6"/>
  <c r="H64" i="6"/>
  <c r="D64" i="6"/>
  <c r="F64" i="6"/>
  <c r="AF63" i="6"/>
  <c r="AD63" i="6" s="1"/>
  <c r="C65" i="6"/>
  <c r="AL64" i="6"/>
  <c r="AI65" i="6" s="1"/>
  <c r="AK64" i="6"/>
  <c r="G64" i="6"/>
  <c r="BE64" i="6" s="1"/>
  <c r="BA62" i="6" l="1"/>
  <c r="BG62" i="6" s="1"/>
  <c r="BH62" i="6" s="1"/>
  <c r="BA61" i="6"/>
  <c r="BG61" i="6" s="1"/>
  <c r="BH61" i="6" s="1"/>
  <c r="BC63" i="6"/>
  <c r="AV63" i="6"/>
  <c r="AW63" i="6"/>
  <c r="AS64" i="6"/>
  <c r="AX64" i="6" s="1"/>
  <c r="AT64" i="6"/>
  <c r="F65" i="6"/>
  <c r="AA20" i="21"/>
  <c r="AF64" i="6"/>
  <c r="AD64" i="6" s="1"/>
  <c r="AJ65" i="6"/>
  <c r="AG64" i="6"/>
  <c r="AH64" i="6" s="1"/>
  <c r="H65" i="6"/>
  <c r="AE65" i="6"/>
  <c r="AC65" i="6"/>
  <c r="D65" i="6"/>
  <c r="C66" i="6"/>
  <c r="AA21" i="21" s="1"/>
  <c r="AL65" i="6"/>
  <c r="AI66" i="6" s="1"/>
  <c r="AK65" i="6"/>
  <c r="G65" i="6"/>
  <c r="BE65" i="6" s="1"/>
  <c r="AV64" i="6" l="1"/>
  <c r="AW64" i="6"/>
  <c r="BC64" i="6"/>
  <c r="BA63" i="6"/>
  <c r="BG63" i="6" s="1"/>
  <c r="BH63" i="6" s="1"/>
  <c r="AS65" i="6"/>
  <c r="AX65" i="6" s="1"/>
  <c r="AT65" i="6"/>
  <c r="Z21" i="21"/>
  <c r="AV21" i="21"/>
  <c r="BF66" i="6" s="1"/>
  <c r="Z20" i="21"/>
  <c r="AV20" i="21"/>
  <c r="BF65" i="6" s="1"/>
  <c r="AG65" i="6"/>
  <c r="AH65" i="6" s="1"/>
  <c r="AJ66" i="6"/>
  <c r="AF65" i="6"/>
  <c r="AD65" i="6" s="1"/>
  <c r="AE66" i="6"/>
  <c r="AC66" i="6"/>
  <c r="H66" i="6"/>
  <c r="D66" i="6"/>
  <c r="F66" i="6"/>
  <c r="C67" i="6"/>
  <c r="AL66" i="6"/>
  <c r="AI67" i="6" s="1"/>
  <c r="AK66" i="6"/>
  <c r="G66" i="6"/>
  <c r="BE66" i="6" s="1"/>
  <c r="BA64" i="6" l="1"/>
  <c r="BG64" i="6" s="1"/>
  <c r="BH64" i="6" s="1"/>
  <c r="AW65" i="6"/>
  <c r="BC65" i="6"/>
  <c r="AV65" i="6"/>
  <c r="BA65" i="6" s="1"/>
  <c r="BG65" i="6" s="1"/>
  <c r="BH65" i="6" s="1"/>
  <c r="AT66" i="6"/>
  <c r="AS66" i="6"/>
  <c r="AX66" i="6" s="1"/>
  <c r="F67" i="6"/>
  <c r="AA22" i="21"/>
  <c r="AG66" i="6"/>
  <c r="AH66" i="6" s="1"/>
  <c r="AF66" i="6"/>
  <c r="AD66" i="6" s="1"/>
  <c r="AJ67" i="6"/>
  <c r="D67" i="6"/>
  <c r="AC67" i="6"/>
  <c r="AE67" i="6"/>
  <c r="H67" i="6"/>
  <c r="C68" i="6"/>
  <c r="AL67" i="6"/>
  <c r="AI68" i="6" s="1"/>
  <c r="AK67" i="6"/>
  <c r="G67" i="6"/>
  <c r="BE67" i="6" s="1"/>
  <c r="AS67" i="6" l="1"/>
  <c r="AX67" i="6" s="1"/>
  <c r="AT67" i="6"/>
  <c r="AV66" i="6"/>
  <c r="AW66" i="6"/>
  <c r="BC66" i="6"/>
  <c r="D68" i="6"/>
  <c r="AA23" i="21"/>
  <c r="Z22" i="21"/>
  <c r="AV22" i="21"/>
  <c r="BF67" i="6" s="1"/>
  <c r="AJ68" i="6"/>
  <c r="AG67" i="6"/>
  <c r="AH67" i="6" s="1"/>
  <c r="AF67" i="6"/>
  <c r="AD67" i="6" s="1"/>
  <c r="AC68" i="6"/>
  <c r="H68" i="6"/>
  <c r="AE68" i="6"/>
  <c r="F68" i="6"/>
  <c r="C69" i="6"/>
  <c r="AL68" i="6"/>
  <c r="AI69" i="6" s="1"/>
  <c r="AK68" i="6"/>
  <c r="G68" i="6"/>
  <c r="BE68" i="6" s="1"/>
  <c r="AG68" i="6" l="1"/>
  <c r="AH68" i="6" s="1"/>
  <c r="AT68" i="6"/>
  <c r="AS68" i="6"/>
  <c r="AX68" i="6" s="1"/>
  <c r="BA66" i="6"/>
  <c r="BG66" i="6" s="1"/>
  <c r="BH66" i="6" s="1"/>
  <c r="BC67" i="6"/>
  <c r="AV67" i="6"/>
  <c r="AW67" i="6"/>
  <c r="F69" i="6"/>
  <c r="AA24" i="21"/>
  <c r="Z23" i="21"/>
  <c r="AV23" i="21"/>
  <c r="BF68" i="6" s="1"/>
  <c r="AJ69" i="6"/>
  <c r="AF68" i="6"/>
  <c r="AD68" i="6" s="1"/>
  <c r="AC69" i="6"/>
  <c r="H69" i="6"/>
  <c r="AE69" i="6"/>
  <c r="D69" i="6"/>
  <c r="C70" i="6"/>
  <c r="AA25" i="21" s="1"/>
  <c r="AK69" i="6"/>
  <c r="AL69" i="6"/>
  <c r="AI70" i="6" s="1"/>
  <c r="G69" i="6"/>
  <c r="BE69" i="6" s="1"/>
  <c r="BA67" i="6" l="1"/>
  <c r="BG67" i="6" s="1"/>
  <c r="BH67" i="6" s="1"/>
  <c r="AS69" i="6"/>
  <c r="AX69" i="6" s="1"/>
  <c r="AT69" i="6"/>
  <c r="AV68" i="6"/>
  <c r="AW68" i="6"/>
  <c r="BC68" i="6"/>
  <c r="Z25" i="21"/>
  <c r="AV25" i="21"/>
  <c r="BF70" i="6" s="1"/>
  <c r="Z24" i="21"/>
  <c r="AV24" i="21"/>
  <c r="BF69" i="6" s="1"/>
  <c r="AG69" i="6"/>
  <c r="AH69" i="6" s="1"/>
  <c r="AJ70" i="6"/>
  <c r="AF69" i="6"/>
  <c r="AD69" i="6" s="1"/>
  <c r="AE70" i="6"/>
  <c r="AC70" i="6"/>
  <c r="H70" i="6"/>
  <c r="F70" i="6"/>
  <c r="D70" i="6"/>
  <c r="C71" i="6"/>
  <c r="AK70" i="6"/>
  <c r="AL70" i="6"/>
  <c r="AI71" i="6" s="1"/>
  <c r="G70" i="6"/>
  <c r="BE70" i="6" s="1"/>
  <c r="AW69" i="6" l="1"/>
  <c r="AV69" i="6"/>
  <c r="BC69" i="6"/>
  <c r="BA68" i="6"/>
  <c r="BG68" i="6" s="1"/>
  <c r="BH68" i="6" s="1"/>
  <c r="AT70" i="6"/>
  <c r="AS70" i="6"/>
  <c r="AX70" i="6" s="1"/>
  <c r="D71" i="6"/>
  <c r="AA26" i="21"/>
  <c r="AG70" i="6"/>
  <c r="AH70" i="6" s="1"/>
  <c r="G71" i="6"/>
  <c r="BE71" i="6" s="1"/>
  <c r="AJ71" i="6"/>
  <c r="AF70" i="6"/>
  <c r="AD70" i="6" s="1"/>
  <c r="AE71" i="6"/>
  <c r="AC71" i="6"/>
  <c r="H71" i="6"/>
  <c r="AG71" i="6" s="1"/>
  <c r="AH71" i="6" s="1"/>
  <c r="C72" i="6"/>
  <c r="AL71" i="6"/>
  <c r="AI72" i="6" s="1"/>
  <c r="AK71" i="6"/>
  <c r="AV70" i="6" l="1"/>
  <c r="AW70" i="6"/>
  <c r="BC70" i="6"/>
  <c r="AS71" i="6"/>
  <c r="AX71" i="6" s="1"/>
  <c r="AT71" i="6"/>
  <c r="BA69" i="6"/>
  <c r="BG69" i="6" s="1"/>
  <c r="BH69" i="6" s="1"/>
  <c r="F72" i="6"/>
  <c r="AA27" i="21"/>
  <c r="Z26" i="21"/>
  <c r="AV26" i="21"/>
  <c r="BF71" i="6" s="1"/>
  <c r="AF71" i="6"/>
  <c r="AD71" i="6" s="1"/>
  <c r="AJ72" i="6"/>
  <c r="D72" i="6"/>
  <c r="H72" i="6"/>
  <c r="AC72" i="6"/>
  <c r="AE72" i="6"/>
  <c r="C73" i="6"/>
  <c r="AL72" i="6"/>
  <c r="AI73" i="6" s="1"/>
  <c r="AK72" i="6"/>
  <c r="G72" i="6"/>
  <c r="BE72" i="6" s="1"/>
  <c r="AS72" i="6" l="1"/>
  <c r="AX72" i="6" s="1"/>
  <c r="AT72" i="6"/>
  <c r="BC71" i="6"/>
  <c r="AV71" i="6"/>
  <c r="AW71" i="6"/>
  <c r="BA70" i="6"/>
  <c r="BG70" i="6" s="1"/>
  <c r="BH70" i="6" s="1"/>
  <c r="D73" i="6"/>
  <c r="AA28" i="21"/>
  <c r="Z27" i="21"/>
  <c r="AV27" i="21"/>
  <c r="BF72" i="6" s="1"/>
  <c r="AG72" i="6"/>
  <c r="AH72" i="6" s="1"/>
  <c r="AJ73" i="6"/>
  <c r="AC73" i="6"/>
  <c r="H73" i="6"/>
  <c r="AE73" i="6"/>
  <c r="AF72" i="6"/>
  <c r="AD72" i="6" s="1"/>
  <c r="F73" i="6"/>
  <c r="C74" i="6"/>
  <c r="AL73" i="6"/>
  <c r="AI74" i="6" s="1"/>
  <c r="AK73" i="6"/>
  <c r="G73" i="6"/>
  <c r="AV72" i="6" l="1"/>
  <c r="AW72" i="6"/>
  <c r="BC72" i="6"/>
  <c r="BA71" i="6"/>
  <c r="BG71" i="6" s="1"/>
  <c r="BH71" i="6" s="1"/>
  <c r="AS73" i="6"/>
  <c r="AT73" i="6"/>
  <c r="AG73" i="6"/>
  <c r="AH73" i="6" s="1"/>
  <c r="F74" i="6"/>
  <c r="AA29" i="21"/>
  <c r="Z28" i="21"/>
  <c r="AV28" i="21"/>
  <c r="BF73" i="6" s="1"/>
  <c r="AJ74" i="6"/>
  <c r="D74" i="6"/>
  <c r="AE74" i="6"/>
  <c r="AC74" i="6"/>
  <c r="H74" i="6"/>
  <c r="AF73" i="6"/>
  <c r="AD73" i="6" s="1"/>
  <c r="C75" i="6"/>
  <c r="AA30" i="21" s="1"/>
  <c r="AL74" i="6"/>
  <c r="AI75" i="6" s="1"/>
  <c r="AK74" i="6"/>
  <c r="G74" i="6"/>
  <c r="BE74" i="6" s="1"/>
  <c r="AX73" i="6" l="1"/>
  <c r="BE73" i="6"/>
  <c r="AW73" i="6"/>
  <c r="BC73" i="6"/>
  <c r="AV73" i="6"/>
  <c r="BA73" i="6" s="1"/>
  <c r="AT74" i="6"/>
  <c r="AS74" i="6"/>
  <c r="AX74" i="6" s="1"/>
  <c r="BA72" i="6"/>
  <c r="BG72" i="6" s="1"/>
  <c r="BH72" i="6" s="1"/>
  <c r="Z30" i="21"/>
  <c r="AV30" i="21"/>
  <c r="BF75" i="6" s="1"/>
  <c r="Z29" i="21"/>
  <c r="AV29" i="21"/>
  <c r="BF74" i="6" s="1"/>
  <c r="AJ75" i="6"/>
  <c r="AG74" i="6"/>
  <c r="AH74" i="6" s="1"/>
  <c r="AE75" i="6"/>
  <c r="AC75" i="6"/>
  <c r="H75" i="6"/>
  <c r="AF74" i="6"/>
  <c r="AD74" i="6" s="1"/>
  <c r="D75" i="6"/>
  <c r="C76" i="6"/>
  <c r="AA31" i="21" s="1"/>
  <c r="AL75" i="6"/>
  <c r="AI76" i="6" s="1"/>
  <c r="AK75" i="6"/>
  <c r="G75" i="6"/>
  <c r="BE75" i="6" s="1"/>
  <c r="AV74" i="6" l="1"/>
  <c r="AW74" i="6"/>
  <c r="BC74" i="6"/>
  <c r="AS75" i="6"/>
  <c r="AX75" i="6" s="1"/>
  <c r="AT75" i="6"/>
  <c r="BG73" i="6"/>
  <c r="BH73" i="6" s="1"/>
  <c r="Z31" i="21"/>
  <c r="AV31" i="21"/>
  <c r="BF76" i="6" s="1"/>
  <c r="AG75" i="6"/>
  <c r="AH75" i="6" s="1"/>
  <c r="AJ76" i="6"/>
  <c r="AC76" i="6"/>
  <c r="H76" i="6"/>
  <c r="AE76" i="6"/>
  <c r="F76" i="6"/>
  <c r="D76" i="6"/>
  <c r="AF75" i="6"/>
  <c r="AD75" i="6" s="1"/>
  <c r="C77" i="6"/>
  <c r="AA32" i="21" s="1"/>
  <c r="AL76" i="6"/>
  <c r="AI77" i="6" s="1"/>
  <c r="AK76" i="6"/>
  <c r="G76" i="6"/>
  <c r="BE76" i="6" s="1"/>
  <c r="BC75" i="6" l="1"/>
  <c r="AW75" i="6"/>
  <c r="AV75" i="6"/>
  <c r="BA75" i="6" s="1"/>
  <c r="BG75" i="6" s="1"/>
  <c r="BH75" i="6" s="1"/>
  <c r="AS76" i="6"/>
  <c r="AX76" i="6" s="1"/>
  <c r="AT76" i="6"/>
  <c r="BA74" i="6"/>
  <c r="BG74" i="6" s="1"/>
  <c r="BH74" i="6" s="1"/>
  <c r="Z32" i="21"/>
  <c r="AV32" i="21"/>
  <c r="BF77" i="6" s="1"/>
  <c r="AG76" i="6"/>
  <c r="AH76" i="6" s="1"/>
  <c r="AJ77" i="6"/>
  <c r="F77" i="6"/>
  <c r="AC77" i="6"/>
  <c r="H77" i="6"/>
  <c r="AE77" i="6"/>
  <c r="AF76" i="6"/>
  <c r="AD76" i="6" s="1"/>
  <c r="D77" i="6"/>
  <c r="C78" i="6"/>
  <c r="AA33" i="21" s="1"/>
  <c r="AK77" i="6"/>
  <c r="AL77" i="6"/>
  <c r="AI78" i="6" s="1"/>
  <c r="G77" i="6"/>
  <c r="BE77" i="6" s="1"/>
  <c r="AV76" i="6" l="1"/>
  <c r="AW76" i="6"/>
  <c r="BC76" i="6"/>
  <c r="AS77" i="6"/>
  <c r="AX77" i="6" s="1"/>
  <c r="AT77" i="6"/>
  <c r="Z33" i="21"/>
  <c r="AV33" i="21"/>
  <c r="BF78" i="6" s="1"/>
  <c r="AG77" i="6"/>
  <c r="AH77" i="6" s="1"/>
  <c r="AF77" i="6"/>
  <c r="AD77" i="6" s="1"/>
  <c r="AJ78" i="6"/>
  <c r="AE78" i="6"/>
  <c r="AC78" i="6"/>
  <c r="H78" i="6"/>
  <c r="F78" i="6"/>
  <c r="D78" i="6"/>
  <c r="C79" i="6"/>
  <c r="AA34" i="21" s="1"/>
  <c r="AK78" i="6"/>
  <c r="AL78" i="6"/>
  <c r="AI79" i="6" s="1"/>
  <c r="G78" i="6"/>
  <c r="BE78" i="6" s="1"/>
  <c r="AW77" i="6" l="1"/>
  <c r="BC77" i="6"/>
  <c r="AV77" i="6"/>
  <c r="BA77" i="6" s="1"/>
  <c r="BG77" i="6" s="1"/>
  <c r="BH77" i="6" s="1"/>
  <c r="BA76" i="6"/>
  <c r="BG76" i="6" s="1"/>
  <c r="BH76" i="6" s="1"/>
  <c r="AT78" i="6"/>
  <c r="AS78" i="6"/>
  <c r="AX78" i="6" s="1"/>
  <c r="Z34" i="21"/>
  <c r="AV34" i="21"/>
  <c r="BF79" i="6" s="1"/>
  <c r="AG78" i="6"/>
  <c r="AH78" i="6" s="1"/>
  <c r="AJ79" i="6"/>
  <c r="AF78" i="6"/>
  <c r="AD78" i="6" s="1"/>
  <c r="AE79" i="6"/>
  <c r="AC79" i="6"/>
  <c r="H79" i="6"/>
  <c r="D79" i="6"/>
  <c r="F79" i="6"/>
  <c r="C80" i="6"/>
  <c r="AA35" i="21" s="1"/>
  <c r="AL79" i="6"/>
  <c r="AI80" i="6" s="1"/>
  <c r="AK79" i="6"/>
  <c r="G79" i="6"/>
  <c r="BE79" i="6" s="1"/>
  <c r="AV78" i="6" l="1"/>
  <c r="AW78" i="6"/>
  <c r="BC78" i="6"/>
  <c r="AS79" i="6"/>
  <c r="AX79" i="6" s="1"/>
  <c r="AT79" i="6"/>
  <c r="Z35" i="21"/>
  <c r="AV35" i="21"/>
  <c r="BF80" i="6" s="1"/>
  <c r="AG79" i="6"/>
  <c r="AH79" i="6" s="1"/>
  <c r="AF79" i="6"/>
  <c r="AD79" i="6" s="1"/>
  <c r="AJ80" i="6"/>
  <c r="H80" i="6"/>
  <c r="AE80" i="6"/>
  <c r="AC80" i="6"/>
  <c r="F80" i="6"/>
  <c r="D80" i="6"/>
  <c r="C81" i="6"/>
  <c r="AA36" i="21" s="1"/>
  <c r="AL80" i="6"/>
  <c r="AI81" i="6" s="1"/>
  <c r="AK80" i="6"/>
  <c r="G80" i="6"/>
  <c r="BE80" i="6" s="1"/>
  <c r="BA78" i="6" l="1"/>
  <c r="BG78" i="6" s="1"/>
  <c r="BH78" i="6" s="1"/>
  <c r="BC79" i="6"/>
  <c r="AV79" i="6"/>
  <c r="AW79" i="6"/>
  <c r="AS80" i="6"/>
  <c r="AX80" i="6" s="1"/>
  <c r="AT80" i="6"/>
  <c r="Z36" i="21"/>
  <c r="AV36" i="21"/>
  <c r="BF81" i="6" s="1"/>
  <c r="AG80" i="6"/>
  <c r="AH80" i="6" s="1"/>
  <c r="AF80" i="6"/>
  <c r="AD80" i="6" s="1"/>
  <c r="AJ81" i="6"/>
  <c r="H81" i="6"/>
  <c r="AE81" i="6"/>
  <c r="AC81" i="6"/>
  <c r="D81" i="6"/>
  <c r="F81" i="6"/>
  <c r="C82" i="6"/>
  <c r="AA37" i="21" s="1"/>
  <c r="AL81" i="6"/>
  <c r="AI82" i="6" s="1"/>
  <c r="AK81" i="6"/>
  <c r="G81" i="6"/>
  <c r="BE81" i="6" s="1"/>
  <c r="BA79" i="6" l="1"/>
  <c r="BG79" i="6" s="1"/>
  <c r="BH79" i="6" s="1"/>
  <c r="AV80" i="6"/>
  <c r="AW80" i="6"/>
  <c r="BC80" i="6"/>
  <c r="AS81" i="6"/>
  <c r="AX81" i="6" s="1"/>
  <c r="AT81" i="6"/>
  <c r="Z37" i="21"/>
  <c r="AV37" i="21"/>
  <c r="BF82" i="6" s="1"/>
  <c r="AG81" i="6"/>
  <c r="AH81" i="6" s="1"/>
  <c r="AF81" i="6"/>
  <c r="AD81" i="6" s="1"/>
  <c r="AJ82" i="6"/>
  <c r="AE82" i="6"/>
  <c r="AC82" i="6"/>
  <c r="H82" i="6"/>
  <c r="D82" i="6"/>
  <c r="F82" i="6"/>
  <c r="C83" i="6"/>
  <c r="AA38" i="21" s="1"/>
  <c r="AL82" i="6"/>
  <c r="AI83" i="6" s="1"/>
  <c r="AK82" i="6"/>
  <c r="G82" i="6"/>
  <c r="BE82" i="6" s="1"/>
  <c r="AW81" i="6" l="1"/>
  <c r="BC81" i="6"/>
  <c r="AV81" i="6"/>
  <c r="BA81" i="6" s="1"/>
  <c r="BG81" i="6" s="1"/>
  <c r="BH81" i="6" s="1"/>
  <c r="AT82" i="6"/>
  <c r="AS82" i="6"/>
  <c r="AX82" i="6" s="1"/>
  <c r="BA80" i="6"/>
  <c r="BG80" i="6" s="1"/>
  <c r="BH80" i="6" s="1"/>
  <c r="Z38" i="21"/>
  <c r="AV38" i="21"/>
  <c r="BF83" i="6" s="1"/>
  <c r="AG82" i="6"/>
  <c r="AH82" i="6" s="1"/>
  <c r="AF82" i="6"/>
  <c r="AD82" i="6" s="1"/>
  <c r="AJ83" i="6"/>
  <c r="AE83" i="6"/>
  <c r="AC83" i="6"/>
  <c r="H83" i="6"/>
  <c r="F83" i="6"/>
  <c r="D83" i="6"/>
  <c r="C84" i="6"/>
  <c r="AA39" i="21" s="1"/>
  <c r="AL83" i="6"/>
  <c r="AI84" i="6" s="1"/>
  <c r="AK83" i="6"/>
  <c r="G83" i="6"/>
  <c r="BE83" i="6" s="1"/>
  <c r="AV82" i="6" l="1"/>
  <c r="AW82" i="6"/>
  <c r="BC82" i="6"/>
  <c r="AS83" i="6"/>
  <c r="AX83" i="6" s="1"/>
  <c r="AT83" i="6"/>
  <c r="Z39" i="21"/>
  <c r="AV39" i="21"/>
  <c r="BF84" i="6" s="1"/>
  <c r="AG83" i="6"/>
  <c r="AH83" i="6" s="1"/>
  <c r="AF83" i="6"/>
  <c r="AD83" i="6" s="1"/>
  <c r="AJ84" i="6"/>
  <c r="AC84" i="6"/>
  <c r="H84" i="6"/>
  <c r="AE84" i="6"/>
  <c r="D84" i="6"/>
  <c r="F84" i="6"/>
  <c r="C85" i="6"/>
  <c r="AA40" i="21" s="1"/>
  <c r="AL84" i="6"/>
  <c r="AK84" i="6"/>
  <c r="G84" i="6"/>
  <c r="BE84" i="6" s="1"/>
  <c r="BC83" i="6" l="1"/>
  <c r="AW83" i="6"/>
  <c r="AV83" i="6"/>
  <c r="BA83" i="6" s="1"/>
  <c r="BG83" i="6" s="1"/>
  <c r="BH83" i="6" s="1"/>
  <c r="BA82" i="6"/>
  <c r="BG82" i="6" s="1"/>
  <c r="BH82" i="6" s="1"/>
  <c r="AT84" i="6"/>
  <c r="AS84" i="6"/>
  <c r="AX84" i="6" s="1"/>
  <c r="Z40" i="21"/>
  <c r="AV40" i="21"/>
  <c r="BF85" i="6" s="1"/>
  <c r="AJ85" i="6"/>
  <c r="AG84" i="6"/>
  <c r="AH84" i="6" s="1"/>
  <c r="AI85" i="6"/>
  <c r="AC85" i="6"/>
  <c r="H85" i="6"/>
  <c r="AE85" i="6"/>
  <c r="D85" i="6"/>
  <c r="AF84" i="6"/>
  <c r="AD84" i="6" s="1"/>
  <c r="C86" i="6"/>
  <c r="AA41" i="21" s="1"/>
  <c r="AK85" i="6"/>
  <c r="AL85" i="6"/>
  <c r="G85" i="6"/>
  <c r="BE85" i="6" s="1"/>
  <c r="AV84" i="6" l="1"/>
  <c r="AW84" i="6"/>
  <c r="BC84" i="6"/>
  <c r="AS85" i="6"/>
  <c r="AX85" i="6" s="1"/>
  <c r="AT85" i="6"/>
  <c r="Z41" i="21"/>
  <c r="AV41" i="21"/>
  <c r="BF86" i="6" s="1"/>
  <c r="AG85" i="6"/>
  <c r="AH85" i="6" s="1"/>
  <c r="AI86" i="6"/>
  <c r="AJ86" i="6"/>
  <c r="H86" i="6"/>
  <c r="AE86" i="6"/>
  <c r="AC86" i="6"/>
  <c r="D86" i="6"/>
  <c r="F86" i="6"/>
  <c r="AF85" i="6"/>
  <c r="AD85" i="6" s="1"/>
  <c r="C87" i="6"/>
  <c r="AA42" i="21" s="1"/>
  <c r="AL86" i="6"/>
  <c r="AK86" i="6"/>
  <c r="G86" i="6"/>
  <c r="BE86" i="6" s="1"/>
  <c r="BA84" i="6" l="1"/>
  <c r="BG84" i="6" s="1"/>
  <c r="BH84" i="6" s="1"/>
  <c r="AW85" i="6"/>
  <c r="AV85" i="6"/>
  <c r="BC85" i="6"/>
  <c r="AT86" i="6"/>
  <c r="AS86" i="6"/>
  <c r="AX86" i="6" s="1"/>
  <c r="Z42" i="21"/>
  <c r="AV42" i="21"/>
  <c r="BF87" i="6" s="1"/>
  <c r="AG86" i="6"/>
  <c r="AH86" i="6" s="1"/>
  <c r="AI87" i="6"/>
  <c r="AJ87" i="6"/>
  <c r="AF86" i="6"/>
  <c r="AD86" i="6" s="1"/>
  <c r="AE87" i="6"/>
  <c r="AC87" i="6"/>
  <c r="H87" i="6"/>
  <c r="D87" i="6"/>
  <c r="F87" i="6"/>
  <c r="C88" i="6"/>
  <c r="AL87" i="6"/>
  <c r="AI88" i="6" s="1"/>
  <c r="AK87" i="6"/>
  <c r="G87" i="6"/>
  <c r="BE87" i="6" s="1"/>
  <c r="BA85" i="6" l="1"/>
  <c r="BG85" i="6" s="1"/>
  <c r="BH85" i="6" s="1"/>
  <c r="AV86" i="6"/>
  <c r="AW86" i="6"/>
  <c r="BC86" i="6"/>
  <c r="AS87" i="6"/>
  <c r="AX87" i="6" s="1"/>
  <c r="AT87" i="6"/>
  <c r="F88" i="6"/>
  <c r="AA43" i="21"/>
  <c r="AG87" i="6"/>
  <c r="AH87" i="6" s="1"/>
  <c r="AJ88" i="6"/>
  <c r="AF87" i="6"/>
  <c r="AD87" i="6" s="1"/>
  <c r="AC88" i="6"/>
  <c r="H88" i="6"/>
  <c r="AE88" i="6"/>
  <c r="D88" i="6"/>
  <c r="C89" i="6"/>
  <c r="AL88" i="6"/>
  <c r="AI89" i="6" s="1"/>
  <c r="AK88" i="6"/>
  <c r="G88" i="6"/>
  <c r="BE88" i="6" s="1"/>
  <c r="BC87" i="6" l="1"/>
  <c r="AV87" i="6"/>
  <c r="AW87" i="6"/>
  <c r="BA86" i="6"/>
  <c r="BG86" i="6" s="1"/>
  <c r="BH86" i="6" s="1"/>
  <c r="AS88" i="6"/>
  <c r="AX88" i="6" s="1"/>
  <c r="AT88" i="6"/>
  <c r="F89" i="6"/>
  <c r="AA44" i="21"/>
  <c r="Z43" i="21"/>
  <c r="AV43" i="21"/>
  <c r="BF88" i="6" s="1"/>
  <c r="AJ89" i="6"/>
  <c r="AF88" i="6"/>
  <c r="AD88" i="6" s="1"/>
  <c r="AG88" i="6"/>
  <c r="AH88" i="6" s="1"/>
  <c r="H89" i="6"/>
  <c r="AE89" i="6"/>
  <c r="AC89" i="6"/>
  <c r="D89" i="6"/>
  <c r="C90" i="6"/>
  <c r="AA45" i="21" s="1"/>
  <c r="AL89" i="6"/>
  <c r="AI90" i="6" s="1"/>
  <c r="AK89" i="6"/>
  <c r="G89" i="6"/>
  <c r="BE89" i="6" s="1"/>
  <c r="AV88" i="6" l="1"/>
  <c r="AW88" i="6"/>
  <c r="BC88" i="6"/>
  <c r="AS89" i="6"/>
  <c r="AX89" i="6" s="1"/>
  <c r="AT89" i="6"/>
  <c r="BA87" i="6"/>
  <c r="BG87" i="6" s="1"/>
  <c r="BH87" i="6" s="1"/>
  <c r="Z45" i="21"/>
  <c r="AV45" i="21"/>
  <c r="BF90" i="6" s="1"/>
  <c r="Z44" i="21"/>
  <c r="AV44" i="21"/>
  <c r="BF89" i="6" s="1"/>
  <c r="AG89" i="6"/>
  <c r="AH89" i="6" s="1"/>
  <c r="AJ90" i="6"/>
  <c r="AF89" i="6"/>
  <c r="AD89" i="6" s="1"/>
  <c r="AE90" i="6"/>
  <c r="H90" i="6"/>
  <c r="AC90" i="6"/>
  <c r="D90" i="6"/>
  <c r="C91" i="6"/>
  <c r="AA46" i="21" s="1"/>
  <c r="AL90" i="6"/>
  <c r="AI91" i="6" s="1"/>
  <c r="AK90" i="6"/>
  <c r="G90" i="6"/>
  <c r="BE90" i="6" s="1"/>
  <c r="AW89" i="6" l="1"/>
  <c r="BC89" i="6"/>
  <c r="AV89" i="6"/>
  <c r="BA89" i="6" s="1"/>
  <c r="BG89" i="6" s="1"/>
  <c r="BH89" i="6" s="1"/>
  <c r="BA88" i="6"/>
  <c r="BG88" i="6" s="1"/>
  <c r="BH88" i="6" s="1"/>
  <c r="AT90" i="6"/>
  <c r="AS90" i="6"/>
  <c r="AX90" i="6" s="1"/>
  <c r="Z46" i="21"/>
  <c r="AV46" i="21"/>
  <c r="BF91" i="6" s="1"/>
  <c r="AF90" i="6"/>
  <c r="AD90" i="6" s="1"/>
  <c r="AJ91" i="6"/>
  <c r="AG90" i="6"/>
  <c r="AH90" i="6" s="1"/>
  <c r="AE91" i="6"/>
  <c r="H91" i="6"/>
  <c r="AC91" i="6"/>
  <c r="F91" i="6"/>
  <c r="D91" i="6"/>
  <c r="C92" i="6"/>
  <c r="AA47" i="21" s="1"/>
  <c r="AL91" i="6"/>
  <c r="AI92" i="6" s="1"/>
  <c r="AK91" i="6"/>
  <c r="G91" i="6"/>
  <c r="AV90" i="6" l="1"/>
  <c r="AW90" i="6"/>
  <c r="BC90" i="6"/>
  <c r="AS91" i="6"/>
  <c r="AT91" i="6"/>
  <c r="Z47" i="21"/>
  <c r="AV47" i="21"/>
  <c r="BF92" i="6" s="1"/>
  <c r="AG91" i="6"/>
  <c r="AH91" i="6" s="1"/>
  <c r="AJ92" i="6"/>
  <c r="AF91" i="6"/>
  <c r="AD91" i="6" s="1"/>
  <c r="AC92" i="6"/>
  <c r="H92" i="6"/>
  <c r="AE92" i="6"/>
  <c r="D92" i="6"/>
  <c r="C93" i="6"/>
  <c r="AK92" i="6"/>
  <c r="AL92" i="6"/>
  <c r="AI93" i="6" s="1"/>
  <c r="G92" i="6"/>
  <c r="BE92" i="6" s="1"/>
  <c r="BC91" i="6" l="1"/>
  <c r="AV91" i="6"/>
  <c r="AW91" i="6"/>
  <c r="AS92" i="6"/>
  <c r="AX92" i="6" s="1"/>
  <c r="AT92" i="6"/>
  <c r="BE91" i="6"/>
  <c r="AX91" i="6"/>
  <c r="BA90" i="6"/>
  <c r="BG90" i="6" s="1"/>
  <c r="BH90" i="6" s="1"/>
  <c r="F93" i="6"/>
  <c r="AA48" i="21"/>
  <c r="AJ93" i="6"/>
  <c r="AG92" i="6"/>
  <c r="AH92" i="6" s="1"/>
  <c r="AC93" i="6"/>
  <c r="H93" i="6"/>
  <c r="AE93" i="6"/>
  <c r="D93" i="6"/>
  <c r="AF92" i="6"/>
  <c r="AD92" i="6" s="1"/>
  <c r="C94" i="6"/>
  <c r="AK93" i="6"/>
  <c r="AL93" i="6"/>
  <c r="AI94" i="6" s="1"/>
  <c r="G93" i="6"/>
  <c r="BE93" i="6" s="1"/>
  <c r="AV92" i="6" l="1"/>
  <c r="AW92" i="6"/>
  <c r="BC92" i="6"/>
  <c r="BA91" i="6"/>
  <c r="BG91" i="6" s="1"/>
  <c r="BH91" i="6" s="1"/>
  <c r="AS93" i="6"/>
  <c r="AX93" i="6" s="1"/>
  <c r="AT93" i="6"/>
  <c r="D94" i="6"/>
  <c r="AA49" i="21"/>
  <c r="Z48" i="21"/>
  <c r="AV48" i="21"/>
  <c r="BF93" i="6" s="1"/>
  <c r="AG93" i="6"/>
  <c r="AH93" i="6" s="1"/>
  <c r="AJ94" i="6"/>
  <c r="AC94" i="6"/>
  <c r="H94" i="6"/>
  <c r="AE94" i="6"/>
  <c r="F94" i="6"/>
  <c r="AF93" i="6"/>
  <c r="AD93" i="6" s="1"/>
  <c r="C95" i="6"/>
  <c r="AA50" i="21" s="1"/>
  <c r="AK94" i="6"/>
  <c r="AL94" i="6"/>
  <c r="AI95" i="6" s="1"/>
  <c r="G94" i="6"/>
  <c r="BE94" i="6" s="1"/>
  <c r="AG94" i="6" l="1"/>
  <c r="AH94" i="6" s="1"/>
  <c r="AW93" i="6"/>
  <c r="BC93" i="6"/>
  <c r="AV93" i="6"/>
  <c r="BA93" i="6" s="1"/>
  <c r="BG93" i="6" s="1"/>
  <c r="BH93" i="6" s="1"/>
  <c r="AT94" i="6"/>
  <c r="AS94" i="6"/>
  <c r="AX94" i="6" s="1"/>
  <c r="BA92" i="6"/>
  <c r="BG92" i="6" s="1"/>
  <c r="BH92" i="6" s="1"/>
  <c r="Z50" i="21"/>
  <c r="AV50" i="21"/>
  <c r="BF95" i="6" s="1"/>
  <c r="Z49" i="21"/>
  <c r="AV49" i="21"/>
  <c r="BF94" i="6" s="1"/>
  <c r="AJ95" i="6"/>
  <c r="AC95" i="6"/>
  <c r="H95" i="6"/>
  <c r="AE95" i="6"/>
  <c r="F95" i="6"/>
  <c r="D95" i="6"/>
  <c r="AF94" i="6"/>
  <c r="AD94" i="6" s="1"/>
  <c r="C96" i="6"/>
  <c r="AA51" i="21" s="1"/>
  <c r="AL95" i="6"/>
  <c r="AI96" i="6" s="1"/>
  <c r="AK95" i="6"/>
  <c r="G95" i="6"/>
  <c r="BE95" i="6" s="1"/>
  <c r="AS95" i="6" l="1"/>
  <c r="AX95" i="6" s="1"/>
  <c r="AT95" i="6"/>
  <c r="AV94" i="6"/>
  <c r="AW94" i="6"/>
  <c r="BC94" i="6"/>
  <c r="Z51" i="21"/>
  <c r="AV51" i="21"/>
  <c r="BF96" i="6" s="1"/>
  <c r="AJ96" i="6"/>
  <c r="AG95" i="6"/>
  <c r="AH95" i="6" s="1"/>
  <c r="AC96" i="6"/>
  <c r="AE96" i="6"/>
  <c r="H96" i="6"/>
  <c r="D96" i="6"/>
  <c r="F96" i="6"/>
  <c r="AF95" i="6"/>
  <c r="AD95" i="6" s="1"/>
  <c r="C97" i="6"/>
  <c r="AL96" i="6"/>
  <c r="AI97" i="6" s="1"/>
  <c r="AK96" i="6"/>
  <c r="G96" i="6"/>
  <c r="BE96" i="6" s="1"/>
  <c r="BA94" i="6" l="1"/>
  <c r="BG94" i="6" s="1"/>
  <c r="BH94" i="6" s="1"/>
  <c r="BC95" i="6"/>
  <c r="AV95" i="6"/>
  <c r="AW95" i="6"/>
  <c r="AS96" i="6"/>
  <c r="AX96" i="6" s="1"/>
  <c r="AT96" i="6"/>
  <c r="F97" i="6"/>
  <c r="AA52" i="21"/>
  <c r="AG96" i="6"/>
  <c r="AH96" i="6" s="1"/>
  <c r="AJ97" i="6"/>
  <c r="AC97" i="6"/>
  <c r="H97" i="6"/>
  <c r="AE97" i="6"/>
  <c r="D97" i="6"/>
  <c r="AF96" i="6"/>
  <c r="AD96" i="6" s="1"/>
  <c r="C98" i="6"/>
  <c r="AA53" i="21" s="1"/>
  <c r="AL97" i="6"/>
  <c r="AI98" i="6" s="1"/>
  <c r="AK97" i="6"/>
  <c r="G97" i="6"/>
  <c r="BE97" i="6" s="1"/>
  <c r="BA95" i="6" l="1"/>
  <c r="BG95" i="6" s="1"/>
  <c r="BH95" i="6" s="1"/>
  <c r="AS97" i="6"/>
  <c r="AX97" i="6" s="1"/>
  <c r="AT97" i="6"/>
  <c r="AV96" i="6"/>
  <c r="BC96" i="6"/>
  <c r="AW96" i="6"/>
  <c r="Z53" i="21"/>
  <c r="AV53" i="21"/>
  <c r="BF98" i="6" s="1"/>
  <c r="Z52" i="21"/>
  <c r="AV52" i="21"/>
  <c r="BF97" i="6" s="1"/>
  <c r="AG97" i="6"/>
  <c r="AH97" i="6" s="1"/>
  <c r="AJ98" i="6"/>
  <c r="AE98" i="6"/>
  <c r="AC98" i="6"/>
  <c r="H98" i="6"/>
  <c r="F98" i="6"/>
  <c r="D98" i="6"/>
  <c r="AF97" i="6"/>
  <c r="AD97" i="6" s="1"/>
  <c r="C99" i="6"/>
  <c r="AA54" i="21" s="1"/>
  <c r="AL98" i="6"/>
  <c r="AI99" i="6" s="1"/>
  <c r="AK98" i="6"/>
  <c r="G98" i="6"/>
  <c r="BE98" i="6" s="1"/>
  <c r="BA96" i="6" l="1"/>
  <c r="BG96" i="6" s="1"/>
  <c r="BH96" i="6" s="1"/>
  <c r="AW97" i="6"/>
  <c r="BC97" i="6"/>
  <c r="AV97" i="6"/>
  <c r="BA97" i="6" s="1"/>
  <c r="BG97" i="6" s="1"/>
  <c r="BH97" i="6" s="1"/>
  <c r="AT98" i="6"/>
  <c r="AS98" i="6"/>
  <c r="AX98" i="6" s="1"/>
  <c r="Z54" i="21"/>
  <c r="AV54" i="21"/>
  <c r="BF99" i="6" s="1"/>
  <c r="AG98" i="6"/>
  <c r="AH98" i="6" s="1"/>
  <c r="AF98" i="6"/>
  <c r="AD98" i="6" s="1"/>
  <c r="AJ99" i="6"/>
  <c r="AE99" i="6"/>
  <c r="AC99" i="6"/>
  <c r="H99" i="6"/>
  <c r="D99" i="6"/>
  <c r="F99" i="6"/>
  <c r="C100" i="6"/>
  <c r="AL99" i="6"/>
  <c r="AI100" i="6" s="1"/>
  <c r="AK99" i="6"/>
  <c r="G99" i="6"/>
  <c r="BE99" i="6" s="1"/>
  <c r="AV98" i="6" l="1"/>
  <c r="AW98" i="6"/>
  <c r="BC98" i="6"/>
  <c r="AS99" i="6"/>
  <c r="AX99" i="6" s="1"/>
  <c r="AT99" i="6"/>
  <c r="F100" i="6"/>
  <c r="AA55" i="21"/>
  <c r="AF99" i="6"/>
  <c r="AD99" i="6" s="1"/>
  <c r="AG99" i="6"/>
  <c r="AH99" i="6" s="1"/>
  <c r="AJ100" i="6"/>
  <c r="AC100" i="6"/>
  <c r="H100" i="6"/>
  <c r="AE100" i="6"/>
  <c r="D100" i="6"/>
  <c r="C101" i="6"/>
  <c r="AA56" i="21" s="1"/>
  <c r="AK100" i="6"/>
  <c r="AL100" i="6"/>
  <c r="AI101" i="6" s="1"/>
  <c r="G100" i="6"/>
  <c r="BE100" i="6" s="1"/>
  <c r="AW99" i="6" l="1"/>
  <c r="AV99" i="6"/>
  <c r="BA99" i="6" s="1"/>
  <c r="BC99" i="6"/>
  <c r="BA98" i="6"/>
  <c r="BG98" i="6" s="1"/>
  <c r="BH98" i="6" s="1"/>
  <c r="AS100" i="6"/>
  <c r="AX100" i="6" s="1"/>
  <c r="AT100" i="6"/>
  <c r="Z56" i="21"/>
  <c r="AV56" i="21"/>
  <c r="BF101" i="6" s="1"/>
  <c r="Z55" i="21"/>
  <c r="AV55" i="21"/>
  <c r="BF100" i="6" s="1"/>
  <c r="AG100" i="6"/>
  <c r="AH100" i="6" s="1"/>
  <c r="AJ101" i="6"/>
  <c r="AC101" i="6"/>
  <c r="H101" i="6"/>
  <c r="AE101" i="6"/>
  <c r="F101" i="6"/>
  <c r="D101" i="6"/>
  <c r="AF100" i="6"/>
  <c r="AD100" i="6" s="1"/>
  <c r="C102" i="6"/>
  <c r="AA57" i="21" s="1"/>
  <c r="AK101" i="6"/>
  <c r="AL101" i="6"/>
  <c r="AI102" i="6" s="1"/>
  <c r="G101" i="6"/>
  <c r="BE101" i="6" s="1"/>
  <c r="BG99" i="6" l="1"/>
  <c r="BH99" i="6" s="1"/>
  <c r="AS101" i="6"/>
  <c r="AX101" i="6" s="1"/>
  <c r="AT101" i="6"/>
  <c r="AV100" i="6"/>
  <c r="BC100" i="6"/>
  <c r="AW100" i="6"/>
  <c r="Z57" i="21"/>
  <c r="AV57" i="21"/>
  <c r="BF102" i="6" s="1"/>
  <c r="AG101" i="6"/>
  <c r="AH101" i="6" s="1"/>
  <c r="AJ102" i="6"/>
  <c r="AC102" i="6"/>
  <c r="H102" i="6"/>
  <c r="AE102" i="6"/>
  <c r="F102" i="6"/>
  <c r="D102" i="6"/>
  <c r="AF101" i="6"/>
  <c r="AD101" i="6" s="1"/>
  <c r="C103" i="6"/>
  <c r="AK102" i="6"/>
  <c r="AL102" i="6"/>
  <c r="AI103" i="6" s="1"/>
  <c r="G102" i="6"/>
  <c r="BE102" i="6" s="1"/>
  <c r="BA100" i="6" l="1"/>
  <c r="BG100" i="6" s="1"/>
  <c r="BH100" i="6" s="1"/>
  <c r="AW101" i="6"/>
  <c r="BC101" i="6"/>
  <c r="AV101" i="6"/>
  <c r="BA101" i="6" s="1"/>
  <c r="BG101" i="6" s="1"/>
  <c r="BH101" i="6" s="1"/>
  <c r="AT102" i="6"/>
  <c r="AS102" i="6"/>
  <c r="AX102" i="6" s="1"/>
  <c r="D103" i="6"/>
  <c r="AA58" i="21"/>
  <c r="AG102" i="6"/>
  <c r="AH102" i="6" s="1"/>
  <c r="AJ103" i="6"/>
  <c r="AE103" i="6"/>
  <c r="AC103" i="6"/>
  <c r="H103" i="6"/>
  <c r="F103" i="6"/>
  <c r="AF102" i="6"/>
  <c r="AD102" i="6" s="1"/>
  <c r="C104" i="6"/>
  <c r="AA59" i="21" s="1"/>
  <c r="AL103" i="6"/>
  <c r="AI104" i="6" s="1"/>
  <c r="AK103" i="6"/>
  <c r="G103" i="6"/>
  <c r="BE103" i="6" s="1"/>
  <c r="AG103" i="6" l="1"/>
  <c r="AH103" i="6" s="1"/>
  <c r="AV102" i="6"/>
  <c r="AW102" i="6"/>
  <c r="BC102" i="6"/>
  <c r="AS103" i="6"/>
  <c r="AX103" i="6" s="1"/>
  <c r="AT103" i="6"/>
  <c r="Z59" i="21"/>
  <c r="AV59" i="21"/>
  <c r="BF104" i="6" s="1"/>
  <c r="Z58" i="21"/>
  <c r="AV58" i="21"/>
  <c r="BF103" i="6" s="1"/>
  <c r="AF103" i="6"/>
  <c r="AD103" i="6" s="1"/>
  <c r="AJ104" i="6"/>
  <c r="AC104" i="6"/>
  <c r="AE104" i="6"/>
  <c r="H104" i="6"/>
  <c r="D104" i="6"/>
  <c r="F104" i="6"/>
  <c r="C105" i="6"/>
  <c r="AA60" i="21" s="1"/>
  <c r="AL104" i="6"/>
  <c r="AI105" i="6" s="1"/>
  <c r="AK104" i="6"/>
  <c r="G104" i="6"/>
  <c r="BE104" i="6" s="1"/>
  <c r="AV103" i="6" l="1"/>
  <c r="AW103" i="6"/>
  <c r="BC103" i="6"/>
  <c r="BA102" i="6"/>
  <c r="BG102" i="6" s="1"/>
  <c r="BH102" i="6" s="1"/>
  <c r="AT104" i="6"/>
  <c r="AS104" i="6"/>
  <c r="AX104" i="6" s="1"/>
  <c r="Z60" i="21"/>
  <c r="AV60" i="21"/>
  <c r="BF105" i="6" s="1"/>
  <c r="AG104" i="6"/>
  <c r="AH104" i="6" s="1"/>
  <c r="AJ105" i="6"/>
  <c r="AC105" i="6"/>
  <c r="H105" i="6"/>
  <c r="AE105" i="6"/>
  <c r="F105" i="6"/>
  <c r="D105" i="6"/>
  <c r="AF104" i="6"/>
  <c r="AD104" i="6" s="1"/>
  <c r="C106" i="6"/>
  <c r="AA61" i="21" s="1"/>
  <c r="AL105" i="6"/>
  <c r="AI106" i="6" s="1"/>
  <c r="AK105" i="6"/>
  <c r="G105" i="6"/>
  <c r="BE105" i="6" s="1"/>
  <c r="BC104" i="6" l="1"/>
  <c r="AV104" i="6"/>
  <c r="AW104" i="6"/>
  <c r="BA103" i="6"/>
  <c r="BG103" i="6" s="1"/>
  <c r="BH103" i="6" s="1"/>
  <c r="AS105" i="6"/>
  <c r="AX105" i="6" s="1"/>
  <c r="AT105" i="6"/>
  <c r="Z61" i="21"/>
  <c r="AV61" i="21"/>
  <c r="BF106" i="6" s="1"/>
  <c r="AG105" i="6"/>
  <c r="AH105" i="6" s="1"/>
  <c r="AJ106" i="6"/>
  <c r="AE106" i="6"/>
  <c r="H106" i="6"/>
  <c r="AC106" i="6"/>
  <c r="D106" i="6"/>
  <c r="F106" i="6"/>
  <c r="AF105" i="6"/>
  <c r="AD105" i="6" s="1"/>
  <c r="C107" i="6"/>
  <c r="AL106" i="6"/>
  <c r="AI107" i="6" s="1"/>
  <c r="AK106" i="6"/>
  <c r="G106" i="6"/>
  <c r="BE106" i="6" s="1"/>
  <c r="AW105" i="6" l="1"/>
  <c r="BC105" i="6"/>
  <c r="AV105" i="6"/>
  <c r="BA105" i="6" s="1"/>
  <c r="BG105" i="6" s="1"/>
  <c r="BH105" i="6" s="1"/>
  <c r="BA104" i="6"/>
  <c r="BG104" i="6" s="1"/>
  <c r="BH104" i="6" s="1"/>
  <c r="AT106" i="6"/>
  <c r="AS106" i="6"/>
  <c r="AX106" i="6" s="1"/>
  <c r="F107" i="6"/>
  <c r="AA62" i="21"/>
  <c r="AG106" i="6"/>
  <c r="AH106" i="6" s="1"/>
  <c r="AJ107" i="6"/>
  <c r="AE107" i="6"/>
  <c r="AC107" i="6"/>
  <c r="H107" i="6"/>
  <c r="D107" i="6"/>
  <c r="AF106" i="6"/>
  <c r="AD106" i="6" s="1"/>
  <c r="C108" i="6"/>
  <c r="AA63" i="21" s="1"/>
  <c r="AL107" i="6"/>
  <c r="AI108" i="6" s="1"/>
  <c r="AK107" i="6"/>
  <c r="G107" i="6"/>
  <c r="BE107" i="6" s="1"/>
  <c r="AS107" i="6" l="1"/>
  <c r="AX107" i="6" s="1"/>
  <c r="AT107" i="6"/>
  <c r="BC106" i="6"/>
  <c r="AV106" i="6"/>
  <c r="AW106" i="6"/>
  <c r="Z63" i="21"/>
  <c r="AV63" i="21"/>
  <c r="BF108" i="6" s="1"/>
  <c r="Z62" i="21"/>
  <c r="AV62" i="21"/>
  <c r="BF107" i="6" s="1"/>
  <c r="AF107" i="6"/>
  <c r="AD107" i="6" s="1"/>
  <c r="AJ108" i="6"/>
  <c r="AG107" i="6"/>
  <c r="AH107" i="6" s="1"/>
  <c r="AC108" i="6"/>
  <c r="H108" i="6"/>
  <c r="AE108" i="6"/>
  <c r="D108" i="6"/>
  <c r="F108" i="6"/>
  <c r="C109" i="6"/>
  <c r="AA64" i="21" s="1"/>
  <c r="AL108" i="6"/>
  <c r="AI109" i="6" s="1"/>
  <c r="AK108" i="6"/>
  <c r="G108" i="6"/>
  <c r="BE108" i="6" s="1"/>
  <c r="BA106" i="6" l="1"/>
  <c r="BG106" i="6" s="1"/>
  <c r="BH106" i="6" s="1"/>
  <c r="AS108" i="6"/>
  <c r="AX108" i="6" s="1"/>
  <c r="AT108" i="6"/>
  <c r="AW107" i="6"/>
  <c r="AV107" i="6"/>
  <c r="BC107" i="6"/>
  <c r="Z64" i="21"/>
  <c r="AV64" i="21"/>
  <c r="BF109" i="6" s="1"/>
  <c r="AG108" i="6"/>
  <c r="AH108" i="6" s="1"/>
  <c r="AJ109" i="6"/>
  <c r="AC109" i="6"/>
  <c r="H109" i="6"/>
  <c r="AE109" i="6"/>
  <c r="D109" i="6"/>
  <c r="AF108" i="6"/>
  <c r="AD108" i="6" s="1"/>
  <c r="C110" i="6"/>
  <c r="AK109" i="6"/>
  <c r="AL109" i="6"/>
  <c r="AI110" i="6" s="1"/>
  <c r="G109" i="6"/>
  <c r="BE109" i="6" s="1"/>
  <c r="BA107" i="6" l="1"/>
  <c r="BG107" i="6"/>
  <c r="BH107" i="6" s="1"/>
  <c r="BC108" i="6"/>
  <c r="AV108" i="6"/>
  <c r="AW108" i="6"/>
  <c r="AS109" i="6"/>
  <c r="AX109" i="6" s="1"/>
  <c r="AT109" i="6"/>
  <c r="AL110" i="6"/>
  <c r="AI111" i="6" s="1"/>
  <c r="AA65" i="21"/>
  <c r="AG109" i="6"/>
  <c r="AH109" i="6" s="1"/>
  <c r="AJ110" i="6"/>
  <c r="AJ111" i="6" s="1"/>
  <c r="AE110" i="6"/>
  <c r="AC110" i="6"/>
  <c r="H110" i="6"/>
  <c r="F110" i="6"/>
  <c r="D110" i="6"/>
  <c r="G110" i="6"/>
  <c r="BE110" i="6" s="1"/>
  <c r="AF109" i="6"/>
  <c r="AD109" i="6" s="1"/>
  <c r="C111" i="6"/>
  <c r="AK110" i="6"/>
  <c r="BA108" i="6" l="1"/>
  <c r="BG108" i="6" s="1"/>
  <c r="BH108" i="6" s="1"/>
  <c r="AT110" i="6"/>
  <c r="AS110" i="6"/>
  <c r="AX110" i="6" s="1"/>
  <c r="AW109" i="6"/>
  <c r="BC109" i="6"/>
  <c r="AV109" i="6"/>
  <c r="BA109" i="6" s="1"/>
  <c r="BG109" i="6" s="1"/>
  <c r="BH109" i="6" s="1"/>
  <c r="F111" i="6"/>
  <c r="AA66" i="21"/>
  <c r="Z65" i="21"/>
  <c r="AV65" i="21"/>
  <c r="BF110" i="6" s="1"/>
  <c r="AG110" i="6"/>
  <c r="AH110" i="6" s="1"/>
  <c r="AF110" i="6"/>
  <c r="AD110" i="6" s="1"/>
  <c r="AE111" i="6"/>
  <c r="AC111" i="6"/>
  <c r="H111" i="6"/>
  <c r="D111" i="6"/>
  <c r="AL111" i="6"/>
  <c r="AK111" i="6"/>
  <c r="G111" i="6"/>
  <c r="BE111" i="6" s="1"/>
  <c r="AV110" i="6" l="1"/>
  <c r="AW110" i="6"/>
  <c r="BC110" i="6"/>
  <c r="AS111" i="6"/>
  <c r="AX111" i="6" s="1"/>
  <c r="AT111" i="6"/>
  <c r="AV66" i="21"/>
  <c r="AV67" i="21"/>
  <c r="Z66" i="21"/>
  <c r="AG111" i="6"/>
  <c r="AH111" i="6" s="1"/>
  <c r="AF111" i="6"/>
  <c r="AD111" i="6" s="1"/>
  <c r="AV111" i="6" l="1"/>
  <c r="BC111" i="6"/>
  <c r="AW111" i="6"/>
  <c r="BA110" i="6"/>
  <c r="BG110" i="6" s="1"/>
  <c r="BH110" i="6" s="1"/>
  <c r="BH113" i="6"/>
  <c r="BF112" i="6"/>
  <c r="BH112" i="6" s="1"/>
  <c r="BF111" i="6"/>
  <c r="T5" i="1"/>
  <c r="U14" i="1"/>
  <c r="U15" i="1"/>
  <c r="U17" i="1"/>
  <c r="U19" i="1"/>
  <c r="U20" i="1"/>
  <c r="U21" i="1"/>
  <c r="U22" i="1"/>
  <c r="U23" i="1"/>
  <c r="U25" i="1"/>
  <c r="U26" i="1"/>
  <c r="U34" i="1"/>
  <c r="U27" i="1"/>
  <c r="U32" i="1"/>
  <c r="U33" i="1"/>
  <c r="U35" i="1"/>
  <c r="U58" i="1"/>
  <c r="U36" i="1"/>
  <c r="U37" i="1"/>
  <c r="U39" i="1"/>
  <c r="U41" i="1"/>
  <c r="U42" i="1"/>
  <c r="U43" i="1"/>
  <c r="U44" i="1"/>
  <c r="U45" i="1"/>
  <c r="U29" i="1"/>
  <c r="U46" i="1"/>
  <c r="U47" i="1"/>
  <c r="U48" i="1"/>
  <c r="U49" i="1"/>
  <c r="U50" i="1"/>
  <c r="U54" i="1"/>
  <c r="U63" i="1"/>
  <c r="U65" i="1"/>
  <c r="U55" i="1"/>
  <c r="U56" i="1"/>
  <c r="U57" i="1"/>
  <c r="U59" i="1"/>
  <c r="U61" i="1"/>
  <c r="U62" i="1"/>
  <c r="U51" i="1"/>
  <c r="U60" i="1"/>
  <c r="C21" i="1" l="1"/>
  <c r="E21" i="1"/>
  <c r="F21" i="1"/>
  <c r="D21" i="1"/>
  <c r="E20" i="1"/>
  <c r="C20" i="1"/>
  <c r="F20" i="1"/>
  <c r="D20" i="1"/>
  <c r="D18" i="1"/>
  <c r="F18" i="1"/>
  <c r="E18" i="1"/>
  <c r="C18" i="1"/>
  <c r="BA111" i="6"/>
  <c r="BG111" i="6" s="1"/>
  <c r="BG47" i="6" s="1"/>
  <c r="BF47" i="6"/>
  <c r="S11" i="21"/>
  <c r="R13" i="21"/>
  <c r="S13" i="21" s="1"/>
  <c r="R14" i="21"/>
  <c r="S14" i="21" s="1"/>
  <c r="R12" i="21"/>
  <c r="S12" i="21" s="1"/>
  <c r="G6" i="21"/>
  <c r="K7" i="21"/>
  <c r="O9" i="21"/>
  <c r="N11" i="21"/>
  <c r="O11" i="21" s="1"/>
  <c r="N12" i="21"/>
  <c r="O12" i="21" s="1"/>
  <c r="N10" i="21"/>
  <c r="O10" i="21" s="1"/>
  <c r="J10" i="21"/>
  <c r="K10" i="21" s="1"/>
  <c r="J9" i="21"/>
  <c r="K9" i="21" s="1"/>
  <c r="J8" i="21"/>
  <c r="K8" i="21" s="1"/>
  <c r="F8" i="21"/>
  <c r="F7" i="21"/>
  <c r="D21" i="21"/>
  <c r="E21" i="21"/>
  <c r="D22" i="21"/>
  <c r="L7" i="21" s="1"/>
  <c r="E22" i="21"/>
  <c r="D23" i="21"/>
  <c r="E23" i="21"/>
  <c r="D24" i="21"/>
  <c r="E24" i="21"/>
  <c r="D25" i="21"/>
  <c r="E25" i="21"/>
  <c r="D26" i="21"/>
  <c r="T11" i="21" s="1"/>
  <c r="E26" i="21"/>
  <c r="D27" i="21"/>
  <c r="E27" i="21"/>
  <c r="E20" i="21"/>
  <c r="D20" i="21"/>
  <c r="H6" i="21" s="1"/>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Q58" i="21"/>
  <c r="R58" i="21" s="1"/>
  <c r="Q57" i="21"/>
  <c r="R57" i="21" s="1"/>
  <c r="Q56" i="21"/>
  <c r="R56" i="21" s="1"/>
  <c r="Q55" i="21"/>
  <c r="R55" i="21" s="1"/>
  <c r="G52" i="21"/>
  <c r="G53" i="21" s="1"/>
  <c r="BH47" i="6" l="1"/>
  <c r="BH111" i="6"/>
  <c r="P11" i="21"/>
  <c r="D11" i="21" s="1"/>
  <c r="U13" i="21"/>
  <c r="U14" i="21"/>
  <c r="T14" i="21"/>
  <c r="M9" i="21"/>
  <c r="E9" i="21" s="1"/>
  <c r="M10" i="21"/>
  <c r="E10" i="21" s="1"/>
  <c r="T13" i="21"/>
  <c r="M7" i="21"/>
  <c r="U12" i="21"/>
  <c r="T12" i="21"/>
  <c r="P10" i="21"/>
  <c r="U11" i="21"/>
  <c r="Q12" i="21"/>
  <c r="E12" i="21" s="1"/>
  <c r="M8" i="21"/>
  <c r="Q11" i="21"/>
  <c r="E11" i="21" s="1"/>
  <c r="L10" i="21"/>
  <c r="D10" i="21" s="1"/>
  <c r="Q10" i="21"/>
  <c r="P9" i="21"/>
  <c r="L9" i="21"/>
  <c r="D9" i="21" s="1"/>
  <c r="Q9" i="21"/>
  <c r="P12" i="21"/>
  <c r="D12" i="21" s="1"/>
  <c r="L8" i="21"/>
  <c r="I6" i="21"/>
  <c r="G8" i="21"/>
  <c r="I8" i="21" s="1"/>
  <c r="E8" i="21" s="1"/>
  <c r="G7" i="21"/>
  <c r="I7" i="21" s="1"/>
  <c r="E7" i="21" s="1"/>
  <c r="H7" i="21"/>
  <c r="D7" i="21" s="1"/>
  <c r="H8" i="21"/>
  <c r="D8" i="21" s="1"/>
  <c r="V35" i="9"/>
  <c r="H38" i="9"/>
  <c r="F7" i="24"/>
  <c r="I7" i="24"/>
  <c r="G7" i="24" s="1"/>
  <c r="C47" i="24" s="1"/>
  <c r="U10" i="24"/>
  <c r="S10" i="24" s="1"/>
  <c r="R10" i="24"/>
  <c r="U9" i="24"/>
  <c r="S9" i="24" s="1"/>
  <c r="Q8" i="24"/>
  <c r="O8" i="24" s="1"/>
  <c r="P9" i="24"/>
  <c r="R9" i="24"/>
  <c r="I36" i="9" l="1"/>
  <c r="H39" i="9"/>
  <c r="W35" i="9"/>
  <c r="V36" i="9"/>
  <c r="W36" i="9" s="1"/>
  <c r="C49" i="24"/>
  <c r="Q46" i="24"/>
  <c r="C48" i="24"/>
  <c r="Q9" i="24"/>
  <c r="O9" i="24" s="1"/>
  <c r="N9" i="24"/>
  <c r="I37" i="9" l="1"/>
  <c r="I38" i="9"/>
  <c r="Q47" i="24"/>
  <c r="R47" i="24" s="1"/>
  <c r="R46" i="24"/>
  <c r="D47" i="24"/>
  <c r="C50" i="24"/>
  <c r="I39" i="9" l="1"/>
  <c r="J36" i="9"/>
  <c r="D48" i="24"/>
  <c r="D49" i="24"/>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C59" i="21" l="1"/>
  <c r="C61" i="21" l="1"/>
  <c r="C60" i="21"/>
  <c r="Q59" i="21"/>
  <c r="Q60" i="21" l="1"/>
  <c r="R60" i="21" s="1"/>
  <c r="R59" i="21"/>
  <c r="D59" i="21"/>
  <c r="C62" i="21"/>
  <c r="D61" i="21" l="1"/>
  <c r="D60" i="21"/>
  <c r="D62" i="21" l="1"/>
  <c r="E59" i="21"/>
  <c r="E60" i="21" l="1"/>
  <c r="E61" i="21"/>
  <c r="E62" i="21" l="1"/>
  <c r="F59" i="21"/>
  <c r="F60" i="21" l="1"/>
  <c r="F61" i="21"/>
  <c r="F62" i="21" l="1"/>
  <c r="G59" i="21"/>
  <c r="G60" i="21" l="1"/>
  <c r="G61" i="21"/>
  <c r="G62" i="21" l="1"/>
  <c r="H59" i="21"/>
  <c r="H61" i="21" l="1"/>
  <c r="H60" i="21"/>
  <c r="I59" i="21" l="1"/>
  <c r="H62" i="21"/>
  <c r="I7" i="6"/>
  <c r="AH19" i="11"/>
  <c r="AH7" i="11"/>
  <c r="AH6" i="11"/>
  <c r="AH4" i="11"/>
  <c r="AC20" i="11"/>
  <c r="AC13" i="11"/>
  <c r="AC12" i="11"/>
  <c r="AC11" i="11"/>
  <c r="AC10" i="11"/>
  <c r="AC9" i="11"/>
  <c r="AC5" i="11"/>
  <c r="AC4" i="11"/>
  <c r="AC8" i="11" s="1"/>
  <c r="AG42" i="1"/>
  <c r="AE42" i="1"/>
  <c r="S53" i="1" s="1"/>
  <c r="U53" i="1" s="1"/>
  <c r="AC42" i="1"/>
  <c r="S40" i="1" s="1"/>
  <c r="U40" i="1" s="1"/>
  <c r="AG23" i="1"/>
  <c r="S30" i="1" s="1"/>
  <c r="U30" i="1" s="1"/>
  <c r="AE23" i="1"/>
  <c r="S28" i="1" s="1"/>
  <c r="U28" i="1" s="1"/>
  <c r="AC23" i="1"/>
  <c r="S24" i="1" s="1"/>
  <c r="U24" i="1" s="1"/>
  <c r="AI3" i="1"/>
  <c r="S18" i="1" s="1"/>
  <c r="U18" i="1" s="1"/>
  <c r="AG3" i="1"/>
  <c r="S16" i="1" s="1"/>
  <c r="U16" i="1" s="1"/>
  <c r="S14" i="1"/>
  <c r="S12" i="1"/>
  <c r="E16" i="1" l="1"/>
  <c r="D16" i="1"/>
  <c r="F16" i="1"/>
  <c r="C16" i="1"/>
  <c r="E17" i="1"/>
  <c r="F17" i="1"/>
  <c r="D17" i="1"/>
  <c r="C17" i="1"/>
  <c r="I61" i="21"/>
  <c r="I60" i="21"/>
  <c r="S13" i="1"/>
  <c r="AC6" i="11"/>
  <c r="AC7" i="11"/>
  <c r="X15" i="11"/>
  <c r="S17" i="1"/>
  <c r="S52" i="1"/>
  <c r="U52" i="1" s="1"/>
  <c r="M19" i="1" s="1"/>
  <c r="M22" i="1" s="1"/>
  <c r="S15" i="1"/>
  <c r="D11" i="2"/>
  <c r="D9" i="2"/>
  <c r="D14" i="2" s="1"/>
  <c r="U13" i="1" l="1"/>
  <c r="S11" i="1"/>
  <c r="D19" i="1"/>
  <c r="C19" i="1"/>
  <c r="F19" i="1"/>
  <c r="E19" i="1"/>
  <c r="F15" i="1"/>
  <c r="D15" i="1"/>
  <c r="C15" i="1"/>
  <c r="E15" i="1"/>
  <c r="K15" i="1" s="1" a="1"/>
  <c r="K15" i="1" s="1"/>
  <c r="X11" i="1"/>
  <c r="V11" i="1"/>
  <c r="U11" i="1"/>
  <c r="C7" i="1" s="1"/>
  <c r="W11" i="1"/>
  <c r="D4" i="2"/>
  <c r="D6" i="2"/>
  <c r="D7" i="2" s="1"/>
  <c r="J59" i="21"/>
  <c r="I62" i="21"/>
  <c r="X13" i="11"/>
  <c r="X14" i="11"/>
  <c r="BJ75" i="6" l="1"/>
  <c r="BJ95" i="6"/>
  <c r="BJ68" i="6"/>
  <c r="BJ83" i="6"/>
  <c r="BJ55" i="6"/>
  <c r="BJ79" i="6"/>
  <c r="BJ104" i="6"/>
  <c r="BJ67" i="6"/>
  <c r="BJ97" i="6"/>
  <c r="BJ77" i="6"/>
  <c r="BJ54" i="6"/>
  <c r="BJ96" i="6"/>
  <c r="BJ100" i="6"/>
  <c r="BJ72" i="6"/>
  <c r="BJ107" i="6"/>
  <c r="BJ65" i="6"/>
  <c r="BJ52" i="6"/>
  <c r="BJ59" i="6"/>
  <c r="BJ58" i="6"/>
  <c r="BJ71" i="6"/>
  <c r="BJ66" i="6"/>
  <c r="BJ69" i="6"/>
  <c r="BJ62" i="6"/>
  <c r="BJ74" i="6"/>
  <c r="BJ70" i="6"/>
  <c r="BJ78" i="6"/>
  <c r="BJ90" i="6"/>
  <c r="BJ99" i="6"/>
  <c r="BJ102" i="6"/>
  <c r="BJ63" i="6"/>
  <c r="BJ98" i="6"/>
  <c r="BJ103" i="6"/>
  <c r="BJ61" i="6"/>
  <c r="BJ94" i="6"/>
  <c r="BJ106" i="6"/>
  <c r="BJ93" i="6"/>
  <c r="BJ101" i="6"/>
  <c r="BJ57" i="6"/>
  <c r="BJ60" i="6"/>
  <c r="BJ109" i="6"/>
  <c r="BJ53" i="6"/>
  <c r="BJ86" i="6"/>
  <c r="BJ64" i="6"/>
  <c r="BJ84" i="6"/>
  <c r="BJ51" i="6"/>
  <c r="BJ87" i="6"/>
  <c r="BJ81" i="6"/>
  <c r="BJ56" i="6"/>
  <c r="BJ89" i="6"/>
  <c r="BJ85" i="6"/>
  <c r="BJ73" i="6"/>
  <c r="BJ80" i="6"/>
  <c r="BJ113" i="6"/>
  <c r="BJ111" i="6"/>
  <c r="BJ88" i="6"/>
  <c r="BJ108" i="6"/>
  <c r="BJ82" i="6"/>
  <c r="BJ76" i="6"/>
  <c r="BJ110" i="6"/>
  <c r="BJ91" i="6"/>
  <c r="BJ112" i="6"/>
  <c r="BJ114" i="6"/>
  <c r="BJ92" i="6"/>
  <c r="BJ105" i="6"/>
  <c r="BI51" i="6"/>
  <c r="BK58" i="6"/>
  <c r="BK66" i="6"/>
  <c r="BK74" i="6"/>
  <c r="BK82" i="6"/>
  <c r="BK90" i="6"/>
  <c r="BK98" i="6"/>
  <c r="BK106" i="6"/>
  <c r="BK114" i="6"/>
  <c r="BK51" i="6"/>
  <c r="BK59" i="6"/>
  <c r="BK67" i="6"/>
  <c r="BK75" i="6"/>
  <c r="BK83" i="6"/>
  <c r="BK91" i="6"/>
  <c r="BK99" i="6"/>
  <c r="BK107" i="6"/>
  <c r="BK52" i="6"/>
  <c r="BK60" i="6"/>
  <c r="BK68" i="6"/>
  <c r="BK76" i="6"/>
  <c r="BK84" i="6"/>
  <c r="BK92" i="6"/>
  <c r="BK100" i="6"/>
  <c r="BK108" i="6"/>
  <c r="BK53" i="6"/>
  <c r="BK61" i="6"/>
  <c r="BK69" i="6"/>
  <c r="BK77" i="6"/>
  <c r="BK85" i="6"/>
  <c r="BK93" i="6"/>
  <c r="BK101" i="6"/>
  <c r="BK109" i="6"/>
  <c r="BK54" i="6"/>
  <c r="BK62" i="6"/>
  <c r="BK70" i="6"/>
  <c r="BK78" i="6"/>
  <c r="BK86" i="6"/>
  <c r="BK94" i="6"/>
  <c r="BK102" i="6"/>
  <c r="BK110" i="6"/>
  <c r="BK55" i="6"/>
  <c r="BK63" i="6"/>
  <c r="BK71" i="6"/>
  <c r="BK79" i="6"/>
  <c r="BK87" i="6"/>
  <c r="BK95" i="6"/>
  <c r="BK103" i="6"/>
  <c r="BK111" i="6"/>
  <c r="BK56" i="6"/>
  <c r="BK64" i="6"/>
  <c r="BK72" i="6"/>
  <c r="BK80" i="6"/>
  <c r="BK88" i="6"/>
  <c r="BK96" i="6"/>
  <c r="BK104" i="6"/>
  <c r="BK112" i="6"/>
  <c r="BK57" i="6"/>
  <c r="BK65" i="6"/>
  <c r="BK73" i="6"/>
  <c r="BK81" i="6"/>
  <c r="BK89" i="6"/>
  <c r="BK97" i="6"/>
  <c r="BK105" i="6"/>
  <c r="BK113" i="6"/>
  <c r="BI82" i="6"/>
  <c r="BI72" i="6"/>
  <c r="BI105" i="6"/>
  <c r="BI108" i="6"/>
  <c r="BI62" i="6"/>
  <c r="BI95" i="6"/>
  <c r="BI55" i="6"/>
  <c r="BI107" i="6"/>
  <c r="BI70" i="6"/>
  <c r="BI85" i="6"/>
  <c r="BI61" i="6"/>
  <c r="BI102" i="6"/>
  <c r="BI65" i="6"/>
  <c r="BI81" i="6"/>
  <c r="BI100" i="6"/>
  <c r="BI69" i="6"/>
  <c r="BI78" i="6"/>
  <c r="BI77" i="6"/>
  <c r="BI104" i="6"/>
  <c r="BI60" i="6"/>
  <c r="BI53" i="6"/>
  <c r="BI94" i="6"/>
  <c r="BI103" i="6"/>
  <c r="BI92" i="6"/>
  <c r="BI106" i="6"/>
  <c r="BI91" i="6"/>
  <c r="BI67" i="6"/>
  <c r="BI75" i="6"/>
  <c r="BI101" i="6"/>
  <c r="BI110" i="6"/>
  <c r="BI109" i="6"/>
  <c r="BI59" i="6"/>
  <c r="BI90" i="6"/>
  <c r="BI93" i="6"/>
  <c r="BI57" i="6"/>
  <c r="BI68" i="6"/>
  <c r="BI111" i="6"/>
  <c r="BI58" i="6"/>
  <c r="BI76" i="6"/>
  <c r="BI74" i="6"/>
  <c r="BI64" i="6"/>
  <c r="BI97" i="6"/>
  <c r="BI54" i="6"/>
  <c r="BI87" i="6"/>
  <c r="BI80" i="6"/>
  <c r="BI113" i="6"/>
  <c r="BI56" i="6"/>
  <c r="BI89" i="6"/>
  <c r="BI112" i="6"/>
  <c r="BI88" i="6"/>
  <c r="BI99" i="6"/>
  <c r="BI96" i="6"/>
  <c r="BI98" i="6"/>
  <c r="BI52" i="6"/>
  <c r="BI86" i="6"/>
  <c r="BI84" i="6"/>
  <c r="BI66" i="6"/>
  <c r="BI63" i="6"/>
  <c r="BI83" i="6"/>
  <c r="BI79" i="6"/>
  <c r="BI114" i="6"/>
  <c r="BI71" i="6"/>
  <c r="BI73" i="6"/>
  <c r="D7" i="1" a="1"/>
  <c r="D7" i="1" s="1"/>
  <c r="D8" i="1" s="1"/>
  <c r="D15" i="11"/>
  <c r="D17" i="11" s="1"/>
  <c r="J61" i="21"/>
  <c r="J60" i="21"/>
  <c r="C6" i="1"/>
  <c r="D6" i="1" l="1"/>
  <c r="D23" i="11" s="1"/>
  <c r="F6" i="1"/>
  <c r="E6" i="1"/>
  <c r="Q61" i="21"/>
  <c r="K59" i="21"/>
  <c r="J62" i="21"/>
  <c r="L7" i="1" l="1" a="1"/>
  <c r="L7" i="1" s="1"/>
  <c r="L6" i="1" s="1" a="1"/>
  <c r="L6" i="1" s="1"/>
  <c r="J7" i="1" a="1"/>
  <c r="J7" i="1" s="1"/>
  <c r="J6" i="1" s="1" a="1"/>
  <c r="J6" i="1" s="1"/>
  <c r="K7" i="1" a="1"/>
  <c r="K7" i="1" s="1"/>
  <c r="K6" i="1" s="1" a="1"/>
  <c r="K6" i="1" s="1"/>
  <c r="K60" i="21"/>
  <c r="K61" i="21"/>
  <c r="K62" i="21" s="1"/>
  <c r="R61" i="21"/>
  <c r="Q62" i="21"/>
  <c r="R62" i="21" s="1"/>
  <c r="BH51" i="6"/>
  <c r="H15" i="1" l="1"/>
  <c r="H7" i="1" s="1" a="1"/>
  <c r="H7" i="1" s="1"/>
  <c r="H6" i="1" s="1" a="1"/>
  <c r="H6" i="1" s="1"/>
  <c r="I15" i="1"/>
  <c r="I7" i="1" s="1" a="1"/>
  <c r="I7" i="1" s="1"/>
  <c r="I6" i="1" s="1" a="1"/>
  <c r="I6" i="1" s="1"/>
  <c r="G15"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@mtk_birdman</author>
    <author>沖本和貴</author>
  </authors>
  <commentList>
    <comment ref="I4" authorId="0"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AG4"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L21" authorId="1"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0"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D12"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G3" authorId="0" shapeId="0" xr:uid="{1E820009-CCEC-F748-A3CA-61D3DD05923C}">
      <text>
        <r>
          <rPr>
            <sz val="10"/>
            <color rgb="FF000000"/>
            <rFont val="Yu Gothic UI"/>
            <family val="3"/>
            <charset val="128"/>
          </rPr>
          <t>後縁から翼上面を通って前縁を回り、翼下面を通って再び後縁に戻る軌道を</t>
        </r>
        <r>
          <rPr>
            <sz val="10"/>
            <color rgb="FF000000"/>
            <rFont val="Yu Gothic UI"/>
            <family val="3"/>
            <charset val="128"/>
          </rPr>
          <t>-1~1</t>
        </r>
        <r>
          <rPr>
            <sz val="10"/>
            <color rgb="FF000000"/>
            <rFont val="Yu Gothic UI"/>
            <family val="3"/>
            <charset val="128"/>
          </rPr>
          <t>で表す。</t>
        </r>
        <r>
          <rPr>
            <sz val="10"/>
            <color rgb="FF000000"/>
            <rFont val="Yu Gothic UI"/>
            <family val="3"/>
            <charset val="128"/>
          </rPr>
          <t xml:space="preserve">
</t>
        </r>
        <r>
          <rPr>
            <sz val="10"/>
            <color rgb="FF000000"/>
            <rFont val="Yu Gothic UI"/>
            <family val="3"/>
            <charset val="128"/>
          </rPr>
          <t>例えば上面の</t>
        </r>
        <r>
          <rPr>
            <sz val="10"/>
            <color rgb="FF000000"/>
            <rFont val="Yu Gothic UI"/>
            <family val="3"/>
            <charset val="128"/>
          </rPr>
          <t>60%</t>
        </r>
        <r>
          <rPr>
            <sz val="10"/>
            <color rgb="FF000000"/>
            <rFont val="Yu Gothic UI"/>
            <family val="3"/>
            <charset val="128"/>
          </rPr>
          <t>位置は</t>
        </r>
        <r>
          <rPr>
            <sz val="10"/>
            <color rgb="FF000000"/>
            <rFont val="Yu Gothic UI"/>
            <family val="3"/>
            <charset val="128"/>
          </rPr>
          <t>-0.6</t>
        </r>
        <r>
          <rPr>
            <sz val="10"/>
            <color rgb="FF000000"/>
            <rFont val="Yu Gothic UI"/>
            <family val="3"/>
            <charset val="128"/>
          </rPr>
          <t>となる。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<sst xmlns="http://schemas.openxmlformats.org/spreadsheetml/2006/main" count="3145" uniqueCount="1325">
  <si>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</si>
  <si>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</si>
  <si>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</si>
  <si>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</si>
  <si>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</si>
  <si>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</si>
  <si>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</si>
  <si>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</si>
  <si>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</si>
  <si>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</si>
  <si>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</si>
  <si>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</si>
  <si>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</si>
  <si>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</si>
  <si>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</si>
  <si>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</si>
  <si>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</si>
  <si>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</si>
  <si>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</si>
  <si>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</si>
  <si>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</si>
  <si>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</si>
  <si>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</si>
  <si>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</si>
  <si>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</si>
  <si>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</si>
  <si>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</si>
  <si>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</si>
  <si>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</si>
  <si>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</si>
  <si>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</si>
  <si>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</si>
  <si>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</si>
  <si>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</si>
  <si>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</si>
  <si>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</si>
  <si>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</si>
  <si>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</si>
  <si>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</si>
  <si>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</si>
  <si>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</si>
  <si>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</si>
  <si>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</si>
  <si>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</si>
  <si>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</si>
  <si>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</si>
  <si>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</si>
  <si>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</si>
  <si>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</si>
  <si>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</si>
  <si>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</si>
  <si>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</si>
  <si>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</si>
  <si>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</si>
  <si>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</si>
  <si>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</si>
  <si>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</si>
  <si>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</si>
  <si>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</si>
  <si>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</si>
  <si>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</si>
  <si>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</si>
  <si>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</si>
  <si>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</si>
  <si>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</si>
  <si>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</si>
  <si>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</si>
  <si>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</si>
  <si>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</si>
  <si>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</si>
  <si>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</si>
  <si>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</si>
  <si>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</si>
  <si>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</si>
  <si>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</si>
  <si>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</si>
  <si>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</si>
  <si>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</si>
  <si>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</si>
  <si>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</si>
  <si>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</si>
  <si>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</si>
  <si>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</si>
  <si>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</si>
  <si>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</si>
  <si>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</si>
  <si>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</si>
  <si>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</si>
  <si>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</si>
  <si>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</si>
  <si>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</si>
  <si>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</si>
  <si>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</si>
  <si>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</si>
  <si>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</si>
  <si>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</si>
  <si>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</si>
  <si>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</si>
  <si>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</si>
  <si>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</si>
  <si>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</si>
  <si>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</si>
  <si>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</si>
  <si>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</si>
  <si>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</si>
  <si>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</si>
  <si>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</si>
  <si>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</si>
  <si>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</si>
  <si>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</si>
  <si>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</si>
  <si>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</si>
  <si>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</si>
  <si>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</si>
  <si>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</si>
  <si>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</si>
  <si>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</si>
  <si>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</si>
  <si>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</si>
  <si>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</si>
  <si>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</si>
  <si>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</si>
  <si>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</si>
  <si>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</si>
  <si>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</si>
  <si>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</si>
  <si>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</si>
  <si>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</si>
  <si>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</si>
  <si>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</si>
  <si>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</si>
  <si>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</si>
  <si>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</si>
  <si>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</si>
  <si>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計算条件</t>
    <rPh sb="0" eb="2">
      <t>ケイサン</t>
    </rPh>
    <rPh sb="2" eb="4">
      <t>ジョウケン</t>
    </rPh>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</si>
  <si>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</si>
  <si>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</si>
  <si>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</si>
  <si>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</si>
  <si>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</si>
  <si>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</si>
  <si>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エスレン</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</si>
  <si>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</si>
  <si>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</si>
  <si>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</si>
  <si>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</si>
  <si>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</si>
  <si>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せん断強度</t>
    <rPh sb="2" eb="3">
      <t>ダン</t>
    </rPh>
    <rPh sb="3" eb="5">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</si>
  <si>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</si>
  <si>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</si>
  <si>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</si>
  <si>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</si>
  <si>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</si>
  <si>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</si>
  <si>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</si>
  <si>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</si>
  <si>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</si>
  <si>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</si>
  <si>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</si>
  <si>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</si>
  <si>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</si>
  <si>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</si>
  <si>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</si>
  <si>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</si>
  <si>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</si>
  <si>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</si>
  <si>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</si>
  <si>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</si>
  <si>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</si>
  <si>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</si>
  <si>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</si>
  <si>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</si>
  <si>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</si>
  <si>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</si>
  <si>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</si>
  <si>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</si>
  <si>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</si>
  <si>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</si>
  <si>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</si>
  <si>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</si>
  <si>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</si>
  <si>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</si>
  <si>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</si>
  <si>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</si>
  <si>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</si>
  <si>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</si>
  <si>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</si>
  <si>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</si>
  <si>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</si>
  <si>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11"/>
  </si>
  <si>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</si>
  <si>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</si>
  <si>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</si>
  <si>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</si>
  <si>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</si>
  <si>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</si>
  <si>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</si>
  <si>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</si>
  <si>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</si>
  <si>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</si>
  <si>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</si>
  <si>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</si>
  <si>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</si>
  <si>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</si>
  <si>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</si>
  <si>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</si>
  <si>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</si>
  <si>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</si>
  <si>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</si>
  <si>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</si>
  <si>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</si>
  <si>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</si>
  <si>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</si>
  <si>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</si>
  <si>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</si>
  <si>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</si>
  <si>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</si>
  <si>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</si>
  <si>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</si>
  <si>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</si>
  <si>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</si>
  <si>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</si>
  <si>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11"/>
  </si>
  <si>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</si>
  <si>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</si>
  <si>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</si>
  <si>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</si>
  <si>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</si>
  <si>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</si>
  <si>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</si>
  <si>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</si>
  <si>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</si>
  <si>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</si>
  <si>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</si>
  <si>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</si>
  <si>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</si>
  <si>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</si>
  <si>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</si>
  <si>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</si>
  <si>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</si>
  <si>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</si>
  <si>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</si>
  <si>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11"/>
  </si>
  <si>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</si>
  <si>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</si>
  <si>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</si>
  <si>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</si>
  <si>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</si>
  <si>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</si>
  <si>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</si>
  <si>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</si>
  <si>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</si>
  <si>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</si>
  <si>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</si>
  <si>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</si>
  <si>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</si>
  <si>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</si>
  <si>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</si>
  <si>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11"/>
  </si>
  <si>
    <t>エレベータ</t>
  </si>
  <si>
    <t>ladder</t>
    <phoneticPr fontId="3"/>
  </si>
  <si>
    <t>ラダー</t>
    <phoneticPr fontId="3"/>
  </si>
  <si>
    <t>ラダー</t>
  </si>
  <si>
    <t>ラダー</t>
    <phoneticPr fontId="11"/>
  </si>
  <si>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</si>
  <si>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</si>
  <si>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</si>
  <si>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</si>
  <si>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</si>
  <si>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</si>
  <si>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</si>
  <si>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</si>
  <si>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</si>
  <si>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</si>
  <si>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</si>
  <si>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</si>
  <si>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</si>
  <si>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</si>
  <si>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</si>
  <si>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</si>
  <si>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</si>
  <si>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</si>
  <si>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</si>
  <si>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</si>
  <si>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</si>
  <si>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</si>
  <si>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</si>
  <si>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</si>
  <si>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</si>
  <si>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</si>
  <si>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</si>
  <si>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</si>
  <si>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</si>
  <si>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</si>
  <si>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</si>
  <si>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</si>
  <si>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</si>
  <si>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</si>
  <si>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</si>
  <si>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</si>
  <si>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</si>
  <si>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</si>
  <si>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</si>
  <si>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</si>
  <si>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</si>
  <si>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</si>
  <si>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</si>
  <si>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</si>
  <si>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</si>
  <si>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</si>
  <si>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</si>
  <si>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</si>
  <si>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</si>
  <si>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</si>
  <si>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</si>
  <si>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</si>
  <si>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</si>
  <si>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</si>
  <si>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</si>
  <si>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</si>
  <si>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</si>
  <si>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</si>
  <si>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</si>
  <si>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</si>
  <si>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</si>
  <si>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</si>
  <si>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</si>
  <si>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</si>
  <si>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</si>
  <si>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</si>
  <si>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</si>
  <si>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</si>
  <si>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</si>
  <si>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</si>
  <si>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</si>
  <si>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</si>
  <si>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</si>
  <si>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</si>
  <si>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</si>
  <si>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</si>
  <si>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</si>
  <si>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</si>
  <si>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</si>
  <si>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</si>
  <si>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</si>
  <si>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</si>
  <si>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</si>
  <si>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</si>
  <si>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</si>
  <si>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</si>
  <si>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</si>
  <si>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</si>
  <si>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</si>
  <si>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</si>
  <si>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</si>
  <si>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</si>
  <si>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</si>
  <si>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</si>
  <si>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</si>
  <si>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</si>
  <si>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</si>
  <si>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</si>
  <si>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</si>
  <si>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</si>
  <si>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</si>
  <si>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</si>
  <si>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</si>
  <si>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</si>
  <si>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</si>
  <si>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</si>
  <si>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</si>
  <si>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</si>
  <si>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</si>
  <si>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</si>
  <si>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</si>
  <si>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</si>
  <si>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</si>
  <si>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</si>
  <si>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</si>
  <si>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</si>
  <si>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</si>
  <si>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</si>
  <si>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</si>
  <si>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</si>
  <si>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</si>
  <si>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</si>
  <si>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</si>
  <si>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</si>
  <si>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</si>
  <si>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</si>
  <si>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</si>
  <si>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</si>
  <si>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</si>
  <si>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</si>
  <si>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</si>
  <si>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</si>
  <si>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</si>
  <si>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</si>
  <si>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</si>
  <si>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</si>
  <si>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</si>
  <si>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</si>
  <si>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</si>
  <si>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</si>
  <si>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</si>
  <si>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</si>
  <si>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</si>
  <si>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</si>
  <si>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</si>
  <si>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t>
    <phoneticPr fontId="3"/>
  </si>
  <si>
    <t>機体重量</t>
    <rPh sb="0" eb="2">
      <t>キタイ</t>
    </rPh>
    <rPh sb="2" eb="4">
      <t>ジュウリョウ</t>
    </rPh>
    <phoneticPr fontId="3"/>
  </si>
  <si>
    <t>α_stall</t>
    <phoneticPr fontId="3"/>
  </si>
  <si>
    <t>設計運動速度</t>
    <rPh sb="0" eb="2">
      <t>セッケイ</t>
    </rPh>
    <rPh sb="2" eb="4">
      <t>ウンドウ</t>
    </rPh>
    <rPh sb="4" eb="6">
      <t>ソクド</t>
    </rPh>
    <phoneticPr fontId="3"/>
  </si>
  <si>
    <t>Va</t>
    <phoneticPr fontId="3"/>
  </si>
  <si>
    <t>パイロット重量(服，靴，ヘルメットを含む）</t>
    <rPh sb="5" eb="7">
      <t>ジュウリョウ</t>
    </rPh>
    <rPh sb="8" eb="9">
      <t>フク</t>
    </rPh>
    <rPh sb="10" eb="11">
      <t>クツ</t>
    </rPh>
    <rPh sb="18" eb="19">
      <t>フク</t>
    </rPh>
    <phoneticPr fontId="3"/>
  </si>
  <si>
    <t>α_0</t>
    <phoneticPr fontId="3"/>
  </si>
  <si>
    <t>失速速度</t>
    <rPh sb="0" eb="2">
      <t>シッソク</t>
    </rPh>
    <rPh sb="2" eb="4">
      <t>ソクド</t>
    </rPh>
    <phoneticPr fontId="3"/>
  </si>
  <si>
    <t>Vs</t>
    <phoneticPr fontId="3"/>
  </si>
  <si>
    <t>最大速度</t>
    <rPh sb="0" eb="2">
      <t>サイダイ</t>
    </rPh>
    <rPh sb="2" eb="4">
      <t>ソクド</t>
    </rPh>
    <phoneticPr fontId="3"/>
  </si>
  <si>
    <t>Vd</t>
    <phoneticPr fontId="3"/>
  </si>
  <si>
    <t>W</t>
    <phoneticPr fontId="3"/>
  </si>
  <si>
    <t>N</t>
    <phoneticPr fontId="3"/>
  </si>
  <si>
    <t>抗力最小速度</t>
    <rPh sb="0" eb="2">
      <t>コウリョク</t>
    </rPh>
    <rPh sb="2" eb="4">
      <t>サイショウ</t>
    </rPh>
    <rPh sb="4" eb="6">
      <t>ソクド</t>
    </rPh>
    <phoneticPr fontId="3"/>
  </si>
  <si>
    <t>V_Dmin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</si>
  <si>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</si>
  <si>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</si>
  <si>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</si>
  <si>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</si>
  <si>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</si>
  <si>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</si>
  <si>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</si>
  <si>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</si>
  <si>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</si>
  <si>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</si>
  <si>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</si>
  <si>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</si>
  <si>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</si>
  <si>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</si>
  <si>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</si>
  <si>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</si>
  <si>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</si>
  <si>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</si>
  <si>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</si>
  <si>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</si>
  <si>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</si>
  <si>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N/m^2</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</si>
  <si>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</si>
  <si>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</si>
  <si>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</si>
  <si>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</si>
  <si>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</si>
  <si>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</si>
  <si>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</si>
  <si>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</si>
  <si>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</si>
  <si>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</si>
  <si>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</si>
  <si>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</si>
  <si>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</si>
  <si>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</si>
  <si>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</si>
  <si>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</si>
  <si>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</si>
  <si>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</si>
  <si>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</si>
  <si>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</si>
  <si>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</si>
  <si>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</si>
  <si>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</si>
  <si>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</si>
  <si>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</si>
  <si>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</si>
  <si>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</si>
  <si>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</si>
  <si>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</si>
  <si>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</si>
  <si>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</si>
  <si>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</si>
  <si>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</si>
  <si>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</si>
  <si>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</si>
  <si>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重心移動距離</t>
    <rPh sb="0" eb="2">
      <t>ジュウシン</t>
    </rPh>
    <rPh sb="2" eb="4">
      <t>イドウ</t>
    </rPh>
    <rPh sb="4" eb="6">
      <t>キョリ</t>
    </rPh>
    <phoneticPr fontId="3"/>
  </si>
  <si>
    <t>dh</t>
    <phoneticPr fontId="3"/>
  </si>
  <si>
    <t>Zcg</t>
    <phoneticPr fontId="3"/>
  </si>
  <si>
    <t>エレベータ舵角</t>
    <rPh sb="5" eb="7">
      <t>ダカク</t>
    </rPh>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</si>
  <si>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</si>
  <si>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</si>
  <si>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</si>
  <si>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</si>
  <si>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</si>
  <si>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</si>
  <si>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</si>
  <si>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</si>
  <si>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</si>
  <si>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</si>
  <si>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</si>
  <si>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</si>
  <si>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</si>
  <si>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</si>
  <si>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</si>
  <si>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</si>
  <si>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</si>
  <si>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</si>
  <si>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</si>
  <si>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</si>
  <si>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</si>
  <si>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</si>
  <si>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</si>
  <si>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</si>
  <si>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</si>
  <si>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</si>
  <si>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</si>
  <si>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</si>
  <si>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</si>
  <si>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</si>
  <si>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</si>
  <si>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</si>
  <si>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</si>
  <si>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</si>
  <si>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</si>
  <si>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</si>
  <si>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</si>
  <si>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</si>
  <si>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</si>
  <si>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</si>
  <si>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</si>
  <si>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</si>
  <si>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</si>
  <si>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</si>
  <si>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</si>
  <si>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</si>
  <si>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</si>
  <si>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</si>
  <si>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</si>
  <si>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</si>
  <si>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</si>
  <si>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</si>
  <si>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</si>
  <si>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</si>
  <si>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</si>
  <si>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</si>
  <si>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</si>
  <si>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</si>
  <si>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</si>
  <si>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</si>
  <si>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</si>
  <si>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</si>
  <si>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</si>
  <si>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</si>
  <si>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</si>
  <si>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</si>
  <si>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</si>
  <si>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</si>
  <si>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</si>
  <si>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</si>
  <si>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</si>
  <si>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</si>
  <si>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</si>
  <si>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</si>
  <si>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主要諸元</t>
    <rPh sb="0" eb="4">
      <t>シュヨウショゲン</t>
    </rPh>
    <phoneticPr fontId="3"/>
  </si>
  <si>
    <t>項目</t>
    <rPh sb="0" eb="1">
      <t>コウ</t>
    </rPh>
    <rPh sb="1" eb="2">
      <t>モク</t>
    </rPh>
    <phoneticPr fontId="3"/>
  </si>
  <si>
    <t>揚抗比</t>
    <rPh sb="0" eb="3">
      <t>ヨウコウヒ</t>
    </rPh>
    <phoneticPr fontId="3"/>
  </si>
  <si>
    <t>空気力</t>
    <rPh sb="0" eb="3">
      <t>クウキリョク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</si>
  <si>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</si>
  <si>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</si>
  <si>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</si>
  <si>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</si>
  <si>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</si>
  <si>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</si>
  <si>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パイロット重量（服、靴、ヘルメットを含む）</t>
    <rPh sb="5" eb="7">
      <t>ジュウリョウ</t>
    </rPh>
    <rPh sb="8" eb="9">
      <t>フク</t>
    </rPh>
    <rPh sb="10" eb="11">
      <t>クツ</t>
    </rPh>
    <rPh sb="18" eb="19">
      <t>フク</t>
    </rPh>
    <phoneticPr fontId="3"/>
  </si>
  <si>
    <t>AR</t>
    <phoneticPr fontId="3"/>
  </si>
  <si>
    <t>c_</t>
    <phoneticPr fontId="3"/>
  </si>
  <si>
    <t>kgf/m^2</t>
    <phoneticPr fontId="3"/>
  </si>
  <si>
    <t>全機重心位置</t>
    <rPh sb="0" eb="2">
      <t>ゼンキ</t>
    </rPh>
    <rPh sb="2" eb="6">
      <t>ジュウシンイチ</t>
    </rPh>
    <phoneticPr fontId="3"/>
  </si>
  <si>
    <t>水平尾翼面積</t>
    <rPh sb="0" eb="4">
      <t>スイヘイビヨク</t>
    </rPh>
    <rPh sb="4" eb="6">
      <t>メンセキ</t>
    </rPh>
    <phoneticPr fontId="3"/>
  </si>
  <si>
    <t>水平尾翼容積比</t>
    <rPh sb="0" eb="4">
      <t>スイヘイビヨク</t>
    </rPh>
    <rPh sb="4" eb="7">
      <t>ヨウセキヒ</t>
    </rPh>
    <phoneticPr fontId="3"/>
  </si>
  <si>
    <t>垂直尾翼面積</t>
    <rPh sb="0" eb="4">
      <t>スイチョクビヨク</t>
    </rPh>
    <rPh sb="4" eb="6">
      <t>メンセキ</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</si>
  <si>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</si>
  <si>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</si>
  <si>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</si>
  <si>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</si>
  <si>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</si>
  <si>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</si>
  <si>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設計コンセプト</t>
    <rPh sb="0" eb="2">
      <t>セッケイ</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</si>
  <si>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</si>
  <si>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</si>
  <si>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</si>
  <si>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</si>
  <si>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</si>
  <si>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</si>
  <si>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全機迎角</t>
    <rPh sb="0" eb="4">
      <t>ゼンキゲイカク</t>
    </rPh>
    <phoneticPr fontId="2"/>
  </si>
  <si>
    <t>失速角</t>
    <rPh sb="0" eb="2">
      <t>シッソク</t>
    </rPh>
    <rPh sb="2" eb="3">
      <t>カク</t>
    </rPh>
    <phoneticPr fontId="2"/>
  </si>
  <si>
    <t>ゼロ揚力角</t>
    <rPh sb="2" eb="5">
      <t>ヨウリョクカク</t>
    </rPh>
    <phoneticPr fontId="2"/>
  </si>
  <si>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</si>
  <si>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</si>
  <si>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</si>
  <si>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</si>
  <si>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</si>
  <si>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</si>
  <si>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</si>
  <si>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</si>
  <si>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</si>
  <si>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</si>
  <si>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</si>
  <si>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</si>
  <si>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</si>
  <si>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</si>
  <si>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</si>
  <si>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</si>
  <si>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</si>
  <si>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</si>
  <si>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</si>
  <si>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</si>
  <si>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</si>
  <si>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</si>
  <si>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</si>
  <si>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</si>
  <si>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重量・重心位置・慣性モーメント</t>
    <rPh sb="0" eb="2">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</si>
  <si>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</si>
  <si>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</si>
  <si>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無次元化用面積</t>
    <rPh sb="0" eb="4">
      <t>ムジゲンカ</t>
    </rPh>
    <rPh sb="4" eb="5">
      <t>ヨウ</t>
    </rPh>
    <rPh sb="5" eb="7">
      <t>メンセキ</t>
    </rPh>
    <phoneticPr fontId="3"/>
  </si>
  <si>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</si>
  <si>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</si>
  <si>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</si>
  <si>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</si>
  <si>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</si>
  <si>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</si>
  <si>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</si>
  <si>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</si>
  <si>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</si>
  <si>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</si>
  <si>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</si>
  <si>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</si>
  <si>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</si>
  <si>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</si>
  <si>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</si>
  <si>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</si>
  <si>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</si>
  <si>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</si>
  <si>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</si>
  <si>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</si>
  <si>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</si>
  <si>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</si>
  <si>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</si>
  <si>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</si>
  <si>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</si>
  <si>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</si>
  <si>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</si>
  <si>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</si>
  <si>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</si>
  <si>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</si>
  <si>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</si>
  <si>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</si>
  <si>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</si>
  <si>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</si>
  <si>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</si>
  <si>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</si>
  <si>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</si>
  <si>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</si>
  <si>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</si>
  <si>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</si>
  <si>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</si>
  <si>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</si>
  <si>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全機重心位置・慣性モーメント</t>
    <rPh sb="0" eb="2">
      <t>ゼンキ</t>
    </rPh>
    <rPh sb="2" eb="6">
      <t>ジュウシンイチ</t>
    </rPh>
    <rPh sb="7" eb="9">
      <t>カンセイ</t>
    </rPh>
    <phoneticPr fontId="3"/>
  </si>
  <si>
    <t>機体内訳</t>
    <rPh sb="0" eb="2">
      <t>キタイ</t>
    </rPh>
    <rPh sb="2" eb="4">
      <t>ウチワケ</t>
    </rPh>
    <phoneticPr fontId="3"/>
  </si>
  <si>
    <t>リブ番号</t>
  </si>
  <si>
    <t>コード長</t>
  </si>
  <si>
    <t>cn</t>
  </si>
  <si>
    <t>尾翼諸元</t>
    <rPh sb="0" eb="4">
      <t>ビヨクス</t>
    </rPh>
    <phoneticPr fontId="3"/>
  </si>
  <si>
    <t>ポーラーカーブ</t>
    <phoneticPr fontId="3"/>
  </si>
  <si>
    <t>極配置</t>
    <rPh sb="0" eb="3">
      <t>キョクハイチ</t>
    </rPh>
    <phoneticPr fontId="3"/>
  </si>
  <si>
    <t>飛行経路最適化</t>
    <rPh sb="0" eb="4">
      <t>ヒコウケイロ</t>
    </rPh>
    <rPh sb="4" eb="7">
      <t>サイテキカ</t>
    </rPh>
    <phoneticPr fontId="3"/>
  </si>
  <si>
    <t>機速</t>
    <rPh sb="0" eb="1">
      <t>キ</t>
    </rPh>
    <rPh sb="1" eb="2">
      <t>ソク</t>
    </rPh>
    <phoneticPr fontId="3"/>
  </si>
  <si>
    <t>全機重量</t>
    <rPh sb="0" eb="2">
      <t>ゼンキ</t>
    </rPh>
    <rPh sb="2" eb="4">
      <t>ジュウリョウ</t>
    </rPh>
    <phoneticPr fontId="3"/>
  </si>
  <si>
    <t>揚力係数</t>
    <rPh sb="0" eb="4">
      <t>ヨウリョクケイスウ</t>
    </rPh>
    <phoneticPr fontId="3"/>
  </si>
  <si>
    <t>NACA0009</t>
  </si>
  <si>
    <t>安定微係数</t>
    <rPh sb="0" eb="5">
      <t>アンテイビケイスウ</t>
    </rPh>
    <phoneticPr fontId="3"/>
  </si>
  <si>
    <t>重量分布</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</si>
  <si>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</si>
  <si>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</si>
  <si>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</si>
  <si>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</si>
  <si>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</si>
  <si>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</si>
  <si>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</si>
  <si>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</si>
  <si>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</si>
  <si>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</si>
  <si>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</si>
  <si>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</si>
  <si>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</si>
  <si>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</si>
  <si>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</si>
  <si>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</si>
  <si>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</si>
  <si>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</si>
  <si>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</si>
  <si>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</si>
  <si>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</si>
  <si>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</si>
  <si>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</si>
  <si>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</si>
  <si>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</si>
  <si>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</si>
  <si>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</si>
  <si>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</si>
  <si>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</si>
  <si>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</si>
  <si>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</si>
  <si>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</si>
  <si>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</si>
  <si>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</si>
  <si>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</si>
  <si>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</si>
  <si>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</si>
  <si>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</si>
  <si>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</si>
  <si>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</si>
  <si>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</si>
  <si>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</si>
  <si>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</si>
  <si>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</si>
  <si>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</si>
  <si>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</si>
  <si>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</si>
  <si>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</si>
  <si>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</si>
  <si>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</si>
  <si>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</si>
  <si>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</si>
  <si>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</si>
  <si>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</si>
  <si>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</si>
  <si>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</si>
  <si>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</si>
  <si>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</si>
  <si>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</si>
  <si>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</si>
  <si>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</si>
  <si>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</si>
  <si>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</si>
  <si>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</si>
  <si>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</si>
  <si>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</si>
  <si>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</si>
  <si>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</si>
  <si>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</si>
  <si>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</si>
  <si>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</si>
  <si>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</si>
  <si>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</si>
  <si>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</si>
  <si>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</si>
  <si>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</si>
  <si>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</si>
  <si>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</si>
  <si>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</si>
  <si>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</si>
  <si>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</si>
  <si>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</si>
  <si>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</si>
  <si>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</si>
  <si>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</si>
  <si>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</si>
  <si>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</si>
  <si>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</si>
  <si>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</si>
  <si>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</si>
  <si>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</si>
  <si>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</si>
  <si>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</si>
  <si>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</si>
  <si>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</si>
  <si>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</si>
  <si>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</si>
  <si>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</si>
  <si>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</si>
  <si>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</si>
  <si>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</si>
  <si>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</si>
  <si>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</si>
  <si>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</si>
  <si>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</si>
  <si>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</si>
  <si>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</si>
  <si>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</si>
  <si>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</si>
  <si>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</si>
  <si>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</si>
  <si>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</si>
  <si>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</si>
  <si>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</si>
  <si>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</si>
  <si>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</si>
  <si>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</si>
  <si>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</si>
  <si>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</si>
  <si>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</si>
  <si>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</si>
  <si>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</si>
  <si>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</si>
  <si>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</si>
  <si>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</si>
  <si>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</si>
  <si>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</si>
  <si>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</si>
  <si>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</si>
  <si>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</si>
  <si>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</si>
  <si>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</si>
  <si>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</si>
  <si>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</si>
  <si>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</si>
  <si>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</si>
  <si>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</si>
  <si>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</si>
  <si>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</si>
  <si>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</si>
  <si>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</si>
  <si>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</si>
  <si>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</si>
  <si>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</si>
  <si>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</si>
  <si>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</si>
  <si>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</si>
  <si>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</si>
  <si>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</si>
  <si>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</si>
  <si>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</si>
  <si>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</si>
  <si>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</si>
  <si>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</si>
  <si>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</si>
  <si>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</si>
  <si>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</si>
  <si>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</si>
  <si>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</si>
  <si>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</si>
  <si>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</si>
  <si>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</si>
  <si>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</si>
  <si>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</si>
  <si>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</si>
  <si>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</si>
  <si>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</si>
  <si>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</si>
  <si>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</si>
  <si>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</si>
  <si>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</si>
  <si>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</si>
  <si>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</si>
  <si>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</si>
  <si>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</si>
  <si>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</si>
  <si>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</si>
  <si>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</si>
  <si>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</si>
  <si>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</si>
  <si>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</si>
  <si>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</si>
  <si>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</si>
  <si>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</si>
  <si>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</si>
  <si>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</si>
  <si>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</si>
  <si>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</si>
  <si>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</si>
  <si>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</si>
  <si>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</si>
  <si>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</si>
  <si>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</si>
  <si>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</si>
  <si>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</si>
  <si>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</si>
  <si>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</si>
  <si>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</si>
  <si>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</si>
  <si>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</si>
  <si>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</si>
  <si>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</si>
  <si>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</si>
  <si>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</si>
  <si>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</si>
  <si>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</si>
  <si>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</si>
  <si>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</si>
  <si>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</si>
  <si>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</si>
  <si>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</si>
  <si>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</si>
  <si>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</si>
  <si>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</si>
  <si>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</si>
  <si>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</si>
  <si>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</si>
  <si>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</si>
  <si>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</si>
  <si>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</si>
  <si>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</si>
  <si>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</si>
  <si>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</si>
  <si>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</si>
  <si>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</si>
  <si>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</si>
  <si>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</si>
  <si>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</si>
  <si>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</si>
  <si>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</si>
  <si>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</si>
  <si>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</si>
  <si>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</si>
  <si>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</si>
  <si>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</si>
  <si>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</si>
  <si>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</si>
  <si>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</si>
  <si>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</si>
  <si>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</si>
  <si>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</si>
  <si>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</si>
  <si>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</si>
  <si>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</si>
  <si>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</si>
  <si>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厚さマージン</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</si>
  <si>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</si>
  <si>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</si>
  <si>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</si>
  <si>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</si>
  <si>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</si>
  <si>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</si>
  <si>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</si>
  <si>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</si>
  <si>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</si>
  <si>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</si>
  <si>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</si>
  <si>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</si>
  <si>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</si>
  <si>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</si>
  <si>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</si>
  <si>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安定板詳細</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</si>
  <si>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</si>
  <si>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</si>
  <si>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</si>
  <si>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</si>
  <si>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</si>
  <si>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</si>
  <si>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</si>
  <si>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</si>
  <si>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mm/m</t>
    <phoneticPr fontId="3"/>
  </si>
  <si>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</si>
  <si>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</si>
  <si>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</si>
  <si>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</si>
  <si>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</si>
  <si>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</si>
  <si>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</si>
  <si>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</si>
  <si>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</si>
  <si>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</si>
  <si>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</si>
  <si>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</si>
  <si>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</si>
  <si>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</si>
  <si>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</si>
  <si>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</si>
  <si>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</si>
  <si>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</si>
  <si>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</si>
  <si>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</si>
  <si>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</si>
  <si>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</si>
  <si>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</si>
  <si>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</si>
  <si>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</si>
  <si>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</si>
  <si>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</si>
  <si>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</si>
  <si>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</si>
  <si>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</si>
  <si>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</si>
  <si>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</si>
  <si>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</si>
  <si>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</si>
  <si>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</si>
  <si>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</si>
  <si>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</si>
  <si>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</si>
  <si>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</si>
  <si>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</si>
  <si>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</si>
  <si>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</si>
  <si>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</si>
  <si>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</si>
  <si>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</si>
  <si>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</si>
  <si>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</si>
  <si>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</si>
  <si>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</si>
  <si>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</si>
  <si>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</si>
  <si>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</si>
  <si>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</si>
  <si>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</si>
  <si>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</si>
  <si>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</si>
  <si>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</si>
  <si>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</si>
  <si>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</si>
  <si>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</si>
  <si>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</si>
  <si>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</si>
  <si>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</si>
  <si>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</si>
  <si>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</si>
  <si>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</si>
  <si>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</si>
  <si>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</si>
  <si>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</si>
  <si>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</si>
  <si>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</si>
  <si>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</si>
  <si>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</si>
  <si>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水平</t>
    <phoneticPr fontId="3"/>
  </si>
  <si>
    <t>垂直</t>
    <phoneticPr fontId="3"/>
  </si>
  <si>
    <t>上脚</t>
    <phoneticPr fontId="3"/>
  </si>
  <si>
    <t>下脚</t>
    <phoneticPr fontId="3"/>
  </si>
  <si>
    <t>胴接</t>
    <phoneticPr fontId="3"/>
  </si>
  <si>
    <t>横</t>
    <phoneticPr fontId="3"/>
  </si>
  <si>
    <t>T字</t>
    <phoneticPr fontId="3"/>
  </si>
  <si>
    <t>端リブ</t>
    <phoneticPr fontId="3"/>
  </si>
  <si>
    <t>mm</t>
    <phoneticPr fontId="3"/>
  </si>
  <si>
    <t>厚さ</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</si>
  <si>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</si>
  <si>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</si>
  <si>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</si>
  <si>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</si>
  <si>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</si>
  <si>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全周厚さ</t>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</si>
  <si>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</si>
  <si>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</si>
  <si>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</si>
  <si>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</si>
  <si>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</si>
  <si>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</si>
  <si>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</si>
  <si>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</si>
  <si>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</si>
  <si>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</si>
  <si>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</si>
  <si>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</si>
  <si>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</si>
  <si>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</si>
  <si>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</si>
  <si>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</si>
  <si>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</si>
  <si>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</si>
  <si>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</si>
  <si>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</si>
  <si>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</si>
  <si>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</si>
  <si>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</si>
  <si>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</si>
  <si>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</si>
  <si>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</si>
  <si>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</si>
  <si>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</si>
  <si>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</si>
  <si>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</si>
  <si>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</si>
  <si>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</si>
  <si>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10mmスタイロ</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</si>
  <si>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</si>
  <si>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</si>
  <si>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</si>
  <si>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</si>
  <si>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</si>
  <si>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</si>
  <si>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</si>
  <si>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</si>
  <si>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</si>
  <si>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</si>
  <si>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</si>
  <si>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</si>
  <si>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</si>
  <si>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</si>
  <si>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</si>
  <si>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</si>
  <si>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</si>
  <si>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</si>
  <si>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</si>
  <si>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</si>
  <si>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https://www.b-cep.org/image/plastic/a.pdf</t>
    <phoneticPr fontId="3"/>
  </si>
  <si>
    <t>剪断弾性率</t>
    <rPh sb="0" eb="2">
      <t>センダn</t>
    </rPh>
    <rPh sb="2" eb="4">
      <t>👨‍🦱</t>
    </rPh>
    <rPh sb="4" eb="5">
      <t>リツ</t>
    </rPh>
    <phoneticPr fontId="3"/>
  </si>
  <si>
    <t>弾性率</t>
    <rPh sb="0" eb="2">
      <t>ダンセイ</t>
    </rPh>
    <rPh sb="2" eb="3">
      <t>リツ</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</si>
  <si>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</si>
  <si>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</si>
  <si>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</si>
  <si>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</si>
  <si>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</si>
  <si>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</si>
  <si>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</si>
  <si>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</si>
  <si>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</si>
  <si>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</si>
  <si>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</si>
  <si>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</si>
  <si>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</si>
  <si>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</si>
  <si>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</si>
  <si>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</si>
  <si>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</si>
  <si>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</si>
  <si>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</si>
  <si>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</si>
  <si>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</si>
  <si>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</si>
  <si>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</si>
  <si>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</si>
  <si>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</si>
  <si>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</si>
  <si>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</si>
  <si>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</si>
  <si>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</si>
  <si>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</si>
  <si>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</si>
  <si>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</si>
  <si>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</si>
  <si>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</si>
  <si>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</si>
  <si>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</si>
  <si>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</si>
  <si>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</si>
  <si>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</si>
  <si>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</si>
  <si>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CFRP密度</t>
    <rPh sb="4" eb="6">
      <t>ミツド</t>
    </rPh>
    <phoneticPr fontId="3"/>
  </si>
  <si>
    <t>3番端</t>
    <rPh sb="0" eb="2">
      <t>バn</t>
    </rPh>
    <phoneticPr fontId="3"/>
  </si>
  <si>
    <t>リブ開始位置</t>
    <rPh sb="2" eb="4">
      <t>カイセィ</t>
    </rPh>
    <rPh sb="4" eb="6">
      <t>イティ</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</si>
  <si>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</si>
  <si>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</si>
  <si>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</si>
  <si>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</si>
  <si>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</si>
  <si>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</si>
  <si>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</si>
  <si>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</si>
  <si>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</si>
  <si>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</si>
  <si>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</si>
  <si>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</si>
  <si>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</si>
  <si>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</si>
  <si>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</si>
  <si>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</si>
  <si>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</si>
  <si>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</si>
  <si>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</si>
  <si>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</si>
  <si>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</si>
  <si>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</si>
  <si>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</si>
  <si>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後縁角</t>
    <rPh sb="0" eb="2">
      <t>コウエn</t>
    </rPh>
    <rPh sb="2" eb="3">
      <t xml:space="preserve">カク </t>
    </rPh>
    <phoneticPr fontId="2"/>
  </si>
  <si>
    <t>deg</t>
    <phoneticPr fontId="1"/>
  </si>
  <si>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</si>
  <si>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</si>
  <si>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</si>
  <si>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m^3</t>
  </si>
  <si>
    <t>変形後面積</t>
    <rPh sb="0" eb="2">
      <t>ヘンケイ</t>
    </rPh>
    <rPh sb="2" eb="3">
      <t>g</t>
    </rPh>
    <rPh sb="3" eb="5">
      <t>シュヨクメンセキ</t>
    </rPh>
    <phoneticPr fontId="3"/>
  </si>
  <si>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</si>
  <si>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</si>
  <si>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</si>
  <si>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</si>
  <si>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</si>
  <si>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</si>
  <si>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</si>
  <si>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</si>
  <si>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</si>
  <si>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</si>
  <si>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</si>
  <si>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</si>
  <si>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</si>
  <si>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</si>
  <si>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</si>
  <si>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</si>
  <si>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重ねしろ係数</t>
    <rPh sb="0" eb="1">
      <t>カサネ</t>
    </rPh>
    <rPh sb="4" eb="6">
      <t>ケイスウ</t>
    </rPh>
    <phoneticPr fontId="3"/>
  </si>
  <si>
    <t>0-1接合</t>
    <rPh sb="3" eb="5">
      <t>セテゥ</t>
    </rPh>
    <phoneticPr fontId="3"/>
  </si>
  <si>
    <t>1-2接合</t>
    <phoneticPr fontId="3"/>
  </si>
  <si>
    <t>2-3接合</t>
    <rPh sb="3" eb="5">
      <t>セテゥ</t>
    </rPh>
    <phoneticPr fontId="3"/>
  </si>
  <si>
    <t>挿ししろ長さ</t>
    <rPh sb="0" eb="1">
      <t>サシシロ</t>
    </rPh>
    <rPh sb="4" eb="5">
      <t>ナガサ</t>
    </rPh>
    <phoneticPr fontId="3"/>
  </si>
  <si>
    <t>接合部</t>
    <rPh sb="0" eb="2">
      <t>セツゴウ</t>
    </rPh>
    <rPh sb="2" eb="3">
      <t>b</t>
    </rPh>
    <phoneticPr fontId="3"/>
  </si>
  <si>
    <t>バブルス質量</t>
    <rPh sb="4" eb="6">
      <t>シツリョウ</t>
    </rPh>
    <phoneticPr fontId="3"/>
  </si>
  <si>
    <t>強化積層長さ</t>
    <rPh sb="0" eb="4">
      <t>キョウカセ</t>
    </rPh>
    <rPh sb="4" eb="5">
      <t>ナガサ</t>
    </rPh>
    <phoneticPr fontId="3"/>
  </si>
  <si>
    <t>強化積層数</t>
    <rPh sb="0" eb="2">
      <t>キョウ</t>
    </rPh>
    <rPh sb="4" eb="5">
      <t>スウ</t>
    </rPh>
    <phoneticPr fontId="3"/>
  </si>
  <si>
    <t>焼き後推算重量</t>
    <rPh sb="3" eb="5">
      <t>スイサn</t>
    </rPh>
    <phoneticPr fontId="3"/>
  </si>
  <si>
    <t>直径</t>
    <rPh sb="0" eb="2">
      <t>チョッケイ</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</si>
  <si>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</si>
  <si>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</si>
  <si>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</si>
  <si>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</si>
  <si>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</si>
  <si>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曲げモーメントの制限</t>
    <rPh sb="0" eb="1">
      <t>マ</t>
    </rPh>
    <rPh sb="8" eb="10">
      <t>セイゲン</t>
    </rPh>
    <phoneticPr fontId="3"/>
  </si>
  <si>
    <t>翼根曲げモーメントの制約</t>
    <rPh sb="0" eb="1">
      <t>ヨク</t>
    </rPh>
    <rPh sb="1" eb="2">
      <t>コン</t>
    </rPh>
    <rPh sb="2" eb="3">
      <t>マ</t>
    </rPh>
    <rPh sb="10" eb="12">
      <t>セイヤク</t>
    </rPh>
    <phoneticPr fontId="3"/>
  </si>
  <si>
    <t>TR797</t>
    <phoneticPr fontId="3"/>
  </si>
  <si>
    <t>手法</t>
    <rPh sb="0" eb="2">
      <t>シュホウ</t>
    </rPh>
    <phoneticPr fontId="3"/>
  </si>
  <si>
    <t>翼面荷重</t>
    <rPh sb="0" eb="4">
      <t>ヨクメn</t>
    </rPh>
    <phoneticPr fontId="3"/>
  </si>
  <si>
    <t>簡易計算ツール</t>
    <rPh sb="0" eb="2">
      <t>カンイ</t>
    </rPh>
    <rPh sb="2" eb="4">
      <t>ケイサn</t>
    </rPh>
    <phoneticPr fontId="3"/>
  </si>
  <si>
    <t>二次構造</t>
    <rPh sb="0" eb="2">
      <t>ニジ</t>
    </rPh>
    <rPh sb="2" eb="4">
      <t>コウゾウ</t>
    </rPh>
    <phoneticPr fontId="2"/>
  </si>
  <si>
    <t>優先事項</t>
    <rPh sb="0" eb="4">
      <t>ユウセn</t>
    </rPh>
    <phoneticPr fontId="3"/>
  </si>
  <si>
    <t>0,0,90,0,0</t>
    <phoneticPr fontId="3"/>
  </si>
  <si>
    <t>i</t>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</si>
  <si>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</si>
  <si>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</si>
  <si>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</si>
  <si>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</si>
  <si>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</si>
  <si>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</si>
  <si>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</si>
  <si>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</si>
  <si>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</si>
  <si>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</si>
  <si>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</si>
  <si>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</si>
  <si>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</si>
  <si>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</si>
  <si>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</si>
  <si>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</si>
  <si>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</si>
  <si>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</si>
  <si>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ターンバックル</t>
    <phoneticPr fontId="3"/>
  </si>
  <si>
    <t>推算内訳アリ</t>
    <rPh sb="0" eb="2">
      <t>スイサn</t>
    </rPh>
    <rPh sb="2" eb="4">
      <t>ウチワケ</t>
    </rPh>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</si>
  <si>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</si>
  <si>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</si>
  <si>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</si>
  <si>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</si>
  <si>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</si>
  <si>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</si>
  <si>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</si>
  <si>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</si>
  <si>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</si>
  <si>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</si>
  <si>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</si>
  <si>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</si>
  <si>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</si>
  <si>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</si>
  <si>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</si>
  <si>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</si>
  <si>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</si>
  <si>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</si>
  <si>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</si>
  <si>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安定板終了</t>
    <rPh sb="0" eb="3">
      <t>アンテイバン</t>
    </rPh>
    <rPh sb="3" eb="5">
      <t>シュウリョウ</t>
    </rPh>
    <phoneticPr fontId="3"/>
  </si>
  <si>
    <t>安定板開始</t>
    <rPh sb="0" eb="3">
      <t>アンテイ</t>
    </rPh>
    <rPh sb="3" eb="5">
      <t xml:space="preserve">カイシ </t>
    </rPh>
    <phoneticPr fontId="3"/>
  </si>
  <si>
    <t>胴体終了</t>
    <rPh sb="0" eb="2">
      <t>ドウタイ</t>
    </rPh>
    <rPh sb="2" eb="4">
      <t>シュウリョウ</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</si>
  <si>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</si>
  <si>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</si>
  <si>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</si>
  <si>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誤差</t>
    <rPh sb="0" eb="2">
      <t xml:space="preserve">ゴサ </t>
    </rPh>
    <phoneticPr fontId="3"/>
  </si>
  <si>
    <t>巡航速度</t>
    <rPh sb="0" eb="4">
      <t>ジュn</t>
    </rPh>
    <phoneticPr fontId="3"/>
  </si>
  <si>
    <t>水平取り付け角</t>
    <rPh sb="0" eb="2">
      <t>スイ</t>
    </rPh>
    <rPh sb="2" eb="3">
      <t>トリツケカ</t>
    </rPh>
    <phoneticPr fontId="3"/>
  </si>
  <si>
    <t>L/D翼</t>
    <rPh sb="3" eb="4">
      <t xml:space="preserve">ヨク </t>
    </rPh>
    <phoneticPr fontId="3"/>
  </si>
  <si>
    <t>L/D全機</t>
    <rPh sb="3" eb="5">
      <t>ゼンキ</t>
    </rPh>
    <phoneticPr fontId="3"/>
  </si>
  <si>
    <t>沈下率</t>
    <rPh sb="0" eb="2">
      <t>チンカ</t>
    </rPh>
    <rPh sb="2" eb="3">
      <t>リテゥ</t>
    </rPh>
    <phoneticPr fontId="3"/>
  </si>
  <si>
    <t>全機迎角</t>
    <rPh sb="0" eb="4">
      <t>ゼンキ</t>
    </rPh>
    <phoneticPr fontId="3"/>
  </si>
  <si>
    <t>L/D翼max</t>
    <rPh sb="3" eb="4">
      <t xml:space="preserve">ヨク </t>
    </rPh>
    <phoneticPr fontId="3"/>
  </si>
  <si>
    <t>L/D全機max</t>
    <rPh sb="3" eb="5">
      <t>ゼンキ</t>
    </rPh>
    <phoneticPr fontId="3"/>
  </si>
  <si>
    <t>沈下率min</t>
    <rPh sb="0" eb="3">
      <t>チンカ</t>
    </rPh>
    <phoneticPr fontId="3"/>
  </si>
  <si>
    <t>mode1</t>
    <phoneticPr fontId="3"/>
  </si>
  <si>
    <t>mode2</t>
    <phoneticPr fontId="3"/>
  </si>
  <si>
    <t>QX-23 巡航速度別性能</t>
    <rPh sb="6" eb="10">
      <t>ジュn</t>
    </rPh>
    <rPh sb="11" eb="13">
      <t>セイノウ</t>
    </rPh>
    <phoneticPr fontId="3"/>
  </si>
  <si>
    <t>沈下率</t>
    <rPh sb="0" eb="2">
      <t>チンカ</t>
    </rPh>
    <rPh sb="2" eb="3">
      <t>リツ</t>
    </rPh>
    <phoneticPr fontId="3"/>
  </si>
  <si>
    <t>Wplane</t>
    <phoneticPr fontId="3"/>
  </si>
  <si>
    <t>Wpilot</t>
    <phoneticPr fontId="3"/>
  </si>
  <si>
    <t>Wtotal</t>
    <phoneticPr fontId="3"/>
  </si>
  <si>
    <t>Lw</t>
    <phoneticPr fontId="3"/>
  </si>
  <si>
    <t>水平揚力</t>
    <rPh sb="0" eb="2">
      <t>スイヘイ</t>
    </rPh>
    <rPh sb="2" eb="4">
      <t>ヨウリョク</t>
    </rPh>
    <phoneticPr fontId="2"/>
  </si>
  <si>
    <t>垂直横力</t>
    <rPh sb="0" eb="2">
      <t>スイチョク</t>
    </rPh>
    <rPh sb="2" eb="4">
      <t>ヨコリョク</t>
    </rPh>
    <phoneticPr fontId="3"/>
  </si>
  <si>
    <t>空力係数</t>
    <rPh sb="0" eb="2">
      <t>クウリキ</t>
    </rPh>
    <rPh sb="2" eb="4">
      <t>ケイスウ</t>
    </rPh>
    <phoneticPr fontId="3"/>
  </si>
  <si>
    <t>翼揚抗比</t>
    <rPh sb="0" eb="1">
      <t>ヨク</t>
    </rPh>
    <rPh sb="1" eb="4">
      <t>ヨウコウヒ</t>
    </rPh>
    <phoneticPr fontId="2"/>
  </si>
  <si>
    <t>動圧</t>
    <rPh sb="0" eb="2">
      <t>ドウアツ</t>
    </rPh>
    <phoneticPr fontId="2"/>
  </si>
  <si>
    <t>Ｑ</t>
    <phoneticPr fontId="3"/>
  </si>
  <si>
    <t>Lt</t>
    <phoneticPr fontId="3"/>
  </si>
  <si>
    <t>Lf</t>
    <phoneticPr fontId="3"/>
  </si>
  <si>
    <t>Di_wing</t>
    <phoneticPr fontId="3"/>
  </si>
  <si>
    <t>Dp_wing</t>
    <phoneticPr fontId="3"/>
  </si>
  <si>
    <t>静安定</t>
    <rPh sb="0" eb="1">
      <t>セイ</t>
    </rPh>
    <rPh sb="1" eb="3">
      <t>アンテイ</t>
    </rPh>
    <phoneticPr fontId="1"/>
  </si>
  <si>
    <t>名</t>
    <rPh sb="0" eb="1">
      <t>メイ</t>
    </rPh>
    <phoneticPr fontId="1"/>
  </si>
  <si>
    <t>記号</t>
    <rPh sb="0" eb="2">
      <t>キゴウ</t>
    </rPh>
    <phoneticPr fontId="1"/>
  </si>
  <si>
    <t>値</t>
    <rPh sb="0" eb="1">
      <t>アタイ</t>
    </rPh>
    <phoneticPr fontId="1"/>
  </si>
  <si>
    <t>単位</t>
    <rPh sb="0" eb="2">
      <t>タンイ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</si>
  <si>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</si>
  <si>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</si>
  <si>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</si>
  <si>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動安定</t>
    <rPh sb="0" eb="3">
      <t>ドウアンテイ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</si>
  <si>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</si>
  <si>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</si>
  <si>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</si>
  <si>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</si>
  <si>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</si>
  <si>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</si>
  <si>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</si>
  <si>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</si>
  <si>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</si>
  <si>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</si>
  <si>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</si>
  <si>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</si>
  <si>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</si>
  <si>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尾翼取り付け角</t>
    <rPh sb="0" eb="2">
      <t>ビヨク</t>
    </rPh>
    <rPh sb="2" eb="3">
      <t>ト</t>
    </rPh>
    <rPh sb="4" eb="5">
      <t>ツ</t>
    </rPh>
    <rPh sb="6" eb="7">
      <t>カク</t>
    </rPh>
    <phoneticPr fontId="3"/>
  </si>
  <si>
    <t>全機迎角</t>
    <rPh sb="0" eb="4">
      <t>ゼンキゲイカク</t>
    </rPh>
    <phoneticPr fontId="3"/>
  </si>
  <si>
    <t>ピッチ角</t>
    <rPh sb="3" eb="4">
      <t>カク</t>
    </rPh>
    <phoneticPr fontId="3"/>
  </si>
  <si>
    <t>尾翼迎角</t>
    <rPh sb="0" eb="2">
      <t>ビヨク</t>
    </rPh>
    <rPh sb="2" eb="4">
      <t>ゲイカク</t>
    </rPh>
    <phoneticPr fontId="3"/>
  </si>
  <si>
    <t>kijunn</t>
    <phoneticPr fontId="3"/>
  </si>
  <si>
    <t>風圧中心が桁より前</t>
    <rPh sb="0" eb="4">
      <t>フウアツチュウシン</t>
    </rPh>
    <rPh sb="5" eb="6">
      <t>ケタ</t>
    </rPh>
    <rPh sb="8" eb="9">
      <t>マエ</t>
    </rPh>
    <phoneticPr fontId="3"/>
  </si>
  <si>
    <t>風圧中心が桁より後ろ</t>
    <rPh sb="0" eb="4">
      <t>フウアツチュウシン</t>
    </rPh>
    <rPh sb="5" eb="6">
      <t>ケタ</t>
    </rPh>
    <rPh sb="8" eb="9">
      <t>ウシ</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</si>
  <si>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</si>
  <si>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</si>
  <si>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</si>
  <si>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r>
      <t xml:space="preserve">強豪他チームに追いつき、追い越す
</t>
    </r>
    <r>
      <rPr>
        <sz val="12"/>
        <color theme="1"/>
        <rFont val="游ゴシック"/>
        <family val="3"/>
        <charset val="128"/>
      </rPr>
      <t>・低翼高胴</t>
    </r>
    <r>
      <rPr>
        <sz val="12"/>
        <color theme="1"/>
        <rFont val="游ゴシック"/>
        <family val="2"/>
        <charset val="128"/>
      </rPr>
      <t>T</t>
    </r>
    <r>
      <rPr>
        <sz val="12"/>
        <color theme="1"/>
        <rFont val="游ゴシック"/>
        <family val="3"/>
        <charset val="128"/>
      </rPr>
      <t>字尾翼で</t>
    </r>
    <r>
      <rPr>
        <sz val="12"/>
        <color theme="1"/>
        <rFont val="游ゴシック"/>
        <family val="2"/>
        <charset val="128"/>
      </rPr>
      <t>400m</t>
    </r>
    <r>
      <rPr>
        <sz val="12"/>
        <color theme="1"/>
        <rFont val="游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・高剛性高速棒飛び機（ゆるいダイブ）
・短いテールで操作性up&amp;テールヘビー解消
・外注桁と自作桁によるハイブリッド構造
・高揚力翼型による安心安全なフライト
・足おき、カーボンリブの導入</t>
    </r>
    <rPh sb="20" eb="22">
      <t>コウドウ</t>
    </rPh>
    <rPh sb="55" eb="56">
      <t>ミジカイ</t>
    </rPh>
    <rPh sb="61" eb="64">
      <t>ソウサ</t>
    </rPh>
    <rPh sb="73" eb="75">
      <t>カイショウ</t>
    </rPh>
    <rPh sb="104" eb="106">
      <t>アンシn</t>
    </rPh>
    <rPh sb="116" eb="117">
      <t>アシオキ</t>
    </rPh>
    <rPh sb="127" eb="129">
      <t>ハツドウ</t>
    </rPh>
    <phoneticPr fontId="3"/>
  </si>
  <si>
    <t>2Dor3D</t>
    <phoneticPr fontId="3"/>
  </si>
  <si>
    <t>1. Clmax　　　：フレアの伸びやダイブの難易度を改善。去年の反省を生かして。
2. 設計ClでのL/D：性能は譲れない
3. 失速特性　　：急な失速がないようにしたい。
3. L/Dmax　　 ：L/Dは大きいほうがいい
3. 製作性　　　：「後縁がとがりすぎていない」「キャンバーはほどほど」を意識
4. 翼厚　　　　：無いと作れないが、そんなに余裕は残していない
5. Cmが小さい ：真円桁でねじりに強くなったので、Cmはある程度大きくても許容</t>
    <rPh sb="23" eb="26">
      <t>ナンイ</t>
    </rPh>
    <rPh sb="27" eb="29">
      <t>カイゼン</t>
    </rPh>
    <rPh sb="30" eb="32">
      <t>キョネn</t>
    </rPh>
    <rPh sb="33" eb="35">
      <t>ハンセイ</t>
    </rPh>
    <rPh sb="36" eb="37">
      <t>イカシテ</t>
    </rPh>
    <rPh sb="45" eb="47">
      <t>セッケイ</t>
    </rPh>
    <rPh sb="55" eb="57">
      <t>セイノウ</t>
    </rPh>
    <rPh sb="58" eb="59">
      <t>ユズレ</t>
    </rPh>
    <rPh sb="66" eb="70">
      <t>シッソク</t>
    </rPh>
    <rPh sb="73" eb="74">
      <t>キュウ</t>
    </rPh>
    <rPh sb="104" eb="105">
      <t>オオキ</t>
    </rPh>
    <rPh sb="113" eb="116">
      <t>セイサク</t>
    </rPh>
    <rPh sb="117" eb="119">
      <t>ヨクガタ</t>
    </rPh>
    <rPh sb="153" eb="155">
      <t>ヨクアテゥ</t>
    </rPh>
    <rPh sb="163" eb="164">
      <t xml:space="preserve">ナイト </t>
    </rPh>
    <rPh sb="166" eb="167">
      <t>ツクレ</t>
    </rPh>
    <rPh sb="176" eb="178">
      <t>ヨユウ</t>
    </rPh>
    <rPh sb="179" eb="180">
      <t>ノコセィ</t>
    </rPh>
    <rPh sb="189" eb="190">
      <t>チイサイ</t>
    </rPh>
    <rPh sb="197" eb="200">
      <t>シンエn</t>
    </rPh>
    <rPh sb="205" eb="206">
      <t>ツヨク</t>
    </rPh>
    <rPh sb="220" eb="221">
      <t>オオキ</t>
    </rPh>
    <rPh sb="225" eb="227">
      <t>キョヨウ</t>
    </rPh>
    <phoneticPr fontId="3"/>
  </si>
  <si>
    <t>テーパー率</t>
    <rPh sb="4" eb="5">
      <t>リツ</t>
    </rPh>
    <phoneticPr fontId="3"/>
  </si>
  <si>
    <t>設計桁長さ</t>
    <rPh sb="0" eb="2">
      <t>セッケイ</t>
    </rPh>
    <rPh sb="2" eb="4">
      <t>ケタ</t>
    </rPh>
    <phoneticPr fontId="2"/>
  </si>
  <si>
    <t>カット後推算重量</t>
    <rPh sb="4" eb="6">
      <t>スイサn</t>
    </rPh>
    <phoneticPr fontId="3"/>
  </si>
  <si>
    <t>バブルス密度</t>
    <rPh sb="4" eb="6">
      <t>ミツド</t>
    </rPh>
    <phoneticPr fontId="3"/>
  </si>
  <si>
    <r>
      <t xml:space="preserve">高度3mで循環分布を最適化
</t>
    </r>
    <r>
      <rPr>
        <sz val="12"/>
        <color theme="1"/>
        <rFont val="游ゴシック"/>
        <family val="3"/>
        <charset val="128"/>
      </rPr>
      <t>・カーボンリブ</t>
    </r>
    <r>
      <rPr>
        <sz val="12"/>
        <color theme="1"/>
        <rFont val="游ゴシック"/>
        <family val="3"/>
        <charset val="128"/>
        <scheme val="minor"/>
      </rPr>
      <t xml:space="preserve">
・スタイロリブ</t>
    </r>
    <r>
      <rPr>
        <b/>
        <u/>
        <sz val="12"/>
        <color theme="1"/>
        <rFont val="游ゴシック"/>
        <family val="3"/>
        <charset val="128"/>
        <scheme val="minor"/>
      </rPr>
      <t xml:space="preserve">
</t>
    </r>
    <r>
      <rPr>
        <sz val="12"/>
        <color theme="1"/>
        <rFont val="游ゴシック"/>
        <family val="3"/>
        <charset val="128"/>
        <scheme val="minor"/>
      </rPr>
      <t>・ストリンガー配置
・</t>
    </r>
    <rPh sb="0" eb="2">
      <t>コウド</t>
    </rPh>
    <rPh sb="5" eb="9">
      <t>ジュンカンブンプ</t>
    </rPh>
    <rPh sb="10" eb="13">
      <t>サイテキカ</t>
    </rPh>
    <rPh sb="37" eb="39">
      <t>ハイチ</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</si>
  <si>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</si>
  <si>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</si>
  <si>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動的解析</t>
    <rPh sb="0" eb="2">
      <t>ドウテキ</t>
    </rPh>
    <rPh sb="2" eb="4">
      <t>カイセキ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</si>
</sst>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s>
  <fonts count="34">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color theme="10"/>
      <name val="游ゴシック"/>
      <family val="2"/>
      <charset val="128"/>
      <scheme val="minor"/>
    </font>
    <font>
      <sz val="11"/>
      <name val="游ゴシック"/>
      <family val="2"/>
      <charset val="128"/>
      <scheme val="minor"/>
    </font>
    <font>
      <sz val="11"/>
      <name val="游ゴシック"/>
      <family val="3"/>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b/>
      <sz val="9"/>
      <color rgb="FF000000"/>
      <name val="游ゴシック"/>
      <family val="3"/>
      <charset val="128"/>
    </font>
    <font>
      <sz val="9"/>
      <color rgb="FF000000"/>
      <name val="游ゴシック"/>
      <family val="3"/>
      <charset val="128"/>
    </font>
    <font>
      <sz val="9"/>
      <color rgb="FF000000"/>
      <name val="MS P ゴシック"/>
      <charset val="128"/>
    </font>
    <font>
      <sz val="10"/>
      <color rgb="FF000000"/>
      <name val="Yu Gothic UI"/>
      <family val="3"/>
      <charset val="128"/>
    </font>
    <font>
      <b/>
      <sz val="9"/>
      <color rgb="FF000000"/>
      <name val="MS P ゴシック"/>
      <charset val="128"/>
    </font>
    <font>
      <sz val="12"/>
      <color theme="1"/>
      <name val="游ゴシック"/>
      <family val="2"/>
      <charset val="128"/>
    </font>
    <font>
      <sz val="12"/>
      <color theme="1"/>
      <name val="游ゴシック"/>
      <family val="3"/>
      <charset val="128"/>
    </font>
    <font>
      <sz val="11"/>
      <color theme="1"/>
      <name val="游ゴシック"/>
      <family val="2"/>
      <charset val="128"/>
    </font>
  </fonts>
  <fills count="8">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E7E6E6"/>
        <bgColor rgb="FF000000"/>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93">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176" fontId="8" fillId="0" borderId="4" xfId="1" applyNumberFormat="1" applyFont="1" applyBorder="1" applyAlignment="1">
      <alignment horizontal="left" vertical="center"/>
    </xf>
    <xf numFmtId="176" fontId="9" fillId="0" borderId="16" xfId="1" applyNumberFormat="1" applyFont="1" applyBorder="1" applyAlignment="1">
      <alignment horizontal="left" vertical="center"/>
    </xf>
    <xf numFmtId="176" fontId="9" fillId="0" borderId="13" xfId="1" applyNumberFormat="1" applyFont="1" applyBorder="1" applyAlignment="1">
      <alignment horizontal="left" vertical="center"/>
    </xf>
    <xf numFmtId="176" fontId="9" fillId="0" borderId="4" xfId="1" applyNumberFormat="1" applyFont="1" applyBorder="1" applyAlignment="1">
      <alignment horizontal="lef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10" fillId="0" borderId="0" xfId="0" applyNumberFormat="1" applyFont="1">
      <alignment vertical="center"/>
    </xf>
    <xf numFmtId="178" fontId="10" fillId="0" borderId="0" xfId="0" applyNumberFormat="1" applyFont="1" applyAlignment="1">
      <alignment horizontal="left" vertical="center"/>
    </xf>
    <xf numFmtId="178" fontId="10" fillId="0" borderId="1" xfId="0" applyNumberFormat="1" applyFont="1" applyBorder="1" applyAlignment="1">
      <alignment horizontal="left" vertical="center"/>
    </xf>
    <xf numFmtId="176" fontId="10" fillId="0" borderId="1" xfId="0" applyNumberFormat="1" applyFont="1" applyBorder="1">
      <alignment vertical="center"/>
    </xf>
    <xf numFmtId="178" fontId="10" fillId="0" borderId="1" xfId="0" applyNumberFormat="1" applyFont="1" applyBorder="1">
      <alignment vertical="center"/>
    </xf>
    <xf numFmtId="176" fontId="10" fillId="0" borderId="2" xfId="0" applyNumberFormat="1" applyFont="1" applyBorder="1">
      <alignment vertical="center"/>
    </xf>
    <xf numFmtId="176" fontId="10" fillId="0" borderId="1" xfId="0" applyNumberFormat="1" applyFont="1" applyBorder="1" applyAlignment="1">
      <alignment horizontal="left" vertical="center"/>
    </xf>
    <xf numFmtId="176" fontId="10" fillId="0" borderId="19" xfId="0" applyNumberFormat="1" applyFont="1" applyBorder="1">
      <alignment vertical="center"/>
    </xf>
    <xf numFmtId="176" fontId="10" fillId="0" borderId="19" xfId="0" applyNumberFormat="1" applyFont="1" applyBorder="1" applyAlignment="1">
      <alignment horizontal="right" vertical="center"/>
    </xf>
    <xf numFmtId="176" fontId="10" fillId="0" borderId="1" xfId="0" applyNumberFormat="1" applyFont="1" applyBorder="1" applyAlignment="1">
      <alignment horizontal="right" vertical="center"/>
    </xf>
    <xf numFmtId="176" fontId="10" fillId="0" borderId="2" xfId="0" applyNumberFormat="1" applyFont="1" applyBorder="1" applyAlignment="1">
      <alignment horizontal="right" vertical="center"/>
    </xf>
    <xf numFmtId="176" fontId="10"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8"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10" fillId="0" borderId="11" xfId="0" applyNumberFormat="1" applyFont="1" applyBorder="1">
      <alignment vertical="center"/>
    </xf>
    <xf numFmtId="176" fontId="10" fillId="2" borderId="1" xfId="0" applyNumberFormat="1" applyFont="1" applyFill="1" applyBorder="1">
      <alignment vertical="center"/>
    </xf>
    <xf numFmtId="176" fontId="10"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10" fillId="2" borderId="11" xfId="0" applyNumberFormat="1" applyFont="1" applyFill="1" applyBorder="1">
      <alignment vertical="center"/>
    </xf>
    <xf numFmtId="176" fontId="10"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10" fillId="0" borderId="39" xfId="0" applyNumberFormat="1" applyFont="1" applyBorder="1">
      <alignment vertical="center"/>
    </xf>
    <xf numFmtId="176" fontId="10" fillId="0" borderId="40" xfId="0" applyNumberFormat="1" applyFont="1" applyBorder="1">
      <alignment vertical="center"/>
    </xf>
    <xf numFmtId="176" fontId="10" fillId="0" borderId="41" xfId="0" applyNumberFormat="1" applyFont="1" applyBorder="1">
      <alignment vertical="center"/>
    </xf>
    <xf numFmtId="176" fontId="10" fillId="0" borderId="42" xfId="0" applyNumberFormat="1" applyFont="1" applyBorder="1">
      <alignment vertical="center"/>
    </xf>
    <xf numFmtId="176" fontId="10" fillId="0" borderId="43" xfId="0" applyNumberFormat="1" applyFont="1" applyBorder="1">
      <alignment vertical="center"/>
    </xf>
    <xf numFmtId="176" fontId="10" fillId="0" borderId="44" xfId="0" applyNumberFormat="1" applyFont="1" applyBorder="1">
      <alignment vertical="center"/>
    </xf>
    <xf numFmtId="176" fontId="10" fillId="0" borderId="45" xfId="0" applyNumberFormat="1" applyFont="1" applyBorder="1">
      <alignment vertical="center"/>
    </xf>
    <xf numFmtId="176" fontId="10" fillId="0" borderId="46" xfId="0" applyNumberFormat="1" applyFont="1" applyBorder="1">
      <alignment vertical="center"/>
    </xf>
    <xf numFmtId="176" fontId="10" fillId="0" borderId="39" xfId="0" applyNumberFormat="1" applyFont="1" applyBorder="1" applyAlignment="1">
      <alignment horizontal="left" vertical="center"/>
    </xf>
    <xf numFmtId="0" fontId="0" fillId="0" borderId="40" xfId="0" applyBorder="1">
      <alignment vertical="center"/>
    </xf>
    <xf numFmtId="176" fontId="10" fillId="0" borderId="47" xfId="0" applyNumberFormat="1" applyFont="1" applyBorder="1" applyAlignment="1">
      <alignment horizontal="left" vertical="center"/>
    </xf>
    <xf numFmtId="176" fontId="10" fillId="0" borderId="49" xfId="0" applyNumberFormat="1" applyFont="1" applyBorder="1">
      <alignment vertical="center"/>
    </xf>
    <xf numFmtId="176" fontId="10" fillId="0" borderId="50" xfId="0" applyNumberFormat="1" applyFont="1" applyBorder="1" applyAlignment="1">
      <alignment horizontal="left" vertical="center"/>
    </xf>
    <xf numFmtId="176" fontId="10" fillId="0" borderId="45" xfId="0" applyNumberFormat="1" applyFont="1" applyBorder="1" applyAlignment="1">
      <alignment horizontal="left" vertical="center"/>
    </xf>
    <xf numFmtId="0" fontId="0" fillId="0" borderId="46" xfId="0" applyBorder="1">
      <alignment vertical="center"/>
    </xf>
    <xf numFmtId="176" fontId="10"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49" xfId="0" applyBorder="1">
      <alignment vertical="center"/>
    </xf>
    <xf numFmtId="176" fontId="10" fillId="0" borderId="51" xfId="0" applyNumberFormat="1" applyFont="1" applyBorder="1" applyAlignment="1">
      <alignment horizontal="lef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10" fillId="0" borderId="47" xfId="0" applyNumberFormat="1" applyFont="1" applyBorder="1">
      <alignment vertical="center"/>
    </xf>
    <xf numFmtId="0" fontId="2" fillId="2" borderId="2" xfId="0" applyFont="1" applyFill="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3" fillId="0" borderId="1" xfId="0" applyNumberFormat="1" applyFont="1" applyBorder="1">
      <alignment vertical="center"/>
    </xf>
    <xf numFmtId="0" fontId="23" fillId="0" borderId="0" xfId="0" applyFont="1">
      <alignment vertical="center"/>
    </xf>
    <xf numFmtId="176" fontId="23" fillId="0" borderId="0" xfId="0" applyNumberFormat="1" applyFont="1">
      <alignment vertical="center"/>
    </xf>
    <xf numFmtId="176" fontId="23" fillId="3" borderId="2" xfId="0" applyNumberFormat="1" applyFont="1" applyFill="1" applyBorder="1">
      <alignment vertical="center"/>
    </xf>
    <xf numFmtId="176" fontId="23" fillId="3" borderId="1" xfId="0" applyNumberFormat="1" applyFont="1" applyFill="1" applyBorder="1">
      <alignment vertical="center"/>
    </xf>
    <xf numFmtId="0" fontId="23" fillId="0" borderId="1" xfId="0" applyFont="1" applyBorder="1">
      <alignment vertical="center"/>
    </xf>
    <xf numFmtId="176" fontId="23" fillId="0" borderId="1" xfId="0" applyNumberFormat="1" applyFont="1" applyBorder="1" applyAlignment="1">
      <alignment horizontal="left" vertical="center"/>
    </xf>
    <xf numFmtId="176" fontId="23" fillId="0" borderId="3" xfId="0" applyNumberFormat="1" applyFont="1" applyBorder="1">
      <alignment vertical="center"/>
    </xf>
    <xf numFmtId="176" fontId="23" fillId="2" borderId="3" xfId="0" applyNumberFormat="1" applyFont="1" applyFill="1" applyBorder="1">
      <alignment vertical="center"/>
    </xf>
    <xf numFmtId="176" fontId="23" fillId="0" borderId="2" xfId="0" applyNumberFormat="1" applyFont="1" applyBorder="1">
      <alignment vertical="center"/>
    </xf>
    <xf numFmtId="176" fontId="23" fillId="0" borderId="2" xfId="0" applyNumberFormat="1" applyFont="1" applyBorder="1" applyAlignment="1">
      <alignment horizontal="left" vertical="center"/>
    </xf>
    <xf numFmtId="176" fontId="23" fillId="2" borderId="1" xfId="0" applyNumberFormat="1" applyFont="1" applyFill="1" applyBorder="1">
      <alignment vertical="center"/>
    </xf>
    <xf numFmtId="176" fontId="23" fillId="3" borderId="3" xfId="0" applyNumberFormat="1" applyFont="1" applyFill="1" applyBorder="1">
      <alignment vertical="center"/>
    </xf>
    <xf numFmtId="178" fontId="23" fillId="0" borderId="3" xfId="0" applyNumberFormat="1" applyFont="1" applyBorder="1">
      <alignment vertical="center"/>
    </xf>
    <xf numFmtId="178" fontId="23" fillId="2" borderId="3" xfId="0" applyNumberFormat="1" applyFont="1" applyFill="1" applyBorder="1">
      <alignment vertical="center"/>
    </xf>
    <xf numFmtId="178" fontId="23" fillId="0" borderId="1" xfId="0" applyNumberFormat="1" applyFont="1" applyBorder="1">
      <alignment vertical="center"/>
    </xf>
    <xf numFmtId="176" fontId="23" fillId="0" borderId="17" xfId="0" applyNumberFormat="1" applyFont="1" applyBorder="1">
      <alignment vertical="center"/>
    </xf>
    <xf numFmtId="176" fontId="23" fillId="0" borderId="0" xfId="0" applyNumberFormat="1" applyFont="1" applyAlignment="1">
      <alignment vertical="center" wrapText="1"/>
    </xf>
    <xf numFmtId="176" fontId="23" fillId="4" borderId="1" xfId="0" applyNumberFormat="1" applyFont="1" applyFill="1" applyBorder="1">
      <alignment vertical="center"/>
    </xf>
    <xf numFmtId="0" fontId="23" fillId="3" borderId="1" xfId="0" applyFont="1" applyFill="1" applyBorder="1">
      <alignment vertical="center"/>
    </xf>
    <xf numFmtId="0" fontId="25" fillId="2" borderId="1" xfId="0" applyFont="1" applyFill="1" applyBorder="1">
      <alignment vertical="center"/>
    </xf>
    <xf numFmtId="0" fontId="25" fillId="0" borderId="1" xfId="0" applyFont="1" applyBorder="1">
      <alignment vertical="center"/>
    </xf>
    <xf numFmtId="176" fontId="23" fillId="3" borderId="4" xfId="0" applyNumberFormat="1" applyFont="1" applyFill="1" applyBorder="1">
      <alignment vertical="center"/>
    </xf>
    <xf numFmtId="176" fontId="23" fillId="3" borderId="13" xfId="0" applyNumberFormat="1" applyFont="1" applyFill="1" applyBorder="1">
      <alignment vertical="center"/>
    </xf>
    <xf numFmtId="176" fontId="23" fillId="0" borderId="4" xfId="0" applyNumberFormat="1" applyFont="1" applyBorder="1">
      <alignment vertical="center"/>
    </xf>
    <xf numFmtId="176" fontId="23" fillId="0" borderId="13" xfId="0" applyNumberFormat="1" applyFont="1" applyBorder="1">
      <alignment vertical="center"/>
    </xf>
    <xf numFmtId="176" fontId="23" fillId="0" borderId="17" xfId="0" applyNumberFormat="1" applyFont="1" applyBorder="1" applyAlignment="1">
      <alignment horizontal="left" vertical="center"/>
    </xf>
    <xf numFmtId="176" fontId="23" fillId="0" borderId="10" xfId="0" applyNumberFormat="1" applyFont="1" applyBorder="1">
      <alignment vertical="center"/>
    </xf>
    <xf numFmtId="176" fontId="23" fillId="0" borderId="57" xfId="0" applyNumberFormat="1" applyFont="1" applyBorder="1">
      <alignment vertical="center"/>
    </xf>
    <xf numFmtId="176" fontId="23" fillId="0" borderId="2" xfId="0" applyNumberFormat="1" applyFont="1" applyBorder="1" applyAlignment="1"/>
    <xf numFmtId="0" fontId="23" fillId="0" borderId="19" xfId="0" applyFont="1" applyBorder="1">
      <alignment vertical="center"/>
    </xf>
    <xf numFmtId="0" fontId="23" fillId="2" borderId="19" xfId="0" applyFont="1" applyFill="1" applyBorder="1">
      <alignment vertical="center"/>
    </xf>
    <xf numFmtId="0" fontId="23" fillId="0" borderId="3" xfId="0" applyFont="1" applyBorder="1">
      <alignment vertical="center"/>
    </xf>
    <xf numFmtId="0" fontId="23" fillId="2" borderId="1" xfId="0" applyFont="1" applyFill="1" applyBorder="1">
      <alignment vertical="center"/>
    </xf>
    <xf numFmtId="176" fontId="0" fillId="0" borderId="14" xfId="0" applyNumberFormat="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5" fillId="0" borderId="1" xfId="1" applyNumberFormat="1" applyBorder="1">
      <alignment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0" fillId="0" borderId="58" xfId="0" applyNumberFormat="1" applyBorder="1">
      <alignment vertical="center"/>
    </xf>
    <xf numFmtId="176" fontId="24" fillId="2" borderId="1" xfId="0" applyNumberFormat="1" applyFont="1" applyFill="1" applyBorder="1">
      <alignment vertical="center"/>
    </xf>
    <xf numFmtId="176" fontId="24"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4"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0" xfId="0" applyAlignment="1">
      <alignment horizontal="right" vertical="center"/>
    </xf>
    <xf numFmtId="0" fontId="0" fillId="0" borderId="5"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0" fontId="0" fillId="2" borderId="0" xfId="0" applyFill="1">
      <alignment vertical="center"/>
    </xf>
    <xf numFmtId="0" fontId="0" fillId="6" borderId="0" xfId="0" applyFill="1">
      <alignment vertical="center"/>
    </xf>
    <xf numFmtId="176" fontId="0" fillId="0" borderId="0" xfId="0" applyNumberFormat="1" applyAlignment="1">
      <alignment horizontal="right" vertical="center"/>
    </xf>
    <xf numFmtId="176" fontId="33" fillId="0" borderId="0" xfId="0" applyNumberFormat="1" applyFont="1">
      <alignment vertical="center"/>
    </xf>
    <xf numFmtId="176" fontId="33" fillId="7" borderId="1" xfId="0" applyNumberFormat="1" applyFont="1" applyFill="1" applyBorder="1">
      <alignment vertical="center"/>
    </xf>
    <xf numFmtId="176" fontId="33" fillId="0" borderId="1" xfId="0" applyNumberFormat="1" applyFont="1" applyBorder="1">
      <alignment vertical="center"/>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7" xfId="0" applyFont="1" applyBorder="1" applyAlignment="1">
      <alignment horizontal="left" vertical="top" wrapText="1"/>
    </xf>
    <xf numFmtId="0" fontId="22" fillId="0" borderId="28" xfId="0" applyFont="1" applyBorder="1" applyAlignment="1">
      <alignment horizontal="left" vertical="top" wrapText="1"/>
    </xf>
    <xf numFmtId="0" fontId="22" fillId="0" borderId="0" xfId="0" applyFont="1" applyAlignment="1">
      <alignment horizontal="left" vertical="top" wrapText="1"/>
    </xf>
    <xf numFmtId="0" fontId="22" fillId="0" borderId="29" xfId="0" applyFont="1" applyBorder="1" applyAlignment="1">
      <alignment horizontal="left" vertical="top" wrapText="1"/>
    </xf>
    <xf numFmtId="0" fontId="22" fillId="0" borderId="30" xfId="0" applyFont="1" applyBorder="1" applyAlignment="1">
      <alignment horizontal="left" vertical="top" wrapText="1"/>
    </xf>
    <xf numFmtId="0" fontId="22" fillId="0" borderId="31" xfId="0" applyFont="1" applyBorder="1" applyAlignment="1">
      <alignment horizontal="left" vertical="top" wrapText="1"/>
    </xf>
    <xf numFmtId="0" fontId="22"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5" fillId="0" borderId="1" xfId="1" applyNumberFormat="1" applyBorder="1" applyAlignment="1">
      <alignment horizontal="center" vertical="center"/>
    </xf>
    <xf numFmtId="176" fontId="7" fillId="0" borderId="4" xfId="1" applyNumberFormat="1" applyFont="1" applyBorder="1" applyAlignment="1">
      <alignment horizontal="left" vertical="center"/>
    </xf>
    <xf numFmtId="176" fontId="7" fillId="0" borderId="16" xfId="1" applyNumberFormat="1" applyFont="1" applyBorder="1" applyAlignment="1">
      <alignment horizontal="left" vertical="center"/>
    </xf>
    <xf numFmtId="176" fontId="7" fillId="0" borderId="13" xfId="1" applyNumberFormat="1" applyFont="1" applyBorder="1" applyAlignment="1">
      <alignment horizontal="left" vertical="center"/>
    </xf>
    <xf numFmtId="176" fontId="0" fillId="3" borderId="1" xfId="0" applyNumberFormat="1" applyFill="1" applyBorder="1" applyAlignment="1">
      <alignment horizontal="left" vertical="center"/>
    </xf>
    <xf numFmtId="176" fontId="5" fillId="0" borderId="4" xfId="1" applyNumberFormat="1" applyBorder="1" applyAlignment="1">
      <alignment horizontal="left" vertical="center"/>
    </xf>
    <xf numFmtId="176" fontId="10" fillId="0" borderId="1" xfId="0" applyNumberFormat="1" applyFont="1" applyBorder="1" applyAlignment="1">
      <alignment horizontal="left" vertical="center"/>
    </xf>
    <xf numFmtId="176" fontId="10" fillId="0" borderId="2" xfId="0" applyNumberFormat="1" applyFont="1" applyBorder="1" applyAlignment="1">
      <alignment horizontal="left" vertical="center"/>
    </xf>
    <xf numFmtId="176" fontId="10" fillId="0" borderId="19" xfId="0" applyNumberFormat="1" applyFont="1" applyBorder="1" applyAlignment="1">
      <alignment horizontal="left" vertical="center"/>
    </xf>
    <xf numFmtId="176" fontId="10" fillId="0" borderId="3" xfId="0" applyNumberFormat="1" applyFont="1" applyBorder="1" applyAlignment="1">
      <alignment horizontal="left" vertical="center"/>
    </xf>
    <xf numFmtId="178" fontId="10" fillId="0" borderId="1" xfId="0" applyNumberFormat="1" applyFont="1" applyBorder="1" applyAlignment="1">
      <alignment horizontal="center" vertical="center"/>
    </xf>
    <xf numFmtId="176" fontId="10" fillId="0" borderId="1" xfId="0" applyNumberFormat="1" applyFont="1" applyBorder="1" applyAlignment="1">
      <alignment horizontal="center" vertical="center"/>
    </xf>
    <xf numFmtId="176" fontId="0" fillId="0" borderId="6" xfId="0" applyNumberFormat="1" applyFill="1" applyBorder="1">
      <alignment vertical="center"/>
    </xf>
    <xf numFmtId="176" fontId="0" fillId="0" borderId="3" xfId="0" applyNumberFormat="1" applyFill="1" applyBorder="1">
      <alignment vertical="center"/>
    </xf>
    <xf numFmtId="0" fontId="0" fillId="0" borderId="0" xfId="0" applyAlignment="1">
      <alignment horizontal="center" vertical="center"/>
    </xf>
    <xf numFmtId="176" fontId="0" fillId="0" borderId="4" xfId="0" applyNumberFormat="1" applyFill="1" applyBorder="1">
      <alignment vertical="center"/>
    </xf>
  </cellXfs>
  <cellStyles count="2">
    <cellStyle name="ハイパーリンク" xfId="1" builtinId="8"/>
    <cellStyle name="標準" xfId="0" builtinId="0"/>
  </cellStyles>
  <dxfs count="4">
    <dxf>
      <fill>
        <patternFill>
          <bgColor rgb="FFFFC7CE"/>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主翼!$AG$48</c:f>
              <c:strCache>
                <c:ptCount val="1"/>
                <c:pt idx="0">
                  <c:v>前縁位置</c:v>
                </c:pt>
              </c:strCache>
            </c:strRef>
          </c:tx>
          <c:spPr>
            <a:ln w="19050" cap="rnd">
              <a:solidFill>
                <a:schemeClr val="accent1"/>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主翼!$P$132:$P$150</c:f>
              <c:numCache>
                <c:formatCode>0.000_ ;[Red]\-0.000\ </c:formatCode>
                <c:ptCount val="19"/>
              </c:numCache>
            </c:numRef>
          </c:yVal>
          <c:smooth val="0"/>
          <c:extLst>
            <c:ext xmlns:c16="http://schemas.microsoft.com/office/drawing/2014/chart" uri="{C3380CC4-5D6E-409C-BE32-E72D297353CC}">
              <c16:uniqueId val="{00000000-6747-374A-94B5-4049C31C14AE}"/>
            </c:ext>
          </c:extLst>
        </c:ser>
        <c:ser>
          <c:idx val="3"/>
          <c:order val="1"/>
          <c:tx>
            <c:strRef>
              <c:f>主翼!$AH$48</c:f>
              <c:strCache>
                <c:ptCount val="1"/>
                <c:pt idx="0">
                  <c:v>後縁位置</c:v>
                </c:pt>
              </c:strCache>
            </c:strRef>
          </c:tx>
          <c:spPr>
            <a:ln w="19050" cap="rnd">
              <a:solidFill>
                <a:srgbClr val="0070C0"/>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主翼!$Q$132:$Q$150</c:f>
              <c:numCache>
                <c:formatCode>0.000_ ;[Red]\-0.000\ </c:formatCode>
                <c:ptCount val="19"/>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たわみ・ねじり</c:v>
          </c:tx>
          <c:spPr>
            <a:ln w="19050" cap="rnd">
              <a:solidFill>
                <a:schemeClr val="accent1"/>
              </a:solidFill>
              <a:round/>
            </a:ln>
            <a:effectLst/>
          </c:spPr>
          <c:marker>
            <c:symbol val="circle"/>
            <c:size val="5"/>
            <c:spPr>
              <a:solidFill>
                <a:schemeClr val="accent1"/>
              </a:solidFill>
              <a:ln w="9525">
                <a:solidFill>
                  <a:schemeClr val="accent1"/>
                </a:solidFill>
              </a:ln>
              <a:effectLst/>
            </c:spPr>
          </c:marker>
          <c:yVal>
            <c:numLit>
              <c:formatCode>General</c:formatCode>
              <c:ptCount val="1"/>
              <c:pt idx="0">
                <c:v>1</c:v>
              </c:pt>
            </c:numLit>
          </c:yVal>
          <c:smooth val="0"/>
          <c:extLst>
            <c:ext xmlns:c16="http://schemas.microsoft.com/office/drawing/2014/chart" uri="{C3380CC4-5D6E-409C-BE32-E72D297353CC}">
              <c16:uniqueId val="{00000000-7443-47C6-8399-28970498ADDF}"/>
            </c:ext>
          </c:extLst>
        </c:ser>
        <c:dLbls>
          <c:showLegendKey val="0"/>
          <c:showVal val="0"/>
          <c:showCatName val="0"/>
          <c:showSerName val="0"/>
          <c:showPercent val="0"/>
          <c:showBubbleSize val="0"/>
        </c:dLbls>
        <c:axId val="1269936960"/>
        <c:axId val="1269941120"/>
      </c:scatterChart>
      <c:valAx>
        <c:axId val="12699369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41120"/>
        <c:crosses val="autoZero"/>
        <c:crossBetween val="midCat"/>
      </c:valAx>
      <c:valAx>
        <c:axId val="126994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369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主桁!$AN$3</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主桁!$AH$6:$AH$70</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主桁!$AU$6:$AU$70</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主桁!$AO$3</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numRef>
              <c:f>主桁!$AH$6:$AH$100</c:f>
              <c:numCache>
                <c:formatCode>0.0.E+00</c:formatCode>
                <c:ptCount val="9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主桁!$AV$6:$AV$100</c:f>
              <c:numCache>
                <c:formatCode>0.000_ ;[Red]\-0.000\ </c:formatCode>
                <c:ptCount val="95"/>
                <c:pt idx="0">
                  <c:v>0</c:v>
                </c:pt>
                <c:pt idx="1">
                  <c:v>0.71375277206480425</c:v>
                </c:pt>
                <c:pt idx="2">
                  <c:v>0.17843819301620101</c:v>
                </c:pt>
                <c:pt idx="3">
                  <c:v>0.17843819301620101</c:v>
                </c:pt>
                <c:pt idx="4">
                  <c:v>0.39496068013732971</c:v>
                </c:pt>
                <c:pt idx="5">
                  <c:v>0.61580267039526659</c:v>
                </c:pt>
                <c:pt idx="6">
                  <c:v>0.36084941929292896</c:v>
                </c:pt>
                <c:pt idx="7">
                  <c:v>0.18510185575069649</c:v>
                </c:pt>
                <c:pt idx="8">
                  <c:v>0.1825339093404548</c:v>
                </c:pt>
                <c:pt idx="9">
                  <c:v>0.17996596197750961</c:v>
                </c:pt>
                <c:pt idx="10">
                  <c:v>0.17739801362094659</c:v>
                </c:pt>
                <c:pt idx="11">
                  <c:v>0.17483006422747499</c:v>
                </c:pt>
                <c:pt idx="12">
                  <c:v>0.1722621137512485</c:v>
                </c:pt>
                <c:pt idx="13">
                  <c:v>0.16969416214367974</c:v>
                </c:pt>
                <c:pt idx="14">
                  <c:v>0.1671262093532295</c:v>
                </c:pt>
                <c:pt idx="15">
                  <c:v>0.16455825532518087</c:v>
                </c:pt>
                <c:pt idx="16">
                  <c:v>0.16199030000138712</c:v>
                </c:pt>
                <c:pt idx="17">
                  <c:v>0.15942234331999941</c:v>
                </c:pt>
                <c:pt idx="18">
                  <c:v>0.15685438521517403</c:v>
                </c:pt>
                <c:pt idx="19">
                  <c:v>0.15428642561673336</c:v>
                </c:pt>
                <c:pt idx="20">
                  <c:v>0.15171846444981305</c:v>
                </c:pt>
                <c:pt idx="21">
                  <c:v>0.11210422601140921</c:v>
                </c:pt>
                <c:pt idx="22">
                  <c:v>0.20990796267063094</c:v>
                </c:pt>
                <c:pt idx="23">
                  <c:v>0.32536232801880438</c:v>
                </c:pt>
                <c:pt idx="24">
                  <c:v>0.2010264245975398</c:v>
                </c:pt>
                <c:pt idx="25">
                  <c:v>0.13215754529569479</c:v>
                </c:pt>
                <c:pt idx="26">
                  <c:v>0.12992743685660443</c:v>
                </c:pt>
                <c:pt idx="27">
                  <c:v>0.12769732729328742</c:v>
                </c:pt>
                <c:pt idx="28">
                  <c:v>0.1254672165461134</c:v>
                </c:pt>
                <c:pt idx="29">
                  <c:v>0.12323710455115688</c:v>
                </c:pt>
                <c:pt idx="30">
                  <c:v>0.12100699123980703</c:v>
                </c:pt>
                <c:pt idx="31">
                  <c:v>0.11877687653832762</c:v>
                </c:pt>
                <c:pt idx="32">
                  <c:v>0.11654676036736915</c:v>
                </c:pt>
                <c:pt idx="33">
                  <c:v>0.11431664264142659</c:v>
                </c:pt>
                <c:pt idx="34">
                  <c:v>0.11208652326822853</c:v>
                </c:pt>
                <c:pt idx="35">
                  <c:v>0.10985640214805552</c:v>
                </c:pt>
                <c:pt idx="36">
                  <c:v>0.10762627917297249</c:v>
                </c:pt>
                <c:pt idx="37">
                  <c:v>0.10539615422596467</c:v>
                </c:pt>
                <c:pt idx="38">
                  <c:v>0.10316602717996205</c:v>
                </c:pt>
                <c:pt idx="39">
                  <c:v>0.10093589789673471</c:v>
                </c:pt>
                <c:pt idx="40">
                  <c:v>0.17613463991361261</c:v>
                </c:pt>
                <c:pt idx="41">
                  <c:v>0.26120931230991251</c:v>
                </c:pt>
                <c:pt idx="42">
                  <c:v>0.16001229732404229</c:v>
                </c:pt>
                <c:pt idx="43">
                  <c:v>7.9054990815865533E-2</c:v>
                </c:pt>
                <c:pt idx="44">
                  <c:v>7.7170686007568129E-2</c:v>
                </c:pt>
                <c:pt idx="45">
                  <c:v>7.5286378911843366E-2</c:v>
                </c:pt>
                <c:pt idx="46">
                  <c:v>7.3402069352507079E-2</c:v>
                </c:pt>
                <c:pt idx="47">
                  <c:v>7.1517757134804766E-2</c:v>
                </c:pt>
                <c:pt idx="48">
                  <c:v>6.9633442042904892E-2</c:v>
                </c:pt>
                <c:pt idx="49">
                  <c:v>6.7749123836975386E-2</c:v>
                </c:pt>
                <c:pt idx="50">
                  <c:v>6.5864802249694335E-2</c:v>
                </c:pt>
                <c:pt idx="51">
                  <c:v>6.3980476982244419E-2</c:v>
                </c:pt>
                <c:pt idx="52">
                  <c:v>6.209614769957382E-2</c:v>
                </c:pt>
                <c:pt idx="53">
                  <c:v>6.0211814024647745E-2</c:v>
                </c:pt>
                <c:pt idx="54">
                  <c:v>5.8327475531702803E-2</c:v>
                </c:pt>
                <c:pt idx="55">
                  <c:v>5.6443131738113106E-2</c:v>
                </c:pt>
                <c:pt idx="56">
                  <c:v>5.4558782094594284E-2</c:v>
                </c:pt>
                <c:pt idx="57">
                  <c:v>5.2674425973154651E-2</c:v>
                </c:pt>
                <c:pt idx="58">
                  <c:v>5.0790062652590492E-2</c:v>
                </c:pt>
                <c:pt idx="59">
                  <c:v>4.890569130059412E-2</c:v>
                </c:pt>
                <c:pt idx="60">
                  <c:v>9.6886244918692702E-2</c:v>
                </c:pt>
                <c:pt idx="61">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厚さマージン分布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たわみ</a:t>
            </a:r>
            <a:r>
              <a:rPr lang="en-US" altLang="ja-JP"/>
              <a:t>/</a:t>
            </a:r>
            <a:r>
              <a:rPr lang="ja-JP" altLang="en-US"/>
              <a:t>ねじれ分布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主桁!$AN$3</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主桁!$AH$6:$AH$70</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主桁!$AU$6:$AU$70</c:f>
              <c:numCache>
                <c:formatCode>0.000_ ;[Red]\-0.000\ </c:formatCode>
                <c:ptCount val="65"/>
              </c:numCache>
            </c:numRef>
          </c:yVal>
          <c:smooth val="0"/>
          <c:extLst>
            <c:ext xmlns:c16="http://schemas.microsoft.com/office/drawing/2014/chart" uri="{C3380CC4-5D6E-409C-BE32-E72D297353CC}">
              <c16:uniqueId val="{00000000-86D4-4F3F-8DC7-6910F807D59F}"/>
            </c:ext>
          </c:extLst>
        </c:ser>
        <c:ser>
          <c:idx val="1"/>
          <c:order val="1"/>
          <c:tx>
            <c:strRef>
              <c:f>主桁!$AO$3</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numRef>
              <c:f>主桁!$AH$6:$AH$100</c:f>
              <c:numCache>
                <c:formatCode>0.0.E+00</c:formatCode>
                <c:ptCount val="9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主桁!$AV$6:$AV$100</c:f>
              <c:numCache>
                <c:formatCode>0.000_ ;[Red]\-0.000\ </c:formatCode>
                <c:ptCount val="95"/>
                <c:pt idx="0">
                  <c:v>0</c:v>
                </c:pt>
                <c:pt idx="1">
                  <c:v>0.71375277206480425</c:v>
                </c:pt>
                <c:pt idx="2">
                  <c:v>0.17843819301620101</c:v>
                </c:pt>
                <c:pt idx="3">
                  <c:v>0.17843819301620101</c:v>
                </c:pt>
                <c:pt idx="4">
                  <c:v>0.39496068013732971</c:v>
                </c:pt>
                <c:pt idx="5">
                  <c:v>0.61580267039526659</c:v>
                </c:pt>
                <c:pt idx="6">
                  <c:v>0.36084941929292896</c:v>
                </c:pt>
                <c:pt idx="7">
                  <c:v>0.18510185575069649</c:v>
                </c:pt>
                <c:pt idx="8">
                  <c:v>0.1825339093404548</c:v>
                </c:pt>
                <c:pt idx="9">
                  <c:v>0.17996596197750961</c:v>
                </c:pt>
                <c:pt idx="10">
                  <c:v>0.17739801362094659</c:v>
                </c:pt>
                <c:pt idx="11">
                  <c:v>0.17483006422747499</c:v>
                </c:pt>
                <c:pt idx="12">
                  <c:v>0.1722621137512485</c:v>
                </c:pt>
                <c:pt idx="13">
                  <c:v>0.16969416214367974</c:v>
                </c:pt>
                <c:pt idx="14">
                  <c:v>0.1671262093532295</c:v>
                </c:pt>
                <c:pt idx="15">
                  <c:v>0.16455825532518087</c:v>
                </c:pt>
                <c:pt idx="16">
                  <c:v>0.16199030000138712</c:v>
                </c:pt>
                <c:pt idx="17">
                  <c:v>0.15942234331999941</c:v>
                </c:pt>
                <c:pt idx="18">
                  <c:v>0.15685438521517403</c:v>
                </c:pt>
                <c:pt idx="19">
                  <c:v>0.15428642561673336</c:v>
                </c:pt>
                <c:pt idx="20">
                  <c:v>0.15171846444981305</c:v>
                </c:pt>
                <c:pt idx="21">
                  <c:v>0.11210422601140921</c:v>
                </c:pt>
                <c:pt idx="22">
                  <c:v>0.20990796267063094</c:v>
                </c:pt>
                <c:pt idx="23">
                  <c:v>0.32536232801880438</c:v>
                </c:pt>
                <c:pt idx="24">
                  <c:v>0.2010264245975398</c:v>
                </c:pt>
                <c:pt idx="25">
                  <c:v>0.13215754529569479</c:v>
                </c:pt>
                <c:pt idx="26">
                  <c:v>0.12992743685660443</c:v>
                </c:pt>
                <c:pt idx="27">
                  <c:v>0.12769732729328742</c:v>
                </c:pt>
                <c:pt idx="28">
                  <c:v>0.1254672165461134</c:v>
                </c:pt>
                <c:pt idx="29">
                  <c:v>0.12323710455115688</c:v>
                </c:pt>
                <c:pt idx="30">
                  <c:v>0.12100699123980703</c:v>
                </c:pt>
                <c:pt idx="31">
                  <c:v>0.11877687653832762</c:v>
                </c:pt>
                <c:pt idx="32">
                  <c:v>0.11654676036736915</c:v>
                </c:pt>
                <c:pt idx="33">
                  <c:v>0.11431664264142659</c:v>
                </c:pt>
                <c:pt idx="34">
                  <c:v>0.11208652326822853</c:v>
                </c:pt>
                <c:pt idx="35">
                  <c:v>0.10985640214805552</c:v>
                </c:pt>
                <c:pt idx="36">
                  <c:v>0.10762627917297249</c:v>
                </c:pt>
                <c:pt idx="37">
                  <c:v>0.10539615422596467</c:v>
                </c:pt>
                <c:pt idx="38">
                  <c:v>0.10316602717996205</c:v>
                </c:pt>
                <c:pt idx="39">
                  <c:v>0.10093589789673471</c:v>
                </c:pt>
                <c:pt idx="40">
                  <c:v>0.17613463991361261</c:v>
                </c:pt>
                <c:pt idx="41">
                  <c:v>0.26120931230991251</c:v>
                </c:pt>
                <c:pt idx="42">
                  <c:v>0.16001229732404229</c:v>
                </c:pt>
                <c:pt idx="43">
                  <c:v>7.9054990815865533E-2</c:v>
                </c:pt>
                <c:pt idx="44">
                  <c:v>7.7170686007568129E-2</c:v>
                </c:pt>
                <c:pt idx="45">
                  <c:v>7.5286378911843366E-2</c:v>
                </c:pt>
                <c:pt idx="46">
                  <c:v>7.3402069352507079E-2</c:v>
                </c:pt>
                <c:pt idx="47">
                  <c:v>7.1517757134804766E-2</c:v>
                </c:pt>
                <c:pt idx="48">
                  <c:v>6.9633442042904892E-2</c:v>
                </c:pt>
                <c:pt idx="49">
                  <c:v>6.7749123836975386E-2</c:v>
                </c:pt>
                <c:pt idx="50">
                  <c:v>6.5864802249694335E-2</c:v>
                </c:pt>
                <c:pt idx="51">
                  <c:v>6.3980476982244419E-2</c:v>
                </c:pt>
                <c:pt idx="52">
                  <c:v>6.209614769957382E-2</c:v>
                </c:pt>
                <c:pt idx="53">
                  <c:v>6.0211814024647745E-2</c:v>
                </c:pt>
                <c:pt idx="54">
                  <c:v>5.8327475531702803E-2</c:v>
                </c:pt>
                <c:pt idx="55">
                  <c:v>5.6443131738113106E-2</c:v>
                </c:pt>
                <c:pt idx="56">
                  <c:v>5.4558782094594284E-2</c:v>
                </c:pt>
                <c:pt idx="57">
                  <c:v>5.2674425973154651E-2</c:v>
                </c:pt>
                <c:pt idx="58">
                  <c:v>5.0790062652590492E-2</c:v>
                </c:pt>
                <c:pt idx="59">
                  <c:v>4.890569130059412E-2</c:v>
                </c:pt>
                <c:pt idx="60">
                  <c:v>9.6886244918692702E-2</c:v>
                </c:pt>
                <c:pt idx="61">
                  <c:v>0</c:v>
                </c:pt>
              </c:numCache>
            </c:numRef>
          </c:yVal>
          <c:smooth val="0"/>
          <c:extLst>
            <c:ext xmlns:c16="http://schemas.microsoft.com/office/drawing/2014/chart" uri="{C3380CC4-5D6E-409C-BE32-E72D297353CC}">
              <c16:uniqueId val="{00000001-86D4-4F3F-8DC7-6910F807D59F}"/>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7</xdr:col>
      <xdr:colOff>0</xdr:colOff>
      <xdr:row>2</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4622800" y="4572000"/>
          <a:ext cx="1320800" cy="2540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全機解析</a:t>
          </a:r>
        </a:p>
      </xdr:txBody>
    </xdr:sp>
    <xdr:clientData/>
  </xdr:twoCellAnchor>
  <xdr:twoCellAnchor>
    <xdr:from>
      <xdr:col>9</xdr:col>
      <xdr:colOff>0</xdr:colOff>
      <xdr:row>1</xdr:row>
      <xdr:rowOff>0</xdr:rowOff>
    </xdr:from>
    <xdr:to>
      <xdr:col>10</xdr:col>
      <xdr:colOff>0</xdr:colOff>
      <xdr:row>2</xdr:row>
      <xdr:rowOff>0</xdr:rowOff>
    </xdr:to>
    <xdr:sp macro="" textlink="">
      <xdr:nvSpPr>
        <xdr:cNvPr id="4" name="正方形/長方形 1">
          <a:extLst>
            <a:ext uri="{FF2B5EF4-FFF2-40B4-BE49-F238E27FC236}">
              <a16:creationId xmlns:a16="http://schemas.microsoft.com/office/drawing/2014/main" id="{DF1998F1-1D7F-D94B-9EF5-4A26324FF780}"/>
            </a:ext>
          </a:extLst>
        </xdr:cNvPr>
        <xdr:cNvSpPr/>
      </xdr:nvSpPr>
      <xdr:spPr>
        <a:xfrm>
          <a:off x="7391400" y="254000"/>
          <a:ext cx="660400" cy="2540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トリム</a:t>
          </a:r>
          <a:endParaRPr kumimoji="1" lang="en-US" altLang="ja-JP"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20</xdr:row>
      <xdr:rowOff>0</xdr:rowOff>
    </xdr:from>
    <xdr:to>
      <xdr:col>18</xdr:col>
      <xdr:colOff>787869</xdr:colOff>
      <xdr:row>25</xdr:row>
      <xdr:rowOff>270462</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26</xdr:row>
      <xdr:rowOff>0</xdr:rowOff>
    </xdr:from>
    <xdr:to>
      <xdr:col>19</xdr:col>
      <xdr:colOff>0</xdr:colOff>
      <xdr:row>32</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26</xdr:row>
      <xdr:rowOff>0</xdr:rowOff>
    </xdr:from>
    <xdr:to>
      <xdr:col>12</xdr:col>
      <xdr:colOff>0</xdr:colOff>
      <xdr:row>32</xdr:row>
      <xdr:rowOff>0</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41</xdr:row>
      <xdr:rowOff>0</xdr:rowOff>
    </xdr:from>
    <xdr:to>
      <xdr:col>3</xdr:col>
      <xdr:colOff>0</xdr:colOff>
      <xdr:row>42</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14</xdr:row>
      <xdr:rowOff>1</xdr:rowOff>
    </xdr:from>
    <xdr:to>
      <xdr:col>19</xdr:col>
      <xdr:colOff>0</xdr:colOff>
      <xdr:row>20</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20</xdr:row>
      <xdr:rowOff>0</xdr:rowOff>
    </xdr:from>
    <xdr:to>
      <xdr:col>12</xdr:col>
      <xdr:colOff>0</xdr:colOff>
      <xdr:row>25</xdr:row>
      <xdr:rowOff>270462</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1</xdr:row>
      <xdr:rowOff>0</xdr:rowOff>
    </xdr:from>
    <xdr:to>
      <xdr:col>7</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770106" y="256702"/>
          <a:ext cx="770107" cy="256702"/>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20</xdr:col>
      <xdr:colOff>5158</xdr:colOff>
      <xdr:row>32</xdr:row>
      <xdr:rowOff>0</xdr:rowOff>
    </xdr:from>
    <xdr:to>
      <xdr:col>22</xdr:col>
      <xdr:colOff>0</xdr:colOff>
      <xdr:row>33</xdr:row>
      <xdr:rowOff>0</xdr:rowOff>
    </xdr:to>
    <xdr:sp macro="" textlink="">
      <xdr:nvSpPr>
        <xdr:cNvPr id="2" name="正方形/長方形 1">
          <a:extLst>
            <a:ext uri="{FF2B5EF4-FFF2-40B4-BE49-F238E27FC236}">
              <a16:creationId xmlns:a16="http://schemas.microsoft.com/office/drawing/2014/main" id="{037D5614-D1C1-D840-87D5-3AB54FB5E773}"/>
            </a:ext>
          </a:extLst>
        </xdr:cNvPr>
        <xdr:cNvSpPr/>
      </xdr:nvSpPr>
      <xdr:spPr>
        <a:xfrm>
          <a:off x="16047979" y="7946571"/>
          <a:ext cx="1505235" cy="24492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twoCellAnchor>
    <xdr:from>
      <xdr:col>20</xdr:col>
      <xdr:colOff>0</xdr:colOff>
      <xdr:row>15</xdr:row>
      <xdr:rowOff>0</xdr:rowOff>
    </xdr:from>
    <xdr:to>
      <xdr:col>22</xdr:col>
      <xdr:colOff>0</xdr:colOff>
      <xdr:row>16</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プレビュー</a:t>
          </a:r>
          <a:endParaRPr kumimoji="1" lang="en-US" altLang="ja-JP" sz="1100">
            <a:solidFill>
              <a:sysClr val="windowText" lastClr="000000"/>
            </a:solidFill>
          </a:endParaRPr>
        </a:p>
      </xdr:txBody>
    </xdr:sp>
    <xdr:clientData/>
  </xdr:twoCellAnchor>
  <xdr:twoCellAnchor>
    <xdr:from>
      <xdr:col>3</xdr:col>
      <xdr:colOff>163286</xdr:colOff>
      <xdr:row>0</xdr:row>
      <xdr:rowOff>136072</xdr:rowOff>
    </xdr:from>
    <xdr:to>
      <xdr:col>4</xdr:col>
      <xdr:colOff>272145</xdr:colOff>
      <xdr:row>1</xdr:row>
      <xdr:rowOff>149678</xdr:rowOff>
    </xdr:to>
    <xdr:sp macro="[0]!Test" textlink="">
      <xdr:nvSpPr>
        <xdr:cNvPr id="6" name="正方形/長方形 1">
          <a:extLst>
            <a:ext uri="{FF2B5EF4-FFF2-40B4-BE49-F238E27FC236}">
              <a16:creationId xmlns:a16="http://schemas.microsoft.com/office/drawing/2014/main" id="{2CB4E46E-9339-484C-B711-1CA28F10A781}"/>
            </a:ext>
          </a:extLst>
        </xdr:cNvPr>
        <xdr:cNvSpPr/>
      </xdr:nvSpPr>
      <xdr:spPr>
        <a:xfrm>
          <a:off x="2462893" y="136072"/>
          <a:ext cx="884466" cy="25853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Test</a:t>
          </a:r>
        </a:p>
      </xdr:txBody>
    </xdr:sp>
    <xdr:clientData/>
  </xdr:twoCellAnchor>
  <xdr:twoCellAnchor>
    <xdr:from>
      <xdr:col>1</xdr:col>
      <xdr:colOff>-1</xdr:colOff>
      <xdr:row>32</xdr:row>
      <xdr:rowOff>0</xdr:rowOff>
    </xdr:from>
    <xdr:to>
      <xdr:col>11</xdr:col>
      <xdr:colOff>779317</xdr:colOff>
      <xdr:row>38</xdr:row>
      <xdr:rowOff>0</xdr:rowOff>
    </xdr:to>
    <xdr:graphicFrame macro="">
      <xdr:nvGraphicFramePr>
        <xdr:cNvPr id="3" name="グラフ 2">
          <a:extLst>
            <a:ext uri="{FF2B5EF4-FFF2-40B4-BE49-F238E27FC236}">
              <a16:creationId xmlns:a16="http://schemas.microsoft.com/office/drawing/2014/main" id="{9AD59056-1B8A-B020-F400-6EF4614FA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12</xdr:col>
      <xdr:colOff>0</xdr:colOff>
      <xdr:row>1</xdr:row>
      <xdr:rowOff>0</xdr:rowOff>
    </xdr:from>
    <xdr:to>
      <xdr:col>17</xdr:col>
      <xdr:colOff>431321</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56</xdr:row>
      <xdr:rowOff>0</xdr:rowOff>
    </xdr:from>
    <xdr:to>
      <xdr:col>6</xdr:col>
      <xdr:colOff>0</xdr:colOff>
      <xdr:row>57</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29</xdr:row>
      <xdr:rowOff>0</xdr:rowOff>
    </xdr:from>
    <xdr:to>
      <xdr:col>11</xdr:col>
      <xdr:colOff>0</xdr:colOff>
      <xdr:row>44</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56</xdr:row>
      <xdr:rowOff>0</xdr:rowOff>
    </xdr:from>
    <xdr:to>
      <xdr:col>4</xdr:col>
      <xdr:colOff>0</xdr:colOff>
      <xdr:row>57</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0</xdr:rowOff>
    </xdr:from>
    <xdr:to>
      <xdr:col>2</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1</xdr:col>
      <xdr:colOff>0</xdr:colOff>
      <xdr:row>1</xdr:row>
      <xdr:rowOff>0</xdr:rowOff>
    </xdr:from>
    <xdr:to>
      <xdr:col>2</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11</xdr:col>
      <xdr:colOff>1</xdr:colOff>
      <xdr:row>29</xdr:row>
      <xdr:rowOff>0</xdr:rowOff>
    </xdr:from>
    <xdr:to>
      <xdr:col>21</xdr:col>
      <xdr:colOff>1</xdr:colOff>
      <xdr:row>44</xdr:row>
      <xdr:rowOff>0</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813955</xdr:colOff>
      <xdr:row>33</xdr:row>
      <xdr:rowOff>0</xdr:rowOff>
    </xdr:from>
    <xdr:to>
      <xdr:col>12</xdr:col>
      <xdr:colOff>813956</xdr:colOff>
      <xdr:row>48</xdr:row>
      <xdr:rowOff>0</xdr:rowOff>
    </xdr:to>
    <xdr:graphicFrame macro="">
      <xdr:nvGraphicFramePr>
        <xdr:cNvPr id="3" name="グラフ 2">
          <a:extLst>
            <a:ext uri="{FF2B5EF4-FFF2-40B4-BE49-F238E27FC236}">
              <a16:creationId xmlns:a16="http://schemas.microsoft.com/office/drawing/2014/main" id="{7FA45E5B-DD1B-4881-97E4-8156DDCC7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mori_hayato_889_s_kyushu-u_ac_jp/Documents/AircraftDesign/QX-23/QX-23_ver202302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oyha\AircraftDesign_Local\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5">
          <cell r="G45">
            <v>0</v>
          </cell>
          <cell r="Q45">
            <v>0.32550000000000001</v>
          </cell>
          <cell r="R45">
            <v>-0.60450000000000004</v>
          </cell>
          <cell r="W45">
            <v>0.94680950698245947</v>
          </cell>
          <cell r="AD45">
            <v>0</v>
          </cell>
          <cell r="AK45">
            <v>4.3374994180241933</v>
          </cell>
          <cell r="AL45">
            <v>4.6227974178418583</v>
          </cell>
          <cell r="AM45">
            <v>0.10866205954255492</v>
          </cell>
          <cell r="AO45">
            <v>4.5394180727612179</v>
          </cell>
          <cell r="AP45">
            <v>6.1667423451219262E-2</v>
          </cell>
          <cell r="AQ45">
            <v>1.6241376704037309</v>
          </cell>
        </row>
        <row r="46">
          <cell r="G46">
            <v>0</v>
          </cell>
          <cell r="Q46">
            <v>0.32550000000000001</v>
          </cell>
          <cell r="R46">
            <v>-0.60450000000000004</v>
          </cell>
          <cell r="W46">
            <v>0.9464093984719093</v>
          </cell>
          <cell r="AD46">
            <v>2.6916278656568984E-4</v>
          </cell>
          <cell r="AK46">
            <v>4.3371977672033255</v>
          </cell>
          <cell r="AL46">
            <v>4.6208438880390972</v>
          </cell>
          <cell r="AM46">
            <v>0.10827979787719134</v>
          </cell>
          <cell r="AO46">
            <v>4.5377621745395196</v>
          </cell>
          <cell r="AP46">
            <v>6.1657759713140324E-2</v>
          </cell>
          <cell r="AQ46">
            <v>1.6241376704037309</v>
          </cell>
        </row>
        <row r="47">
          <cell r="G47">
            <v>0</v>
          </cell>
          <cell r="Q47">
            <v>0.32550000000000001</v>
          </cell>
          <cell r="R47">
            <v>-0.60450000000000004</v>
          </cell>
          <cell r="W47">
            <v>0.94571548945922179</v>
          </cell>
          <cell r="AD47">
            <v>1.0662380245494774E-3</v>
          </cell>
          <cell r="AK47">
            <v>4.3362092225500097</v>
          </cell>
          <cell r="AL47">
            <v>4.6174558772846508</v>
          </cell>
          <cell r="AM47">
            <v>0.10839943274864004</v>
          </cell>
          <cell r="AO47">
            <v>4.5344549973943113</v>
          </cell>
          <cell r="AP47">
            <v>6.1662028654210284E-2</v>
          </cell>
          <cell r="AQ47">
            <v>1.6241376704037309</v>
          </cell>
        </row>
        <row r="48">
          <cell r="G48">
            <v>0</v>
          </cell>
          <cell r="Q48">
            <v>0.32550000000000001</v>
          </cell>
          <cell r="R48">
            <v>-0.60450000000000004</v>
          </cell>
          <cell r="W48">
            <v>0.94474173861407362</v>
          </cell>
          <cell r="AD48">
            <v>2.3706396992875297E-3</v>
          </cell>
          <cell r="AK48">
            <v>4.3343775446386292</v>
          </cell>
          <cell r="AL48">
            <v>4.6127015387832149</v>
          </cell>
          <cell r="AM48">
            <v>0.10899853949826203</v>
          </cell>
          <cell r="AO48">
            <v>4.5294969152299887</v>
          </cell>
          <cell r="AP48">
            <v>6.1666398592313709E-2</v>
          </cell>
          <cell r="AQ48">
            <v>1.6241376704037309</v>
          </cell>
        </row>
        <row r="49">
          <cell r="G49">
            <v>0</v>
          </cell>
          <cell r="Q49">
            <v>0.32550000000000001</v>
          </cell>
          <cell r="R49">
            <v>-0.60450000000000004</v>
          </cell>
          <cell r="W49">
            <v>0.94347065711899025</v>
          </cell>
          <cell r="AD49">
            <v>4.1622624304133741E-3</v>
          </cell>
          <cell r="AK49">
            <v>4.3316031052342145</v>
          </cell>
          <cell r="AL49">
            <v>4.6064954833834699</v>
          </cell>
          <cell r="AM49">
            <v>0.11010528406479972</v>
          </cell>
          <cell r="AO49">
            <v>4.5228898291127146</v>
          </cell>
          <cell r="AP49">
            <v>6.1668386456400819E-2</v>
          </cell>
          <cell r="AQ49">
            <v>1.6241376704037309</v>
          </cell>
        </row>
        <row r="50">
          <cell r="G50">
            <v>0</v>
          </cell>
          <cell r="Q50">
            <v>0.32550000000000001</v>
          </cell>
          <cell r="R50">
            <v>-0.60450000000000004</v>
          </cell>
          <cell r="W50">
            <v>0.94185589066384467</v>
          </cell>
          <cell r="AD50">
            <v>6.4214818253486971E-3</v>
          </cell>
          <cell r="AK50">
            <v>4.3278108788656668</v>
          </cell>
          <cell r="AL50">
            <v>4.5986113861662217</v>
          </cell>
          <cell r="AM50">
            <v>0.11179423559198774</v>
          </cell>
          <cell r="AO50">
            <v>4.5146347262897173</v>
          </cell>
          <cell r="AP50">
            <v>6.1671104564282021E-2</v>
          </cell>
          <cell r="AQ50">
            <v>1.6241376704037309</v>
          </cell>
        </row>
        <row r="51">
          <cell r="G51">
            <v>0</v>
          </cell>
          <cell r="Q51">
            <v>0.32550000000000001</v>
          </cell>
          <cell r="R51">
            <v>-0.60450000000000004</v>
          </cell>
          <cell r="W51">
            <v>0.93981632778849067</v>
          </cell>
          <cell r="AD51">
            <v>9.1291545072453746E-3</v>
          </cell>
          <cell r="AK51">
            <v>4.3229360465386026</v>
          </cell>
          <cell r="AL51">
            <v>4.5886532204273056</v>
          </cell>
          <cell r="AM51">
            <v>0.11439669766263827</v>
          </cell>
          <cell r="AO51">
            <v>4.50472786858895</v>
          </cell>
          <cell r="AP51">
            <v>6.1678556202888098E-2</v>
          </cell>
          <cell r="AQ51">
            <v>1.6241376704037309</v>
          </cell>
        </row>
        <row r="52">
          <cell r="G52">
            <v>0</v>
          </cell>
          <cell r="Q52">
            <v>0.32550000000000001</v>
          </cell>
          <cell r="R52">
            <v>-0.60450000000000004</v>
          </cell>
          <cell r="W52">
            <v>0.9371370235249018</v>
          </cell>
          <cell r="AD52">
            <v>1.217148939470244E-2</v>
          </cell>
          <cell r="AK52">
            <v>4.3169206989536546</v>
          </cell>
          <cell r="AL52">
            <v>4.5755715173603333</v>
          </cell>
          <cell r="AM52">
            <v>0.11830962801709066</v>
          </cell>
          <cell r="AO52">
            <v>4.4931626141468168</v>
          </cell>
          <cell r="AP52">
            <v>6.1687157680691634E-2</v>
          </cell>
          <cell r="AQ52">
            <v>1.6241376704037309</v>
          </cell>
        </row>
        <row r="53">
          <cell r="G53">
            <v>0</v>
          </cell>
          <cell r="Q53">
            <v>0.32550000000000001</v>
          </cell>
          <cell r="R53">
            <v>-0.60450000000000004</v>
          </cell>
          <cell r="W53">
            <v>0.93723398712143735</v>
          </cell>
          <cell r="AD53">
            <v>1.5411123849198861E-2</v>
          </cell>
          <cell r="AK53">
            <v>4.30971581795822</v>
          </cell>
          <cell r="AL53">
            <v>4.5555429486521364</v>
          </cell>
          <cell r="AM53">
            <v>0.11771833152586314</v>
          </cell>
          <cell r="AO53">
            <v>4.4799344861173749</v>
          </cell>
          <cell r="AP53">
            <v>6.1693459396737087E-2</v>
          </cell>
          <cell r="AQ53">
            <v>1.6241376704037309</v>
          </cell>
        </row>
        <row r="54">
          <cell r="G54">
            <v>0</v>
          </cell>
          <cell r="Q54">
            <v>0.32258333333333328</v>
          </cell>
          <cell r="R54">
            <v>-0.59908333333333341</v>
          </cell>
          <cell r="W54">
            <v>0.94009255005315018</v>
          </cell>
          <cell r="AD54">
            <v>1.8860990021273932E-2</v>
          </cell>
          <cell r="AK54">
            <v>4.3012838757375675</v>
          </cell>
          <cell r="AL54">
            <v>4.5283083020372681</v>
          </cell>
          <cell r="AM54">
            <v>0.11225245196777073</v>
          </cell>
          <cell r="AO54">
            <v>4.4650459507604259</v>
          </cell>
          <cell r="AP54">
            <v>6.1691975534940262E-2</v>
          </cell>
          <cell r="AQ54">
            <v>1.6241376704037309</v>
          </cell>
        </row>
        <row r="55">
          <cell r="G55">
            <v>0</v>
          </cell>
          <cell r="Q55">
            <v>0.31966666666666665</v>
          </cell>
          <cell r="R55">
            <v>-0.59366666666666668</v>
          </cell>
          <cell r="W55">
            <v>0.94225968972056862</v>
          </cell>
          <cell r="AD55">
            <v>2.2687204503309605E-2</v>
          </cell>
          <cell r="AK55">
            <v>4.2915942981092359</v>
          </cell>
          <cell r="AL55">
            <v>4.4975232814974895</v>
          </cell>
          <cell r="AM55">
            <v>0.10756772182274331</v>
          </cell>
          <cell r="AO55">
            <v>4.4485030767862126</v>
          </cell>
          <cell r="AP55">
            <v>6.1689035554797614E-2</v>
          </cell>
          <cell r="AQ55">
            <v>1.6241376704037309</v>
          </cell>
        </row>
        <row r="56">
          <cell r="G56">
            <v>0</v>
          </cell>
          <cell r="Q56">
            <v>0.31674999999999998</v>
          </cell>
          <cell r="R56">
            <v>-0.58825000000000005</v>
          </cell>
          <cell r="W56">
            <v>0.94398366876620099</v>
          </cell>
          <cell r="AD56">
            <v>2.7008770785102134E-2</v>
          </cell>
          <cell r="AK56">
            <v>4.2806138389309272</v>
          </cell>
          <cell r="AL56">
            <v>4.4644527634711517</v>
          </cell>
          <cell r="AM56">
            <v>0.10358995862179768</v>
          </cell>
          <cell r="AO56">
            <v>4.4303062328085305</v>
          </cell>
          <cell r="AP56">
            <v>6.1688407352974033E-2</v>
          </cell>
          <cell r="AQ56">
            <v>1.6241376704037309</v>
          </cell>
        </row>
        <row r="57">
          <cell r="G57">
            <v>0</v>
          </cell>
          <cell r="Q57">
            <v>0.31383333333333335</v>
          </cell>
          <cell r="R57">
            <v>-0.58283333333333331</v>
          </cell>
          <cell r="W57">
            <v>0.94538260772483784</v>
          </cell>
          <cell r="AD57">
            <v>3.1823302581267629E-2</v>
          </cell>
          <cell r="AK57">
            <v>4.2683086081642365</v>
          </cell>
          <cell r="AL57">
            <v>4.4297083813206939</v>
          </cell>
          <cell r="AM57">
            <v>0.10012950486737446</v>
          </cell>
          <cell r="AO57">
            <v>4.4104527164011564</v>
          </cell>
          <cell r="AP57">
            <v>6.1686929241852227E-2</v>
          </cell>
          <cell r="AQ57">
            <v>1.6241376704037309</v>
          </cell>
        </row>
        <row r="58">
          <cell r="G58">
            <v>0</v>
          </cell>
          <cell r="Q58">
            <v>0.31091666666666662</v>
          </cell>
          <cell r="R58">
            <v>-0.57741666666666669</v>
          </cell>
          <cell r="W58">
            <v>0.9465266169729023</v>
          </cell>
          <cell r="AD58">
            <v>3.7128248693090338E-2</v>
          </cell>
          <cell r="AK58">
            <v>4.2546475080416091</v>
          </cell>
          <cell r="AL58">
            <v>4.3936582401610904</v>
          </cell>
          <cell r="AM58">
            <v>9.7073864792488224E-2</v>
          </cell>
          <cell r="AO58">
            <v>4.3889408232818345</v>
          </cell>
          <cell r="AP58">
            <v>6.1684470707707842E-2</v>
          </cell>
          <cell r="AQ58">
            <v>1.6241376704037309</v>
          </cell>
        </row>
        <row r="59">
          <cell r="G59">
            <v>0</v>
          </cell>
          <cell r="Q59">
            <v>0.308</v>
          </cell>
          <cell r="R59">
            <v>-0.57200000000000006</v>
          </cell>
          <cell r="W59">
            <v>0.94746152387819527</v>
          </cell>
          <cell r="AD59">
            <v>4.2920885905150877E-2</v>
          </cell>
          <cell r="AK59">
            <v>4.2396008831785226</v>
          </cell>
          <cell r="AL59">
            <v>4.3565465194824267</v>
          </cell>
          <cell r="AM59">
            <v>9.4349589332904757E-2</v>
          </cell>
          <cell r="AO59">
            <v>4.3657688019967154</v>
          </cell>
          <cell r="AP59">
            <v>6.1680976417668357E-2</v>
          </cell>
          <cell r="AQ59">
            <v>1.6241376704037309</v>
          </cell>
        </row>
        <row r="60">
          <cell r="G60">
            <v>0</v>
          </cell>
          <cell r="Q60">
            <v>0.30508333333333332</v>
          </cell>
          <cell r="R60">
            <v>-0.56658333333333344</v>
          </cell>
          <cell r="W60">
            <v>0.94821896556596819</v>
          </cell>
          <cell r="AD60">
            <v>4.9198311391975474E-2</v>
          </cell>
          <cell r="AK60">
            <v>4.2231399840479273</v>
          </cell>
          <cell r="AL60">
            <v>4.3185447512995063</v>
          </cell>
          <cell r="AM60">
            <v>9.1906066121823365E-2</v>
          </cell>
          <cell r="AO60">
            <v>4.3409345743068384</v>
          </cell>
          <cell r="AP60">
            <v>6.1676404538389386E-2</v>
          </cell>
          <cell r="AQ60">
            <v>1.6241376704037309</v>
          </cell>
        </row>
        <row r="61">
          <cell r="G61">
            <v>0</v>
          </cell>
          <cell r="Q61">
            <v>0.30216666666666664</v>
          </cell>
          <cell r="R61">
            <v>-0.56116666666666659</v>
          </cell>
          <cell r="W61">
            <v>0.94882146164343661</v>
          </cell>
          <cell r="AD61">
            <v>5.5957434647614365E-2</v>
          </cell>
          <cell r="AK61">
            <v>4.2052365822702873</v>
          </cell>
          <cell r="AL61">
            <v>4.2797778054254261</v>
          </cell>
          <cell r="AM61">
            <v>8.9707374310652871E-2</v>
          </cell>
          <cell r="AO61">
            <v>4.3144355573931561</v>
          </cell>
          <cell r="AP61">
            <v>6.1670720871396141E-2</v>
          </cell>
          <cell r="AQ61">
            <v>1.6241376704037309</v>
          </cell>
        </row>
        <row r="62">
          <cell r="G62">
            <v>0</v>
          </cell>
          <cell r="Q62">
            <v>0.29924999999999996</v>
          </cell>
          <cell r="R62">
            <v>-0.55574999999999997</v>
          </cell>
          <cell r="W62">
            <v>0.94928521849881997</v>
          </cell>
          <cell r="AD62">
            <v>6.3194968942661384E-2</v>
          </cell>
          <cell r="AK62">
            <v>4.1858626403148786</v>
          </cell>
          <cell r="AL62">
            <v>4.2403384103819164</v>
          </cell>
          <cell r="AM62">
            <v>8.7727783948473359E-2</v>
          </cell>
          <cell r="AO62">
            <v>4.2862685018512465</v>
          </cell>
          <cell r="AP62">
            <v>6.1663898861110067E-2</v>
          </cell>
          <cell r="AQ62">
            <v>1.6241376704037309</v>
          </cell>
        </row>
        <row r="63">
          <cell r="G63">
            <v>0</v>
          </cell>
          <cell r="Q63">
            <v>0.29633333333333334</v>
          </cell>
          <cell r="R63">
            <v>-0.55033333333333334</v>
          </cell>
          <cell r="W63">
            <v>0.9496217589154059</v>
          </cell>
          <cell r="AD63">
            <v>7.0907422308855605E-2</v>
          </cell>
          <cell r="AK63">
            <v>4.1649900037789118</v>
          </cell>
          <cell r="AL63">
            <v>4.2002957424027052</v>
          </cell>
          <cell r="AM63">
            <v>8.5949143106020934E-2</v>
          </cell>
          <cell r="AO63">
            <v>4.2564293230495727</v>
          </cell>
          <cell r="AP63">
            <v>6.1655920445967322E-2</v>
          </cell>
          <cell r="AQ63">
            <v>1.6241376704037309</v>
          </cell>
        </row>
        <row r="64">
          <cell r="G64">
            <v>0</v>
          </cell>
          <cell r="Q64">
            <v>0.29341666666666666</v>
          </cell>
          <cell r="R64">
            <v>-0.54491666666666672</v>
          </cell>
          <cell r="W64">
            <v>0.94983887070295003</v>
          </cell>
          <cell r="AD64">
            <v>7.9091088049328032E-2</v>
          </cell>
          <cell r="AK64">
            <v>4.1425901038577368</v>
          </cell>
          <cell r="AL64">
            <v>4.1597006043847324</v>
          </cell>
          <cell r="AM64">
            <v>8.4359359858812044E-2</v>
          </cell>
          <cell r="AO64">
            <v>4.2249129208097056</v>
          </cell>
          <cell r="AP64">
            <v>6.1646776108866909E-2</v>
          </cell>
          <cell r="AQ64">
            <v>1.6241376704037309</v>
          </cell>
        </row>
        <row r="65">
          <cell r="G65">
            <v>0</v>
          </cell>
          <cell r="Q65">
            <v>0.29049999999999998</v>
          </cell>
          <cell r="R65">
            <v>-0.53950000000000009</v>
          </cell>
          <cell r="W65">
            <v>0.94994111548608218</v>
          </cell>
          <cell r="AD65">
            <v>8.7742034771973204E-2</v>
          </cell>
          <cell r="AK65">
            <v>4.1186336773418413</v>
          </cell>
          <cell r="AL65">
            <v>4.1185884488293452</v>
          </cell>
          <cell r="AM65">
            <v>8.2951591959080875E-2</v>
          </cell>
          <cell r="AO65">
            <v>4.1917130009573418</v>
          </cell>
          <cell r="AP65">
            <v>6.1636459695170731E-2</v>
          </cell>
          <cell r="AQ65">
            <v>1.6241376704037309</v>
          </cell>
        </row>
        <row r="66">
          <cell r="G66">
            <v>0</v>
          </cell>
          <cell r="Q66">
            <v>0.2875833333333333</v>
          </cell>
          <cell r="R66">
            <v>-0.53408333333333335</v>
          </cell>
          <cell r="W66">
            <v>0.94993003602094916</v>
          </cell>
          <cell r="AD66">
            <v>9.6856095943915879E-2</v>
          </cell>
          <cell r="AK66">
            <v>4.0930905772717683</v>
          </cell>
          <cell r="AL66">
            <v>4.0769809733474114</v>
          </cell>
          <cell r="AM66">
            <v>8.1723922038837118E-2</v>
          </cell>
          <cell r="AO66">
            <v>4.1568219788463701</v>
          </cell>
          <cell r="AP66">
            <v>6.1624919890163013E-2</v>
          </cell>
          <cell r="AQ66">
            <v>1.6241376704037309</v>
          </cell>
        </row>
        <row r="67">
          <cell r="G67">
            <v>0</v>
          </cell>
          <cell r="Q67">
            <v>0.28466666666666668</v>
          </cell>
          <cell r="R67">
            <v>-0.52866666666666662</v>
          </cell>
          <cell r="W67">
            <v>0.94980426278047192</v>
          </cell>
          <cell r="AD67">
            <v>0.10642885896635097</v>
          </cell>
          <cell r="AK67">
            <v>4.0659302107147344</v>
          </cell>
          <cell r="AL67">
            <v>4.0348872338242918</v>
          </cell>
          <cell r="AM67">
            <v>8.0679195448591576E-2</v>
          </cell>
          <cell r="AO67">
            <v>4.1202315182805691</v>
          </cell>
          <cell r="AP67">
            <v>6.1610326265118254E-2</v>
          </cell>
          <cell r="AQ67">
            <v>1.6241376704037309</v>
          </cell>
        </row>
        <row r="68">
          <cell r="G68">
            <v>0</v>
          </cell>
          <cell r="Q68">
            <v>0.28174999999999994</v>
          </cell>
          <cell r="R68">
            <v>-0.52324999999999999</v>
          </cell>
          <cell r="W68">
            <v>0.94956063994030293</v>
          </cell>
          <cell r="AD68">
            <v>0.11645565377101839</v>
          </cell>
          <cell r="AK68">
            <v>4.0371201886414037</v>
          </cell>
          <cell r="AL68">
            <v>3.9923090155490111</v>
          </cell>
          <cell r="AM68">
            <v>7.9823216810461867E-2</v>
          </cell>
          <cell r="AO68">
            <v>4.0819313384295395</v>
          </cell>
          <cell r="AP68">
            <v>6.1596920686320208E-2</v>
          </cell>
          <cell r="AQ68">
            <v>1.6241376704037309</v>
          </cell>
        </row>
        <row r="69">
          <cell r="G69">
            <v>0</v>
          </cell>
          <cell r="Q69">
            <v>0.27883333333333332</v>
          </cell>
          <cell r="R69">
            <v>-0.51783333333333337</v>
          </cell>
          <cell r="W69">
            <v>0.94921296163942481</v>
          </cell>
          <cell r="AD69">
            <v>0.12693154094261894</v>
          </cell>
          <cell r="AK69">
            <v>4.0066179435366065</v>
          </cell>
          <cell r="AL69">
            <v>3.9493191785210318</v>
          </cell>
          <cell r="AM69">
            <v>7.9484887900578491E-2</v>
          </cell>
          <cell r="AO69">
            <v>4.0419005448550909</v>
          </cell>
          <cell r="AP69">
            <v>6.1589910894325098E-2</v>
          </cell>
          <cell r="AQ69">
            <v>1.6241376704037309</v>
          </cell>
        </row>
        <row r="70">
          <cell r="G70">
            <v>0</v>
          </cell>
          <cell r="Q70">
            <v>0.27591666666666664</v>
          </cell>
          <cell r="R70">
            <v>-0.51241666666666674</v>
          </cell>
          <cell r="W70">
            <v>0.94869844371433509</v>
          </cell>
          <cell r="AD70">
            <v>0.1377515411288979</v>
          </cell>
          <cell r="AK70">
            <v>3.9743665202798852</v>
          </cell>
          <cell r="AL70">
            <v>3.9056729054664534</v>
          </cell>
          <cell r="AM70">
            <v>7.978944956978927E-2</v>
          </cell>
          <cell r="AO70">
            <v>4.000103008428197</v>
          </cell>
          <cell r="AP70">
            <v>6.158166294614717E-2</v>
          </cell>
          <cell r="AQ70">
            <v>1.6241376704037309</v>
          </cell>
        </row>
        <row r="71">
          <cell r="G71">
            <v>0</v>
          </cell>
          <cell r="Q71">
            <v>0.27299999999999996</v>
          </cell>
          <cell r="R71">
            <v>-0.50700000000000012</v>
          </cell>
          <cell r="W71">
            <v>0.94875162070968644</v>
          </cell>
          <cell r="AD71">
            <v>0.14881191806480717</v>
          </cell>
          <cell r="AK71">
            <v>3.9403108258423893</v>
          </cell>
          <cell r="AL71">
            <v>3.8602331567625368</v>
          </cell>
          <cell r="AM71">
            <v>7.8974805725240058E-2</v>
          </cell>
          <cell r="AO71">
            <v>3.9565044980250836</v>
          </cell>
          <cell r="AP71">
            <v>6.1563981635377137E-2</v>
          </cell>
          <cell r="AQ71">
            <v>1.6241376704037309</v>
          </cell>
        </row>
        <row r="72">
          <cell r="G72">
            <v>0</v>
          </cell>
          <cell r="Q72">
            <v>0.26949999999999996</v>
          </cell>
          <cell r="R72">
            <v>-0.50050000000000006</v>
          </cell>
          <cell r="W72">
            <v>0.94937414556650235</v>
          </cell>
          <cell r="AD72">
            <v>0.16023007981174334</v>
          </cell>
          <cell r="AK72">
            <v>3.9044016623657796</v>
          </cell>
          <cell r="AL72">
            <v>3.8129239121314651</v>
          </cell>
          <cell r="AM72">
            <v>7.7017412114447917E-2</v>
          </cell>
          <cell r="AO72">
            <v>3.9110774690128829</v>
          </cell>
          <cell r="AP72">
            <v>6.1543686919122466E-2</v>
          </cell>
          <cell r="AQ72">
            <v>1.6241376704037309</v>
          </cell>
        </row>
        <row r="73">
          <cell r="G73">
            <v>0</v>
          </cell>
          <cell r="Q73">
            <v>0.26599999999999996</v>
          </cell>
          <cell r="R73">
            <v>-0.49400000000000005</v>
          </cell>
          <cell r="W73">
            <v>0.94977666734143895</v>
          </cell>
          <cell r="AD73">
            <v>0.1721202091427626</v>
          </cell>
          <cell r="AK73">
            <v>3.8665752081629683</v>
          </cell>
          <cell r="AL73">
            <v>3.7646772651746288</v>
          </cell>
          <cell r="AM73">
            <v>7.5420588138314579E-2</v>
          </cell>
          <cell r="AO73">
            <v>3.8637799129584613</v>
          </cell>
          <cell r="AP73">
            <v>6.1526289938361685E-2</v>
          </cell>
          <cell r="AQ73">
            <v>1.6241376704037309</v>
          </cell>
        </row>
        <row r="74">
          <cell r="G74">
            <v>0</v>
          </cell>
          <cell r="Q74">
            <v>0.26249999999999996</v>
          </cell>
          <cell r="R74">
            <v>-0.48750000000000004</v>
          </cell>
          <cell r="W74">
            <v>0.9500154803202906</v>
          </cell>
          <cell r="AD74">
            <v>0.18447308883385627</v>
          </cell>
          <cell r="AK74">
            <v>3.8267431033704571</v>
          </cell>
          <cell r="AL74">
            <v>3.7157480474027365</v>
          </cell>
          <cell r="AM74">
            <v>7.4094540709099876E-2</v>
          </cell>
          <cell r="AO74">
            <v>3.8145451950005009</v>
          </cell>
          <cell r="AP74">
            <v>6.1509978683970012E-2</v>
          </cell>
          <cell r="AQ74">
            <v>1.6241376704037309</v>
          </cell>
        </row>
        <row r="75">
          <cell r="G75">
            <v>0</v>
          </cell>
          <cell r="Q75">
            <v>0.25900000000000001</v>
          </cell>
          <cell r="R75">
            <v>-0.48099999999999998</v>
          </cell>
          <cell r="W75">
            <v>0.9501145768138971</v>
          </cell>
          <cell r="AD75">
            <v>0.19727913341132042</v>
          </cell>
          <cell r="AK75">
            <v>3.7847845233980606</v>
          </cell>
          <cell r="AL75">
            <v>3.6662546232806252</v>
          </cell>
          <cell r="AM75">
            <v>7.3001573217395518E-2</v>
          </cell>
          <cell r="AO75">
            <v>3.7632744491614871</v>
          </cell>
          <cell r="AP75">
            <v>6.1497069284427115E-2</v>
          </cell>
          <cell r="AQ75">
            <v>1.6241376704037309</v>
          </cell>
        </row>
        <row r="76">
          <cell r="G76">
            <v>0</v>
          </cell>
          <cell r="Q76">
            <v>0.2555</v>
          </cell>
          <cell r="R76">
            <v>-0.47449999999999998</v>
          </cell>
          <cell r="W76">
            <v>0.9500841880485732</v>
          </cell>
          <cell r="AD76">
            <v>0.21052837965191729</v>
          </cell>
          <cell r="AK76">
            <v>3.7405139553008793</v>
          </cell>
          <cell r="AL76">
            <v>3.6162579407598816</v>
          </cell>
          <cell r="AM76">
            <v>7.2126246566924429E-2</v>
          </cell>
          <cell r="AO76">
            <v>3.7098046628272869</v>
          </cell>
          <cell r="AP76">
            <v>6.149564043629796E-2</v>
          </cell>
          <cell r="AQ76">
            <v>1.6241376704037309</v>
          </cell>
        </row>
        <row r="77">
          <cell r="G77">
            <v>0</v>
          </cell>
          <cell r="Q77">
            <v>0.252</v>
          </cell>
          <cell r="R77">
            <v>-0.46799999999999997</v>
          </cell>
          <cell r="W77">
            <v>0.94992627166951782</v>
          </cell>
          <cell r="AD77">
            <v>0.22421047768440569</v>
          </cell>
          <cell r="AK77">
            <v>3.6935870539179385</v>
          </cell>
          <cell r="AL77">
            <v>3.5657857422794526</v>
          </cell>
          <cell r="AM77">
            <v>7.1466557563204219E-2</v>
          </cell>
          <cell r="AO77">
            <v>3.6538154174163804</v>
          </cell>
          <cell r="AP77">
            <v>6.1551697719155266E-2</v>
          </cell>
          <cell r="AQ77">
            <v>1.6241376704037309</v>
          </cell>
        </row>
        <row r="78">
          <cell r="G78">
            <v>0</v>
          </cell>
          <cell r="Q78">
            <v>0.24849999999999997</v>
          </cell>
          <cell r="R78">
            <v>-0.46150000000000002</v>
          </cell>
          <cell r="W78">
            <v>0.94963597111136122</v>
          </cell>
          <cell r="AD78">
            <v>0.23831468297004293</v>
          </cell>
          <cell r="AK78">
            <v>3.6430276565661242</v>
          </cell>
          <cell r="AL78">
            <v>3.5148401380759253</v>
          </cell>
          <cell r="AM78">
            <v>7.1031604576349577E-2</v>
          </cell>
          <cell r="AO78">
            <v>3.5943612325513605</v>
          </cell>
          <cell r="AP78">
            <v>6.2997316631308642E-2</v>
          </cell>
          <cell r="AQ78">
            <v>1.6241376704037309</v>
          </cell>
        </row>
        <row r="79">
          <cell r="G79">
            <v>0</v>
          </cell>
          <cell r="Q79">
            <v>0.24499999999999997</v>
          </cell>
          <cell r="R79">
            <v>-0.45499999999999996</v>
          </cell>
          <cell r="W79">
            <v>0.94919948634358564</v>
          </cell>
          <cell r="AD79">
            <v>0.252829849484494</v>
          </cell>
          <cell r="AK79">
            <v>3.5887308664607751</v>
          </cell>
          <cell r="AL79">
            <v>3.4633916257961586</v>
          </cell>
          <cell r="AM79">
            <v>7.0845034040652677E-2</v>
          </cell>
          <cell r="AO79">
            <v>3.5313336382535985</v>
          </cell>
          <cell r="AP79">
            <v>6.4700312387622819E-2</v>
          </cell>
          <cell r="AQ79">
            <v>1.6241376704037309</v>
          </cell>
        </row>
        <row r="80">
          <cell r="G80">
            <v>0</v>
          </cell>
          <cell r="Q80">
            <v>0.24149999999999999</v>
          </cell>
          <cell r="R80">
            <v>-0.44850000000000007</v>
          </cell>
          <cell r="W80">
            <v>0.9485604970360777</v>
          </cell>
          <cell r="AD80">
            <v>0.26774442450360242</v>
          </cell>
          <cell r="AK80">
            <v>3.5362822484947327</v>
          </cell>
          <cell r="AL80">
            <v>3.4112606874659948</v>
          </cell>
          <cell r="AM80">
            <v>7.100035859016289E-2</v>
          </cell>
          <cell r="AO80">
            <v>3.4702595278104269</v>
          </cell>
          <cell r="AP80">
            <v>5.666830233772123E-2</v>
          </cell>
          <cell r="AQ80">
            <v>1.6241376704037309</v>
          </cell>
        </row>
        <row r="81">
          <cell r="G81">
            <v>0</v>
          </cell>
          <cell r="Q81">
            <v>0.23799999999999996</v>
          </cell>
          <cell r="R81">
            <v>-0.44199999999999995</v>
          </cell>
          <cell r="W81">
            <v>0.94774960460171531</v>
          </cell>
          <cell r="AD81">
            <v>0.2934618417419691</v>
          </cell>
          <cell r="AK81">
            <v>3.4872161155041854</v>
          </cell>
          <cell r="AL81">
            <v>3.3585876613073284</v>
          </cell>
          <cell r="AM81">
            <v>7.1452420958522875E-2</v>
          </cell>
          <cell r="AO81">
            <v>3.4127693739728433</v>
          </cell>
          <cell r="AP81">
            <v>5.8734633129996772E-2</v>
          </cell>
          <cell r="AQ81">
            <v>1.6241376704037309</v>
          </cell>
        </row>
        <row r="82">
          <cell r="G82">
            <v>2.0905692653530695E-2</v>
          </cell>
          <cell r="Q82">
            <v>0.23449999999999996</v>
          </cell>
          <cell r="R82">
            <v>-0.4355</v>
          </cell>
          <cell r="W82">
            <v>0.94673759550906444</v>
          </cell>
          <cell r="AD82">
            <v>0.32989374046845504</v>
          </cell>
          <cell r="AK82">
            <v>3.4345718586454868</v>
          </cell>
          <cell r="AL82">
            <v>3.3052976303210211</v>
          </cell>
          <cell r="AM82">
            <v>7.2251470754833444E-2</v>
          </cell>
          <cell r="AO82">
            <v>3.3520323268746446</v>
          </cell>
          <cell r="AP82">
            <v>6.0181982357289734E-2</v>
          </cell>
          <cell r="AQ82">
            <v>1.6241376704037309</v>
          </cell>
        </row>
        <row r="83">
          <cell r="G83">
            <v>4.181138530706139E-2</v>
          </cell>
          <cell r="Q83">
            <v>0.23099999999999996</v>
          </cell>
          <cell r="R83">
            <v>-0.42899999999999994</v>
          </cell>
          <cell r="W83">
            <v>0.94544889306780211</v>
          </cell>
          <cell r="AD83">
            <v>0.36668183356853951</v>
          </cell>
          <cell r="AK83">
            <v>3.3787572012357932</v>
          </cell>
          <cell r="AL83">
            <v>3.2511623810369041</v>
          </cell>
          <cell r="AM83">
            <v>7.3521586764193556E-2</v>
          </cell>
          <cell r="AO83">
            <v>3.2884407058411389</v>
          </cell>
          <cell r="AP83">
            <v>6.0169431686834918E-2</v>
          </cell>
          <cell r="AQ83">
            <v>1.6241376704037309</v>
          </cell>
        </row>
        <row r="84">
          <cell r="G84">
            <v>6.2717077960592088E-2</v>
          </cell>
          <cell r="Q84">
            <v>0.22749999999999995</v>
          </cell>
          <cell r="R84">
            <v>-0.42249999999999999</v>
          </cell>
          <cell r="W84">
            <v>0.94379953359625579</v>
          </cell>
          <cell r="AD84">
            <v>0.4038124033421393</v>
          </cell>
          <cell r="AK84">
            <v>3.3204412051753009</v>
          </cell>
          <cell r="AL84">
            <v>3.1959411706403209</v>
          </cell>
          <cell r="AM84">
            <v>7.5400594167138499E-2</v>
          </cell>
          <cell r="AO84">
            <v>3.2226691021911131</v>
          </cell>
          <cell r="AP84">
            <v>6.0140149644187707E-2</v>
          </cell>
          <cell r="AQ84">
            <v>1.6241376704037309</v>
          </cell>
        </row>
        <row r="85">
          <cell r="G85">
            <v>8.3622770614122779E-2</v>
          </cell>
          <cell r="Q85">
            <v>0.22399999999999995</v>
          </cell>
          <cell r="R85">
            <v>-0.41599999999999993</v>
          </cell>
          <cell r="W85">
            <v>0.94165655252118918</v>
          </cell>
          <cell r="AD85">
            <v>0.44127124901077558</v>
          </cell>
          <cell r="AK85">
            <v>3.2596956301270028</v>
          </cell>
          <cell r="AL85">
            <v>3.1392475319675137</v>
          </cell>
          <cell r="AM85">
            <v>7.8105442050830795E-2</v>
          </cell>
          <cell r="AO85">
            <v>3.1548105167025957</v>
          </cell>
          <cell r="AP85">
            <v>6.011572932259128E-2</v>
          </cell>
          <cell r="AQ85">
            <v>1.6241376704037309</v>
          </cell>
        </row>
        <row r="86">
          <cell r="G86">
            <v>0.10452846326765347</v>
          </cell>
          <cell r="Q86">
            <v>0.22049999999999995</v>
          </cell>
          <cell r="R86">
            <v>-0.40949999999999998</v>
          </cell>
          <cell r="W86">
            <v>0.93879495538631208</v>
          </cell>
          <cell r="AD86">
            <v>0.479043687787225</v>
          </cell>
          <cell r="AK86">
            <v>3.196470478171701</v>
          </cell>
          <cell r="AL86">
            <v>3.0804209473613358</v>
          </cell>
          <cell r="AM86">
            <v>8.2166752126709416E-2</v>
          </cell>
          <cell r="AO86">
            <v>3.0848408773913074</v>
          </cell>
          <cell r="AP86">
            <v>6.0102034646962621E-2</v>
          </cell>
          <cell r="AQ86">
            <v>1.6241376704037309</v>
          </cell>
        </row>
        <row r="87">
          <cell r="G87">
            <v>0.12543415592118418</v>
          </cell>
          <cell r="Q87">
            <v>0.21699999999999994</v>
          </cell>
          <cell r="R87">
            <v>-0.40299999999999991</v>
          </cell>
          <cell r="W87">
            <v>0.93467881118619223</v>
          </cell>
          <cell r="AD87">
            <v>0.51704160307671521</v>
          </cell>
          <cell r="AK87">
            <v>3.1306532557322204</v>
          </cell>
          <cell r="AL87">
            <v>3.0178442116174176</v>
          </cell>
          <cell r="AM87">
            <v>8.8495953790768148E-2</v>
          </cell>
          <cell r="AO87">
            <v>3.0126764259899801</v>
          </cell>
          <cell r="AP87">
            <v>6.0094061755642018E-2</v>
          </cell>
          <cell r="AQ87">
            <v>1.6241376704037309</v>
          </cell>
        </row>
        <row r="88">
          <cell r="G88">
            <v>0.14633984857471488</v>
          </cell>
          <cell r="Q88">
            <v>0.21349999999999994</v>
          </cell>
          <cell r="R88">
            <v>-0.39649999999999996</v>
          </cell>
          <cell r="W88">
            <v>0.92581523809429889</v>
          </cell>
          <cell r="AD88">
            <v>0.55515670387683835</v>
          </cell>
          <cell r="AK88">
            <v>3.0620933338044254</v>
          </cell>
          <cell r="AL88">
            <v>2.9450393136333752</v>
          </cell>
          <cell r="AM88">
            <v>8.690756999356368E-2</v>
          </cell>
          <cell r="AO88">
            <v>2.9381979357129437</v>
          </cell>
          <cell r="AP88">
            <v>6.0083164921764569E-2</v>
          </cell>
          <cell r="AQ88">
            <v>1.6241376704037309</v>
          </cell>
        </row>
        <row r="89">
          <cell r="G89">
            <v>0.16724554122824559</v>
          </cell>
          <cell r="Q89">
            <v>0.21063636363636359</v>
          </cell>
          <cell r="R89">
            <v>-0.39118181818181808</v>
          </cell>
          <cell r="W89">
            <v>0.91204988037927548</v>
          </cell>
          <cell r="AD89">
            <v>0.59338079104046582</v>
          </cell>
          <cell r="AK89">
            <v>2.9906221746717625</v>
          </cell>
          <cell r="AL89">
            <v>2.8620747098492827</v>
          </cell>
          <cell r="AM89">
            <v>7.7448128799040186E-2</v>
          </cell>
          <cell r="AO89">
            <v>2.8612713951169981</v>
          </cell>
          <cell r="AP89">
            <v>6.0065380027753558E-2</v>
          </cell>
          <cell r="AQ89">
            <v>1.6196524276397553</v>
          </cell>
        </row>
        <row r="90">
          <cell r="G90">
            <v>0.18815123388177629</v>
          </cell>
          <cell r="Q90">
            <v>0.20777272727272722</v>
          </cell>
          <cell r="R90">
            <v>-0.3858636363636363</v>
          </cell>
          <cell r="W90">
            <v>0.89675127858365955</v>
          </cell>
          <cell r="AD90">
            <v>0.63180494376845797</v>
          </cell>
          <cell r="AK90">
            <v>2.9160543090945006</v>
          </cell>
          <cell r="AL90">
            <v>2.7755471107708098</v>
          </cell>
          <cell r="AM90">
            <v>7.0340666337979266E-2</v>
          </cell>
          <cell r="AO90">
            <v>2.7817494237169127</v>
          </cell>
          <cell r="AP90">
            <v>6.0046591893775467E-2</v>
          </cell>
          <cell r="AQ90">
            <v>1.6151671848757798</v>
          </cell>
        </row>
        <row r="91">
          <cell r="G91">
            <v>0.209056926535307</v>
          </cell>
          <cell r="Q91">
            <v>0.20490909090909085</v>
          </cell>
          <cell r="R91">
            <v>-0.38054545454545452</v>
          </cell>
          <cell r="W91">
            <v>0.88044533228821442</v>
          </cell>
          <cell r="AD91">
            <v>0.67049265546924164</v>
          </cell>
          <cell r="AK91">
            <v>2.8381691652707444</v>
          </cell>
          <cell r="AL91">
            <v>2.6872592249919487</v>
          </cell>
          <cell r="AM91">
            <v>6.4885751392835589E-2</v>
          </cell>
          <cell r="AO91">
            <v>2.6994535306492824</v>
          </cell>
          <cell r="AP91">
            <v>6.0030794859609216E-2</v>
          </cell>
          <cell r="AQ91">
            <v>1.6106819421118042</v>
          </cell>
        </row>
        <row r="92">
          <cell r="G92">
            <v>0.2299626191888377</v>
          </cell>
          <cell r="Q92">
            <v>0.2020454545454545</v>
          </cell>
          <cell r="R92">
            <v>-0.37522727272727263</v>
          </cell>
          <cell r="W92">
            <v>0.86334983833268752</v>
          </cell>
          <cell r="AD92">
            <v>0.70942732651551388</v>
          </cell>
          <cell r="AK92">
            <v>2.7567006806363166</v>
          </cell>
          <cell r="AL92">
            <v>2.5979962578281697</v>
          </cell>
          <cell r="AM92">
            <v>6.0734201237324321E-2</v>
          </cell>
          <cell r="AO92">
            <v>2.614164429622178</v>
          </cell>
          <cell r="AP92">
            <v>6.0017167030328541E-2</v>
          </cell>
          <cell r="AQ92">
            <v>1.6061966993478287</v>
          </cell>
        </row>
        <row r="93">
          <cell r="G93">
            <v>0.25086831184236841</v>
          </cell>
          <cell r="Q93">
            <v>0.19918181818181813</v>
          </cell>
          <cell r="R93">
            <v>-0.36990909090909085</v>
          </cell>
          <cell r="W93">
            <v>0.84555557259374547</v>
          </cell>
          <cell r="AD93">
            <v>0.7485916612921627</v>
          </cell>
          <cell r="AK93">
            <v>2.6713323732374881</v>
          </cell>
          <cell r="AL93">
            <v>2.5081292172061973</v>
          </cell>
          <cell r="AM93">
            <v>5.7740059578246995E-2</v>
          </cell>
          <cell r="AO93">
            <v>2.5256181940328291</v>
          </cell>
          <cell r="AP93">
            <v>6.00056885869737E-2</v>
          </cell>
          <cell r="AQ93">
            <v>1.6017114565838533</v>
          </cell>
        </row>
        <row r="94">
          <cell r="G94">
            <v>0.27177400449589911</v>
          </cell>
          <cell r="Q94">
            <v>0.19631818181818178</v>
          </cell>
          <cell r="R94">
            <v>-0.36459090909090902</v>
          </cell>
          <cell r="W94">
            <v>0.82707536750807664</v>
          </cell>
          <cell r="AD94">
            <v>0.78796770548921358</v>
          </cell>
          <cell r="AK94">
            <v>2.5816854449958648</v>
          </cell>
          <cell r="AL94">
            <v>2.4177856624028715</v>
          </cell>
          <cell r="AM94">
            <v>5.5882152441842511E-2</v>
          </cell>
          <cell r="AO94">
            <v>2.4334957999128513</v>
          </cell>
          <cell r="AP94">
            <v>5.9996355745592499E-2</v>
          </cell>
          <cell r="AQ94">
            <v>1.5972262138198778</v>
          </cell>
        </row>
        <row r="95">
          <cell r="G95">
            <v>0.29267969714942982</v>
          </cell>
          <cell r="Q95">
            <v>0.19345454545454543</v>
          </cell>
          <cell r="R95">
            <v>-0.3592727272727273</v>
          </cell>
          <cell r="W95">
            <v>0.80785402036998843</v>
          </cell>
          <cell r="AD95">
            <v>0.82753690348075615</v>
          </cell>
          <cell r="AK95">
            <v>2.4873022206255788</v>
          </cell>
          <cell r="AL95">
            <v>2.3268949834452379</v>
          </cell>
          <cell r="AM95">
            <v>5.5248522923694705E-2</v>
          </cell>
          <cell r="AO95">
            <v>2.3374084787433058</v>
          </cell>
          <cell r="AP95">
            <v>5.998916123605387E-2</v>
          </cell>
          <cell r="AQ95">
            <v>1.5927409710559022</v>
          </cell>
        </row>
        <row r="96">
          <cell r="G96">
            <v>0.31358538980296052</v>
          </cell>
          <cell r="Q96">
            <v>0.19059090909090903</v>
          </cell>
          <cell r="R96">
            <v>-0.35395454545454541</v>
          </cell>
          <cell r="W96">
            <v>0.78775268741695414</v>
          </cell>
          <cell r="AD96">
            <v>0.86728018179878086</v>
          </cell>
          <cell r="AK96">
            <v>2.3876228977761649</v>
          </cell>
          <cell r="AL96">
            <v>2.2351587331947642</v>
          </cell>
          <cell r="AM96">
            <v>5.6062028924866919E-2</v>
          </cell>
          <cell r="AO96">
            <v>2.236877091902715</v>
          </cell>
          <cell r="AP96">
            <v>5.9984090839341246E-2</v>
          </cell>
          <cell r="AQ96">
            <v>1.5882557282919265</v>
          </cell>
        </row>
        <row r="97">
          <cell r="G97">
            <v>0.33449108245649123</v>
          </cell>
          <cell r="Q97">
            <v>0.18772727272727271</v>
          </cell>
          <cell r="R97">
            <v>-0.34863636363636363</v>
          </cell>
          <cell r="W97">
            <v>0.76649267956045464</v>
          </cell>
          <cell r="AD97">
            <v>0.90717806589308903</v>
          </cell>
          <cell r="AK97">
            <v>2.281952235177418</v>
          </cell>
          <cell r="AL97">
            <v>2.1419115321671747</v>
          </cell>
          <cell r="AM97">
            <v>5.8771745067903072E-2</v>
          </cell>
          <cell r="AO97">
            <v>2.131302517596072</v>
          </cell>
          <cell r="AP97">
            <v>5.998112366650931E-2</v>
          </cell>
          <cell r="AQ97">
            <v>1.5837704855279511</v>
          </cell>
        </row>
        <row r="98">
          <cell r="G98">
            <v>0.35539677511002193</v>
          </cell>
          <cell r="Q98">
            <v>0.18486363636363631</v>
          </cell>
          <cell r="R98">
            <v>-0.34331818181818174</v>
          </cell>
          <cell r="W98">
            <v>0.74346807226459977</v>
          </cell>
          <cell r="AD98">
            <v>0.94721083855560251</v>
          </cell>
          <cell r="AK98">
            <v>2.169410412467228</v>
          </cell>
          <cell r="AL98">
            <v>2.0456355038344038</v>
          </cell>
          <cell r="AM98">
            <v>6.4357251739436405E-2</v>
          </cell>
          <cell r="AO98">
            <v>2.0199218914574453</v>
          </cell>
          <cell r="AP98">
            <v>5.9980238684742178E-2</v>
          </cell>
          <cell r="AQ98">
            <v>1.5792852427639754</v>
          </cell>
        </row>
        <row r="99">
          <cell r="G99">
            <v>0.37630246776355264</v>
          </cell>
          <cell r="Q99">
            <v>0.182</v>
          </cell>
          <cell r="R99">
            <v>-0.33800000000000002</v>
          </cell>
          <cell r="W99">
            <v>0.72298086689049967</v>
          </cell>
          <cell r="AD99">
            <v>0.9873587488948905</v>
          </cell>
          <cell r="AK99">
            <v>2.0488578233676766</v>
          </cell>
          <cell r="AL99">
            <v>1.9405258330382817</v>
          </cell>
          <cell r="AM99">
            <v>6.4376970251124876E-2</v>
          </cell>
          <cell r="AO99">
            <v>1.9017415288698709</v>
          </cell>
          <cell r="AP99">
            <v>5.9981438878112289E-2</v>
          </cell>
          <cell r="AQ99">
            <v>1.5748</v>
          </cell>
        </row>
        <row r="100">
          <cell r="G100">
            <v>0.39720816041708334</v>
          </cell>
          <cell r="Q100">
            <v>0.175875</v>
          </cell>
          <cell r="R100">
            <v>-0.32662500000000005</v>
          </cell>
          <cell r="W100">
            <v>0.70452868583299966</v>
          </cell>
          <cell r="AD100">
            <v>1.0276022770032365</v>
          </cell>
          <cell r="AK100">
            <v>1.9187745971209305</v>
          </cell>
          <cell r="AL100">
            <v>1.8262704528077289</v>
          </cell>
          <cell r="AM100">
            <v>5.9583816891212983E-2</v>
          </cell>
          <cell r="AO100">
            <v>1.7754293074258067</v>
          </cell>
          <cell r="AP100">
            <v>5.9984831077651589E-2</v>
          </cell>
          <cell r="AQ100">
            <v>1.5748</v>
          </cell>
        </row>
        <row r="101">
          <cell r="G101">
            <v>0.41811385307061405</v>
          </cell>
          <cell r="Q101">
            <v>0.16974999999999998</v>
          </cell>
          <cell r="R101">
            <v>-0.31525000000000003</v>
          </cell>
          <cell r="W101">
            <v>0.68298295606981851</v>
          </cell>
          <cell r="AD101">
            <v>1.0679224545069794</v>
          </cell>
          <cell r="AK101">
            <v>1.7770561856692757</v>
          </cell>
          <cell r="AL101">
            <v>1.7076708223483181</v>
          </cell>
          <cell r="AM101">
            <v>5.9721784845724289E-2</v>
          </cell>
          <cell r="AO101">
            <v>1.6391318105768924</v>
          </cell>
          <cell r="AP101">
            <v>5.9990916427748085E-2</v>
          </cell>
          <cell r="AQ101">
            <v>1.5748</v>
          </cell>
        </row>
        <row r="102">
          <cell r="G102">
            <v>0.43901954572414476</v>
          </cell>
          <cell r="Q102">
            <v>0.16362499999999999</v>
          </cell>
          <cell r="R102">
            <v>-0.30387500000000001</v>
          </cell>
          <cell r="W102">
            <v>0.65787342917058955</v>
          </cell>
          <cell r="AD102">
            <v>1.1083012473752099</v>
          </cell>
          <cell r="AK102">
            <v>1.6206396935690015</v>
          </cell>
          <cell r="AL102">
            <v>1.5844470370680417</v>
          </cell>
          <cell r="AM102">
            <v>6.5537467697057011E-2</v>
          </cell>
          <cell r="AO102">
            <v>1.4901395970147053</v>
          </cell>
          <cell r="AP102">
            <v>6.0001921379788346E-2</v>
          </cell>
          <cell r="AQ102">
            <v>1.5748</v>
          </cell>
        </row>
        <row r="103">
          <cell r="G103">
            <v>0.45992523837767546</v>
          </cell>
          <cell r="Q103">
            <v>0.15749999999999997</v>
          </cell>
          <cell r="R103">
            <v>-0.29249999999999998</v>
          </cell>
          <cell r="W103">
            <v>0.62759302327708533</v>
          </cell>
          <cell r="AD103">
            <v>1.1487220171945105</v>
          </cell>
          <cell r="AK103">
            <v>1.4447471670561076</v>
          </cell>
          <cell r="AL103">
            <v>1.4538584629853226</v>
          </cell>
          <cell r="AM103">
            <v>7.9614115401247049E-2</v>
          </cell>
          <cell r="AO103">
            <v>1.3242084444670321</v>
          </cell>
          <cell r="AP103">
            <v>6.0031277483252973E-2</v>
          </cell>
          <cell r="AQ103">
            <v>1.5748</v>
          </cell>
        </row>
        <row r="104">
          <cell r="G104">
            <v>0.48083093103120617</v>
          </cell>
          <cell r="Q104">
            <v>0.15137499999999995</v>
          </cell>
          <cell r="R104">
            <v>-0.28112499999999996</v>
          </cell>
          <cell r="W104">
            <v>0.58839885677977788</v>
          </cell>
          <cell r="AD104">
            <v>1.1891700725759398</v>
          </cell>
          <cell r="AK104">
            <v>1.2410833041573173</v>
          </cell>
          <cell r="AL104">
            <v>1.3090035816922621</v>
          </cell>
          <cell r="AM104">
            <v>0.10797733579228633</v>
          </cell>
          <cell r="AO104">
            <v>1.1339406289682192</v>
          </cell>
          <cell r="AP104">
            <v>6.0388803065872389E-2</v>
          </cell>
          <cell r="AQ104">
            <v>1.5748</v>
          </cell>
        </row>
        <row r="105">
          <cell r="G105">
            <v>0.50173662368473682</v>
          </cell>
          <cell r="Q105">
            <v>0.14524999999999999</v>
          </cell>
          <cell r="R105">
            <v>-0.26975000000000005</v>
          </cell>
          <cell r="W105">
            <v>0.53078155626959989</v>
          </cell>
          <cell r="AD105">
            <v>1.229633300646241</v>
          </cell>
          <cell r="AK105">
            <v>0.99321773604811425</v>
          </cell>
          <cell r="AL105">
            <v>1.1320575379812561</v>
          </cell>
          <cell r="AM105">
            <v>0.16597461461065091</v>
          </cell>
          <cell r="AO105">
            <v>0.90465143981240459</v>
          </cell>
          <cell r="AP105">
            <v>6.2961309767693444E-2</v>
          </cell>
          <cell r="AQ105">
            <v>1.5748</v>
          </cell>
        </row>
        <row r="106">
          <cell r="G106">
            <v>0.52264231633826752</v>
          </cell>
          <cell r="Q106">
            <v>0.13912499999999997</v>
          </cell>
          <cell r="R106">
            <v>-0.25837500000000002</v>
          </cell>
          <cell r="W106">
            <v>0.42399707128493419</v>
          </cell>
          <cell r="AD106">
            <v>1.2701027651496113</v>
          </cell>
          <cell r="AK106">
            <v>0.66245682850989263</v>
          </cell>
          <cell r="AL106">
            <v>0.86535152267559523</v>
          </cell>
          <cell r="AM106">
            <v>0.32650480712752777</v>
          </cell>
          <cell r="AO106">
            <v>0.60160188269667603</v>
          </cell>
          <cell r="AP106">
            <v>5.668295335730731E-2</v>
          </cell>
          <cell r="AQ106">
            <v>1.5748</v>
          </cell>
        </row>
        <row r="107">
          <cell r="G107">
            <v>0.54354800899179823</v>
          </cell>
          <cell r="Q107">
            <v>0.13299999999999995</v>
          </cell>
          <cell r="R107">
            <v>-0.24699999999999994</v>
          </cell>
          <cell r="AD107">
            <v>1.300999463528985</v>
          </cell>
          <cell r="AO107">
            <v>0</v>
          </cell>
          <cell r="AP107">
            <v>0</v>
          </cell>
          <cell r="AQ107">
            <v>1.5748</v>
          </cell>
        </row>
      </sheetData>
      <sheetData sheetId="2"/>
      <sheetData sheetId="3"/>
      <sheetData sheetId="4">
        <row r="45">
          <cell r="E45">
            <v>0</v>
          </cell>
        </row>
        <row r="46">
          <cell r="E46">
            <v>0.01</v>
          </cell>
        </row>
        <row r="47">
          <cell r="E47">
            <v>0.02</v>
          </cell>
        </row>
        <row r="48">
          <cell r="E48">
            <v>0.03</v>
          </cell>
        </row>
        <row r="49">
          <cell r="E49">
            <v>0.04</v>
          </cell>
        </row>
        <row r="50">
          <cell r="E50">
            <v>0.05</v>
          </cell>
        </row>
        <row r="51">
          <cell r="E51">
            <v>0.06</v>
          </cell>
        </row>
        <row r="52">
          <cell r="E52">
            <v>7.0000000000000007E-2</v>
          </cell>
        </row>
        <row r="53">
          <cell r="E53">
            <v>0.08</v>
          </cell>
        </row>
        <row r="54">
          <cell r="E54">
            <v>0.09</v>
          </cell>
        </row>
        <row r="55">
          <cell r="E55">
            <v>0.1</v>
          </cell>
        </row>
        <row r="56">
          <cell r="E56">
            <v>0.11</v>
          </cell>
        </row>
        <row r="57">
          <cell r="E57">
            <v>0.12</v>
          </cell>
        </row>
        <row r="58">
          <cell r="E58">
            <v>0.13</v>
          </cell>
        </row>
        <row r="59">
          <cell r="E59">
            <v>0.14000000000000001</v>
          </cell>
        </row>
        <row r="60">
          <cell r="E60">
            <v>0.15</v>
          </cell>
        </row>
        <row r="61">
          <cell r="E61">
            <v>0.16</v>
          </cell>
        </row>
        <row r="62">
          <cell r="E62">
            <v>0.17</v>
          </cell>
        </row>
        <row r="63">
          <cell r="E63">
            <v>0.18</v>
          </cell>
        </row>
        <row r="64">
          <cell r="E64">
            <v>0.19</v>
          </cell>
        </row>
        <row r="65">
          <cell r="E65">
            <v>0.2</v>
          </cell>
        </row>
        <row r="66">
          <cell r="E66">
            <v>0.21</v>
          </cell>
        </row>
        <row r="67">
          <cell r="E67">
            <v>0.22</v>
          </cell>
        </row>
        <row r="68">
          <cell r="E68">
            <v>0.23</v>
          </cell>
        </row>
        <row r="69">
          <cell r="E69">
            <v>0.24</v>
          </cell>
        </row>
        <row r="70">
          <cell r="E70">
            <v>0.25</v>
          </cell>
        </row>
        <row r="71">
          <cell r="E71">
            <v>0.26</v>
          </cell>
        </row>
        <row r="72">
          <cell r="E72">
            <v>0.27</v>
          </cell>
        </row>
        <row r="73">
          <cell r="E73">
            <v>0.28000000000000003</v>
          </cell>
        </row>
        <row r="74">
          <cell r="E74">
            <v>0.28999999999999998</v>
          </cell>
        </row>
        <row r="75">
          <cell r="E75">
            <v>0.3</v>
          </cell>
        </row>
        <row r="76">
          <cell r="E76">
            <v>0.31</v>
          </cell>
        </row>
        <row r="77">
          <cell r="E77">
            <v>0.32</v>
          </cell>
        </row>
        <row r="78">
          <cell r="E78">
            <v>0.33</v>
          </cell>
        </row>
        <row r="79">
          <cell r="E79">
            <v>0.34</v>
          </cell>
        </row>
        <row r="80">
          <cell r="E80">
            <v>0.35000000000000003</v>
          </cell>
        </row>
        <row r="81">
          <cell r="E81">
            <v>0.36</v>
          </cell>
        </row>
        <row r="82">
          <cell r="E82">
            <v>0.37</v>
          </cell>
        </row>
        <row r="83">
          <cell r="E83">
            <v>0.38</v>
          </cell>
        </row>
        <row r="84">
          <cell r="E84">
            <v>0.39</v>
          </cell>
        </row>
        <row r="85">
          <cell r="E85">
            <v>0.4</v>
          </cell>
        </row>
        <row r="86">
          <cell r="E86">
            <v>0.41000000000000003</v>
          </cell>
        </row>
        <row r="87">
          <cell r="E87">
            <v>0.42</v>
          </cell>
        </row>
        <row r="88">
          <cell r="E88">
            <v>0.43</v>
          </cell>
        </row>
        <row r="89">
          <cell r="E89">
            <v>0.44</v>
          </cell>
        </row>
        <row r="90">
          <cell r="E90">
            <v>0.45</v>
          </cell>
        </row>
        <row r="91">
          <cell r="E91">
            <v>0.46</v>
          </cell>
        </row>
        <row r="92">
          <cell r="E92">
            <v>0.47000000000000003</v>
          </cell>
        </row>
        <row r="93">
          <cell r="E93">
            <v>0.48</v>
          </cell>
        </row>
        <row r="94">
          <cell r="E94">
            <v>0.49</v>
          </cell>
        </row>
        <row r="95">
          <cell r="E95">
            <v>0.5</v>
          </cell>
        </row>
        <row r="96">
          <cell r="E96">
            <v>0.51</v>
          </cell>
        </row>
        <row r="97">
          <cell r="E97">
            <v>0.52</v>
          </cell>
        </row>
        <row r="98">
          <cell r="E98">
            <v>0.53</v>
          </cell>
        </row>
        <row r="99">
          <cell r="E99">
            <v>0.54</v>
          </cell>
        </row>
        <row r="100">
          <cell r="E100">
            <v>0.55000000000000004</v>
          </cell>
        </row>
        <row r="101">
          <cell r="E101">
            <v>0.56000000000000005</v>
          </cell>
        </row>
        <row r="102">
          <cell r="E102">
            <v>0.57000000000000006</v>
          </cell>
        </row>
        <row r="103">
          <cell r="E103">
            <v>0.57999999999999996</v>
          </cell>
        </row>
        <row r="104">
          <cell r="E104">
            <v>0.59</v>
          </cell>
        </row>
        <row r="105">
          <cell r="E105">
            <v>0.6</v>
          </cell>
        </row>
        <row r="106">
          <cell r="E106">
            <v>0.61</v>
          </cell>
        </row>
        <row r="107">
          <cell r="E107">
            <v>0.62</v>
          </cell>
        </row>
        <row r="108">
          <cell r="E108">
            <v>0.63</v>
          </cell>
        </row>
        <row r="109">
          <cell r="E109">
            <v>0.64</v>
          </cell>
        </row>
        <row r="110">
          <cell r="E110">
            <v>0.65</v>
          </cell>
        </row>
        <row r="111">
          <cell r="E111">
            <v>0.66</v>
          </cell>
        </row>
        <row r="112">
          <cell r="E112">
            <v>0.67</v>
          </cell>
        </row>
        <row r="113">
          <cell r="E113">
            <v>0.68</v>
          </cell>
        </row>
        <row r="114">
          <cell r="E114">
            <v>0.69000000000000006</v>
          </cell>
        </row>
        <row r="115">
          <cell r="E115">
            <v>0.70000000000000007</v>
          </cell>
        </row>
        <row r="116">
          <cell r="E116">
            <v>0.71</v>
          </cell>
        </row>
        <row r="117">
          <cell r="E117">
            <v>0.72</v>
          </cell>
        </row>
        <row r="118">
          <cell r="E118">
            <v>0.73</v>
          </cell>
        </row>
        <row r="119">
          <cell r="E119">
            <v>0.74</v>
          </cell>
        </row>
        <row r="120">
          <cell r="E120">
            <v>0.75</v>
          </cell>
        </row>
        <row r="121">
          <cell r="E121">
            <v>0.76</v>
          </cell>
        </row>
        <row r="122">
          <cell r="E122">
            <v>0.77</v>
          </cell>
        </row>
        <row r="123">
          <cell r="E123">
            <v>0.78</v>
          </cell>
        </row>
        <row r="124">
          <cell r="E124">
            <v>0.79</v>
          </cell>
        </row>
        <row r="125">
          <cell r="E125">
            <v>0.8</v>
          </cell>
        </row>
        <row r="126">
          <cell r="E126">
            <v>0.81</v>
          </cell>
        </row>
        <row r="127">
          <cell r="E127">
            <v>0.82000000000000006</v>
          </cell>
        </row>
        <row r="128">
          <cell r="E128">
            <v>0.83000000000000007</v>
          </cell>
        </row>
        <row r="129">
          <cell r="E129">
            <v>0.84</v>
          </cell>
        </row>
        <row r="130">
          <cell r="E130">
            <v>0.85</v>
          </cell>
        </row>
      </sheetData>
      <sheetData sheetId="5"/>
      <sheetData sheetId="6"/>
      <sheetData sheetId="7"/>
      <sheetData sheetId="8"/>
      <sheetData sheetId="9">
        <row r="45">
          <cell r="S45">
            <v>39886.577468579999</v>
          </cell>
        </row>
        <row r="46">
          <cell r="S46">
            <v>39886.577468579999</v>
          </cell>
        </row>
        <row r="47">
          <cell r="S47">
            <v>39886.577468579999</v>
          </cell>
        </row>
        <row r="48">
          <cell r="S48">
            <v>39886.577468579999</v>
          </cell>
        </row>
        <row r="49">
          <cell r="S49">
            <v>39886.577468579999</v>
          </cell>
        </row>
        <row r="50">
          <cell r="S50">
            <v>39886.577468579999</v>
          </cell>
        </row>
        <row r="51">
          <cell r="S51">
            <v>39886.577468579999</v>
          </cell>
        </row>
        <row r="52">
          <cell r="S52">
            <v>109050.18707732446</v>
          </cell>
        </row>
        <row r="53">
          <cell r="S53">
            <v>92534.111291366906</v>
          </cell>
        </row>
        <row r="54">
          <cell r="S54">
            <v>26465.605508546225</v>
          </cell>
        </row>
        <row r="55">
          <cell r="S55">
            <v>25385.818911375416</v>
          </cell>
        </row>
        <row r="56">
          <cell r="S56">
            <v>24335.808407058183</v>
          </cell>
        </row>
        <row r="57">
          <cell r="S57">
            <v>23315.157686664203</v>
          </cell>
        </row>
        <row r="58">
          <cell r="S58">
            <v>22323.450441264253</v>
          </cell>
        </row>
        <row r="59">
          <cell r="S59">
            <v>21360.270361928131</v>
          </cell>
        </row>
        <row r="60">
          <cell r="S60">
            <v>20425.201139726043</v>
          </cell>
        </row>
        <row r="61">
          <cell r="S61">
            <v>19517.826465728493</v>
          </cell>
        </row>
        <row r="62">
          <cell r="S62">
            <v>18637.730031005369</v>
          </cell>
        </row>
        <row r="63">
          <cell r="S63">
            <v>17784.49552662719</v>
          </cell>
        </row>
        <row r="64">
          <cell r="S64">
            <v>16957.706643663827</v>
          </cell>
        </row>
        <row r="65">
          <cell r="S65">
            <v>16156.947073185775</v>
          </cell>
        </row>
        <row r="66">
          <cell r="S66">
            <v>15381.800506262862</v>
          </cell>
        </row>
        <row r="67">
          <cell r="S67">
            <v>14631.850633965598</v>
          </cell>
        </row>
        <row r="68">
          <cell r="S68">
            <v>13906.68114736365</v>
          </cell>
        </row>
        <row r="69">
          <cell r="S69">
            <v>13205.875737527811</v>
          </cell>
        </row>
        <row r="70">
          <cell r="S70">
            <v>45438.127640728606</v>
          </cell>
        </row>
        <row r="71">
          <cell r="S71">
            <v>15414.073763045697</v>
          </cell>
        </row>
        <row r="72">
          <cell r="S72">
            <v>14652.883790739243</v>
          </cell>
        </row>
        <row r="73">
          <cell r="S73">
            <v>13917.175125948072</v>
          </cell>
        </row>
        <row r="74">
          <cell r="S74">
            <v>13206.513970075668</v>
          </cell>
        </row>
        <row r="75">
          <cell r="S75">
            <v>12520.466524526146</v>
          </cell>
        </row>
        <row r="76">
          <cell r="S76">
            <v>11858.598990702674</v>
          </cell>
        </row>
        <row r="77">
          <cell r="S77">
            <v>11220.477570008994</v>
          </cell>
        </row>
        <row r="78">
          <cell r="S78">
            <v>10605.668463849037</v>
          </cell>
        </row>
        <row r="79">
          <cell r="S79">
            <v>10013.737873625985</v>
          </cell>
        </row>
        <row r="80">
          <cell r="S80">
            <v>9444.2520007437342</v>
          </cell>
        </row>
        <row r="81">
          <cell r="S81">
            <v>8896.777046605539</v>
          </cell>
        </row>
        <row r="82">
          <cell r="S82">
            <v>8370.8792126150893</v>
          </cell>
        </row>
        <row r="83">
          <cell r="S83">
            <v>7866.124700175541</v>
          </cell>
        </row>
        <row r="84">
          <cell r="S84">
            <v>7382.079710690432</v>
          </cell>
        </row>
        <row r="85">
          <cell r="S85">
            <v>6918.3104455630883</v>
          </cell>
        </row>
        <row r="86">
          <cell r="S86">
            <v>6474.383106196844</v>
          </cell>
        </row>
        <row r="87">
          <cell r="S87">
            <v>17619.350926818279</v>
          </cell>
        </row>
        <row r="88">
          <cell r="S88">
            <v>16276.463865549023</v>
          </cell>
        </row>
        <row r="89">
          <cell r="S89">
            <v>5369.852736781555</v>
          </cell>
        </row>
        <row r="90">
          <cell r="S90">
            <v>5000.8359593857849</v>
          </cell>
        </row>
        <row r="91">
          <cell r="S91">
            <v>4649.1242975446103</v>
          </cell>
        </row>
        <row r="92">
          <cell r="S92">
            <v>4314.3021730397259</v>
          </cell>
        </row>
        <row r="93">
          <cell r="S93">
            <v>3995.954007652766</v>
          </cell>
        </row>
        <row r="94">
          <cell r="S94">
            <v>3693.6642231653177</v>
          </cell>
        </row>
        <row r="95">
          <cell r="S95">
            <v>3407.0172413589221</v>
          </cell>
        </row>
        <row r="96">
          <cell r="S96">
            <v>3135.5974840148019</v>
          </cell>
        </row>
        <row r="97">
          <cell r="S97">
            <v>2878.9893729142104</v>
          </cell>
        </row>
        <row r="98">
          <cell r="S98">
            <v>2636.7773298381157</v>
          </cell>
        </row>
        <row r="99">
          <cell r="S99">
            <v>2408.545776567295</v>
          </cell>
        </row>
        <row r="100">
          <cell r="S100">
            <v>2193.8791348823111</v>
          </cell>
        </row>
        <row r="101">
          <cell r="S101">
            <v>1992.3618265635157</v>
          </cell>
        </row>
        <row r="102">
          <cell r="S102">
            <v>1803.5782733908536</v>
          </cell>
        </row>
        <row r="103">
          <cell r="S103">
            <v>1627.1128971439553</v>
          </cell>
        </row>
        <row r="104">
          <cell r="S104">
            <v>1462.550119602005</v>
          </cell>
        </row>
        <row r="105">
          <cell r="S105">
            <v>1309.4743625436779</v>
          </cell>
        </row>
        <row r="106">
          <cell r="S106">
            <v>1167.4700477470926</v>
          </cell>
        </row>
        <row r="107">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hyperlink" Target="https://www.b-cep.org/image/plastic/a.pdf" TargetMode="External"/><Relationship Id="rId7" Type="http://schemas.microsoft.com/office/2017/10/relationships/threadedComment" Target="../threadedComments/threadedComment1.x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openxmlformats.org/officeDocument/2006/relationships/comments" Target="../comments5.xml"/><Relationship Id="rId5" Type="http://schemas.openxmlformats.org/officeDocument/2006/relationships/vmlDrawing" Target="../drawings/vmlDrawing5.vml"/><Relationship Id="rId4" Type="http://schemas.openxmlformats.org/officeDocument/2006/relationships/hyperlink" Target="https://www.b-cep.org/image/plastic/a.pdf"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105"/>
  <sheetViews>
    <sheetView zoomScale="70" zoomScaleNormal="70" workbookViewId="0">
      <selection activeCell="K4" sqref="K4"/>
    </sheetView>
  </sheetViews>
  <sheetFormatPr defaultColWidth="7.6640625" defaultRowHeight="19.5"/>
  <cols>
    <col min="2" max="2" width="15.109375" customWidth="1"/>
    <col min="4" max="4" width="8" customWidth="1"/>
    <col min="7" max="7" width="15.33203125" customWidth="1"/>
    <col min="9" max="9" width="9.109375" customWidth="1"/>
    <col min="14" max="14" width="8" customWidth="1"/>
    <col min="24" max="24" width="7.6640625" customWidth="1"/>
    <col min="29" max="29" width="7.6640625" customWidth="1"/>
    <col min="34" max="34" width="8.44140625" customWidth="1"/>
    <col min="35" max="35" width="7.6640625" customWidth="1"/>
    <col min="39" max="39" width="7.6640625" customWidth="1"/>
  </cols>
  <sheetData>
    <row r="2" spans="2:42" ht="20.25" thickBot="1">
      <c r="B2" t="s">
        <v>583</v>
      </c>
      <c r="G2" s="3"/>
      <c r="I2" s="252" t="s">
        <v>885</v>
      </c>
      <c r="J2" s="3"/>
      <c r="L2" t="s">
        <v>406</v>
      </c>
      <c r="Q2" s="253" t="s">
        <v>1282</v>
      </c>
      <c r="R2" s="253"/>
      <c r="S2" s="253"/>
      <c r="T2" s="253"/>
      <c r="U2" s="253"/>
      <c r="V2" t="s">
        <v>1274</v>
      </c>
      <c r="AA2" s="3" t="s">
        <v>40</v>
      </c>
      <c r="AB2" s="3"/>
      <c r="AC2" s="3"/>
      <c r="AD2" s="3"/>
      <c r="AF2" s="3" t="s">
        <v>319</v>
      </c>
      <c r="AG2" s="3"/>
      <c r="AH2" s="3"/>
      <c r="AI2" s="3"/>
      <c r="AK2" s="52" t="s">
        <v>329</v>
      </c>
      <c r="AP2" t="s">
        <v>676</v>
      </c>
    </row>
    <row r="3" spans="2:42" ht="19.5" customHeight="1">
      <c r="B3" s="256" t="s">
        <v>1314</v>
      </c>
      <c r="C3" s="257"/>
      <c r="D3" s="257"/>
      <c r="E3" s="258"/>
      <c r="F3" s="80"/>
      <c r="G3" s="10" t="s">
        <v>59</v>
      </c>
      <c r="H3" s="10" t="s">
        <v>60</v>
      </c>
      <c r="I3" s="10" t="s">
        <v>61</v>
      </c>
      <c r="J3" s="10" t="s">
        <v>62</v>
      </c>
      <c r="L3" s="10" t="s">
        <v>585</v>
      </c>
      <c r="M3" s="10" t="s">
        <v>60</v>
      </c>
      <c r="N3" s="10" t="s">
        <v>61</v>
      </c>
      <c r="O3" s="10" t="s">
        <v>62</v>
      </c>
      <c r="Q3" s="254" t="s">
        <v>1283</v>
      </c>
      <c r="R3" s="254" t="s">
        <v>1284</v>
      </c>
      <c r="S3" s="254" t="s">
        <v>1285</v>
      </c>
      <c r="T3" s="254" t="s">
        <v>1286</v>
      </c>
      <c r="U3" s="253"/>
      <c r="V3" s="18" t="s">
        <v>560</v>
      </c>
      <c r="W3" s="18" t="s">
        <v>60</v>
      </c>
      <c r="X3" s="18" t="s">
        <v>61</v>
      </c>
      <c r="Y3" s="18" t="s">
        <v>62</v>
      </c>
      <c r="AA3" s="10" t="s">
        <v>59</v>
      </c>
      <c r="AB3" s="10" t="s">
        <v>60</v>
      </c>
      <c r="AC3" s="10" t="s">
        <v>61</v>
      </c>
      <c r="AD3" s="10" t="s">
        <v>62</v>
      </c>
      <c r="AF3" s="10" t="s">
        <v>59</v>
      </c>
      <c r="AG3" s="10" t="s">
        <v>60</v>
      </c>
      <c r="AH3" s="10" t="s">
        <v>61</v>
      </c>
      <c r="AI3" s="10" t="s">
        <v>62</v>
      </c>
      <c r="AK3" s="10" t="s">
        <v>585</v>
      </c>
      <c r="AL3" s="10" t="s">
        <v>60</v>
      </c>
      <c r="AM3" s="10" t="s">
        <v>61</v>
      </c>
      <c r="AN3" s="10" t="s">
        <v>62</v>
      </c>
    </row>
    <row r="4" spans="2:42">
      <c r="B4" s="259"/>
      <c r="C4" s="260"/>
      <c r="D4" s="260"/>
      <c r="E4" s="261"/>
      <c r="F4" s="80"/>
      <c r="G4" s="1" t="s">
        <v>265</v>
      </c>
      <c r="H4" s="1" t="s">
        <v>179</v>
      </c>
      <c r="I4" s="22">
        <v>2</v>
      </c>
      <c r="J4" s="1" t="s">
        <v>266</v>
      </c>
      <c r="L4" s="1" t="s">
        <v>408</v>
      </c>
      <c r="M4" s="1" t="s">
        <v>409</v>
      </c>
      <c r="N4" s="1">
        <f>D14</f>
        <v>10.5</v>
      </c>
      <c r="O4" s="1" t="s">
        <v>94</v>
      </c>
      <c r="Q4" s="255"/>
      <c r="R4" s="255" t="s">
        <v>167</v>
      </c>
      <c r="S4" s="255">
        <v>-2.1259525859102582E-2</v>
      </c>
      <c r="T4" s="255" t="s">
        <v>351</v>
      </c>
      <c r="U4" s="253" t="s">
        <v>1287</v>
      </c>
      <c r="V4" s="55" t="s">
        <v>342</v>
      </c>
      <c r="W4" s="55" t="s">
        <v>343</v>
      </c>
      <c r="X4" s="35"/>
      <c r="Y4" s="35" t="s">
        <v>46</v>
      </c>
      <c r="AA4" s="1" t="s">
        <v>599</v>
      </c>
      <c r="AB4" s="1" t="s">
        <v>474</v>
      </c>
      <c r="AC4" s="1">
        <f>AZ13*2</f>
        <v>0</v>
      </c>
      <c r="AD4" s="1" t="s">
        <v>404</v>
      </c>
      <c r="AE4" s="3" t="s">
        <v>598</v>
      </c>
      <c r="AF4" s="1" t="s">
        <v>437</v>
      </c>
      <c r="AG4" s="1" t="s">
        <v>438</v>
      </c>
      <c r="AH4" s="1" t="e">
        <f>(AH22*AM3)/(AH21*AM22)</f>
        <v>#VALUE!</v>
      </c>
      <c r="AI4" s="1" t="s">
        <v>46</v>
      </c>
      <c r="AK4" s="55" t="s">
        <v>330</v>
      </c>
      <c r="AL4" s="55" t="s">
        <v>331</v>
      </c>
      <c r="AM4" s="55"/>
      <c r="AN4" s="55"/>
    </row>
    <row r="5" spans="2:42">
      <c r="B5" s="259"/>
      <c r="C5" s="260"/>
      <c r="D5" s="260"/>
      <c r="E5" s="261"/>
      <c r="F5" s="80"/>
      <c r="G5" s="1" t="s">
        <v>267</v>
      </c>
      <c r="H5" s="1" t="s">
        <v>268</v>
      </c>
      <c r="I5" s="22">
        <v>0</v>
      </c>
      <c r="J5" s="1" t="s">
        <v>266</v>
      </c>
      <c r="L5" s="1" t="s">
        <v>412</v>
      </c>
      <c r="M5" s="1" t="s">
        <v>413</v>
      </c>
      <c r="N5" s="1">
        <f>N6*SQRT(D18)</f>
        <v>0</v>
      </c>
      <c r="O5" s="1" t="s">
        <v>94</v>
      </c>
      <c r="Q5" s="255"/>
      <c r="R5" s="255" t="s">
        <v>379</v>
      </c>
      <c r="S5" s="255">
        <v>-3.5348031907810407E-3</v>
      </c>
      <c r="T5" s="255" t="s">
        <v>351</v>
      </c>
      <c r="U5" s="253" t="s">
        <v>1288</v>
      </c>
      <c r="V5" s="55" t="s">
        <v>344</v>
      </c>
      <c r="W5" s="55" t="s">
        <v>345</v>
      </c>
      <c r="X5" s="35"/>
      <c r="Y5" s="35" t="s">
        <v>46</v>
      </c>
      <c r="AA5" s="1" t="s">
        <v>496</v>
      </c>
      <c r="AB5" s="1" t="s">
        <v>600</v>
      </c>
      <c r="AC5" s="1">
        <f>AY13*2</f>
        <v>0</v>
      </c>
      <c r="AD5" s="1" t="s">
        <v>5</v>
      </c>
      <c r="AE5" s="3"/>
      <c r="AF5" s="1"/>
      <c r="AG5" s="1" t="s">
        <v>439</v>
      </c>
      <c r="AH5" s="1" t="s">
        <v>46</v>
      </c>
      <c r="AI5" s="1" t="s">
        <v>46</v>
      </c>
      <c r="AK5" s="55" t="s">
        <v>334</v>
      </c>
      <c r="AL5" s="55" t="s">
        <v>335</v>
      </c>
      <c r="AM5" s="55"/>
      <c r="AN5" s="55"/>
    </row>
    <row r="6" spans="2:42">
      <c r="B6" s="259"/>
      <c r="C6" s="260"/>
      <c r="D6" s="260"/>
      <c r="E6" s="261"/>
      <c r="F6" s="80"/>
      <c r="G6" s="1" t="s">
        <v>269</v>
      </c>
      <c r="H6" s="1" t="s">
        <v>270</v>
      </c>
      <c r="I6" s="22">
        <v>10.5</v>
      </c>
      <c r="J6" s="1" t="s">
        <v>271</v>
      </c>
      <c r="L6" s="1" t="s">
        <v>416</v>
      </c>
      <c r="M6" s="1" t="s">
        <v>417</v>
      </c>
      <c r="N6" s="1"/>
      <c r="O6" s="1" t="s">
        <v>94</v>
      </c>
      <c r="Q6" s="255"/>
      <c r="R6" s="255" t="s">
        <v>380</v>
      </c>
      <c r="S6" s="255">
        <v>-7.2687868614908593E-4</v>
      </c>
      <c r="T6" s="255" t="s">
        <v>351</v>
      </c>
      <c r="U6" s="253" t="s">
        <v>1289</v>
      </c>
      <c r="V6" s="55" t="s">
        <v>290</v>
      </c>
      <c r="W6" s="55" t="s">
        <v>346</v>
      </c>
      <c r="X6" s="35"/>
      <c r="Y6" s="35" t="s">
        <v>46</v>
      </c>
      <c r="AA6" s="1" t="s">
        <v>564</v>
      </c>
      <c r="AB6" s="1" t="s">
        <v>570</v>
      </c>
      <c r="AC6" s="1" t="e">
        <f>(AC5*AC5)/AC4</f>
        <v>#DIV/0!</v>
      </c>
      <c r="AD6" s="1" t="s">
        <v>46</v>
      </c>
      <c r="AE6" s="3"/>
      <c r="AF6" s="1" t="s">
        <v>440</v>
      </c>
      <c r="AG6" s="1" t="s">
        <v>441</v>
      </c>
      <c r="AH6" s="65" t="e">
        <f>(AM5*AH23)/(AM20*AH21)</f>
        <v>#DIV/0!</v>
      </c>
      <c r="AI6" s="1" t="s">
        <v>46</v>
      </c>
      <c r="AK6" s="55" t="s">
        <v>336</v>
      </c>
      <c r="AL6" s="55" t="s">
        <v>337</v>
      </c>
      <c r="AM6" s="55"/>
      <c r="AN6" s="55"/>
    </row>
    <row r="7" spans="2:42">
      <c r="B7" s="259"/>
      <c r="C7" s="260"/>
      <c r="D7" s="260"/>
      <c r="E7" s="261"/>
      <c r="F7" s="80"/>
      <c r="G7" s="1" t="s">
        <v>272</v>
      </c>
      <c r="H7" s="1" t="s">
        <v>273</v>
      </c>
      <c r="I7" s="22">
        <v>100</v>
      </c>
      <c r="J7" s="1" t="s">
        <v>37</v>
      </c>
      <c r="L7" s="1" t="s">
        <v>418</v>
      </c>
      <c r="M7" s="1" t="s">
        <v>419</v>
      </c>
      <c r="N7" s="1"/>
      <c r="O7" s="1" t="s">
        <v>94</v>
      </c>
      <c r="Q7" s="255"/>
      <c r="R7" s="255" t="s">
        <v>1303</v>
      </c>
      <c r="S7" s="255"/>
      <c r="T7" s="255"/>
      <c r="U7" s="253"/>
      <c r="V7" s="55" t="s">
        <v>293</v>
      </c>
      <c r="W7" s="55" t="s">
        <v>347</v>
      </c>
      <c r="X7" s="35"/>
      <c r="Y7" s="35" t="s">
        <v>46</v>
      </c>
      <c r="AA7" s="1" t="s">
        <v>601</v>
      </c>
      <c r="AB7" s="1" t="s">
        <v>602</v>
      </c>
      <c r="AC7" s="1" t="e">
        <f>(2/AC4)*BC13</f>
        <v>#DIV/0!</v>
      </c>
      <c r="AD7" s="1" t="s">
        <v>5</v>
      </c>
      <c r="AE7" s="3"/>
      <c r="AF7" s="1" t="s">
        <v>46</v>
      </c>
      <c r="AG7" s="1" t="s">
        <v>442</v>
      </c>
      <c r="AH7" s="1">
        <f>IF(AH10="Conventional",(2*I15*(180/PI()))/(PI()*AM21),0)</f>
        <v>0</v>
      </c>
      <c r="AI7" s="1" t="s">
        <v>46</v>
      </c>
      <c r="AK7" s="55" t="s">
        <v>338</v>
      </c>
      <c r="AL7" s="55" t="s">
        <v>304</v>
      </c>
      <c r="AM7" s="55"/>
      <c r="AN7" s="55"/>
    </row>
    <row r="8" spans="2:42" ht="20.25" thickBot="1">
      <c r="B8" s="259"/>
      <c r="C8" s="260"/>
      <c r="D8" s="260"/>
      <c r="E8" s="261"/>
      <c r="F8" s="80"/>
      <c r="G8" s="1" t="s">
        <v>469</v>
      </c>
      <c r="H8" s="1" t="s">
        <v>470</v>
      </c>
      <c r="I8" s="22">
        <v>0</v>
      </c>
      <c r="J8" s="1" t="s">
        <v>471</v>
      </c>
      <c r="L8" s="1" t="s">
        <v>422</v>
      </c>
      <c r="M8" s="1" t="s">
        <v>423</v>
      </c>
      <c r="N8" s="1"/>
      <c r="O8" s="1" t="s">
        <v>94</v>
      </c>
      <c r="V8" s="55" t="s">
        <v>295</v>
      </c>
      <c r="W8" s="55" t="s">
        <v>348</v>
      </c>
      <c r="X8" s="35"/>
      <c r="Y8" s="35" t="s">
        <v>46</v>
      </c>
      <c r="AA8" s="20" t="s">
        <v>603</v>
      </c>
      <c r="AB8" s="20" t="s">
        <v>427</v>
      </c>
      <c r="AC8" s="20" t="e">
        <f>(2*BD13)/AC4</f>
        <v>#DIV/0!</v>
      </c>
      <c r="AD8" s="20" t="s">
        <v>5</v>
      </c>
      <c r="AE8" s="3"/>
      <c r="AF8" s="1" t="s">
        <v>443</v>
      </c>
      <c r="AG8" s="1" t="s">
        <v>444</v>
      </c>
      <c r="AH8" s="22">
        <v>1</v>
      </c>
      <c r="AI8" s="1" t="s">
        <v>46</v>
      </c>
      <c r="AK8" s="55" t="s">
        <v>339</v>
      </c>
      <c r="AL8" s="55" t="s">
        <v>340</v>
      </c>
      <c r="AM8" s="55"/>
      <c r="AN8" s="55"/>
    </row>
    <row r="9" spans="2:42" ht="20.25" thickTop="1">
      <c r="B9" s="259"/>
      <c r="C9" s="260"/>
      <c r="D9" s="260"/>
      <c r="E9" s="261"/>
      <c r="G9" s="1"/>
      <c r="H9" s="1" t="s">
        <v>475</v>
      </c>
      <c r="I9" s="22">
        <v>0</v>
      </c>
      <c r="J9" s="1" t="s">
        <v>471</v>
      </c>
      <c r="Q9" s="253" t="s">
        <v>1290</v>
      </c>
      <c r="R9" s="253" t="s">
        <v>1302</v>
      </c>
      <c r="S9" s="253"/>
      <c r="T9" s="253"/>
      <c r="U9" s="253"/>
      <c r="V9" s="55" t="s">
        <v>349</v>
      </c>
      <c r="W9" s="55" t="s">
        <v>350</v>
      </c>
      <c r="X9" s="35"/>
      <c r="Y9" s="35" t="s">
        <v>435</v>
      </c>
      <c r="AA9" s="2" t="s">
        <v>599</v>
      </c>
      <c r="AB9" s="1" t="s">
        <v>474</v>
      </c>
      <c r="AC9" s="1">
        <f>BV6</f>
        <v>0</v>
      </c>
      <c r="AD9" s="25" t="s">
        <v>404</v>
      </c>
      <c r="AE9" s="3" t="s">
        <v>604</v>
      </c>
      <c r="AF9" s="1" t="s">
        <v>448</v>
      </c>
      <c r="AG9" s="1" t="s">
        <v>449</v>
      </c>
      <c r="AH9" s="22">
        <v>0</v>
      </c>
      <c r="AI9" s="1" t="s">
        <v>46</v>
      </c>
    </row>
    <row r="10" spans="2:42" ht="20.25" thickBot="1">
      <c r="B10" s="262"/>
      <c r="C10" s="263"/>
      <c r="D10" s="263"/>
      <c r="E10" s="264"/>
      <c r="G10" s="1"/>
      <c r="H10" s="1" t="s">
        <v>478</v>
      </c>
      <c r="I10" s="22">
        <v>0</v>
      </c>
      <c r="J10" s="1" t="s">
        <v>471</v>
      </c>
      <c r="L10" s="52" t="s">
        <v>407</v>
      </c>
      <c r="Q10" s="254" t="s">
        <v>1283</v>
      </c>
      <c r="R10" s="254" t="s">
        <v>1284</v>
      </c>
      <c r="S10" s="254" t="s">
        <v>1285</v>
      </c>
      <c r="T10" s="254" t="s">
        <v>1286</v>
      </c>
      <c r="U10" s="253"/>
      <c r="V10" s="55" t="s">
        <v>290</v>
      </c>
      <c r="W10" s="55" t="s">
        <v>352</v>
      </c>
      <c r="X10" s="35"/>
      <c r="Y10" s="35" t="s">
        <v>435</v>
      </c>
      <c r="AA10" s="1" t="s">
        <v>496</v>
      </c>
      <c r="AB10" s="1" t="s">
        <v>600</v>
      </c>
      <c r="AC10" s="1">
        <f>BV7</f>
        <v>0</v>
      </c>
      <c r="AD10" s="1" t="s">
        <v>5</v>
      </c>
      <c r="AE10" s="3"/>
      <c r="AF10" s="2" t="s">
        <v>453</v>
      </c>
      <c r="AG10" s="2" t="s">
        <v>46</v>
      </c>
      <c r="AH10" s="66" t="s">
        <v>327</v>
      </c>
      <c r="AI10" s="1" t="s">
        <v>46</v>
      </c>
      <c r="AK10" s="52" t="s">
        <v>50</v>
      </c>
    </row>
    <row r="11" spans="2:42">
      <c r="G11" s="1" t="s">
        <v>481</v>
      </c>
      <c r="H11" s="1" t="s">
        <v>482</v>
      </c>
      <c r="I11" s="22">
        <v>0</v>
      </c>
      <c r="J11" s="1" t="s">
        <v>5</v>
      </c>
      <c r="L11" s="10" t="s">
        <v>585</v>
      </c>
      <c r="M11" s="10" t="s">
        <v>60</v>
      </c>
      <c r="N11" s="10" t="s">
        <v>61</v>
      </c>
      <c r="O11" s="10" t="s">
        <v>62</v>
      </c>
      <c r="Q11" s="255" t="s">
        <v>1291</v>
      </c>
      <c r="R11" s="255" t="s">
        <v>383</v>
      </c>
      <c r="S11" s="255">
        <v>7.8428070041118145</v>
      </c>
      <c r="T11" s="255" t="s">
        <v>384</v>
      </c>
      <c r="U11" s="253" t="s">
        <v>1292</v>
      </c>
      <c r="V11" s="55" t="s">
        <v>293</v>
      </c>
      <c r="W11" s="55" t="s">
        <v>353</v>
      </c>
      <c r="X11" s="35"/>
      <c r="Y11" s="35" t="s">
        <v>351</v>
      </c>
      <c r="AA11" s="1" t="s">
        <v>564</v>
      </c>
      <c r="AB11" s="1" t="s">
        <v>570</v>
      </c>
      <c r="AC11" s="1">
        <f>BV8</f>
        <v>0</v>
      </c>
      <c r="AD11" s="1" t="s">
        <v>46</v>
      </c>
      <c r="AE11" s="3"/>
      <c r="AK11" s="10" t="s">
        <v>585</v>
      </c>
      <c r="AL11" s="10" t="s">
        <v>60</v>
      </c>
      <c r="AM11" s="10" t="s">
        <v>61</v>
      </c>
      <c r="AN11" s="10" t="s">
        <v>62</v>
      </c>
    </row>
    <row r="12" spans="2:42" ht="20.25" thickBot="1">
      <c r="B12" t="s">
        <v>559</v>
      </c>
      <c r="G12" s="1" t="s">
        <v>484</v>
      </c>
      <c r="H12" s="1" t="s">
        <v>485</v>
      </c>
      <c r="I12" s="22">
        <v>0</v>
      </c>
      <c r="J12" s="1" t="s">
        <v>318</v>
      </c>
      <c r="L12" s="55" t="s">
        <v>590</v>
      </c>
      <c r="M12" s="55" t="s">
        <v>177</v>
      </c>
      <c r="N12" s="55"/>
      <c r="O12" s="55"/>
      <c r="Q12" s="255"/>
      <c r="R12" s="255" t="s">
        <v>385</v>
      </c>
      <c r="S12" s="255">
        <v>0.87670856015748988</v>
      </c>
      <c r="T12" s="255" t="s">
        <v>45</v>
      </c>
      <c r="U12" s="253" t="s">
        <v>1293</v>
      </c>
      <c r="V12" s="55" t="s">
        <v>295</v>
      </c>
      <c r="W12" s="55" t="s">
        <v>354</v>
      </c>
      <c r="X12" s="35"/>
      <c r="Y12" s="35" t="s">
        <v>351</v>
      </c>
      <c r="AA12" s="1" t="s">
        <v>601</v>
      </c>
      <c r="AB12" s="1" t="s">
        <v>571</v>
      </c>
      <c r="AC12" s="1">
        <f>BV9</f>
        <v>0</v>
      </c>
      <c r="AD12" s="1" t="s">
        <v>5</v>
      </c>
      <c r="AE12" s="3"/>
      <c r="AF12" s="3" t="s">
        <v>620</v>
      </c>
      <c r="AG12" s="3"/>
      <c r="AH12" s="3"/>
      <c r="AI12" s="3"/>
      <c r="AK12" s="63" t="s">
        <v>297</v>
      </c>
      <c r="AL12" s="63" t="s">
        <v>298</v>
      </c>
      <c r="AM12" s="63"/>
      <c r="AN12" s="63"/>
    </row>
    <row r="13" spans="2:42" ht="20.25" thickBot="1">
      <c r="B13" s="87" t="s">
        <v>560</v>
      </c>
      <c r="C13" s="88" t="s">
        <v>60</v>
      </c>
      <c r="D13" s="88" t="s">
        <v>61</v>
      </c>
      <c r="E13" s="89" t="s">
        <v>62</v>
      </c>
      <c r="G13" s="1" t="s">
        <v>487</v>
      </c>
      <c r="H13" s="1" t="s">
        <v>488</v>
      </c>
      <c r="I13" s="22">
        <v>0</v>
      </c>
      <c r="J13" s="1" t="s">
        <v>318</v>
      </c>
      <c r="L13" s="55" t="s">
        <v>591</v>
      </c>
      <c r="M13" s="55" t="s">
        <v>411</v>
      </c>
      <c r="N13" s="55"/>
      <c r="O13" s="55"/>
      <c r="Q13" s="255"/>
      <c r="R13" s="255" t="s">
        <v>386</v>
      </c>
      <c r="S13" s="255">
        <v>3.7725621894990891</v>
      </c>
      <c r="T13" s="255" t="s">
        <v>384</v>
      </c>
      <c r="U13" s="253" t="s">
        <v>1294</v>
      </c>
      <c r="V13" s="2" t="s">
        <v>456</v>
      </c>
      <c r="W13" s="2" t="s">
        <v>464</v>
      </c>
      <c r="X13" s="2" t="e">
        <f>#REF!+#REF!*(#REF!/X23)+X15*(#REF!/X23)+(D25*(#REF!/X23)+D26*(#REF!/X23))*D27</f>
        <v>#REF!</v>
      </c>
      <c r="Y13" s="2" t="s">
        <v>46</v>
      </c>
      <c r="AA13" s="20" t="s">
        <v>603</v>
      </c>
      <c r="AB13" s="20" t="s">
        <v>427</v>
      </c>
      <c r="AC13" s="20">
        <f>BV10</f>
        <v>0</v>
      </c>
      <c r="AD13" s="20" t="s">
        <v>5</v>
      </c>
      <c r="AE13" s="3"/>
      <c r="AF13" s="10" t="s">
        <v>59</v>
      </c>
      <c r="AG13" s="10" t="s">
        <v>60</v>
      </c>
      <c r="AH13" s="10" t="s">
        <v>61</v>
      </c>
      <c r="AI13" s="10" t="s">
        <v>62</v>
      </c>
      <c r="AK13" s="55" t="s">
        <v>299</v>
      </c>
      <c r="AL13" s="55" t="s">
        <v>300</v>
      </c>
      <c r="AM13" s="55"/>
      <c r="AN13" s="55"/>
    </row>
    <row r="14" spans="2:42" ht="20.25" thickTop="1">
      <c r="B14" s="90" t="s">
        <v>567</v>
      </c>
      <c r="C14" s="55" t="s">
        <v>409</v>
      </c>
      <c r="D14" s="55">
        <f>I6</f>
        <v>10.5</v>
      </c>
      <c r="E14" s="91" t="s">
        <v>94</v>
      </c>
      <c r="F14" s="52"/>
      <c r="G14" s="3"/>
      <c r="H14" s="3"/>
      <c r="I14" s="3"/>
      <c r="J14" s="3"/>
      <c r="L14" s="55" t="s">
        <v>592</v>
      </c>
      <c r="M14" s="55" t="s">
        <v>415</v>
      </c>
      <c r="N14" s="55"/>
      <c r="O14" s="55"/>
      <c r="Q14" s="255"/>
      <c r="R14" s="255" t="s">
        <v>387</v>
      </c>
      <c r="S14" s="255">
        <v>1.6654954886280751</v>
      </c>
      <c r="T14" s="255" t="s">
        <v>388</v>
      </c>
      <c r="U14" s="253"/>
      <c r="V14" s="2" t="s">
        <v>456</v>
      </c>
      <c r="W14" s="2" t="s">
        <v>464</v>
      </c>
      <c r="X14" s="2" t="e">
        <f>#REF!+X15*(#REF!/X24)+X16*(#REF!/X24)+(D26*(#REF!/X24)+D27*(#REF!/X24))*D28</f>
        <v>#REF!</v>
      </c>
      <c r="Y14" s="2" t="s">
        <v>46</v>
      </c>
      <c r="AA14" s="1" t="s">
        <v>424</v>
      </c>
      <c r="AB14" s="1" t="s">
        <v>425</v>
      </c>
      <c r="AC14" s="1"/>
      <c r="AD14" s="1" t="s">
        <v>426</v>
      </c>
      <c r="AF14" s="1" t="s">
        <v>40</v>
      </c>
      <c r="AG14" s="1" t="s">
        <v>474</v>
      </c>
      <c r="AH14" s="67">
        <v>0</v>
      </c>
      <c r="AI14" s="1">
        <v>0</v>
      </c>
      <c r="AK14" s="55" t="s">
        <v>301</v>
      </c>
      <c r="AL14" s="55" t="s">
        <v>302</v>
      </c>
      <c r="AM14" s="55"/>
      <c r="AN14" s="55"/>
    </row>
    <row r="15" spans="2:42">
      <c r="B15" s="90" t="s">
        <v>568</v>
      </c>
      <c r="C15" s="55" t="s">
        <v>46</v>
      </c>
      <c r="D15" s="55">
        <f>機体重量!C7</f>
        <v>49.341030000000003</v>
      </c>
      <c r="E15" s="91" t="s">
        <v>6</v>
      </c>
      <c r="G15" s="3" t="s">
        <v>562</v>
      </c>
      <c r="Q15" s="255" t="s">
        <v>389</v>
      </c>
      <c r="R15" s="255" t="s">
        <v>390</v>
      </c>
      <c r="S15" s="255">
        <v>0.75105852973804899</v>
      </c>
      <c r="T15" s="255" t="s">
        <v>384</v>
      </c>
      <c r="U15" s="253" t="s">
        <v>1292</v>
      </c>
      <c r="V15" s="2" t="s">
        <v>456</v>
      </c>
      <c r="W15" s="2" t="s">
        <v>464</v>
      </c>
      <c r="X15" s="2" t="e">
        <f>X16+X17*(#REF!/#REF!)+X18*(#REF!/#REF!)+(D28*(#REF!/#REF!)+D29*(#REF!/#REF!))*D30</f>
        <v>#REF!</v>
      </c>
      <c r="Y15" s="2" t="s">
        <v>46</v>
      </c>
      <c r="AA15" s="1" t="s">
        <v>305</v>
      </c>
      <c r="AB15" s="1" t="s">
        <v>306</v>
      </c>
      <c r="AC15" s="22">
        <v>0.25</v>
      </c>
      <c r="AD15" s="1" t="s">
        <v>45</v>
      </c>
      <c r="AF15" s="1" t="s">
        <v>50</v>
      </c>
      <c r="AG15" s="1" t="s">
        <v>492</v>
      </c>
      <c r="AH15" s="67">
        <v>0</v>
      </c>
      <c r="AI15" s="1">
        <v>0</v>
      </c>
      <c r="AK15" s="55" t="s">
        <v>303</v>
      </c>
      <c r="AL15" s="55" t="s">
        <v>304</v>
      </c>
      <c r="AM15" s="55"/>
      <c r="AN15" s="55"/>
    </row>
    <row r="16" spans="2:42">
      <c r="B16" s="90" t="s">
        <v>569</v>
      </c>
      <c r="C16" s="55" t="s">
        <v>46</v>
      </c>
      <c r="D16" s="78">
        <v>60</v>
      </c>
      <c r="E16" s="91" t="s">
        <v>6</v>
      </c>
      <c r="G16" s="10" t="s">
        <v>585</v>
      </c>
      <c r="H16" s="10" t="s">
        <v>60</v>
      </c>
      <c r="I16" s="10" t="s">
        <v>61</v>
      </c>
      <c r="J16" s="10" t="s">
        <v>62</v>
      </c>
      <c r="L16" s="3" t="s">
        <v>617</v>
      </c>
      <c r="M16" s="3"/>
      <c r="N16" s="3"/>
      <c r="O16" s="3"/>
      <c r="Q16" s="255"/>
      <c r="R16" s="255" t="s">
        <v>391</v>
      </c>
      <c r="S16" s="255">
        <v>3.9152561550565471E-2</v>
      </c>
      <c r="T16" s="255" t="s">
        <v>45</v>
      </c>
      <c r="U16" s="253" t="s">
        <v>1293</v>
      </c>
      <c r="V16" s="1" t="s">
        <v>40</v>
      </c>
      <c r="W16" s="1" t="s">
        <v>467</v>
      </c>
      <c r="X16" s="1">
        <v>1.7113168423305021E-2</v>
      </c>
      <c r="Y16" s="2" t="s">
        <v>46</v>
      </c>
      <c r="AA16" s="1" t="s">
        <v>307</v>
      </c>
      <c r="AB16" s="1" t="s">
        <v>308</v>
      </c>
      <c r="AC16" s="1"/>
      <c r="AD16" s="1" t="s">
        <v>45</v>
      </c>
      <c r="AF16" s="1" t="s">
        <v>51</v>
      </c>
      <c r="AG16" s="1" t="s">
        <v>494</v>
      </c>
      <c r="AH16" s="67">
        <v>0</v>
      </c>
      <c r="AI16" s="1">
        <v>0</v>
      </c>
      <c r="AK16" s="55" t="s">
        <v>305</v>
      </c>
      <c r="AL16" s="55" t="s">
        <v>306</v>
      </c>
      <c r="AM16" s="55"/>
      <c r="AN16" s="55"/>
    </row>
    <row r="17" spans="2:40">
      <c r="B17" s="90" t="s">
        <v>589</v>
      </c>
      <c r="C17" s="55" t="s">
        <v>420</v>
      </c>
      <c r="D17" s="55">
        <f>D15+D16</f>
        <v>109.34103</v>
      </c>
      <c r="E17" s="91" t="s">
        <v>493</v>
      </c>
      <c r="F17" s="52"/>
      <c r="G17" s="55" t="s">
        <v>1276</v>
      </c>
      <c r="H17" s="55" t="s">
        <v>1277</v>
      </c>
      <c r="I17" s="35"/>
      <c r="J17" s="35" t="s">
        <v>445</v>
      </c>
      <c r="L17" s="10" t="s">
        <v>585</v>
      </c>
      <c r="M17" s="10" t="s">
        <v>60</v>
      </c>
      <c r="N17" s="10" t="s">
        <v>61</v>
      </c>
      <c r="O17" s="10" t="s">
        <v>62</v>
      </c>
      <c r="Q17" s="255"/>
      <c r="R17" s="255" t="s">
        <v>392</v>
      </c>
      <c r="S17" s="255">
        <v>0.75048265148332072</v>
      </c>
      <c r="T17" s="255" t="s">
        <v>384</v>
      </c>
      <c r="U17" s="253" t="s">
        <v>1294</v>
      </c>
      <c r="V17" s="1" t="s">
        <v>50</v>
      </c>
      <c r="W17" s="1" t="s">
        <v>463</v>
      </c>
      <c r="X17" s="1">
        <v>9.3619884584271104E-3</v>
      </c>
      <c r="Y17" s="2" t="s">
        <v>46</v>
      </c>
      <c r="AA17" s="1" t="s">
        <v>168</v>
      </c>
      <c r="AB17" s="1" t="s">
        <v>165</v>
      </c>
      <c r="AC17" s="1"/>
      <c r="AD17" s="1" t="s">
        <v>45</v>
      </c>
      <c r="AF17" s="64" t="s">
        <v>7</v>
      </c>
      <c r="AG17" s="64" t="s">
        <v>495</v>
      </c>
      <c r="AH17" s="67">
        <v>0</v>
      </c>
      <c r="AI17" s="1" t="s">
        <v>404</v>
      </c>
      <c r="AK17" s="55" t="s">
        <v>307</v>
      </c>
      <c r="AL17" s="55" t="s">
        <v>308</v>
      </c>
      <c r="AM17" s="55"/>
      <c r="AN17" s="55"/>
    </row>
    <row r="18" spans="2:40" ht="20.25" thickBot="1">
      <c r="B18" s="92" t="s">
        <v>586</v>
      </c>
      <c r="C18" s="77" t="s">
        <v>587</v>
      </c>
      <c r="D18" s="83">
        <v>3</v>
      </c>
      <c r="E18" s="93" t="s">
        <v>588</v>
      </c>
      <c r="G18" s="55" t="s">
        <v>615</v>
      </c>
      <c r="H18" s="55" t="s">
        <v>1271</v>
      </c>
      <c r="I18" s="35"/>
      <c r="J18" s="35" t="s">
        <v>421</v>
      </c>
      <c r="L18" s="64" t="s">
        <v>410</v>
      </c>
      <c r="M18" s="1" t="s">
        <v>1268</v>
      </c>
      <c r="N18" s="1"/>
      <c r="O18" s="1" t="s">
        <v>6</v>
      </c>
      <c r="Q18" s="255"/>
      <c r="R18" s="255" t="s">
        <v>393</v>
      </c>
      <c r="S18" s="255">
        <v>8.3721926079982527</v>
      </c>
      <c r="T18" s="255" t="s">
        <v>388</v>
      </c>
      <c r="U18" s="253"/>
      <c r="V18" s="1" t="s">
        <v>51</v>
      </c>
      <c r="W18" s="1" t="s">
        <v>466</v>
      </c>
      <c r="X18" s="1">
        <v>8.867077996424633E-3</v>
      </c>
      <c r="Y18" s="2" t="s">
        <v>46</v>
      </c>
      <c r="AA18" s="1" t="s">
        <v>311</v>
      </c>
      <c r="AB18" s="1" t="s">
        <v>455</v>
      </c>
      <c r="AC18" s="1"/>
      <c r="AD18" s="1" t="s">
        <v>266</v>
      </c>
      <c r="AF18" s="64" t="s">
        <v>56</v>
      </c>
      <c r="AG18" s="64" t="s">
        <v>498</v>
      </c>
      <c r="AH18" s="67">
        <v>0</v>
      </c>
      <c r="AI18" s="1" t="s">
        <v>404</v>
      </c>
      <c r="AK18" s="55" t="s">
        <v>313</v>
      </c>
      <c r="AL18" s="55" t="s">
        <v>45</v>
      </c>
      <c r="AM18" s="55"/>
      <c r="AN18" s="55"/>
    </row>
    <row r="19" spans="2:40" ht="20.25" thickTop="1">
      <c r="B19" s="94" t="s">
        <v>563</v>
      </c>
      <c r="C19" s="59" t="s">
        <v>474</v>
      </c>
      <c r="D19" s="59"/>
      <c r="E19" s="95" t="s">
        <v>404</v>
      </c>
      <c r="G19" s="55" t="s">
        <v>1272</v>
      </c>
      <c r="H19" s="55" t="s">
        <v>1278</v>
      </c>
      <c r="I19" s="35"/>
      <c r="J19" s="35" t="s">
        <v>421</v>
      </c>
      <c r="L19" s="64" t="s">
        <v>414</v>
      </c>
      <c r="M19" s="1" t="s">
        <v>1269</v>
      </c>
      <c r="N19" s="1"/>
      <c r="O19" s="1" t="s">
        <v>6</v>
      </c>
      <c r="Q19" s="255" t="s">
        <v>394</v>
      </c>
      <c r="R19" s="255" t="s">
        <v>395</v>
      </c>
      <c r="S19" s="255">
        <v>0.65785677532253051</v>
      </c>
      <c r="T19" s="255" t="s">
        <v>384</v>
      </c>
      <c r="U19" s="253" t="s">
        <v>1295</v>
      </c>
      <c r="V19" s="55" t="s">
        <v>355</v>
      </c>
      <c r="W19" s="55" t="s">
        <v>356</v>
      </c>
      <c r="X19" s="35"/>
      <c r="Y19" s="35" t="s">
        <v>46</v>
      </c>
      <c r="AA19" s="55" t="s">
        <v>309</v>
      </c>
      <c r="AB19" s="55" t="s">
        <v>310</v>
      </c>
      <c r="AC19" s="1"/>
      <c r="AD19" s="1" t="s">
        <v>266</v>
      </c>
      <c r="AF19" s="64" t="s">
        <v>500</v>
      </c>
      <c r="AG19" s="64" t="s">
        <v>501</v>
      </c>
      <c r="AH19" s="67">
        <f>AH15</f>
        <v>0</v>
      </c>
      <c r="AI19" s="1" t="s">
        <v>404</v>
      </c>
    </row>
    <row r="20" spans="2:40">
      <c r="B20" s="90" t="s">
        <v>566</v>
      </c>
      <c r="C20" s="55" t="s">
        <v>425</v>
      </c>
      <c r="D20" s="55"/>
      <c r="E20" s="91" t="s">
        <v>572</v>
      </c>
      <c r="G20" s="55" t="s">
        <v>1273</v>
      </c>
      <c r="H20" s="55" t="s">
        <v>1279</v>
      </c>
      <c r="I20" s="35"/>
      <c r="J20" s="35" t="s">
        <v>421</v>
      </c>
      <c r="L20" s="64" t="s">
        <v>616</v>
      </c>
      <c r="M20" s="1" t="s">
        <v>1270</v>
      </c>
      <c r="N20" s="1"/>
      <c r="O20" s="1" t="s">
        <v>421</v>
      </c>
      <c r="Q20" s="255"/>
      <c r="R20" s="255" t="s">
        <v>396</v>
      </c>
      <c r="S20" s="255">
        <v>-0.27746935749900542</v>
      </c>
      <c r="T20" s="255"/>
      <c r="U20" s="253" t="s">
        <v>1296</v>
      </c>
      <c r="V20" s="55" t="s">
        <v>290</v>
      </c>
      <c r="W20" s="55" t="s">
        <v>357</v>
      </c>
      <c r="X20" s="35"/>
      <c r="Y20" s="35" t="s">
        <v>46</v>
      </c>
      <c r="AA20" s="1" t="s">
        <v>612</v>
      </c>
      <c r="AB20" s="1" t="s">
        <v>446</v>
      </c>
      <c r="AC20" s="1">
        <f>BV13</f>
        <v>0</v>
      </c>
      <c r="AD20" s="1" t="s">
        <v>435</v>
      </c>
      <c r="AF20" s="64" t="s">
        <v>261</v>
      </c>
      <c r="AG20" s="64" t="s">
        <v>507</v>
      </c>
      <c r="AH20" s="67">
        <v>0</v>
      </c>
      <c r="AI20" s="1" t="s">
        <v>404</v>
      </c>
      <c r="AK20" s="52" t="s">
        <v>51</v>
      </c>
    </row>
    <row r="21" spans="2:40">
      <c r="B21" s="90" t="s">
        <v>564</v>
      </c>
      <c r="C21" s="55" t="s">
        <v>570</v>
      </c>
      <c r="D21" s="55"/>
      <c r="E21" s="91" t="s">
        <v>46</v>
      </c>
      <c r="G21" s="79" t="s">
        <v>368</v>
      </c>
      <c r="H21" s="79" t="s">
        <v>369</v>
      </c>
      <c r="I21" s="36"/>
      <c r="J21" s="36" t="s">
        <v>421</v>
      </c>
      <c r="L21" s="1" t="s">
        <v>283</v>
      </c>
      <c r="M21" s="1" t="s">
        <v>476</v>
      </c>
      <c r="N21" s="1"/>
      <c r="O21" s="1" t="s">
        <v>5</v>
      </c>
      <c r="Q21" s="255"/>
      <c r="R21" s="255" t="s">
        <v>395</v>
      </c>
      <c r="S21" s="255">
        <v>0.63202569194856273</v>
      </c>
      <c r="T21" s="255" t="s">
        <v>384</v>
      </c>
      <c r="U21" s="253" t="s">
        <v>1297</v>
      </c>
      <c r="V21" s="55" t="s">
        <v>293</v>
      </c>
      <c r="W21" s="55" t="s">
        <v>358</v>
      </c>
      <c r="X21" s="35"/>
      <c r="Y21" s="35" t="s">
        <v>46</v>
      </c>
      <c r="AA21" s="55" t="s">
        <v>311</v>
      </c>
      <c r="AB21" s="55" t="s">
        <v>312</v>
      </c>
      <c r="AC21" s="1"/>
      <c r="AD21" s="1" t="s">
        <v>266</v>
      </c>
      <c r="AF21" s="64" t="s">
        <v>509</v>
      </c>
      <c r="AG21" s="64" t="s">
        <v>510</v>
      </c>
      <c r="AH21" s="68">
        <v>1</v>
      </c>
      <c r="AI21" s="1" t="s">
        <v>46</v>
      </c>
      <c r="AK21" s="10" t="s">
        <v>585</v>
      </c>
      <c r="AL21" s="10" t="s">
        <v>60</v>
      </c>
      <c r="AM21" s="10" t="s">
        <v>61</v>
      </c>
      <c r="AN21" s="10" t="s">
        <v>62</v>
      </c>
    </row>
    <row r="22" spans="2:40" ht="20.25" thickBot="1">
      <c r="B22" s="96" t="s">
        <v>565</v>
      </c>
      <c r="C22" s="79" t="s">
        <v>571</v>
      </c>
      <c r="D22" s="79"/>
      <c r="E22" s="97" t="s">
        <v>5</v>
      </c>
      <c r="G22" s="57" t="s">
        <v>373</v>
      </c>
      <c r="H22" s="57" t="s">
        <v>374</v>
      </c>
      <c r="I22" s="81"/>
      <c r="J22" s="81" t="s">
        <v>493</v>
      </c>
      <c r="L22" s="1" t="s">
        <v>479</v>
      </c>
      <c r="M22" s="1" t="s">
        <v>480</v>
      </c>
      <c r="N22" s="1"/>
      <c r="O22" s="1" t="s">
        <v>5</v>
      </c>
      <c r="Q22" s="255"/>
      <c r="R22" s="255" t="s">
        <v>397</v>
      </c>
      <c r="S22" s="255">
        <v>9.9413447700334014</v>
      </c>
      <c r="T22" s="255" t="s">
        <v>388</v>
      </c>
      <c r="U22" s="253"/>
      <c r="V22" s="55" t="s">
        <v>295</v>
      </c>
      <c r="W22" s="55" t="s">
        <v>359</v>
      </c>
      <c r="X22" s="35"/>
      <c r="Y22" s="35" t="s">
        <v>46</v>
      </c>
      <c r="AA22" s="55" t="s">
        <v>313</v>
      </c>
      <c r="AB22" s="55" t="s">
        <v>45</v>
      </c>
      <c r="AC22" s="1"/>
      <c r="AD22" s="1" t="s">
        <v>266</v>
      </c>
      <c r="AF22" s="64"/>
      <c r="AG22" s="64" t="s">
        <v>516</v>
      </c>
      <c r="AH22" s="68">
        <v>0.8</v>
      </c>
      <c r="AI22" s="1" t="s">
        <v>46</v>
      </c>
      <c r="AK22" s="55" t="s">
        <v>297</v>
      </c>
      <c r="AL22" s="55" t="s">
        <v>298</v>
      </c>
      <c r="AM22" s="55"/>
      <c r="AN22" s="55"/>
    </row>
    <row r="23" spans="2:40" ht="20.25" thickTop="1">
      <c r="B23" s="98" t="s">
        <v>573</v>
      </c>
      <c r="C23" s="55" t="s">
        <v>486</v>
      </c>
      <c r="D23" s="55">
        <f>機体重量!D6</f>
        <v>-1.6246022553475584E-17</v>
      </c>
      <c r="E23" s="91"/>
      <c r="G23" s="63" t="s">
        <v>618</v>
      </c>
      <c r="H23" s="63" t="s">
        <v>1280</v>
      </c>
      <c r="I23" s="51"/>
      <c r="J23" s="51" t="s">
        <v>421</v>
      </c>
      <c r="L23" s="1"/>
      <c r="M23" s="1" t="s">
        <v>483</v>
      </c>
      <c r="N23" s="1"/>
      <c r="O23" s="1" t="s">
        <v>5</v>
      </c>
      <c r="Q23" s="255" t="s">
        <v>398</v>
      </c>
      <c r="R23" s="255" t="s">
        <v>399</v>
      </c>
      <c r="S23" s="255">
        <v>0.68430302609252724</v>
      </c>
      <c r="T23" s="255"/>
      <c r="U23" s="253" t="s">
        <v>1298</v>
      </c>
      <c r="V23" s="55" t="s">
        <v>41</v>
      </c>
      <c r="W23" s="55" t="s">
        <v>360</v>
      </c>
      <c r="X23" s="35"/>
      <c r="Y23" s="35" t="s">
        <v>46</v>
      </c>
      <c r="AA23" s="55" t="s">
        <v>314</v>
      </c>
      <c r="AB23" s="55" t="s">
        <v>315</v>
      </c>
      <c r="AC23" s="1"/>
      <c r="AD23" s="1" t="s">
        <v>266</v>
      </c>
      <c r="AK23" s="55" t="s">
        <v>299</v>
      </c>
      <c r="AL23" s="55" t="s">
        <v>300</v>
      </c>
      <c r="AM23" s="55"/>
      <c r="AN23" s="55"/>
    </row>
    <row r="24" spans="2:40" ht="20.25" thickBot="1">
      <c r="B24" s="138" t="s">
        <v>582</v>
      </c>
      <c r="C24" s="57" t="s">
        <v>490</v>
      </c>
      <c r="D24" s="81"/>
      <c r="E24" s="107"/>
      <c r="G24" s="55" t="s">
        <v>619</v>
      </c>
      <c r="H24" s="55" t="s">
        <v>1281</v>
      </c>
      <c r="I24" s="35"/>
      <c r="J24" s="35" t="s">
        <v>421</v>
      </c>
      <c r="L24" s="1" t="s">
        <v>283</v>
      </c>
      <c r="M24" s="1" t="s">
        <v>486</v>
      </c>
      <c r="N24" s="1"/>
      <c r="O24" s="1" t="s">
        <v>46</v>
      </c>
      <c r="Q24" s="255"/>
      <c r="R24" s="255" t="s">
        <v>1299</v>
      </c>
      <c r="S24" s="255">
        <v>-1.0129243246488613</v>
      </c>
      <c r="T24" s="255" t="s">
        <v>388</v>
      </c>
      <c r="U24" s="253" t="s">
        <v>1300</v>
      </c>
      <c r="V24" s="55" t="s">
        <v>361</v>
      </c>
      <c r="W24" s="55" t="s">
        <v>362</v>
      </c>
      <c r="X24" s="35"/>
      <c r="Y24" s="35" t="s">
        <v>46</v>
      </c>
      <c r="AA24" s="57" t="s">
        <v>316</v>
      </c>
      <c r="AB24" s="57" t="s">
        <v>317</v>
      </c>
      <c r="AC24" s="20"/>
      <c r="AD24" s="20" t="s">
        <v>266</v>
      </c>
      <c r="AF24" s="52" t="s">
        <v>7</v>
      </c>
      <c r="AK24" s="55" t="s">
        <v>301</v>
      </c>
      <c r="AL24" s="55" t="s">
        <v>302</v>
      </c>
      <c r="AM24" s="55"/>
      <c r="AN24" s="55"/>
    </row>
    <row r="25" spans="2:40" ht="21" thickTop="1" thickBot="1">
      <c r="B25" s="102" t="s">
        <v>453</v>
      </c>
      <c r="C25" s="63"/>
      <c r="D25" s="84" t="s">
        <v>884</v>
      </c>
      <c r="E25" s="101"/>
      <c r="G25" s="55" t="s">
        <v>293</v>
      </c>
      <c r="H25" s="55" t="s">
        <v>593</v>
      </c>
      <c r="I25" s="35"/>
      <c r="J25" s="35" t="s">
        <v>421</v>
      </c>
      <c r="L25" s="1" t="s">
        <v>489</v>
      </c>
      <c r="M25" s="1" t="s">
        <v>490</v>
      </c>
      <c r="N25" s="1"/>
      <c r="O25" s="1" t="s">
        <v>46</v>
      </c>
      <c r="Q25" s="255" t="s">
        <v>401</v>
      </c>
      <c r="R25" s="255" t="s">
        <v>402</v>
      </c>
      <c r="S25" s="255">
        <v>25.886284975450245</v>
      </c>
      <c r="T25" s="255"/>
      <c r="U25" s="253" t="s">
        <v>1301</v>
      </c>
      <c r="V25" s="55" t="s">
        <v>363</v>
      </c>
      <c r="W25" s="55" t="s">
        <v>364</v>
      </c>
      <c r="X25" s="35"/>
      <c r="Y25" s="35" t="s">
        <v>46</v>
      </c>
      <c r="AA25" s="2" t="s">
        <v>459</v>
      </c>
      <c r="AB25" s="2" t="s">
        <v>460</v>
      </c>
      <c r="AC25" s="2"/>
      <c r="AD25" s="2" t="s">
        <v>435</v>
      </c>
      <c r="AF25" s="10" t="s">
        <v>585</v>
      </c>
      <c r="AG25" s="10" t="s">
        <v>60</v>
      </c>
      <c r="AH25" s="10" t="s">
        <v>61</v>
      </c>
      <c r="AI25" s="10" t="s">
        <v>62</v>
      </c>
      <c r="AK25" s="57" t="s">
        <v>303</v>
      </c>
      <c r="AL25" s="57" t="s">
        <v>304</v>
      </c>
      <c r="AM25" s="57"/>
      <c r="AN25" s="57"/>
    </row>
    <row r="26" spans="2:40" ht="20.25" thickTop="1">
      <c r="B26" s="102" t="s">
        <v>574</v>
      </c>
      <c r="C26" s="35"/>
      <c r="D26" s="35"/>
      <c r="E26" s="99"/>
      <c r="G26" s="55" t="s">
        <v>295</v>
      </c>
      <c r="H26" s="55" t="s">
        <v>594</v>
      </c>
      <c r="I26" s="35"/>
      <c r="J26" s="35" t="s">
        <v>421</v>
      </c>
      <c r="L26" s="64" t="s">
        <v>24</v>
      </c>
      <c r="M26" s="1" t="s">
        <v>26</v>
      </c>
      <c r="N26" s="29"/>
      <c r="O26" s="1" t="s">
        <v>436</v>
      </c>
      <c r="V26" s="55" t="s">
        <v>367</v>
      </c>
      <c r="W26" s="55" t="s">
        <v>166</v>
      </c>
      <c r="X26" s="35"/>
      <c r="Y26" s="35" t="s">
        <v>46</v>
      </c>
      <c r="AA26" s="1"/>
      <c r="AB26" s="1" t="s">
        <v>462</v>
      </c>
      <c r="AC26" s="67"/>
      <c r="AD26" s="1" t="s">
        <v>435</v>
      </c>
      <c r="AF26" s="35" t="s">
        <v>289</v>
      </c>
      <c r="AG26" s="35" t="s">
        <v>495</v>
      </c>
      <c r="AH26" s="35"/>
      <c r="AI26" s="35" t="s">
        <v>404</v>
      </c>
      <c r="AK26" s="2"/>
      <c r="AL26" s="8" t="s">
        <v>460</v>
      </c>
      <c r="AM26" s="85">
        <v>0</v>
      </c>
      <c r="AN26" s="7" t="s">
        <v>435</v>
      </c>
    </row>
    <row r="27" spans="2:40">
      <c r="B27" s="98" t="s">
        <v>575</v>
      </c>
      <c r="C27" s="35"/>
      <c r="D27" s="35"/>
      <c r="E27" s="99"/>
      <c r="G27" s="55" t="s">
        <v>41</v>
      </c>
      <c r="H27" s="55" t="s">
        <v>595</v>
      </c>
      <c r="I27" s="35"/>
      <c r="J27" s="35" t="s">
        <v>421</v>
      </c>
      <c r="L27" s="64"/>
      <c r="M27" s="1" t="s">
        <v>28</v>
      </c>
      <c r="N27" s="29"/>
      <c r="O27" s="1" t="s">
        <v>436</v>
      </c>
      <c r="AA27" s="1" t="s">
        <v>46</v>
      </c>
      <c r="AB27" s="1" t="s">
        <v>465</v>
      </c>
      <c r="AC27" s="67"/>
      <c r="AD27" s="1" t="s">
        <v>430</v>
      </c>
      <c r="AF27" s="1" t="s">
        <v>456</v>
      </c>
      <c r="AG27" s="1" t="s">
        <v>497</v>
      </c>
      <c r="AH27" s="22">
        <v>0.2</v>
      </c>
      <c r="AI27" s="1" t="s">
        <v>46</v>
      </c>
      <c r="AK27" s="1"/>
      <c r="AL27" s="9" t="s">
        <v>429</v>
      </c>
      <c r="AM27" s="67">
        <v>0</v>
      </c>
      <c r="AN27" s="23" t="s">
        <v>430</v>
      </c>
    </row>
    <row r="28" spans="2:40">
      <c r="B28" s="98" t="s">
        <v>576</v>
      </c>
      <c r="C28" s="35"/>
      <c r="D28" s="35"/>
      <c r="E28" s="99"/>
      <c r="G28" s="55" t="s">
        <v>361</v>
      </c>
      <c r="H28" s="55" t="s">
        <v>596</v>
      </c>
      <c r="I28" s="35"/>
      <c r="J28" s="35" t="s">
        <v>421</v>
      </c>
      <c r="L28" s="64"/>
      <c r="M28" s="1" t="s">
        <v>30</v>
      </c>
      <c r="N28" s="29"/>
      <c r="O28" s="1" t="s">
        <v>436</v>
      </c>
      <c r="AA28" s="1" t="s">
        <v>46</v>
      </c>
      <c r="AB28" s="1" t="s">
        <v>468</v>
      </c>
      <c r="AC28" s="67"/>
      <c r="AD28" s="1" t="s">
        <v>430</v>
      </c>
      <c r="AF28" s="1" t="s">
        <v>169</v>
      </c>
      <c r="AG28" s="1" t="s">
        <v>499</v>
      </c>
      <c r="AH28" s="1"/>
      <c r="AI28" s="1" t="s">
        <v>46</v>
      </c>
      <c r="AK28" s="1"/>
      <c r="AL28" s="9" t="s">
        <v>431</v>
      </c>
      <c r="AM28" s="67">
        <v>0</v>
      </c>
      <c r="AN28" s="23" t="s">
        <v>430</v>
      </c>
    </row>
    <row r="29" spans="2:40" ht="20.25" thickBot="1">
      <c r="B29" s="103" t="s">
        <v>577</v>
      </c>
      <c r="C29" s="36"/>
      <c r="D29" s="36"/>
      <c r="E29" s="104"/>
      <c r="G29" s="55" t="s">
        <v>363</v>
      </c>
      <c r="H29" s="55" t="s">
        <v>597</v>
      </c>
      <c r="I29" s="35"/>
      <c r="J29" s="35" t="s">
        <v>421</v>
      </c>
      <c r="L29" s="64"/>
      <c r="M29" s="1" t="s">
        <v>32</v>
      </c>
      <c r="N29" s="29"/>
      <c r="O29" s="1" t="s">
        <v>436</v>
      </c>
      <c r="AA29" s="1" t="s">
        <v>46</v>
      </c>
      <c r="AB29" s="1" t="s">
        <v>473</v>
      </c>
      <c r="AC29" s="67"/>
      <c r="AD29" s="1" t="s">
        <v>430</v>
      </c>
      <c r="AF29" s="1" t="s">
        <v>505</v>
      </c>
      <c r="AG29" s="1" t="s">
        <v>506</v>
      </c>
      <c r="AH29" s="1"/>
      <c r="AI29" s="1" t="s">
        <v>5</v>
      </c>
    </row>
    <row r="30" spans="2:40" ht="21" thickTop="1" thickBot="1">
      <c r="B30" s="105" t="s">
        <v>578</v>
      </c>
      <c r="C30" s="34"/>
      <c r="D30" s="34"/>
      <c r="E30" s="106"/>
      <c r="G30" s="57" t="s">
        <v>371</v>
      </c>
      <c r="H30" s="57" t="s">
        <v>372</v>
      </c>
      <c r="I30" s="81"/>
      <c r="J30" s="81" t="s">
        <v>421</v>
      </c>
      <c r="L30" s="64"/>
      <c r="M30" s="1" t="s">
        <v>34</v>
      </c>
      <c r="N30" s="29"/>
      <c r="O30" s="1" t="s">
        <v>436</v>
      </c>
      <c r="AA30" s="1" t="s">
        <v>46</v>
      </c>
      <c r="AB30" s="1" t="s">
        <v>477</v>
      </c>
      <c r="AC30" s="67"/>
      <c r="AD30" s="1" t="s">
        <v>430</v>
      </c>
      <c r="AF30" s="1" t="s">
        <v>428</v>
      </c>
      <c r="AG30" s="1" t="s">
        <v>177</v>
      </c>
      <c r="AH30" s="1"/>
      <c r="AI30" s="1" t="s">
        <v>318</v>
      </c>
    </row>
    <row r="31" spans="2:40" ht="20.25" thickTop="1">
      <c r="B31" s="98" t="s">
        <v>579</v>
      </c>
      <c r="C31" s="35"/>
      <c r="D31" s="35"/>
      <c r="E31" s="99"/>
      <c r="G31" s="25" t="s">
        <v>503</v>
      </c>
      <c r="H31" s="25" t="s">
        <v>491</v>
      </c>
      <c r="I31" s="25"/>
      <c r="J31" s="25" t="s">
        <v>504</v>
      </c>
      <c r="L31" s="64"/>
      <c r="M31" s="1" t="s">
        <v>447</v>
      </c>
      <c r="N31" s="29"/>
      <c r="O31" s="1" t="s">
        <v>436</v>
      </c>
      <c r="AA31" s="1" t="s">
        <v>46</v>
      </c>
      <c r="AB31" s="1" t="s">
        <v>429</v>
      </c>
      <c r="AC31" s="1"/>
      <c r="AD31" s="1" t="s">
        <v>430</v>
      </c>
      <c r="AF31" s="1" t="s">
        <v>514</v>
      </c>
      <c r="AG31" s="1" t="s">
        <v>176</v>
      </c>
      <c r="AH31" s="69">
        <v>0.51759999999999995</v>
      </c>
      <c r="AI31" s="1" t="s">
        <v>515</v>
      </c>
    </row>
    <row r="32" spans="2:40">
      <c r="B32" s="103" t="s">
        <v>580</v>
      </c>
      <c r="C32" s="36"/>
      <c r="D32" s="36"/>
      <c r="E32" s="104"/>
      <c r="G32" s="1" t="s">
        <v>508</v>
      </c>
      <c r="H32" s="1" t="s">
        <v>21</v>
      </c>
      <c r="I32" s="1"/>
      <c r="J32" s="1" t="s">
        <v>504</v>
      </c>
      <c r="L32" s="1" t="s">
        <v>450</v>
      </c>
      <c r="M32" s="1" t="s">
        <v>451</v>
      </c>
      <c r="N32" s="29"/>
      <c r="O32" s="1" t="s">
        <v>452</v>
      </c>
      <c r="Q32" s="3" t="s">
        <v>502</v>
      </c>
      <c r="R32" s="3"/>
      <c r="S32" s="3"/>
      <c r="T32" s="3"/>
      <c r="AA32" s="1" t="s">
        <v>46</v>
      </c>
      <c r="AB32" s="1" t="s">
        <v>431</v>
      </c>
      <c r="AC32" s="1"/>
      <c r="AD32" s="1" t="s">
        <v>430</v>
      </c>
      <c r="AF32" s="35"/>
      <c r="AG32" s="35"/>
      <c r="AH32" s="35"/>
      <c r="AI32" s="35"/>
    </row>
    <row r="33" spans="2:35" ht="20.25" thickBot="1">
      <c r="B33" s="100" t="s">
        <v>581</v>
      </c>
      <c r="C33" s="81"/>
      <c r="D33" s="139" t="s">
        <v>885</v>
      </c>
      <c r="E33" s="107"/>
      <c r="G33" s="20" t="s">
        <v>513</v>
      </c>
      <c r="H33" s="20" t="s">
        <v>421</v>
      </c>
      <c r="I33" s="20"/>
      <c r="J33" s="20" t="s">
        <v>504</v>
      </c>
      <c r="L33" s="1"/>
      <c r="M33" s="1" t="s">
        <v>454</v>
      </c>
      <c r="N33" s="29"/>
      <c r="O33" s="1" t="s">
        <v>452</v>
      </c>
      <c r="Q33" s="10" t="s">
        <v>59</v>
      </c>
      <c r="R33" s="10" t="s">
        <v>60</v>
      </c>
      <c r="S33" s="10" t="s">
        <v>61</v>
      </c>
      <c r="T33" s="10" t="s">
        <v>62</v>
      </c>
      <c r="AA33" s="1" t="s">
        <v>46</v>
      </c>
      <c r="AB33" s="1" t="s">
        <v>434</v>
      </c>
      <c r="AC33" s="1"/>
      <c r="AD33" s="1" t="s">
        <v>435</v>
      </c>
      <c r="AF33" s="35"/>
      <c r="AG33" s="35"/>
      <c r="AH33" s="35"/>
      <c r="AI33" s="35"/>
    </row>
    <row r="34" spans="2:35" ht="20.25" thickTop="1">
      <c r="B34" s="102" t="s">
        <v>561</v>
      </c>
      <c r="C34" s="51"/>
      <c r="D34" s="51"/>
      <c r="E34" s="108"/>
      <c r="G34" s="63" t="s">
        <v>1275</v>
      </c>
      <c r="H34" s="63" t="s">
        <v>366</v>
      </c>
      <c r="I34" s="51"/>
      <c r="J34" s="51" t="s">
        <v>46</v>
      </c>
      <c r="L34" s="1"/>
      <c r="M34" s="1" t="s">
        <v>458</v>
      </c>
      <c r="N34" s="1"/>
      <c r="O34" s="1" t="s">
        <v>46</v>
      </c>
      <c r="Q34" s="1" t="s">
        <v>511</v>
      </c>
      <c r="R34" s="1" t="s">
        <v>512</v>
      </c>
      <c r="S34" s="22">
        <v>10.5</v>
      </c>
      <c r="T34" s="1" t="s">
        <v>5</v>
      </c>
      <c r="AA34" s="35"/>
      <c r="AB34" s="35"/>
      <c r="AC34" s="35"/>
      <c r="AD34" s="35"/>
    </row>
    <row r="35" spans="2:35" ht="20.25" thickBot="1">
      <c r="B35" s="109" t="s">
        <v>1267</v>
      </c>
      <c r="C35" s="110"/>
      <c r="D35" s="110"/>
      <c r="E35" s="111"/>
      <c r="G35" s="55" t="s">
        <v>584</v>
      </c>
      <c r="H35" s="55" t="s">
        <v>366</v>
      </c>
      <c r="I35" s="35"/>
      <c r="J35" s="35" t="s">
        <v>46</v>
      </c>
      <c r="L35" s="1"/>
      <c r="M35" s="1" t="s">
        <v>461</v>
      </c>
      <c r="N35" s="1"/>
      <c r="O35" s="1" t="s">
        <v>46</v>
      </c>
      <c r="Q35" s="1" t="s">
        <v>517</v>
      </c>
      <c r="R35" s="1" t="s">
        <v>518</v>
      </c>
      <c r="S35" s="22">
        <v>-3.5</v>
      </c>
      <c r="T35" s="1" t="s">
        <v>318</v>
      </c>
    </row>
    <row r="37" spans="2:35">
      <c r="B37" t="s">
        <v>1204</v>
      </c>
    </row>
    <row r="38" spans="2:35">
      <c r="B38" s="10" t="s">
        <v>673</v>
      </c>
      <c r="C38" s="12" t="s">
        <v>672</v>
      </c>
      <c r="D38" s="10" t="s">
        <v>563</v>
      </c>
      <c r="F38" s="12" t="s">
        <v>1203</v>
      </c>
      <c r="G38" s="10" t="s">
        <v>674</v>
      </c>
      <c r="I38" t="s">
        <v>669</v>
      </c>
    </row>
    <row r="39" spans="2:35" ht="20.25" thickBot="1">
      <c r="B39" s="11" t="s">
        <v>6</v>
      </c>
      <c r="C39" s="15" t="s">
        <v>94</v>
      </c>
      <c r="D39" s="11" t="s">
        <v>404</v>
      </c>
      <c r="F39" s="15" t="s">
        <v>572</v>
      </c>
      <c r="G39" s="11" t="s">
        <v>433</v>
      </c>
      <c r="AA39" t="s">
        <v>670</v>
      </c>
    </row>
    <row r="40" spans="2:35" ht="20.25" thickTop="1">
      <c r="B40" s="4">
        <v>110</v>
      </c>
      <c r="C40" s="5">
        <v>10</v>
      </c>
      <c r="D40" s="4">
        <v>18</v>
      </c>
      <c r="E40" s="291" t="s">
        <v>1313</v>
      </c>
      <c r="F40" s="289">
        <f>B40/D40</f>
        <v>6.1111111111111107</v>
      </c>
      <c r="G40" s="290">
        <f>2*B40*パラメータ!D5/(パラメータ!D4*C40^2*D40)</f>
        <v>1.0386801214523096</v>
      </c>
    </row>
    <row r="42" spans="2:35">
      <c r="B42" t="s">
        <v>1324</v>
      </c>
    </row>
    <row r="87" spans="2:19">
      <c r="C87" t="s">
        <v>1266</v>
      </c>
      <c r="M87" t="s">
        <v>1306</v>
      </c>
      <c r="N87" t="s">
        <v>1305</v>
      </c>
      <c r="O87" t="s">
        <v>1304</v>
      </c>
      <c r="P87" t="s">
        <v>1307</v>
      </c>
    </row>
    <row r="88" spans="2:19">
      <c r="C88" t="s">
        <v>1255</v>
      </c>
      <c r="D88" t="s">
        <v>1257</v>
      </c>
      <c r="E88" t="s">
        <v>1258</v>
      </c>
      <c r="F88" t="s">
        <v>1260</v>
      </c>
      <c r="G88" t="s">
        <v>1256</v>
      </c>
      <c r="H88" t="s">
        <v>1259</v>
      </c>
      <c r="M88">
        <v>0.2</v>
      </c>
      <c r="N88">
        <v>1.72</v>
      </c>
      <c r="O88">
        <v>-3.75</v>
      </c>
      <c r="P88">
        <f>N88+O88</f>
        <v>-2.0300000000000002</v>
      </c>
    </row>
    <row r="89" spans="2:19">
      <c r="C89">
        <v>12.5</v>
      </c>
      <c r="D89">
        <v>48.417999999999999</v>
      </c>
      <c r="E89">
        <v>33.234999999999999</v>
      </c>
      <c r="F89">
        <v>-0.35</v>
      </c>
      <c r="G89">
        <v>-2.2000000000000002</v>
      </c>
      <c r="H89">
        <f>C89/D89</f>
        <v>0.25816844975009295</v>
      </c>
      <c r="I89">
        <f>C89/E89</f>
        <v>0.37610952309312473</v>
      </c>
      <c r="M89">
        <v>0.2</v>
      </c>
      <c r="N89">
        <v>1.5</v>
      </c>
      <c r="O89">
        <v>-3.75</v>
      </c>
      <c r="P89">
        <f t="shared" ref="P89:P91" si="0">N89+O89</f>
        <v>-2.25</v>
      </c>
      <c r="R89" t="s">
        <v>1309</v>
      </c>
    </row>
    <row r="90" spans="2:19">
      <c r="C90">
        <v>12.25</v>
      </c>
      <c r="D90">
        <v>48.66</v>
      </c>
      <c r="E90">
        <v>33.784999999999997</v>
      </c>
      <c r="F90">
        <v>-0.1</v>
      </c>
      <c r="G90">
        <v>-2.4</v>
      </c>
      <c r="H90">
        <f>C90/D90</f>
        <v>0.25174681463214138</v>
      </c>
      <c r="I90">
        <f>C90/E90</f>
        <v>0.36258694686991272</v>
      </c>
      <c r="M90" s="250">
        <v>0.2</v>
      </c>
      <c r="N90" s="250">
        <v>1</v>
      </c>
      <c r="O90" s="250">
        <v>-3.75</v>
      </c>
      <c r="P90" s="250">
        <f t="shared" si="0"/>
        <v>-2.75</v>
      </c>
      <c r="R90" t="s">
        <v>1308</v>
      </c>
      <c r="S90">
        <v>2.9</v>
      </c>
    </row>
    <row r="91" spans="2:19">
      <c r="C91">
        <v>12</v>
      </c>
      <c r="D91">
        <v>48.869</v>
      </c>
      <c r="E91">
        <v>34.32</v>
      </c>
      <c r="F91">
        <v>0.16</v>
      </c>
      <c r="G91">
        <v>-2.5499999999999998</v>
      </c>
      <c r="H91">
        <f>C91/D91</f>
        <v>0.24555444146596</v>
      </c>
      <c r="I91">
        <f>C91/E91</f>
        <v>0.34965034965034963</v>
      </c>
      <c r="M91">
        <v>0.2</v>
      </c>
      <c r="N91">
        <v>0.5</v>
      </c>
      <c r="O91">
        <v>-3.75</v>
      </c>
      <c r="P91">
        <f t="shared" si="0"/>
        <v>-3.25</v>
      </c>
      <c r="R91" t="s">
        <v>1310</v>
      </c>
    </row>
    <row r="92" spans="2:19">
      <c r="C92">
        <v>11.75</v>
      </c>
      <c r="D92">
        <v>48.905999999999999</v>
      </c>
      <c r="E92">
        <v>34.716999999999999</v>
      </c>
      <c r="F92">
        <v>0.4</v>
      </c>
      <c r="G92">
        <v>-2.7</v>
      </c>
      <c r="H92">
        <f t="shared" ref="H92:H94" si="1">C92/D92</f>
        <v>0.24025681920418762</v>
      </c>
      <c r="I92">
        <f t="shared" ref="I92:I94" si="2">C92/E92</f>
        <v>0.3384509030158136</v>
      </c>
      <c r="M92">
        <v>0.2</v>
      </c>
      <c r="N92">
        <v>0</v>
      </c>
      <c r="O92">
        <v>-3.75</v>
      </c>
      <c r="P92">
        <f t="shared" ref="P92:P93" si="3">N92+O92</f>
        <v>-3.75</v>
      </c>
    </row>
    <row r="93" spans="2:19">
      <c r="C93" s="250">
        <v>11.5</v>
      </c>
      <c r="D93" s="250">
        <v>48.941000000000003</v>
      </c>
      <c r="E93" s="250">
        <v>35.173999999999999</v>
      </c>
      <c r="F93" s="250">
        <v>0.7</v>
      </c>
      <c r="G93" s="250">
        <v>-2.9249999999999998</v>
      </c>
      <c r="H93" s="250">
        <f t="shared" si="1"/>
        <v>0.23497680881060867</v>
      </c>
      <c r="I93" s="250">
        <f t="shared" si="2"/>
        <v>0.32694603968840619</v>
      </c>
      <c r="J93" t="s">
        <v>1261</v>
      </c>
      <c r="M93">
        <v>0.2</v>
      </c>
      <c r="N93">
        <v>-0.5</v>
      </c>
      <c r="O93">
        <v>-3.75</v>
      </c>
      <c r="P93">
        <f t="shared" si="3"/>
        <v>-4.25</v>
      </c>
    </row>
    <row r="94" spans="2:19">
      <c r="C94">
        <v>11.25</v>
      </c>
      <c r="D94">
        <v>48.878999999999998</v>
      </c>
      <c r="E94">
        <v>35.572000000000003</v>
      </c>
      <c r="F94">
        <v>1.0149999999999999</v>
      </c>
      <c r="G94">
        <v>-3.17</v>
      </c>
      <c r="H94">
        <f t="shared" si="1"/>
        <v>0.23016019149327932</v>
      </c>
      <c r="I94">
        <f t="shared" si="2"/>
        <v>0.31625997975936126</v>
      </c>
    </row>
    <row r="95" spans="2:19">
      <c r="C95">
        <v>11</v>
      </c>
      <c r="D95">
        <v>48.719000000000001</v>
      </c>
      <c r="E95">
        <v>35.909999999999997</v>
      </c>
      <c r="F95">
        <v>1.35</v>
      </c>
      <c r="G95">
        <v>-3.45</v>
      </c>
      <c r="H95">
        <f t="shared" ref="H95:H104" si="4">C95/D95</f>
        <v>0.22578460149017837</v>
      </c>
      <c r="I95">
        <f t="shared" ref="I95:I104" si="5">C95/E95</f>
        <v>0.30632135895293794</v>
      </c>
    </row>
    <row r="96" spans="2:19">
      <c r="B96" t="s">
        <v>1264</v>
      </c>
      <c r="C96" s="251">
        <v>10.75</v>
      </c>
      <c r="D96" s="251">
        <v>48.491</v>
      </c>
      <c r="E96" s="251">
        <v>36.216000000000001</v>
      </c>
      <c r="F96" s="251">
        <v>1.72</v>
      </c>
      <c r="G96" s="251">
        <v>-3.75</v>
      </c>
      <c r="H96" s="251">
        <f t="shared" si="4"/>
        <v>0.2216906230022066</v>
      </c>
      <c r="I96" s="251">
        <f t="shared" si="5"/>
        <v>0.2968301303291363</v>
      </c>
      <c r="M96">
        <v>2</v>
      </c>
      <c r="N96">
        <v>3.6</v>
      </c>
      <c r="O96">
        <v>-5.4</v>
      </c>
      <c r="P96">
        <f>N96+O96</f>
        <v>-1.8000000000000003</v>
      </c>
    </row>
    <row r="97" spans="2:16">
      <c r="C97">
        <v>10.5</v>
      </c>
      <c r="D97">
        <v>48.174999999999997</v>
      </c>
      <c r="E97">
        <v>36.454999999999998</v>
      </c>
      <c r="F97">
        <v>2.11</v>
      </c>
      <c r="G97">
        <v>-4.05</v>
      </c>
      <c r="H97">
        <f t="shared" si="4"/>
        <v>0.21795537104307214</v>
      </c>
      <c r="I97">
        <f t="shared" si="5"/>
        <v>0.28802633383623649</v>
      </c>
      <c r="M97">
        <v>2</v>
      </c>
      <c r="N97">
        <v>3.5</v>
      </c>
      <c r="O97">
        <v>-5.4</v>
      </c>
      <c r="P97">
        <f t="shared" ref="P97:P105" si="6">N97+O97</f>
        <v>-1.9000000000000004</v>
      </c>
    </row>
    <row r="98" spans="2:16">
      <c r="C98">
        <v>10.25</v>
      </c>
      <c r="D98">
        <v>47.731000000000002</v>
      </c>
      <c r="E98">
        <v>36.616999999999997</v>
      </c>
      <c r="F98">
        <v>2.5449999999999999</v>
      </c>
      <c r="G98">
        <v>-4.43</v>
      </c>
      <c r="H98">
        <f t="shared" si="4"/>
        <v>0.21474513418952043</v>
      </c>
      <c r="I98">
        <f t="shared" si="5"/>
        <v>0.2799246251740995</v>
      </c>
      <c r="M98">
        <v>2</v>
      </c>
      <c r="N98">
        <v>3</v>
      </c>
      <c r="O98">
        <v>-5.4</v>
      </c>
      <c r="P98">
        <f t="shared" si="6"/>
        <v>-2.4000000000000004</v>
      </c>
    </row>
    <row r="99" spans="2:16">
      <c r="C99" s="250">
        <v>10</v>
      </c>
      <c r="D99" s="250">
        <v>47.162999999999997</v>
      </c>
      <c r="E99" s="250">
        <v>36.695999999999998</v>
      </c>
      <c r="F99" s="250">
        <v>3.03</v>
      </c>
      <c r="G99" s="250">
        <v>-4.8499999999999996</v>
      </c>
      <c r="H99" s="250">
        <f t="shared" si="4"/>
        <v>0.21203061722112673</v>
      </c>
      <c r="I99" s="250">
        <f t="shared" si="5"/>
        <v>0.27250926531502073</v>
      </c>
      <c r="J99" t="s">
        <v>1262</v>
      </c>
      <c r="M99" s="250">
        <v>2</v>
      </c>
      <c r="N99" s="250">
        <v>2.5</v>
      </c>
      <c r="O99" s="250">
        <v>-5.4</v>
      </c>
      <c r="P99" s="250">
        <f t="shared" ref="P99:P104" si="7">N99+O99</f>
        <v>-2.9000000000000004</v>
      </c>
    </row>
    <row r="100" spans="2:16">
      <c r="B100" t="s">
        <v>1265</v>
      </c>
      <c r="C100" s="251">
        <v>9.75</v>
      </c>
      <c r="D100" s="251">
        <v>46.384</v>
      </c>
      <c r="E100" s="251">
        <v>36.643000000000001</v>
      </c>
      <c r="F100" s="251">
        <v>3.6</v>
      </c>
      <c r="G100" s="251">
        <v>-5.4</v>
      </c>
      <c r="H100" s="251">
        <f t="shared" si="4"/>
        <v>0.21020179372197309</v>
      </c>
      <c r="I100" s="251">
        <f t="shared" si="5"/>
        <v>0.26608083399284993</v>
      </c>
      <c r="M100">
        <v>2</v>
      </c>
      <c r="N100">
        <v>2</v>
      </c>
      <c r="O100">
        <v>-5.4</v>
      </c>
      <c r="P100">
        <f t="shared" si="7"/>
        <v>-3.4000000000000004</v>
      </c>
    </row>
    <row r="101" spans="2:16">
      <c r="C101" s="250">
        <v>9.5</v>
      </c>
      <c r="D101" s="250">
        <v>45.478000000000002</v>
      </c>
      <c r="E101" s="250">
        <v>36.424999999999997</v>
      </c>
      <c r="F101" s="250">
        <v>4.1500000000000004</v>
      </c>
      <c r="G101" s="250">
        <v>-5.9</v>
      </c>
      <c r="H101" s="250">
        <f t="shared" si="4"/>
        <v>0.2088922116188047</v>
      </c>
      <c r="I101" s="250">
        <f t="shared" si="5"/>
        <v>0.26080988332189431</v>
      </c>
      <c r="J101" t="s">
        <v>1263</v>
      </c>
      <c r="M101">
        <v>2</v>
      </c>
      <c r="N101">
        <v>1.5</v>
      </c>
      <c r="O101">
        <v>-5.4</v>
      </c>
      <c r="P101">
        <f t="shared" si="7"/>
        <v>-3.9000000000000004</v>
      </c>
    </row>
    <row r="102" spans="2:16">
      <c r="C102">
        <v>9.25</v>
      </c>
      <c r="D102">
        <v>44.249000000000002</v>
      </c>
      <c r="E102">
        <v>36.003999999999998</v>
      </c>
      <c r="F102">
        <v>4.8499999999999996</v>
      </c>
      <c r="G102">
        <v>-6.5</v>
      </c>
      <c r="H102">
        <f t="shared" si="4"/>
        <v>0.20904427218694208</v>
      </c>
      <c r="I102">
        <f t="shared" si="5"/>
        <v>0.25691589823352962</v>
      </c>
      <c r="M102">
        <v>2</v>
      </c>
      <c r="N102">
        <v>1</v>
      </c>
      <c r="O102">
        <v>-5.4</v>
      </c>
      <c r="P102">
        <f t="shared" si="7"/>
        <v>-4.4000000000000004</v>
      </c>
    </row>
    <row r="103" spans="2:16">
      <c r="C103">
        <v>9</v>
      </c>
      <c r="D103">
        <v>42.421999999999997</v>
      </c>
      <c r="E103">
        <v>35.142000000000003</v>
      </c>
      <c r="F103">
        <v>5.73</v>
      </c>
      <c r="G103">
        <v>-7.4</v>
      </c>
      <c r="H103">
        <f t="shared" si="4"/>
        <v>0.21215407100089578</v>
      </c>
      <c r="I103">
        <f t="shared" si="5"/>
        <v>0.25610380740993682</v>
      </c>
      <c r="M103">
        <v>2</v>
      </c>
      <c r="N103">
        <v>0.5</v>
      </c>
      <c r="O103">
        <v>-5.4</v>
      </c>
      <c r="P103">
        <f t="shared" si="7"/>
        <v>-4.9000000000000004</v>
      </c>
    </row>
    <row r="104" spans="2:16">
      <c r="C104">
        <v>8.1</v>
      </c>
      <c r="D104">
        <v>17.273</v>
      </c>
      <c r="E104">
        <v>16.166</v>
      </c>
      <c r="F104">
        <v>15</v>
      </c>
      <c r="G104">
        <v>-17</v>
      </c>
      <c r="H104">
        <f t="shared" si="4"/>
        <v>0.46893996410582989</v>
      </c>
      <c r="I104">
        <f t="shared" si="5"/>
        <v>0.50105158975627861</v>
      </c>
      <c r="M104">
        <v>2</v>
      </c>
      <c r="N104">
        <v>0</v>
      </c>
      <c r="O104">
        <v>-5.4</v>
      </c>
      <c r="P104">
        <f t="shared" si="7"/>
        <v>-5.4</v>
      </c>
    </row>
    <row r="105" spans="2:16">
      <c r="M105">
        <v>2</v>
      </c>
      <c r="N105">
        <v>3.6</v>
      </c>
      <c r="O105">
        <v>-5.4</v>
      </c>
      <c r="P105">
        <f t="shared" si="6"/>
        <v>-1.8000000000000003</v>
      </c>
    </row>
  </sheetData>
  <mergeCells count="1">
    <mergeCell ref="B3:E10"/>
  </mergeCells>
  <phoneticPr fontId="3"/>
  <dataValidations count="4">
    <dataValidation type="list" allowBlank="1" showInputMessage="1" showErrorMessage="1" sqref="AH10" xr:uid="{EF33752D-EAF2-48ED-B700-9CCE536D089F}">
      <formula1>"Conventional,T-Tail"</formula1>
    </dataValidation>
    <dataValidation type="list" allowBlank="1" showInputMessage="1" showErrorMessage="1" sqref="D25" xr:uid="{B86DEAC5-5A58-4146-BDAD-BEDB642EB61A}">
      <formula1>"T字配置,通常配置"</formula1>
    </dataValidation>
    <dataValidation type="list" allowBlank="1" showInputMessage="1" showErrorMessage="1" sqref="D33" xr:uid="{39CC11C2-6BA9-944A-A6C5-71F57DF82B14}">
      <formula1>"重心移動,エレベーター"</formula1>
    </dataValidation>
    <dataValidation type="list" allowBlank="1" showInputMessage="1" showErrorMessage="1" sqref="I2" xr:uid="{5CDC48E2-DC51-4288-AAD1-4BE25768C7B2}">
      <formula1>"エレベーター,重心移動"</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04603-228E-4425-A0E9-6657FBABFFFC}">
  <sheetPr codeName="Sheet9">
    <tabColor theme="3" tint="0.59999389629810485"/>
  </sheetPr>
  <dimension ref="A1"/>
  <sheetViews>
    <sheetView zoomScale="55" zoomScaleNormal="55" workbookViewId="0"/>
  </sheetViews>
  <sheetFormatPr defaultRowHeight="19.5"/>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D2"/>
  <sheetViews>
    <sheetView zoomScale="55" zoomScaleNormal="55" workbookViewId="0">
      <selection activeCell="D3" sqref="D3"/>
    </sheetView>
  </sheetViews>
  <sheetFormatPr defaultColWidth="8.6640625" defaultRowHeight="19.5"/>
  <sheetData>
    <row r="2" spans="2:4">
      <c r="B2" t="s">
        <v>671</v>
      </c>
      <c r="D2" t="s">
        <v>1315</v>
      </c>
    </row>
  </sheetData>
  <phoneticPr fontId="3"/>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55" zoomScaleNormal="55" workbookViewId="0">
      <selection activeCell="AC17" sqref="AC17"/>
    </sheetView>
  </sheetViews>
  <sheetFormatPr defaultColWidth="9.33203125" defaultRowHeight="19.5"/>
  <cols>
    <col min="1" max="2" width="9.33203125" style="3"/>
    <col min="3" max="15" width="9.44140625" style="3" bestFit="1" customWidth="1"/>
    <col min="16" max="16" width="9.5546875" style="3" bestFit="1" customWidth="1"/>
    <col min="17" max="17" width="12.5546875" style="3" bestFit="1" customWidth="1"/>
    <col min="18" max="18" width="16" style="3" customWidth="1"/>
    <col min="19" max="19" width="9.44140625" style="3" customWidth="1"/>
    <col min="20" max="20" width="9.33203125" style="3" customWidth="1"/>
    <col min="21" max="21" width="9.6640625" style="3" bestFit="1" customWidth="1"/>
    <col min="22" max="24" width="9.33203125" style="3"/>
    <col min="25" max="25" width="9.5546875" style="3" bestFit="1" customWidth="1"/>
    <col min="26" max="27" width="9.33203125" style="3"/>
    <col min="28" max="28" width="9.44140625" style="3" bestFit="1" customWidth="1"/>
    <col min="29" max="29" width="9.33203125" style="3"/>
    <col min="30" max="30" width="9.44140625" style="3" bestFit="1" customWidth="1"/>
    <col min="31" max="31" width="9.33203125" style="3"/>
    <col min="32" max="32" width="9.44140625" style="3" bestFit="1" customWidth="1"/>
    <col min="33" max="33" width="9.33203125" style="3"/>
    <col min="34" max="34" width="9.44140625" style="3" bestFit="1" customWidth="1"/>
    <col min="35" max="16384" width="9.33203125" style="3"/>
  </cols>
  <sheetData>
    <row r="2" spans="2:35">
      <c r="B2" s="3" t="s">
        <v>663</v>
      </c>
      <c r="Q2" s="3" t="s">
        <v>865</v>
      </c>
      <c r="AA2" s="3" t="s">
        <v>1228</v>
      </c>
    </row>
    <row r="3" spans="2:35">
      <c r="B3" s="10" t="s">
        <v>0</v>
      </c>
      <c r="C3" s="10" t="s">
        <v>19</v>
      </c>
      <c r="D3" s="265" t="s">
        <v>283</v>
      </c>
      <c r="E3" s="266"/>
      <c r="F3" s="267"/>
      <c r="G3" s="265" t="s">
        <v>24</v>
      </c>
      <c r="H3" s="266"/>
      <c r="I3" s="266"/>
      <c r="J3" s="266"/>
      <c r="K3" s="266"/>
      <c r="L3" s="267"/>
      <c r="Q3" s="10" t="s">
        <v>866</v>
      </c>
      <c r="R3" s="12" t="s">
        <v>867</v>
      </c>
      <c r="S3" s="10" t="s">
        <v>868</v>
      </c>
      <c r="T3" s="13" t="s">
        <v>869</v>
      </c>
      <c r="U3" s="14" t="s">
        <v>870</v>
      </c>
      <c r="AA3" s="3" t="s">
        <v>1089</v>
      </c>
      <c r="AB3" s="1" t="s">
        <v>520</v>
      </c>
      <c r="AC3" s="70">
        <f>SUM(AC5:AC19)</f>
        <v>7.7866057566291387</v>
      </c>
      <c r="AD3" s="71" t="s">
        <v>521</v>
      </c>
      <c r="AE3" s="70">
        <f>SUM(AE5:AE19)</f>
        <v>5.117</v>
      </c>
      <c r="AF3" s="71" t="s">
        <v>522</v>
      </c>
      <c r="AG3" s="70">
        <f>SUM(AG5:AG19)</f>
        <v>3.9830000000000001</v>
      </c>
      <c r="AH3" s="71" t="s">
        <v>523</v>
      </c>
      <c r="AI3" s="70">
        <f>SUM(AI5:AI19)</f>
        <v>2.7690000000000001</v>
      </c>
    </row>
    <row r="4" spans="2:35" ht="20.25" thickBot="1">
      <c r="B4" s="10" t="s">
        <v>46</v>
      </c>
      <c r="C4" s="10" t="s">
        <v>21</v>
      </c>
      <c r="D4" s="10" t="s">
        <v>476</v>
      </c>
      <c r="E4" s="10" t="s">
        <v>480</v>
      </c>
      <c r="F4" s="10" t="s">
        <v>483</v>
      </c>
      <c r="G4" s="10" t="s">
        <v>26</v>
      </c>
      <c r="H4" s="10" t="s">
        <v>28</v>
      </c>
      <c r="I4" s="10" t="s">
        <v>30</v>
      </c>
      <c r="J4" s="10" t="s">
        <v>32</v>
      </c>
      <c r="K4" s="10" t="s">
        <v>34</v>
      </c>
      <c r="L4" s="10" t="s">
        <v>35</v>
      </c>
      <c r="Q4" s="11" t="s">
        <v>871</v>
      </c>
      <c r="R4" s="15" t="s">
        <v>871</v>
      </c>
      <c r="S4" s="11" t="s">
        <v>706</v>
      </c>
      <c r="T4" s="16" t="s">
        <v>762</v>
      </c>
      <c r="U4" s="17" t="s">
        <v>706</v>
      </c>
      <c r="AB4" s="10" t="s">
        <v>44</v>
      </c>
      <c r="AC4" s="44" t="s">
        <v>1</v>
      </c>
      <c r="AD4" s="13" t="s">
        <v>44</v>
      </c>
      <c r="AE4" s="44" t="s">
        <v>19</v>
      </c>
      <c r="AF4" s="13" t="s">
        <v>44</v>
      </c>
      <c r="AG4" s="44" t="s">
        <v>19</v>
      </c>
      <c r="AH4" s="13" t="s">
        <v>44</v>
      </c>
      <c r="AI4" s="44" t="s">
        <v>19</v>
      </c>
    </row>
    <row r="5" spans="2:35" ht="21" thickTop="1" thickBot="1">
      <c r="B5" s="11" t="s">
        <v>46</v>
      </c>
      <c r="C5" s="11" t="s">
        <v>6</v>
      </c>
      <c r="D5" s="11" t="s">
        <v>5</v>
      </c>
      <c r="E5" s="11" t="s">
        <v>5</v>
      </c>
      <c r="F5" s="11" t="s">
        <v>5</v>
      </c>
      <c r="G5" s="11" t="s">
        <v>38</v>
      </c>
      <c r="H5" s="11" t="s">
        <v>38</v>
      </c>
      <c r="I5" s="11" t="s">
        <v>38</v>
      </c>
      <c r="J5" s="11" t="s">
        <v>38</v>
      </c>
      <c r="K5" s="11" t="s">
        <v>38</v>
      </c>
      <c r="L5" s="11" t="s">
        <v>38</v>
      </c>
      <c r="Q5" s="4">
        <v>0</v>
      </c>
      <c r="R5" s="5">
        <v>2000</v>
      </c>
      <c r="S5" s="4">
        <v>0.32</v>
      </c>
      <c r="T5" s="6">
        <f>(Q5+R5)/1000</f>
        <v>2</v>
      </c>
      <c r="U5" s="7">
        <f>S5*R5/(Q5+R5)</f>
        <v>0.32</v>
      </c>
      <c r="AB5" s="25" t="s">
        <v>11</v>
      </c>
      <c r="AC5" s="72">
        <v>3.2229999999999999</v>
      </c>
      <c r="AD5" s="73" t="s">
        <v>11</v>
      </c>
      <c r="AE5" s="72">
        <v>3.2959999999999998</v>
      </c>
      <c r="AF5" s="73" t="s">
        <v>11</v>
      </c>
      <c r="AG5" s="72">
        <v>2.4809999999999999</v>
      </c>
      <c r="AH5" s="73" t="s">
        <v>11</v>
      </c>
      <c r="AI5" s="72">
        <v>1.526</v>
      </c>
    </row>
    <row r="6" spans="2:35" ht="21" thickTop="1" thickBot="1">
      <c r="B6" s="2" t="s">
        <v>39</v>
      </c>
      <c r="C6" s="2">
        <f>SUM(C7:C8)</f>
        <v>109.34103</v>
      </c>
      <c r="D6" s="2">
        <f>SUMPRODUCT($C$7:$C$8,D7:D8)/SUM($C$7:$C$8)</f>
        <v>-1.6246022553475584E-17</v>
      </c>
      <c r="E6" s="2">
        <f>SUMPRODUCT($C$7:$C$8,E7:E8)/SUM($C$7:$C$8)</f>
        <v>-3.8116615510207269E-3</v>
      </c>
      <c r="F6" s="2">
        <f>SUMPRODUCT($C$7:$C$8,F7:F8)/SUM($C$7:$C$8)</f>
        <v>0.14843543727363825</v>
      </c>
      <c r="G6" s="2" cm="1">
        <f t="array" ref="G6">SUM(G7:G8)+SUMPRODUCT($C$7:$C$8,POWER(E7:E8-E$6,2)+POWER(F7:F8-F$6,2))</f>
        <v>3.5346166451969832</v>
      </c>
      <c r="H6" s="2" cm="1">
        <f t="array" ref="H6">SUM(H7:H8)+SUMPRODUCT($C$7:$C$8,POWER(D7:D8-D$6,2)+POWER(F7:F8-F$6,2))</f>
        <v>66.917093147586826</v>
      </c>
      <c r="I6" s="2" cm="1">
        <f t="array" ref="I6">SUM(I7:I8)+SUMPRODUCT($C$7:$C$8,POWER(D7:D8-D$6,2)+POWER(E7:E8-E$6,2))</f>
        <v>67.127759262400602</v>
      </c>
      <c r="J6" s="2" cm="1">
        <f t="array" ref="J6">SUM(J7:J8)+SUMPRODUCT($C7:$C8,(D7:D8-D$6)*(E7:E8-E$6))</f>
        <v>-5.8092098142302387E-2</v>
      </c>
      <c r="K6" s="2" cm="1">
        <f t="array" ref="K6">SUM(K7:K8)+SUMPRODUCT($C$7:$C$8,(E7:E8-E$6)*(F7:F8-F$6))</f>
        <v>7.4905360663739901E-2</v>
      </c>
      <c r="L6" s="2" cm="1">
        <f t="array" ref="L6">SUM(L7:L8)+SUMPRODUCT($C$7:$C$8,(F7:F8-F$6)*(D7:D8-D$6))</f>
        <v>5.0077012366259606</v>
      </c>
      <c r="AB6" s="1" t="s">
        <v>10</v>
      </c>
      <c r="AC6" s="74">
        <v>1.7</v>
      </c>
      <c r="AD6" s="6" t="s">
        <v>12</v>
      </c>
      <c r="AE6" s="75">
        <v>0.25800000000000001</v>
      </c>
      <c r="AF6" s="6" t="s">
        <v>12</v>
      </c>
      <c r="AG6" s="75">
        <v>0.16400000000000001</v>
      </c>
      <c r="AH6" s="6" t="s">
        <v>12</v>
      </c>
      <c r="AI6" s="75">
        <v>0.106</v>
      </c>
    </row>
    <row r="7" spans="2:35" ht="21" thickTop="1" thickBot="1">
      <c r="B7" s="24" t="s">
        <v>519</v>
      </c>
      <c r="C7" s="24">
        <f>U11</f>
        <v>49.341030000000003</v>
      </c>
      <c r="D7" s="24" cm="1">
        <f t="array" ref="D7:F7">V11:X11</f>
        <v>0.23651605975797427</v>
      </c>
      <c r="E7" s="24">
        <v>-8.4467430047569705E-3</v>
      </c>
      <c r="F7" s="24">
        <v>8.5731562555544524E-2</v>
      </c>
      <c r="G7" s="24" cm="1">
        <f t="array" ref="G7">SUM(G15:G21)+SUMPRODUCT($C15:$C21,POWER(E15:E21-$E$6,2)+POWER(F15:F21-$F$6,2))</f>
        <v>1.8431527570495498</v>
      </c>
      <c r="H7" s="24" cm="1">
        <f t="array" ref="H7">SUM(H15:H19)+SUMPRODUCT($C15:$C19,POWER(D15:D19-$D$6,2)+POWER(F15:F19-$F$6,2))</f>
        <v>51.702637387415017</v>
      </c>
      <c r="I7" s="24" cm="1">
        <f t="array" ref="I7">SUM(I15:I19)+SUMPRODUCT($C15:$C19,POWER(D15:D19-$D$6,2)+POWER(E15:E19-$E$6,2))</f>
        <v>51.965903855311112</v>
      </c>
      <c r="J7" s="24" cm="1">
        <f t="array" ref="J7">SUM(J15:J19)+SUMPRODUCT($C15:$C19,(D15:D19-$D$6)*(E15:E19-$E$6))</f>
        <v>4.0480936599089232E-2</v>
      </c>
      <c r="K7" s="24" cm="1">
        <f t="array" ref="K7">SUM(K15:K19)+SUMPRODUCT($C15:$C19,(E15:E19-$E$6)*(F15:F19-$F$6))</f>
        <v>4.8772204093605005E-2</v>
      </c>
      <c r="L7" s="24" cm="1">
        <f t="array" ref="L7">SUM(L15:L19)+SUMPRODUCT($C15:$C19,(D15:D19-$D$6)*(F15:F19-$F$6))</f>
        <v>5.185207731107135</v>
      </c>
      <c r="Q7" s="3" t="s">
        <v>1077</v>
      </c>
      <c r="V7" s="3" t="s">
        <v>1238</v>
      </c>
      <c r="W7" s="3" t="s">
        <v>1240</v>
      </c>
      <c r="X7" s="3" t="s">
        <v>1239</v>
      </c>
      <c r="AB7" s="1" t="s">
        <v>8</v>
      </c>
      <c r="AC7" s="74">
        <v>0.3</v>
      </c>
      <c r="AD7" s="71" t="s">
        <v>13</v>
      </c>
      <c r="AE7" s="74">
        <v>0.47499999999999998</v>
      </c>
      <c r="AF7" s="71" t="s">
        <v>13</v>
      </c>
      <c r="AG7" s="74">
        <v>0.36699999999999999</v>
      </c>
      <c r="AH7" s="71" t="s">
        <v>13</v>
      </c>
      <c r="AI7" s="74">
        <v>0.32</v>
      </c>
    </row>
    <row r="8" spans="2:35" ht="20.25" thickBot="1">
      <c r="B8" s="1" t="s">
        <v>48</v>
      </c>
      <c r="C8" s="9">
        <f>全機諸元!D16</f>
        <v>60</v>
      </c>
      <c r="D8" s="203">
        <f>-(C7/C8)*D7</f>
        <v>-0.19449910000000004</v>
      </c>
      <c r="E8" s="23">
        <v>0</v>
      </c>
      <c r="F8" s="1">
        <v>0.2</v>
      </c>
      <c r="G8" s="22">
        <v>1.3360000000000001</v>
      </c>
      <c r="H8" s="22">
        <v>9.8309999999999995</v>
      </c>
      <c r="I8" s="22">
        <v>10.130000000000001</v>
      </c>
      <c r="J8" s="22">
        <v>0</v>
      </c>
      <c r="K8" s="22">
        <v>0</v>
      </c>
      <c r="L8" s="22">
        <v>1.1559999999999999</v>
      </c>
      <c r="M8" s="3" t="s">
        <v>1226</v>
      </c>
      <c r="Q8" s="10" t="s">
        <v>0</v>
      </c>
      <c r="R8" s="10" t="s">
        <v>44</v>
      </c>
      <c r="S8" s="10" t="s">
        <v>1</v>
      </c>
      <c r="T8" s="10" t="s">
        <v>1071</v>
      </c>
      <c r="U8" s="10" t="s">
        <v>19</v>
      </c>
      <c r="V8" s="10" t="s">
        <v>2</v>
      </c>
      <c r="W8" s="10"/>
      <c r="X8" s="10"/>
      <c r="AB8" s="1" t="s">
        <v>1253</v>
      </c>
      <c r="AC8" s="74">
        <v>1</v>
      </c>
      <c r="AD8" s="71" t="s">
        <v>14</v>
      </c>
      <c r="AE8" s="74">
        <v>0.123</v>
      </c>
      <c r="AF8" s="71" t="s">
        <v>14</v>
      </c>
      <c r="AG8" s="74">
        <v>9.5000000000000001E-2</v>
      </c>
      <c r="AH8" s="71" t="s">
        <v>14</v>
      </c>
      <c r="AI8" s="74">
        <v>8.5999999999999993E-2</v>
      </c>
    </row>
    <row r="9" spans="2:35">
      <c r="D9" s="3" t="s">
        <v>1088</v>
      </c>
      <c r="Q9" s="10" t="s">
        <v>46</v>
      </c>
      <c r="R9" s="10" t="s">
        <v>46</v>
      </c>
      <c r="S9" s="10" t="s">
        <v>46</v>
      </c>
      <c r="T9" s="10" t="s">
        <v>46</v>
      </c>
      <c r="U9" s="10" t="s">
        <v>46</v>
      </c>
      <c r="V9" s="10" t="s">
        <v>20</v>
      </c>
      <c r="W9" s="10" t="s">
        <v>22</v>
      </c>
      <c r="X9" s="10" t="s">
        <v>23</v>
      </c>
      <c r="AB9" s="1" t="s">
        <v>9</v>
      </c>
      <c r="AC9" s="74"/>
      <c r="AD9" s="71" t="s">
        <v>15</v>
      </c>
      <c r="AE9" s="74">
        <v>0.108</v>
      </c>
      <c r="AF9" s="71" t="s">
        <v>15</v>
      </c>
      <c r="AG9" s="74">
        <v>0.10199999999999999</v>
      </c>
      <c r="AH9" s="71" t="s">
        <v>15</v>
      </c>
      <c r="AI9" s="74">
        <v>0.125</v>
      </c>
    </row>
    <row r="10" spans="2:35" ht="20.25" thickBot="1">
      <c r="Q10" s="11" t="s">
        <v>46</v>
      </c>
      <c r="R10" s="11" t="s">
        <v>46</v>
      </c>
      <c r="S10" s="11" t="s">
        <v>36</v>
      </c>
      <c r="T10" s="15" t="s">
        <v>36</v>
      </c>
      <c r="U10" s="11" t="s">
        <v>36</v>
      </c>
      <c r="V10" s="11" t="s">
        <v>5</v>
      </c>
      <c r="W10" s="11" t="s">
        <v>5</v>
      </c>
      <c r="X10" s="11" t="s">
        <v>5</v>
      </c>
      <c r="AB10" s="1" t="s">
        <v>534</v>
      </c>
      <c r="AC10" s="74"/>
      <c r="AD10" s="71" t="s">
        <v>16</v>
      </c>
      <c r="AE10" s="74">
        <v>0.23</v>
      </c>
      <c r="AF10" s="71" t="s">
        <v>16</v>
      </c>
      <c r="AG10" s="74">
        <v>0.217</v>
      </c>
      <c r="AH10" s="71" t="s">
        <v>16</v>
      </c>
      <c r="AI10" s="74">
        <v>0.255</v>
      </c>
    </row>
    <row r="11" spans="2:35" ht="21" thickTop="1" thickBot="1">
      <c r="B11" s="3" t="s">
        <v>664</v>
      </c>
      <c r="Q11" s="19"/>
      <c r="R11" s="19" t="s">
        <v>4</v>
      </c>
      <c r="S11" s="19">
        <f>SUM(S12:S65)</f>
        <v>44.634605756629142</v>
      </c>
      <c r="T11" s="19">
        <f>SUM(T12:T65)</f>
        <v>49.341030000000003</v>
      </c>
      <c r="U11" s="19">
        <f>SUM(U12:U65)</f>
        <v>49.341030000000003</v>
      </c>
      <c r="V11" s="19">
        <f>SUMPRODUCT($U$12:$U$65,V12:V65)/SUM($U$12:$U$65)</f>
        <v>0.23651605975797427</v>
      </c>
      <c r="W11" s="19">
        <f>SUMPRODUCT($U$12:$U$65,W12:W65)/SUM($U$12:$U$65)</f>
        <v>-8.4467430047569705E-3</v>
      </c>
      <c r="X11" s="19">
        <f>SUMPRODUCT($U$12:$U$65,X12:X65)/SUM($U$12:$U$65)</f>
        <v>8.5731562555544524E-2</v>
      </c>
      <c r="AB11" s="2" t="s">
        <v>12</v>
      </c>
      <c r="AC11" s="75">
        <v>0.23</v>
      </c>
      <c r="AD11" s="71" t="s">
        <v>17</v>
      </c>
      <c r="AE11" s="74">
        <v>0.32700000000000001</v>
      </c>
      <c r="AF11" s="71" t="s">
        <v>17</v>
      </c>
      <c r="AG11" s="74">
        <v>0.25700000000000001</v>
      </c>
      <c r="AH11" s="71" t="s">
        <v>17</v>
      </c>
      <c r="AI11" s="74">
        <v>0.251</v>
      </c>
    </row>
    <row r="12" spans="2:35" ht="20.25" thickTop="1">
      <c r="B12" s="10" t="s">
        <v>472</v>
      </c>
      <c r="C12" s="10" t="s">
        <v>19</v>
      </c>
      <c r="D12" s="265" t="s">
        <v>283</v>
      </c>
      <c r="E12" s="266"/>
      <c r="F12" s="267"/>
      <c r="G12" s="265" t="s">
        <v>24</v>
      </c>
      <c r="H12" s="266"/>
      <c r="I12" s="266"/>
      <c r="J12" s="266"/>
      <c r="K12" s="266"/>
      <c r="L12" s="267"/>
      <c r="M12" s="10" t="s">
        <v>1254</v>
      </c>
      <c r="Q12" s="2" t="s">
        <v>40</v>
      </c>
      <c r="R12" s="2" t="s">
        <v>527</v>
      </c>
      <c r="S12" s="2">
        <f>AC3</f>
        <v>7.7866057566291387</v>
      </c>
      <c r="T12" s="4">
        <v>8.5060000000000002</v>
      </c>
      <c r="U12" s="2">
        <f>IF(T12="",S12,T12)</f>
        <v>8.5060000000000002</v>
      </c>
      <c r="V12" s="4">
        <v>4.8000000000000001E-2</v>
      </c>
      <c r="W12" s="4">
        <v>0</v>
      </c>
      <c r="X12" s="4">
        <v>7.5999999999999998E-2</v>
      </c>
      <c r="AB12" s="1" t="s">
        <v>13</v>
      </c>
      <c r="AC12" s="74">
        <v>0.39606880111426901</v>
      </c>
      <c r="AD12" s="71" t="s">
        <v>18</v>
      </c>
      <c r="AE12" s="74">
        <v>0.3</v>
      </c>
      <c r="AF12" s="71" t="s">
        <v>18</v>
      </c>
      <c r="AG12" s="74">
        <v>0.3</v>
      </c>
      <c r="AH12" s="71" t="s">
        <v>18</v>
      </c>
      <c r="AI12" s="74">
        <v>0.1</v>
      </c>
    </row>
    <row r="13" spans="2:35">
      <c r="B13" s="10" t="s">
        <v>153</v>
      </c>
      <c r="C13" s="10" t="s">
        <v>21</v>
      </c>
      <c r="D13" s="10" t="s">
        <v>476</v>
      </c>
      <c r="E13" s="10" t="s">
        <v>480</v>
      </c>
      <c r="F13" s="10" t="s">
        <v>483</v>
      </c>
      <c r="G13" s="10" t="s">
        <v>26</v>
      </c>
      <c r="H13" s="10" t="s">
        <v>28</v>
      </c>
      <c r="I13" s="10" t="s">
        <v>30</v>
      </c>
      <c r="J13" s="10" t="s">
        <v>32</v>
      </c>
      <c r="K13" s="10" t="s">
        <v>34</v>
      </c>
      <c r="L13" s="10" t="s">
        <v>447</v>
      </c>
      <c r="M13" s="10" t="s">
        <v>1055</v>
      </c>
      <c r="Q13" s="1"/>
      <c r="R13" s="1" t="s">
        <v>529</v>
      </c>
      <c r="S13" s="1">
        <f>AE3</f>
        <v>5.117</v>
      </c>
      <c r="T13" s="22">
        <v>5.3289999999999997</v>
      </c>
      <c r="U13" s="2">
        <f t="shared" ref="U13:U27" si="0">IF(T13="",S13,T13)</f>
        <v>5.3289999999999997</v>
      </c>
      <c r="V13" s="22">
        <v>0</v>
      </c>
      <c r="W13" s="22">
        <f>主桁!C7+1.932</f>
        <v>3.3319999999999999</v>
      </c>
      <c r="X13" s="22">
        <v>0</v>
      </c>
      <c r="AB13" s="1" t="s">
        <v>14</v>
      </c>
      <c r="AC13" s="74">
        <v>0.10257245551487038</v>
      </c>
      <c r="AD13" s="1"/>
      <c r="AE13" s="74"/>
      <c r="AF13" s="1"/>
      <c r="AG13" s="74"/>
      <c r="AH13" s="1"/>
      <c r="AI13" s="74"/>
    </row>
    <row r="14" spans="2:35" ht="20.25" thickBot="1">
      <c r="B14" s="11" t="s">
        <v>155</v>
      </c>
      <c r="C14" s="11" t="s">
        <v>6</v>
      </c>
      <c r="D14" s="11" t="s">
        <v>5</v>
      </c>
      <c r="E14" s="11" t="s">
        <v>5</v>
      </c>
      <c r="F14" s="11" t="s">
        <v>5</v>
      </c>
      <c r="G14" s="11" t="s">
        <v>38</v>
      </c>
      <c r="H14" s="11" t="s">
        <v>38</v>
      </c>
      <c r="I14" s="11" t="s">
        <v>38</v>
      </c>
      <c r="J14" s="11" t="s">
        <v>436</v>
      </c>
      <c r="K14" s="11" t="s">
        <v>436</v>
      </c>
      <c r="L14" s="11" t="s">
        <v>436</v>
      </c>
      <c r="M14" s="11" t="s">
        <v>6</v>
      </c>
      <c r="Q14" s="1"/>
      <c r="R14" s="1" t="s">
        <v>531</v>
      </c>
      <c r="S14" s="1">
        <f>AE3</f>
        <v>5.117</v>
      </c>
      <c r="T14" s="22">
        <v>5.319</v>
      </c>
      <c r="U14" s="2">
        <f t="shared" si="0"/>
        <v>5.319</v>
      </c>
      <c r="V14" s="22">
        <v>0</v>
      </c>
      <c r="W14" s="22">
        <f>-(主桁!C7+1.957)</f>
        <v>-3.3570000000000002</v>
      </c>
      <c r="X14" s="22">
        <v>0</v>
      </c>
      <c r="AB14" s="1" t="s">
        <v>15</v>
      </c>
      <c r="AC14" s="74">
        <v>8.3999999999999991E-2</v>
      </c>
      <c r="AD14" s="1"/>
      <c r="AE14" s="74"/>
      <c r="AF14" s="1"/>
      <c r="AG14" s="74"/>
      <c r="AH14" s="1"/>
      <c r="AI14" s="74"/>
    </row>
    <row r="15" spans="2:35" ht="20.25" thickTop="1">
      <c r="B15" s="2" t="s">
        <v>40</v>
      </c>
      <c r="C15" s="2">
        <f>SUM(U12:U22)</f>
        <v>32.812000000000005</v>
      </c>
      <c r="D15" s="2">
        <f>SUMPRODUCT($U$12:$U$22,V12:V22)/SUM($U$12:$U$22)</f>
        <v>1.2443252468609044E-2</v>
      </c>
      <c r="E15" s="2">
        <f t="shared" ref="E15" si="1">SUMPRODUCT($U$12:$U$22,W12:W22)/SUM($U$12:$U$22)</f>
        <v>-1.2702212605144578E-2</v>
      </c>
      <c r="F15" s="2">
        <f>SUMPRODUCT($U$12:$U$22,X12:X22)/SUM($U$12:$U$22)</f>
        <v>1.9701816408630987E-2</v>
      </c>
      <c r="G15" s="1">
        <f>SUMPRODUCT(主翼!$BH$51:$BH$150,主翼!BI51:BI150)*2</f>
        <v>1.6180778142488899E-2</v>
      </c>
      <c r="H15" s="1">
        <f>SUMPRODUCT(主翼!$BH$51:$BH$150,主翼!BJ51:BJ150)*2</f>
        <v>1.1429785949615372E-2</v>
      </c>
      <c r="I15" s="1">
        <f>SUMPRODUCT(主翼!$BH$51:$BH$150,主翼!BK51:BK150)*2</f>
        <v>4.7509921928735174E-3</v>
      </c>
      <c r="J15" s="2">
        <v>0</v>
      </c>
      <c r="K15" s="2" cm="1">
        <f t="array" ref="K15">SUMPRODUCT(主翼!AH51:AH150,(主翼!AP51:AP150-機体重量!$E$15)*(主翼!AO51:AO150-機体重量!$F$15))</f>
        <v>7.0080936808339352E-3</v>
      </c>
      <c r="L15" s="2">
        <v>0</v>
      </c>
      <c r="M15" s="2">
        <f>SUM(U12:U22)-SUM(S12:S22)</f>
        <v>0.88739424337087058</v>
      </c>
      <c r="Q15" s="1"/>
      <c r="R15" s="1" t="s">
        <v>533</v>
      </c>
      <c r="S15" s="1">
        <f>AG3</f>
        <v>3.9830000000000001</v>
      </c>
      <c r="T15" s="22">
        <v>4.01</v>
      </c>
      <c r="U15" s="2">
        <f t="shared" si="0"/>
        <v>4.01</v>
      </c>
      <c r="V15" s="22">
        <v>0</v>
      </c>
      <c r="W15" s="22">
        <f>主桁!C9+1.943</f>
        <v>6.843</v>
      </c>
      <c r="X15" s="22">
        <v>0</v>
      </c>
      <c r="AB15" s="1" t="s">
        <v>16</v>
      </c>
      <c r="AC15" s="74">
        <v>0.17850000000000002</v>
      </c>
      <c r="AD15" s="1"/>
      <c r="AE15" s="74"/>
      <c r="AF15" s="1"/>
      <c r="AG15" s="74"/>
      <c r="AH15" s="1"/>
      <c r="AI15" s="74"/>
    </row>
    <row r="16" spans="2:35">
      <c r="B16" s="1" t="s">
        <v>1252</v>
      </c>
      <c r="C16" s="1">
        <f>SUM(U24:U38)</f>
        <v>2.5494400000000002</v>
      </c>
      <c r="D16" s="1">
        <f>SUMPRODUCT($U$24:$U$38,V24:V38)/SUM($U$24:$U$38)</f>
        <v>3.2467059432659711</v>
      </c>
      <c r="E16" s="1">
        <f t="shared" ref="E16:F16" si="2">SUMPRODUCT($U$24:$U$38,W24:W38)/SUM($U$24:$U$38)</f>
        <v>5.4914020333877722E-6</v>
      </c>
      <c r="F16" s="1">
        <f t="shared" si="2"/>
        <v>0.41327067905108567</v>
      </c>
      <c r="H16" s="1">
        <v>4.2714103151758623E-8</v>
      </c>
      <c r="I16" s="1">
        <v>1.6148927593375719</v>
      </c>
      <c r="J16" s="1">
        <v>0</v>
      </c>
      <c r="K16" s="1">
        <v>0</v>
      </c>
      <c r="L16" s="1">
        <v>0</v>
      </c>
      <c r="M16" s="1">
        <f>SUM(U24:U38)-SUM(S24:S38)</f>
        <v>0.32444000000000006</v>
      </c>
      <c r="Q16" s="1"/>
      <c r="R16" s="1" t="s">
        <v>535</v>
      </c>
      <c r="S16" s="1">
        <f>AG3</f>
        <v>3.9830000000000001</v>
      </c>
      <c r="T16" s="22">
        <v>3.9820000000000002</v>
      </c>
      <c r="U16" s="2">
        <f t="shared" si="0"/>
        <v>3.9820000000000002</v>
      </c>
      <c r="V16" s="22">
        <v>0</v>
      </c>
      <c r="W16" s="22">
        <f>-(主桁!C9+1.966)</f>
        <v>-6.8659999999999997</v>
      </c>
      <c r="X16" s="22">
        <v>0</v>
      </c>
      <c r="AB16" s="1" t="s">
        <v>17</v>
      </c>
      <c r="AC16" s="74">
        <v>0.2724645</v>
      </c>
      <c r="AD16" s="1"/>
      <c r="AE16" s="74"/>
      <c r="AF16" s="1"/>
      <c r="AG16" s="74"/>
      <c r="AH16" s="1"/>
      <c r="AI16" s="74"/>
    </row>
    <row r="17" spans="2:35">
      <c r="B17" s="1" t="s">
        <v>56</v>
      </c>
      <c r="C17" s="1">
        <f>SUM(U40:U42)</f>
        <v>2.7089999999999996</v>
      </c>
      <c r="D17" s="1">
        <f>SUMPRODUCT($U$40:$U$42,V40:V42)/SUM($U$40:$U$42)</f>
        <v>1.8238002953119237</v>
      </c>
      <c r="E17" s="1">
        <f t="shared" ref="E17" si="3">SUMPRODUCT($U$40:$U$42,W40:W42)/SUM($U$40:$U$42)</f>
        <v>0</v>
      </c>
      <c r="F17" s="1">
        <f>SUMPRODUCT($U$40:$U$42,X40:X42)/SUM($U$40:$U$42)</f>
        <v>0.32000000000000006</v>
      </c>
      <c r="G17" s="1">
        <v>0.16954833279692161</v>
      </c>
      <c r="H17" s="1">
        <v>4.8610744233556025</v>
      </c>
      <c r="I17" s="1">
        <v>4.6915260905586802</v>
      </c>
      <c r="J17" s="1">
        <v>0</v>
      </c>
      <c r="K17" s="1">
        <v>0</v>
      </c>
      <c r="L17" s="1">
        <v>0.7464691440225939</v>
      </c>
      <c r="M17" s="1">
        <f>SUM(U40:U42)-SUM(S40:S42)</f>
        <v>1.3239999999999996</v>
      </c>
      <c r="Q17" s="1"/>
      <c r="R17" s="1" t="s">
        <v>536</v>
      </c>
      <c r="S17" s="1">
        <f>AI3</f>
        <v>2.7690000000000001</v>
      </c>
      <c r="T17" s="22">
        <v>2.552</v>
      </c>
      <c r="U17" s="2">
        <f t="shared" si="0"/>
        <v>2.552</v>
      </c>
      <c r="V17" s="22">
        <v>0</v>
      </c>
      <c r="W17" s="22">
        <f>主桁!C11+1.82</f>
        <v>10.219999999999999</v>
      </c>
      <c r="X17" s="22">
        <v>0</v>
      </c>
      <c r="AB17" s="1" t="s">
        <v>18</v>
      </c>
      <c r="AC17" s="74">
        <v>0.3</v>
      </c>
      <c r="AD17" s="1"/>
      <c r="AE17" s="74"/>
      <c r="AF17" s="1"/>
      <c r="AG17" s="74"/>
      <c r="AH17" s="1"/>
      <c r="AI17" s="74"/>
    </row>
    <row r="18" spans="2:35">
      <c r="B18" s="1" t="s">
        <v>7</v>
      </c>
      <c r="C18" s="1">
        <f>SUM(U44:U50)</f>
        <v>7.2450000000000001</v>
      </c>
      <c r="D18" s="1">
        <f>SUMPRODUCT($U$44:$U$50,V44:V50)/SUM($U$44:$U$50)</f>
        <v>-0.22874810213940647</v>
      </c>
      <c r="E18" s="1">
        <f t="shared" ref="E18:F18" si="4">SUMPRODUCT($U$44:$U$50,W44:W50)/SUM($U$44:$U$50)</f>
        <v>0</v>
      </c>
      <c r="F18" s="1">
        <f t="shared" si="4"/>
        <v>0.17341614906832298</v>
      </c>
      <c r="G18" s="1">
        <v>0.16954833279692161</v>
      </c>
      <c r="H18" s="1">
        <v>4.8610744233556025</v>
      </c>
      <c r="I18" s="1">
        <v>4.6915260905586802</v>
      </c>
      <c r="J18" s="1">
        <v>0</v>
      </c>
      <c r="K18" s="1">
        <v>0</v>
      </c>
      <c r="L18" s="1">
        <v>0.7464691440225939</v>
      </c>
      <c r="M18" s="1">
        <f>SUM(U44:U50)-SUM(S44:S50)</f>
        <v>2.7450000000000001</v>
      </c>
      <c r="Q18" s="1"/>
      <c r="R18" s="1" t="s">
        <v>537</v>
      </c>
      <c r="S18" s="1">
        <f>AI3</f>
        <v>2.7690000000000001</v>
      </c>
      <c r="T18" s="22">
        <v>2.5819999999999999</v>
      </c>
      <c r="U18" s="2">
        <f t="shared" si="0"/>
        <v>2.5819999999999999</v>
      </c>
      <c r="V18" s="22">
        <v>0</v>
      </c>
      <c r="W18" s="22">
        <f>-(主桁!C11+1.834)</f>
        <v>-10.233999999999998</v>
      </c>
      <c r="X18" s="22">
        <v>0</v>
      </c>
      <c r="AB18" s="1" t="s">
        <v>1087</v>
      </c>
      <c r="AC18" s="74"/>
      <c r="AD18" s="1"/>
      <c r="AE18" s="74"/>
      <c r="AF18" s="1"/>
      <c r="AG18" s="74"/>
      <c r="AH18" s="1"/>
      <c r="AI18" s="74"/>
    </row>
    <row r="19" spans="2:35">
      <c r="B19" s="1" t="s">
        <v>42</v>
      </c>
      <c r="C19" s="1">
        <f>SUM(U52:U53)</f>
        <v>1.464</v>
      </c>
      <c r="D19" s="1">
        <f>SUMPRODUCT($U$52:$U$53,V52:V53)/SUM($U$52:$U$53)</f>
        <v>0</v>
      </c>
      <c r="E19" s="1">
        <f t="shared" ref="E19:F19" si="5">SUMPRODUCT($U$52:$U$53,W52:W53)/SUM($U$52:$U$53)</f>
        <v>0</v>
      </c>
      <c r="F19" s="1">
        <f t="shared" si="5"/>
        <v>0</v>
      </c>
      <c r="G19" s="1">
        <v>0.16954833279692161</v>
      </c>
      <c r="H19" s="1">
        <v>4.8610744233556025</v>
      </c>
      <c r="I19" s="1">
        <v>4.6915260905586802</v>
      </c>
      <c r="J19" s="1">
        <v>0</v>
      </c>
      <c r="K19" s="1">
        <v>0</v>
      </c>
      <c r="L19" s="1">
        <v>0.7464691440225939</v>
      </c>
      <c r="M19" s="1">
        <f>SUM(U52:U53)-SUM(S52:S53)</f>
        <v>-3.6000000000000032E-2</v>
      </c>
      <c r="Q19" s="1"/>
      <c r="R19" s="1" t="s">
        <v>1072</v>
      </c>
      <c r="S19" s="22">
        <v>0.15</v>
      </c>
      <c r="T19" s="22">
        <v>0.216</v>
      </c>
      <c r="U19" s="2">
        <f t="shared" si="0"/>
        <v>0.216</v>
      </c>
      <c r="V19" s="22">
        <v>0</v>
      </c>
      <c r="W19" s="22">
        <f>主桁!C13+0.2</f>
        <v>12.399999999999999</v>
      </c>
      <c r="X19" s="22">
        <v>0</v>
      </c>
      <c r="AB19" s="1" t="s">
        <v>1086</v>
      </c>
      <c r="AC19" s="74"/>
      <c r="AD19" s="1"/>
      <c r="AE19" s="74"/>
      <c r="AF19" s="1"/>
      <c r="AG19" s="74"/>
      <c r="AH19" s="1"/>
      <c r="AI19" s="74"/>
    </row>
    <row r="20" spans="2:35">
      <c r="B20" s="1" t="s">
        <v>555</v>
      </c>
      <c r="C20" s="1">
        <f>SUM(U55:U59)</f>
        <v>0.82059000000000004</v>
      </c>
      <c r="D20" s="1">
        <f>SUMPRODUCT($U$55:$U$59,V55:V59)/SUM($U$55:$U$59)</f>
        <v>0.92187450492937995</v>
      </c>
      <c r="E20" s="1">
        <f t="shared" ref="E20:F20" si="6">SUMPRODUCT($U$55:$U$59,W55:W59)/SUM($U$55:$U$59)</f>
        <v>0</v>
      </c>
      <c r="F20" s="1">
        <f t="shared" si="6"/>
        <v>0.49566628888970132</v>
      </c>
      <c r="G20" s="1">
        <v>0.16954833279692161</v>
      </c>
      <c r="H20" s="1">
        <v>4.8610744233556025</v>
      </c>
      <c r="I20" s="1">
        <v>4.6915260905586802</v>
      </c>
      <c r="J20" s="1">
        <v>0</v>
      </c>
      <c r="K20" s="1">
        <v>0</v>
      </c>
      <c r="L20" s="1">
        <v>0.7464691440225939</v>
      </c>
      <c r="M20" s="1">
        <f>SUM(U55:U59)-SUM(S55:S59)</f>
        <v>-0.27940999999999983</v>
      </c>
      <c r="Q20" s="1"/>
      <c r="R20" s="1" t="s">
        <v>1073</v>
      </c>
      <c r="S20" s="22">
        <v>0.15</v>
      </c>
      <c r="T20" s="22">
        <v>0.222</v>
      </c>
      <c r="U20" s="2">
        <f t="shared" si="0"/>
        <v>0.222</v>
      </c>
      <c r="V20" s="22">
        <v>0</v>
      </c>
      <c r="W20" s="22">
        <f>-(主桁!C13+0.2)</f>
        <v>-12.399999999999999</v>
      </c>
      <c r="X20" s="22">
        <v>0</v>
      </c>
    </row>
    <row r="21" spans="2:35">
      <c r="B21" s="1" t="s">
        <v>1085</v>
      </c>
      <c r="C21" s="1">
        <f>SUM(U61:U64)</f>
        <v>1.7409999999999999</v>
      </c>
      <c r="D21" s="1">
        <f>SUMPRODUCT($U$61:$U$64,V61:V64)/SUM($U$61:$U$64)</f>
        <v>-0.60626076967260201</v>
      </c>
      <c r="E21" s="1">
        <f t="shared" ref="E21:F21" si="7">SUMPRODUCT($U$61:$U$64,W61:W64)/SUM($U$61:$U$64)</f>
        <v>0</v>
      </c>
      <c r="F21" s="1">
        <f t="shared" si="7"/>
        <v>0</v>
      </c>
      <c r="G21" s="1">
        <v>0.16954833279692161</v>
      </c>
      <c r="H21" s="1">
        <v>4.8610744233556025</v>
      </c>
      <c r="I21" s="1">
        <v>4.6915260905586802</v>
      </c>
      <c r="J21" s="1">
        <v>0</v>
      </c>
      <c r="K21" s="1">
        <v>0</v>
      </c>
      <c r="L21" s="1">
        <v>0.7464691440225939</v>
      </c>
      <c r="M21" s="1">
        <f>SUM(U61:U64)-SUM(S61:S64)</f>
        <v>-0.25900000000000012</v>
      </c>
      <c r="Q21" s="1"/>
      <c r="R21" s="1" t="s">
        <v>1084</v>
      </c>
      <c r="S21" s="22">
        <v>0.1</v>
      </c>
      <c r="T21" s="22">
        <v>9.4E-2</v>
      </c>
      <c r="U21" s="2">
        <f t="shared" si="0"/>
        <v>9.4E-2</v>
      </c>
      <c r="V21" s="22">
        <v>0</v>
      </c>
      <c r="W21" s="22">
        <v>0</v>
      </c>
      <c r="X21" s="22">
        <v>0</v>
      </c>
      <c r="Y21"/>
    </row>
    <row r="22" spans="2:35">
      <c r="M22" s="3">
        <f>SUM(M15:M21)</f>
        <v>4.7064242433708712</v>
      </c>
      <c r="Q22" s="1"/>
      <c r="R22" s="1" t="s">
        <v>539</v>
      </c>
      <c r="S22" s="22"/>
      <c r="T22" s="22"/>
      <c r="U22" s="2">
        <f t="shared" si="0"/>
        <v>0</v>
      </c>
      <c r="V22" s="22"/>
      <c r="W22" s="22"/>
      <c r="X22" s="22"/>
      <c r="Y22" s="3" t="s">
        <v>1231</v>
      </c>
    </row>
    <row r="23" spans="2:35">
      <c r="Q23" s="1"/>
      <c r="R23" s="1"/>
      <c r="S23" s="22"/>
      <c r="T23" s="22"/>
      <c r="U23" s="2">
        <f t="shared" si="0"/>
        <v>0</v>
      </c>
      <c r="V23" s="22"/>
      <c r="W23" s="22"/>
      <c r="X23" s="22"/>
      <c r="AA23" s="3" t="s">
        <v>1090</v>
      </c>
      <c r="AB23" s="1" t="s">
        <v>50</v>
      </c>
      <c r="AC23" s="70">
        <f>SUM(AC25:AC39)</f>
        <v>1.1759999999999999</v>
      </c>
      <c r="AD23" s="71" t="s">
        <v>524</v>
      </c>
      <c r="AE23" s="70">
        <f>SUM(AE25:AE39)</f>
        <v>0.69700000000000006</v>
      </c>
      <c r="AF23" s="71" t="s">
        <v>55</v>
      </c>
      <c r="AG23" s="70">
        <f>SUM(AG25:AG39)</f>
        <v>0.252</v>
      </c>
    </row>
    <row r="24" spans="2:35" ht="20.25" thickBot="1">
      <c r="Q24" s="1" t="s">
        <v>1233</v>
      </c>
      <c r="R24" s="1" t="s">
        <v>49</v>
      </c>
      <c r="S24" s="1">
        <f>AC23</f>
        <v>1.1759999999999999</v>
      </c>
      <c r="T24" s="22">
        <v>1.1679999999999999</v>
      </c>
      <c r="U24" s="2">
        <f t="shared" si="0"/>
        <v>1.1679999999999999</v>
      </c>
      <c r="V24" s="22">
        <v>3.2</v>
      </c>
      <c r="W24" s="22">
        <v>0</v>
      </c>
      <c r="X24" s="22">
        <v>0</v>
      </c>
      <c r="AB24" s="10" t="s">
        <v>44</v>
      </c>
      <c r="AC24" s="44" t="s">
        <v>19</v>
      </c>
      <c r="AD24" s="13" t="s">
        <v>44</v>
      </c>
      <c r="AE24" s="44" t="s">
        <v>19</v>
      </c>
      <c r="AF24" s="13" t="s">
        <v>44</v>
      </c>
      <c r="AG24" s="44" t="s">
        <v>19</v>
      </c>
    </row>
    <row r="25" spans="2:35" ht="20.25" thickTop="1">
      <c r="B25" s="3" t="s">
        <v>677</v>
      </c>
      <c r="Q25" s="1"/>
      <c r="R25" s="1" t="s">
        <v>1074</v>
      </c>
      <c r="S25" s="22">
        <v>0.05</v>
      </c>
      <c r="T25" s="22">
        <v>2.0369999999999999E-2</v>
      </c>
      <c r="U25" s="2">
        <f t="shared" si="0"/>
        <v>2.0369999999999999E-2</v>
      </c>
      <c r="V25" s="22">
        <v>3.2</v>
      </c>
      <c r="W25" s="22">
        <v>1.4</v>
      </c>
      <c r="X25" s="22">
        <v>1.27</v>
      </c>
      <c r="AB25" s="25" t="s">
        <v>11</v>
      </c>
      <c r="AC25" s="72">
        <v>0.41099999999999998</v>
      </c>
      <c r="AD25" s="73" t="s">
        <v>54</v>
      </c>
      <c r="AE25" s="72">
        <v>0.51700000000000002</v>
      </c>
      <c r="AF25" s="73" t="s">
        <v>525</v>
      </c>
      <c r="AG25" s="72">
        <v>9.0999999999999998E-2</v>
      </c>
    </row>
    <row r="26" spans="2:35">
      <c r="Q26" s="1"/>
      <c r="R26" s="1" t="s">
        <v>1075</v>
      </c>
      <c r="S26" s="22">
        <v>0.05</v>
      </c>
      <c r="T26" s="22">
        <v>2.036E-2</v>
      </c>
      <c r="U26" s="2">
        <f t="shared" si="0"/>
        <v>2.036E-2</v>
      </c>
      <c r="V26" s="22">
        <v>3.2</v>
      </c>
      <c r="W26" s="22">
        <v>-1.4</v>
      </c>
      <c r="X26" s="22">
        <v>1.27</v>
      </c>
      <c r="AB26" s="2" t="s">
        <v>12</v>
      </c>
      <c r="AC26" s="75">
        <v>6.5000000000000002E-2</v>
      </c>
      <c r="AD26" s="71" t="s">
        <v>526</v>
      </c>
      <c r="AE26" s="75">
        <v>0.18</v>
      </c>
      <c r="AF26" s="6" t="s">
        <v>15</v>
      </c>
      <c r="AG26" s="75"/>
    </row>
    <row r="27" spans="2:35">
      <c r="J27"/>
      <c r="K27"/>
      <c r="L27"/>
      <c r="M27"/>
      <c r="N27"/>
      <c r="Q27" s="1"/>
      <c r="R27" s="1" t="s">
        <v>538</v>
      </c>
      <c r="S27" s="22"/>
      <c r="T27" s="22">
        <v>3.6429999999999997E-2</v>
      </c>
      <c r="U27" s="2">
        <f t="shared" si="0"/>
        <v>3.6429999999999997E-2</v>
      </c>
      <c r="V27" s="22">
        <v>3.2</v>
      </c>
      <c r="W27" s="22">
        <v>0</v>
      </c>
      <c r="X27" s="22">
        <v>1.27</v>
      </c>
      <c r="AB27" s="1" t="s">
        <v>13</v>
      </c>
      <c r="AC27" s="74">
        <v>0.112</v>
      </c>
      <c r="AD27" s="3" t="s">
        <v>528</v>
      </c>
      <c r="AE27" s="74"/>
      <c r="AF27" s="71" t="s">
        <v>13</v>
      </c>
      <c r="AG27" s="74"/>
    </row>
    <row r="28" spans="2:35">
      <c r="J28"/>
      <c r="K28"/>
      <c r="L28"/>
      <c r="M28"/>
      <c r="N28"/>
      <c r="Q28" s="1"/>
      <c r="R28" s="1" t="s">
        <v>541</v>
      </c>
      <c r="S28" s="1">
        <f>AE23</f>
        <v>0.69700000000000006</v>
      </c>
      <c r="T28" s="22">
        <v>0.69</v>
      </c>
      <c r="U28" s="2">
        <f>IF(T28="",S28,T28)</f>
        <v>0.69</v>
      </c>
      <c r="V28" s="22">
        <v>3.2</v>
      </c>
      <c r="W28" s="22">
        <v>0</v>
      </c>
      <c r="X28" s="22">
        <v>0.77</v>
      </c>
      <c r="AB28" s="1" t="s">
        <v>14</v>
      </c>
      <c r="AC28" s="74">
        <v>4.0000000000000001E-3</v>
      </c>
      <c r="AD28" s="71"/>
      <c r="AE28" s="74"/>
      <c r="AF28" s="71" t="s">
        <v>530</v>
      </c>
      <c r="AG28" s="74">
        <v>0.161</v>
      </c>
    </row>
    <row r="29" spans="2:35">
      <c r="Q29" s="1"/>
      <c r="R29" s="1" t="s">
        <v>1229</v>
      </c>
      <c r="S29" s="22"/>
      <c r="T29" s="22">
        <f>0.0027+0.00151+0.02405</f>
        <v>2.826E-2</v>
      </c>
      <c r="U29" s="2">
        <f>IF(T29="",S29,T29)</f>
        <v>2.826E-2</v>
      </c>
      <c r="V29" s="22">
        <v>3.2</v>
      </c>
      <c r="W29" s="22">
        <v>0</v>
      </c>
      <c r="X29" s="22">
        <v>0.37</v>
      </c>
      <c r="AB29" s="1" t="s">
        <v>15</v>
      </c>
      <c r="AC29" s="74">
        <v>0.126</v>
      </c>
      <c r="AD29" s="71"/>
      <c r="AE29" s="74"/>
      <c r="AF29" s="71"/>
      <c r="AG29" s="74"/>
    </row>
    <row r="30" spans="2:35">
      <c r="Q30" s="1"/>
      <c r="R30" s="1" t="s">
        <v>542</v>
      </c>
      <c r="S30" s="1">
        <f>AG23</f>
        <v>0.252</v>
      </c>
      <c r="T30" s="22">
        <v>0.39600000000000002</v>
      </c>
      <c r="U30" s="2">
        <f>IF(T30="",S30,T30)</f>
        <v>0.39600000000000002</v>
      </c>
      <c r="V30" s="22">
        <v>3.5</v>
      </c>
      <c r="W30" s="22">
        <v>0</v>
      </c>
      <c r="X30" s="22">
        <v>0.77</v>
      </c>
      <c r="AB30" s="1" t="s">
        <v>16</v>
      </c>
      <c r="AC30" s="74">
        <v>7.0999999999999994E-2</v>
      </c>
      <c r="AD30" s="71"/>
      <c r="AE30" s="74"/>
      <c r="AF30" s="71"/>
      <c r="AG30" s="74"/>
    </row>
    <row r="31" spans="2:35">
      <c r="Q31" s="1"/>
      <c r="R31" s="1" t="s">
        <v>1230</v>
      </c>
      <c r="S31" s="1"/>
      <c r="T31" s="22">
        <v>4.2799999999999998E-2</v>
      </c>
      <c r="U31" s="2">
        <f t="shared" ref="U31:U38" si="8">IF(T31="",S31,T31)</f>
        <v>4.2799999999999998E-2</v>
      </c>
      <c r="V31" s="22">
        <v>3.5</v>
      </c>
      <c r="W31" s="22">
        <v>0</v>
      </c>
      <c r="X31" s="22">
        <v>0.37</v>
      </c>
      <c r="AB31" s="1" t="s">
        <v>17</v>
      </c>
      <c r="AC31" s="74">
        <v>0.187</v>
      </c>
      <c r="AD31" s="71"/>
      <c r="AE31" s="74"/>
      <c r="AF31" s="71"/>
      <c r="AG31" s="74"/>
    </row>
    <row r="32" spans="2:35">
      <c r="Q32" s="1"/>
      <c r="R32" s="1" t="s">
        <v>544</v>
      </c>
      <c r="S32" s="22"/>
      <c r="T32" s="22">
        <v>9.8600000000000007E-3</v>
      </c>
      <c r="U32" s="2">
        <f t="shared" ref="U32:U37" si="9">IF(T32="",S32,T32)</f>
        <v>9.8600000000000007E-3</v>
      </c>
      <c r="V32" s="22">
        <v>3</v>
      </c>
      <c r="W32" s="22">
        <v>0</v>
      </c>
      <c r="X32" s="22">
        <v>0.37</v>
      </c>
      <c r="AB32" s="1" t="s">
        <v>52</v>
      </c>
      <c r="AC32" s="74"/>
      <c r="AD32" s="71"/>
      <c r="AE32" s="74"/>
      <c r="AF32" s="71"/>
      <c r="AG32" s="74"/>
    </row>
    <row r="33" spans="17:35">
      <c r="Q33" s="1"/>
      <c r="R33" s="1" t="s">
        <v>1241</v>
      </c>
      <c r="S33" s="22"/>
      <c r="T33" s="22">
        <v>2.5309999999999999E-2</v>
      </c>
      <c r="U33" s="2">
        <f t="shared" si="9"/>
        <v>2.5309999999999999E-2</v>
      </c>
      <c r="V33" s="22">
        <v>3.2</v>
      </c>
      <c r="W33" s="22">
        <v>0</v>
      </c>
      <c r="X33" s="22">
        <v>0.37</v>
      </c>
      <c r="AB33" s="1" t="s">
        <v>53</v>
      </c>
      <c r="AC33" s="74"/>
      <c r="AD33" s="71"/>
      <c r="AE33" s="74"/>
      <c r="AF33" s="71"/>
      <c r="AG33" s="74"/>
    </row>
    <row r="34" spans="17:35">
      <c r="Q34" s="1"/>
      <c r="R34" s="1" t="s">
        <v>1242</v>
      </c>
      <c r="S34" s="22"/>
      <c r="T34" s="22">
        <v>0.03</v>
      </c>
      <c r="U34" s="2">
        <f t="shared" si="9"/>
        <v>0.03</v>
      </c>
      <c r="V34" s="22">
        <v>3.2</v>
      </c>
      <c r="W34" s="22">
        <v>0</v>
      </c>
      <c r="X34" s="22">
        <v>1.27</v>
      </c>
      <c r="AB34" s="1" t="s">
        <v>532</v>
      </c>
      <c r="AC34" s="74"/>
      <c r="AD34" s="1"/>
      <c r="AE34" s="74"/>
      <c r="AF34" s="1"/>
      <c r="AG34" s="74"/>
    </row>
    <row r="35" spans="17:35">
      <c r="Q35" s="1"/>
      <c r="R35" s="1" t="s">
        <v>1243</v>
      </c>
      <c r="S35" s="22"/>
      <c r="T35" s="22">
        <v>2.9080000000000002E-2</v>
      </c>
      <c r="U35" s="2">
        <f t="shared" si="9"/>
        <v>2.9080000000000002E-2</v>
      </c>
      <c r="V35" s="22">
        <v>3.2</v>
      </c>
      <c r="W35" s="22">
        <v>0</v>
      </c>
      <c r="X35" s="22">
        <v>0.77</v>
      </c>
      <c r="AB35" s="1" t="s">
        <v>538</v>
      </c>
      <c r="AC35" s="74"/>
      <c r="AD35" s="1"/>
      <c r="AE35" s="74"/>
      <c r="AF35" s="1"/>
      <c r="AG35" s="74"/>
    </row>
    <row r="36" spans="17:35">
      <c r="Q36" s="1"/>
      <c r="R36" s="1" t="s">
        <v>1227</v>
      </c>
      <c r="S36" s="22"/>
      <c r="T36" s="22">
        <v>2.07E-2</v>
      </c>
      <c r="U36" s="2">
        <f t="shared" si="9"/>
        <v>2.07E-2</v>
      </c>
      <c r="V36" s="22">
        <v>3</v>
      </c>
      <c r="W36" s="22">
        <v>0</v>
      </c>
      <c r="X36" s="22">
        <v>0.37</v>
      </c>
      <c r="AB36" s="1"/>
      <c r="AC36" s="74">
        <v>0.2</v>
      </c>
      <c r="AD36" s="1"/>
      <c r="AE36" s="74"/>
      <c r="AF36" s="1"/>
      <c r="AG36" s="74"/>
    </row>
    <row r="37" spans="17:35">
      <c r="Q37" s="1"/>
      <c r="R37" s="1" t="s">
        <v>1078</v>
      </c>
      <c r="S37" s="22"/>
      <c r="T37" s="22">
        <v>1.227E-2</v>
      </c>
      <c r="U37" s="2">
        <f t="shared" si="9"/>
        <v>1.227E-2</v>
      </c>
      <c r="V37" s="22">
        <v>3</v>
      </c>
      <c r="W37" s="22">
        <v>0</v>
      </c>
      <c r="X37" s="22">
        <v>0.37</v>
      </c>
      <c r="AB37" s="1"/>
      <c r="AC37" s="74"/>
      <c r="AD37" s="1"/>
      <c r="AE37" s="74"/>
      <c r="AF37" s="1"/>
      <c r="AG37" s="74"/>
    </row>
    <row r="38" spans="17:35">
      <c r="Q38" s="1"/>
      <c r="R38" s="1" t="s">
        <v>1232</v>
      </c>
      <c r="S38" s="22"/>
      <c r="T38" s="22">
        <v>0.02</v>
      </c>
      <c r="U38" s="2">
        <f t="shared" si="8"/>
        <v>0.02</v>
      </c>
      <c r="V38" s="22">
        <v>3</v>
      </c>
      <c r="W38" s="22">
        <v>0</v>
      </c>
      <c r="X38" s="22">
        <v>0.37</v>
      </c>
      <c r="AB38" s="1"/>
      <c r="AC38" s="74"/>
      <c r="AD38" s="1"/>
      <c r="AE38" s="74"/>
      <c r="AF38" s="1"/>
      <c r="AG38" s="74"/>
    </row>
    <row r="39" spans="17:35">
      <c r="Q39" s="1"/>
      <c r="R39" s="1"/>
      <c r="S39" s="22"/>
      <c r="T39" s="22"/>
      <c r="U39" s="2">
        <f t="shared" ref="U39:U65" si="10">IF(T39="",S39,T39)</f>
        <v>0</v>
      </c>
      <c r="V39" s="22"/>
      <c r="W39" s="22"/>
      <c r="X39" s="22"/>
      <c r="AB39" s="1"/>
      <c r="AC39" s="74"/>
      <c r="AD39" s="1"/>
      <c r="AE39" s="74"/>
      <c r="AF39" s="1"/>
      <c r="AG39" s="74"/>
    </row>
    <row r="40" spans="17:35">
      <c r="Q40" s="1" t="s">
        <v>56</v>
      </c>
      <c r="R40" s="1" t="s">
        <v>550</v>
      </c>
      <c r="S40" s="1">
        <f>AC42</f>
        <v>1.385</v>
      </c>
      <c r="T40" s="22">
        <v>2.161</v>
      </c>
      <c r="U40" s="2">
        <f t="shared" si="10"/>
        <v>2.161</v>
      </c>
      <c r="V40" s="22">
        <f>胴接桁!C8+1.645</f>
        <v>2.0950000000000002</v>
      </c>
      <c r="W40" s="22">
        <v>0</v>
      </c>
      <c r="X40" s="22">
        <v>0.32</v>
      </c>
      <c r="Y40" s="3" t="s">
        <v>1244</v>
      </c>
    </row>
    <row r="41" spans="17:35">
      <c r="Q41" s="1"/>
      <c r="R41" s="1" t="s">
        <v>551</v>
      </c>
      <c r="S41" s="22"/>
      <c r="T41" s="22">
        <v>0.53800000000000003</v>
      </c>
      <c r="U41" s="2">
        <f t="shared" si="10"/>
        <v>0.53800000000000003</v>
      </c>
      <c r="V41" s="22">
        <v>0.76</v>
      </c>
      <c r="W41" s="22">
        <v>0</v>
      </c>
      <c r="X41" s="22">
        <v>0.32</v>
      </c>
    </row>
    <row r="42" spans="17:35">
      <c r="Q42" s="1"/>
      <c r="R42" s="1" t="s">
        <v>1224</v>
      </c>
      <c r="S42" s="22"/>
      <c r="T42" s="22">
        <v>0.01</v>
      </c>
      <c r="U42" s="2">
        <f t="shared" si="10"/>
        <v>0.01</v>
      </c>
      <c r="V42" s="22">
        <v>0.45</v>
      </c>
      <c r="W42" s="22">
        <v>0</v>
      </c>
      <c r="X42" s="22">
        <v>0.32</v>
      </c>
      <c r="AA42" s="3" t="s">
        <v>43</v>
      </c>
      <c r="AB42" s="1" t="s">
        <v>56</v>
      </c>
      <c r="AC42" s="70">
        <f>SUM(AC44:AC57)</f>
        <v>1.385</v>
      </c>
      <c r="AD42" s="1" t="s">
        <v>3</v>
      </c>
      <c r="AE42" s="70">
        <f>SUM(AE44:AE57)</f>
        <v>0.75</v>
      </c>
      <c r="AF42" s="1" t="s">
        <v>540</v>
      </c>
      <c r="AG42" s="70">
        <f>SUM(AG44:AG57)</f>
        <v>0</v>
      </c>
      <c r="AH42"/>
      <c r="AI42"/>
    </row>
    <row r="43" spans="17:35" ht="20.25" thickBot="1">
      <c r="Q43" s="1"/>
      <c r="R43" s="1"/>
      <c r="S43" s="22"/>
      <c r="T43" s="22"/>
      <c r="U43" s="2">
        <f t="shared" si="10"/>
        <v>0</v>
      </c>
      <c r="V43" s="22"/>
      <c r="W43" s="22"/>
      <c r="X43" s="22"/>
      <c r="AB43" s="10" t="s">
        <v>44</v>
      </c>
      <c r="AC43" s="44" t="s">
        <v>19</v>
      </c>
      <c r="AD43" s="10" t="s">
        <v>44</v>
      </c>
      <c r="AE43" s="44" t="s">
        <v>19</v>
      </c>
      <c r="AF43" s="10" t="s">
        <v>44</v>
      </c>
      <c r="AG43" s="44" t="s">
        <v>19</v>
      </c>
      <c r="AH43"/>
      <c r="AI43"/>
    </row>
    <row r="44" spans="17:35" ht="20.25" thickTop="1">
      <c r="Q44" s="1" t="s">
        <v>41</v>
      </c>
      <c r="R44" s="1" t="s">
        <v>1082</v>
      </c>
      <c r="S44" s="22">
        <v>1</v>
      </c>
      <c r="T44" s="22">
        <v>1.1659999999999999</v>
      </c>
      <c r="U44" s="2">
        <f t="shared" si="10"/>
        <v>1.1659999999999999</v>
      </c>
      <c r="V44" s="22">
        <v>-1.33</v>
      </c>
      <c r="W44" s="22">
        <v>0</v>
      </c>
      <c r="X44" s="22">
        <v>0.3</v>
      </c>
      <c r="AB44" s="25" t="s">
        <v>11</v>
      </c>
      <c r="AC44" s="72">
        <v>1.385</v>
      </c>
      <c r="AD44" s="25" t="s">
        <v>543</v>
      </c>
      <c r="AE44" s="72"/>
      <c r="AF44" s="25"/>
      <c r="AG44" s="72"/>
      <c r="AH44"/>
      <c r="AI44"/>
    </row>
    <row r="45" spans="17:35">
      <c r="Q45" s="1"/>
      <c r="R45" s="1" t="s">
        <v>1080</v>
      </c>
      <c r="S45" s="22"/>
      <c r="T45" s="22">
        <v>0.77400000000000002</v>
      </c>
      <c r="U45" s="2">
        <f t="shared" si="10"/>
        <v>0.77400000000000002</v>
      </c>
      <c r="V45" s="22">
        <v>-0.6</v>
      </c>
      <c r="W45" s="22">
        <v>0</v>
      </c>
      <c r="X45" s="22">
        <v>0.3</v>
      </c>
      <c r="AB45" s="1" t="s">
        <v>545</v>
      </c>
      <c r="AC45" s="74"/>
      <c r="AD45" s="1" t="s">
        <v>546</v>
      </c>
      <c r="AE45" s="74"/>
      <c r="AF45" s="1"/>
      <c r="AG45" s="74"/>
      <c r="AH45"/>
      <c r="AI45"/>
    </row>
    <row r="46" spans="17:35">
      <c r="Q46" s="1"/>
      <c r="R46" s="1" t="s">
        <v>1218</v>
      </c>
      <c r="S46" s="22">
        <v>1.5</v>
      </c>
      <c r="T46" s="22">
        <v>1.706</v>
      </c>
      <c r="U46" s="2">
        <f t="shared" si="10"/>
        <v>1.706</v>
      </c>
      <c r="V46" s="22">
        <v>0.3</v>
      </c>
      <c r="W46" s="22">
        <v>0</v>
      </c>
      <c r="X46" s="22">
        <v>0.3</v>
      </c>
      <c r="AB46" s="1" t="s">
        <v>9</v>
      </c>
      <c r="AC46" s="74"/>
      <c r="AD46" s="1" t="s">
        <v>547</v>
      </c>
      <c r="AE46" s="74"/>
      <c r="AF46" s="1"/>
      <c r="AG46" s="74"/>
      <c r="AH46"/>
      <c r="AI46"/>
    </row>
    <row r="47" spans="17:35">
      <c r="Q47" s="1"/>
      <c r="R47" s="1" t="s">
        <v>1081</v>
      </c>
      <c r="S47" s="22"/>
      <c r="T47" s="22">
        <v>0.76600000000000001</v>
      </c>
      <c r="U47" s="2">
        <f t="shared" si="10"/>
        <v>0.76600000000000001</v>
      </c>
      <c r="V47" s="22">
        <v>1</v>
      </c>
      <c r="W47" s="22">
        <v>0</v>
      </c>
      <c r="X47" s="22">
        <v>0.3</v>
      </c>
      <c r="AB47" s="1" t="s">
        <v>18</v>
      </c>
      <c r="AC47" s="74"/>
      <c r="AD47" s="1" t="s">
        <v>548</v>
      </c>
      <c r="AE47" s="74"/>
      <c r="AF47" s="1"/>
      <c r="AG47" s="74"/>
      <c r="AH47"/>
      <c r="AI47"/>
    </row>
    <row r="48" spans="17:35">
      <c r="Q48" s="1"/>
      <c r="R48" s="1" t="s">
        <v>1079</v>
      </c>
      <c r="S48" s="22">
        <v>1</v>
      </c>
      <c r="T48" s="22">
        <v>1.1200000000000001</v>
      </c>
      <c r="U48" s="2">
        <f t="shared" si="10"/>
        <v>1.1200000000000001</v>
      </c>
      <c r="V48" s="22">
        <v>-0.4</v>
      </c>
      <c r="W48" s="22">
        <v>0</v>
      </c>
      <c r="X48" s="22">
        <v>-0.06</v>
      </c>
      <c r="AB48" s="1" t="s">
        <v>549</v>
      </c>
      <c r="AC48" s="74"/>
      <c r="AD48" s="1"/>
      <c r="AE48" s="74"/>
      <c r="AF48" s="1"/>
      <c r="AG48" s="74"/>
      <c r="AH48"/>
      <c r="AI48"/>
    </row>
    <row r="49" spans="17:41">
      <c r="Q49" s="1"/>
      <c r="R49" s="1" t="s">
        <v>552</v>
      </c>
      <c r="S49" s="22">
        <v>1</v>
      </c>
      <c r="T49" s="22">
        <v>1.573</v>
      </c>
      <c r="U49" s="2">
        <f t="shared" si="10"/>
        <v>1.573</v>
      </c>
      <c r="V49" s="22">
        <v>-0.3</v>
      </c>
      <c r="W49" s="22">
        <v>0</v>
      </c>
      <c r="X49" s="22">
        <v>0</v>
      </c>
      <c r="AB49" s="1" t="s">
        <v>544</v>
      </c>
      <c r="AC49" s="74"/>
      <c r="AD49" s="2"/>
      <c r="AE49" s="75">
        <v>0.75</v>
      </c>
      <c r="AF49" s="2"/>
      <c r="AG49" s="75"/>
      <c r="AH49"/>
      <c r="AI49"/>
    </row>
    <row r="50" spans="17:41">
      <c r="Q50" s="1"/>
      <c r="R50" s="1" t="s">
        <v>1222</v>
      </c>
      <c r="S50" s="22"/>
      <c r="T50" s="22">
        <v>0.14000000000000001</v>
      </c>
      <c r="U50" s="2">
        <f t="shared" si="10"/>
        <v>0.14000000000000001</v>
      </c>
      <c r="V50" s="22">
        <v>0</v>
      </c>
      <c r="W50" s="22">
        <v>0</v>
      </c>
      <c r="X50" s="22">
        <v>0</v>
      </c>
      <c r="AB50" s="1"/>
      <c r="AC50" s="74"/>
      <c r="AD50" s="1"/>
      <c r="AE50" s="74"/>
      <c r="AF50" s="1"/>
      <c r="AG50" s="74"/>
      <c r="AH50"/>
      <c r="AI50"/>
    </row>
    <row r="51" spans="17:41">
      <c r="Q51" s="1"/>
      <c r="R51" s="1"/>
      <c r="S51" s="22"/>
      <c r="T51" s="22"/>
      <c r="U51" s="2">
        <f t="shared" si="10"/>
        <v>0</v>
      </c>
      <c r="V51" s="22"/>
      <c r="W51" s="22"/>
      <c r="X51" s="22"/>
      <c r="AB51" s="1" t="s">
        <v>57</v>
      </c>
      <c r="AC51" s="74"/>
      <c r="AD51" s="1"/>
      <c r="AE51" s="74"/>
      <c r="AF51" s="1"/>
      <c r="AG51" s="74"/>
      <c r="AH51"/>
      <c r="AI51"/>
    </row>
    <row r="52" spans="17:41">
      <c r="Q52" s="1" t="s">
        <v>42</v>
      </c>
      <c r="R52" s="1" t="s">
        <v>553</v>
      </c>
      <c r="S52" s="1">
        <f>AE42</f>
        <v>0.75</v>
      </c>
      <c r="T52" s="22">
        <v>0.73199999999999998</v>
      </c>
      <c r="U52" s="2">
        <f t="shared" si="10"/>
        <v>0.73199999999999998</v>
      </c>
      <c r="V52" s="22">
        <v>0</v>
      </c>
      <c r="W52" s="22">
        <v>-0.5</v>
      </c>
      <c r="X52" s="22">
        <v>0</v>
      </c>
      <c r="AB52" s="1"/>
      <c r="AC52" s="74"/>
      <c r="AD52" s="1"/>
      <c r="AE52" s="74"/>
      <c r="AF52" s="1"/>
      <c r="AG52" s="74"/>
      <c r="AH52"/>
      <c r="AI52"/>
    </row>
    <row r="53" spans="17:41">
      <c r="Q53" s="1"/>
      <c r="R53" s="1" t="s">
        <v>554</v>
      </c>
      <c r="S53" s="1">
        <f>AE42</f>
        <v>0.75</v>
      </c>
      <c r="T53" s="22">
        <v>0.73199999999999998</v>
      </c>
      <c r="U53" s="2">
        <f t="shared" si="10"/>
        <v>0.73199999999999998</v>
      </c>
      <c r="V53" s="22">
        <v>0</v>
      </c>
      <c r="W53" s="22">
        <v>0.5</v>
      </c>
      <c r="X53" s="22">
        <v>0</v>
      </c>
      <c r="AB53" s="1"/>
      <c r="AC53" s="74"/>
      <c r="AD53" s="1"/>
      <c r="AE53" s="74"/>
      <c r="AF53" s="1"/>
      <c r="AG53" s="74"/>
      <c r="AH53"/>
      <c r="AI53"/>
    </row>
    <row r="54" spans="17:41">
      <c r="Q54" s="1"/>
      <c r="R54" s="1"/>
      <c r="S54" s="22"/>
      <c r="T54" s="22"/>
      <c r="U54" s="2">
        <f t="shared" si="10"/>
        <v>0</v>
      </c>
      <c r="V54" s="22"/>
      <c r="W54" s="22"/>
      <c r="X54" s="22"/>
      <c r="AB54" s="1"/>
      <c r="AC54" s="74"/>
      <c r="AD54" s="1"/>
      <c r="AE54" s="74"/>
      <c r="AF54" s="1"/>
      <c r="AG54" s="74"/>
      <c r="AH54"/>
      <c r="AI54"/>
    </row>
    <row r="55" spans="17:41">
      <c r="Q55" s="1" t="s">
        <v>555</v>
      </c>
      <c r="R55" s="1" t="s">
        <v>556</v>
      </c>
      <c r="S55" s="22">
        <v>0.2</v>
      </c>
      <c r="T55" s="22">
        <f>0.09825+0.12141</f>
        <v>0.21966000000000002</v>
      </c>
      <c r="U55" s="2">
        <f t="shared" si="10"/>
        <v>0.21966000000000002</v>
      </c>
      <c r="V55" s="22">
        <v>0.25</v>
      </c>
      <c r="W55" s="22">
        <v>0</v>
      </c>
      <c r="X55" s="22">
        <v>0.32</v>
      </c>
      <c r="Y55" s="3" t="s">
        <v>1236</v>
      </c>
      <c r="AB55" s="1"/>
      <c r="AC55" s="74"/>
      <c r="AD55" s="1"/>
      <c r="AE55" s="74"/>
      <c r="AF55" s="1"/>
      <c r="AG55" s="74"/>
      <c r="AH55"/>
      <c r="AI55"/>
    </row>
    <row r="56" spans="17:41">
      <c r="Q56" s="1"/>
      <c r="R56" s="1" t="s">
        <v>557</v>
      </c>
      <c r="S56" s="22">
        <v>0.5</v>
      </c>
      <c r="T56" s="22">
        <f>0.03075+0.21551</f>
        <v>0.24626000000000001</v>
      </c>
      <c r="U56" s="2">
        <f t="shared" si="10"/>
        <v>0.24626000000000001</v>
      </c>
      <c r="V56" s="22">
        <v>0.25</v>
      </c>
      <c r="W56" s="22">
        <v>0</v>
      </c>
      <c r="X56" s="22">
        <v>0.32</v>
      </c>
      <c r="Y56" s="3" t="s">
        <v>1236</v>
      </c>
      <c r="AB56" s="1"/>
      <c r="AC56" s="74"/>
      <c r="AD56" s="1"/>
      <c r="AE56" s="74"/>
      <c r="AF56" s="1"/>
      <c r="AG56" s="74"/>
      <c r="AH56"/>
      <c r="AI56"/>
    </row>
    <row r="57" spans="17:41">
      <c r="Q57" s="1"/>
      <c r="R57" s="1" t="s">
        <v>1083</v>
      </c>
      <c r="S57" s="22">
        <v>0.2</v>
      </c>
      <c r="T57" s="22">
        <f>0.00929+0.02011+0.08804</f>
        <v>0.11743999999999999</v>
      </c>
      <c r="U57" s="2">
        <f t="shared" si="10"/>
        <v>0.11743999999999999</v>
      </c>
      <c r="V57" s="22">
        <v>1</v>
      </c>
      <c r="W57" s="22">
        <v>0</v>
      </c>
      <c r="X57" s="22">
        <v>0.32</v>
      </c>
      <c r="Y57" s="3" t="s">
        <v>1237</v>
      </c>
      <c r="AB57" s="1"/>
      <c r="AC57" s="74"/>
      <c r="AD57" s="1"/>
      <c r="AE57" s="74"/>
      <c r="AF57" s="1"/>
      <c r="AG57" s="74"/>
      <c r="AH57"/>
      <c r="AI57"/>
    </row>
    <row r="58" spans="17:41">
      <c r="Q58" s="1"/>
      <c r="R58" s="1" t="s">
        <v>1076</v>
      </c>
      <c r="S58" s="22">
        <v>0.2</v>
      </c>
      <c r="T58" s="22">
        <v>0.155</v>
      </c>
      <c r="U58" s="2">
        <f t="shared" si="10"/>
        <v>0.155</v>
      </c>
      <c r="V58" s="22">
        <v>3</v>
      </c>
      <c r="W58" s="22">
        <v>0</v>
      </c>
      <c r="X58" s="22">
        <v>1.25</v>
      </c>
    </row>
    <row r="59" spans="17:41">
      <c r="Q59" s="1"/>
      <c r="R59" s="1" t="s">
        <v>1234</v>
      </c>
      <c r="S59" s="22"/>
      <c r="T59" s="22">
        <f>0.01887+0.06336</f>
        <v>8.2229999999999998E-2</v>
      </c>
      <c r="U59" s="2">
        <f t="shared" si="10"/>
        <v>8.2229999999999998E-2</v>
      </c>
      <c r="V59" s="22">
        <v>0.7</v>
      </c>
      <c r="W59" s="22">
        <v>0</v>
      </c>
      <c r="X59" s="22">
        <v>0.32</v>
      </c>
      <c r="AO59" s="76"/>
    </row>
    <row r="60" spans="17:41">
      <c r="Q60" s="1"/>
      <c r="R60" s="1"/>
      <c r="S60" s="22"/>
      <c r="T60" s="22"/>
      <c r="U60" s="2">
        <f t="shared" si="10"/>
        <v>0</v>
      </c>
      <c r="V60" s="22"/>
      <c r="W60" s="22"/>
      <c r="X60" s="22"/>
      <c r="AO60" s="76"/>
    </row>
    <row r="61" spans="17:41">
      <c r="Q61" s="1" t="s">
        <v>1085</v>
      </c>
      <c r="R61" s="1" t="s">
        <v>1221</v>
      </c>
      <c r="S61" s="22">
        <v>1.5</v>
      </c>
      <c r="T61" s="22">
        <v>1.27</v>
      </c>
      <c r="U61" s="2">
        <f t="shared" si="10"/>
        <v>1.27</v>
      </c>
      <c r="V61" s="22">
        <v>-0.5</v>
      </c>
      <c r="W61" s="22">
        <v>0</v>
      </c>
      <c r="X61" s="22">
        <v>0</v>
      </c>
      <c r="AO61" s="76"/>
    </row>
    <row r="62" spans="17:41">
      <c r="Q62" s="1"/>
      <c r="R62" s="1" t="s">
        <v>558</v>
      </c>
      <c r="S62" s="22">
        <v>0.5</v>
      </c>
      <c r="T62" s="22">
        <v>0.23</v>
      </c>
      <c r="U62" s="2">
        <f t="shared" si="10"/>
        <v>0.23</v>
      </c>
      <c r="V62" s="22">
        <v>-1.5</v>
      </c>
      <c r="W62" s="22">
        <v>0</v>
      </c>
      <c r="X62" s="22">
        <v>0</v>
      </c>
      <c r="AO62" s="76"/>
    </row>
    <row r="63" spans="17:41">
      <c r="Q63" s="1"/>
      <c r="R63" s="1" t="s">
        <v>1223</v>
      </c>
      <c r="S63" s="22"/>
      <c r="T63" s="22">
        <v>2.1000000000000001E-2</v>
      </c>
      <c r="U63" s="2">
        <f t="shared" si="10"/>
        <v>2.1000000000000001E-2</v>
      </c>
      <c r="V63" s="22">
        <v>-1.5</v>
      </c>
      <c r="W63" s="22">
        <v>0</v>
      </c>
      <c r="X63" s="22">
        <v>0</v>
      </c>
      <c r="AO63" s="76"/>
    </row>
    <row r="64" spans="17:41">
      <c r="Q64" s="1"/>
      <c r="R64" s="1" t="s">
        <v>1235</v>
      </c>
      <c r="S64" s="22"/>
      <c r="T64" s="22">
        <f>0.17+0.05</f>
        <v>0.22000000000000003</v>
      </c>
      <c r="U64" s="2">
        <f t="shared" si="10"/>
        <v>0.22000000000000003</v>
      </c>
      <c r="V64" s="22">
        <v>-0.2</v>
      </c>
      <c r="W64" s="22">
        <v>0</v>
      </c>
      <c r="X64" s="22">
        <v>0</v>
      </c>
      <c r="AO64" s="76"/>
    </row>
    <row r="65" spans="17:45">
      <c r="Q65" s="1"/>
      <c r="R65" s="1"/>
      <c r="S65" s="22"/>
      <c r="T65" s="22"/>
      <c r="U65" s="2">
        <f t="shared" si="10"/>
        <v>0</v>
      </c>
      <c r="V65" s="22"/>
      <c r="W65" s="22"/>
      <c r="X65" s="22"/>
      <c r="AO65" s="76"/>
    </row>
    <row r="66" spans="17:45">
      <c r="Q66"/>
      <c r="U66"/>
      <c r="V66"/>
      <c r="AO66" s="76"/>
    </row>
    <row r="67" spans="17:45">
      <c r="Q67"/>
      <c r="U67"/>
      <c r="V67"/>
      <c r="AO67" s="76"/>
    </row>
    <row r="68" spans="17:45">
      <c r="Q68"/>
      <c r="R68" t="s">
        <v>1219</v>
      </c>
      <c r="S68"/>
      <c r="T68">
        <v>730</v>
      </c>
      <c r="U68"/>
      <c r="V68"/>
      <c r="AO68" s="76"/>
    </row>
    <row r="69" spans="17:45">
      <c r="Q69"/>
      <c r="R69" t="s">
        <v>1220</v>
      </c>
      <c r="S69"/>
      <c r="T69">
        <v>730</v>
      </c>
      <c r="U69"/>
      <c r="V69"/>
      <c r="AJ69" s="76"/>
      <c r="AM69" s="76"/>
      <c r="AN69" s="76"/>
      <c r="AO69" s="76"/>
      <c r="AP69" s="76"/>
      <c r="AQ69" s="76"/>
      <c r="AR69" s="76"/>
      <c r="AS69" s="76"/>
    </row>
    <row r="70" spans="17:45">
      <c r="Q70"/>
      <c r="R70"/>
      <c r="S70"/>
      <c r="T70" t="s">
        <v>113</v>
      </c>
      <c r="U70"/>
      <c r="V70"/>
      <c r="AJ70" s="76"/>
      <c r="AM70" s="76"/>
      <c r="AN70" s="76"/>
      <c r="AO70" s="76"/>
      <c r="AP70" s="76"/>
      <c r="AQ70" s="76"/>
      <c r="AR70" s="76"/>
      <c r="AS70" s="76"/>
    </row>
    <row r="71" spans="17:45">
      <c r="Q71"/>
      <c r="R71"/>
      <c r="S71"/>
      <c r="T71"/>
      <c r="U71"/>
      <c r="V71"/>
      <c r="AJ71" s="76"/>
      <c r="AM71" s="76"/>
      <c r="AN71" s="76"/>
      <c r="AO71" s="76"/>
      <c r="AP71" s="76"/>
      <c r="AQ71" s="76"/>
      <c r="AR71" s="76"/>
      <c r="AS71" s="76"/>
    </row>
    <row r="72" spans="17:45">
      <c r="Q72"/>
      <c r="R72"/>
      <c r="S72"/>
      <c r="T72"/>
      <c r="U72"/>
      <c r="V72"/>
      <c r="AJ72" s="76"/>
      <c r="AM72" s="76"/>
      <c r="AN72" s="76"/>
      <c r="AO72" s="76"/>
      <c r="AP72" s="76"/>
      <c r="AQ72" s="76"/>
      <c r="AR72" s="76"/>
      <c r="AS72" s="76"/>
    </row>
    <row r="73" spans="17:45">
      <c r="Q73"/>
      <c r="R73"/>
      <c r="S73"/>
      <c r="T73"/>
      <c r="U73"/>
      <c r="V73"/>
      <c r="AJ73" s="76"/>
      <c r="AM73" s="76"/>
      <c r="AN73" s="76"/>
      <c r="AO73" s="76"/>
      <c r="AP73" s="76"/>
      <c r="AQ73" s="76"/>
      <c r="AR73" s="76"/>
      <c r="AS73" s="76"/>
    </row>
    <row r="74" spans="17:45">
      <c r="Q74"/>
      <c r="R74"/>
      <c r="S74"/>
      <c r="T74"/>
      <c r="U74"/>
      <c r="V74"/>
      <c r="AJ74" s="76"/>
      <c r="AM74" s="76"/>
      <c r="AN74" s="76"/>
      <c r="AO74" s="76"/>
      <c r="AP74" s="76"/>
      <c r="AQ74" s="76"/>
      <c r="AR74" s="76"/>
      <c r="AS74" s="76"/>
    </row>
    <row r="75" spans="17:45">
      <c r="Q75"/>
      <c r="R75"/>
      <c r="S75"/>
      <c r="T75"/>
      <c r="U75"/>
      <c r="V75"/>
      <c r="AJ75" s="76"/>
      <c r="AM75" s="76"/>
      <c r="AN75" s="76"/>
      <c r="AO75" s="76"/>
      <c r="AP75" s="76"/>
      <c r="AQ75" s="76"/>
      <c r="AR75" s="76"/>
      <c r="AS75" s="76"/>
    </row>
    <row r="76" spans="17:45">
      <c r="Q76"/>
      <c r="R76"/>
      <c r="S76"/>
      <c r="T76"/>
      <c r="U76"/>
      <c r="V76"/>
      <c r="AJ76" s="76"/>
      <c r="AM76" s="76"/>
      <c r="AN76" s="76"/>
      <c r="AO76" s="76"/>
      <c r="AP76" s="76"/>
      <c r="AQ76" s="76"/>
      <c r="AR76" s="76"/>
      <c r="AS76" s="76"/>
    </row>
    <row r="77" spans="17:45">
      <c r="Q77"/>
      <c r="R77"/>
      <c r="S77"/>
      <c r="T77"/>
      <c r="U77"/>
      <c r="V77"/>
      <c r="AJ77" s="76"/>
      <c r="AM77" s="76"/>
      <c r="AN77" s="76"/>
      <c r="AO77" s="76"/>
      <c r="AP77" s="76"/>
      <c r="AQ77" s="76"/>
      <c r="AR77" s="76"/>
      <c r="AS77" s="76"/>
    </row>
    <row r="78" spans="17:45">
      <c r="Q78"/>
      <c r="R78"/>
      <c r="S78"/>
      <c r="T78"/>
      <c r="U78"/>
      <c r="V78"/>
      <c r="AJ78" s="76"/>
      <c r="AM78" s="76"/>
      <c r="AN78" s="76"/>
      <c r="AO78" s="76"/>
      <c r="AP78" s="76"/>
      <c r="AQ78" s="76"/>
      <c r="AR78" s="76"/>
      <c r="AS78" s="76"/>
    </row>
    <row r="79" spans="17:45">
      <c r="Q79"/>
      <c r="R79"/>
      <c r="S79"/>
      <c r="T79"/>
      <c r="U79"/>
      <c r="V79"/>
      <c r="AJ79" s="76"/>
      <c r="AM79" s="76"/>
      <c r="AN79" s="76"/>
      <c r="AO79" s="76"/>
      <c r="AP79" s="76"/>
      <c r="AQ79" s="76"/>
      <c r="AR79" s="76"/>
      <c r="AS79" s="76"/>
    </row>
    <row r="80" spans="17:45">
      <c r="Q80"/>
      <c r="R80"/>
      <c r="S80"/>
      <c r="T80"/>
      <c r="U80"/>
      <c r="V80"/>
      <c r="AJ80" s="76"/>
      <c r="AM80" s="76"/>
      <c r="AN80" s="76"/>
      <c r="AO80" s="76"/>
      <c r="AP80" s="76"/>
      <c r="AQ80" s="76"/>
      <c r="AR80" s="76"/>
      <c r="AS80" s="76"/>
    </row>
    <row r="81" spans="17:45">
      <c r="Q81"/>
      <c r="R81"/>
      <c r="S81"/>
      <c r="T81"/>
      <c r="U81"/>
      <c r="V81"/>
      <c r="AJ81" s="76"/>
      <c r="AM81" s="76"/>
      <c r="AN81" s="76"/>
      <c r="AO81" s="76"/>
      <c r="AP81" s="76"/>
      <c r="AQ81" s="76"/>
      <c r="AR81" s="76"/>
      <c r="AS81" s="76"/>
    </row>
    <row r="82" spans="17:45">
      <c r="Q82"/>
      <c r="R82"/>
      <c r="S82"/>
      <c r="T82"/>
      <c r="U82"/>
      <c r="V82"/>
      <c r="AJ82" s="76"/>
      <c r="AM82" s="76"/>
      <c r="AN82" s="76"/>
      <c r="AO82" s="76"/>
      <c r="AP82" s="76"/>
      <c r="AQ82" s="76"/>
      <c r="AR82" s="76"/>
      <c r="AS82" s="76"/>
    </row>
    <row r="83" spans="17:45">
      <c r="Q83"/>
      <c r="R83"/>
      <c r="S83"/>
      <c r="T83"/>
      <c r="U83"/>
      <c r="V83"/>
      <c r="AD83" s="76"/>
      <c r="AE83" s="76"/>
      <c r="AF83" s="76"/>
      <c r="AG83" s="76"/>
      <c r="AH83" s="76"/>
      <c r="AI83" s="76"/>
      <c r="AJ83" s="76"/>
      <c r="AM83" s="76"/>
      <c r="AN83" s="76"/>
      <c r="AO83" s="76"/>
      <c r="AP83" s="76"/>
      <c r="AQ83" s="76"/>
      <c r="AR83" s="76"/>
      <c r="AS83" s="76"/>
    </row>
    <row r="84" spans="17:45">
      <c r="Q84"/>
      <c r="R84"/>
      <c r="S84"/>
      <c r="T84"/>
      <c r="U84"/>
      <c r="V84"/>
      <c r="AD84" s="76"/>
      <c r="AE84" s="76"/>
      <c r="AF84" s="76"/>
      <c r="AG84" s="76"/>
      <c r="AH84" s="76"/>
      <c r="AI84" s="76"/>
      <c r="AJ84" s="76"/>
      <c r="AM84" s="76"/>
      <c r="AN84" s="76"/>
      <c r="AO84" s="76"/>
      <c r="AP84" s="76"/>
      <c r="AQ84" s="76"/>
      <c r="AR84" s="76"/>
      <c r="AS84" s="76"/>
    </row>
    <row r="85" spans="17:45">
      <c r="Q85"/>
      <c r="R85"/>
      <c r="S85"/>
      <c r="T85"/>
      <c r="U85"/>
      <c r="V85"/>
      <c r="AD85" s="76"/>
      <c r="AE85" s="76"/>
      <c r="AF85" s="76"/>
      <c r="AG85" s="76"/>
      <c r="AH85" s="76"/>
      <c r="AI85" s="76"/>
      <c r="AJ85" s="76"/>
      <c r="AM85" s="76"/>
      <c r="AN85" s="76"/>
      <c r="AO85" s="76"/>
      <c r="AP85" s="76"/>
      <c r="AQ85" s="76"/>
      <c r="AR85" s="76"/>
      <c r="AS85" s="76"/>
    </row>
    <row r="86" spans="17:45">
      <c r="Q86"/>
      <c r="R86"/>
      <c r="S86"/>
      <c r="T86"/>
      <c r="U86"/>
      <c r="V86"/>
      <c r="AD86" s="76"/>
      <c r="AE86" s="76"/>
      <c r="AF86" s="76"/>
      <c r="AG86" s="76"/>
      <c r="AH86" s="76"/>
      <c r="AI86" s="76"/>
      <c r="AJ86" s="76"/>
      <c r="AM86" s="76"/>
      <c r="AN86" s="76"/>
      <c r="AO86" s="76"/>
      <c r="AP86" s="76"/>
      <c r="AQ86" s="76"/>
      <c r="AR86" s="76"/>
      <c r="AS86" s="76"/>
    </row>
    <row r="87" spans="17:45">
      <c r="Q87"/>
      <c r="R87"/>
      <c r="S87"/>
      <c r="T87"/>
      <c r="U87"/>
      <c r="V87"/>
      <c r="AD87" s="76"/>
      <c r="AE87" s="76"/>
      <c r="AF87" s="76"/>
      <c r="AG87" s="76"/>
      <c r="AH87" s="76"/>
      <c r="AI87" s="76"/>
      <c r="AJ87" s="76"/>
      <c r="AM87" s="76"/>
      <c r="AN87" s="76"/>
      <c r="AO87" s="76"/>
      <c r="AP87" s="76"/>
      <c r="AQ87" s="76"/>
      <c r="AR87" s="76"/>
      <c r="AS87" s="76"/>
    </row>
    <row r="88" spans="17:45">
      <c r="AD88" s="76"/>
      <c r="AE88" s="76"/>
      <c r="AF88" s="76"/>
      <c r="AG88" s="76"/>
      <c r="AH88" s="76"/>
      <c r="AI88" s="76"/>
      <c r="AJ88" s="76"/>
      <c r="AM88" s="76"/>
      <c r="AN88" s="76"/>
      <c r="AO88" s="76"/>
      <c r="AP88" s="76"/>
      <c r="AQ88" s="76"/>
      <c r="AR88" s="76"/>
      <c r="AS88" s="76"/>
    </row>
    <row r="89" spans="17:45">
      <c r="AD89" s="76"/>
      <c r="AE89" s="76"/>
      <c r="AF89" s="76"/>
      <c r="AG89" s="76"/>
      <c r="AH89" s="76"/>
      <c r="AI89" s="76"/>
      <c r="AJ89" s="76"/>
      <c r="AM89" s="76"/>
      <c r="AN89" s="76"/>
      <c r="AO89" s="76"/>
      <c r="AP89" s="76"/>
      <c r="AQ89" s="76"/>
      <c r="AR89" s="76"/>
      <c r="AS89" s="76"/>
    </row>
  </sheetData>
  <mergeCells count="4">
    <mergeCell ref="D3:F3"/>
    <mergeCell ref="G3:L3"/>
    <mergeCell ref="D12:F12"/>
    <mergeCell ref="G12:L12"/>
  </mergeCells>
  <phoneticPr fontId="3"/>
  <pageMargins left="0.7" right="0.7" top="0.75" bottom="0.75" header="0.3" footer="0.3"/>
  <pageSetup paperSize="9" orientation="portrait" horizontalDpi="0" verticalDpi="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K116"/>
  <sheetViews>
    <sheetView zoomScale="55" zoomScaleNormal="55" workbookViewId="0">
      <selection activeCell="X24" sqref="X24"/>
    </sheetView>
  </sheetViews>
  <sheetFormatPr defaultColWidth="8.88671875" defaultRowHeight="19.5"/>
  <cols>
    <col min="1" max="16384" width="8.88671875" style="3"/>
  </cols>
  <sheetData>
    <row r="2" spans="2:33" ht="20.25" thickBot="1">
      <c r="B2" t="s">
        <v>1312</v>
      </c>
      <c r="C2"/>
      <c r="D2"/>
      <c r="E2"/>
      <c r="L2" s="3" t="s">
        <v>890</v>
      </c>
      <c r="U2" s="3" t="s">
        <v>1205</v>
      </c>
      <c r="AA2" s="3" t="s">
        <v>1158</v>
      </c>
      <c r="AF2" s="3" t="s">
        <v>13</v>
      </c>
      <c r="AG2"/>
    </row>
    <row r="3" spans="2:33" ht="20.25" customHeight="1" thickBot="1">
      <c r="B3" s="256" t="s">
        <v>1321</v>
      </c>
      <c r="C3" s="257"/>
      <c r="D3" s="257"/>
      <c r="E3" s="258"/>
      <c r="G3" s="11" t="s">
        <v>59</v>
      </c>
      <c r="H3" s="11" t="s">
        <v>60</v>
      </c>
      <c r="I3" s="11" t="s">
        <v>61</v>
      </c>
      <c r="J3" s="11" t="s">
        <v>62</v>
      </c>
      <c r="L3" s="10" t="s">
        <v>472</v>
      </c>
      <c r="M3" s="10" t="s">
        <v>691</v>
      </c>
      <c r="N3" s="10" t="s">
        <v>666</v>
      </c>
      <c r="O3" s="10" t="s">
        <v>881</v>
      </c>
      <c r="P3" s="10" t="s">
        <v>882</v>
      </c>
      <c r="Q3" s="10" t="s">
        <v>689</v>
      </c>
      <c r="R3" s="10" t="s">
        <v>688</v>
      </c>
      <c r="S3" s="10" t="s">
        <v>1317</v>
      </c>
      <c r="U3" s="10" t="s">
        <v>472</v>
      </c>
      <c r="V3" s="10" t="s">
        <v>957</v>
      </c>
      <c r="W3" s="10" t="s">
        <v>153</v>
      </c>
      <c r="X3" s="10" t="s">
        <v>154</v>
      </c>
      <c r="Y3" s="10" t="s">
        <v>155</v>
      </c>
      <c r="AA3" s="10" t="s">
        <v>1099</v>
      </c>
      <c r="AB3" s="10" t="s">
        <v>1096</v>
      </c>
      <c r="AC3" s="10" t="s">
        <v>1100</v>
      </c>
      <c r="AD3" s="10" t="s">
        <v>1101</v>
      </c>
      <c r="AF3" s="10"/>
      <c r="AG3" s="10" t="s">
        <v>1096</v>
      </c>
    </row>
    <row r="4" spans="2:33" ht="20.25" thickTop="1">
      <c r="B4" s="259"/>
      <c r="C4" s="260"/>
      <c r="D4" s="260"/>
      <c r="E4" s="261"/>
      <c r="G4" s="1" t="s">
        <v>873</v>
      </c>
      <c r="H4" s="1" t="s">
        <v>374</v>
      </c>
      <c r="I4" s="1"/>
      <c r="J4" s="1" t="s">
        <v>370</v>
      </c>
      <c r="L4" s="1" t="s">
        <v>153</v>
      </c>
      <c r="M4" s="1" t="s">
        <v>623</v>
      </c>
      <c r="N4" s="1" t="s">
        <v>624</v>
      </c>
      <c r="O4" s="64" t="s">
        <v>625</v>
      </c>
      <c r="P4" s="64" t="s">
        <v>626</v>
      </c>
      <c r="Q4" s="1" t="s">
        <v>45</v>
      </c>
      <c r="R4" s="64" t="s">
        <v>46</v>
      </c>
      <c r="S4" s="1" t="s">
        <v>46</v>
      </c>
      <c r="U4" s="2" t="s">
        <v>751</v>
      </c>
      <c r="V4" s="4" t="s">
        <v>958</v>
      </c>
      <c r="W4" s="2" t="s">
        <v>752</v>
      </c>
      <c r="X4" s="4">
        <v>10</v>
      </c>
      <c r="Y4" s="2" t="s">
        <v>955</v>
      </c>
      <c r="AA4" s="113">
        <v>1</v>
      </c>
      <c r="AB4" s="4">
        <v>-0.55000000000000004</v>
      </c>
      <c r="AC4" s="4">
        <v>5</v>
      </c>
      <c r="AD4" s="4">
        <v>5</v>
      </c>
      <c r="AF4" s="1" t="s">
        <v>1097</v>
      </c>
      <c r="AG4" s="22">
        <v>-0.6</v>
      </c>
    </row>
    <row r="5" spans="2:33" ht="20.25" thickBot="1">
      <c r="B5" s="259"/>
      <c r="C5" s="260"/>
      <c r="D5" s="260"/>
      <c r="E5" s="261"/>
      <c r="G5" s="1" t="s">
        <v>739</v>
      </c>
      <c r="H5" s="1" t="s">
        <v>369</v>
      </c>
      <c r="I5" s="1"/>
      <c r="J5" s="1" t="s">
        <v>370</v>
      </c>
      <c r="L5" s="20" t="s">
        <v>155</v>
      </c>
      <c r="M5" s="20" t="s">
        <v>5</v>
      </c>
      <c r="N5" s="20" t="s">
        <v>5</v>
      </c>
      <c r="O5" s="130" t="s">
        <v>318</v>
      </c>
      <c r="P5" s="130" t="s">
        <v>318</v>
      </c>
      <c r="Q5" s="20" t="s">
        <v>46</v>
      </c>
      <c r="R5" s="130" t="s">
        <v>46</v>
      </c>
      <c r="S5" s="20" t="s">
        <v>948</v>
      </c>
      <c r="U5" s="1" t="s">
        <v>753</v>
      </c>
      <c r="V5" s="4" t="s">
        <v>959</v>
      </c>
      <c r="W5" s="1" t="s">
        <v>752</v>
      </c>
      <c r="X5" s="22">
        <v>2</v>
      </c>
      <c r="Y5" s="2" t="s">
        <v>955</v>
      </c>
      <c r="AA5" s="29">
        <v>2</v>
      </c>
      <c r="AB5" s="22">
        <v>-0.155</v>
      </c>
      <c r="AC5" s="22">
        <v>5</v>
      </c>
      <c r="AD5" s="22">
        <v>5</v>
      </c>
      <c r="AF5" s="1" t="s">
        <v>1098</v>
      </c>
      <c r="AG5" s="22">
        <v>0.25</v>
      </c>
    </row>
    <row r="6" spans="2:33" ht="20.25" thickTop="1">
      <c r="B6" s="259"/>
      <c r="C6" s="260"/>
      <c r="D6" s="260"/>
      <c r="E6" s="261"/>
      <c r="G6" s="55" t="s">
        <v>874</v>
      </c>
      <c r="H6" s="1" t="s">
        <v>366</v>
      </c>
      <c r="I6" s="1"/>
      <c r="J6" s="1" t="s">
        <v>45</v>
      </c>
      <c r="L6" s="82" t="s">
        <v>680</v>
      </c>
      <c r="M6" s="4">
        <v>0</v>
      </c>
      <c r="N6" s="4">
        <v>0.93</v>
      </c>
      <c r="O6" s="4">
        <v>2</v>
      </c>
      <c r="P6" s="4">
        <v>0</v>
      </c>
      <c r="Q6" s="4">
        <v>0.35</v>
      </c>
      <c r="R6" s="4" t="s">
        <v>692</v>
      </c>
      <c r="S6" s="2">
        <f t="shared" ref="S6:S12" si="0">(N7-N6)/(M7-M6)</f>
        <v>0</v>
      </c>
      <c r="U6" s="1" t="s">
        <v>757</v>
      </c>
      <c r="V6" s="4" t="s">
        <v>960</v>
      </c>
      <c r="W6" s="1" t="s">
        <v>752</v>
      </c>
      <c r="X6" s="22">
        <f>0.45</f>
        <v>0.45</v>
      </c>
      <c r="Y6" s="2" t="s">
        <v>955</v>
      </c>
      <c r="AA6" s="113">
        <v>3</v>
      </c>
      <c r="AB6" s="22">
        <v>-2.5000000000000001E-2</v>
      </c>
      <c r="AC6" s="22">
        <v>5</v>
      </c>
      <c r="AD6" s="22">
        <v>5</v>
      </c>
    </row>
    <row r="7" spans="2:33">
      <c r="B7" s="259"/>
      <c r="C7" s="260"/>
      <c r="D7" s="260"/>
      <c r="E7" s="261"/>
      <c r="G7" s="55" t="s">
        <v>563</v>
      </c>
      <c r="H7" s="55" t="s">
        <v>474</v>
      </c>
      <c r="I7" s="55" t="e">
        <f>SUM(#REF!)*2</f>
        <v>#REF!</v>
      </c>
      <c r="J7" s="55" t="s">
        <v>404</v>
      </c>
      <c r="L7" s="10" t="s">
        <v>699</v>
      </c>
      <c r="M7" s="22">
        <v>1.6</v>
      </c>
      <c r="N7" s="22">
        <v>0.93</v>
      </c>
      <c r="O7" s="22">
        <v>2</v>
      </c>
      <c r="P7" s="22">
        <v>0</v>
      </c>
      <c r="Q7" s="4">
        <v>0.35</v>
      </c>
      <c r="R7" s="22" t="s">
        <v>661</v>
      </c>
      <c r="S7" s="2">
        <f t="shared" si="0"/>
        <v>-4.1666666666666671E-2</v>
      </c>
      <c r="U7" s="1" t="s">
        <v>767</v>
      </c>
      <c r="V7" s="4" t="s">
        <v>961</v>
      </c>
      <c r="W7" s="1" t="s">
        <v>768</v>
      </c>
      <c r="X7" s="22">
        <v>8</v>
      </c>
      <c r="Y7" s="1" t="s">
        <v>955</v>
      </c>
      <c r="AA7" s="29">
        <v>4</v>
      </c>
      <c r="AB7" s="22">
        <v>0.01</v>
      </c>
      <c r="AC7" s="22">
        <v>5</v>
      </c>
      <c r="AD7" s="22">
        <v>5</v>
      </c>
    </row>
    <row r="8" spans="2:33">
      <c r="B8" s="259"/>
      <c r="C8" s="260"/>
      <c r="D8" s="260"/>
      <c r="E8" s="261"/>
      <c r="G8" s="55" t="s">
        <v>1166</v>
      </c>
      <c r="H8" s="55" t="s">
        <v>474</v>
      </c>
      <c r="I8" s="55"/>
      <c r="J8" s="55" t="s">
        <v>1165</v>
      </c>
      <c r="L8" s="10" t="s">
        <v>700</v>
      </c>
      <c r="M8" s="22">
        <v>5.2</v>
      </c>
      <c r="N8" s="22">
        <v>0.78</v>
      </c>
      <c r="O8" s="22">
        <v>2</v>
      </c>
      <c r="P8" s="22">
        <v>0</v>
      </c>
      <c r="Q8" s="4">
        <v>0.35</v>
      </c>
      <c r="R8" s="22" t="s">
        <v>692</v>
      </c>
      <c r="S8" s="2">
        <f t="shared" si="0"/>
        <v>-4.9999999999999989E-2</v>
      </c>
      <c r="U8" s="1" t="s">
        <v>758</v>
      </c>
      <c r="V8" s="4" t="s">
        <v>960</v>
      </c>
      <c r="W8" s="1" t="s">
        <v>759</v>
      </c>
      <c r="X8" s="22">
        <v>20</v>
      </c>
      <c r="Y8" s="2" t="s">
        <v>955</v>
      </c>
      <c r="AA8" s="113">
        <v>5</v>
      </c>
      <c r="AB8" s="22">
        <v>0.2</v>
      </c>
      <c r="AC8" s="22">
        <v>5</v>
      </c>
      <c r="AD8" s="22">
        <v>5</v>
      </c>
    </row>
    <row r="9" spans="2:33">
      <c r="B9" s="259"/>
      <c r="C9" s="260"/>
      <c r="D9" s="260"/>
      <c r="E9" s="261"/>
      <c r="G9" s="55" t="s">
        <v>566</v>
      </c>
      <c r="H9" s="55" t="s">
        <v>425</v>
      </c>
      <c r="I9" s="55"/>
      <c r="J9" s="55" t="s">
        <v>572</v>
      </c>
      <c r="L9" s="10" t="s">
        <v>701</v>
      </c>
      <c r="M9" s="22">
        <v>7.2</v>
      </c>
      <c r="N9" s="22">
        <v>0.68</v>
      </c>
      <c r="O9" s="22">
        <v>2</v>
      </c>
      <c r="P9" s="22">
        <v>6</v>
      </c>
      <c r="Q9" s="4">
        <v>0.35</v>
      </c>
      <c r="R9" s="22" t="s">
        <v>692</v>
      </c>
      <c r="S9" s="2">
        <f t="shared" si="0"/>
        <v>-5.0000000000000065E-2</v>
      </c>
      <c r="U9" s="1"/>
      <c r="V9" s="2"/>
      <c r="W9" s="1" t="s">
        <v>752</v>
      </c>
      <c r="X9" s="22">
        <v>0.5</v>
      </c>
      <c r="Y9" s="2" t="s">
        <v>955</v>
      </c>
      <c r="AA9" s="29">
        <v>6</v>
      </c>
      <c r="AB9" s="22"/>
      <c r="AC9" s="22"/>
      <c r="AD9" s="22"/>
    </row>
    <row r="10" spans="2:33">
      <c r="B10" s="259"/>
      <c r="C10" s="260"/>
      <c r="D10" s="260"/>
      <c r="E10" s="261"/>
      <c r="G10" s="55" t="s">
        <v>564</v>
      </c>
      <c r="H10" s="55" t="s">
        <v>570</v>
      </c>
      <c r="I10" s="55"/>
      <c r="J10" s="55" t="s">
        <v>46</v>
      </c>
      <c r="L10" s="10" t="s">
        <v>702</v>
      </c>
      <c r="M10" s="22">
        <v>8.6</v>
      </c>
      <c r="N10" s="22">
        <v>0.61</v>
      </c>
      <c r="O10" s="22">
        <v>2</v>
      </c>
      <c r="P10" s="22">
        <v>6</v>
      </c>
      <c r="Q10" s="4">
        <v>0.35</v>
      </c>
      <c r="R10" s="22" t="s">
        <v>692</v>
      </c>
      <c r="S10" s="2">
        <f t="shared" si="0"/>
        <v>-4.0909090909090874E-2</v>
      </c>
      <c r="U10" s="1"/>
      <c r="V10" s="2"/>
      <c r="W10" s="1" t="s">
        <v>1160</v>
      </c>
      <c r="X10" s="22">
        <v>13.5</v>
      </c>
      <c r="Y10" s="2" t="s">
        <v>1161</v>
      </c>
      <c r="AA10" s="29">
        <v>7</v>
      </c>
      <c r="AB10" s="22"/>
      <c r="AC10" s="22"/>
      <c r="AD10" s="22"/>
    </row>
    <row r="11" spans="2:33">
      <c r="B11" s="259"/>
      <c r="C11" s="260"/>
      <c r="D11" s="260"/>
      <c r="E11" s="261"/>
      <c r="G11" s="55" t="s">
        <v>565</v>
      </c>
      <c r="H11" s="55" t="s">
        <v>571</v>
      </c>
      <c r="I11" s="55"/>
      <c r="J11" s="55" t="s">
        <v>5</v>
      </c>
      <c r="L11" s="10" t="s">
        <v>703</v>
      </c>
      <c r="M11" s="22">
        <v>10.8</v>
      </c>
      <c r="N11" s="22">
        <v>0.52</v>
      </c>
      <c r="O11" s="22">
        <v>2</v>
      </c>
      <c r="P11" s="22">
        <v>6</v>
      </c>
      <c r="Q11" s="4">
        <v>0.35</v>
      </c>
      <c r="R11" s="22" t="s">
        <v>693</v>
      </c>
      <c r="S11" s="2">
        <f t="shared" si="0"/>
        <v>-8.7500000000000092E-2</v>
      </c>
      <c r="U11" s="1" t="s">
        <v>1103</v>
      </c>
      <c r="V11" s="4" t="s">
        <v>1095</v>
      </c>
      <c r="W11" s="1" t="s">
        <v>1104</v>
      </c>
      <c r="X11" s="22">
        <v>4</v>
      </c>
      <c r="Y11" s="1" t="s">
        <v>956</v>
      </c>
      <c r="AA11" s="29">
        <v>8</v>
      </c>
      <c r="AB11" s="22"/>
      <c r="AC11" s="22"/>
      <c r="AD11" s="22"/>
    </row>
    <row r="12" spans="2:33">
      <c r="B12" s="259"/>
      <c r="C12" s="260"/>
      <c r="D12" s="260"/>
      <c r="E12" s="261"/>
      <c r="G12" s="55" t="s">
        <v>836</v>
      </c>
      <c r="H12" s="55" t="s">
        <v>875</v>
      </c>
      <c r="I12" s="55"/>
      <c r="J12" s="55" t="s">
        <v>5</v>
      </c>
      <c r="L12" s="10" t="s">
        <v>1147</v>
      </c>
      <c r="M12" s="22">
        <v>12.2</v>
      </c>
      <c r="N12" s="22">
        <v>0.39750000000000002</v>
      </c>
      <c r="O12" s="22">
        <v>0.5</v>
      </c>
      <c r="P12" s="22">
        <v>36</v>
      </c>
      <c r="Q12" s="4">
        <v>0.35</v>
      </c>
      <c r="R12" s="22" t="s">
        <v>693</v>
      </c>
      <c r="S12" s="2">
        <f t="shared" si="0"/>
        <v>-8.7499999999999606E-2</v>
      </c>
      <c r="U12" s="1" t="s">
        <v>1163</v>
      </c>
      <c r="V12" s="4" t="s">
        <v>962</v>
      </c>
      <c r="W12" s="1" t="s">
        <v>1105</v>
      </c>
      <c r="X12" s="22">
        <v>10</v>
      </c>
      <c r="Y12" s="1" t="s">
        <v>1106</v>
      </c>
      <c r="AA12" s="29">
        <v>9</v>
      </c>
      <c r="AB12" s="22"/>
      <c r="AC12" s="22"/>
      <c r="AD12" s="22"/>
    </row>
    <row r="13" spans="2:33" ht="20.25" thickBot="1">
      <c r="B13" s="262"/>
      <c r="C13" s="263"/>
      <c r="D13" s="263"/>
      <c r="E13" s="264"/>
      <c r="G13" s="55" t="s">
        <v>837</v>
      </c>
      <c r="H13" s="55" t="s">
        <v>876</v>
      </c>
      <c r="I13" s="55"/>
      <c r="J13" s="55" t="s">
        <v>266</v>
      </c>
      <c r="L13" s="10" t="s">
        <v>679</v>
      </c>
      <c r="M13" s="22">
        <v>12.4</v>
      </c>
      <c r="N13" s="22">
        <v>0.38</v>
      </c>
      <c r="O13" s="22">
        <v>0.5</v>
      </c>
      <c r="P13" s="22"/>
      <c r="Q13" s="4">
        <v>0.35</v>
      </c>
      <c r="R13" s="22" t="s">
        <v>662</v>
      </c>
      <c r="S13" s="1"/>
      <c r="U13" s="1" t="s">
        <v>1102</v>
      </c>
      <c r="V13" s="4" t="s">
        <v>137</v>
      </c>
      <c r="W13" s="1" t="s">
        <v>1164</v>
      </c>
      <c r="X13" s="22">
        <v>0.5</v>
      </c>
      <c r="Y13" s="1" t="s">
        <v>955</v>
      </c>
      <c r="AA13" s="29">
        <v>10</v>
      </c>
      <c r="AB13" s="22"/>
      <c r="AC13" s="22"/>
      <c r="AD13" s="22"/>
    </row>
    <row r="14" spans="2:33">
      <c r="AD14"/>
      <c r="AE14"/>
    </row>
    <row r="16" spans="2:33">
      <c r="W16" s="28">
        <v>1</v>
      </c>
      <c r="X16" s="1" t="s">
        <v>1195</v>
      </c>
    </row>
    <row r="17" spans="7:30">
      <c r="AA17" s="1" t="s">
        <v>1211</v>
      </c>
      <c r="AB17" s="1" t="s">
        <v>1212</v>
      </c>
      <c r="AC17" s="22">
        <v>7.4999999999999997E-3</v>
      </c>
      <c r="AD17" s="1" t="s">
        <v>6</v>
      </c>
    </row>
    <row r="18" spans="7:30">
      <c r="AA18" s="21" t="s">
        <v>1213</v>
      </c>
      <c r="AB18" s="1" t="s">
        <v>1214</v>
      </c>
      <c r="AC18" s="22">
        <v>7.4999999999999997E-3</v>
      </c>
      <c r="AD18" s="1" t="s">
        <v>6</v>
      </c>
    </row>
    <row r="19" spans="7:30">
      <c r="AA19" s="1" t="s">
        <v>1215</v>
      </c>
      <c r="AB19" s="1" t="s">
        <v>1216</v>
      </c>
      <c r="AC19" s="22">
        <v>0.03</v>
      </c>
      <c r="AD19" s="1" t="s">
        <v>6</v>
      </c>
    </row>
    <row r="23" spans="7:30">
      <c r="G23" s="10" t="s">
        <v>1143</v>
      </c>
      <c r="H23" s="10" t="s">
        <v>1144</v>
      </c>
      <c r="I23" s="10" t="s">
        <v>1145</v>
      </c>
      <c r="J23" s="10" t="s">
        <v>1144</v>
      </c>
      <c r="K23" s="10" t="s">
        <v>1146</v>
      </c>
      <c r="L23" s="10" t="s">
        <v>1144</v>
      </c>
    </row>
    <row r="24" spans="7:30">
      <c r="G24" s="1" t="s">
        <v>46</v>
      </c>
      <c r="H24" s="1" t="s">
        <v>46</v>
      </c>
      <c r="I24" s="1" t="s">
        <v>46</v>
      </c>
      <c r="J24" s="1" t="s">
        <v>46</v>
      </c>
      <c r="K24" s="1" t="s">
        <v>46</v>
      </c>
      <c r="L24" s="1" t="s">
        <v>46</v>
      </c>
    </row>
    <row r="25" spans="7:30" ht="20.25" thickBot="1">
      <c r="G25" s="20" t="s">
        <v>1141</v>
      </c>
      <c r="H25" s="20" t="s">
        <v>5</v>
      </c>
      <c r="I25" s="20" t="s">
        <v>1142</v>
      </c>
      <c r="J25" s="20" t="s">
        <v>318</v>
      </c>
      <c r="K25" s="20" t="s">
        <v>46</v>
      </c>
      <c r="L25" s="20" t="s">
        <v>5</v>
      </c>
    </row>
    <row r="26" spans="7:30" ht="20.25" thickTop="1">
      <c r="G26" s="1" cm="1">
        <f t="array" ref="G26:H26">LINEST(N6:N7,M6:M7,TRUE,FALSE)</f>
        <v>0</v>
      </c>
      <c r="H26" s="2">
        <v>0.93</v>
      </c>
      <c r="I26" s="1" cm="1">
        <f t="array" ref="I26:J26">LINEST(O6:O7,M6:M7,TRUE,FALSE)</f>
        <v>0</v>
      </c>
      <c r="J26" s="2">
        <v>2</v>
      </c>
      <c r="K26" s="1" cm="1">
        <f t="array" ref="K26:L26">LINEST(Q6:Q7,M6:M7,TRUE,FALSE)</f>
        <v>0</v>
      </c>
      <c r="L26" s="2">
        <v>0.35</v>
      </c>
    </row>
    <row r="27" spans="7:30">
      <c r="G27" s="1" cm="1">
        <f t="array" ref="G27:H27">LINEST(N7:N8,M7:M8,TRUE,FALSE)</f>
        <v>-4.1666666666666671E-2</v>
      </c>
      <c r="H27" s="1">
        <v>0.9966666666666667</v>
      </c>
      <c r="I27" s="1" cm="1">
        <f t="array" ref="I27:J27">LINEST(O7:O8,M7:M8,TRUE,FALSE)</f>
        <v>0</v>
      </c>
      <c r="J27" s="1">
        <v>2</v>
      </c>
      <c r="K27" s="1" cm="1">
        <f t="array" ref="K27:L27">LINEST(Q7:Q8,M7:M8,TRUE,FALSE)</f>
        <v>0</v>
      </c>
      <c r="L27" s="1">
        <v>0.35</v>
      </c>
    </row>
    <row r="28" spans="7:30">
      <c r="G28" s="1" cm="1">
        <f t="array" ref="G28:H28">LINEST(N8:N9,M8:M9,TRUE,FALSE)</f>
        <v>-4.9999999999999996E-2</v>
      </c>
      <c r="H28" s="1">
        <v>1.04</v>
      </c>
      <c r="I28" s="1" cm="1">
        <f t="array" ref="I28:J28">LINEST(O8:O9,M8:M9,TRUE,FALSE)</f>
        <v>0</v>
      </c>
      <c r="J28" s="1">
        <v>2</v>
      </c>
      <c r="K28" s="1" cm="1">
        <f t="array" ref="K28:L28">LINEST(Q8:Q9,M8:M9,TRUE,FALSE)</f>
        <v>0</v>
      </c>
      <c r="L28" s="1">
        <v>0.35</v>
      </c>
    </row>
    <row r="29" spans="7:30">
      <c r="G29" s="1" cm="1">
        <f t="array" ref="G29:H29">LINEST(N9:N10,M9:M10,TRUE,FALSE)</f>
        <v>-5.0000000000000072E-2</v>
      </c>
      <c r="H29" s="1">
        <v>1.0400000000000005</v>
      </c>
      <c r="I29" s="1" cm="1">
        <f t="array" ref="I29:J29">LINEST(O9:O10,M9:M10,TRUE,FALSE)</f>
        <v>0</v>
      </c>
      <c r="J29" s="1">
        <v>2</v>
      </c>
      <c r="K29" s="1" cm="1">
        <f t="array" ref="K29:L29">LINEST(Q9:Q10,M9:M10,TRUE,FALSE)</f>
        <v>0</v>
      </c>
      <c r="L29" s="1">
        <v>0.35</v>
      </c>
    </row>
    <row r="30" spans="7:30">
      <c r="G30" s="1" cm="1">
        <f t="array" ref="G30:H30">LINEST(N10:N11,M10:M11,TRUE,FALSE)</f>
        <v>-4.0909090909090867E-2</v>
      </c>
      <c r="H30" s="1">
        <v>0.96181818181818135</v>
      </c>
      <c r="I30" s="1" cm="1">
        <f t="array" ref="I30:J30">LINEST(O10:O11,M10:M11,TRUE,FALSE)</f>
        <v>0</v>
      </c>
      <c r="J30" s="1">
        <v>2</v>
      </c>
      <c r="K30" s="1" cm="1">
        <f t="array" ref="K30:L30">LINEST(Q10:Q11,M10:M11,TRUE,FALSE)</f>
        <v>0</v>
      </c>
      <c r="L30" s="1">
        <v>0.35</v>
      </c>
    </row>
    <row r="31" spans="7:30">
      <c r="G31" s="1" cm="1">
        <f t="array" ref="G31:H31">LINEST(N11:N12,M11:M12,TRUE,FALSE)</f>
        <v>-8.7500000000000092E-2</v>
      </c>
      <c r="H31" s="1">
        <v>1.465000000000001</v>
      </c>
      <c r="I31" s="1" cm="1">
        <f t="array" ref="I31:J31">LINEST(O11:O12,M11:M12,TRUE,FALSE)</f>
        <v>-1.0714285714285725</v>
      </c>
      <c r="J31" s="1">
        <v>13.571428571428584</v>
      </c>
      <c r="K31" s="1" cm="1">
        <f t="array" ref="K31:L31">LINEST(Q11:Q12,M11:M12,TRUE,FALSE)</f>
        <v>0</v>
      </c>
      <c r="L31" s="1">
        <v>0.35</v>
      </c>
    </row>
    <row r="32" spans="7:30">
      <c r="G32" s="1" cm="1">
        <f t="array" ref="G32:H32">LINEST(N12:N13,M12:M13,TRUE,FALSE)</f>
        <v>-8.749999999999962E-2</v>
      </c>
      <c r="H32" s="1">
        <v>1.4649999999999954</v>
      </c>
      <c r="I32" s="1" cm="1">
        <f t="array" ref="I32:J32">LINEST(O12:O13,M12:M13,TRUE,FALSE)</f>
        <v>0</v>
      </c>
      <c r="J32" s="1">
        <v>0.5</v>
      </c>
      <c r="K32" s="1" cm="1">
        <f t="array" ref="K32:L32">LINEST(Q12:Q13,M12:M13,TRUE,FALSE)</f>
        <v>0</v>
      </c>
      <c r="L32" s="1">
        <v>0.35</v>
      </c>
    </row>
    <row r="43" spans="2:63">
      <c r="B43" s="10" t="s">
        <v>1140</v>
      </c>
      <c r="C43" s="236">
        <v>60</v>
      </c>
      <c r="D43" s="221" t="s">
        <v>46</v>
      </c>
      <c r="F43" s="3" t="s">
        <v>770</v>
      </c>
    </row>
    <row r="44" spans="2:63">
      <c r="B44" s="10" t="s">
        <v>1136</v>
      </c>
      <c r="C44" s="220">
        <v>0.8</v>
      </c>
      <c r="D44" s="221" t="s">
        <v>5</v>
      </c>
      <c r="F44" s="136" t="s">
        <v>746</v>
      </c>
      <c r="G44" s="136" t="s">
        <v>747</v>
      </c>
      <c r="H44" s="136" t="s">
        <v>748</v>
      </c>
      <c r="I44" s="136" t="s">
        <v>1135</v>
      </c>
      <c r="AX44" s="3" t="s">
        <v>950</v>
      </c>
      <c r="AY44" s="3" t="s">
        <v>1210</v>
      </c>
    </row>
    <row r="45" spans="2:63">
      <c r="B45" s="10" t="s">
        <v>872</v>
      </c>
      <c r="C45" s="220">
        <v>0.2</v>
      </c>
      <c r="D45" s="221" t="s">
        <v>37</v>
      </c>
      <c r="F45" s="1">
        <f>主桁!C7</f>
        <v>1.4</v>
      </c>
      <c r="G45" s="1">
        <f>主桁!C9</f>
        <v>4.8999999999999995</v>
      </c>
      <c r="H45" s="1">
        <f>主桁!C11</f>
        <v>8.3999999999999986</v>
      </c>
      <c r="I45" s="1">
        <f>主桁!C13</f>
        <v>12.2</v>
      </c>
      <c r="AX45" s="3">
        <f>0.095</f>
        <v>9.5000000000000001E-2</v>
      </c>
      <c r="AY45" s="3">
        <v>2.0499999999999998</v>
      </c>
    </row>
    <row r="46" spans="2:63">
      <c r="BF46" s="3" t="s">
        <v>1168</v>
      </c>
    </row>
    <row r="47" spans="2:63">
      <c r="B47" s="3" t="s">
        <v>694</v>
      </c>
      <c r="H47" s="3" t="s">
        <v>782</v>
      </c>
      <c r="L47" s="3" t="s">
        <v>712</v>
      </c>
      <c r="M47"/>
      <c r="AC47" s="3" t="s">
        <v>949</v>
      </c>
      <c r="AM47" s="3" t="s">
        <v>1170</v>
      </c>
      <c r="AS47" s="3" t="s">
        <v>1182</v>
      </c>
      <c r="AX47" s="3" t="s">
        <v>776</v>
      </c>
      <c r="BB47" s="3" t="s">
        <v>1217</v>
      </c>
      <c r="BC47" s="3">
        <v>2</v>
      </c>
      <c r="BD47" s="3">
        <v>3</v>
      </c>
      <c r="BF47" s="1">
        <f>SUM(BF51:BF150)/1000</f>
        <v>9.1784962713519871</v>
      </c>
      <c r="BG47" s="1">
        <f>SUM(BG51:BG150)/1000</f>
        <v>5.5444784367343765</v>
      </c>
      <c r="BH47" s="1">
        <f>BF47+BG47</f>
        <v>14.722974708086364</v>
      </c>
      <c r="BI47" s="3" t="s">
        <v>24</v>
      </c>
    </row>
    <row r="48" spans="2:63">
      <c r="B48" s="10" t="s">
        <v>695</v>
      </c>
      <c r="C48" s="12" t="s">
        <v>1139</v>
      </c>
      <c r="D48" s="10" t="s">
        <v>666</v>
      </c>
      <c r="E48" s="12" t="s">
        <v>945</v>
      </c>
      <c r="F48" s="10" t="s">
        <v>941</v>
      </c>
      <c r="G48" s="44" t="s">
        <v>942</v>
      </c>
      <c r="H48" s="14" t="s">
        <v>689</v>
      </c>
      <c r="I48" s="12" t="s">
        <v>1111</v>
      </c>
      <c r="J48" s="12" t="s">
        <v>1112</v>
      </c>
      <c r="K48" s="44" t="s">
        <v>709</v>
      </c>
      <c r="L48" s="14" t="s">
        <v>739</v>
      </c>
      <c r="M48" s="10" t="s">
        <v>740</v>
      </c>
      <c r="N48" s="10" t="s">
        <v>741</v>
      </c>
      <c r="O48" s="12" t="s">
        <v>713</v>
      </c>
      <c r="P48" s="10" t="s">
        <v>714</v>
      </c>
      <c r="Q48" s="10" t="s">
        <v>784</v>
      </c>
      <c r="R48" s="10" t="s">
        <v>342</v>
      </c>
      <c r="S48" s="10" t="s">
        <v>355</v>
      </c>
      <c r="T48" s="10" t="s">
        <v>787</v>
      </c>
      <c r="U48" s="10" t="s">
        <v>367</v>
      </c>
      <c r="V48" s="10" t="s">
        <v>789</v>
      </c>
      <c r="W48" s="10" t="s">
        <v>349</v>
      </c>
      <c r="X48" s="10" t="s">
        <v>715</v>
      </c>
      <c r="Y48" s="10" t="s">
        <v>717</v>
      </c>
      <c r="Z48" s="10" t="s">
        <v>716</v>
      </c>
      <c r="AA48" s="10" t="s">
        <v>720</v>
      </c>
      <c r="AB48" s="44" t="s">
        <v>718</v>
      </c>
      <c r="AC48" s="13" t="s">
        <v>1148</v>
      </c>
      <c r="AD48" s="14" t="s">
        <v>1149</v>
      </c>
      <c r="AE48" s="14" t="s">
        <v>1150</v>
      </c>
      <c r="AF48" s="14" t="s">
        <v>1151</v>
      </c>
      <c r="AG48" s="10" t="s">
        <v>697</v>
      </c>
      <c r="AH48" s="10" t="s">
        <v>698</v>
      </c>
      <c r="AI48" s="10" t="s">
        <v>1137</v>
      </c>
      <c r="AJ48" s="10" t="s">
        <v>877</v>
      </c>
      <c r="AK48" s="14" t="s">
        <v>339</v>
      </c>
      <c r="AL48" s="10" t="s">
        <v>696</v>
      </c>
      <c r="AM48" s="12" t="s">
        <v>1176</v>
      </c>
      <c r="AN48" s="10" t="s">
        <v>1171</v>
      </c>
      <c r="AO48" s="10" t="s">
        <v>1177</v>
      </c>
      <c r="AP48" s="10" t="s">
        <v>1178</v>
      </c>
      <c r="AQ48" s="10" t="s">
        <v>1172</v>
      </c>
      <c r="AR48" s="10" t="s">
        <v>1173</v>
      </c>
      <c r="AS48" s="10" t="s">
        <v>950</v>
      </c>
      <c r="AT48" s="10" t="s">
        <v>951</v>
      </c>
      <c r="AU48" s="189" t="s">
        <v>954</v>
      </c>
      <c r="AV48" s="12" t="s">
        <v>952</v>
      </c>
      <c r="AW48" s="44" t="s">
        <v>953</v>
      </c>
      <c r="AX48" s="14" t="s">
        <v>751</v>
      </c>
      <c r="AY48" s="10" t="s">
        <v>753</v>
      </c>
      <c r="AZ48" s="10" t="s">
        <v>754</v>
      </c>
      <c r="BA48" s="10" t="s">
        <v>757</v>
      </c>
      <c r="BB48" s="10" t="s">
        <v>1159</v>
      </c>
      <c r="BC48" s="10" t="s">
        <v>1162</v>
      </c>
      <c r="BD48" s="10" t="s">
        <v>1167</v>
      </c>
      <c r="BE48" s="12" t="s">
        <v>780</v>
      </c>
      <c r="BF48" s="10" t="s">
        <v>1153</v>
      </c>
      <c r="BG48" s="10" t="s">
        <v>1152</v>
      </c>
      <c r="BH48" s="10" t="s">
        <v>1169</v>
      </c>
      <c r="BI48" s="112" t="s">
        <v>1154</v>
      </c>
      <c r="BJ48" s="112"/>
      <c r="BK48" s="233"/>
    </row>
    <row r="49" spans="2:63">
      <c r="B49" s="1" t="s">
        <v>704</v>
      </c>
      <c r="C49" s="9" t="s">
        <v>22</v>
      </c>
      <c r="D49" s="1" t="s">
        <v>667</v>
      </c>
      <c r="E49" s="9" t="s">
        <v>657</v>
      </c>
      <c r="F49" s="64" t="s">
        <v>705</v>
      </c>
      <c r="G49" s="185" t="s">
        <v>705</v>
      </c>
      <c r="H49" s="23" t="s">
        <v>705</v>
      </c>
      <c r="I49" s="9" t="s">
        <v>705</v>
      </c>
      <c r="J49" s="9" t="s">
        <v>705</v>
      </c>
      <c r="K49" s="70" t="s">
        <v>705</v>
      </c>
      <c r="L49" s="231" t="s">
        <v>369</v>
      </c>
      <c r="M49" s="64" t="s">
        <v>372</v>
      </c>
      <c r="N49" s="64" t="s">
        <v>886</v>
      </c>
      <c r="O49" s="186" t="s">
        <v>721</v>
      </c>
      <c r="P49" s="64" t="s">
        <v>722</v>
      </c>
      <c r="Q49" s="64" t="s">
        <v>785</v>
      </c>
      <c r="R49" s="64" t="s">
        <v>723</v>
      </c>
      <c r="S49" s="64" t="s">
        <v>724</v>
      </c>
      <c r="T49" s="64" t="s">
        <v>788</v>
      </c>
      <c r="U49" s="64" t="s">
        <v>725</v>
      </c>
      <c r="V49" s="64" t="s">
        <v>728</v>
      </c>
      <c r="W49" s="64" t="s">
        <v>726</v>
      </c>
      <c r="X49" s="64" t="s">
        <v>727</v>
      </c>
      <c r="Y49" s="64" t="s">
        <v>731</v>
      </c>
      <c r="Z49" s="64" t="s">
        <v>730</v>
      </c>
      <c r="AA49" s="64" t="s">
        <v>734</v>
      </c>
      <c r="AB49" s="185" t="s">
        <v>732</v>
      </c>
      <c r="AC49" s="71" t="s">
        <v>705</v>
      </c>
      <c r="AD49" s="23" t="s">
        <v>705</v>
      </c>
      <c r="AE49" s="23" t="s">
        <v>705</v>
      </c>
      <c r="AF49" s="23" t="s">
        <v>705</v>
      </c>
      <c r="AG49" s="1" t="s">
        <v>946</v>
      </c>
      <c r="AH49" s="1" t="s">
        <v>947</v>
      </c>
      <c r="AI49" s="1" t="s">
        <v>1138</v>
      </c>
      <c r="AJ49" s="1" t="s">
        <v>878</v>
      </c>
      <c r="AK49" s="23" t="s">
        <v>721</v>
      </c>
      <c r="AL49" s="1" t="s">
        <v>880</v>
      </c>
      <c r="AM49" s="186" t="s">
        <v>1179</v>
      </c>
      <c r="AN49" s="64" t="s">
        <v>729</v>
      </c>
      <c r="AO49" s="64" t="s">
        <v>1180</v>
      </c>
      <c r="AP49" s="64" t="s">
        <v>1181</v>
      </c>
      <c r="AQ49" s="64" t="s">
        <v>1175</v>
      </c>
      <c r="AR49" s="64" t="s">
        <v>1174</v>
      </c>
      <c r="AS49" s="64"/>
      <c r="AT49" s="64"/>
      <c r="AU49" s="190" t="s">
        <v>705</v>
      </c>
      <c r="AV49" s="9" t="s">
        <v>705</v>
      </c>
      <c r="AW49" s="70" t="s">
        <v>705</v>
      </c>
      <c r="AX49" s="23" t="s">
        <v>45</v>
      </c>
      <c r="AY49" s="1" t="s">
        <v>45</v>
      </c>
      <c r="AZ49" s="1" t="s">
        <v>45</v>
      </c>
      <c r="BA49" s="1" t="s">
        <v>45</v>
      </c>
      <c r="BB49" s="1" t="s">
        <v>45</v>
      </c>
      <c r="BC49" s="1" t="s">
        <v>45</v>
      </c>
      <c r="BD49" s="1" t="s">
        <v>45</v>
      </c>
      <c r="BE49" s="9" t="s">
        <v>45</v>
      </c>
      <c r="BF49" s="1" t="s">
        <v>45</v>
      </c>
      <c r="BG49" s="64" t="s">
        <v>45</v>
      </c>
      <c r="BH49" s="64" t="s">
        <v>45</v>
      </c>
      <c r="BI49" s="1" t="s">
        <v>1155</v>
      </c>
      <c r="BJ49" s="1" t="s">
        <v>1156</v>
      </c>
      <c r="BK49" s="70" t="s">
        <v>1157</v>
      </c>
    </row>
    <row r="50" spans="2:63" ht="20.25" thickBot="1">
      <c r="B50" s="21" t="s">
        <v>705</v>
      </c>
      <c r="C50" s="132" t="s">
        <v>706</v>
      </c>
      <c r="D50" s="21" t="s">
        <v>819</v>
      </c>
      <c r="E50" s="132" t="s">
        <v>706</v>
      </c>
      <c r="F50" s="131" t="s">
        <v>705</v>
      </c>
      <c r="G50" s="213" t="s">
        <v>705</v>
      </c>
      <c r="H50" s="183" t="s">
        <v>46</v>
      </c>
      <c r="I50" s="132" t="s">
        <v>652</v>
      </c>
      <c r="J50" s="132" t="s">
        <v>652</v>
      </c>
      <c r="K50" s="184" t="s">
        <v>652</v>
      </c>
      <c r="L50" s="232" t="s">
        <v>279</v>
      </c>
      <c r="M50" s="131" t="s">
        <v>279</v>
      </c>
      <c r="N50" s="131" t="s">
        <v>786</v>
      </c>
      <c r="O50" s="187" t="s">
        <v>735</v>
      </c>
      <c r="P50" s="131" t="s">
        <v>705</v>
      </c>
      <c r="Q50" s="131" t="s">
        <v>705</v>
      </c>
      <c r="R50" s="131" t="s">
        <v>705</v>
      </c>
      <c r="S50" s="131" t="s">
        <v>705</v>
      </c>
      <c r="T50" s="131" t="s">
        <v>705</v>
      </c>
      <c r="U50" s="131" t="s">
        <v>705</v>
      </c>
      <c r="V50" s="131" t="s">
        <v>705</v>
      </c>
      <c r="W50" s="131" t="s">
        <v>736</v>
      </c>
      <c r="X50" s="131" t="s">
        <v>736</v>
      </c>
      <c r="Y50" s="131" t="s">
        <v>737</v>
      </c>
      <c r="Z50" s="131" t="s">
        <v>737</v>
      </c>
      <c r="AA50" s="131" t="s">
        <v>737</v>
      </c>
      <c r="AB50" s="213" t="s">
        <v>738</v>
      </c>
      <c r="AC50" s="242" t="s">
        <v>45</v>
      </c>
      <c r="AD50" s="133" t="s">
        <v>45</v>
      </c>
      <c r="AE50" s="133" t="s">
        <v>45</v>
      </c>
      <c r="AF50" s="133" t="s">
        <v>45</v>
      </c>
      <c r="AG50" s="20" t="s">
        <v>706</v>
      </c>
      <c r="AH50" s="20" t="s">
        <v>706</v>
      </c>
      <c r="AI50" s="20" t="s">
        <v>706</v>
      </c>
      <c r="AJ50" s="20" t="s">
        <v>706</v>
      </c>
      <c r="AK50" s="133" t="s">
        <v>266</v>
      </c>
      <c r="AL50" s="20" t="s">
        <v>266</v>
      </c>
      <c r="AM50" s="187" t="s">
        <v>735</v>
      </c>
      <c r="AN50" s="131" t="s">
        <v>735</v>
      </c>
      <c r="AO50" s="131" t="s">
        <v>706</v>
      </c>
      <c r="AP50" s="131" t="s">
        <v>706</v>
      </c>
      <c r="AQ50" s="131" t="s">
        <v>706</v>
      </c>
      <c r="AR50" s="131" t="s">
        <v>735</v>
      </c>
      <c r="AS50" s="131" t="s">
        <v>404</v>
      </c>
      <c r="AT50" s="131" t="s">
        <v>5</v>
      </c>
      <c r="AU50" s="191" t="s">
        <v>706</v>
      </c>
      <c r="AV50" s="132" t="s">
        <v>706</v>
      </c>
      <c r="AW50" s="184" t="s">
        <v>706</v>
      </c>
      <c r="AX50" s="188" t="s">
        <v>779</v>
      </c>
      <c r="AY50" s="137" t="s">
        <v>779</v>
      </c>
      <c r="AZ50" s="137" t="s">
        <v>779</v>
      </c>
      <c r="BA50" s="20" t="s">
        <v>779</v>
      </c>
      <c r="BB50" s="20" t="s">
        <v>779</v>
      </c>
      <c r="BC50" s="20" t="s">
        <v>779</v>
      </c>
      <c r="BD50" s="20" t="s">
        <v>779</v>
      </c>
      <c r="BE50" s="192" t="s">
        <v>779</v>
      </c>
      <c r="BF50" s="137" t="s">
        <v>779</v>
      </c>
      <c r="BG50" s="131" t="s">
        <v>779</v>
      </c>
      <c r="BH50" s="130" t="s">
        <v>6</v>
      </c>
      <c r="BI50" s="20" t="s">
        <v>404</v>
      </c>
      <c r="BJ50" s="20" t="s">
        <v>404</v>
      </c>
      <c r="BK50" s="234" t="s">
        <v>404</v>
      </c>
    </row>
    <row r="51" spans="2:63" ht="20.25" thickTop="1">
      <c r="B51" s="223">
        <v>0</v>
      </c>
      <c r="C51" s="25">
        <v>0</v>
      </c>
      <c r="D51" s="25">
        <f t="shared" ref="D51:D82" si="1">IF($C51&lt;$M$7,$G$26*$C51+$H$26,IF($C51&lt;$M$8,$G$27*$C51+$H$27,IF($C51&lt;$M$9,$G$28*$C51+$H$28,IF($C51&lt;$M$10,$G$29*$C51+$H$29,IF($C51&lt;$M$11,$G$30*$C51+$H$30,IF($C51&lt;$M$12,$G$31*$C51+$H$31,$G$32*$C51+$H$32))))))*10^3</f>
        <v>930</v>
      </c>
      <c r="E51" s="50">
        <f>C44</f>
        <v>0.8</v>
      </c>
      <c r="F51" s="50" t="str">
        <f>IF(C51&lt;$M$7,"flat",IF(C51&lt;$M$8,"1st",IF(C51&lt;$M$9,"2nd",IF(C51&lt;$M$10,"3rd",IF(C51&lt;$M$11,"4th",IF(C51&lt;$M$12,"5th","6th"))))))</f>
        <v>flat</v>
      </c>
      <c r="G51" s="72" t="str">
        <f t="shared" ref="G51:G82" si="2">IF(OR(C51=$F$45,C51=$G$45,C51=$H$45),"端リブ",IF(C51&lt;$F$45,"0番",IF(C51&lt;$G$45,"1番",IF(C51&lt;$H$45,"2番",IF(C51&lt;$I$45,"3番","ウィングレット")))))</f>
        <v>0番</v>
      </c>
      <c r="H51" s="73">
        <f t="shared" ref="H51:H82" si="3">IF($C51&lt;$M$7,$K$26*$C51+$L$26,IF($C51&lt;$M$8,$K$27*$C51+$L$27,IF($C51&lt;$M$9,$K$28*$C51+$L$28,IF($C51&lt;$M$10,$K$29*$C51+$L$30,IF($C51&lt;$M$11,$K$30*$C51+$L$29,IF($C51&lt;$M$12,$K$31*$C51+$L$31,$K$32*$C51+$L$32))))))</f>
        <v>0.35</v>
      </c>
      <c r="I51" s="219">
        <f>主桁!AD6*2</f>
        <v>113.39</v>
      </c>
      <c r="J51" s="25">
        <f>主桁!AE6*2</f>
        <v>113.39</v>
      </c>
      <c r="K51" s="224">
        <v>10</v>
      </c>
      <c r="L51" s="228"/>
      <c r="M51" s="227"/>
      <c r="N51" s="227"/>
      <c r="O51" s="226"/>
      <c r="P51" s="227"/>
      <c r="Q51" s="227"/>
      <c r="R51" s="227"/>
      <c r="S51" s="227"/>
      <c r="T51" s="227"/>
      <c r="U51" s="227"/>
      <c r="V51" s="227"/>
      <c r="W51" s="227"/>
      <c r="X51" s="227"/>
      <c r="Y51" s="227"/>
      <c r="Z51" s="227"/>
      <c r="AA51" s="227"/>
      <c r="AB51" s="227"/>
      <c r="AC51" s="73" t="str">
        <f t="shared" ref="AC51:AC82" si="4">IF($C51&lt;$M$7,$R$6,IF($C51&lt;$M$8,$R$7,IF($C51&lt;$M$9,$R$8,IF($C51&lt;$M$10,$R$9,IF($C51&lt;$M$11,$R$10,IF($C51&lt;$M$12,$R$11,$R$12))))))</f>
        <v>QX0023</v>
      </c>
      <c r="AD51" s="25">
        <f>100-AF51</f>
        <v>100</v>
      </c>
      <c r="AE51" s="25" t="str">
        <f t="shared" ref="AE51:AE82" si="5">IF($C51&lt;$M$7,$R$7,IF($C51&lt;$M$8,$R$8,IF($C51&lt;$M$9,$R$9,IF($C51&lt;$M$10,$R$10,IF($C51&lt;$M$11,$R$11,IF($C51&lt;$M$12,$R$12,$R$13))))))</f>
        <v>QX0023</v>
      </c>
      <c r="AF51" s="25">
        <f t="shared" ref="AF51:AF82" si="6">IF(AC51=AE51,0,IF($C51&lt;$M$7,($C51-$M$6)/($M$7-$M$6),IF($C51&lt;$M$8,($C51-$M$7)/($M$8-$M$7),IF($C51&lt;$M$9,($C51-$M$8)/($M$9-$M$8),IF($C51&lt;$M$10,($C51-$M$9)/($M$10-$M$9),IF($C51&lt;$M$11,($C51-$M$10)/($M$11-$M$10),IF($C51&lt;$M$12,($C51-$M$11)/($M$12-$M$11),($C51-$M$12)/($M$13-$M$12))))))))*100</f>
        <v>0</v>
      </c>
      <c r="AG51" s="25">
        <f t="shared" ref="AG51:AG82" si="7">D51*H51/1000</f>
        <v>0.32550000000000001</v>
      </c>
      <c r="AH51" s="25">
        <f t="shared" ref="AH51:AH82" si="8">AG51-D51/1000</f>
        <v>-0.60450000000000004</v>
      </c>
      <c r="AI51" s="25">
        <v>0</v>
      </c>
      <c r="AJ51" s="25">
        <v>0</v>
      </c>
      <c r="AK51" s="25">
        <f t="shared" ref="AK51:AK82" si="9">IF($C51&lt;$M$7,$I$26*$C51+$J$26,IF($C51&lt;$M$8,$I$27*$C51+$J$27,IF($C51&lt;$M$9,$I$28*$C51+$J$28,IF($C51&lt;$M$10,$I$29*$C51+$J$29,IF($C51&lt;$M$11,$I$30*$C51+$J$30,IF($C51&lt;$M$12,$I$31*$C51+$J$31,$I$32*$C51+$J$32))))))</f>
        <v>2</v>
      </c>
      <c r="AL51" s="222">
        <f t="shared" ref="AL51:AL82" si="10">IF($C51&lt;$M$7,$P$6,IF($C51&lt;$M$8,$P$7,IF($C51&lt;$M$9,$P$8,IF($C51&lt;$M$10,$P$9,IF($C51&lt;$M$11,$P$10,IF($C51&lt;$M$12,$P$11,$P$12))))))</f>
        <v>0</v>
      </c>
      <c r="AM51" s="226"/>
      <c r="AN51" s="227"/>
      <c r="AO51" s="227">
        <v>0</v>
      </c>
      <c r="AP51" s="227">
        <v>0</v>
      </c>
      <c r="AQ51" s="227"/>
      <c r="AR51" s="227"/>
      <c r="AS51" s="227">
        <f t="shared" ref="AS51:AS82" si="11">$AX$45*(D51/10^3)^2</f>
        <v>8.2165500000000016E-2</v>
      </c>
      <c r="AT51" s="227">
        <f t="shared" ref="AT51:AT82" si="12">D51*$AY$45/10^3</f>
        <v>1.9064999999999999</v>
      </c>
      <c r="AU51" s="227">
        <f t="shared" ref="AU51:AU82" si="13">$AT$51*0.85/2</f>
        <v>0.81026249999999989</v>
      </c>
      <c r="AV51" s="227">
        <f>AT51*0.75/2</f>
        <v>0.7149375</v>
      </c>
      <c r="AW51" s="224">
        <f>AT51*0.4/2</f>
        <v>0.38129999999999997</v>
      </c>
      <c r="AX51" s="73">
        <f>AS51*$X$4*パラメータ!$D$24</f>
        <v>27.114615000000004</v>
      </c>
      <c r="AY51" s="25">
        <f>AU51*$X$5*E51*パラメータ!$D$30</f>
        <v>110.19569999999999</v>
      </c>
      <c r="AZ51" s="25">
        <f>SUMPRODUCT($AC$4:$AC$10,$AD$4:$AD$10)*E51*パラメータ!$D$28*10^-3</f>
        <v>51</v>
      </c>
      <c r="BA51" s="25">
        <f>(AV51+AW51)*$X$6*$X$4*パラメータ!$D$22*10^-3</f>
        <v>7.3996031249999987</v>
      </c>
      <c r="BB51" s="25">
        <f>($X$8*$X$9*パラメータ!$D$22+0.5*$X$8^2*SIN(RADIANS($X$10))*パラメータ!$D$25)*E51*10^-3</f>
        <v>13.232591521159183</v>
      </c>
      <c r="BC51" s="25">
        <f t="shared" ref="BC51:BC82" si="14">AT51*($X$12)</f>
        <v>19.064999999999998</v>
      </c>
      <c r="BD51" s="25">
        <f t="shared" ref="BD51:BD82" si="15">$X$11</f>
        <v>4</v>
      </c>
      <c r="BE51" s="1">
        <f>IF(G51="端リブ",AS51*$X$13*パラメータ!$D$22*2,0)</f>
        <v>0</v>
      </c>
      <c r="BF51" s="25">
        <f>主桁!AV6*1000</f>
        <v>0</v>
      </c>
      <c r="BG51" s="25">
        <f>SUM(AX51:BE51)</f>
        <v>232.00750964615918</v>
      </c>
      <c r="BH51" s="25">
        <f>(BF51+BG51)/1000</f>
        <v>0.23200750964615918</v>
      </c>
      <c r="BI51" s="25">
        <f>(AO51-機体重量!$E$15)^2+(AP51-機体重量!$F$15)^2</f>
        <v>5.4950777486569501E-4</v>
      </c>
      <c r="BJ51" s="25">
        <f>(AP51-機体重量!$F$15)^2</f>
        <v>3.8816156979940122E-4</v>
      </c>
      <c r="BK51" s="241">
        <f>(AO51-機体重量!$E$15)^2</f>
        <v>1.6134620506629379E-4</v>
      </c>
    </row>
    <row r="52" spans="2:63">
      <c r="B52" s="113">
        <v>1</v>
      </c>
      <c r="C52" s="1">
        <f>C51+E51</f>
        <v>0.8</v>
      </c>
      <c r="D52" s="2">
        <f t="shared" si="1"/>
        <v>930</v>
      </c>
      <c r="E52" s="4">
        <v>0.2</v>
      </c>
      <c r="F52" s="4" t="str">
        <f>IF(C52&lt;$M$7,"flat",IF(C52&lt;$M$8,"1st",IF(C52&lt;$M$9,"2nd",IF(C52&lt;$M$10,"3rd",IF(C52&lt;$M$11,"4th",IF(C52&lt;$M$12,"5th","6th"))))))</f>
        <v>flat</v>
      </c>
      <c r="G52" s="75" t="str">
        <f t="shared" si="2"/>
        <v>0番</v>
      </c>
      <c r="H52" s="71">
        <f t="shared" si="3"/>
        <v>0.35</v>
      </c>
      <c r="I52" s="9">
        <f>主桁!AD7*2</f>
        <v>113.39</v>
      </c>
      <c r="J52" s="1">
        <f>主桁!AE7*2</f>
        <v>113.39</v>
      </c>
      <c r="K52" s="238"/>
      <c r="L52" s="240"/>
      <c r="M52" s="199"/>
      <c r="N52" s="199"/>
      <c r="O52" s="239"/>
      <c r="P52" s="199"/>
      <c r="Q52" s="199"/>
      <c r="R52" s="199"/>
      <c r="S52" s="199"/>
      <c r="T52" s="199"/>
      <c r="U52" s="199"/>
      <c r="V52" s="199"/>
      <c r="W52" s="199"/>
      <c r="X52" s="199"/>
      <c r="Y52" s="199"/>
      <c r="Z52" s="199"/>
      <c r="AA52" s="199"/>
      <c r="AB52" s="199"/>
      <c r="AC52" s="6" t="str">
        <f t="shared" si="4"/>
        <v>QX0023</v>
      </c>
      <c r="AD52" s="2">
        <f>100-AF52</f>
        <v>100</v>
      </c>
      <c r="AE52" s="2" t="str">
        <f t="shared" si="5"/>
        <v>QX0023</v>
      </c>
      <c r="AF52" s="2">
        <f t="shared" si="6"/>
        <v>0</v>
      </c>
      <c r="AG52" s="2">
        <f t="shared" si="7"/>
        <v>0.32550000000000001</v>
      </c>
      <c r="AH52" s="2">
        <f t="shared" si="8"/>
        <v>-0.60450000000000004</v>
      </c>
      <c r="AI52" s="2">
        <v>0</v>
      </c>
      <c r="AJ52" s="2">
        <v>0</v>
      </c>
      <c r="AK52" s="2">
        <f t="shared" si="9"/>
        <v>2</v>
      </c>
      <c r="AL52" s="7">
        <f t="shared" si="10"/>
        <v>0</v>
      </c>
      <c r="AM52" s="239"/>
      <c r="AN52" s="199"/>
      <c r="AO52" s="199"/>
      <c r="AP52" s="199"/>
      <c r="AQ52" s="199"/>
      <c r="AR52" s="199"/>
      <c r="AS52" s="86">
        <f t="shared" si="11"/>
        <v>8.2165500000000016E-2</v>
      </c>
      <c r="AT52" s="86">
        <f t="shared" si="12"/>
        <v>1.9064999999999999</v>
      </c>
      <c r="AU52" s="86">
        <f t="shared" si="13"/>
        <v>0.81026249999999989</v>
      </c>
      <c r="AV52" s="86">
        <f t="shared" ref="AV52:AV114" si="16">AT52*0.75/2</f>
        <v>0.7149375</v>
      </c>
      <c r="AW52" s="225">
        <f t="shared" ref="AW52:AW114" si="17">AT52*0.4/2</f>
        <v>0.38129999999999997</v>
      </c>
      <c r="AX52" s="6">
        <f>AS52*$X$4*パラメータ!$D$24</f>
        <v>27.114615000000004</v>
      </c>
      <c r="AY52" s="2">
        <f>AU52*$X$5*E52*パラメータ!$D$30</f>
        <v>27.548924999999997</v>
      </c>
      <c r="AZ52" s="2">
        <f>SUMPRODUCT($AC$4:$AC$10,$AD$4:$AD$10)*E52*パラメータ!$D$28*10^-3</f>
        <v>12.75</v>
      </c>
      <c r="BA52" s="2">
        <f>(AV52+AW52)*$X$6*$X$4*パラメータ!$D$22*10^-3</f>
        <v>7.3996031249999987</v>
      </c>
      <c r="BB52" s="2">
        <f>($X$8*$X$9*パラメータ!$D$22+0.5*$X$8^2*SIN(RADIANS($X$10))*パラメータ!$D$25)*E52*10^-3</f>
        <v>3.3081478802897957</v>
      </c>
      <c r="BC52" s="2">
        <f t="shared" si="14"/>
        <v>19.064999999999998</v>
      </c>
      <c r="BD52" s="2">
        <f t="shared" si="15"/>
        <v>4</v>
      </c>
      <c r="BE52" s="1">
        <f>IF(G52="端リブ",AS52*$X$13*パラメータ!$D$22*2,0)</f>
        <v>0</v>
      </c>
      <c r="BF52" s="1">
        <f>主桁!AV7*1000</f>
        <v>713.75277206480428</v>
      </c>
      <c r="BG52" s="2">
        <f>SUM(AX52:BE52)</f>
        <v>101.18629100528979</v>
      </c>
      <c r="BH52" s="2">
        <f>(BF52+BG52)/1000</f>
        <v>0.81493906307009412</v>
      </c>
      <c r="BI52" s="2">
        <f>(AO52-機体重量!$E$15)^2+(AP52-機体重量!$F$15)^2</f>
        <v>5.4950777486569501E-4</v>
      </c>
      <c r="BJ52" s="2">
        <f>(AP52-機体重量!$F$15)^2</f>
        <v>3.8816156979940122E-4</v>
      </c>
      <c r="BK52" s="235">
        <f>(AO52-機体重量!$E$15)^2</f>
        <v>1.6134620506629379E-4</v>
      </c>
    </row>
    <row r="53" spans="2:63">
      <c r="B53" s="29">
        <v>2</v>
      </c>
      <c r="C53" s="1">
        <f>C52+E52</f>
        <v>1</v>
      </c>
      <c r="D53" s="1">
        <f t="shared" si="1"/>
        <v>930</v>
      </c>
      <c r="E53" s="22">
        <v>0.2</v>
      </c>
      <c r="F53" s="22" t="str">
        <f>IF(C53&lt;$M$7,"flat",IF(C53&lt;$M$8,"1st",IF(C53&lt;$M$9,"2nd",IF(C53&lt;$M$10,"3rd",IF(C53&lt;$M$11,"4th",IF(C53&lt;$M$12,"5th","6th"))))))</f>
        <v>flat</v>
      </c>
      <c r="G53" s="74" t="str">
        <f t="shared" si="2"/>
        <v>0番</v>
      </c>
      <c r="H53" s="23">
        <f t="shared" si="3"/>
        <v>0.35</v>
      </c>
      <c r="I53" s="9">
        <f>主桁!AD8*2</f>
        <v>113.39</v>
      </c>
      <c r="J53" s="1">
        <f>主桁!AE8*2</f>
        <v>113.39</v>
      </c>
      <c r="K53" s="225"/>
      <c r="L53" s="230"/>
      <c r="M53" s="86"/>
      <c r="N53" s="86"/>
      <c r="O53" s="229"/>
      <c r="P53" s="86"/>
      <c r="Q53" s="86"/>
      <c r="R53" s="86"/>
      <c r="S53" s="86"/>
      <c r="T53" s="86"/>
      <c r="U53" s="86"/>
      <c r="V53" s="86"/>
      <c r="W53" s="86"/>
      <c r="X53" s="86"/>
      <c r="Y53" s="86"/>
      <c r="Z53" s="86"/>
      <c r="AA53" s="86"/>
      <c r="AB53" s="86"/>
      <c r="AC53" s="71" t="str">
        <f t="shared" si="4"/>
        <v>QX0023</v>
      </c>
      <c r="AD53" s="1">
        <f t="shared" ref="AD53:AD111" si="18">100-AF53</f>
        <v>100</v>
      </c>
      <c r="AE53" s="1" t="str">
        <f t="shared" si="5"/>
        <v>QX0023</v>
      </c>
      <c r="AF53" s="1">
        <f t="shared" si="6"/>
        <v>0</v>
      </c>
      <c r="AG53" s="1">
        <f t="shared" si="7"/>
        <v>0.32550000000000001</v>
      </c>
      <c r="AH53" s="1">
        <f t="shared" si="8"/>
        <v>-0.60450000000000004</v>
      </c>
      <c r="AI53" s="1">
        <f t="shared" ref="AI53:AI84" si="19">AI52+E52*COS(RADIANS(AL52))</f>
        <v>0.2</v>
      </c>
      <c r="AJ53" s="1">
        <f t="shared" ref="AJ53:AJ84" si="20">AJ52+E52*SIN(RADIANS(AL52))</f>
        <v>0</v>
      </c>
      <c r="AK53" s="1">
        <f t="shared" si="9"/>
        <v>2</v>
      </c>
      <c r="AL53" s="7">
        <f t="shared" si="10"/>
        <v>0</v>
      </c>
      <c r="AM53" s="229"/>
      <c r="AN53" s="86"/>
      <c r="AO53" s="86"/>
      <c r="AP53" s="86"/>
      <c r="AQ53" s="86"/>
      <c r="AR53" s="86"/>
      <c r="AS53" s="86">
        <f t="shared" si="11"/>
        <v>8.2165500000000016E-2</v>
      </c>
      <c r="AT53" s="86">
        <f t="shared" si="12"/>
        <v>1.9064999999999999</v>
      </c>
      <c r="AU53" s="86">
        <f t="shared" si="13"/>
        <v>0.81026249999999989</v>
      </c>
      <c r="AV53" s="86">
        <f t="shared" si="16"/>
        <v>0.7149375</v>
      </c>
      <c r="AW53" s="225">
        <f t="shared" si="17"/>
        <v>0.38129999999999997</v>
      </c>
      <c r="AX53" s="71">
        <f>AS53*$X$4*パラメータ!$D$24</f>
        <v>27.114615000000004</v>
      </c>
      <c r="AY53" s="1">
        <f>AU53*$X$5*E53*パラメータ!$D$30</f>
        <v>27.548924999999997</v>
      </c>
      <c r="AZ53" s="1">
        <f>SUMPRODUCT($AC$4:$AC$10,$AD$4:$AD$10)*E53*パラメータ!$D$28*10^-3</f>
        <v>12.75</v>
      </c>
      <c r="BA53" s="1">
        <f>(AV53+AW53)*$X$6*$X$4*パラメータ!$D$22*10^-3</f>
        <v>7.3996031249999987</v>
      </c>
      <c r="BB53" s="1">
        <f>($X$8*$X$9*パラメータ!$D$22+0.5*$X$8^2*SIN(RADIANS($X$10))*パラメータ!$D$25)*E53*10^-3</f>
        <v>3.3081478802897957</v>
      </c>
      <c r="BC53" s="1">
        <f t="shared" si="14"/>
        <v>19.064999999999998</v>
      </c>
      <c r="BD53" s="1">
        <f t="shared" si="15"/>
        <v>4</v>
      </c>
      <c r="BE53" s="1">
        <f>IF(G53="端リブ",AS53*$X$13*パラメータ!$D$22*2,0)</f>
        <v>0</v>
      </c>
      <c r="BF53" s="1">
        <f>主桁!AV8*1000</f>
        <v>178.43819301620101</v>
      </c>
      <c r="BG53" s="1">
        <f t="shared" ref="BG53:BG114" si="21">SUM(AX53:BE53)</f>
        <v>101.18629100528979</v>
      </c>
      <c r="BH53" s="1">
        <f t="shared" ref="BH53:BH114" si="22">(BF53+BG53)/1000</f>
        <v>0.27962448402149076</v>
      </c>
      <c r="BI53" s="2">
        <f>(AO53-機体重量!$E$15)^2+(AP53-機体重量!$F$15)^2</f>
        <v>5.4950777486569501E-4</v>
      </c>
      <c r="BJ53" s="2">
        <f>(AP53-機体重量!$F$15)^2</f>
        <v>3.8816156979940122E-4</v>
      </c>
      <c r="BK53" s="235">
        <f>(AO53-機体重量!$E$15)^2</f>
        <v>1.6134620506629379E-4</v>
      </c>
    </row>
    <row r="54" spans="2:63">
      <c r="B54" s="29">
        <v>3</v>
      </c>
      <c r="C54" s="1">
        <f>C53+E53</f>
        <v>1.2</v>
      </c>
      <c r="D54" s="1">
        <f t="shared" si="1"/>
        <v>930</v>
      </c>
      <c r="E54" s="22">
        <v>0.2</v>
      </c>
      <c r="F54" s="22" t="s">
        <v>943</v>
      </c>
      <c r="G54" s="75" t="str">
        <f t="shared" si="2"/>
        <v>0番</v>
      </c>
      <c r="H54" s="1">
        <f t="shared" si="3"/>
        <v>0.35</v>
      </c>
      <c r="I54" s="9">
        <f>主桁!AD9*2</f>
        <v>113.39</v>
      </c>
      <c r="J54" s="1">
        <f>主桁!AE9*2</f>
        <v>113.39</v>
      </c>
      <c r="K54" s="225"/>
      <c r="L54" s="230"/>
      <c r="M54" s="86"/>
      <c r="N54" s="86"/>
      <c r="O54" s="229"/>
      <c r="P54" s="86"/>
      <c r="Q54" s="86"/>
      <c r="R54" s="86"/>
      <c r="S54" s="86"/>
      <c r="T54" s="86"/>
      <c r="U54" s="86"/>
      <c r="V54" s="86"/>
      <c r="W54" s="86"/>
      <c r="X54" s="86"/>
      <c r="Y54" s="86"/>
      <c r="Z54" s="86"/>
      <c r="AA54" s="86"/>
      <c r="AB54" s="86"/>
      <c r="AC54" s="71" t="str">
        <f t="shared" si="4"/>
        <v>QX0023</v>
      </c>
      <c r="AD54" s="1">
        <f t="shared" si="18"/>
        <v>100</v>
      </c>
      <c r="AE54" s="1" t="str">
        <f t="shared" si="5"/>
        <v>QX0023</v>
      </c>
      <c r="AF54" s="1">
        <f t="shared" si="6"/>
        <v>0</v>
      </c>
      <c r="AG54" s="1">
        <f t="shared" si="7"/>
        <v>0.32550000000000001</v>
      </c>
      <c r="AH54" s="1">
        <f t="shared" si="8"/>
        <v>-0.60450000000000004</v>
      </c>
      <c r="AI54" s="1">
        <f t="shared" si="19"/>
        <v>0.4</v>
      </c>
      <c r="AJ54" s="1">
        <f t="shared" si="20"/>
        <v>0</v>
      </c>
      <c r="AK54" s="1">
        <f t="shared" si="9"/>
        <v>2</v>
      </c>
      <c r="AL54" s="7">
        <f t="shared" si="10"/>
        <v>0</v>
      </c>
      <c r="AM54" s="229"/>
      <c r="AN54" s="86"/>
      <c r="AO54" s="86"/>
      <c r="AP54" s="86"/>
      <c r="AQ54" s="86"/>
      <c r="AR54" s="86"/>
      <c r="AS54" s="86">
        <f t="shared" si="11"/>
        <v>8.2165500000000016E-2</v>
      </c>
      <c r="AT54" s="86">
        <f t="shared" si="12"/>
        <v>1.9064999999999999</v>
      </c>
      <c r="AU54" s="86">
        <f t="shared" si="13"/>
        <v>0.81026249999999989</v>
      </c>
      <c r="AV54" s="86">
        <f t="shared" si="16"/>
        <v>0.7149375</v>
      </c>
      <c r="AW54" s="225">
        <f t="shared" si="17"/>
        <v>0.38129999999999997</v>
      </c>
      <c r="AX54" s="71">
        <f>AS54*$X$4*パラメータ!$D$24</f>
        <v>27.114615000000004</v>
      </c>
      <c r="AY54" s="1">
        <f>AU54*$X$5*E54*パラメータ!$D$30</f>
        <v>27.548924999999997</v>
      </c>
      <c r="AZ54" s="1">
        <f>SUMPRODUCT($AC$4:$AC$10,$AD$4:$AD$10)*E54*パラメータ!$D$28*10^-3</f>
        <v>12.75</v>
      </c>
      <c r="BA54" s="1">
        <f>(AV54+AW54)*$X$6*$X$4*パラメータ!$D$22*10^-3</f>
        <v>7.3996031249999987</v>
      </c>
      <c r="BB54" s="1">
        <f>($X$8*$X$9*パラメータ!$D$22+0.5*$X$8^2*SIN(RADIANS($X$10))*パラメータ!$D$25)*E54*10^-3</f>
        <v>3.3081478802897957</v>
      </c>
      <c r="BC54" s="1">
        <f t="shared" si="14"/>
        <v>19.064999999999998</v>
      </c>
      <c r="BD54" s="1">
        <f t="shared" si="15"/>
        <v>4</v>
      </c>
      <c r="BE54" s="1">
        <f>IF(G54="端リブ",AS54*$X$13*パラメータ!$D$22*2,0)</f>
        <v>0</v>
      </c>
      <c r="BF54" s="1">
        <f>主桁!AV9*1000</f>
        <v>178.43819301620101</v>
      </c>
      <c r="BG54" s="1">
        <f t="shared" si="21"/>
        <v>101.18629100528979</v>
      </c>
      <c r="BH54" s="1">
        <f t="shared" si="22"/>
        <v>0.27962448402149076</v>
      </c>
      <c r="BI54" s="2">
        <f>(AO54-機体重量!$E$15)^2+(AP54-機体重量!$F$15)^2</f>
        <v>5.4950777486569501E-4</v>
      </c>
      <c r="BJ54" s="2">
        <f>(AP54-機体重量!$F$15)^2</f>
        <v>3.8816156979940122E-4</v>
      </c>
      <c r="BK54" s="235">
        <f>(AO54-機体重量!$E$15)^2</f>
        <v>1.6134620506629379E-4</v>
      </c>
    </row>
    <row r="55" spans="2:63">
      <c r="B55" s="29">
        <v>4</v>
      </c>
      <c r="C55" s="1">
        <f t="shared" ref="C55:C61" si="23">C54+E54</f>
        <v>1.4</v>
      </c>
      <c r="D55" s="1">
        <f t="shared" si="1"/>
        <v>930</v>
      </c>
      <c r="E55" s="22">
        <v>0.2</v>
      </c>
      <c r="F55" s="22" t="str">
        <f>IF(C55&lt;$M$7,"flat",IF(C55&lt;$M$8,"1st",IF(C55&lt;$M$9,"2nd",IF(C55&lt;$M$10,"3rd",IF(C55&lt;$M$11,"4th",IF(C55&lt;$M$12,"5th","6th"))))))</f>
        <v>flat</v>
      </c>
      <c r="G55" s="75" t="str">
        <f t="shared" si="2"/>
        <v>端リブ</v>
      </c>
      <c r="H55" s="1">
        <f t="shared" si="3"/>
        <v>0.35</v>
      </c>
      <c r="I55" s="9">
        <f>主桁!AD10*2</f>
        <v>121.91</v>
      </c>
      <c r="J55" s="1">
        <f>主桁!AE10*2</f>
        <v>122.31949999999999</v>
      </c>
      <c r="K55" s="225"/>
      <c r="L55" s="230"/>
      <c r="M55" s="86"/>
      <c r="N55" s="86"/>
      <c r="O55" s="229"/>
      <c r="P55" s="86"/>
      <c r="Q55" s="86"/>
      <c r="R55" s="86"/>
      <c r="S55" s="86"/>
      <c r="T55" s="86"/>
      <c r="U55" s="86"/>
      <c r="V55" s="86"/>
      <c r="W55" s="86"/>
      <c r="X55" s="86"/>
      <c r="Y55" s="86"/>
      <c r="Z55" s="86"/>
      <c r="AA55" s="86"/>
      <c r="AB55" s="86"/>
      <c r="AC55" s="71" t="str">
        <f t="shared" si="4"/>
        <v>QX0023</v>
      </c>
      <c r="AD55" s="1">
        <f t="shared" si="18"/>
        <v>100</v>
      </c>
      <c r="AE55" s="1" t="str">
        <f t="shared" si="5"/>
        <v>QX0023</v>
      </c>
      <c r="AF55" s="1">
        <f t="shared" si="6"/>
        <v>0</v>
      </c>
      <c r="AG55" s="1">
        <f t="shared" si="7"/>
        <v>0.32550000000000001</v>
      </c>
      <c r="AH55" s="1">
        <f t="shared" si="8"/>
        <v>-0.60450000000000004</v>
      </c>
      <c r="AI55" s="1">
        <f t="shared" si="19"/>
        <v>0.60000000000000009</v>
      </c>
      <c r="AJ55" s="1">
        <f t="shared" si="20"/>
        <v>0</v>
      </c>
      <c r="AK55" s="1">
        <f t="shared" si="9"/>
        <v>2</v>
      </c>
      <c r="AL55" s="7">
        <f t="shared" si="10"/>
        <v>0</v>
      </c>
      <c r="AM55" s="229"/>
      <c r="AN55" s="86"/>
      <c r="AO55" s="86"/>
      <c r="AP55" s="86"/>
      <c r="AQ55" s="86"/>
      <c r="AR55" s="86"/>
      <c r="AS55" s="86">
        <f t="shared" si="11"/>
        <v>8.2165500000000016E-2</v>
      </c>
      <c r="AT55" s="86">
        <f t="shared" si="12"/>
        <v>1.9064999999999999</v>
      </c>
      <c r="AU55" s="86">
        <f t="shared" si="13"/>
        <v>0.81026249999999989</v>
      </c>
      <c r="AV55" s="86">
        <f t="shared" si="16"/>
        <v>0.7149375</v>
      </c>
      <c r="AW55" s="225">
        <f t="shared" si="17"/>
        <v>0.38129999999999997</v>
      </c>
      <c r="AX55" s="71">
        <f>AS55*$X$4*パラメータ!$D$24</f>
        <v>27.114615000000004</v>
      </c>
      <c r="AY55" s="1">
        <f>AU55*$X$5*E55*パラメータ!$D$30</f>
        <v>27.548924999999997</v>
      </c>
      <c r="AZ55" s="1">
        <f>SUMPRODUCT($AC$4:$AC$10,$AD$4:$AD$10)*E55*パラメータ!$D$28*10^-3</f>
        <v>12.75</v>
      </c>
      <c r="BA55" s="1">
        <f>(AV55+AW55)*$X$6*$X$4*パラメータ!$D$22*10^-3</f>
        <v>7.3996031249999987</v>
      </c>
      <c r="BB55" s="1">
        <f>($X$8*$X$9*パラメータ!$D$22+0.5*$X$8^2*SIN(RADIANS($X$10))*パラメータ!$D$25)*E55*10^-3</f>
        <v>3.3081478802897957</v>
      </c>
      <c r="BC55" s="1">
        <f t="shared" si="14"/>
        <v>19.064999999999998</v>
      </c>
      <c r="BD55" s="1">
        <f t="shared" si="15"/>
        <v>4</v>
      </c>
      <c r="BE55" s="1">
        <f>IF(G55="端リブ",AS55*$X$13*パラメータ!$D$22*2,0)</f>
        <v>123.24825000000003</v>
      </c>
      <c r="BF55" s="1">
        <f>主桁!AV10*1000</f>
        <v>394.96068013732969</v>
      </c>
      <c r="BG55" s="1">
        <f t="shared" si="21"/>
        <v>224.43454100528982</v>
      </c>
      <c r="BH55" s="1">
        <f t="shared" si="22"/>
        <v>0.61939522114261947</v>
      </c>
      <c r="BI55" s="2">
        <f>(AO55-機体重量!$E$15)^2+(AP55-機体重量!$F$15)^2</f>
        <v>5.4950777486569501E-4</v>
      </c>
      <c r="BJ55" s="2">
        <f>(AP55-機体重量!$F$15)^2</f>
        <v>3.8816156979940122E-4</v>
      </c>
      <c r="BK55" s="235">
        <f>(AO55-機体重量!$E$15)^2</f>
        <v>1.6134620506629379E-4</v>
      </c>
    </row>
    <row r="56" spans="2:63">
      <c r="B56" s="29">
        <v>5</v>
      </c>
      <c r="C56" s="1">
        <f t="shared" si="23"/>
        <v>1.5999999999999999</v>
      </c>
      <c r="D56" s="1">
        <f t="shared" si="1"/>
        <v>930</v>
      </c>
      <c r="E56" s="22">
        <v>0.2</v>
      </c>
      <c r="F56" s="22" t="s">
        <v>943</v>
      </c>
      <c r="G56" s="75" t="str">
        <f t="shared" si="2"/>
        <v>1番</v>
      </c>
      <c r="H56" s="1">
        <f t="shared" si="3"/>
        <v>0.35</v>
      </c>
      <c r="I56" s="9">
        <f>主桁!AD11*2</f>
        <v>120.31</v>
      </c>
      <c r="J56" s="1">
        <f>主桁!AE11*2</f>
        <v>120.6859</v>
      </c>
      <c r="K56" s="225"/>
      <c r="L56" s="230"/>
      <c r="M56" s="86"/>
      <c r="N56" s="86"/>
      <c r="O56" s="229"/>
      <c r="P56" s="86"/>
      <c r="Q56" s="86"/>
      <c r="R56" s="86"/>
      <c r="S56" s="86"/>
      <c r="T56" s="86"/>
      <c r="U56" s="86"/>
      <c r="V56" s="86"/>
      <c r="W56" s="86"/>
      <c r="X56" s="86"/>
      <c r="Y56" s="86"/>
      <c r="Z56" s="86"/>
      <c r="AA56" s="86"/>
      <c r="AB56" s="86"/>
      <c r="AC56" s="71" t="str">
        <f t="shared" si="4"/>
        <v>QX0023</v>
      </c>
      <c r="AD56" s="1">
        <f t="shared" si="18"/>
        <v>100</v>
      </c>
      <c r="AE56" s="1" t="str">
        <f t="shared" si="5"/>
        <v>QX0023</v>
      </c>
      <c r="AF56" s="1">
        <f t="shared" si="6"/>
        <v>0</v>
      </c>
      <c r="AG56" s="1">
        <f t="shared" si="7"/>
        <v>0.32550000000000001</v>
      </c>
      <c r="AH56" s="1">
        <f t="shared" si="8"/>
        <v>-0.60450000000000004</v>
      </c>
      <c r="AI56" s="1">
        <f t="shared" si="19"/>
        <v>0.8</v>
      </c>
      <c r="AJ56" s="1">
        <f t="shared" si="20"/>
        <v>0</v>
      </c>
      <c r="AK56" s="1">
        <f t="shared" si="9"/>
        <v>2</v>
      </c>
      <c r="AL56" s="7">
        <f t="shared" si="10"/>
        <v>0</v>
      </c>
      <c r="AM56" s="229"/>
      <c r="AN56" s="86"/>
      <c r="AO56" s="86"/>
      <c r="AP56" s="86"/>
      <c r="AQ56" s="86"/>
      <c r="AR56" s="86"/>
      <c r="AS56" s="86">
        <f t="shared" si="11"/>
        <v>8.2165500000000016E-2</v>
      </c>
      <c r="AT56" s="86">
        <f t="shared" si="12"/>
        <v>1.9064999999999999</v>
      </c>
      <c r="AU56" s="86">
        <f t="shared" si="13"/>
        <v>0.81026249999999989</v>
      </c>
      <c r="AV56" s="86">
        <f t="shared" si="16"/>
        <v>0.7149375</v>
      </c>
      <c r="AW56" s="225">
        <f t="shared" si="17"/>
        <v>0.38129999999999997</v>
      </c>
      <c r="AX56" s="71">
        <f>AS56*$X$4*パラメータ!$D$24</f>
        <v>27.114615000000004</v>
      </c>
      <c r="AY56" s="1">
        <f>AU56*$X$5*E56*パラメータ!$D$30</f>
        <v>27.548924999999997</v>
      </c>
      <c r="AZ56" s="1">
        <f>SUMPRODUCT($AC$4:$AC$10,$AD$4:$AD$10)*E56*パラメータ!$D$28*10^-3</f>
        <v>12.75</v>
      </c>
      <c r="BA56" s="1">
        <f>(AV56+AW56)*$X$6*$X$4*パラメータ!$D$22*10^-3</f>
        <v>7.3996031249999987</v>
      </c>
      <c r="BB56" s="1">
        <f>($X$8*$X$9*パラメータ!$D$22+0.5*$X$8^2*SIN(RADIANS($X$10))*パラメータ!$D$25)*E56*10^-3</f>
        <v>3.3081478802897957</v>
      </c>
      <c r="BC56" s="1">
        <f t="shared" si="14"/>
        <v>19.064999999999998</v>
      </c>
      <c r="BD56" s="1">
        <f t="shared" si="15"/>
        <v>4</v>
      </c>
      <c r="BE56" s="1">
        <f>IF(G56="端リブ",AS56*$X$13*パラメータ!$D$22*2,0)</f>
        <v>0</v>
      </c>
      <c r="BF56" s="1">
        <f>主桁!AV11*1000</f>
        <v>615.80267039526655</v>
      </c>
      <c r="BG56" s="1">
        <f t="shared" si="21"/>
        <v>101.18629100528979</v>
      </c>
      <c r="BH56" s="1">
        <f t="shared" si="22"/>
        <v>0.71698896140055635</v>
      </c>
      <c r="BI56" s="2">
        <f>(AO56-機体重量!$E$15)^2+(AP56-機体重量!$F$15)^2</f>
        <v>5.4950777486569501E-4</v>
      </c>
      <c r="BJ56" s="2">
        <f>(AP56-機体重量!$F$15)^2</f>
        <v>3.8816156979940122E-4</v>
      </c>
      <c r="BK56" s="235">
        <f>(AO56-機体重量!$E$15)^2</f>
        <v>1.6134620506629379E-4</v>
      </c>
    </row>
    <row r="57" spans="2:63">
      <c r="B57" s="29">
        <v>6</v>
      </c>
      <c r="C57" s="1">
        <f t="shared" si="23"/>
        <v>1.7999999999999998</v>
      </c>
      <c r="D57" s="1">
        <f t="shared" si="1"/>
        <v>921.66666666666674</v>
      </c>
      <c r="E57" s="22">
        <v>0.2</v>
      </c>
      <c r="F57" s="22" t="str">
        <f t="shared" ref="F57:F70" si="24">IF(C57&lt;$M$7,"flat",IF(C57&lt;$M$8,"1st",IF(C57&lt;$M$9,"2nd",IF(C57&lt;$M$10,"3rd",IF(C57&lt;$M$11,"4th",IF(C57&lt;$M$12,"5th","6th"))))))</f>
        <v>1st</v>
      </c>
      <c r="G57" s="75" t="str">
        <f t="shared" si="2"/>
        <v>1番</v>
      </c>
      <c r="H57" s="1">
        <f t="shared" si="3"/>
        <v>0.35</v>
      </c>
      <c r="I57" s="9">
        <f>主桁!AD12*2</f>
        <v>118.71</v>
      </c>
      <c r="J57" s="1">
        <f>主桁!AE12*2</f>
        <v>119.05229999999999</v>
      </c>
      <c r="K57" s="225"/>
      <c r="L57" s="230"/>
      <c r="M57" s="86"/>
      <c r="N57" s="86"/>
      <c r="O57" s="229"/>
      <c r="P57" s="86"/>
      <c r="Q57" s="86"/>
      <c r="R57" s="86"/>
      <c r="S57" s="86"/>
      <c r="T57" s="86"/>
      <c r="U57" s="86"/>
      <c r="V57" s="86"/>
      <c r="W57" s="86"/>
      <c r="X57" s="86"/>
      <c r="Y57" s="86"/>
      <c r="Z57" s="86"/>
      <c r="AA57" s="86"/>
      <c r="AB57" s="86"/>
      <c r="AC57" s="71" t="str">
        <f t="shared" si="4"/>
        <v>QX0023</v>
      </c>
      <c r="AD57" s="1">
        <f t="shared" si="18"/>
        <v>100</v>
      </c>
      <c r="AE57" s="1" t="str">
        <f t="shared" si="5"/>
        <v>QX0023</v>
      </c>
      <c r="AF57" s="1">
        <f t="shared" si="6"/>
        <v>0</v>
      </c>
      <c r="AG57" s="1">
        <f t="shared" si="7"/>
        <v>0.32258333333333333</v>
      </c>
      <c r="AH57" s="1">
        <f t="shared" si="8"/>
        <v>-0.59908333333333341</v>
      </c>
      <c r="AI57" s="1">
        <f t="shared" si="19"/>
        <v>1</v>
      </c>
      <c r="AJ57" s="1">
        <f t="shared" si="20"/>
        <v>0</v>
      </c>
      <c r="AK57" s="1">
        <f t="shared" si="9"/>
        <v>2</v>
      </c>
      <c r="AL57" s="7">
        <f t="shared" si="10"/>
        <v>0</v>
      </c>
      <c r="AM57" s="229"/>
      <c r="AN57" s="86"/>
      <c r="AO57" s="86"/>
      <c r="AP57" s="86"/>
      <c r="AQ57" s="86"/>
      <c r="AR57" s="86"/>
      <c r="AS57" s="86">
        <f t="shared" si="11"/>
        <v>8.0699597222222239E-2</v>
      </c>
      <c r="AT57" s="86">
        <f t="shared" si="12"/>
        <v>1.8894166666666667</v>
      </c>
      <c r="AU57" s="86">
        <f t="shared" si="13"/>
        <v>0.81026249999999989</v>
      </c>
      <c r="AV57" s="86">
        <f t="shared" si="16"/>
        <v>0.70853125000000006</v>
      </c>
      <c r="AW57" s="225">
        <f t="shared" si="17"/>
        <v>0.37788333333333335</v>
      </c>
      <c r="AX57" s="71">
        <f>AS57*$X$4*パラメータ!$D$24</f>
        <v>26.630867083333339</v>
      </c>
      <c r="AY57" s="1">
        <f>AU57*$X$5*E57*パラメータ!$D$30</f>
        <v>27.548924999999997</v>
      </c>
      <c r="AZ57" s="1">
        <f>SUMPRODUCT($AC$4:$AC$10,$AD$4:$AD$10)*E57*パラメータ!$D$28*10^-3</f>
        <v>12.75</v>
      </c>
      <c r="BA57" s="1">
        <f>(AV57+AW57)*$X$6*$X$4*パラメータ!$D$22*10^-3</f>
        <v>7.3332984375000017</v>
      </c>
      <c r="BB57" s="1">
        <f>($X$8*$X$9*パラメータ!$D$22+0.5*$X$8^2*SIN(RADIANS($X$10))*パラメータ!$D$25)*E57*10^-3</f>
        <v>3.3081478802897957</v>
      </c>
      <c r="BC57" s="1">
        <f t="shared" si="14"/>
        <v>18.894166666666667</v>
      </c>
      <c r="BD57" s="1">
        <f t="shared" si="15"/>
        <v>4</v>
      </c>
      <c r="BE57" s="1">
        <f>IF(G57="端リブ",AS57*$X$13*パラメータ!$D$22*2,0)</f>
        <v>0</v>
      </c>
      <c r="BF57" s="1">
        <f>主桁!AV12*1000</f>
        <v>360.84941929292899</v>
      </c>
      <c r="BG57" s="1">
        <f t="shared" si="21"/>
        <v>100.4654050677898</v>
      </c>
      <c r="BH57" s="1">
        <f t="shared" si="22"/>
        <v>0.4613148243607188</v>
      </c>
      <c r="BI57" s="2">
        <f>(AO57-機体重量!$E$15)^2+(AP57-機体重量!$F$15)^2</f>
        <v>5.4950777486569501E-4</v>
      </c>
      <c r="BJ57" s="2">
        <f>(AP57-機体重量!$F$15)^2</f>
        <v>3.8816156979940122E-4</v>
      </c>
      <c r="BK57" s="235">
        <f>(AO57-機体重量!$E$15)^2</f>
        <v>1.6134620506629379E-4</v>
      </c>
    </row>
    <row r="58" spans="2:63">
      <c r="B58" s="29">
        <v>7</v>
      </c>
      <c r="C58" s="1">
        <f t="shared" si="23"/>
        <v>1.9999999999999998</v>
      </c>
      <c r="D58" s="1">
        <f t="shared" si="1"/>
        <v>913.33333333333337</v>
      </c>
      <c r="E58" s="22">
        <v>0.2</v>
      </c>
      <c r="F58" s="22" t="str">
        <f t="shared" si="24"/>
        <v>1st</v>
      </c>
      <c r="G58" s="75" t="str">
        <f t="shared" si="2"/>
        <v>1番</v>
      </c>
      <c r="H58" s="1">
        <f t="shared" si="3"/>
        <v>0.35</v>
      </c>
      <c r="I58" s="9">
        <f>主桁!AD13*2</f>
        <v>117.11</v>
      </c>
      <c r="J58" s="1">
        <f>主桁!AE13*2</f>
        <v>117.4187</v>
      </c>
      <c r="K58" s="225"/>
      <c r="L58" s="230"/>
      <c r="M58" s="86"/>
      <c r="N58" s="86"/>
      <c r="O58" s="229"/>
      <c r="P58" s="86"/>
      <c r="Q58" s="86"/>
      <c r="R58" s="86"/>
      <c r="S58" s="86"/>
      <c r="T58" s="86"/>
      <c r="U58" s="86"/>
      <c r="V58" s="86"/>
      <c r="W58" s="86"/>
      <c r="X58" s="86"/>
      <c r="Y58" s="86"/>
      <c r="Z58" s="86"/>
      <c r="AA58" s="86"/>
      <c r="AB58" s="86"/>
      <c r="AC58" s="71" t="str">
        <f t="shared" si="4"/>
        <v>QX0023</v>
      </c>
      <c r="AD58" s="1">
        <f t="shared" si="18"/>
        <v>100</v>
      </c>
      <c r="AE58" s="1" t="str">
        <f t="shared" si="5"/>
        <v>QX0023</v>
      </c>
      <c r="AF58" s="1">
        <f t="shared" si="6"/>
        <v>0</v>
      </c>
      <c r="AG58" s="1">
        <f t="shared" si="7"/>
        <v>0.31966666666666671</v>
      </c>
      <c r="AH58" s="1">
        <f t="shared" si="8"/>
        <v>-0.59366666666666656</v>
      </c>
      <c r="AI58" s="1">
        <f t="shared" si="19"/>
        <v>1.2</v>
      </c>
      <c r="AJ58" s="1">
        <f t="shared" si="20"/>
        <v>0</v>
      </c>
      <c r="AK58" s="1">
        <f t="shared" si="9"/>
        <v>2</v>
      </c>
      <c r="AL58" s="7">
        <f t="shared" si="10"/>
        <v>0</v>
      </c>
      <c r="AM58" s="229"/>
      <c r="AN58" s="86"/>
      <c r="AO58" s="86"/>
      <c r="AP58" s="86"/>
      <c r="AQ58" s="86"/>
      <c r="AR58" s="86"/>
      <c r="AS58" s="86">
        <f t="shared" si="11"/>
        <v>7.9246888888888894E-2</v>
      </c>
      <c r="AT58" s="86">
        <f t="shared" si="12"/>
        <v>1.8723333333333332</v>
      </c>
      <c r="AU58" s="86">
        <f t="shared" si="13"/>
        <v>0.81026249999999989</v>
      </c>
      <c r="AV58" s="86">
        <f t="shared" si="16"/>
        <v>0.70212499999999989</v>
      </c>
      <c r="AW58" s="225">
        <f t="shared" si="17"/>
        <v>0.37446666666666667</v>
      </c>
      <c r="AX58" s="71">
        <f>AS58*$X$4*パラメータ!$D$24</f>
        <v>26.151473333333332</v>
      </c>
      <c r="AY58" s="1">
        <f>AU58*$X$5*E58*パラメータ!$D$30</f>
        <v>27.548924999999997</v>
      </c>
      <c r="AZ58" s="1">
        <f>SUMPRODUCT($AC$4:$AC$10,$AD$4:$AD$10)*E58*パラメータ!$D$28*10^-3</f>
        <v>12.75</v>
      </c>
      <c r="BA58" s="1">
        <f>(AV58+AW58)*$X$6*$X$4*パラメータ!$D$22*10^-3</f>
        <v>7.266993750000001</v>
      </c>
      <c r="BB58" s="1">
        <f>($X$8*$X$9*パラメータ!$D$22+0.5*$X$8^2*SIN(RADIANS($X$10))*パラメータ!$D$25)*E58*10^-3</f>
        <v>3.3081478802897957</v>
      </c>
      <c r="BC58" s="1">
        <f t="shared" si="14"/>
        <v>18.723333333333333</v>
      </c>
      <c r="BD58" s="1">
        <f t="shared" si="15"/>
        <v>4</v>
      </c>
      <c r="BE58" s="1">
        <f>IF(G58="端リブ",AS58*$X$13*パラメータ!$D$22*2,0)</f>
        <v>0</v>
      </c>
      <c r="BF58" s="1">
        <f>主桁!AV13*1000</f>
        <v>185.10185575069647</v>
      </c>
      <c r="BG58" s="1">
        <f t="shared" si="21"/>
        <v>99.748873296956447</v>
      </c>
      <c r="BH58" s="1">
        <f t="shared" si="22"/>
        <v>0.28485072904765291</v>
      </c>
      <c r="BI58" s="2">
        <f>(AO58-機体重量!$E$15)^2+(AP58-機体重量!$F$15)^2</f>
        <v>5.4950777486569501E-4</v>
      </c>
      <c r="BJ58" s="2">
        <f>(AP58-機体重量!$F$15)^2</f>
        <v>3.8816156979940122E-4</v>
      </c>
      <c r="BK58" s="235">
        <f>(AO58-機体重量!$E$15)^2</f>
        <v>1.6134620506629379E-4</v>
      </c>
    </row>
    <row r="59" spans="2:63">
      <c r="B59" s="29">
        <v>8</v>
      </c>
      <c r="C59" s="1">
        <f t="shared" si="23"/>
        <v>2.1999999999999997</v>
      </c>
      <c r="D59" s="1">
        <f t="shared" si="1"/>
        <v>905</v>
      </c>
      <c r="E59" s="22">
        <v>0.2</v>
      </c>
      <c r="F59" s="22" t="str">
        <f t="shared" si="24"/>
        <v>1st</v>
      </c>
      <c r="G59" s="75" t="str">
        <f t="shared" si="2"/>
        <v>1番</v>
      </c>
      <c r="H59" s="1">
        <f t="shared" si="3"/>
        <v>0.35</v>
      </c>
      <c r="I59" s="9">
        <f>主桁!AD14*2</f>
        <v>115.50999999999999</v>
      </c>
      <c r="J59" s="1">
        <f>主桁!AE14*2</f>
        <v>115.78509999999999</v>
      </c>
      <c r="K59" s="225"/>
      <c r="L59" s="230"/>
      <c r="M59" s="86"/>
      <c r="N59" s="86"/>
      <c r="O59" s="229"/>
      <c r="P59" s="86"/>
      <c r="Q59" s="86"/>
      <c r="R59" s="86"/>
      <c r="S59" s="86"/>
      <c r="T59" s="86"/>
      <c r="U59" s="86"/>
      <c r="V59" s="86"/>
      <c r="W59" s="86"/>
      <c r="X59" s="86"/>
      <c r="Y59" s="86"/>
      <c r="Z59" s="86"/>
      <c r="AA59" s="86"/>
      <c r="AB59" s="86"/>
      <c r="AC59" s="71" t="str">
        <f t="shared" si="4"/>
        <v>QX0023</v>
      </c>
      <c r="AD59" s="1">
        <f t="shared" si="18"/>
        <v>100</v>
      </c>
      <c r="AE59" s="1" t="str">
        <f t="shared" si="5"/>
        <v>QX0023</v>
      </c>
      <c r="AF59" s="1">
        <f t="shared" si="6"/>
        <v>0</v>
      </c>
      <c r="AG59" s="1">
        <f t="shared" si="7"/>
        <v>0.31674999999999998</v>
      </c>
      <c r="AH59" s="1">
        <f t="shared" si="8"/>
        <v>-0.58825000000000005</v>
      </c>
      <c r="AI59" s="1">
        <f t="shared" si="19"/>
        <v>1.4</v>
      </c>
      <c r="AJ59" s="1">
        <f t="shared" si="20"/>
        <v>0</v>
      </c>
      <c r="AK59" s="1">
        <f t="shared" si="9"/>
        <v>2</v>
      </c>
      <c r="AL59" s="7">
        <f t="shared" si="10"/>
        <v>0</v>
      </c>
      <c r="AM59" s="229"/>
      <c r="AN59" s="86"/>
      <c r="AO59" s="86"/>
      <c r="AP59" s="86"/>
      <c r="AQ59" s="86"/>
      <c r="AR59" s="86"/>
      <c r="AS59" s="86">
        <f t="shared" si="11"/>
        <v>7.7807374999999998E-2</v>
      </c>
      <c r="AT59" s="86">
        <f t="shared" si="12"/>
        <v>1.8552499999999998</v>
      </c>
      <c r="AU59" s="86">
        <f t="shared" si="13"/>
        <v>0.81026249999999989</v>
      </c>
      <c r="AV59" s="86">
        <f t="shared" si="16"/>
        <v>0.69571874999999994</v>
      </c>
      <c r="AW59" s="225">
        <f t="shared" si="17"/>
        <v>0.37104999999999999</v>
      </c>
      <c r="AX59" s="71">
        <f>AS59*$X$4*パラメータ!$D$24</f>
        <v>25.676433750000001</v>
      </c>
      <c r="AY59" s="1">
        <f>AU59*$X$5*E59*パラメータ!$D$30</f>
        <v>27.548924999999997</v>
      </c>
      <c r="AZ59" s="1">
        <f>SUMPRODUCT($AC$4:$AC$10,$AD$4:$AD$10)*E59*パラメータ!$D$28*10^-3</f>
        <v>12.75</v>
      </c>
      <c r="BA59" s="1">
        <f>(AV59+AW59)*$X$6*$X$4*パラメータ!$D$22*10^-3</f>
        <v>7.2006890624999995</v>
      </c>
      <c r="BB59" s="1">
        <f>($X$8*$X$9*パラメータ!$D$22+0.5*$X$8^2*SIN(RADIANS($X$10))*パラメータ!$D$25)*E59*10^-3</f>
        <v>3.3081478802897957</v>
      </c>
      <c r="BC59" s="1">
        <f t="shared" si="14"/>
        <v>18.552499999999998</v>
      </c>
      <c r="BD59" s="1">
        <f t="shared" si="15"/>
        <v>4</v>
      </c>
      <c r="BE59" s="1">
        <f>IF(G59="端リブ",AS59*$X$13*パラメータ!$D$22*2,0)</f>
        <v>0</v>
      </c>
      <c r="BF59" s="1">
        <f>主桁!AV14*1000</f>
        <v>182.53390934045478</v>
      </c>
      <c r="BG59" s="1">
        <f t="shared" si="21"/>
        <v>99.036695692789792</v>
      </c>
      <c r="BH59" s="1">
        <f t="shared" si="22"/>
        <v>0.2815706050332446</v>
      </c>
      <c r="BI59" s="2">
        <f>(AO59-機体重量!$E$15)^2+(AP59-機体重量!$F$15)^2</f>
        <v>5.4950777486569501E-4</v>
      </c>
      <c r="BJ59" s="2">
        <f>(AP59-機体重量!$F$15)^2</f>
        <v>3.8816156979940122E-4</v>
      </c>
      <c r="BK59" s="235">
        <f>(AO59-機体重量!$E$15)^2</f>
        <v>1.6134620506629379E-4</v>
      </c>
    </row>
    <row r="60" spans="2:63">
      <c r="B60" s="29">
        <v>9</v>
      </c>
      <c r="C60" s="1">
        <f t="shared" si="23"/>
        <v>2.4</v>
      </c>
      <c r="D60" s="1">
        <f t="shared" si="1"/>
        <v>896.66666666666674</v>
      </c>
      <c r="E60" s="22">
        <v>0.2</v>
      </c>
      <c r="F60" s="22" t="str">
        <f t="shared" si="24"/>
        <v>1st</v>
      </c>
      <c r="G60" s="75" t="str">
        <f t="shared" si="2"/>
        <v>1番</v>
      </c>
      <c r="H60" s="1">
        <f t="shared" si="3"/>
        <v>0.35</v>
      </c>
      <c r="I60" s="9">
        <f>主桁!AD15*2</f>
        <v>113.91</v>
      </c>
      <c r="J60" s="1">
        <f>主桁!AE15*2</f>
        <v>114.1515</v>
      </c>
      <c r="K60" s="225"/>
      <c r="L60" s="230"/>
      <c r="M60" s="86"/>
      <c r="N60" s="86"/>
      <c r="O60" s="229"/>
      <c r="P60" s="86"/>
      <c r="Q60" s="86"/>
      <c r="R60" s="86"/>
      <c r="S60" s="86"/>
      <c r="T60" s="86"/>
      <c r="U60" s="86"/>
      <c r="V60" s="86"/>
      <c r="W60" s="86"/>
      <c r="X60" s="86"/>
      <c r="Y60" s="86"/>
      <c r="Z60" s="86"/>
      <c r="AA60" s="86"/>
      <c r="AB60" s="86"/>
      <c r="AC60" s="71" t="str">
        <f t="shared" si="4"/>
        <v>QX0023</v>
      </c>
      <c r="AD60" s="1">
        <f t="shared" si="18"/>
        <v>100</v>
      </c>
      <c r="AE60" s="1" t="str">
        <f t="shared" si="5"/>
        <v>QX0023</v>
      </c>
      <c r="AF60" s="1">
        <f t="shared" si="6"/>
        <v>0</v>
      </c>
      <c r="AG60" s="1">
        <f t="shared" si="7"/>
        <v>0.3138333333333333</v>
      </c>
      <c r="AH60" s="1">
        <f t="shared" si="8"/>
        <v>-0.58283333333333343</v>
      </c>
      <c r="AI60" s="1">
        <f t="shared" si="19"/>
        <v>1.5999999999999999</v>
      </c>
      <c r="AJ60" s="1">
        <f t="shared" si="20"/>
        <v>0</v>
      </c>
      <c r="AK60" s="1">
        <f t="shared" si="9"/>
        <v>2</v>
      </c>
      <c r="AL60" s="7">
        <f t="shared" si="10"/>
        <v>0</v>
      </c>
      <c r="AM60" s="229"/>
      <c r="AN60" s="86"/>
      <c r="AO60" s="86"/>
      <c r="AP60" s="86"/>
      <c r="AQ60" s="86"/>
      <c r="AR60" s="86"/>
      <c r="AS60" s="86">
        <f t="shared" si="11"/>
        <v>7.6381055555555563E-2</v>
      </c>
      <c r="AT60" s="86">
        <f t="shared" si="12"/>
        <v>1.8381666666666667</v>
      </c>
      <c r="AU60" s="86">
        <f t="shared" si="13"/>
        <v>0.81026249999999989</v>
      </c>
      <c r="AV60" s="86">
        <f t="shared" si="16"/>
        <v>0.68931249999999999</v>
      </c>
      <c r="AW60" s="225">
        <f t="shared" si="17"/>
        <v>0.36763333333333337</v>
      </c>
      <c r="AX60" s="71">
        <f>AS60*$X$4*パラメータ!$D$24</f>
        <v>25.205748333333336</v>
      </c>
      <c r="AY60" s="1">
        <f>AU60*$X$5*E60*パラメータ!$D$30</f>
        <v>27.548924999999997</v>
      </c>
      <c r="AZ60" s="1">
        <f>SUMPRODUCT($AC$4:$AC$10,$AD$4:$AD$10)*E60*パラメータ!$D$28*10^-3</f>
        <v>12.75</v>
      </c>
      <c r="BA60" s="1">
        <f>(AV60+AW60)*$X$6*$X$4*パラメータ!$D$22*10^-3</f>
        <v>7.1343843749999998</v>
      </c>
      <c r="BB60" s="1">
        <f>($X$8*$X$9*パラメータ!$D$22+0.5*$X$8^2*SIN(RADIANS($X$10))*パラメータ!$D$25)*E60*10^-3</f>
        <v>3.3081478802897957</v>
      </c>
      <c r="BC60" s="1">
        <f t="shared" si="14"/>
        <v>18.381666666666668</v>
      </c>
      <c r="BD60" s="1">
        <f t="shared" si="15"/>
        <v>4</v>
      </c>
      <c r="BE60" s="1">
        <f>IF(G60="端リブ",AS60*$X$13*パラメータ!$D$22*2,0)</f>
        <v>0</v>
      </c>
      <c r="BF60" s="1">
        <f>主桁!AV15*1000</f>
        <v>179.96596197750961</v>
      </c>
      <c r="BG60" s="1">
        <f t="shared" si="21"/>
        <v>98.328872255289781</v>
      </c>
      <c r="BH60" s="1">
        <f t="shared" si="22"/>
        <v>0.27829483423279944</v>
      </c>
      <c r="BI60" s="2">
        <f>(AO60-機体重量!$E$15)^2+(AP60-機体重量!$F$15)^2</f>
        <v>5.4950777486569501E-4</v>
      </c>
      <c r="BJ60" s="2">
        <f>(AP60-機体重量!$F$15)^2</f>
        <v>3.8816156979940122E-4</v>
      </c>
      <c r="BK60" s="235">
        <f>(AO60-機体重量!$E$15)^2</f>
        <v>1.6134620506629379E-4</v>
      </c>
    </row>
    <row r="61" spans="2:63">
      <c r="B61" s="29">
        <v>10</v>
      </c>
      <c r="C61" s="1">
        <f t="shared" si="23"/>
        <v>2.6</v>
      </c>
      <c r="D61" s="1">
        <f t="shared" si="1"/>
        <v>888.33333333333326</v>
      </c>
      <c r="E61" s="22">
        <v>0.2</v>
      </c>
      <c r="F61" s="22" t="str">
        <f t="shared" si="24"/>
        <v>1st</v>
      </c>
      <c r="G61" s="75" t="str">
        <f t="shared" si="2"/>
        <v>1番</v>
      </c>
      <c r="H61" s="1">
        <f t="shared" si="3"/>
        <v>0.35</v>
      </c>
      <c r="I61" s="9">
        <f>主桁!AD16*2</f>
        <v>112.31</v>
      </c>
      <c r="J61" s="1">
        <f>主桁!AE16*2</f>
        <v>112.5179</v>
      </c>
      <c r="K61" s="225"/>
      <c r="L61" s="230"/>
      <c r="M61" s="86"/>
      <c r="N61" s="86"/>
      <c r="O61" s="229"/>
      <c r="P61" s="86"/>
      <c r="Q61" s="86"/>
      <c r="R61" s="86"/>
      <c r="S61" s="86"/>
      <c r="T61" s="86"/>
      <c r="U61" s="86"/>
      <c r="V61" s="86"/>
      <c r="W61" s="86"/>
      <c r="X61" s="86"/>
      <c r="Y61" s="86"/>
      <c r="Z61" s="86"/>
      <c r="AA61" s="86"/>
      <c r="AB61" s="86"/>
      <c r="AC61" s="71" t="str">
        <f t="shared" si="4"/>
        <v>QX0023</v>
      </c>
      <c r="AD61" s="1">
        <f t="shared" si="18"/>
        <v>100</v>
      </c>
      <c r="AE61" s="1" t="str">
        <f t="shared" si="5"/>
        <v>QX0023</v>
      </c>
      <c r="AF61" s="1">
        <f t="shared" si="6"/>
        <v>0</v>
      </c>
      <c r="AG61" s="1">
        <f t="shared" si="7"/>
        <v>0.31091666666666662</v>
      </c>
      <c r="AH61" s="1">
        <f t="shared" si="8"/>
        <v>-0.57741666666666669</v>
      </c>
      <c r="AI61" s="1">
        <f t="shared" si="19"/>
        <v>1.7999999999999998</v>
      </c>
      <c r="AJ61" s="1">
        <f t="shared" si="20"/>
        <v>0</v>
      </c>
      <c r="AK61" s="1">
        <f t="shared" si="9"/>
        <v>2</v>
      </c>
      <c r="AL61" s="7">
        <f t="shared" si="10"/>
        <v>0</v>
      </c>
      <c r="AM61" s="229"/>
      <c r="AN61" s="86"/>
      <c r="AO61" s="86"/>
      <c r="AP61" s="86"/>
      <c r="AQ61" s="86"/>
      <c r="AR61" s="86"/>
      <c r="AS61" s="86">
        <f t="shared" si="11"/>
        <v>7.4967930555555548E-2</v>
      </c>
      <c r="AT61" s="86">
        <f t="shared" si="12"/>
        <v>1.8210833333333329</v>
      </c>
      <c r="AU61" s="86">
        <f t="shared" si="13"/>
        <v>0.81026249999999989</v>
      </c>
      <c r="AV61" s="86">
        <f t="shared" si="16"/>
        <v>0.68290624999999983</v>
      </c>
      <c r="AW61" s="225">
        <f t="shared" si="17"/>
        <v>0.36421666666666663</v>
      </c>
      <c r="AX61" s="71">
        <f>AS61*$X$4*パラメータ!$D$24</f>
        <v>24.739417083333333</v>
      </c>
      <c r="AY61" s="1">
        <f>AU61*$X$5*E61*パラメータ!$D$30</f>
        <v>27.548924999999997</v>
      </c>
      <c r="AZ61" s="1">
        <f>SUMPRODUCT($AC$4:$AC$10,$AD$4:$AD$10)*E61*パラメータ!$D$28*10^-3</f>
        <v>12.75</v>
      </c>
      <c r="BA61" s="1">
        <f>(AV61+AW61)*$X$6*$X$4*パラメータ!$D$22*10^-3</f>
        <v>7.0680796874999983</v>
      </c>
      <c r="BB61" s="1">
        <f>($X$8*$X$9*パラメータ!$D$22+0.5*$X$8^2*SIN(RADIANS($X$10))*パラメータ!$D$25)*E61*10^-3</f>
        <v>3.3081478802897957</v>
      </c>
      <c r="BC61" s="1">
        <f t="shared" si="14"/>
        <v>18.21083333333333</v>
      </c>
      <c r="BD61" s="1">
        <f t="shared" si="15"/>
        <v>4</v>
      </c>
      <c r="BE61" s="1">
        <f>IF(G61="端リブ",AS61*$X$13*パラメータ!$D$22*2,0)</f>
        <v>0</v>
      </c>
      <c r="BF61" s="1">
        <f>主桁!AV16*1000</f>
        <v>177.39801362094659</v>
      </c>
      <c r="BG61" s="1">
        <f t="shared" si="21"/>
        <v>97.625402984456457</v>
      </c>
      <c r="BH61" s="1">
        <f t="shared" si="22"/>
        <v>0.27502341660540303</v>
      </c>
      <c r="BI61" s="2">
        <f>(AO61-機体重量!$E$15)^2+(AP61-機体重量!$F$15)^2</f>
        <v>5.4950777486569501E-4</v>
      </c>
      <c r="BJ61" s="2">
        <f>(AP61-機体重量!$F$15)^2</f>
        <v>3.8816156979940122E-4</v>
      </c>
      <c r="BK61" s="235">
        <f>(AO61-機体重量!$E$15)^2</f>
        <v>1.6134620506629379E-4</v>
      </c>
    </row>
    <row r="62" spans="2:63">
      <c r="B62" s="29">
        <v>11</v>
      </c>
      <c r="C62" s="1">
        <f t="shared" ref="C62:C111" si="25">C61+E61</f>
        <v>2.8000000000000003</v>
      </c>
      <c r="D62" s="1">
        <f t="shared" si="1"/>
        <v>880</v>
      </c>
      <c r="E62" s="22">
        <v>0.2</v>
      </c>
      <c r="F62" s="22" t="str">
        <f t="shared" si="24"/>
        <v>1st</v>
      </c>
      <c r="G62" s="75" t="str">
        <f t="shared" si="2"/>
        <v>1番</v>
      </c>
      <c r="H62" s="1">
        <f t="shared" si="3"/>
        <v>0.35</v>
      </c>
      <c r="I62" s="9">
        <f>主桁!AD17*2</f>
        <v>110.71</v>
      </c>
      <c r="J62" s="1">
        <f>主桁!AE17*2</f>
        <v>110.8843</v>
      </c>
      <c r="K62" s="225"/>
      <c r="L62" s="230"/>
      <c r="M62" s="86"/>
      <c r="N62" s="86"/>
      <c r="O62" s="229"/>
      <c r="P62" s="86"/>
      <c r="Q62" s="86"/>
      <c r="R62" s="86"/>
      <c r="S62" s="86"/>
      <c r="T62" s="86"/>
      <c r="U62" s="86"/>
      <c r="V62" s="86"/>
      <c r="W62" s="86"/>
      <c r="X62" s="86"/>
      <c r="Y62" s="86"/>
      <c r="Z62" s="86"/>
      <c r="AA62" s="86"/>
      <c r="AB62" s="86"/>
      <c r="AC62" s="71" t="str">
        <f t="shared" si="4"/>
        <v>QX0023</v>
      </c>
      <c r="AD62" s="1">
        <f t="shared" si="18"/>
        <v>100</v>
      </c>
      <c r="AE62" s="1" t="str">
        <f t="shared" si="5"/>
        <v>QX0023</v>
      </c>
      <c r="AF62" s="1">
        <f t="shared" si="6"/>
        <v>0</v>
      </c>
      <c r="AG62" s="1">
        <f t="shared" si="7"/>
        <v>0.308</v>
      </c>
      <c r="AH62" s="1">
        <f t="shared" si="8"/>
        <v>-0.57200000000000006</v>
      </c>
      <c r="AI62" s="1">
        <f t="shared" si="19"/>
        <v>1.9999999999999998</v>
      </c>
      <c r="AJ62" s="1">
        <f t="shared" si="20"/>
        <v>0</v>
      </c>
      <c r="AK62" s="1">
        <f t="shared" si="9"/>
        <v>2</v>
      </c>
      <c r="AL62" s="7">
        <f t="shared" si="10"/>
        <v>0</v>
      </c>
      <c r="AM62" s="229"/>
      <c r="AN62" s="86"/>
      <c r="AO62" s="86"/>
      <c r="AP62" s="86"/>
      <c r="AQ62" s="86"/>
      <c r="AR62" s="86"/>
      <c r="AS62" s="86">
        <f t="shared" si="11"/>
        <v>7.3567999999999995E-2</v>
      </c>
      <c r="AT62" s="86">
        <f t="shared" si="12"/>
        <v>1.8039999999999998</v>
      </c>
      <c r="AU62" s="86">
        <f t="shared" si="13"/>
        <v>0.81026249999999989</v>
      </c>
      <c r="AV62" s="86">
        <f t="shared" si="16"/>
        <v>0.67649999999999988</v>
      </c>
      <c r="AW62" s="225">
        <f t="shared" si="17"/>
        <v>0.36080000000000001</v>
      </c>
      <c r="AX62" s="71">
        <f>AS62*$X$4*パラメータ!$D$24</f>
        <v>24.277439999999995</v>
      </c>
      <c r="AY62" s="1">
        <f>AU62*$X$5*E62*パラメータ!$D$30</f>
        <v>27.548924999999997</v>
      </c>
      <c r="AZ62" s="1">
        <f>SUMPRODUCT($AC$4:$AC$10,$AD$4:$AD$10)*E62*パラメータ!$D$28*10^-3</f>
        <v>12.75</v>
      </c>
      <c r="BA62" s="1">
        <f>(AV62+AW62)*$X$6*$X$4*パラメータ!$D$22*10^-3</f>
        <v>7.0017749999999994</v>
      </c>
      <c r="BB62" s="1">
        <f>($X$8*$X$9*パラメータ!$D$22+0.5*$X$8^2*SIN(RADIANS($X$10))*パラメータ!$D$25)*E62*10^-3</f>
        <v>3.3081478802897957</v>
      </c>
      <c r="BC62" s="1">
        <f t="shared" si="14"/>
        <v>18.04</v>
      </c>
      <c r="BD62" s="1">
        <f t="shared" si="15"/>
        <v>4</v>
      </c>
      <c r="BE62" s="1">
        <f>IF(G62="端リブ",AS62*$X$13*パラメータ!$D$22*2,0)</f>
        <v>0</v>
      </c>
      <c r="BF62" s="1">
        <f>主桁!AV17*1000</f>
        <v>174.83006422747499</v>
      </c>
      <c r="BG62" s="1">
        <f t="shared" si="21"/>
        <v>96.926287880289777</v>
      </c>
      <c r="BH62" s="1">
        <f t="shared" si="22"/>
        <v>0.27175635210776478</v>
      </c>
      <c r="BI62" s="2">
        <f>(AO62-機体重量!$E$15)^2+(AP62-機体重量!$F$15)^2</f>
        <v>5.4950777486569501E-4</v>
      </c>
      <c r="BJ62" s="2">
        <f>(AP62-機体重量!$F$15)^2</f>
        <v>3.8816156979940122E-4</v>
      </c>
      <c r="BK62" s="235">
        <f>(AO62-機体重量!$E$15)^2</f>
        <v>1.6134620506629379E-4</v>
      </c>
    </row>
    <row r="63" spans="2:63">
      <c r="B63" s="29">
        <v>12</v>
      </c>
      <c r="C63" s="1">
        <f t="shared" si="25"/>
        <v>3.0000000000000004</v>
      </c>
      <c r="D63" s="1">
        <f t="shared" si="1"/>
        <v>871.66666666666674</v>
      </c>
      <c r="E63" s="22">
        <v>0.2</v>
      </c>
      <c r="F63" s="22" t="str">
        <f t="shared" si="24"/>
        <v>1st</v>
      </c>
      <c r="G63" s="75" t="str">
        <f t="shared" si="2"/>
        <v>1番</v>
      </c>
      <c r="H63" s="1">
        <f t="shared" si="3"/>
        <v>0.35</v>
      </c>
      <c r="I63" s="9">
        <f>主桁!AD18*2</f>
        <v>109.10999999999999</v>
      </c>
      <c r="J63" s="1">
        <f>主桁!AE18*2</f>
        <v>109.25069999999998</v>
      </c>
      <c r="K63" s="225"/>
      <c r="L63" s="230"/>
      <c r="M63" s="86"/>
      <c r="N63" s="86"/>
      <c r="O63" s="229"/>
      <c r="P63" s="86"/>
      <c r="Q63" s="86"/>
      <c r="R63" s="86"/>
      <c r="S63" s="86"/>
      <c r="T63" s="86"/>
      <c r="U63" s="86"/>
      <c r="V63" s="86"/>
      <c r="W63" s="86"/>
      <c r="X63" s="86"/>
      <c r="Y63" s="86"/>
      <c r="Z63" s="86"/>
      <c r="AA63" s="86"/>
      <c r="AB63" s="86"/>
      <c r="AC63" s="71" t="str">
        <f t="shared" si="4"/>
        <v>QX0023</v>
      </c>
      <c r="AD63" s="1">
        <f t="shared" si="18"/>
        <v>100</v>
      </c>
      <c r="AE63" s="1" t="str">
        <f t="shared" si="5"/>
        <v>QX0023</v>
      </c>
      <c r="AF63" s="1">
        <f t="shared" si="6"/>
        <v>0</v>
      </c>
      <c r="AG63" s="1">
        <f t="shared" si="7"/>
        <v>0.30508333333333332</v>
      </c>
      <c r="AH63" s="1">
        <f t="shared" si="8"/>
        <v>-0.56658333333333344</v>
      </c>
      <c r="AI63" s="1">
        <f t="shared" si="19"/>
        <v>2.1999999999999997</v>
      </c>
      <c r="AJ63" s="1">
        <f t="shared" si="20"/>
        <v>0</v>
      </c>
      <c r="AK63" s="1">
        <f t="shared" si="9"/>
        <v>2</v>
      </c>
      <c r="AL63" s="7">
        <f t="shared" si="10"/>
        <v>0</v>
      </c>
      <c r="AM63" s="229"/>
      <c r="AN63" s="86"/>
      <c r="AO63" s="86"/>
      <c r="AP63" s="86"/>
      <c r="AQ63" s="86"/>
      <c r="AR63" s="86"/>
      <c r="AS63" s="86">
        <f t="shared" si="11"/>
        <v>7.2181263888888889E-2</v>
      </c>
      <c r="AT63" s="86">
        <f t="shared" si="12"/>
        <v>1.7869166666666667</v>
      </c>
      <c r="AU63" s="86">
        <f t="shared" si="13"/>
        <v>0.81026249999999989</v>
      </c>
      <c r="AV63" s="86">
        <f t="shared" si="16"/>
        <v>0.67009375000000004</v>
      </c>
      <c r="AW63" s="225">
        <f t="shared" si="17"/>
        <v>0.35738333333333339</v>
      </c>
      <c r="AX63" s="71">
        <f>AS63*$X$4*パラメータ!$D$24</f>
        <v>23.819817083333334</v>
      </c>
      <c r="AY63" s="1">
        <f>AU63*$X$5*E63*パラメータ!$D$30</f>
        <v>27.548924999999997</v>
      </c>
      <c r="AZ63" s="1">
        <f>SUMPRODUCT($AC$4:$AC$10,$AD$4:$AD$10)*E63*パラメータ!$D$28*10^-3</f>
        <v>12.75</v>
      </c>
      <c r="BA63" s="1">
        <f>(AV63+AW63)*$X$6*$X$4*パラメータ!$D$22*10^-3</f>
        <v>6.9354703124999997</v>
      </c>
      <c r="BB63" s="1">
        <f>($X$8*$X$9*パラメータ!$D$22+0.5*$X$8^2*SIN(RADIANS($X$10))*パラメータ!$D$25)*E63*10^-3</f>
        <v>3.3081478802897957</v>
      </c>
      <c r="BC63" s="1">
        <f t="shared" si="14"/>
        <v>17.869166666666668</v>
      </c>
      <c r="BD63" s="1">
        <f t="shared" si="15"/>
        <v>4</v>
      </c>
      <c r="BE63" s="1">
        <f>IF(G63="端リブ",AS63*$X$13*パラメータ!$D$22*2,0)</f>
        <v>0</v>
      </c>
      <c r="BF63" s="1">
        <f>主桁!AV18*1000</f>
        <v>172.26211375124851</v>
      </c>
      <c r="BG63" s="1">
        <f t="shared" si="21"/>
        <v>96.231526942789799</v>
      </c>
      <c r="BH63" s="1">
        <f t="shared" si="22"/>
        <v>0.26849364069403825</v>
      </c>
      <c r="BI63" s="2">
        <f>(AO63-機体重量!$E$15)^2+(AP63-機体重量!$F$15)^2</f>
        <v>5.4950777486569501E-4</v>
      </c>
      <c r="BJ63" s="2">
        <f>(AP63-機体重量!$F$15)^2</f>
        <v>3.8816156979940122E-4</v>
      </c>
      <c r="BK63" s="235">
        <f>(AO63-機体重量!$E$15)^2</f>
        <v>1.6134620506629379E-4</v>
      </c>
    </row>
    <row r="64" spans="2:63">
      <c r="B64" s="29">
        <v>13</v>
      </c>
      <c r="C64" s="1">
        <f t="shared" si="25"/>
        <v>3.2000000000000006</v>
      </c>
      <c r="D64" s="1">
        <f t="shared" si="1"/>
        <v>863.33333333333326</v>
      </c>
      <c r="E64" s="22">
        <v>0.2</v>
      </c>
      <c r="F64" s="22" t="str">
        <f t="shared" si="24"/>
        <v>1st</v>
      </c>
      <c r="G64" s="75" t="str">
        <f t="shared" si="2"/>
        <v>1番</v>
      </c>
      <c r="H64" s="1">
        <f t="shared" si="3"/>
        <v>0.35</v>
      </c>
      <c r="I64" s="9">
        <f>主桁!AD19*2</f>
        <v>107.50999999999999</v>
      </c>
      <c r="J64" s="1">
        <f>主桁!AE19*2</f>
        <v>107.61709999999999</v>
      </c>
      <c r="K64" s="225"/>
      <c r="L64" s="230"/>
      <c r="M64" s="86"/>
      <c r="N64" s="86"/>
      <c r="O64" s="229"/>
      <c r="P64" s="86"/>
      <c r="Q64" s="86"/>
      <c r="R64" s="86"/>
      <c r="S64" s="86"/>
      <c r="T64" s="86"/>
      <c r="U64" s="86"/>
      <c r="V64" s="86"/>
      <c r="W64" s="86"/>
      <c r="X64" s="86"/>
      <c r="Y64" s="86"/>
      <c r="Z64" s="86"/>
      <c r="AA64" s="86"/>
      <c r="AB64" s="86"/>
      <c r="AC64" s="71" t="str">
        <f t="shared" si="4"/>
        <v>QX0023</v>
      </c>
      <c r="AD64" s="1">
        <f t="shared" si="18"/>
        <v>100</v>
      </c>
      <c r="AE64" s="1" t="str">
        <f t="shared" si="5"/>
        <v>QX0023</v>
      </c>
      <c r="AF64" s="1">
        <f t="shared" si="6"/>
        <v>0</v>
      </c>
      <c r="AG64" s="1">
        <f t="shared" si="7"/>
        <v>0.30216666666666664</v>
      </c>
      <c r="AH64" s="1">
        <f t="shared" si="8"/>
        <v>-0.56116666666666659</v>
      </c>
      <c r="AI64" s="1">
        <f t="shared" si="19"/>
        <v>2.4</v>
      </c>
      <c r="AJ64" s="1">
        <f t="shared" si="20"/>
        <v>0</v>
      </c>
      <c r="AK64" s="1">
        <f t="shared" si="9"/>
        <v>2</v>
      </c>
      <c r="AL64" s="7">
        <f t="shared" si="10"/>
        <v>0</v>
      </c>
      <c r="AM64" s="229"/>
      <c r="AN64" s="86"/>
      <c r="AO64" s="86"/>
      <c r="AP64" s="86"/>
      <c r="AQ64" s="86"/>
      <c r="AR64" s="86"/>
      <c r="AS64" s="86">
        <f t="shared" si="11"/>
        <v>7.0807722222222216E-2</v>
      </c>
      <c r="AT64" s="86">
        <f t="shared" si="12"/>
        <v>1.7698333333333329</v>
      </c>
      <c r="AU64" s="86">
        <f t="shared" si="13"/>
        <v>0.81026249999999989</v>
      </c>
      <c r="AV64" s="86">
        <f t="shared" si="16"/>
        <v>0.66368749999999987</v>
      </c>
      <c r="AW64" s="225">
        <f t="shared" si="17"/>
        <v>0.3539666666666666</v>
      </c>
      <c r="AX64" s="71">
        <f>AS64*$X$4*パラメータ!$D$24</f>
        <v>23.366548333333331</v>
      </c>
      <c r="AY64" s="1">
        <f>AU64*$X$5*E64*パラメータ!$D$30</f>
        <v>27.548924999999997</v>
      </c>
      <c r="AZ64" s="1">
        <f>SUMPRODUCT($AC$4:$AC$10,$AD$4:$AD$10)*E64*パラメータ!$D$28*10^-3</f>
        <v>12.75</v>
      </c>
      <c r="BA64" s="1">
        <f>(AV64+AW64)*$X$6*$X$4*パラメータ!$D$22*10^-3</f>
        <v>6.8691656249999991</v>
      </c>
      <c r="BB64" s="1">
        <f>($X$8*$X$9*パラメータ!$D$22+0.5*$X$8^2*SIN(RADIANS($X$10))*パラメータ!$D$25)*E64*10^-3</f>
        <v>3.3081478802897957</v>
      </c>
      <c r="BC64" s="1">
        <f t="shared" si="14"/>
        <v>17.698333333333331</v>
      </c>
      <c r="BD64" s="1">
        <f t="shared" si="15"/>
        <v>4</v>
      </c>
      <c r="BE64" s="1">
        <f>IF(G64="端リブ",AS64*$X$13*パラメータ!$D$22*2,0)</f>
        <v>0</v>
      </c>
      <c r="BF64" s="1">
        <f>主桁!AV19*1000</f>
        <v>169.69416214367973</v>
      </c>
      <c r="BG64" s="1">
        <f t="shared" si="21"/>
        <v>95.541120171956436</v>
      </c>
      <c r="BH64" s="1">
        <f t="shared" si="22"/>
        <v>0.26523528231563614</v>
      </c>
      <c r="BI64" s="2">
        <f>(AO64-機体重量!$E$15)^2+(AP64-機体重量!$F$15)^2</f>
        <v>5.4950777486569501E-4</v>
      </c>
      <c r="BJ64" s="2">
        <f>(AP64-機体重量!$F$15)^2</f>
        <v>3.8816156979940122E-4</v>
      </c>
      <c r="BK64" s="235">
        <f>(AO64-機体重量!$E$15)^2</f>
        <v>1.6134620506629379E-4</v>
      </c>
    </row>
    <row r="65" spans="2:63">
      <c r="B65" s="29">
        <v>14</v>
      </c>
      <c r="C65" s="1">
        <f t="shared" si="25"/>
        <v>3.4000000000000008</v>
      </c>
      <c r="D65" s="1">
        <f t="shared" si="1"/>
        <v>855</v>
      </c>
      <c r="E65" s="22">
        <v>0.2</v>
      </c>
      <c r="F65" s="22" t="str">
        <f t="shared" si="24"/>
        <v>1st</v>
      </c>
      <c r="G65" s="75" t="str">
        <f t="shared" si="2"/>
        <v>1番</v>
      </c>
      <c r="H65" s="1">
        <f t="shared" si="3"/>
        <v>0.35</v>
      </c>
      <c r="I65" s="9">
        <f>主桁!AD20*2</f>
        <v>105.91</v>
      </c>
      <c r="J65" s="1">
        <f>主桁!AE20*2</f>
        <v>105.98349999999999</v>
      </c>
      <c r="K65" s="225"/>
      <c r="L65" s="230"/>
      <c r="M65" s="86"/>
      <c r="N65" s="86"/>
      <c r="O65" s="229"/>
      <c r="P65" s="86"/>
      <c r="Q65" s="86"/>
      <c r="R65" s="86"/>
      <c r="S65" s="86"/>
      <c r="T65" s="86"/>
      <c r="U65" s="86"/>
      <c r="V65" s="86"/>
      <c r="W65" s="86"/>
      <c r="X65" s="86"/>
      <c r="Y65" s="86"/>
      <c r="Z65" s="86"/>
      <c r="AA65" s="86"/>
      <c r="AB65" s="86"/>
      <c r="AC65" s="71" t="str">
        <f t="shared" si="4"/>
        <v>QX0023</v>
      </c>
      <c r="AD65" s="1">
        <f t="shared" si="18"/>
        <v>100</v>
      </c>
      <c r="AE65" s="1" t="str">
        <f t="shared" si="5"/>
        <v>QX0023</v>
      </c>
      <c r="AF65" s="1">
        <f t="shared" si="6"/>
        <v>0</v>
      </c>
      <c r="AG65" s="1">
        <f t="shared" si="7"/>
        <v>0.29925000000000002</v>
      </c>
      <c r="AH65" s="1">
        <f t="shared" si="8"/>
        <v>-0.55574999999999997</v>
      </c>
      <c r="AI65" s="1">
        <f t="shared" si="19"/>
        <v>2.6</v>
      </c>
      <c r="AJ65" s="1">
        <f t="shared" si="20"/>
        <v>0</v>
      </c>
      <c r="AK65" s="1">
        <f t="shared" si="9"/>
        <v>2</v>
      </c>
      <c r="AL65" s="7">
        <f t="shared" si="10"/>
        <v>0</v>
      </c>
      <c r="AM65" s="229"/>
      <c r="AN65" s="86"/>
      <c r="AO65" s="86"/>
      <c r="AP65" s="86"/>
      <c r="AQ65" s="86"/>
      <c r="AR65" s="86"/>
      <c r="AS65" s="86">
        <f t="shared" si="11"/>
        <v>6.9447374999999992E-2</v>
      </c>
      <c r="AT65" s="86">
        <f t="shared" si="12"/>
        <v>1.7527499999999998</v>
      </c>
      <c r="AU65" s="86">
        <f t="shared" si="13"/>
        <v>0.81026249999999989</v>
      </c>
      <c r="AV65" s="86">
        <f t="shared" si="16"/>
        <v>0.65728124999999993</v>
      </c>
      <c r="AW65" s="225">
        <f t="shared" si="17"/>
        <v>0.35054999999999997</v>
      </c>
      <c r="AX65" s="71">
        <f>AS65*$X$4*パラメータ!$D$24</f>
        <v>22.917633749999997</v>
      </c>
      <c r="AY65" s="1">
        <f>AU65*$X$5*E65*パラメータ!$D$30</f>
        <v>27.548924999999997</v>
      </c>
      <c r="AZ65" s="1">
        <f>SUMPRODUCT($AC$4:$AC$10,$AD$4:$AD$10)*E65*パラメータ!$D$28*10^-3</f>
        <v>12.75</v>
      </c>
      <c r="BA65" s="1">
        <f>(AV65+AW65)*$X$6*$X$4*パラメータ!$D$22*10^-3</f>
        <v>6.8028609375000011</v>
      </c>
      <c r="BB65" s="1">
        <f>($X$8*$X$9*パラメータ!$D$22+0.5*$X$8^2*SIN(RADIANS($X$10))*パラメータ!$D$25)*E65*10^-3</f>
        <v>3.3081478802897957</v>
      </c>
      <c r="BC65" s="1">
        <f t="shared" si="14"/>
        <v>17.527499999999996</v>
      </c>
      <c r="BD65" s="1">
        <f t="shared" si="15"/>
        <v>4</v>
      </c>
      <c r="BE65" s="1">
        <f>IF(G65="端リブ",AS65*$X$13*パラメータ!$D$22*2,0)</f>
        <v>0</v>
      </c>
      <c r="BF65" s="1">
        <f>主桁!AV20*1000</f>
        <v>167.12620935322951</v>
      </c>
      <c r="BG65" s="1">
        <f t="shared" si="21"/>
        <v>94.855067567789774</v>
      </c>
      <c r="BH65" s="1">
        <f t="shared" si="22"/>
        <v>0.2619812769210193</v>
      </c>
      <c r="BI65" s="2">
        <f>(AO65-機体重量!$E$15)^2+(AP65-機体重量!$F$15)^2</f>
        <v>5.4950777486569501E-4</v>
      </c>
      <c r="BJ65" s="2">
        <f>(AP65-機体重量!$F$15)^2</f>
        <v>3.8816156979940122E-4</v>
      </c>
      <c r="BK65" s="235">
        <f>(AO65-機体重量!$E$15)^2</f>
        <v>1.6134620506629379E-4</v>
      </c>
    </row>
    <row r="66" spans="2:63">
      <c r="B66" s="29">
        <v>15</v>
      </c>
      <c r="C66" s="1">
        <f t="shared" si="25"/>
        <v>3.600000000000001</v>
      </c>
      <c r="D66" s="1">
        <f t="shared" si="1"/>
        <v>846.66666666666663</v>
      </c>
      <c r="E66" s="22">
        <v>0.2</v>
      </c>
      <c r="F66" s="22" t="str">
        <f t="shared" si="24"/>
        <v>1st</v>
      </c>
      <c r="G66" s="75" t="str">
        <f t="shared" si="2"/>
        <v>1番</v>
      </c>
      <c r="H66" s="1">
        <f t="shared" si="3"/>
        <v>0.35</v>
      </c>
      <c r="I66" s="9">
        <f>主桁!AD21*2</f>
        <v>104.30999999999999</v>
      </c>
      <c r="J66" s="1">
        <f>主桁!AE21*2</f>
        <v>104.34989999999999</v>
      </c>
      <c r="K66" s="225"/>
      <c r="L66" s="230"/>
      <c r="M66" s="86"/>
      <c r="N66" s="86"/>
      <c r="O66" s="229"/>
      <c r="P66" s="86"/>
      <c r="Q66" s="86"/>
      <c r="R66" s="86"/>
      <c r="S66" s="86"/>
      <c r="T66" s="86"/>
      <c r="U66" s="86"/>
      <c r="V66" s="86"/>
      <c r="W66" s="86"/>
      <c r="X66" s="86"/>
      <c r="Y66" s="86"/>
      <c r="Z66" s="86"/>
      <c r="AA66" s="86"/>
      <c r="AB66" s="86"/>
      <c r="AC66" s="71" t="str">
        <f t="shared" si="4"/>
        <v>QX0023</v>
      </c>
      <c r="AD66" s="1">
        <f t="shared" si="18"/>
        <v>100</v>
      </c>
      <c r="AE66" s="1" t="str">
        <f t="shared" si="5"/>
        <v>QX0023</v>
      </c>
      <c r="AF66" s="1">
        <f t="shared" si="6"/>
        <v>0</v>
      </c>
      <c r="AG66" s="1">
        <f t="shared" si="7"/>
        <v>0.29633333333333334</v>
      </c>
      <c r="AH66" s="1">
        <f t="shared" si="8"/>
        <v>-0.55033333333333334</v>
      </c>
      <c r="AI66" s="1">
        <f t="shared" si="19"/>
        <v>2.8000000000000003</v>
      </c>
      <c r="AJ66" s="1">
        <f t="shared" si="20"/>
        <v>0</v>
      </c>
      <c r="AK66" s="1">
        <f t="shared" si="9"/>
        <v>2</v>
      </c>
      <c r="AL66" s="7">
        <f t="shared" si="10"/>
        <v>0</v>
      </c>
      <c r="AM66" s="229"/>
      <c r="AN66" s="86"/>
      <c r="AO66" s="86"/>
      <c r="AP66" s="86"/>
      <c r="AQ66" s="86"/>
      <c r="AR66" s="86"/>
      <c r="AS66" s="86">
        <f t="shared" si="11"/>
        <v>6.8100222222222229E-2</v>
      </c>
      <c r="AT66" s="86">
        <f t="shared" si="12"/>
        <v>1.7356666666666665</v>
      </c>
      <c r="AU66" s="86">
        <f t="shared" si="13"/>
        <v>0.81026249999999989</v>
      </c>
      <c r="AV66" s="86">
        <f t="shared" si="16"/>
        <v>0.65087499999999987</v>
      </c>
      <c r="AW66" s="225">
        <f t="shared" si="17"/>
        <v>0.34713333333333329</v>
      </c>
      <c r="AX66" s="71">
        <f>AS66*$X$4*パラメータ!$D$24</f>
        <v>22.473073333333335</v>
      </c>
      <c r="AY66" s="1">
        <f>AU66*$X$5*E66*パラメータ!$D$30</f>
        <v>27.548924999999997</v>
      </c>
      <c r="AZ66" s="1">
        <f>SUMPRODUCT($AC$4:$AC$10,$AD$4:$AD$10)*E66*パラメータ!$D$28*10^-3</f>
        <v>12.75</v>
      </c>
      <c r="BA66" s="1">
        <f>(AV66+AW66)*$X$6*$X$4*パラメータ!$D$22*10^-3</f>
        <v>6.7365562499999987</v>
      </c>
      <c r="BB66" s="1">
        <f>($X$8*$X$9*パラメータ!$D$22+0.5*$X$8^2*SIN(RADIANS($X$10))*パラメータ!$D$25)*E66*10^-3</f>
        <v>3.3081478802897957</v>
      </c>
      <c r="BC66" s="1">
        <f t="shared" si="14"/>
        <v>17.356666666666666</v>
      </c>
      <c r="BD66" s="1">
        <f t="shared" si="15"/>
        <v>4</v>
      </c>
      <c r="BE66" s="1">
        <f>IF(G66="端リブ",AS66*$X$13*パラメータ!$D$22*2,0)</f>
        <v>0</v>
      </c>
      <c r="BF66" s="1">
        <f>主桁!AV21*1000</f>
        <v>164.55825532518088</v>
      </c>
      <c r="BG66" s="1">
        <f t="shared" si="21"/>
        <v>94.173369130289785</v>
      </c>
      <c r="BH66" s="1">
        <f t="shared" si="22"/>
        <v>0.25873162445547065</v>
      </c>
      <c r="BI66" s="2">
        <f>(AO66-機体重量!$E$15)^2+(AP66-機体重量!$F$15)^2</f>
        <v>5.4950777486569501E-4</v>
      </c>
      <c r="BJ66" s="2">
        <f>(AP66-機体重量!$F$15)^2</f>
        <v>3.8816156979940122E-4</v>
      </c>
      <c r="BK66" s="235">
        <f>(AO66-機体重量!$E$15)^2</f>
        <v>1.6134620506629379E-4</v>
      </c>
    </row>
    <row r="67" spans="2:63">
      <c r="B67" s="29">
        <v>16</v>
      </c>
      <c r="C67" s="1">
        <f t="shared" si="25"/>
        <v>3.8000000000000012</v>
      </c>
      <c r="D67" s="1">
        <f t="shared" si="1"/>
        <v>838.33333333333326</v>
      </c>
      <c r="E67" s="22">
        <v>0.2</v>
      </c>
      <c r="F67" s="22" t="str">
        <f t="shared" si="24"/>
        <v>1st</v>
      </c>
      <c r="G67" s="75" t="str">
        <f t="shared" si="2"/>
        <v>1番</v>
      </c>
      <c r="H67" s="1">
        <f t="shared" si="3"/>
        <v>0.35</v>
      </c>
      <c r="I67" s="9">
        <f>主桁!AD22*2</f>
        <v>102.70999999999998</v>
      </c>
      <c r="J67" s="1">
        <f>主桁!AE22*2</f>
        <v>102.71629999999998</v>
      </c>
      <c r="K67" s="225"/>
      <c r="L67" s="230"/>
      <c r="M67" s="86"/>
      <c r="N67" s="86"/>
      <c r="O67" s="229"/>
      <c r="P67" s="86"/>
      <c r="Q67" s="86"/>
      <c r="R67" s="86"/>
      <c r="S67" s="86"/>
      <c r="T67" s="86"/>
      <c r="U67" s="86"/>
      <c r="V67" s="86"/>
      <c r="W67" s="86"/>
      <c r="X67" s="86"/>
      <c r="Y67" s="86"/>
      <c r="Z67" s="86"/>
      <c r="AA67" s="86"/>
      <c r="AB67" s="86"/>
      <c r="AC67" s="71" t="str">
        <f t="shared" si="4"/>
        <v>QX0023</v>
      </c>
      <c r="AD67" s="1">
        <f t="shared" si="18"/>
        <v>100</v>
      </c>
      <c r="AE67" s="1" t="str">
        <f t="shared" si="5"/>
        <v>QX0023</v>
      </c>
      <c r="AF67" s="1">
        <f t="shared" si="6"/>
        <v>0</v>
      </c>
      <c r="AG67" s="1">
        <f t="shared" si="7"/>
        <v>0.2934166666666666</v>
      </c>
      <c r="AH67" s="1">
        <f t="shared" si="8"/>
        <v>-0.54491666666666672</v>
      </c>
      <c r="AI67" s="1">
        <f t="shared" si="19"/>
        <v>3.0000000000000004</v>
      </c>
      <c r="AJ67" s="1">
        <f t="shared" si="20"/>
        <v>0</v>
      </c>
      <c r="AK67" s="1">
        <f t="shared" si="9"/>
        <v>2</v>
      </c>
      <c r="AL67" s="7">
        <f t="shared" si="10"/>
        <v>0</v>
      </c>
      <c r="AM67" s="229"/>
      <c r="AN67" s="86"/>
      <c r="AO67" s="86"/>
      <c r="AP67" s="86"/>
      <c r="AQ67" s="86"/>
      <c r="AR67" s="86"/>
      <c r="AS67" s="86">
        <f t="shared" si="11"/>
        <v>6.6766263888888885E-2</v>
      </c>
      <c r="AT67" s="86">
        <f t="shared" si="12"/>
        <v>1.7185833333333331</v>
      </c>
      <c r="AU67" s="86">
        <f t="shared" si="13"/>
        <v>0.81026249999999989</v>
      </c>
      <c r="AV67" s="86">
        <f t="shared" si="16"/>
        <v>0.64446874999999992</v>
      </c>
      <c r="AW67" s="225">
        <f t="shared" si="17"/>
        <v>0.34371666666666667</v>
      </c>
      <c r="AX67" s="71">
        <f>AS67*$X$4*パラメータ!$D$24</f>
        <v>22.032867083333333</v>
      </c>
      <c r="AY67" s="1">
        <f>AU67*$X$5*E67*パラメータ!$D$30</f>
        <v>27.548924999999997</v>
      </c>
      <c r="AZ67" s="1">
        <f>SUMPRODUCT($AC$4:$AC$10,$AD$4:$AD$10)*E67*パラメータ!$D$28*10^-3</f>
        <v>12.75</v>
      </c>
      <c r="BA67" s="1">
        <f>(AV67+AW67)*$X$6*$X$4*パラメータ!$D$22*10^-3</f>
        <v>6.6702515624999998</v>
      </c>
      <c r="BB67" s="1">
        <f>($X$8*$X$9*パラメータ!$D$22+0.5*$X$8^2*SIN(RADIANS($X$10))*パラメータ!$D$25)*E67*10^-3</f>
        <v>3.3081478802897957</v>
      </c>
      <c r="BC67" s="1">
        <f t="shared" si="14"/>
        <v>17.185833333333331</v>
      </c>
      <c r="BD67" s="1">
        <f t="shared" si="15"/>
        <v>4</v>
      </c>
      <c r="BE67" s="1">
        <f>IF(G67="端リブ",AS67*$X$13*パラメータ!$D$22*2,0)</f>
        <v>0</v>
      </c>
      <c r="BF67" s="1">
        <f>主桁!AV22*1000</f>
        <v>161.99030000138711</v>
      </c>
      <c r="BG67" s="1">
        <f t="shared" si="21"/>
        <v>93.496024859456455</v>
      </c>
      <c r="BH67" s="1">
        <f t="shared" si="22"/>
        <v>0.25548632486084361</v>
      </c>
      <c r="BI67" s="2">
        <f>(AO67-機体重量!$E$15)^2+(AP67-機体重量!$F$15)^2</f>
        <v>5.4950777486569501E-4</v>
      </c>
      <c r="BJ67" s="2">
        <f>(AP67-機体重量!$F$15)^2</f>
        <v>3.8816156979940122E-4</v>
      </c>
      <c r="BK67" s="235">
        <f>(AO67-機体重量!$E$15)^2</f>
        <v>1.6134620506629379E-4</v>
      </c>
    </row>
    <row r="68" spans="2:63">
      <c r="B68" s="29">
        <v>17</v>
      </c>
      <c r="C68" s="1">
        <f t="shared" si="25"/>
        <v>4.0000000000000009</v>
      </c>
      <c r="D68" s="1">
        <f t="shared" si="1"/>
        <v>830</v>
      </c>
      <c r="E68" s="22">
        <v>0.2</v>
      </c>
      <c r="F68" s="22" t="str">
        <f t="shared" si="24"/>
        <v>1st</v>
      </c>
      <c r="G68" s="75" t="str">
        <f t="shared" si="2"/>
        <v>1番</v>
      </c>
      <c r="H68" s="1">
        <f t="shared" si="3"/>
        <v>0.35</v>
      </c>
      <c r="I68" s="9">
        <f>主桁!AD23*2</f>
        <v>101.10999999999999</v>
      </c>
      <c r="J68" s="1">
        <f>主桁!AE23*2</f>
        <v>101.08269999999999</v>
      </c>
      <c r="K68" s="225"/>
      <c r="L68" s="230"/>
      <c r="M68" s="86"/>
      <c r="N68" s="86"/>
      <c r="O68" s="229"/>
      <c r="P68" s="86"/>
      <c r="Q68" s="86"/>
      <c r="R68" s="86"/>
      <c r="S68" s="86"/>
      <c r="T68" s="86"/>
      <c r="U68" s="86"/>
      <c r="V68" s="86"/>
      <c r="W68" s="86"/>
      <c r="X68" s="86"/>
      <c r="Y68" s="86"/>
      <c r="Z68" s="86"/>
      <c r="AA68" s="86"/>
      <c r="AB68" s="86"/>
      <c r="AC68" s="71" t="str">
        <f t="shared" si="4"/>
        <v>QX0023</v>
      </c>
      <c r="AD68" s="1">
        <f t="shared" si="18"/>
        <v>100</v>
      </c>
      <c r="AE68" s="1" t="str">
        <f t="shared" si="5"/>
        <v>QX0023</v>
      </c>
      <c r="AF68" s="1">
        <f t="shared" si="6"/>
        <v>0</v>
      </c>
      <c r="AG68" s="1">
        <f t="shared" si="7"/>
        <v>0.29049999999999998</v>
      </c>
      <c r="AH68" s="1">
        <f t="shared" si="8"/>
        <v>-0.53949999999999998</v>
      </c>
      <c r="AI68" s="1">
        <f t="shared" si="19"/>
        <v>3.2000000000000006</v>
      </c>
      <c r="AJ68" s="1">
        <f t="shared" si="20"/>
        <v>0</v>
      </c>
      <c r="AK68" s="1">
        <f t="shared" si="9"/>
        <v>2</v>
      </c>
      <c r="AL68" s="7">
        <f t="shared" si="10"/>
        <v>0</v>
      </c>
      <c r="AM68" s="229"/>
      <c r="AN68" s="86"/>
      <c r="AO68" s="86"/>
      <c r="AP68" s="86"/>
      <c r="AQ68" s="86"/>
      <c r="AR68" s="86"/>
      <c r="AS68" s="86">
        <f t="shared" si="11"/>
        <v>6.544549999999999E-2</v>
      </c>
      <c r="AT68" s="86">
        <f t="shared" si="12"/>
        <v>1.7014999999999998</v>
      </c>
      <c r="AU68" s="86">
        <f t="shared" si="13"/>
        <v>0.81026249999999989</v>
      </c>
      <c r="AV68" s="86">
        <f t="shared" si="16"/>
        <v>0.63806249999999998</v>
      </c>
      <c r="AW68" s="225">
        <f t="shared" si="17"/>
        <v>0.34029999999999999</v>
      </c>
      <c r="AX68" s="71">
        <f>AS68*$X$4*パラメータ!$D$24</f>
        <v>21.597014999999995</v>
      </c>
      <c r="AY68" s="1">
        <f>AU68*$X$5*E68*パラメータ!$D$30</f>
        <v>27.548924999999997</v>
      </c>
      <c r="AZ68" s="1">
        <f>SUMPRODUCT($AC$4:$AC$10,$AD$4:$AD$10)*E68*パラメータ!$D$28*10^-3</f>
        <v>12.75</v>
      </c>
      <c r="BA68" s="1">
        <f>(AV68+AW68)*$X$6*$X$4*パラメータ!$D$22*10^-3</f>
        <v>6.603946875000001</v>
      </c>
      <c r="BB68" s="1">
        <f>($X$8*$X$9*パラメータ!$D$22+0.5*$X$8^2*SIN(RADIANS($X$10))*パラメータ!$D$25)*E68*10^-3</f>
        <v>3.3081478802897957</v>
      </c>
      <c r="BC68" s="1">
        <f t="shared" si="14"/>
        <v>17.014999999999997</v>
      </c>
      <c r="BD68" s="1">
        <f t="shared" si="15"/>
        <v>4</v>
      </c>
      <c r="BE68" s="1">
        <f>IF(G68="端リブ",AS68*$X$13*パラメータ!$D$22*2,0)</f>
        <v>0</v>
      </c>
      <c r="BF68" s="1">
        <f>主桁!AV23*1000</f>
        <v>159.42234331999941</v>
      </c>
      <c r="BG68" s="1">
        <f t="shared" si="21"/>
        <v>92.823034755289797</v>
      </c>
      <c r="BH68" s="1">
        <f t="shared" si="22"/>
        <v>0.25224537807528918</v>
      </c>
      <c r="BI68" s="2">
        <f>(AO68-機体重量!$E$15)^2+(AP68-機体重量!$F$15)^2</f>
        <v>5.4950777486569501E-4</v>
      </c>
      <c r="BJ68" s="2">
        <f>(AP68-機体重量!$F$15)^2</f>
        <v>3.8816156979940122E-4</v>
      </c>
      <c r="BK68" s="235">
        <f>(AO68-機体重量!$E$15)^2</f>
        <v>1.6134620506629379E-4</v>
      </c>
    </row>
    <row r="69" spans="2:63">
      <c r="B69" s="29">
        <v>18</v>
      </c>
      <c r="C69" s="1">
        <f t="shared" si="25"/>
        <v>4.2000000000000011</v>
      </c>
      <c r="D69" s="1">
        <f t="shared" si="1"/>
        <v>821.66666666666663</v>
      </c>
      <c r="E69" s="22">
        <v>0.2</v>
      </c>
      <c r="F69" s="22" t="str">
        <f t="shared" si="24"/>
        <v>1st</v>
      </c>
      <c r="G69" s="75" t="str">
        <f t="shared" si="2"/>
        <v>1番</v>
      </c>
      <c r="H69" s="1">
        <f t="shared" si="3"/>
        <v>0.35</v>
      </c>
      <c r="I69" s="9">
        <f>主桁!AD24*2</f>
        <v>99.509999999999991</v>
      </c>
      <c r="J69" s="1">
        <f>主桁!AE24*2</f>
        <v>99.449099999999987</v>
      </c>
      <c r="K69" s="225"/>
      <c r="L69" s="230"/>
      <c r="M69" s="86"/>
      <c r="N69" s="86"/>
      <c r="O69" s="229"/>
      <c r="P69" s="86"/>
      <c r="Q69" s="86"/>
      <c r="R69" s="86"/>
      <c r="S69" s="86"/>
      <c r="T69" s="86"/>
      <c r="U69" s="86"/>
      <c r="V69" s="86"/>
      <c r="W69" s="86"/>
      <c r="X69" s="86"/>
      <c r="Y69" s="86"/>
      <c r="Z69" s="86"/>
      <c r="AA69" s="86"/>
      <c r="AB69" s="86"/>
      <c r="AC69" s="71" t="str">
        <f t="shared" si="4"/>
        <v>QX0023</v>
      </c>
      <c r="AD69" s="1">
        <f t="shared" si="18"/>
        <v>100</v>
      </c>
      <c r="AE69" s="1" t="str">
        <f t="shared" si="5"/>
        <v>QX0023</v>
      </c>
      <c r="AF69" s="1">
        <f t="shared" si="6"/>
        <v>0</v>
      </c>
      <c r="AG69" s="1">
        <f t="shared" si="7"/>
        <v>0.2875833333333333</v>
      </c>
      <c r="AH69" s="1">
        <f t="shared" si="8"/>
        <v>-0.53408333333333335</v>
      </c>
      <c r="AI69" s="1">
        <f t="shared" si="19"/>
        <v>3.4000000000000008</v>
      </c>
      <c r="AJ69" s="1">
        <f t="shared" si="20"/>
        <v>0</v>
      </c>
      <c r="AK69" s="1">
        <f t="shared" si="9"/>
        <v>2</v>
      </c>
      <c r="AL69" s="7">
        <f t="shared" si="10"/>
        <v>0</v>
      </c>
      <c r="AM69" s="229"/>
      <c r="AN69" s="86"/>
      <c r="AO69" s="86"/>
      <c r="AP69" s="86"/>
      <c r="AQ69" s="86"/>
      <c r="AR69" s="86"/>
      <c r="AS69" s="86">
        <f t="shared" si="11"/>
        <v>6.4137930555555556E-2</v>
      </c>
      <c r="AT69" s="86">
        <f t="shared" si="12"/>
        <v>1.6844166666666665</v>
      </c>
      <c r="AU69" s="86">
        <f t="shared" si="13"/>
        <v>0.81026249999999989</v>
      </c>
      <c r="AV69" s="86">
        <f t="shared" si="16"/>
        <v>0.63165624999999992</v>
      </c>
      <c r="AW69" s="225">
        <f t="shared" si="17"/>
        <v>0.33688333333333331</v>
      </c>
      <c r="AX69" s="71">
        <f>AS69*$X$4*パラメータ!$D$24</f>
        <v>21.165517083333334</v>
      </c>
      <c r="AY69" s="1">
        <f>AU69*$X$5*E69*パラメータ!$D$30</f>
        <v>27.548924999999997</v>
      </c>
      <c r="AZ69" s="1">
        <f>SUMPRODUCT($AC$4:$AC$10,$AD$4:$AD$10)*E69*パラメータ!$D$28*10^-3</f>
        <v>12.75</v>
      </c>
      <c r="BA69" s="1">
        <f>(AV69+AW69)*$X$6*$X$4*パラメータ!$D$22*10^-3</f>
        <v>6.5376421874999995</v>
      </c>
      <c r="BB69" s="1">
        <f>($X$8*$X$9*パラメータ!$D$22+0.5*$X$8^2*SIN(RADIANS($X$10))*パラメータ!$D$25)*E69*10^-3</f>
        <v>3.3081478802897957</v>
      </c>
      <c r="BC69" s="1">
        <f t="shared" si="14"/>
        <v>16.844166666666666</v>
      </c>
      <c r="BD69" s="1">
        <f t="shared" si="15"/>
        <v>4</v>
      </c>
      <c r="BE69" s="1">
        <f>IF(G69="端リブ",AS69*$X$13*パラメータ!$D$22*2,0)</f>
        <v>0</v>
      </c>
      <c r="BF69" s="1">
        <f>主桁!AV24*1000</f>
        <v>156.85438521517403</v>
      </c>
      <c r="BG69" s="1">
        <f t="shared" si="21"/>
        <v>92.154398817789797</v>
      </c>
      <c r="BH69" s="1">
        <f t="shared" si="22"/>
        <v>0.24900878403296384</v>
      </c>
      <c r="BI69" s="2">
        <f>(AO69-機体重量!$E$15)^2+(AP69-機体重量!$F$15)^2</f>
        <v>5.4950777486569501E-4</v>
      </c>
      <c r="BJ69" s="2">
        <f>(AP69-機体重量!$F$15)^2</f>
        <v>3.8816156979940122E-4</v>
      </c>
      <c r="BK69" s="235">
        <f>(AO69-機体重量!$E$15)^2</f>
        <v>1.6134620506629379E-4</v>
      </c>
    </row>
    <row r="70" spans="2:63">
      <c r="B70" s="29">
        <v>19</v>
      </c>
      <c r="C70" s="1">
        <f t="shared" si="25"/>
        <v>4.4000000000000012</v>
      </c>
      <c r="D70" s="1">
        <f t="shared" si="1"/>
        <v>813.33333333333326</v>
      </c>
      <c r="E70" s="22">
        <v>0.2</v>
      </c>
      <c r="F70" s="22" t="str">
        <f t="shared" si="24"/>
        <v>1st</v>
      </c>
      <c r="G70" s="75" t="str">
        <f t="shared" si="2"/>
        <v>1番</v>
      </c>
      <c r="H70" s="1">
        <f t="shared" si="3"/>
        <v>0.35</v>
      </c>
      <c r="I70" s="9">
        <f>主桁!AD25*2</f>
        <v>97.909999999999982</v>
      </c>
      <c r="J70" s="1">
        <f>主桁!AE25*2</f>
        <v>97.815499999999986</v>
      </c>
      <c r="K70" s="225"/>
      <c r="L70" s="230"/>
      <c r="M70" s="86"/>
      <c r="N70" s="86"/>
      <c r="O70" s="229"/>
      <c r="P70" s="86"/>
      <c r="Q70" s="86"/>
      <c r="R70" s="86"/>
      <c r="S70" s="86"/>
      <c r="T70" s="86"/>
      <c r="U70" s="86"/>
      <c r="V70" s="86"/>
      <c r="W70" s="86"/>
      <c r="X70" s="86"/>
      <c r="Y70" s="86"/>
      <c r="Z70" s="86"/>
      <c r="AA70" s="86"/>
      <c r="AB70" s="86"/>
      <c r="AC70" s="71" t="str">
        <f t="shared" si="4"/>
        <v>QX0023</v>
      </c>
      <c r="AD70" s="1">
        <f t="shared" si="18"/>
        <v>100</v>
      </c>
      <c r="AE70" s="1" t="str">
        <f t="shared" si="5"/>
        <v>QX0023</v>
      </c>
      <c r="AF70" s="1">
        <f t="shared" si="6"/>
        <v>0</v>
      </c>
      <c r="AG70" s="1">
        <f t="shared" si="7"/>
        <v>0.28466666666666662</v>
      </c>
      <c r="AH70" s="1">
        <f t="shared" si="8"/>
        <v>-0.52866666666666662</v>
      </c>
      <c r="AI70" s="1">
        <f t="shared" si="19"/>
        <v>3.600000000000001</v>
      </c>
      <c r="AJ70" s="1">
        <f t="shared" si="20"/>
        <v>0</v>
      </c>
      <c r="AK70" s="1">
        <f t="shared" si="9"/>
        <v>2</v>
      </c>
      <c r="AL70" s="7">
        <f t="shared" si="10"/>
        <v>0</v>
      </c>
      <c r="AM70" s="229"/>
      <c r="AN70" s="86"/>
      <c r="AO70" s="86"/>
      <c r="AP70" s="86"/>
      <c r="AQ70" s="86"/>
      <c r="AR70" s="86"/>
      <c r="AS70" s="86">
        <f t="shared" si="11"/>
        <v>6.2843555555555541E-2</v>
      </c>
      <c r="AT70" s="86">
        <f t="shared" si="12"/>
        <v>1.6673333333333331</v>
      </c>
      <c r="AU70" s="86">
        <f t="shared" si="13"/>
        <v>0.81026249999999989</v>
      </c>
      <c r="AV70" s="86">
        <f t="shared" si="16"/>
        <v>0.62524999999999986</v>
      </c>
      <c r="AW70" s="225">
        <f t="shared" si="17"/>
        <v>0.33346666666666663</v>
      </c>
      <c r="AX70" s="71">
        <f>AS70*$X$4*パラメータ!$D$24</f>
        <v>20.738373333333328</v>
      </c>
      <c r="AY70" s="1">
        <f>AU70*$X$5*E70*パラメータ!$D$30</f>
        <v>27.548924999999997</v>
      </c>
      <c r="AZ70" s="1">
        <f>SUMPRODUCT($AC$4:$AC$10,$AD$4:$AD$10)*E70*パラメータ!$D$28*10^-3</f>
        <v>12.75</v>
      </c>
      <c r="BA70" s="1">
        <f>(AV70+AW70)*$X$6*$X$4*パラメータ!$D$22*10^-3</f>
        <v>6.4713374999999997</v>
      </c>
      <c r="BB70" s="1">
        <f>($X$8*$X$9*パラメータ!$D$22+0.5*$X$8^2*SIN(RADIANS($X$10))*パラメータ!$D$25)*E70*10^-3</f>
        <v>3.3081478802897957</v>
      </c>
      <c r="BC70" s="1">
        <f t="shared" si="14"/>
        <v>16.673333333333332</v>
      </c>
      <c r="BD70" s="1">
        <f t="shared" si="15"/>
        <v>4</v>
      </c>
      <c r="BE70" s="1">
        <f>IF(G70="端リブ",AS70*$X$13*パラメータ!$D$22*2,0)</f>
        <v>0</v>
      </c>
      <c r="BF70" s="1">
        <f>主桁!AV25*1000</f>
        <v>154.28642561673337</v>
      </c>
      <c r="BG70" s="1">
        <f t="shared" si="21"/>
        <v>91.490117046956456</v>
      </c>
      <c r="BH70" s="1">
        <f t="shared" si="22"/>
        <v>0.24577654266368984</v>
      </c>
      <c r="BI70" s="2">
        <f>(AO70-機体重量!$E$15)^2+(AP70-機体重量!$F$15)^2</f>
        <v>5.4950777486569501E-4</v>
      </c>
      <c r="BJ70" s="2">
        <f>(AP70-機体重量!$F$15)^2</f>
        <v>3.8816156979940122E-4</v>
      </c>
      <c r="BK70" s="235">
        <f>(AO70-機体重量!$E$15)^2</f>
        <v>1.6134620506629379E-4</v>
      </c>
    </row>
    <row r="71" spans="2:63">
      <c r="B71" s="29">
        <v>20</v>
      </c>
      <c r="C71" s="1">
        <f t="shared" si="25"/>
        <v>4.6000000000000014</v>
      </c>
      <c r="D71" s="1">
        <f t="shared" si="1"/>
        <v>804.99999999999989</v>
      </c>
      <c r="E71" s="22">
        <v>0.15</v>
      </c>
      <c r="F71" s="22" t="s">
        <v>943</v>
      </c>
      <c r="G71" s="75" t="str">
        <f t="shared" si="2"/>
        <v>1番</v>
      </c>
      <c r="H71" s="1">
        <f t="shared" si="3"/>
        <v>0.35</v>
      </c>
      <c r="I71" s="9">
        <f>主桁!AD26*2</f>
        <v>96.309999999999988</v>
      </c>
      <c r="J71" s="1">
        <f>主桁!AE26*2</f>
        <v>96.181899999999985</v>
      </c>
      <c r="K71" s="225"/>
      <c r="L71" s="230"/>
      <c r="M71" s="86"/>
      <c r="N71" s="86"/>
      <c r="O71" s="229"/>
      <c r="P71" s="86"/>
      <c r="Q71" s="86"/>
      <c r="R71" s="86"/>
      <c r="S71" s="86"/>
      <c r="T71" s="86"/>
      <c r="U71" s="86"/>
      <c r="V71" s="86"/>
      <c r="W71" s="86"/>
      <c r="X71" s="86"/>
      <c r="Y71" s="86"/>
      <c r="Z71" s="86"/>
      <c r="AA71" s="86"/>
      <c r="AB71" s="86"/>
      <c r="AC71" s="71" t="str">
        <f t="shared" si="4"/>
        <v>QX0023</v>
      </c>
      <c r="AD71" s="1">
        <f t="shared" si="18"/>
        <v>100</v>
      </c>
      <c r="AE71" s="1" t="str">
        <f t="shared" si="5"/>
        <v>QX0023</v>
      </c>
      <c r="AF71" s="1">
        <f t="shared" si="6"/>
        <v>0</v>
      </c>
      <c r="AG71" s="1">
        <f t="shared" si="7"/>
        <v>0.28174999999999994</v>
      </c>
      <c r="AH71" s="1">
        <f t="shared" si="8"/>
        <v>-0.52324999999999999</v>
      </c>
      <c r="AI71" s="1">
        <f t="shared" si="19"/>
        <v>3.8000000000000012</v>
      </c>
      <c r="AJ71" s="1">
        <f t="shared" si="20"/>
        <v>0</v>
      </c>
      <c r="AK71" s="1">
        <f t="shared" si="9"/>
        <v>2</v>
      </c>
      <c r="AL71" s="7">
        <f t="shared" si="10"/>
        <v>0</v>
      </c>
      <c r="AM71" s="229"/>
      <c r="AN71" s="86"/>
      <c r="AO71" s="86"/>
      <c r="AP71" s="86"/>
      <c r="AQ71" s="86"/>
      <c r="AR71" s="86"/>
      <c r="AS71" s="86">
        <f t="shared" si="11"/>
        <v>6.1562374999999989E-2</v>
      </c>
      <c r="AT71" s="86">
        <f t="shared" si="12"/>
        <v>1.6502499999999996</v>
      </c>
      <c r="AU71" s="86">
        <f t="shared" si="13"/>
        <v>0.81026249999999989</v>
      </c>
      <c r="AV71" s="86">
        <f t="shared" si="16"/>
        <v>0.6188437499999998</v>
      </c>
      <c r="AW71" s="225">
        <f t="shared" si="17"/>
        <v>0.33004999999999995</v>
      </c>
      <c r="AX71" s="71">
        <f>AS71*$X$4*パラメータ!$D$24</f>
        <v>20.315583749999998</v>
      </c>
      <c r="AY71" s="1">
        <f>AU71*$X$5*E71*パラメータ!$D$30</f>
        <v>20.661693749999998</v>
      </c>
      <c r="AZ71" s="1">
        <f>SUMPRODUCT($AC$4:$AC$10,$AD$4:$AD$10)*E71*パラメータ!$D$28*10^-3</f>
        <v>9.5625</v>
      </c>
      <c r="BA71" s="1">
        <f>(AV71+AW71)*$X$6*$X$4*パラメータ!$D$22*10^-3</f>
        <v>6.4050328124999991</v>
      </c>
      <c r="BB71" s="1">
        <f>($X$8*$X$9*パラメータ!$D$22+0.5*$X$8^2*SIN(RADIANS($X$10))*パラメータ!$D$25)*E71*10^-3</f>
        <v>2.4811109102173465</v>
      </c>
      <c r="BC71" s="1">
        <f t="shared" si="14"/>
        <v>16.502499999999994</v>
      </c>
      <c r="BD71" s="1">
        <f t="shared" si="15"/>
        <v>4</v>
      </c>
      <c r="BE71" s="1">
        <f>IF(G71="端リブ",AS71*$X$13*パラメータ!$D$22*2,0)</f>
        <v>0</v>
      </c>
      <c r="BF71" s="1">
        <f>主桁!AV26*1000</f>
        <v>151.71846444981304</v>
      </c>
      <c r="BG71" s="1">
        <f t="shared" si="21"/>
        <v>79.928421222717333</v>
      </c>
      <c r="BH71" s="1">
        <f t="shared" si="22"/>
        <v>0.23164688567253036</v>
      </c>
      <c r="BI71" s="2">
        <f>(AO71-機体重量!$E$15)^2+(AP71-機体重量!$F$15)^2</f>
        <v>5.4950777486569501E-4</v>
      </c>
      <c r="BJ71" s="2">
        <f>(AP71-機体重量!$F$15)^2</f>
        <v>3.8816156979940122E-4</v>
      </c>
      <c r="BK71" s="235">
        <f>(AO71-機体重量!$E$15)^2</f>
        <v>1.6134620506629379E-4</v>
      </c>
    </row>
    <row r="72" spans="2:63">
      <c r="B72" s="29">
        <v>21</v>
      </c>
      <c r="C72" s="1">
        <f>C71+E71</f>
        <v>4.7500000000000018</v>
      </c>
      <c r="D72" s="1">
        <f t="shared" si="1"/>
        <v>798.75</v>
      </c>
      <c r="E72" s="22">
        <v>0.15</v>
      </c>
      <c r="F72" s="22" t="str">
        <f>IF(C72&lt;$M$7,"flat",IF(C72&lt;$M$8,"1st",IF(C72&lt;$M$9,"2nd",IF(C72&lt;$M$10,"3rd",IF(C72&lt;$M$11,"4th",IF(C72&lt;$M$12,"5th","6th"))))))</f>
        <v>1st</v>
      </c>
      <c r="G72" s="75" t="str">
        <f t="shared" si="2"/>
        <v>1番</v>
      </c>
      <c r="H72" s="1">
        <f t="shared" si="3"/>
        <v>0.35</v>
      </c>
      <c r="I72" s="9">
        <f>主桁!AD27*2</f>
        <v>95.109999999999985</v>
      </c>
      <c r="J72" s="1">
        <f>主桁!AE27*2</f>
        <v>94.956699999999984</v>
      </c>
      <c r="K72" s="225"/>
      <c r="L72" s="230"/>
      <c r="M72" s="86"/>
      <c r="N72" s="86"/>
      <c r="O72" s="229"/>
      <c r="P72" s="86"/>
      <c r="Q72" s="86"/>
      <c r="R72" s="86"/>
      <c r="S72" s="86"/>
      <c r="T72" s="86"/>
      <c r="U72" s="86"/>
      <c r="V72" s="86"/>
      <c r="W72" s="86"/>
      <c r="X72" s="86"/>
      <c r="Y72" s="86"/>
      <c r="Z72" s="86"/>
      <c r="AA72" s="86"/>
      <c r="AB72" s="86"/>
      <c r="AC72" s="71" t="str">
        <f t="shared" si="4"/>
        <v>QX0023</v>
      </c>
      <c r="AD72" s="1">
        <f t="shared" si="18"/>
        <v>100</v>
      </c>
      <c r="AE72" s="1" t="str">
        <f t="shared" si="5"/>
        <v>QX0023</v>
      </c>
      <c r="AF72" s="1">
        <f t="shared" si="6"/>
        <v>0</v>
      </c>
      <c r="AG72" s="1">
        <f t="shared" si="7"/>
        <v>0.27956249999999999</v>
      </c>
      <c r="AH72" s="1">
        <f t="shared" si="8"/>
        <v>-0.51918749999999991</v>
      </c>
      <c r="AI72" s="1">
        <f t="shared" si="19"/>
        <v>3.9500000000000011</v>
      </c>
      <c r="AJ72" s="1">
        <f t="shared" si="20"/>
        <v>0</v>
      </c>
      <c r="AK72" s="1">
        <f t="shared" si="9"/>
        <v>2</v>
      </c>
      <c r="AL72" s="7">
        <f t="shared" si="10"/>
        <v>0</v>
      </c>
      <c r="AM72" s="229"/>
      <c r="AN72" s="86"/>
      <c r="AO72" s="86"/>
      <c r="AP72" s="86"/>
      <c r="AQ72" s="86"/>
      <c r="AR72" s="86"/>
      <c r="AS72" s="86">
        <f t="shared" si="11"/>
        <v>6.0610148437499997E-2</v>
      </c>
      <c r="AT72" s="86">
        <f t="shared" si="12"/>
        <v>1.6374374999999999</v>
      </c>
      <c r="AU72" s="86">
        <f t="shared" si="13"/>
        <v>0.81026249999999989</v>
      </c>
      <c r="AV72" s="86">
        <f t="shared" si="16"/>
        <v>0.61403906249999995</v>
      </c>
      <c r="AW72" s="225">
        <f t="shared" si="17"/>
        <v>0.32748749999999999</v>
      </c>
      <c r="AX72" s="71">
        <f>AS72*$X$4*パラメータ!$D$24</f>
        <v>20.001348984374999</v>
      </c>
      <c r="AY72" s="1">
        <f>AU72*$X$5*E72*パラメータ!$D$30</f>
        <v>20.661693749999998</v>
      </c>
      <c r="AZ72" s="1">
        <f>SUMPRODUCT($AC$4:$AC$10,$AD$4:$AD$10)*E72*パラメータ!$D$28*10^-3</f>
        <v>9.5625</v>
      </c>
      <c r="BA72" s="1">
        <f>(AV72+AW72)*$X$6*$X$4*パラメータ!$D$22*10^-3</f>
        <v>6.3553042968749995</v>
      </c>
      <c r="BB72" s="1">
        <f>($X$8*$X$9*パラメータ!$D$22+0.5*$X$8^2*SIN(RADIANS($X$10))*パラメータ!$D$25)*E72*10^-3</f>
        <v>2.4811109102173465</v>
      </c>
      <c r="BC72" s="1">
        <f t="shared" si="14"/>
        <v>16.374375000000001</v>
      </c>
      <c r="BD72" s="1">
        <f t="shared" si="15"/>
        <v>4</v>
      </c>
      <c r="BE72" s="1">
        <f>IF(G72="端リブ",AS72*$X$13*パラメータ!$D$22*2,0)</f>
        <v>0</v>
      </c>
      <c r="BF72" s="1">
        <f>主桁!AV27*1000</f>
        <v>112.10422601140921</v>
      </c>
      <c r="BG72" s="1">
        <f t="shared" si="21"/>
        <v>79.436332941467342</v>
      </c>
      <c r="BH72" s="1">
        <f t="shared" si="22"/>
        <v>0.19154055895287656</v>
      </c>
      <c r="BI72" s="2">
        <f>(AO72-機体重量!$E$15)^2+(AP72-機体重量!$F$15)^2</f>
        <v>5.4950777486569501E-4</v>
      </c>
      <c r="BJ72" s="2">
        <f>(AP72-機体重量!$F$15)^2</f>
        <v>3.8816156979940122E-4</v>
      </c>
      <c r="BK72" s="235">
        <f>(AO72-機体重量!$E$15)^2</f>
        <v>1.6134620506629379E-4</v>
      </c>
    </row>
    <row r="73" spans="2:63">
      <c r="B73" s="29">
        <v>22</v>
      </c>
      <c r="C73" s="1">
        <f t="shared" si="25"/>
        <v>4.9000000000000021</v>
      </c>
      <c r="D73" s="1">
        <f t="shared" si="1"/>
        <v>792.5</v>
      </c>
      <c r="E73" s="22">
        <v>0.15</v>
      </c>
      <c r="F73" s="22" t="str">
        <f>IF(C73&lt;$M$7,"flat",IF(C73&lt;$M$8,"1st",IF(C73&lt;$M$9,"2nd",IF(C73&lt;$M$10,"3rd",IF(C73&lt;$M$11,"4th",IF(C73&lt;$M$12,"5th","6th"))))))</f>
        <v>1st</v>
      </c>
      <c r="G73" s="75" t="str">
        <f t="shared" si="2"/>
        <v>端リブ</v>
      </c>
      <c r="H73" s="1">
        <f t="shared" si="3"/>
        <v>0.35</v>
      </c>
      <c r="I73" s="9">
        <f>主桁!AD28*2</f>
        <v>100.02799999999999</v>
      </c>
      <c r="J73" s="1">
        <f>主桁!AE28*2</f>
        <v>100.29949999999998</v>
      </c>
      <c r="K73" s="225"/>
      <c r="L73" s="230"/>
      <c r="M73" s="86"/>
      <c r="N73" s="86"/>
      <c r="O73" s="229"/>
      <c r="P73" s="86"/>
      <c r="Q73" s="86"/>
      <c r="R73" s="86"/>
      <c r="S73" s="86"/>
      <c r="T73" s="86"/>
      <c r="U73" s="86"/>
      <c r="V73" s="86"/>
      <c r="W73" s="86"/>
      <c r="X73" s="86"/>
      <c r="Y73" s="86"/>
      <c r="Z73" s="86"/>
      <c r="AA73" s="86"/>
      <c r="AB73" s="86"/>
      <c r="AC73" s="71" t="str">
        <f t="shared" si="4"/>
        <v>QX0023</v>
      </c>
      <c r="AD73" s="1">
        <f t="shared" si="18"/>
        <v>100</v>
      </c>
      <c r="AE73" s="1" t="str">
        <f t="shared" si="5"/>
        <v>QX0023</v>
      </c>
      <c r="AF73" s="1">
        <f t="shared" si="6"/>
        <v>0</v>
      </c>
      <c r="AG73" s="1">
        <f t="shared" si="7"/>
        <v>0.27737499999999998</v>
      </c>
      <c r="AH73" s="1">
        <f t="shared" si="8"/>
        <v>-0.51512500000000006</v>
      </c>
      <c r="AI73" s="1">
        <f t="shared" si="19"/>
        <v>4.1000000000000014</v>
      </c>
      <c r="AJ73" s="1">
        <f t="shared" si="20"/>
        <v>0</v>
      </c>
      <c r="AK73" s="1">
        <f t="shared" si="9"/>
        <v>2</v>
      </c>
      <c r="AL73" s="7">
        <f t="shared" si="10"/>
        <v>0</v>
      </c>
      <c r="AM73" s="229"/>
      <c r="AN73" s="86"/>
      <c r="AO73" s="86"/>
      <c r="AP73" s="86"/>
      <c r="AQ73" s="86"/>
      <c r="AR73" s="86"/>
      <c r="AS73" s="86">
        <f t="shared" si="11"/>
        <v>5.9665343750000002E-2</v>
      </c>
      <c r="AT73" s="86">
        <f t="shared" si="12"/>
        <v>1.6246249999999998</v>
      </c>
      <c r="AU73" s="86">
        <f t="shared" si="13"/>
        <v>0.81026249999999989</v>
      </c>
      <c r="AV73" s="86">
        <f t="shared" si="16"/>
        <v>0.60923437499999988</v>
      </c>
      <c r="AW73" s="225">
        <f t="shared" si="17"/>
        <v>0.32492499999999996</v>
      </c>
      <c r="AX73" s="71">
        <f>AS73*$X$4*パラメータ!$D$24</f>
        <v>19.689563437499999</v>
      </c>
      <c r="AY73" s="1">
        <f>AU73*$X$5*E73*パラメータ!$D$30</f>
        <v>20.661693749999998</v>
      </c>
      <c r="AZ73" s="1">
        <f>SUMPRODUCT($AC$4:$AC$10,$AD$4:$AD$10)*E73*パラメータ!$D$28*10^-3</f>
        <v>9.5625</v>
      </c>
      <c r="BA73" s="1">
        <f>(AV73+AW73)*$X$6*$X$4*パラメータ!$D$22*10^-3</f>
        <v>6.30557578125</v>
      </c>
      <c r="BB73" s="1">
        <f>($X$8*$X$9*パラメータ!$D$22+0.5*$X$8^2*SIN(RADIANS($X$10))*パラメータ!$D$25)*E73*10^-3</f>
        <v>2.4811109102173465</v>
      </c>
      <c r="BC73" s="1">
        <f t="shared" si="14"/>
        <v>16.246249999999996</v>
      </c>
      <c r="BD73" s="1">
        <f t="shared" si="15"/>
        <v>4</v>
      </c>
      <c r="BE73" s="1">
        <f>IF(G73="端リブ",AS73*$X$13*パラメータ!$D$22*2,0)</f>
        <v>89.498015625000008</v>
      </c>
      <c r="BF73" s="1">
        <f>主桁!AV28*1000</f>
        <v>209.90796267063095</v>
      </c>
      <c r="BG73" s="1">
        <f t="shared" si="21"/>
        <v>168.44470950396735</v>
      </c>
      <c r="BH73" s="1">
        <f t="shared" si="22"/>
        <v>0.37835267217459828</v>
      </c>
      <c r="BI73" s="2">
        <f>(AO73-機体重量!$E$15)^2+(AP73-機体重量!$F$15)^2</f>
        <v>5.4950777486569501E-4</v>
      </c>
      <c r="BJ73" s="2">
        <f>(AP73-機体重量!$F$15)^2</f>
        <v>3.8816156979940122E-4</v>
      </c>
      <c r="BK73" s="235">
        <f>(AO73-機体重量!$E$15)^2</f>
        <v>1.6134620506629379E-4</v>
      </c>
    </row>
    <row r="74" spans="2:63">
      <c r="B74" s="29">
        <v>23</v>
      </c>
      <c r="C74" s="1">
        <f t="shared" si="25"/>
        <v>5.0500000000000025</v>
      </c>
      <c r="D74" s="1">
        <f t="shared" si="1"/>
        <v>786.24999999999989</v>
      </c>
      <c r="E74" s="22">
        <v>0.15</v>
      </c>
      <c r="F74" s="22" t="str">
        <f>IF(C74&lt;$M$7,"flat",IF(C74&lt;$M$8,"1st",IF(C74&lt;$M$9,"2nd",IF(C74&lt;$M$10,"3rd",IF(C74&lt;$M$11,"4th",IF(C74&lt;$M$12,"5th","6th"))))))</f>
        <v>1st</v>
      </c>
      <c r="G74" s="75" t="str">
        <f t="shared" si="2"/>
        <v>2番</v>
      </c>
      <c r="H74" s="1">
        <f t="shared" si="3"/>
        <v>0.35</v>
      </c>
      <c r="I74" s="9">
        <f>主桁!AD29*2</f>
        <v>98.827999999999989</v>
      </c>
      <c r="J74" s="1">
        <f>主桁!AE29*2</f>
        <v>99.081499999999977</v>
      </c>
      <c r="K74" s="225"/>
      <c r="L74" s="230"/>
      <c r="M74" s="86"/>
      <c r="N74" s="86"/>
      <c r="O74" s="229"/>
      <c r="P74" s="86"/>
      <c r="Q74" s="86"/>
      <c r="R74" s="86"/>
      <c r="S74" s="86"/>
      <c r="T74" s="86"/>
      <c r="U74" s="86"/>
      <c r="V74" s="86"/>
      <c r="W74" s="86"/>
      <c r="X74" s="86"/>
      <c r="Y74" s="86"/>
      <c r="Z74" s="86"/>
      <c r="AA74" s="86"/>
      <c r="AB74" s="86"/>
      <c r="AC74" s="71" t="str">
        <f t="shared" si="4"/>
        <v>QX0023</v>
      </c>
      <c r="AD74" s="1">
        <f t="shared" si="18"/>
        <v>100</v>
      </c>
      <c r="AE74" s="1" t="str">
        <f t="shared" si="5"/>
        <v>QX0023</v>
      </c>
      <c r="AF74" s="1">
        <f t="shared" si="6"/>
        <v>0</v>
      </c>
      <c r="AG74" s="1">
        <f t="shared" si="7"/>
        <v>0.27518749999999992</v>
      </c>
      <c r="AH74" s="1">
        <f t="shared" si="8"/>
        <v>-0.51106249999999998</v>
      </c>
      <c r="AI74" s="1">
        <f t="shared" si="19"/>
        <v>4.2500000000000018</v>
      </c>
      <c r="AJ74" s="1">
        <f t="shared" si="20"/>
        <v>0</v>
      </c>
      <c r="AK74" s="1">
        <f t="shared" si="9"/>
        <v>2</v>
      </c>
      <c r="AL74" s="7">
        <f t="shared" si="10"/>
        <v>0</v>
      </c>
      <c r="AM74" s="229"/>
      <c r="AN74" s="86"/>
      <c r="AO74" s="86"/>
      <c r="AP74" s="86"/>
      <c r="AQ74" s="86"/>
      <c r="AR74" s="86"/>
      <c r="AS74" s="86">
        <f t="shared" si="11"/>
        <v>5.8727960937499983E-2</v>
      </c>
      <c r="AT74" s="86">
        <f t="shared" si="12"/>
        <v>1.6118124999999996</v>
      </c>
      <c r="AU74" s="86">
        <f t="shared" si="13"/>
        <v>0.81026249999999989</v>
      </c>
      <c r="AV74" s="86">
        <f t="shared" si="16"/>
        <v>0.60442968749999992</v>
      </c>
      <c r="AW74" s="225">
        <f t="shared" si="17"/>
        <v>0.32236249999999994</v>
      </c>
      <c r="AX74" s="71">
        <f>AS74*$X$4*パラメータ!$D$24</f>
        <v>19.380227109374992</v>
      </c>
      <c r="AY74" s="1">
        <f>AU74*$X$5*E74*パラメータ!$D$30</f>
        <v>20.661693749999998</v>
      </c>
      <c r="AZ74" s="1">
        <f>SUMPRODUCT($AC$4:$AC$10,$AD$4:$AD$10)*E74*パラメータ!$D$28*10^-3</f>
        <v>9.5625</v>
      </c>
      <c r="BA74" s="1">
        <f>(AV74+AW74)*$X$6*$X$4*パラメータ!$D$22*10^-3</f>
        <v>6.2558472656249986</v>
      </c>
      <c r="BB74" s="1">
        <f>($X$8*$X$9*パラメータ!$D$22+0.5*$X$8^2*SIN(RADIANS($X$10))*パラメータ!$D$25)*E74*10^-3</f>
        <v>2.4811109102173465</v>
      </c>
      <c r="BC74" s="1">
        <f t="shared" si="14"/>
        <v>16.118124999999996</v>
      </c>
      <c r="BD74" s="1">
        <f t="shared" si="15"/>
        <v>4</v>
      </c>
      <c r="BE74" s="1">
        <f>IF(G74="端リブ",AS74*$X$13*パラメータ!$D$22*2,0)</f>
        <v>0</v>
      </c>
      <c r="BF74" s="1">
        <f>主桁!AV29*1000</f>
        <v>325.36232801880436</v>
      </c>
      <c r="BG74" s="1">
        <f t="shared" si="21"/>
        <v>78.459504035217336</v>
      </c>
      <c r="BH74" s="1">
        <f t="shared" si="22"/>
        <v>0.40382183205402167</v>
      </c>
      <c r="BI74" s="2">
        <f>(AO74-機体重量!$E$15)^2+(AP74-機体重量!$F$15)^2</f>
        <v>5.4950777486569501E-4</v>
      </c>
      <c r="BJ74" s="2">
        <f>(AP74-機体重量!$F$15)^2</f>
        <v>3.8816156979940122E-4</v>
      </c>
      <c r="BK74" s="235">
        <f>(AO74-機体重量!$E$15)^2</f>
        <v>1.6134620506629379E-4</v>
      </c>
    </row>
    <row r="75" spans="2:63">
      <c r="B75" s="29">
        <v>24</v>
      </c>
      <c r="C75" s="1">
        <f t="shared" si="25"/>
        <v>5.2000000000000028</v>
      </c>
      <c r="D75" s="1">
        <f t="shared" si="1"/>
        <v>779.99999999999989</v>
      </c>
      <c r="E75" s="22">
        <v>0.2</v>
      </c>
      <c r="F75" s="22" t="s">
        <v>943</v>
      </c>
      <c r="G75" s="75" t="str">
        <f t="shared" si="2"/>
        <v>2番</v>
      </c>
      <c r="H75" s="1">
        <f t="shared" si="3"/>
        <v>0.35</v>
      </c>
      <c r="I75" s="9">
        <f>主桁!AD30*2</f>
        <v>97.627999999999986</v>
      </c>
      <c r="J75" s="1">
        <f>主桁!AE30*2</f>
        <v>97.863499999999974</v>
      </c>
      <c r="K75" s="225"/>
      <c r="L75" s="230"/>
      <c r="M75" s="86"/>
      <c r="N75" s="86"/>
      <c r="O75" s="229"/>
      <c r="P75" s="86"/>
      <c r="Q75" s="86"/>
      <c r="R75" s="86"/>
      <c r="S75" s="86"/>
      <c r="T75" s="86"/>
      <c r="U75" s="86"/>
      <c r="V75" s="86"/>
      <c r="W75" s="86"/>
      <c r="X75" s="86"/>
      <c r="Y75" s="86"/>
      <c r="Z75" s="86"/>
      <c r="AA75" s="86"/>
      <c r="AB75" s="86"/>
      <c r="AC75" s="71" t="str">
        <f t="shared" si="4"/>
        <v>QX0023</v>
      </c>
      <c r="AD75" s="1">
        <f t="shared" si="18"/>
        <v>100</v>
      </c>
      <c r="AE75" s="1" t="str">
        <f t="shared" si="5"/>
        <v>QX0023</v>
      </c>
      <c r="AF75" s="1">
        <f t="shared" si="6"/>
        <v>0</v>
      </c>
      <c r="AG75" s="1">
        <f t="shared" si="7"/>
        <v>0.27299999999999996</v>
      </c>
      <c r="AH75" s="1">
        <f t="shared" si="8"/>
        <v>-0.5069999999999999</v>
      </c>
      <c r="AI75" s="1">
        <f t="shared" si="19"/>
        <v>4.4000000000000021</v>
      </c>
      <c r="AJ75" s="1">
        <f t="shared" si="20"/>
        <v>0</v>
      </c>
      <c r="AK75" s="1">
        <f t="shared" si="9"/>
        <v>2</v>
      </c>
      <c r="AL75" s="7">
        <f t="shared" si="10"/>
        <v>0</v>
      </c>
      <c r="AM75" s="229"/>
      <c r="AN75" s="86"/>
      <c r="AO75" s="86"/>
      <c r="AP75" s="86"/>
      <c r="AQ75" s="86"/>
      <c r="AR75" s="86"/>
      <c r="AS75" s="86">
        <f t="shared" si="11"/>
        <v>5.7797999999999981E-2</v>
      </c>
      <c r="AT75" s="86">
        <f t="shared" si="12"/>
        <v>1.5989999999999995</v>
      </c>
      <c r="AU75" s="86">
        <f t="shared" si="13"/>
        <v>0.81026249999999989</v>
      </c>
      <c r="AV75" s="86">
        <f t="shared" si="16"/>
        <v>0.59962499999999985</v>
      </c>
      <c r="AW75" s="225">
        <f t="shared" si="17"/>
        <v>0.31979999999999992</v>
      </c>
      <c r="AX75" s="71">
        <f>AS75*$X$4*パラメータ!$D$24</f>
        <v>19.073339999999995</v>
      </c>
      <c r="AY75" s="1">
        <f>AU75*$X$5*E75*パラメータ!$D$30</f>
        <v>27.548924999999997</v>
      </c>
      <c r="AZ75" s="1">
        <f>SUMPRODUCT($AC$4:$AC$10,$AD$4:$AD$10)*E75*パラメータ!$D$28*10^-3</f>
        <v>12.75</v>
      </c>
      <c r="BA75" s="1">
        <f>(AV75+AW75)*$X$6*$X$4*パラメータ!$D$22*10^-3</f>
        <v>6.206118749999999</v>
      </c>
      <c r="BB75" s="1">
        <f>($X$8*$X$9*パラメータ!$D$22+0.5*$X$8^2*SIN(RADIANS($X$10))*パラメータ!$D$25)*E75*10^-3</f>
        <v>3.3081478802897957</v>
      </c>
      <c r="BC75" s="1">
        <f t="shared" si="14"/>
        <v>15.989999999999995</v>
      </c>
      <c r="BD75" s="1">
        <f t="shared" si="15"/>
        <v>4</v>
      </c>
      <c r="BE75" s="1">
        <f>IF(G75="端リブ",AS75*$X$13*パラメータ!$D$22*2,0)</f>
        <v>0</v>
      </c>
      <c r="BF75" s="1">
        <f>主桁!AV30*1000</f>
        <v>201.0264245975398</v>
      </c>
      <c r="BG75" s="1">
        <f t="shared" si="21"/>
        <v>88.876531630289776</v>
      </c>
      <c r="BH75" s="1">
        <f t="shared" si="22"/>
        <v>0.28990295622782958</v>
      </c>
      <c r="BI75" s="2">
        <f>(AO75-機体重量!$E$15)^2+(AP75-機体重量!$F$15)^2</f>
        <v>5.4950777486569501E-4</v>
      </c>
      <c r="BJ75" s="2">
        <f>(AP75-機体重量!$F$15)^2</f>
        <v>3.8816156979940122E-4</v>
      </c>
      <c r="BK75" s="235">
        <f>(AO75-機体重量!$E$15)^2</f>
        <v>1.6134620506629379E-4</v>
      </c>
    </row>
    <row r="76" spans="2:63">
      <c r="B76" s="29">
        <v>25</v>
      </c>
      <c r="C76" s="1">
        <f t="shared" si="25"/>
        <v>5.400000000000003</v>
      </c>
      <c r="D76" s="1">
        <f t="shared" si="1"/>
        <v>769.99999999999989</v>
      </c>
      <c r="E76" s="22">
        <v>0.2</v>
      </c>
      <c r="F76" s="22" t="str">
        <f t="shared" ref="F76:F84" si="26">IF(C76&lt;$M$7,"flat",IF(C76&lt;$M$8,"1st",IF(C76&lt;$M$9,"2nd",IF(C76&lt;$M$10,"3rd",IF(C76&lt;$M$11,"4th",IF(C76&lt;$M$12,"5th","6th"))))))</f>
        <v>2nd</v>
      </c>
      <c r="G76" s="75" t="str">
        <f t="shared" si="2"/>
        <v>2番</v>
      </c>
      <c r="H76" s="1">
        <f t="shared" si="3"/>
        <v>0.35</v>
      </c>
      <c r="I76" s="9">
        <f>主桁!AD31*2</f>
        <v>96.027999999999977</v>
      </c>
      <c r="J76" s="1">
        <f>主桁!AE31*2</f>
        <v>96.239499999999964</v>
      </c>
      <c r="K76" s="225"/>
      <c r="L76" s="230"/>
      <c r="M76" s="86"/>
      <c r="N76" s="86"/>
      <c r="O76" s="229"/>
      <c r="P76" s="86"/>
      <c r="Q76" s="86"/>
      <c r="R76" s="86"/>
      <c r="S76" s="86"/>
      <c r="T76" s="86"/>
      <c r="U76" s="86"/>
      <c r="V76" s="86"/>
      <c r="W76" s="86"/>
      <c r="X76" s="86"/>
      <c r="Y76" s="86"/>
      <c r="Z76" s="86"/>
      <c r="AA76" s="86"/>
      <c r="AB76" s="86"/>
      <c r="AC76" s="71" t="str">
        <f t="shared" si="4"/>
        <v>QX0023</v>
      </c>
      <c r="AD76" s="1">
        <f t="shared" si="18"/>
        <v>100</v>
      </c>
      <c r="AE76" s="1" t="str">
        <f t="shared" si="5"/>
        <v>QX0023</v>
      </c>
      <c r="AF76" s="1">
        <f t="shared" si="6"/>
        <v>0</v>
      </c>
      <c r="AG76" s="1">
        <f t="shared" si="7"/>
        <v>0.26949999999999996</v>
      </c>
      <c r="AH76" s="1">
        <f t="shared" si="8"/>
        <v>-0.50049999999999994</v>
      </c>
      <c r="AI76" s="1">
        <f t="shared" si="19"/>
        <v>4.6000000000000023</v>
      </c>
      <c r="AJ76" s="1">
        <f t="shared" si="20"/>
        <v>0</v>
      </c>
      <c r="AK76" s="1">
        <f t="shared" si="9"/>
        <v>2</v>
      </c>
      <c r="AL76" s="7">
        <f t="shared" si="10"/>
        <v>0</v>
      </c>
      <c r="AM76" s="229"/>
      <c r="AN76" s="86"/>
      <c r="AO76" s="86"/>
      <c r="AP76" s="86"/>
      <c r="AQ76" s="86"/>
      <c r="AR76" s="86"/>
      <c r="AS76" s="86">
        <f t="shared" si="11"/>
        <v>5.6325499999999987E-2</v>
      </c>
      <c r="AT76" s="86">
        <f t="shared" si="12"/>
        <v>1.5784999999999996</v>
      </c>
      <c r="AU76" s="86">
        <f t="shared" si="13"/>
        <v>0.81026249999999989</v>
      </c>
      <c r="AV76" s="86">
        <f t="shared" si="16"/>
        <v>0.59193749999999978</v>
      </c>
      <c r="AW76" s="225">
        <f t="shared" si="17"/>
        <v>0.31569999999999993</v>
      </c>
      <c r="AX76" s="71">
        <f>AS76*$X$4*パラメータ!$D$24</f>
        <v>18.587414999999993</v>
      </c>
      <c r="AY76" s="1">
        <f>AU76*$X$5*E76*パラメータ!$D$30</f>
        <v>27.548924999999997</v>
      </c>
      <c r="AZ76" s="1">
        <f>SUMPRODUCT($AC$4:$AC$10,$AD$4:$AD$10)*E76*パラメータ!$D$28*10^-3</f>
        <v>12.75</v>
      </c>
      <c r="BA76" s="1">
        <f>(AV76+AW76)*$X$6*$X$4*パラメータ!$D$22*10^-3</f>
        <v>6.1265531249999974</v>
      </c>
      <c r="BB76" s="1">
        <f>($X$8*$X$9*パラメータ!$D$22+0.5*$X$8^2*SIN(RADIANS($X$10))*パラメータ!$D$25)*E76*10^-3</f>
        <v>3.3081478802897957</v>
      </c>
      <c r="BC76" s="1">
        <f t="shared" si="14"/>
        <v>15.784999999999997</v>
      </c>
      <c r="BD76" s="1">
        <f t="shared" si="15"/>
        <v>4</v>
      </c>
      <c r="BE76" s="1">
        <f>IF(G76="端リブ",AS76*$X$13*パラメータ!$D$22*2,0)</f>
        <v>0</v>
      </c>
      <c r="BF76" s="1">
        <f>主桁!AV31*1000</f>
        <v>132.1575452956948</v>
      </c>
      <c r="BG76" s="1">
        <f t="shared" si="21"/>
        <v>88.106041005289782</v>
      </c>
      <c r="BH76" s="1">
        <f t="shared" si="22"/>
        <v>0.22026358630098458</v>
      </c>
      <c r="BI76" s="2">
        <f>(AO76-機体重量!$E$15)^2+(AP76-機体重量!$F$15)^2</f>
        <v>5.4950777486569501E-4</v>
      </c>
      <c r="BJ76" s="2">
        <f>(AP76-機体重量!$F$15)^2</f>
        <v>3.8816156979940122E-4</v>
      </c>
      <c r="BK76" s="235">
        <f>(AO76-機体重量!$E$15)^2</f>
        <v>1.6134620506629379E-4</v>
      </c>
    </row>
    <row r="77" spans="2:63">
      <c r="B77" s="29">
        <v>26</v>
      </c>
      <c r="C77" s="1">
        <f t="shared" si="25"/>
        <v>5.6000000000000032</v>
      </c>
      <c r="D77" s="1">
        <f t="shared" si="1"/>
        <v>759.99999999999989</v>
      </c>
      <c r="E77" s="22">
        <v>0.2</v>
      </c>
      <c r="F77" s="22" t="str">
        <f t="shared" si="26"/>
        <v>2nd</v>
      </c>
      <c r="G77" s="75" t="str">
        <f t="shared" si="2"/>
        <v>2番</v>
      </c>
      <c r="H77" s="1">
        <f t="shared" si="3"/>
        <v>0.35</v>
      </c>
      <c r="I77" s="9">
        <f>主桁!AD32*2</f>
        <v>94.427999999999983</v>
      </c>
      <c r="J77" s="1">
        <f>主桁!AE32*2</f>
        <v>94.615499999999969</v>
      </c>
      <c r="K77" s="225"/>
      <c r="L77" s="230"/>
      <c r="M77" s="86"/>
      <c r="N77" s="86"/>
      <c r="O77" s="229"/>
      <c r="P77" s="86"/>
      <c r="Q77" s="86"/>
      <c r="R77" s="86"/>
      <c r="S77" s="86"/>
      <c r="T77" s="86"/>
      <c r="U77" s="86"/>
      <c r="V77" s="86"/>
      <c r="W77" s="86"/>
      <c r="X77" s="86"/>
      <c r="Y77" s="86"/>
      <c r="Z77" s="86"/>
      <c r="AA77" s="86"/>
      <c r="AB77" s="86"/>
      <c r="AC77" s="71" t="str">
        <f t="shared" si="4"/>
        <v>QX0023</v>
      </c>
      <c r="AD77" s="1">
        <f t="shared" si="18"/>
        <v>100</v>
      </c>
      <c r="AE77" s="1" t="str">
        <f t="shared" si="5"/>
        <v>QX0023</v>
      </c>
      <c r="AF77" s="1">
        <f t="shared" si="6"/>
        <v>0</v>
      </c>
      <c r="AG77" s="1">
        <f t="shared" si="7"/>
        <v>0.26599999999999996</v>
      </c>
      <c r="AH77" s="1">
        <f t="shared" si="8"/>
        <v>-0.49399999999999994</v>
      </c>
      <c r="AI77" s="1">
        <f t="shared" si="19"/>
        <v>4.8000000000000025</v>
      </c>
      <c r="AJ77" s="1">
        <f t="shared" si="20"/>
        <v>0</v>
      </c>
      <c r="AK77" s="1">
        <f t="shared" si="9"/>
        <v>2</v>
      </c>
      <c r="AL77" s="7">
        <f t="shared" si="10"/>
        <v>0</v>
      </c>
      <c r="AM77" s="229"/>
      <c r="AN77" s="86"/>
      <c r="AO77" s="86"/>
      <c r="AP77" s="86"/>
      <c r="AQ77" s="86"/>
      <c r="AR77" s="86"/>
      <c r="AS77" s="86">
        <f t="shared" si="11"/>
        <v>5.487199999999999E-2</v>
      </c>
      <c r="AT77" s="86">
        <f t="shared" si="12"/>
        <v>1.5579999999999996</v>
      </c>
      <c r="AU77" s="86">
        <f t="shared" si="13"/>
        <v>0.81026249999999989</v>
      </c>
      <c r="AV77" s="86">
        <f t="shared" si="16"/>
        <v>0.58424999999999983</v>
      </c>
      <c r="AW77" s="225">
        <f t="shared" si="17"/>
        <v>0.31159999999999993</v>
      </c>
      <c r="AX77" s="71">
        <f>AS77*$X$4*パラメータ!$D$24</f>
        <v>18.107759999999995</v>
      </c>
      <c r="AY77" s="1">
        <f>AU77*$X$5*E77*パラメータ!$D$30</f>
        <v>27.548924999999997</v>
      </c>
      <c r="AZ77" s="1">
        <f>SUMPRODUCT($AC$4:$AC$10,$AD$4:$AD$10)*E77*パラメータ!$D$28*10^-3</f>
        <v>12.75</v>
      </c>
      <c r="BA77" s="1">
        <f>(AV77+AW77)*$X$6*$X$4*パラメータ!$D$22*10^-3</f>
        <v>6.0469875000000002</v>
      </c>
      <c r="BB77" s="1">
        <f>($X$8*$X$9*パラメータ!$D$22+0.5*$X$8^2*SIN(RADIANS($X$10))*パラメータ!$D$25)*E77*10^-3</f>
        <v>3.3081478802897957</v>
      </c>
      <c r="BC77" s="1">
        <f t="shared" si="14"/>
        <v>15.579999999999997</v>
      </c>
      <c r="BD77" s="1">
        <f t="shared" si="15"/>
        <v>4</v>
      </c>
      <c r="BE77" s="1">
        <f>IF(G77="端リブ",AS77*$X$13*パラメータ!$D$22*2,0)</f>
        <v>0</v>
      </c>
      <c r="BF77" s="1">
        <f>主桁!AV32*1000</f>
        <v>129.92743685660443</v>
      </c>
      <c r="BG77" s="1">
        <f t="shared" si="21"/>
        <v>87.341820380289789</v>
      </c>
      <c r="BH77" s="1">
        <f t="shared" si="22"/>
        <v>0.21726925723689422</v>
      </c>
      <c r="BI77" s="2">
        <f>(AO77-機体重量!$E$15)^2+(AP77-機体重量!$F$15)^2</f>
        <v>5.4950777486569501E-4</v>
      </c>
      <c r="BJ77" s="2">
        <f>(AP77-機体重量!$F$15)^2</f>
        <v>3.8816156979940122E-4</v>
      </c>
      <c r="BK77" s="235">
        <f>(AO77-機体重量!$E$15)^2</f>
        <v>1.6134620506629379E-4</v>
      </c>
    </row>
    <row r="78" spans="2:63">
      <c r="B78" s="29">
        <v>27</v>
      </c>
      <c r="C78" s="1">
        <f t="shared" si="25"/>
        <v>5.8000000000000034</v>
      </c>
      <c r="D78" s="1">
        <f t="shared" si="1"/>
        <v>749.99999999999989</v>
      </c>
      <c r="E78" s="22">
        <v>0.2</v>
      </c>
      <c r="F78" s="22" t="str">
        <f t="shared" si="26"/>
        <v>2nd</v>
      </c>
      <c r="G78" s="75" t="str">
        <f t="shared" si="2"/>
        <v>2番</v>
      </c>
      <c r="H78" s="1">
        <f t="shared" si="3"/>
        <v>0.35</v>
      </c>
      <c r="I78" s="9">
        <f>主桁!AD33*2</f>
        <v>92.827999999999989</v>
      </c>
      <c r="J78" s="1">
        <f>主桁!AE33*2</f>
        <v>92.991499999999974</v>
      </c>
      <c r="K78" s="225"/>
      <c r="L78" s="230"/>
      <c r="M78" s="86"/>
      <c r="N78" s="86"/>
      <c r="O78" s="229"/>
      <c r="P78" s="86"/>
      <c r="Q78" s="86"/>
      <c r="R78" s="86"/>
      <c r="S78" s="86"/>
      <c r="T78" s="86"/>
      <c r="U78" s="86"/>
      <c r="V78" s="86"/>
      <c r="W78" s="86"/>
      <c r="X78" s="86"/>
      <c r="Y78" s="86"/>
      <c r="Z78" s="86"/>
      <c r="AA78" s="86"/>
      <c r="AB78" s="86"/>
      <c r="AC78" s="71" t="str">
        <f t="shared" si="4"/>
        <v>QX0023</v>
      </c>
      <c r="AD78" s="1">
        <f t="shared" si="18"/>
        <v>100</v>
      </c>
      <c r="AE78" s="1" t="str">
        <f t="shared" si="5"/>
        <v>QX0023</v>
      </c>
      <c r="AF78" s="1">
        <f t="shared" si="6"/>
        <v>0</v>
      </c>
      <c r="AG78" s="1">
        <f t="shared" si="7"/>
        <v>0.26249999999999996</v>
      </c>
      <c r="AH78" s="1">
        <f t="shared" si="8"/>
        <v>-0.48749999999999993</v>
      </c>
      <c r="AI78" s="1">
        <f t="shared" si="19"/>
        <v>5.0000000000000027</v>
      </c>
      <c r="AJ78" s="1">
        <f t="shared" si="20"/>
        <v>0</v>
      </c>
      <c r="AK78" s="1">
        <f t="shared" si="9"/>
        <v>2</v>
      </c>
      <c r="AL78" s="7">
        <f t="shared" si="10"/>
        <v>0</v>
      </c>
      <c r="AM78" s="229"/>
      <c r="AN78" s="86"/>
      <c r="AO78" s="86"/>
      <c r="AP78" s="86"/>
      <c r="AQ78" s="86"/>
      <c r="AR78" s="86"/>
      <c r="AS78" s="86">
        <f t="shared" si="11"/>
        <v>5.3437499999999978E-2</v>
      </c>
      <c r="AT78" s="86">
        <f t="shared" si="12"/>
        <v>1.5374999999999996</v>
      </c>
      <c r="AU78" s="86">
        <f t="shared" si="13"/>
        <v>0.81026249999999989</v>
      </c>
      <c r="AV78" s="86">
        <f t="shared" si="16"/>
        <v>0.57656249999999987</v>
      </c>
      <c r="AW78" s="225">
        <f t="shared" si="17"/>
        <v>0.30749999999999994</v>
      </c>
      <c r="AX78" s="71">
        <f>AS78*$X$4*パラメータ!$D$24</f>
        <v>17.634374999999995</v>
      </c>
      <c r="AY78" s="1">
        <f>AU78*$X$5*E78*パラメータ!$D$30</f>
        <v>27.548924999999997</v>
      </c>
      <c r="AZ78" s="1">
        <f>SUMPRODUCT($AC$4:$AC$10,$AD$4:$AD$10)*E78*パラメータ!$D$28*10^-3</f>
        <v>12.75</v>
      </c>
      <c r="BA78" s="1">
        <f>(AV78+AW78)*$X$6*$X$4*パラメータ!$D$22*10^-3</f>
        <v>5.9674218749999994</v>
      </c>
      <c r="BB78" s="1">
        <f>($X$8*$X$9*パラメータ!$D$22+0.5*$X$8^2*SIN(RADIANS($X$10))*パラメータ!$D$25)*E78*10^-3</f>
        <v>3.3081478802897957</v>
      </c>
      <c r="BC78" s="1">
        <f t="shared" si="14"/>
        <v>15.374999999999996</v>
      </c>
      <c r="BD78" s="1">
        <f t="shared" si="15"/>
        <v>4</v>
      </c>
      <c r="BE78" s="1">
        <f>IF(G78="端リブ",AS78*$X$13*パラメータ!$D$22*2,0)</f>
        <v>0</v>
      </c>
      <c r="BF78" s="1">
        <f>主桁!AV33*1000</f>
        <v>127.69732729328742</v>
      </c>
      <c r="BG78" s="1">
        <f t="shared" si="21"/>
        <v>86.583869755289783</v>
      </c>
      <c r="BH78" s="1">
        <f t="shared" si="22"/>
        <v>0.2142811970485772</v>
      </c>
      <c r="BI78" s="2">
        <f>(AO78-機体重量!$E$15)^2+(AP78-機体重量!$F$15)^2</f>
        <v>5.4950777486569501E-4</v>
      </c>
      <c r="BJ78" s="2">
        <f>(AP78-機体重量!$F$15)^2</f>
        <v>3.8816156979940122E-4</v>
      </c>
      <c r="BK78" s="235">
        <f>(AO78-機体重量!$E$15)^2</f>
        <v>1.6134620506629379E-4</v>
      </c>
    </row>
    <row r="79" spans="2:63">
      <c r="B79" s="29">
        <v>28</v>
      </c>
      <c r="C79" s="1">
        <f t="shared" si="25"/>
        <v>6.0000000000000036</v>
      </c>
      <c r="D79" s="1">
        <f t="shared" si="1"/>
        <v>739.99999999999989</v>
      </c>
      <c r="E79" s="22">
        <v>0.2</v>
      </c>
      <c r="F79" s="22" t="str">
        <f t="shared" si="26"/>
        <v>2nd</v>
      </c>
      <c r="G79" s="75" t="str">
        <f t="shared" si="2"/>
        <v>2番</v>
      </c>
      <c r="H79" s="1">
        <f t="shared" si="3"/>
        <v>0.35</v>
      </c>
      <c r="I79" s="9">
        <f>主桁!AD34*2</f>
        <v>91.22799999999998</v>
      </c>
      <c r="J79" s="1">
        <f>主桁!AE34*2</f>
        <v>91.367499999999964</v>
      </c>
      <c r="K79" s="225"/>
      <c r="L79" s="230"/>
      <c r="M79" s="86"/>
      <c r="N79" s="86"/>
      <c r="O79" s="229"/>
      <c r="P79" s="86"/>
      <c r="Q79" s="86"/>
      <c r="R79" s="86"/>
      <c r="S79" s="86"/>
      <c r="T79" s="86"/>
      <c r="U79" s="86"/>
      <c r="V79" s="86"/>
      <c r="W79" s="86"/>
      <c r="X79" s="86"/>
      <c r="Y79" s="86"/>
      <c r="Z79" s="86"/>
      <c r="AA79" s="86"/>
      <c r="AB79" s="86"/>
      <c r="AC79" s="71" t="str">
        <f t="shared" si="4"/>
        <v>QX0023</v>
      </c>
      <c r="AD79" s="1">
        <f t="shared" si="18"/>
        <v>100</v>
      </c>
      <c r="AE79" s="1" t="str">
        <f t="shared" si="5"/>
        <v>QX0023</v>
      </c>
      <c r="AF79" s="1">
        <f t="shared" si="6"/>
        <v>0</v>
      </c>
      <c r="AG79" s="1">
        <f t="shared" si="7"/>
        <v>0.25899999999999995</v>
      </c>
      <c r="AH79" s="1">
        <f t="shared" si="8"/>
        <v>-0.48099999999999993</v>
      </c>
      <c r="AI79" s="1">
        <f t="shared" si="19"/>
        <v>5.2000000000000028</v>
      </c>
      <c r="AJ79" s="1">
        <f t="shared" si="20"/>
        <v>0</v>
      </c>
      <c r="AK79" s="1">
        <f t="shared" si="9"/>
        <v>2</v>
      </c>
      <c r="AL79" s="7">
        <f t="shared" si="10"/>
        <v>0</v>
      </c>
      <c r="AM79" s="229"/>
      <c r="AN79" s="86"/>
      <c r="AO79" s="86"/>
      <c r="AP79" s="86"/>
      <c r="AQ79" s="86"/>
      <c r="AR79" s="86"/>
      <c r="AS79" s="86">
        <f t="shared" si="11"/>
        <v>5.2021999999999985E-2</v>
      </c>
      <c r="AT79" s="86">
        <f t="shared" si="12"/>
        <v>1.5169999999999995</v>
      </c>
      <c r="AU79" s="86">
        <f t="shared" si="13"/>
        <v>0.81026249999999989</v>
      </c>
      <c r="AV79" s="86">
        <f t="shared" si="16"/>
        <v>0.5688749999999998</v>
      </c>
      <c r="AW79" s="225">
        <f t="shared" si="17"/>
        <v>0.30339999999999989</v>
      </c>
      <c r="AX79" s="71">
        <f>AS79*$X$4*パラメータ!$D$24</f>
        <v>17.167259999999995</v>
      </c>
      <c r="AY79" s="1">
        <f>AU79*$X$5*E79*パラメータ!$D$30</f>
        <v>27.548924999999997</v>
      </c>
      <c r="AZ79" s="1">
        <f>SUMPRODUCT($AC$4:$AC$10,$AD$4:$AD$10)*E79*パラメータ!$D$28*10^-3</f>
        <v>12.75</v>
      </c>
      <c r="BA79" s="1">
        <f>(AV79+AW79)*$X$6*$X$4*パラメータ!$D$22*10^-3</f>
        <v>5.8878562499999978</v>
      </c>
      <c r="BB79" s="1">
        <f>($X$8*$X$9*パラメータ!$D$22+0.5*$X$8^2*SIN(RADIANS($X$10))*パラメータ!$D$25)*E79*10^-3</f>
        <v>3.3081478802897957</v>
      </c>
      <c r="BC79" s="1">
        <f t="shared" si="14"/>
        <v>15.169999999999995</v>
      </c>
      <c r="BD79" s="1">
        <f t="shared" si="15"/>
        <v>4</v>
      </c>
      <c r="BE79" s="1">
        <f>IF(G79="端リブ",AS79*$X$13*パラメータ!$D$22*2,0)</f>
        <v>0</v>
      </c>
      <c r="BF79" s="1">
        <f>主桁!AV34*1000</f>
        <v>125.46721654611339</v>
      </c>
      <c r="BG79" s="1">
        <f t="shared" si="21"/>
        <v>85.832189130289777</v>
      </c>
      <c r="BH79" s="1">
        <f t="shared" si="22"/>
        <v>0.21129940567640318</v>
      </c>
      <c r="BI79" s="2">
        <f>(AO79-機体重量!$E$15)^2+(AP79-機体重量!$F$15)^2</f>
        <v>5.4950777486569501E-4</v>
      </c>
      <c r="BJ79" s="2">
        <f>(AP79-機体重量!$F$15)^2</f>
        <v>3.8816156979940122E-4</v>
      </c>
      <c r="BK79" s="235">
        <f>(AO79-機体重量!$E$15)^2</f>
        <v>1.6134620506629379E-4</v>
      </c>
    </row>
    <row r="80" spans="2:63">
      <c r="B80" s="29">
        <v>29</v>
      </c>
      <c r="C80" s="1">
        <f t="shared" si="25"/>
        <v>6.2000000000000037</v>
      </c>
      <c r="D80" s="1">
        <f t="shared" si="1"/>
        <v>729.99999999999989</v>
      </c>
      <c r="E80" s="22">
        <v>0.2</v>
      </c>
      <c r="F80" s="22" t="str">
        <f t="shared" si="26"/>
        <v>2nd</v>
      </c>
      <c r="G80" s="75" t="str">
        <f t="shared" si="2"/>
        <v>2番</v>
      </c>
      <c r="H80" s="1">
        <f t="shared" si="3"/>
        <v>0.35</v>
      </c>
      <c r="I80" s="9">
        <f>主桁!AD35*2</f>
        <v>89.627999999999972</v>
      </c>
      <c r="J80" s="1">
        <f>主桁!AE35*2</f>
        <v>89.743499999999955</v>
      </c>
      <c r="K80" s="225"/>
      <c r="L80" s="230"/>
      <c r="M80" s="86"/>
      <c r="N80" s="86"/>
      <c r="O80" s="229"/>
      <c r="P80" s="86"/>
      <c r="Q80" s="86"/>
      <c r="R80" s="86"/>
      <c r="S80" s="86"/>
      <c r="T80" s="86"/>
      <c r="U80" s="86"/>
      <c r="V80" s="86"/>
      <c r="W80" s="86"/>
      <c r="X80" s="86"/>
      <c r="Y80" s="86"/>
      <c r="Z80" s="86"/>
      <c r="AA80" s="86"/>
      <c r="AB80" s="86"/>
      <c r="AC80" s="71" t="str">
        <f t="shared" si="4"/>
        <v>QX0023</v>
      </c>
      <c r="AD80" s="1">
        <f t="shared" si="18"/>
        <v>100</v>
      </c>
      <c r="AE80" s="1" t="str">
        <f t="shared" si="5"/>
        <v>QX0023</v>
      </c>
      <c r="AF80" s="1">
        <f t="shared" si="6"/>
        <v>0</v>
      </c>
      <c r="AG80" s="1">
        <f t="shared" si="7"/>
        <v>0.25549999999999995</v>
      </c>
      <c r="AH80" s="1">
        <f t="shared" si="8"/>
        <v>-0.47449999999999992</v>
      </c>
      <c r="AI80" s="1">
        <f t="shared" si="19"/>
        <v>5.400000000000003</v>
      </c>
      <c r="AJ80" s="1">
        <f t="shared" si="20"/>
        <v>0</v>
      </c>
      <c r="AK80" s="1">
        <f t="shared" si="9"/>
        <v>2</v>
      </c>
      <c r="AL80" s="7">
        <f t="shared" si="10"/>
        <v>0</v>
      </c>
      <c r="AM80" s="229"/>
      <c r="AN80" s="86"/>
      <c r="AO80" s="86"/>
      <c r="AP80" s="86"/>
      <c r="AQ80" s="86"/>
      <c r="AR80" s="86"/>
      <c r="AS80" s="86">
        <f t="shared" si="11"/>
        <v>5.0625499999999983E-2</v>
      </c>
      <c r="AT80" s="86">
        <f t="shared" si="12"/>
        <v>1.4964999999999995</v>
      </c>
      <c r="AU80" s="86">
        <f t="shared" si="13"/>
        <v>0.81026249999999989</v>
      </c>
      <c r="AV80" s="86">
        <f t="shared" si="16"/>
        <v>0.56118749999999984</v>
      </c>
      <c r="AW80" s="225">
        <f t="shared" si="17"/>
        <v>0.2992999999999999</v>
      </c>
      <c r="AX80" s="71">
        <f>AS80*$X$4*パラメータ!$D$24</f>
        <v>16.706414999999993</v>
      </c>
      <c r="AY80" s="1">
        <f>AU80*$X$5*E80*パラメータ!$D$30</f>
        <v>27.548924999999997</v>
      </c>
      <c r="AZ80" s="1">
        <f>SUMPRODUCT($AC$4:$AC$10,$AD$4:$AD$10)*E80*パラメータ!$D$28*10^-3</f>
        <v>12.75</v>
      </c>
      <c r="BA80" s="1">
        <f>(AV80+AW80)*$X$6*$X$4*パラメータ!$D$22*10^-3</f>
        <v>5.8082906249999979</v>
      </c>
      <c r="BB80" s="1">
        <f>($X$8*$X$9*パラメータ!$D$22+0.5*$X$8^2*SIN(RADIANS($X$10))*パラメータ!$D$25)*E80*10^-3</f>
        <v>3.3081478802897957</v>
      </c>
      <c r="BC80" s="1">
        <f t="shared" si="14"/>
        <v>14.964999999999995</v>
      </c>
      <c r="BD80" s="1">
        <f t="shared" si="15"/>
        <v>4</v>
      </c>
      <c r="BE80" s="1">
        <f>IF(G80="端リブ",AS80*$X$13*パラメータ!$D$22*2,0)</f>
        <v>0</v>
      </c>
      <c r="BF80" s="1">
        <f>主桁!AV35*1000</f>
        <v>123.23710455115689</v>
      </c>
      <c r="BG80" s="1">
        <f t="shared" si="21"/>
        <v>85.086778505289772</v>
      </c>
      <c r="BH80" s="1">
        <f t="shared" si="22"/>
        <v>0.20832388305644667</v>
      </c>
      <c r="BI80" s="2">
        <f>(AO80-機体重量!$E$15)^2+(AP80-機体重量!$F$15)^2</f>
        <v>5.4950777486569501E-4</v>
      </c>
      <c r="BJ80" s="2">
        <f>(AP80-機体重量!$F$15)^2</f>
        <v>3.8816156979940122E-4</v>
      </c>
      <c r="BK80" s="235">
        <f>(AO80-機体重量!$E$15)^2</f>
        <v>1.6134620506629379E-4</v>
      </c>
    </row>
    <row r="81" spans="2:63">
      <c r="B81" s="29">
        <v>30</v>
      </c>
      <c r="C81" s="1">
        <f t="shared" si="25"/>
        <v>6.4000000000000039</v>
      </c>
      <c r="D81" s="1">
        <f t="shared" si="1"/>
        <v>719.99999999999989</v>
      </c>
      <c r="E81" s="22">
        <v>0.2</v>
      </c>
      <c r="F81" s="22" t="str">
        <f t="shared" si="26"/>
        <v>2nd</v>
      </c>
      <c r="G81" s="75" t="str">
        <f t="shared" si="2"/>
        <v>2番</v>
      </c>
      <c r="H81" s="1">
        <f t="shared" si="3"/>
        <v>0.35</v>
      </c>
      <c r="I81" s="9">
        <f>主桁!AD36*2</f>
        <v>88.027999999999977</v>
      </c>
      <c r="J81" s="1">
        <f>主桁!AE36*2</f>
        <v>88.119499999999974</v>
      </c>
      <c r="K81" s="225"/>
      <c r="L81" s="230"/>
      <c r="M81" s="86"/>
      <c r="N81" s="86"/>
      <c r="O81" s="229"/>
      <c r="P81" s="86"/>
      <c r="Q81" s="86"/>
      <c r="R81" s="86"/>
      <c r="S81" s="86"/>
      <c r="T81" s="86"/>
      <c r="U81" s="86"/>
      <c r="V81" s="86"/>
      <c r="W81" s="86"/>
      <c r="X81" s="86"/>
      <c r="Y81" s="86"/>
      <c r="Z81" s="86"/>
      <c r="AA81" s="86"/>
      <c r="AB81" s="86"/>
      <c r="AC81" s="71" t="str">
        <f t="shared" si="4"/>
        <v>QX0023</v>
      </c>
      <c r="AD81" s="1">
        <f t="shared" si="18"/>
        <v>100</v>
      </c>
      <c r="AE81" s="1" t="str">
        <f t="shared" si="5"/>
        <v>QX0023</v>
      </c>
      <c r="AF81" s="1">
        <f t="shared" si="6"/>
        <v>0</v>
      </c>
      <c r="AG81" s="1">
        <f t="shared" si="7"/>
        <v>0.25199999999999995</v>
      </c>
      <c r="AH81" s="1">
        <f t="shared" si="8"/>
        <v>-0.46799999999999992</v>
      </c>
      <c r="AI81" s="1">
        <f t="shared" si="19"/>
        <v>5.6000000000000032</v>
      </c>
      <c r="AJ81" s="1">
        <f t="shared" si="20"/>
        <v>0</v>
      </c>
      <c r="AK81" s="1">
        <f t="shared" si="9"/>
        <v>2</v>
      </c>
      <c r="AL81" s="7">
        <f t="shared" si="10"/>
        <v>0</v>
      </c>
      <c r="AM81" s="229"/>
      <c r="AN81" s="86"/>
      <c r="AO81" s="86"/>
      <c r="AP81" s="86"/>
      <c r="AQ81" s="86"/>
      <c r="AR81" s="86"/>
      <c r="AS81" s="86">
        <f t="shared" si="11"/>
        <v>4.9247999999999979E-2</v>
      </c>
      <c r="AT81" s="86">
        <f t="shared" si="12"/>
        <v>1.4759999999999995</v>
      </c>
      <c r="AU81" s="86">
        <f t="shared" si="13"/>
        <v>0.81026249999999989</v>
      </c>
      <c r="AV81" s="86">
        <f t="shared" si="16"/>
        <v>0.55349999999999988</v>
      </c>
      <c r="AW81" s="225">
        <f t="shared" si="17"/>
        <v>0.29519999999999991</v>
      </c>
      <c r="AX81" s="71">
        <f>AS81*$X$4*パラメータ!$D$24</f>
        <v>16.251839999999994</v>
      </c>
      <c r="AY81" s="1">
        <f>AU81*$X$5*E81*パラメータ!$D$30</f>
        <v>27.548924999999997</v>
      </c>
      <c r="AZ81" s="1">
        <f>SUMPRODUCT($AC$4:$AC$10,$AD$4:$AD$10)*E81*パラメータ!$D$28*10^-3</f>
        <v>12.75</v>
      </c>
      <c r="BA81" s="1">
        <f>(AV81+AW81)*$X$6*$X$4*パラメータ!$D$22*10^-3</f>
        <v>5.7287249999999981</v>
      </c>
      <c r="BB81" s="1">
        <f>($X$8*$X$9*パラメータ!$D$22+0.5*$X$8^2*SIN(RADIANS($X$10))*パラメータ!$D$25)*E81*10^-3</f>
        <v>3.3081478802897957</v>
      </c>
      <c r="BC81" s="1">
        <f t="shared" si="14"/>
        <v>14.759999999999994</v>
      </c>
      <c r="BD81" s="1">
        <f t="shared" si="15"/>
        <v>4</v>
      </c>
      <c r="BE81" s="1">
        <f>IF(G81="端リブ",AS81*$X$13*パラメータ!$D$22*2,0)</f>
        <v>0</v>
      </c>
      <c r="BF81" s="1">
        <f>主桁!AV36*1000</f>
        <v>121.00699123980704</v>
      </c>
      <c r="BG81" s="1">
        <f t="shared" si="21"/>
        <v>84.347637880289781</v>
      </c>
      <c r="BH81" s="1">
        <f t="shared" si="22"/>
        <v>0.20535462912009683</v>
      </c>
      <c r="BI81" s="2">
        <f>(AO81-機体重量!$E$15)^2+(AP81-機体重量!$F$15)^2</f>
        <v>5.4950777486569501E-4</v>
      </c>
      <c r="BJ81" s="2">
        <f>(AP81-機体重量!$F$15)^2</f>
        <v>3.8816156979940122E-4</v>
      </c>
      <c r="BK81" s="235">
        <f>(AO81-機体重量!$E$15)^2</f>
        <v>1.6134620506629379E-4</v>
      </c>
    </row>
    <row r="82" spans="2:63">
      <c r="B82" s="29">
        <v>31</v>
      </c>
      <c r="C82" s="1">
        <f t="shared" si="25"/>
        <v>6.6000000000000041</v>
      </c>
      <c r="D82" s="1">
        <f t="shared" si="1"/>
        <v>709.99999999999989</v>
      </c>
      <c r="E82" s="22">
        <v>0.2</v>
      </c>
      <c r="F82" s="22" t="str">
        <f t="shared" si="26"/>
        <v>2nd</v>
      </c>
      <c r="G82" s="75" t="str">
        <f t="shared" si="2"/>
        <v>2番</v>
      </c>
      <c r="H82" s="1">
        <f t="shared" si="3"/>
        <v>0.35</v>
      </c>
      <c r="I82" s="9">
        <f>主桁!AD37*2</f>
        <v>86.427999999999983</v>
      </c>
      <c r="J82" s="1">
        <f>主桁!AE37*2</f>
        <v>86.495499999999979</v>
      </c>
      <c r="K82" s="225"/>
      <c r="L82" s="230"/>
      <c r="M82" s="86"/>
      <c r="N82" s="86"/>
      <c r="O82" s="229"/>
      <c r="P82" s="86"/>
      <c r="Q82" s="86"/>
      <c r="R82" s="86"/>
      <c r="S82" s="86"/>
      <c r="T82" s="86"/>
      <c r="U82" s="86"/>
      <c r="V82" s="86"/>
      <c r="W82" s="86"/>
      <c r="X82" s="86"/>
      <c r="Y82" s="86"/>
      <c r="Z82" s="86"/>
      <c r="AA82" s="86"/>
      <c r="AB82" s="86"/>
      <c r="AC82" s="71" t="str">
        <f t="shared" si="4"/>
        <v>QX0023</v>
      </c>
      <c r="AD82" s="1">
        <f t="shared" si="18"/>
        <v>100</v>
      </c>
      <c r="AE82" s="1" t="str">
        <f t="shared" si="5"/>
        <v>QX0023</v>
      </c>
      <c r="AF82" s="1">
        <f t="shared" si="6"/>
        <v>0</v>
      </c>
      <c r="AG82" s="1">
        <f t="shared" si="7"/>
        <v>0.24849999999999994</v>
      </c>
      <c r="AH82" s="1">
        <f t="shared" si="8"/>
        <v>-0.46149999999999991</v>
      </c>
      <c r="AI82" s="1">
        <f t="shared" si="19"/>
        <v>5.8000000000000034</v>
      </c>
      <c r="AJ82" s="1">
        <f t="shared" si="20"/>
        <v>0</v>
      </c>
      <c r="AK82" s="1">
        <f t="shared" si="9"/>
        <v>2</v>
      </c>
      <c r="AL82" s="7">
        <f t="shared" si="10"/>
        <v>0</v>
      </c>
      <c r="AM82" s="229"/>
      <c r="AN82" s="86"/>
      <c r="AO82" s="86"/>
      <c r="AP82" s="86"/>
      <c r="AQ82" s="86"/>
      <c r="AR82" s="86"/>
      <c r="AS82" s="86">
        <f t="shared" si="11"/>
        <v>4.7889499999999981E-2</v>
      </c>
      <c r="AT82" s="86">
        <f t="shared" si="12"/>
        <v>1.4554999999999996</v>
      </c>
      <c r="AU82" s="86">
        <f t="shared" si="13"/>
        <v>0.81026249999999989</v>
      </c>
      <c r="AV82" s="86">
        <f t="shared" si="16"/>
        <v>0.54581249999999981</v>
      </c>
      <c r="AW82" s="225">
        <f t="shared" si="17"/>
        <v>0.29109999999999991</v>
      </c>
      <c r="AX82" s="71">
        <f>AS82*$X$4*パラメータ!$D$24</f>
        <v>15.803534999999993</v>
      </c>
      <c r="AY82" s="1">
        <f>AU82*$X$5*E82*パラメータ!$D$30</f>
        <v>27.548924999999997</v>
      </c>
      <c r="AZ82" s="1">
        <f>SUMPRODUCT($AC$4:$AC$10,$AD$4:$AD$10)*E82*パラメータ!$D$28*10^-3</f>
        <v>12.75</v>
      </c>
      <c r="BA82" s="1">
        <f>(AV82+AW82)*$X$6*$X$4*パラメータ!$D$22*10^-3</f>
        <v>5.6491593749999982</v>
      </c>
      <c r="BB82" s="1">
        <f>($X$8*$X$9*パラメータ!$D$22+0.5*$X$8^2*SIN(RADIANS($X$10))*パラメータ!$D$25)*E82*10^-3</f>
        <v>3.3081478802897957</v>
      </c>
      <c r="BC82" s="1">
        <f t="shared" si="14"/>
        <v>14.554999999999996</v>
      </c>
      <c r="BD82" s="1">
        <f t="shared" si="15"/>
        <v>4</v>
      </c>
      <c r="BE82" s="1">
        <f>IF(G82="端リブ",AS82*$X$13*パラメータ!$D$22*2,0)</f>
        <v>0</v>
      </c>
      <c r="BF82" s="1">
        <f>主桁!AV37*1000</f>
        <v>118.77687653832763</v>
      </c>
      <c r="BG82" s="1">
        <f t="shared" si="21"/>
        <v>83.614767255289777</v>
      </c>
      <c r="BH82" s="1">
        <f t="shared" si="22"/>
        <v>0.2023916437936174</v>
      </c>
      <c r="BI82" s="2">
        <f>(AO82-機体重量!$E$15)^2+(AP82-機体重量!$F$15)^2</f>
        <v>5.4950777486569501E-4</v>
      </c>
      <c r="BJ82" s="2">
        <f>(AP82-機体重量!$F$15)^2</f>
        <v>3.8816156979940122E-4</v>
      </c>
      <c r="BK82" s="235">
        <f>(AO82-機体重量!$E$15)^2</f>
        <v>1.6134620506629379E-4</v>
      </c>
    </row>
    <row r="83" spans="2:63">
      <c r="B83" s="29">
        <v>32</v>
      </c>
      <c r="C83" s="1">
        <f t="shared" si="25"/>
        <v>6.8000000000000043</v>
      </c>
      <c r="D83" s="1">
        <f t="shared" ref="D83:D111" si="27">IF($C83&lt;$M$7,$G$26*$C83+$H$26,IF($C83&lt;$M$8,$G$27*$C83+$H$27,IF($C83&lt;$M$9,$G$28*$C83+$H$28,IF($C83&lt;$M$10,$G$29*$C83+$H$29,IF($C83&lt;$M$11,$G$30*$C83+$H$30,IF($C83&lt;$M$12,$G$31*$C83+$H$31,$G$32*$C83+$H$32))))))*10^3</f>
        <v>699.99999999999989</v>
      </c>
      <c r="E83" s="22">
        <v>0.2</v>
      </c>
      <c r="F83" s="22" t="str">
        <f t="shared" si="26"/>
        <v>2nd</v>
      </c>
      <c r="G83" s="75" t="str">
        <f t="shared" ref="G83:G111" si="28">IF(OR(C83=$F$45,C83=$G$45,C83=$H$45),"端リブ",IF(C83&lt;$F$45,"0番",IF(C83&lt;$G$45,"1番",IF(C83&lt;$H$45,"2番",IF(C83&lt;$I$45,"3番","ウィングレット")))))</f>
        <v>2番</v>
      </c>
      <c r="H83" s="1">
        <f t="shared" ref="H83:H111" si="29">IF($C83&lt;$M$7,$K$26*$C83+$L$26,IF($C83&lt;$M$8,$K$27*$C83+$L$27,IF($C83&lt;$M$9,$K$28*$C83+$L$28,IF($C83&lt;$M$10,$K$29*$C83+$L$30,IF($C83&lt;$M$11,$K$30*$C83+$L$29,IF($C83&lt;$M$12,$K$31*$C83+$L$31,$K$32*$C83+$L$32))))))</f>
        <v>0.35</v>
      </c>
      <c r="I83" s="9">
        <f>主桁!AD38*2</f>
        <v>84.827999999999975</v>
      </c>
      <c r="J83" s="1">
        <f>主桁!AE38*2</f>
        <v>84.871499999999969</v>
      </c>
      <c r="K83" s="225"/>
      <c r="L83" s="230"/>
      <c r="M83" s="86"/>
      <c r="N83" s="86"/>
      <c r="O83" s="229"/>
      <c r="P83" s="86"/>
      <c r="Q83" s="86"/>
      <c r="R83" s="86"/>
      <c r="S83" s="86"/>
      <c r="T83" s="86"/>
      <c r="U83" s="86"/>
      <c r="V83" s="86"/>
      <c r="W83" s="86"/>
      <c r="X83" s="86"/>
      <c r="Y83" s="86"/>
      <c r="Z83" s="86"/>
      <c r="AA83" s="86"/>
      <c r="AB83" s="86"/>
      <c r="AC83" s="71" t="str">
        <f t="shared" ref="AC83:AC111" si="30">IF($C83&lt;$M$7,$R$6,IF($C83&lt;$M$8,$R$7,IF($C83&lt;$M$9,$R$8,IF($C83&lt;$M$10,$R$9,IF($C83&lt;$M$11,$R$10,IF($C83&lt;$M$12,$R$11,$R$12))))))</f>
        <v>QX0023</v>
      </c>
      <c r="AD83" s="1">
        <f t="shared" si="18"/>
        <v>100</v>
      </c>
      <c r="AE83" s="1" t="str">
        <f t="shared" ref="AE83:AE111" si="31">IF($C83&lt;$M$7,$R$7,IF($C83&lt;$M$8,$R$8,IF($C83&lt;$M$9,$R$9,IF($C83&lt;$M$10,$R$10,IF($C83&lt;$M$11,$R$11,IF($C83&lt;$M$12,$R$12,$R$13))))))</f>
        <v>QX0023</v>
      </c>
      <c r="AF83" s="1">
        <f t="shared" ref="AF83:AF111" si="32">IF(AC83=AE83,0,IF($C83&lt;$M$7,($C83-$M$6)/($M$7-$M$6),IF($C83&lt;$M$8,($C83-$M$7)/($M$8-$M$7),IF($C83&lt;$M$9,($C83-$M$8)/($M$9-$M$8),IF($C83&lt;$M$10,($C83-$M$9)/($M$10-$M$9),IF($C83&lt;$M$11,($C83-$M$10)/($M$11-$M$10),IF($C83&lt;$M$12,($C83-$M$11)/($M$12-$M$11),($C83-$M$12)/($M$13-$M$12))))))))*100</f>
        <v>0</v>
      </c>
      <c r="AG83" s="1">
        <f t="shared" ref="AG83:AG111" si="33">D83*H83/1000</f>
        <v>0.24499999999999994</v>
      </c>
      <c r="AH83" s="1">
        <f t="shared" ref="AH83:AH111" si="34">AG83-D83/1000</f>
        <v>-0.4549999999999999</v>
      </c>
      <c r="AI83" s="1">
        <f t="shared" si="19"/>
        <v>6.0000000000000036</v>
      </c>
      <c r="AJ83" s="1">
        <f t="shared" si="20"/>
        <v>0</v>
      </c>
      <c r="AK83" s="1">
        <f t="shared" ref="AK83:AK111" si="35">IF($C83&lt;$M$7,$I$26*$C83+$J$26,IF($C83&lt;$M$8,$I$27*$C83+$J$27,IF($C83&lt;$M$9,$I$28*$C83+$J$28,IF($C83&lt;$M$10,$I$29*$C83+$J$29,IF($C83&lt;$M$11,$I$30*$C83+$J$30,IF($C83&lt;$M$12,$I$31*$C83+$J$31,$I$32*$C83+$J$32))))))</f>
        <v>2</v>
      </c>
      <c r="AL83" s="7">
        <f t="shared" ref="AL83:AL111" si="36">IF($C83&lt;$M$7,$P$6,IF($C83&lt;$M$8,$P$7,IF($C83&lt;$M$9,$P$8,IF($C83&lt;$M$10,$P$9,IF($C83&lt;$M$11,$P$10,IF($C83&lt;$M$12,$P$11,$P$12))))))</f>
        <v>0</v>
      </c>
      <c r="AM83" s="229"/>
      <c r="AN83" s="86"/>
      <c r="AO83" s="86"/>
      <c r="AP83" s="86"/>
      <c r="AQ83" s="86"/>
      <c r="AR83" s="86"/>
      <c r="AS83" s="86">
        <f t="shared" ref="AS83:AS114" si="37">$AX$45*(D83/10^3)^2</f>
        <v>4.654999999999998E-2</v>
      </c>
      <c r="AT83" s="86">
        <f t="shared" ref="AT83:AT114" si="38">D83*$AY$45/10^3</f>
        <v>1.4349999999999996</v>
      </c>
      <c r="AU83" s="86">
        <f t="shared" ref="AU83:AU114" si="39">$AT$51*0.85/2</f>
        <v>0.81026249999999989</v>
      </c>
      <c r="AV83" s="86">
        <f t="shared" si="16"/>
        <v>0.53812499999999985</v>
      </c>
      <c r="AW83" s="225">
        <f t="shared" si="17"/>
        <v>0.28699999999999992</v>
      </c>
      <c r="AX83" s="71">
        <f>AS83*$X$4*パラメータ!$D$24</f>
        <v>15.361499999999994</v>
      </c>
      <c r="AY83" s="1">
        <f>AU83*$X$5*E83*パラメータ!$D$30</f>
        <v>27.548924999999997</v>
      </c>
      <c r="AZ83" s="1">
        <f>SUMPRODUCT($AC$4:$AC$10,$AD$4:$AD$10)*E83*パラメータ!$D$28*10^-3</f>
        <v>12.75</v>
      </c>
      <c r="BA83" s="1">
        <f>(AV83+AW83)*$X$6*$X$4*パラメータ!$D$22*10^-3</f>
        <v>5.5695937499999983</v>
      </c>
      <c r="BB83" s="1">
        <f>($X$8*$X$9*パラメータ!$D$22+0.5*$X$8^2*SIN(RADIANS($X$10))*パラメータ!$D$25)*E83*10^-3</f>
        <v>3.3081478802897957</v>
      </c>
      <c r="BC83" s="1">
        <f t="shared" ref="BC83:BC114" si="40">AT83*($X$12)</f>
        <v>14.349999999999996</v>
      </c>
      <c r="BD83" s="1">
        <f t="shared" ref="BD83:BD114" si="41">$X$11</f>
        <v>4</v>
      </c>
      <c r="BE83" s="1">
        <f>IF(G83="端リブ",AS83*$X$13*パラメータ!$D$22*2,0)</f>
        <v>0</v>
      </c>
      <c r="BF83" s="1">
        <f>主桁!AV38*1000</f>
        <v>116.54676036736915</v>
      </c>
      <c r="BG83" s="1">
        <f t="shared" si="21"/>
        <v>82.888166630289774</v>
      </c>
      <c r="BH83" s="1">
        <f t="shared" si="22"/>
        <v>0.19943492699765891</v>
      </c>
      <c r="BI83" s="2">
        <f>(AO83-機体重量!$E$15)^2+(AP83-機体重量!$F$15)^2</f>
        <v>5.4950777486569501E-4</v>
      </c>
      <c r="BJ83" s="2">
        <f>(AP83-機体重量!$F$15)^2</f>
        <v>3.8816156979940122E-4</v>
      </c>
      <c r="BK83" s="235">
        <f>(AO83-機体重量!$E$15)^2</f>
        <v>1.6134620506629379E-4</v>
      </c>
    </row>
    <row r="84" spans="2:63">
      <c r="B84" s="29">
        <v>33</v>
      </c>
      <c r="C84" s="1">
        <f t="shared" si="25"/>
        <v>7.0000000000000044</v>
      </c>
      <c r="D84" s="1">
        <f t="shared" si="27"/>
        <v>689.99999999999989</v>
      </c>
      <c r="E84" s="22">
        <v>0.2</v>
      </c>
      <c r="F84" s="22" t="str">
        <f t="shared" si="26"/>
        <v>2nd</v>
      </c>
      <c r="G84" s="75" t="str">
        <f t="shared" si="28"/>
        <v>2番</v>
      </c>
      <c r="H84" s="1">
        <f t="shared" si="29"/>
        <v>0.35</v>
      </c>
      <c r="I84" s="9">
        <f>主桁!AD39*2</f>
        <v>83.227999999999966</v>
      </c>
      <c r="J84" s="1">
        <f>主桁!AE39*2</f>
        <v>83.24749999999996</v>
      </c>
      <c r="K84" s="225"/>
      <c r="L84" s="230"/>
      <c r="M84" s="86"/>
      <c r="N84" s="86"/>
      <c r="O84" s="229"/>
      <c r="P84" s="86"/>
      <c r="Q84" s="86"/>
      <c r="R84" s="86"/>
      <c r="S84" s="86"/>
      <c r="T84" s="86"/>
      <c r="U84" s="86"/>
      <c r="V84" s="86"/>
      <c r="W84" s="86"/>
      <c r="X84" s="86"/>
      <c r="Y84" s="86"/>
      <c r="Z84" s="86"/>
      <c r="AA84" s="86"/>
      <c r="AB84" s="86"/>
      <c r="AC84" s="71" t="str">
        <f t="shared" si="30"/>
        <v>QX0023</v>
      </c>
      <c r="AD84" s="1">
        <f t="shared" si="18"/>
        <v>100</v>
      </c>
      <c r="AE84" s="1" t="str">
        <f t="shared" si="31"/>
        <v>QX0023</v>
      </c>
      <c r="AF84" s="1">
        <f t="shared" si="32"/>
        <v>0</v>
      </c>
      <c r="AG84" s="1">
        <f t="shared" si="33"/>
        <v>0.24149999999999994</v>
      </c>
      <c r="AH84" s="1">
        <f t="shared" si="34"/>
        <v>-0.4484999999999999</v>
      </c>
      <c r="AI84" s="1">
        <f t="shared" si="19"/>
        <v>6.2000000000000037</v>
      </c>
      <c r="AJ84" s="1">
        <f t="shared" si="20"/>
        <v>0</v>
      </c>
      <c r="AK84" s="1">
        <f t="shared" si="35"/>
        <v>2</v>
      </c>
      <c r="AL84" s="7">
        <f t="shared" si="36"/>
        <v>0</v>
      </c>
      <c r="AM84" s="229"/>
      <c r="AN84" s="86"/>
      <c r="AO84" s="86"/>
      <c r="AP84" s="86"/>
      <c r="AQ84" s="86"/>
      <c r="AR84" s="86"/>
      <c r="AS84" s="86">
        <f t="shared" si="37"/>
        <v>4.5229499999999978E-2</v>
      </c>
      <c r="AT84" s="86">
        <f t="shared" si="38"/>
        <v>1.4144999999999996</v>
      </c>
      <c r="AU84" s="86">
        <f t="shared" si="39"/>
        <v>0.81026249999999989</v>
      </c>
      <c r="AV84" s="86">
        <f t="shared" si="16"/>
        <v>0.5304374999999999</v>
      </c>
      <c r="AW84" s="225">
        <f t="shared" si="17"/>
        <v>0.28289999999999993</v>
      </c>
      <c r="AX84" s="71">
        <f>AS84*$X$4*パラメータ!$D$24</f>
        <v>14.925734999999992</v>
      </c>
      <c r="AY84" s="1">
        <f>AU84*$X$5*E84*パラメータ!$D$30</f>
        <v>27.548924999999997</v>
      </c>
      <c r="AZ84" s="1">
        <f>SUMPRODUCT($AC$4:$AC$10,$AD$4:$AD$10)*E84*パラメータ!$D$28*10^-3</f>
        <v>12.75</v>
      </c>
      <c r="BA84" s="1">
        <f>(AV84+AW84)*$X$6*$X$4*パラメータ!$D$22*10^-3</f>
        <v>5.4900281249999994</v>
      </c>
      <c r="BB84" s="1">
        <f>($X$8*$X$9*パラメータ!$D$22+0.5*$X$8^2*SIN(RADIANS($X$10))*パラメータ!$D$25)*E84*10^-3</f>
        <v>3.3081478802897957</v>
      </c>
      <c r="BC84" s="1">
        <f t="shared" si="40"/>
        <v>14.144999999999996</v>
      </c>
      <c r="BD84" s="1">
        <f t="shared" si="41"/>
        <v>4</v>
      </c>
      <c r="BE84" s="1">
        <f>IF(G84="端リブ",AS84*$X$13*パラメータ!$D$22*2,0)</f>
        <v>0</v>
      </c>
      <c r="BF84" s="1">
        <f>主桁!AV39*1000</f>
        <v>114.31664264142658</v>
      </c>
      <c r="BG84" s="1">
        <f t="shared" si="21"/>
        <v>82.167836005289786</v>
      </c>
      <c r="BH84" s="1">
        <f t="shared" si="22"/>
        <v>0.19648447864671637</v>
      </c>
      <c r="BI84" s="2">
        <f>(AO84-機体重量!$E$15)^2+(AP84-機体重量!$F$15)^2</f>
        <v>5.4950777486569501E-4</v>
      </c>
      <c r="BJ84" s="2">
        <f>(AP84-機体重量!$F$15)^2</f>
        <v>3.8816156979940122E-4</v>
      </c>
      <c r="BK84" s="235">
        <f>(AO84-機体重量!$E$15)^2</f>
        <v>1.6134620506629379E-4</v>
      </c>
    </row>
    <row r="85" spans="2:63">
      <c r="B85" s="29">
        <v>34</v>
      </c>
      <c r="C85" s="1">
        <f t="shared" si="25"/>
        <v>7.2000000000000046</v>
      </c>
      <c r="D85" s="1">
        <f t="shared" si="27"/>
        <v>679.99999999999977</v>
      </c>
      <c r="E85" s="22">
        <v>0.2</v>
      </c>
      <c r="F85" s="22" t="s">
        <v>943</v>
      </c>
      <c r="G85" s="75" t="str">
        <f t="shared" si="28"/>
        <v>2番</v>
      </c>
      <c r="H85" s="1">
        <f t="shared" si="29"/>
        <v>0.35</v>
      </c>
      <c r="I85" s="9">
        <f>主桁!AD40*2</f>
        <v>81.627999999999972</v>
      </c>
      <c r="J85" s="1">
        <f>主桁!AE40*2</f>
        <v>81.623499999999964</v>
      </c>
      <c r="K85" s="225"/>
      <c r="L85" s="230"/>
      <c r="M85" s="86"/>
      <c r="N85" s="86"/>
      <c r="O85" s="229"/>
      <c r="P85" s="86"/>
      <c r="Q85" s="86"/>
      <c r="R85" s="86"/>
      <c r="S85" s="86"/>
      <c r="T85" s="86"/>
      <c r="U85" s="86"/>
      <c r="V85" s="86"/>
      <c r="W85" s="86"/>
      <c r="X85" s="86"/>
      <c r="Y85" s="86"/>
      <c r="Z85" s="86"/>
      <c r="AA85" s="86"/>
      <c r="AB85" s="86"/>
      <c r="AC85" s="71" t="str">
        <f t="shared" si="30"/>
        <v>QX0023</v>
      </c>
      <c r="AD85" s="1">
        <f t="shared" si="18"/>
        <v>100</v>
      </c>
      <c r="AE85" s="1" t="str">
        <f t="shared" si="31"/>
        <v>QX0023</v>
      </c>
      <c r="AF85" s="1">
        <f t="shared" si="32"/>
        <v>0</v>
      </c>
      <c r="AG85" s="1">
        <f t="shared" si="33"/>
        <v>0.23799999999999991</v>
      </c>
      <c r="AH85" s="1">
        <f t="shared" si="34"/>
        <v>-0.44199999999999995</v>
      </c>
      <c r="AI85" s="1">
        <f t="shared" ref="AI85:AI111" si="42">AI84+E84*COS(RADIANS(AL84))</f>
        <v>6.4000000000000039</v>
      </c>
      <c r="AJ85" s="1">
        <f t="shared" ref="AJ85:AJ111" si="43">AJ84+E84*SIN(RADIANS(AL84))</f>
        <v>0</v>
      </c>
      <c r="AK85" s="1">
        <f t="shared" si="35"/>
        <v>2</v>
      </c>
      <c r="AL85" s="7">
        <f t="shared" si="36"/>
        <v>6</v>
      </c>
      <c r="AM85" s="229"/>
      <c r="AN85" s="86"/>
      <c r="AO85" s="86"/>
      <c r="AP85" s="86"/>
      <c r="AQ85" s="86"/>
      <c r="AR85" s="86"/>
      <c r="AS85" s="86">
        <f t="shared" si="37"/>
        <v>4.3927999999999974E-2</v>
      </c>
      <c r="AT85" s="86">
        <f t="shared" si="38"/>
        <v>1.3939999999999992</v>
      </c>
      <c r="AU85" s="86">
        <f t="shared" si="39"/>
        <v>0.81026249999999989</v>
      </c>
      <c r="AV85" s="86">
        <f t="shared" si="16"/>
        <v>0.52274999999999971</v>
      </c>
      <c r="AW85" s="225">
        <f t="shared" si="17"/>
        <v>0.27879999999999988</v>
      </c>
      <c r="AX85" s="71">
        <f>AS85*$X$4*パラメータ!$D$24</f>
        <v>14.496239999999991</v>
      </c>
      <c r="AY85" s="1">
        <f>AU85*$X$5*E85*パラメータ!$D$30</f>
        <v>27.548924999999997</v>
      </c>
      <c r="AZ85" s="1">
        <f>SUMPRODUCT($AC$4:$AC$10,$AD$4:$AD$10)*E85*パラメータ!$D$28*10^-3</f>
        <v>12.75</v>
      </c>
      <c r="BA85" s="1">
        <f>(AV85+AW85)*$X$6*$X$4*パラメータ!$D$22*10^-3</f>
        <v>5.410462499999996</v>
      </c>
      <c r="BB85" s="1">
        <f>($X$8*$X$9*パラメータ!$D$22+0.5*$X$8^2*SIN(RADIANS($X$10))*パラメータ!$D$25)*E85*10^-3</f>
        <v>3.3081478802897957</v>
      </c>
      <c r="BC85" s="1">
        <f t="shared" si="40"/>
        <v>13.939999999999992</v>
      </c>
      <c r="BD85" s="1">
        <f t="shared" si="41"/>
        <v>4</v>
      </c>
      <c r="BE85" s="1">
        <f>IF(G85="端リブ",AS85*$X$13*パラメータ!$D$22*2,0)</f>
        <v>0</v>
      </c>
      <c r="BF85" s="1">
        <f>主桁!AV40*1000</f>
        <v>112.08652326822853</v>
      </c>
      <c r="BG85" s="1">
        <f t="shared" si="21"/>
        <v>81.45377538028977</v>
      </c>
      <c r="BH85" s="1">
        <f t="shared" si="22"/>
        <v>0.19354029864851829</v>
      </c>
      <c r="BI85" s="2">
        <f>(AO85-機体重量!$E$15)^2+(AP85-機体重量!$F$15)^2</f>
        <v>5.4950777486569501E-4</v>
      </c>
      <c r="BJ85" s="2">
        <f>(AP85-機体重量!$F$15)^2</f>
        <v>3.8816156979940122E-4</v>
      </c>
      <c r="BK85" s="235">
        <f>(AO85-機体重量!$E$15)^2</f>
        <v>1.6134620506629379E-4</v>
      </c>
    </row>
    <row r="86" spans="2:63">
      <c r="B86" s="29">
        <v>35</v>
      </c>
      <c r="C86" s="1">
        <f t="shared" si="25"/>
        <v>7.4000000000000048</v>
      </c>
      <c r="D86" s="1">
        <f t="shared" si="27"/>
        <v>669.99999999999966</v>
      </c>
      <c r="E86" s="22">
        <v>0.2</v>
      </c>
      <c r="F86" s="22" t="str">
        <f>IF(C86&lt;$M$7,"flat",IF(C86&lt;$M$8,"1st",IF(C86&lt;$M$9,"2nd",IF(C86&lt;$M$10,"3rd",IF(C86&lt;$M$11,"4th",IF(C86&lt;$M$12,"5th","6th"))))))</f>
        <v>3rd</v>
      </c>
      <c r="G86" s="75" t="str">
        <f t="shared" si="28"/>
        <v>2番</v>
      </c>
      <c r="H86" s="1">
        <f t="shared" si="29"/>
        <v>0.35</v>
      </c>
      <c r="I86" s="9">
        <f>主桁!AD41*2</f>
        <v>80.027999999999977</v>
      </c>
      <c r="J86" s="1">
        <f>主桁!AE41*2</f>
        <v>79.999499999999969</v>
      </c>
      <c r="K86" s="225"/>
      <c r="L86" s="230"/>
      <c r="M86" s="86"/>
      <c r="N86" s="86"/>
      <c r="O86" s="229"/>
      <c r="P86" s="86"/>
      <c r="Q86" s="86"/>
      <c r="R86" s="86"/>
      <c r="S86" s="86"/>
      <c r="T86" s="86"/>
      <c r="U86" s="86"/>
      <c r="V86" s="86"/>
      <c r="W86" s="86"/>
      <c r="X86" s="86"/>
      <c r="Y86" s="86"/>
      <c r="Z86" s="86"/>
      <c r="AA86" s="86"/>
      <c r="AB86" s="86"/>
      <c r="AC86" s="71" t="str">
        <f t="shared" si="30"/>
        <v>QX0023</v>
      </c>
      <c r="AD86" s="1">
        <f t="shared" si="18"/>
        <v>100</v>
      </c>
      <c r="AE86" s="1" t="str">
        <f t="shared" si="31"/>
        <v>QX0023</v>
      </c>
      <c r="AF86" s="1">
        <f t="shared" si="32"/>
        <v>0</v>
      </c>
      <c r="AG86" s="1">
        <f t="shared" si="33"/>
        <v>0.23449999999999985</v>
      </c>
      <c r="AH86" s="1">
        <f t="shared" si="34"/>
        <v>-0.43549999999999989</v>
      </c>
      <c r="AI86" s="1">
        <f t="shared" si="42"/>
        <v>6.5989043790736588</v>
      </c>
      <c r="AJ86" s="1">
        <f t="shared" si="43"/>
        <v>2.0905692653530695E-2</v>
      </c>
      <c r="AK86" s="1">
        <f t="shared" si="35"/>
        <v>2</v>
      </c>
      <c r="AL86" s="7">
        <f t="shared" si="36"/>
        <v>6</v>
      </c>
      <c r="AM86" s="229"/>
      <c r="AN86" s="86"/>
      <c r="AO86" s="86"/>
      <c r="AP86" s="86"/>
      <c r="AQ86" s="86"/>
      <c r="AR86" s="86"/>
      <c r="AS86" s="86">
        <f t="shared" si="37"/>
        <v>4.2645499999999968E-2</v>
      </c>
      <c r="AT86" s="86">
        <f t="shared" si="38"/>
        <v>1.3734999999999991</v>
      </c>
      <c r="AU86" s="86">
        <f t="shared" si="39"/>
        <v>0.81026249999999989</v>
      </c>
      <c r="AV86" s="86">
        <f t="shared" si="16"/>
        <v>0.51506249999999965</v>
      </c>
      <c r="AW86" s="225">
        <f t="shared" si="17"/>
        <v>0.27469999999999983</v>
      </c>
      <c r="AX86" s="71">
        <f>AS86*$X$4*パラメータ!$D$24</f>
        <v>14.073014999999989</v>
      </c>
      <c r="AY86" s="1">
        <f>AU86*$X$5*E86*パラメータ!$D$30</f>
        <v>27.548924999999997</v>
      </c>
      <c r="AZ86" s="1">
        <f>SUMPRODUCT($AC$4:$AC$10,$AD$4:$AD$10)*E86*パラメータ!$D$28*10^-3</f>
        <v>12.75</v>
      </c>
      <c r="BA86" s="1">
        <f>(AV86+AW86)*$X$6*$X$4*パラメータ!$D$22*10^-3</f>
        <v>5.330896874999997</v>
      </c>
      <c r="BB86" s="1">
        <f>($X$8*$X$9*パラメータ!$D$22+0.5*$X$8^2*SIN(RADIANS($X$10))*パラメータ!$D$25)*E86*10^-3</f>
        <v>3.3081478802897957</v>
      </c>
      <c r="BC86" s="1">
        <f t="shared" si="40"/>
        <v>13.734999999999991</v>
      </c>
      <c r="BD86" s="1">
        <f t="shared" si="41"/>
        <v>4</v>
      </c>
      <c r="BE86" s="1">
        <f>IF(G86="端リブ",AS86*$X$13*パラメータ!$D$22*2,0)</f>
        <v>0</v>
      </c>
      <c r="BF86" s="1">
        <f>主桁!AV41*1000</f>
        <v>109.85640214805552</v>
      </c>
      <c r="BG86" s="1">
        <f t="shared" si="21"/>
        <v>80.745984755289768</v>
      </c>
      <c r="BH86" s="1">
        <f t="shared" si="22"/>
        <v>0.1906023869033453</v>
      </c>
      <c r="BI86" s="2">
        <f>(AO86-機体重量!$E$15)^2+(AP86-機体重量!$F$15)^2</f>
        <v>5.4950777486569501E-4</v>
      </c>
      <c r="BJ86" s="2">
        <f>(AP86-機体重量!$F$15)^2</f>
        <v>3.8816156979940122E-4</v>
      </c>
      <c r="BK86" s="235">
        <f>(AO86-機体重量!$E$15)^2</f>
        <v>1.6134620506629379E-4</v>
      </c>
    </row>
    <row r="87" spans="2:63">
      <c r="B87" s="29">
        <v>36</v>
      </c>
      <c r="C87" s="1">
        <f t="shared" si="25"/>
        <v>7.600000000000005</v>
      </c>
      <c r="D87" s="1">
        <f t="shared" si="27"/>
        <v>659.99999999999966</v>
      </c>
      <c r="E87" s="22">
        <v>0.2</v>
      </c>
      <c r="F87" s="22" t="str">
        <f>IF(C87&lt;$M$7,"flat",IF(C87&lt;$M$8,"1st",IF(C87&lt;$M$9,"2nd",IF(C87&lt;$M$10,"3rd",IF(C87&lt;$M$11,"4th",IF(C87&lt;$M$12,"5th","6th"))))))</f>
        <v>3rd</v>
      </c>
      <c r="G87" s="75" t="str">
        <f t="shared" si="28"/>
        <v>2番</v>
      </c>
      <c r="H87" s="1">
        <f t="shared" si="29"/>
        <v>0.35</v>
      </c>
      <c r="I87" s="9">
        <f>主桁!AD42*2</f>
        <v>78.427999999999969</v>
      </c>
      <c r="J87" s="1">
        <f>主桁!AE42*2</f>
        <v>78.37549999999996</v>
      </c>
      <c r="K87" s="225"/>
      <c r="L87" s="230"/>
      <c r="M87" s="86"/>
      <c r="N87" s="86"/>
      <c r="O87" s="229"/>
      <c r="P87" s="86"/>
      <c r="Q87" s="86"/>
      <c r="R87" s="86"/>
      <c r="S87" s="86"/>
      <c r="T87" s="86"/>
      <c r="U87" s="86"/>
      <c r="V87" s="86"/>
      <c r="W87" s="86"/>
      <c r="X87" s="86"/>
      <c r="Y87" s="86"/>
      <c r="Z87" s="86"/>
      <c r="AA87" s="86"/>
      <c r="AB87" s="86"/>
      <c r="AC87" s="71" t="str">
        <f t="shared" si="30"/>
        <v>QX0023</v>
      </c>
      <c r="AD87" s="1">
        <f t="shared" si="18"/>
        <v>100</v>
      </c>
      <c r="AE87" s="1" t="str">
        <f t="shared" si="31"/>
        <v>QX0023</v>
      </c>
      <c r="AF87" s="1">
        <f t="shared" si="32"/>
        <v>0</v>
      </c>
      <c r="AG87" s="1">
        <f t="shared" si="33"/>
        <v>0.23099999999999984</v>
      </c>
      <c r="AH87" s="1">
        <f t="shared" si="34"/>
        <v>-0.42899999999999983</v>
      </c>
      <c r="AI87" s="1">
        <f t="shared" si="42"/>
        <v>6.7978087581473137</v>
      </c>
      <c r="AJ87" s="1">
        <f t="shared" si="43"/>
        <v>4.181138530706139E-2</v>
      </c>
      <c r="AK87" s="1">
        <f t="shared" si="35"/>
        <v>2</v>
      </c>
      <c r="AL87" s="7">
        <f t="shared" si="36"/>
        <v>6</v>
      </c>
      <c r="AM87" s="229"/>
      <c r="AN87" s="86"/>
      <c r="AO87" s="86"/>
      <c r="AP87" s="86"/>
      <c r="AQ87" s="86"/>
      <c r="AR87" s="86"/>
      <c r="AS87" s="86">
        <f t="shared" si="37"/>
        <v>4.138199999999996E-2</v>
      </c>
      <c r="AT87" s="86">
        <f t="shared" si="38"/>
        <v>1.3529999999999991</v>
      </c>
      <c r="AU87" s="86">
        <f t="shared" si="39"/>
        <v>0.81026249999999989</v>
      </c>
      <c r="AV87" s="86">
        <f t="shared" si="16"/>
        <v>0.50737499999999969</v>
      </c>
      <c r="AW87" s="225">
        <f t="shared" si="17"/>
        <v>0.27059999999999984</v>
      </c>
      <c r="AX87" s="71">
        <f>AS87*$X$4*パラメータ!$D$24</f>
        <v>13.656059999999988</v>
      </c>
      <c r="AY87" s="1">
        <f>AU87*$X$5*E87*パラメータ!$D$30</f>
        <v>27.548924999999997</v>
      </c>
      <c r="AZ87" s="1">
        <f>SUMPRODUCT($AC$4:$AC$10,$AD$4:$AD$10)*E87*パラメータ!$D$28*10^-3</f>
        <v>12.75</v>
      </c>
      <c r="BA87" s="1">
        <f>(AV87+AW87)*$X$6*$X$4*パラメータ!$D$22*10^-3</f>
        <v>5.2513312499999962</v>
      </c>
      <c r="BB87" s="1">
        <f>($X$8*$X$9*パラメータ!$D$22+0.5*$X$8^2*SIN(RADIANS($X$10))*パラメータ!$D$25)*E87*10^-3</f>
        <v>3.3081478802897957</v>
      </c>
      <c r="BC87" s="1">
        <f t="shared" si="40"/>
        <v>13.52999999999999</v>
      </c>
      <c r="BD87" s="1">
        <f t="shared" si="41"/>
        <v>4</v>
      </c>
      <c r="BE87" s="1">
        <f>IF(G87="端リブ",AS87*$X$13*パラメータ!$D$22*2,0)</f>
        <v>0</v>
      </c>
      <c r="BF87" s="1">
        <f>主桁!AV42*1000</f>
        <v>107.62627917297249</v>
      </c>
      <c r="BG87" s="1">
        <f t="shared" si="21"/>
        <v>80.044464130289768</v>
      </c>
      <c r="BH87" s="1">
        <f t="shared" si="22"/>
        <v>0.18767074330326228</v>
      </c>
      <c r="BI87" s="2">
        <f>(AO87-機体重量!$E$15)^2+(AP87-機体重量!$F$15)^2</f>
        <v>5.4950777486569501E-4</v>
      </c>
      <c r="BJ87" s="2">
        <f>(AP87-機体重量!$F$15)^2</f>
        <v>3.8816156979940122E-4</v>
      </c>
      <c r="BK87" s="235">
        <f>(AO87-機体重量!$E$15)^2</f>
        <v>1.6134620506629379E-4</v>
      </c>
    </row>
    <row r="88" spans="2:63">
      <c r="B88" s="29">
        <v>37</v>
      </c>
      <c r="C88" s="1">
        <f t="shared" si="25"/>
        <v>7.8000000000000052</v>
      </c>
      <c r="D88" s="1">
        <f t="shared" si="27"/>
        <v>649.99999999999966</v>
      </c>
      <c r="E88" s="22">
        <v>0.2</v>
      </c>
      <c r="F88" s="22" t="str">
        <f>IF(C88&lt;$M$7,"flat",IF(C88&lt;$M$8,"1st",IF(C88&lt;$M$9,"2nd",IF(C88&lt;$M$10,"3rd",IF(C88&lt;$M$11,"4th",IF(C88&lt;$M$12,"5th","6th"))))))</f>
        <v>3rd</v>
      </c>
      <c r="G88" s="75" t="str">
        <f t="shared" si="28"/>
        <v>2番</v>
      </c>
      <c r="H88" s="1">
        <f t="shared" si="29"/>
        <v>0.35</v>
      </c>
      <c r="I88" s="9">
        <f>主桁!AD43*2</f>
        <v>76.82799999999996</v>
      </c>
      <c r="J88" s="1">
        <f>主桁!AE43*2</f>
        <v>76.75149999999995</v>
      </c>
      <c r="K88" s="225"/>
      <c r="L88" s="230"/>
      <c r="M88" s="86"/>
      <c r="N88" s="86"/>
      <c r="O88" s="229"/>
      <c r="P88" s="86"/>
      <c r="Q88" s="86"/>
      <c r="R88" s="86"/>
      <c r="S88" s="86"/>
      <c r="T88" s="86"/>
      <c r="U88" s="86"/>
      <c r="V88" s="86"/>
      <c r="W88" s="86"/>
      <c r="X88" s="86"/>
      <c r="Y88" s="86"/>
      <c r="Z88" s="86"/>
      <c r="AA88" s="86"/>
      <c r="AB88" s="86"/>
      <c r="AC88" s="71" t="str">
        <f t="shared" si="30"/>
        <v>QX0023</v>
      </c>
      <c r="AD88" s="1">
        <f t="shared" si="18"/>
        <v>100</v>
      </c>
      <c r="AE88" s="1" t="str">
        <f t="shared" si="31"/>
        <v>QX0023</v>
      </c>
      <c r="AF88" s="1">
        <f t="shared" si="32"/>
        <v>0</v>
      </c>
      <c r="AG88" s="1">
        <f t="shared" si="33"/>
        <v>0.22749999999999987</v>
      </c>
      <c r="AH88" s="1">
        <f t="shared" si="34"/>
        <v>-0.42249999999999982</v>
      </c>
      <c r="AI88" s="1">
        <f t="shared" si="42"/>
        <v>6.9967131372209685</v>
      </c>
      <c r="AJ88" s="1">
        <f t="shared" si="43"/>
        <v>6.2717077960592088E-2</v>
      </c>
      <c r="AK88" s="1">
        <f t="shared" si="35"/>
        <v>2</v>
      </c>
      <c r="AL88" s="7">
        <f t="shared" si="36"/>
        <v>6</v>
      </c>
      <c r="AM88" s="229"/>
      <c r="AN88" s="86"/>
      <c r="AO88" s="86"/>
      <c r="AP88" s="86"/>
      <c r="AQ88" s="86"/>
      <c r="AR88" s="86"/>
      <c r="AS88" s="86">
        <f t="shared" si="37"/>
        <v>4.0137499999999965E-2</v>
      </c>
      <c r="AT88" s="86">
        <f t="shared" si="38"/>
        <v>1.3324999999999991</v>
      </c>
      <c r="AU88" s="86">
        <f t="shared" si="39"/>
        <v>0.81026249999999989</v>
      </c>
      <c r="AV88" s="86">
        <f t="shared" si="16"/>
        <v>0.49968749999999967</v>
      </c>
      <c r="AW88" s="225">
        <f t="shared" si="17"/>
        <v>0.26649999999999985</v>
      </c>
      <c r="AX88" s="71">
        <f>AS88*$X$4*パラメータ!$D$24</f>
        <v>13.245374999999989</v>
      </c>
      <c r="AY88" s="1">
        <f>AU88*$X$5*E88*パラメータ!$D$30</f>
        <v>27.548924999999997</v>
      </c>
      <c r="AZ88" s="1">
        <f>SUMPRODUCT($AC$4:$AC$10,$AD$4:$AD$10)*E88*パラメータ!$D$28*10^-3</f>
        <v>12.75</v>
      </c>
      <c r="BA88" s="1">
        <f>(AV88+AW88)*$X$6*$X$4*パラメータ!$D$22*10^-3</f>
        <v>5.1717656249999964</v>
      </c>
      <c r="BB88" s="1">
        <f>($X$8*$X$9*パラメータ!$D$22+0.5*$X$8^2*SIN(RADIANS($X$10))*パラメータ!$D$25)*E88*10^-3</f>
        <v>3.3081478802897957</v>
      </c>
      <c r="BC88" s="1">
        <f t="shared" si="40"/>
        <v>13.324999999999992</v>
      </c>
      <c r="BD88" s="1">
        <f t="shared" si="41"/>
        <v>4</v>
      </c>
      <c r="BE88" s="1">
        <f>IF(G88="端リブ",AS88*$X$13*パラメータ!$D$22*2,0)</f>
        <v>0</v>
      </c>
      <c r="BF88" s="1">
        <f>主桁!AV43*1000</f>
        <v>105.39615422596466</v>
      </c>
      <c r="BG88" s="1">
        <f t="shared" si="21"/>
        <v>79.349213505289768</v>
      </c>
      <c r="BH88" s="1">
        <f t="shared" si="22"/>
        <v>0.18474536773125441</v>
      </c>
      <c r="BI88" s="2">
        <f>(AO88-機体重量!$E$15)^2+(AP88-機体重量!$F$15)^2</f>
        <v>5.4950777486569501E-4</v>
      </c>
      <c r="BJ88" s="2">
        <f>(AP88-機体重量!$F$15)^2</f>
        <v>3.8816156979940122E-4</v>
      </c>
      <c r="BK88" s="235">
        <f>(AO88-機体重量!$E$15)^2</f>
        <v>1.6134620506629379E-4</v>
      </c>
    </row>
    <row r="89" spans="2:63">
      <c r="B89" s="29">
        <v>38</v>
      </c>
      <c r="C89" s="1">
        <f t="shared" si="25"/>
        <v>8.0000000000000053</v>
      </c>
      <c r="D89" s="1">
        <f t="shared" si="27"/>
        <v>639.99999999999966</v>
      </c>
      <c r="E89" s="22">
        <v>0.2</v>
      </c>
      <c r="F89" s="22" t="str">
        <f>IF(C89&lt;$M$7,"flat",IF(C89&lt;$M$8,"1st",IF(C89&lt;$M$9,"2nd",IF(C89&lt;$M$10,"3rd",IF(C89&lt;$M$11,"4th",IF(C89&lt;$M$12,"5th","6th"))))))</f>
        <v>3rd</v>
      </c>
      <c r="G89" s="75" t="str">
        <f t="shared" si="28"/>
        <v>2番</v>
      </c>
      <c r="H89" s="1">
        <f t="shared" si="29"/>
        <v>0.35</v>
      </c>
      <c r="I89" s="9">
        <f>主桁!AD44*2</f>
        <v>75.227999999999966</v>
      </c>
      <c r="J89" s="1">
        <f>主桁!AE44*2</f>
        <v>75.127499999999955</v>
      </c>
      <c r="K89" s="225"/>
      <c r="L89" s="230"/>
      <c r="M89" s="86"/>
      <c r="N89" s="86"/>
      <c r="O89" s="229"/>
      <c r="P89" s="86"/>
      <c r="Q89" s="86"/>
      <c r="R89" s="86"/>
      <c r="S89" s="86"/>
      <c r="T89" s="86"/>
      <c r="U89" s="86"/>
      <c r="V89" s="86"/>
      <c r="W89" s="86"/>
      <c r="X89" s="86"/>
      <c r="Y89" s="86"/>
      <c r="Z89" s="86"/>
      <c r="AA89" s="86"/>
      <c r="AB89" s="86"/>
      <c r="AC89" s="71" t="str">
        <f t="shared" si="30"/>
        <v>QX0023</v>
      </c>
      <c r="AD89" s="1">
        <f t="shared" si="18"/>
        <v>100</v>
      </c>
      <c r="AE89" s="1" t="str">
        <f t="shared" si="31"/>
        <v>QX0023</v>
      </c>
      <c r="AF89" s="1">
        <f t="shared" si="32"/>
        <v>0</v>
      </c>
      <c r="AG89" s="1">
        <f t="shared" si="33"/>
        <v>0.22399999999999987</v>
      </c>
      <c r="AH89" s="1">
        <f t="shared" si="34"/>
        <v>-0.41599999999999981</v>
      </c>
      <c r="AI89" s="1">
        <f t="shared" si="42"/>
        <v>7.1956175162946234</v>
      </c>
      <c r="AJ89" s="1">
        <f t="shared" si="43"/>
        <v>8.3622770614122779E-2</v>
      </c>
      <c r="AK89" s="1">
        <f t="shared" si="35"/>
        <v>2</v>
      </c>
      <c r="AL89" s="7">
        <f t="shared" si="36"/>
        <v>6</v>
      </c>
      <c r="AM89" s="229"/>
      <c r="AN89" s="86"/>
      <c r="AO89" s="86"/>
      <c r="AP89" s="86"/>
      <c r="AQ89" s="86"/>
      <c r="AR89" s="86"/>
      <c r="AS89" s="86">
        <f t="shared" si="37"/>
        <v>3.8911999999999961E-2</v>
      </c>
      <c r="AT89" s="86">
        <f t="shared" si="38"/>
        <v>1.3119999999999992</v>
      </c>
      <c r="AU89" s="86">
        <f t="shared" si="39"/>
        <v>0.81026249999999989</v>
      </c>
      <c r="AV89" s="86">
        <f t="shared" si="16"/>
        <v>0.49199999999999966</v>
      </c>
      <c r="AW89" s="225">
        <f t="shared" si="17"/>
        <v>0.26239999999999986</v>
      </c>
      <c r="AX89" s="71">
        <f>AS89*$X$4*パラメータ!$D$24</f>
        <v>12.840959999999987</v>
      </c>
      <c r="AY89" s="1">
        <f>AU89*$X$5*E89*パラメータ!$D$30</f>
        <v>27.548924999999997</v>
      </c>
      <c r="AZ89" s="1">
        <f>SUMPRODUCT($AC$4:$AC$10,$AD$4:$AD$10)*E89*パラメータ!$D$28*10^-3</f>
        <v>12.75</v>
      </c>
      <c r="BA89" s="1">
        <f>(AV89+AW89)*$X$6*$X$4*パラメータ!$D$22*10^-3</f>
        <v>5.0921999999999974</v>
      </c>
      <c r="BB89" s="1">
        <f>($X$8*$X$9*パラメータ!$D$22+0.5*$X$8^2*SIN(RADIANS($X$10))*パラメータ!$D$25)*E89*10^-3</f>
        <v>3.3081478802897957</v>
      </c>
      <c r="BC89" s="1">
        <f t="shared" si="40"/>
        <v>13.119999999999992</v>
      </c>
      <c r="BD89" s="1">
        <f t="shared" si="41"/>
        <v>4</v>
      </c>
      <c r="BE89" s="1">
        <f>IF(G89="端リブ",AS89*$X$13*パラメータ!$D$22*2,0)</f>
        <v>0</v>
      </c>
      <c r="BF89" s="1">
        <f>主桁!AV44*1000</f>
        <v>103.16602717996206</v>
      </c>
      <c r="BG89" s="1">
        <f t="shared" si="21"/>
        <v>78.660232880289769</v>
      </c>
      <c r="BH89" s="1">
        <f t="shared" si="22"/>
        <v>0.18182626006025182</v>
      </c>
      <c r="BI89" s="2">
        <f>(AO89-機体重量!$E$15)^2+(AP89-機体重量!$F$15)^2</f>
        <v>5.4950777486569501E-4</v>
      </c>
      <c r="BJ89" s="2">
        <f>(AP89-機体重量!$F$15)^2</f>
        <v>3.8816156979940122E-4</v>
      </c>
      <c r="BK89" s="235">
        <f>(AO89-機体重量!$E$15)^2</f>
        <v>1.6134620506629379E-4</v>
      </c>
    </row>
    <row r="90" spans="2:63">
      <c r="B90" s="29">
        <v>39</v>
      </c>
      <c r="C90" s="1">
        <f t="shared" si="25"/>
        <v>8.2000000000000046</v>
      </c>
      <c r="D90" s="1">
        <f t="shared" si="27"/>
        <v>629.99999999999966</v>
      </c>
      <c r="E90" s="22">
        <v>0.2</v>
      </c>
      <c r="F90" s="22" t="s">
        <v>943</v>
      </c>
      <c r="G90" s="75" t="str">
        <f t="shared" si="28"/>
        <v>2番</v>
      </c>
      <c r="H90" s="1">
        <f t="shared" si="29"/>
        <v>0.35</v>
      </c>
      <c r="I90" s="9">
        <f>主桁!AD45*2</f>
        <v>73.627999999999972</v>
      </c>
      <c r="J90" s="1">
        <f>主桁!AE45*2</f>
        <v>73.50349999999996</v>
      </c>
      <c r="K90" s="225"/>
      <c r="L90" s="230"/>
      <c r="M90" s="86"/>
      <c r="N90" s="86"/>
      <c r="O90" s="229"/>
      <c r="P90" s="86"/>
      <c r="Q90" s="86"/>
      <c r="R90" s="86"/>
      <c r="S90" s="86"/>
      <c r="T90" s="86"/>
      <c r="U90" s="86"/>
      <c r="V90" s="86"/>
      <c r="W90" s="86"/>
      <c r="X90" s="86"/>
      <c r="Y90" s="86"/>
      <c r="Z90" s="86"/>
      <c r="AA90" s="86"/>
      <c r="AB90" s="86"/>
      <c r="AC90" s="71" t="str">
        <f t="shared" si="30"/>
        <v>QX0023</v>
      </c>
      <c r="AD90" s="1">
        <f t="shared" si="18"/>
        <v>100</v>
      </c>
      <c r="AE90" s="1" t="str">
        <f t="shared" si="31"/>
        <v>QX0023</v>
      </c>
      <c r="AF90" s="1">
        <f t="shared" si="32"/>
        <v>0</v>
      </c>
      <c r="AG90" s="1">
        <f t="shared" si="33"/>
        <v>0.22049999999999986</v>
      </c>
      <c r="AH90" s="1">
        <f t="shared" si="34"/>
        <v>-0.40949999999999981</v>
      </c>
      <c r="AI90" s="1">
        <f t="shared" si="42"/>
        <v>7.3945218953682783</v>
      </c>
      <c r="AJ90" s="1">
        <f t="shared" si="43"/>
        <v>0.10452846326765347</v>
      </c>
      <c r="AK90" s="1">
        <f t="shared" si="35"/>
        <v>2</v>
      </c>
      <c r="AL90" s="7">
        <f t="shared" si="36"/>
        <v>6</v>
      </c>
      <c r="AM90" s="229"/>
      <c r="AN90" s="86"/>
      <c r="AO90" s="86"/>
      <c r="AP90" s="86"/>
      <c r="AQ90" s="86"/>
      <c r="AR90" s="86"/>
      <c r="AS90" s="86">
        <f t="shared" si="37"/>
        <v>3.7705499999999961E-2</v>
      </c>
      <c r="AT90" s="86">
        <f t="shared" si="38"/>
        <v>1.291499999999999</v>
      </c>
      <c r="AU90" s="86">
        <f t="shared" si="39"/>
        <v>0.81026249999999989</v>
      </c>
      <c r="AV90" s="86">
        <f t="shared" si="16"/>
        <v>0.48431249999999959</v>
      </c>
      <c r="AW90" s="225">
        <f t="shared" si="17"/>
        <v>0.25829999999999981</v>
      </c>
      <c r="AX90" s="71">
        <f>AS90*$X$4*パラメータ!$D$24</f>
        <v>12.442814999999987</v>
      </c>
      <c r="AY90" s="1">
        <f>AU90*$X$5*E90*パラメータ!$D$30</f>
        <v>27.548924999999997</v>
      </c>
      <c r="AZ90" s="1">
        <f>SUMPRODUCT($AC$4:$AC$10,$AD$4:$AD$10)*E90*パラメータ!$D$28*10^-3</f>
        <v>12.75</v>
      </c>
      <c r="BA90" s="1">
        <f>(AV90+AW90)*$X$6*$X$4*パラメータ!$D$22*10^-3</f>
        <v>5.0126343749999966</v>
      </c>
      <c r="BB90" s="1">
        <f>($X$8*$X$9*パラメータ!$D$22+0.5*$X$8^2*SIN(RADIANS($X$10))*パラメータ!$D$25)*E90*10^-3</f>
        <v>3.3081478802897957</v>
      </c>
      <c r="BC90" s="1">
        <f t="shared" si="40"/>
        <v>12.91499999999999</v>
      </c>
      <c r="BD90" s="1">
        <f t="shared" si="41"/>
        <v>4</v>
      </c>
      <c r="BE90" s="1">
        <f>IF(G90="端リブ",AS90*$X$13*パラメータ!$D$22*2,0)</f>
        <v>0</v>
      </c>
      <c r="BF90" s="1">
        <f>主桁!AV45*1000</f>
        <v>100.93589789673472</v>
      </c>
      <c r="BG90" s="1">
        <f t="shared" si="21"/>
        <v>77.97752225528977</v>
      </c>
      <c r="BH90" s="1">
        <f t="shared" si="22"/>
        <v>0.17891342015202449</v>
      </c>
      <c r="BI90" s="2">
        <f>(AO90-機体重量!$E$15)^2+(AP90-機体重量!$F$15)^2</f>
        <v>5.4950777486569501E-4</v>
      </c>
      <c r="BJ90" s="2">
        <f>(AP90-機体重量!$F$15)^2</f>
        <v>3.8816156979940122E-4</v>
      </c>
      <c r="BK90" s="235">
        <f>(AO90-機体重量!$E$15)^2</f>
        <v>1.6134620506629379E-4</v>
      </c>
    </row>
    <row r="91" spans="2:63">
      <c r="B91" s="29">
        <v>40</v>
      </c>
      <c r="C91" s="1">
        <f t="shared" si="25"/>
        <v>8.4000000000000039</v>
      </c>
      <c r="D91" s="1">
        <f t="shared" si="27"/>
        <v>619.99999999999966</v>
      </c>
      <c r="E91" s="22">
        <v>0.2</v>
      </c>
      <c r="F91" s="22" t="str">
        <f>IF(C91&lt;$M$7,"flat",IF(C91&lt;$M$8,"1st",IF(C91&lt;$M$9,"2nd",IF(C91&lt;$M$10,"3rd",IF(C91&lt;$M$11,"4th",IF(C91&lt;$M$12,"5th","6th"))))))</f>
        <v>3rd</v>
      </c>
      <c r="G91" s="75" t="str">
        <f t="shared" si="28"/>
        <v>端リブ</v>
      </c>
      <c r="H91" s="1">
        <f t="shared" si="29"/>
        <v>0.35</v>
      </c>
      <c r="I91" s="9">
        <f>主桁!AD46*2</f>
        <v>76.751999999999981</v>
      </c>
      <c r="J91" s="1">
        <f>主桁!AE46*2</f>
        <v>76.751999999999981</v>
      </c>
      <c r="K91" s="225"/>
      <c r="L91" s="230"/>
      <c r="M91" s="86"/>
      <c r="N91" s="86"/>
      <c r="O91" s="229"/>
      <c r="P91" s="86"/>
      <c r="Q91" s="86"/>
      <c r="R91" s="86"/>
      <c r="S91" s="86"/>
      <c r="T91" s="86"/>
      <c r="U91" s="86"/>
      <c r="V91" s="86"/>
      <c r="W91" s="86"/>
      <c r="X91" s="86"/>
      <c r="Y91" s="86"/>
      <c r="Z91" s="86"/>
      <c r="AA91" s="86"/>
      <c r="AB91" s="86"/>
      <c r="AC91" s="71" t="str">
        <f t="shared" si="30"/>
        <v>QX0023</v>
      </c>
      <c r="AD91" s="1">
        <f t="shared" si="18"/>
        <v>100</v>
      </c>
      <c r="AE91" s="1" t="str">
        <f t="shared" si="31"/>
        <v>QX0023</v>
      </c>
      <c r="AF91" s="1">
        <f t="shared" si="32"/>
        <v>0</v>
      </c>
      <c r="AG91" s="1">
        <f t="shared" si="33"/>
        <v>0.21699999999999986</v>
      </c>
      <c r="AH91" s="1">
        <f t="shared" si="34"/>
        <v>-0.4029999999999998</v>
      </c>
      <c r="AI91" s="1">
        <f t="shared" si="42"/>
        <v>7.5934262744419332</v>
      </c>
      <c r="AJ91" s="1">
        <f t="shared" si="43"/>
        <v>0.12543415592118418</v>
      </c>
      <c r="AK91" s="1">
        <f t="shared" si="35"/>
        <v>2</v>
      </c>
      <c r="AL91" s="7">
        <f t="shared" si="36"/>
        <v>6</v>
      </c>
      <c r="AM91" s="229"/>
      <c r="AN91" s="86"/>
      <c r="AO91" s="86"/>
      <c r="AP91" s="86"/>
      <c r="AQ91" s="86"/>
      <c r="AR91" s="86"/>
      <c r="AS91" s="86">
        <f t="shared" si="37"/>
        <v>3.651799999999996E-2</v>
      </c>
      <c r="AT91" s="86">
        <f t="shared" si="38"/>
        <v>1.270999999999999</v>
      </c>
      <c r="AU91" s="86">
        <f t="shared" si="39"/>
        <v>0.81026249999999989</v>
      </c>
      <c r="AV91" s="86">
        <f t="shared" si="16"/>
        <v>0.47662499999999963</v>
      </c>
      <c r="AW91" s="225">
        <f t="shared" si="17"/>
        <v>0.25419999999999981</v>
      </c>
      <c r="AX91" s="71">
        <f>AS91*$X$4*パラメータ!$D$24</f>
        <v>12.050939999999986</v>
      </c>
      <c r="AY91" s="1">
        <f>AU91*$X$5*E91*パラメータ!$D$30</f>
        <v>27.548924999999997</v>
      </c>
      <c r="AZ91" s="1">
        <f>SUMPRODUCT($AC$4:$AC$10,$AD$4:$AD$10)*E91*パラメータ!$D$28*10^-3</f>
        <v>12.75</v>
      </c>
      <c r="BA91" s="1">
        <f>(AV91+AW91)*$X$6*$X$4*パラメータ!$D$22*10^-3</f>
        <v>4.9330687499999959</v>
      </c>
      <c r="BB91" s="1">
        <f>($X$8*$X$9*パラメータ!$D$22+0.5*$X$8^2*SIN(RADIANS($X$10))*パラメータ!$D$25)*E91*10^-3</f>
        <v>3.3081478802897957</v>
      </c>
      <c r="BC91" s="1">
        <f t="shared" si="40"/>
        <v>12.70999999999999</v>
      </c>
      <c r="BD91" s="1">
        <f t="shared" si="41"/>
        <v>4</v>
      </c>
      <c r="BE91" s="1">
        <f>IF(G91="端リブ",AS91*$X$13*パラメータ!$D$22*2,0)</f>
        <v>54.776999999999937</v>
      </c>
      <c r="BF91" s="1">
        <f>主桁!AV46*1000</f>
        <v>176.1346399136126</v>
      </c>
      <c r="BG91" s="1">
        <f t="shared" si="21"/>
        <v>132.07808163028969</v>
      </c>
      <c r="BH91" s="1">
        <f t="shared" si="22"/>
        <v>0.30821272154390228</v>
      </c>
      <c r="BI91" s="2">
        <f>(AO91-機体重量!$E$15)^2+(AP91-機体重量!$F$15)^2</f>
        <v>5.4950777486569501E-4</v>
      </c>
      <c r="BJ91" s="2">
        <f>(AP91-機体重量!$F$15)^2</f>
        <v>3.8816156979940122E-4</v>
      </c>
      <c r="BK91" s="235">
        <f>(AO91-機体重量!$E$15)^2</f>
        <v>1.6134620506629379E-4</v>
      </c>
    </row>
    <row r="92" spans="2:63">
      <c r="B92" s="29">
        <v>41</v>
      </c>
      <c r="C92" s="1">
        <f t="shared" si="25"/>
        <v>8.6000000000000032</v>
      </c>
      <c r="D92" s="1">
        <f t="shared" si="27"/>
        <v>609.99999999999977</v>
      </c>
      <c r="E92" s="22">
        <v>0.2</v>
      </c>
      <c r="F92" s="22" t="s">
        <v>943</v>
      </c>
      <c r="G92" s="75" t="str">
        <f t="shared" si="28"/>
        <v>3番</v>
      </c>
      <c r="H92" s="1">
        <f t="shared" si="29"/>
        <v>0.35</v>
      </c>
      <c r="I92" s="9">
        <f>主桁!AD47*2</f>
        <v>75.051999999999992</v>
      </c>
      <c r="J92" s="1">
        <f>主桁!AE47*2</f>
        <v>75.051999999999992</v>
      </c>
      <c r="K92" s="225"/>
      <c r="L92" s="230"/>
      <c r="M92" s="86"/>
      <c r="N92" s="86"/>
      <c r="O92" s="229"/>
      <c r="P92" s="86"/>
      <c r="Q92" s="86"/>
      <c r="R92" s="86"/>
      <c r="S92" s="86"/>
      <c r="T92" s="86"/>
      <c r="U92" s="86"/>
      <c r="V92" s="86"/>
      <c r="W92" s="86"/>
      <c r="X92" s="86"/>
      <c r="Y92" s="86"/>
      <c r="Z92" s="86"/>
      <c r="AA92" s="86"/>
      <c r="AB92" s="86"/>
      <c r="AC92" s="71" t="str">
        <f t="shared" si="30"/>
        <v>QX0023</v>
      </c>
      <c r="AD92" s="1">
        <f t="shared" si="18"/>
        <v>99.999999999999844</v>
      </c>
      <c r="AE92" s="1" t="str">
        <f t="shared" si="31"/>
        <v>QX0123</v>
      </c>
      <c r="AF92" s="1">
        <f t="shared" si="32"/>
        <v>1.6148698540002269E-13</v>
      </c>
      <c r="AG92" s="1">
        <f t="shared" si="33"/>
        <v>0.21349999999999991</v>
      </c>
      <c r="AH92" s="1">
        <f t="shared" si="34"/>
        <v>-0.39649999999999985</v>
      </c>
      <c r="AI92" s="1">
        <f t="shared" si="42"/>
        <v>7.7923306535155881</v>
      </c>
      <c r="AJ92" s="1">
        <f t="shared" si="43"/>
        <v>0.14633984857471488</v>
      </c>
      <c r="AK92" s="1">
        <f t="shared" si="35"/>
        <v>2</v>
      </c>
      <c r="AL92" s="7">
        <f t="shared" si="36"/>
        <v>6</v>
      </c>
      <c r="AM92" s="229"/>
      <c r="AN92" s="86"/>
      <c r="AO92" s="86"/>
      <c r="AP92" s="86"/>
      <c r="AQ92" s="86"/>
      <c r="AR92" s="86"/>
      <c r="AS92" s="86">
        <f t="shared" si="37"/>
        <v>3.5349499999999971E-2</v>
      </c>
      <c r="AT92" s="86">
        <f t="shared" si="38"/>
        <v>1.2504999999999993</v>
      </c>
      <c r="AU92" s="86">
        <f t="shared" si="39"/>
        <v>0.81026249999999989</v>
      </c>
      <c r="AV92" s="86">
        <f t="shared" si="16"/>
        <v>0.46893749999999973</v>
      </c>
      <c r="AW92" s="225">
        <f t="shared" si="17"/>
        <v>0.25009999999999988</v>
      </c>
      <c r="AX92" s="71">
        <f>AS92*$X$4*パラメータ!$D$24</f>
        <v>11.665334999999992</v>
      </c>
      <c r="AY92" s="1">
        <f>AU92*$X$5*E92*パラメータ!$D$30</f>
        <v>27.548924999999997</v>
      </c>
      <c r="AZ92" s="1">
        <f>SUMPRODUCT($AC$4:$AC$10,$AD$4:$AD$10)*E92*パラメータ!$D$28*10^-3</f>
        <v>12.75</v>
      </c>
      <c r="BA92" s="1">
        <f>(AV92+AW92)*$X$6*$X$4*パラメータ!$D$22*10^-3</f>
        <v>4.8535031249999978</v>
      </c>
      <c r="BB92" s="1">
        <f>($X$8*$X$9*パラメータ!$D$22+0.5*$X$8^2*SIN(RADIANS($X$10))*パラメータ!$D$25)*E92*10^-3</f>
        <v>3.3081478802897957</v>
      </c>
      <c r="BC92" s="1">
        <f t="shared" si="40"/>
        <v>12.504999999999992</v>
      </c>
      <c r="BD92" s="1">
        <f t="shared" si="41"/>
        <v>4</v>
      </c>
      <c r="BE92" s="1">
        <f>IF(G92="端リブ",AS92*$X$13*パラメータ!$D$22*2,0)</f>
        <v>0</v>
      </c>
      <c r="BF92" s="1">
        <f>主桁!AV47*1000</f>
        <v>261.20931230991249</v>
      </c>
      <c r="BG92" s="1">
        <f t="shared" si="21"/>
        <v>76.630911005289775</v>
      </c>
      <c r="BH92" s="1">
        <f t="shared" si="22"/>
        <v>0.33784022331520225</v>
      </c>
      <c r="BI92" s="2">
        <f>(AO92-機体重量!$E$15)^2+(AP92-機体重量!$F$15)^2</f>
        <v>5.4950777486569501E-4</v>
      </c>
      <c r="BJ92" s="2">
        <f>(AP92-機体重量!$F$15)^2</f>
        <v>3.8816156979940122E-4</v>
      </c>
      <c r="BK92" s="235">
        <f>(AO92-機体重量!$E$15)^2</f>
        <v>1.6134620506629379E-4</v>
      </c>
    </row>
    <row r="93" spans="2:63">
      <c r="B93" s="29">
        <v>42</v>
      </c>
      <c r="C93" s="1">
        <f t="shared" si="25"/>
        <v>8.8000000000000025</v>
      </c>
      <c r="D93" s="1">
        <f t="shared" si="27"/>
        <v>601.81818181818153</v>
      </c>
      <c r="E93" s="22">
        <v>0.2</v>
      </c>
      <c r="F93" s="22" t="str">
        <f t="shared" ref="F93:F108" si="44">IF(C93&lt;$M$7,"flat",IF(C93&lt;$M$8,"1st",IF(C93&lt;$M$9,"2nd",IF(C93&lt;$M$10,"3rd",IF(C93&lt;$M$11,"4th",IF(C93&lt;$M$12,"5th","6th"))))))</f>
        <v>4th</v>
      </c>
      <c r="G93" s="75" t="str">
        <f t="shared" si="28"/>
        <v>3番</v>
      </c>
      <c r="H93" s="1">
        <f t="shared" si="29"/>
        <v>0.35</v>
      </c>
      <c r="I93" s="9">
        <f>主桁!AD48*2</f>
        <v>73.35199999999999</v>
      </c>
      <c r="J93" s="1">
        <f>主桁!AE48*2</f>
        <v>73.35199999999999</v>
      </c>
      <c r="K93" s="225"/>
      <c r="L93" s="230"/>
      <c r="M93" s="86"/>
      <c r="N93" s="86"/>
      <c r="O93" s="229"/>
      <c r="P93" s="86"/>
      <c r="Q93" s="86"/>
      <c r="R93" s="86"/>
      <c r="S93" s="86"/>
      <c r="T93" s="86"/>
      <c r="U93" s="86"/>
      <c r="V93" s="86"/>
      <c r="W93" s="86"/>
      <c r="X93" s="86"/>
      <c r="Y93" s="86"/>
      <c r="Z93" s="86"/>
      <c r="AA93" s="86"/>
      <c r="AB93" s="86"/>
      <c r="AC93" s="71" t="str">
        <f t="shared" si="30"/>
        <v>QX0023</v>
      </c>
      <c r="AD93" s="1">
        <f t="shared" si="18"/>
        <v>90.909090909090779</v>
      </c>
      <c r="AE93" s="1" t="str">
        <f t="shared" si="31"/>
        <v>QX0123</v>
      </c>
      <c r="AF93" s="1">
        <f t="shared" si="32"/>
        <v>9.0909090909092161</v>
      </c>
      <c r="AG93" s="1">
        <f t="shared" si="33"/>
        <v>0.21063636363636351</v>
      </c>
      <c r="AH93" s="1">
        <f t="shared" si="34"/>
        <v>-0.39118181818181796</v>
      </c>
      <c r="AI93" s="1">
        <f t="shared" si="42"/>
        <v>7.9912350325892429</v>
      </c>
      <c r="AJ93" s="1">
        <f t="shared" si="43"/>
        <v>0.16724554122824559</v>
      </c>
      <c r="AK93" s="1">
        <f t="shared" si="35"/>
        <v>2</v>
      </c>
      <c r="AL93" s="7">
        <f t="shared" si="36"/>
        <v>6</v>
      </c>
      <c r="AM93" s="229"/>
      <c r="AN93" s="86"/>
      <c r="AO93" s="86"/>
      <c r="AP93" s="86"/>
      <c r="AQ93" s="86"/>
      <c r="AR93" s="86"/>
      <c r="AS93" s="86">
        <f t="shared" si="37"/>
        <v>3.440758677685947E-2</v>
      </c>
      <c r="AT93" s="86">
        <f t="shared" si="38"/>
        <v>1.2337272727272721</v>
      </c>
      <c r="AU93" s="86">
        <f t="shared" si="39"/>
        <v>0.81026249999999989</v>
      </c>
      <c r="AV93" s="86">
        <f t="shared" si="16"/>
        <v>0.46264772727272707</v>
      </c>
      <c r="AW93" s="225">
        <f t="shared" si="17"/>
        <v>0.24674545454545443</v>
      </c>
      <c r="AX93" s="71">
        <f>AS93*$X$4*パラメータ!$D$24</f>
        <v>11.354503636363624</v>
      </c>
      <c r="AY93" s="1">
        <f>AU93*$X$5*E93*パラメータ!$D$30</f>
        <v>27.548924999999997</v>
      </c>
      <c r="AZ93" s="1">
        <f>SUMPRODUCT($AC$4:$AC$10,$AD$4:$AD$10)*E93*パラメータ!$D$28*10^-3</f>
        <v>12.75</v>
      </c>
      <c r="BA93" s="1">
        <f>(AV93+AW93)*$X$6*$X$4*パラメータ!$D$22*10^-3</f>
        <v>4.7884039772727265</v>
      </c>
      <c r="BB93" s="1">
        <f>($X$8*$X$9*パラメータ!$D$22+0.5*$X$8^2*SIN(RADIANS($X$10))*パラメータ!$D$25)*E93*10^-3</f>
        <v>3.3081478802897957</v>
      </c>
      <c r="BC93" s="1">
        <f t="shared" si="40"/>
        <v>12.337272727272721</v>
      </c>
      <c r="BD93" s="1">
        <f t="shared" si="41"/>
        <v>4</v>
      </c>
      <c r="BE93" s="1">
        <f>IF(G93="端リブ",AS93*$X$13*パラメータ!$D$22*2,0)</f>
        <v>0</v>
      </c>
      <c r="BF93" s="1">
        <f>主桁!AV48*1000</f>
        <v>160.01229732404229</v>
      </c>
      <c r="BG93" s="1">
        <f t="shared" si="21"/>
        <v>76.087253221198864</v>
      </c>
      <c r="BH93" s="1">
        <f t="shared" si="22"/>
        <v>0.23609955054524115</v>
      </c>
      <c r="BI93" s="2">
        <f>(AO93-機体重量!$E$15)^2+(AP93-機体重量!$F$15)^2</f>
        <v>5.4950777486569501E-4</v>
      </c>
      <c r="BJ93" s="2">
        <f>(AP93-機体重量!$F$15)^2</f>
        <v>3.8816156979940122E-4</v>
      </c>
      <c r="BK93" s="235">
        <f>(AO93-機体重量!$E$15)^2</f>
        <v>1.6134620506629379E-4</v>
      </c>
    </row>
    <row r="94" spans="2:63">
      <c r="B94" s="29">
        <v>43</v>
      </c>
      <c r="C94" s="1">
        <f t="shared" si="25"/>
        <v>9.0000000000000018</v>
      </c>
      <c r="D94" s="1">
        <f t="shared" si="27"/>
        <v>593.63636363636351</v>
      </c>
      <c r="E94" s="22">
        <v>0.2</v>
      </c>
      <c r="F94" s="22" t="str">
        <f t="shared" si="44"/>
        <v>4th</v>
      </c>
      <c r="G94" s="75" t="str">
        <f t="shared" si="28"/>
        <v>3番</v>
      </c>
      <c r="H94" s="1">
        <f t="shared" si="29"/>
        <v>0.35</v>
      </c>
      <c r="I94" s="9">
        <f>主桁!AD49*2</f>
        <v>71.652000000000001</v>
      </c>
      <c r="J94" s="1">
        <f>主桁!AE49*2</f>
        <v>71.652000000000001</v>
      </c>
      <c r="K94" s="225"/>
      <c r="L94" s="230"/>
      <c r="M94" s="86"/>
      <c r="N94" s="86"/>
      <c r="O94" s="229"/>
      <c r="P94" s="86"/>
      <c r="Q94" s="86"/>
      <c r="R94" s="86"/>
      <c r="S94" s="86"/>
      <c r="T94" s="86"/>
      <c r="U94" s="86"/>
      <c r="V94" s="86"/>
      <c r="W94" s="86"/>
      <c r="X94" s="86"/>
      <c r="Y94" s="86"/>
      <c r="Z94" s="86"/>
      <c r="AA94" s="86"/>
      <c r="AB94" s="86"/>
      <c r="AC94" s="71" t="str">
        <f t="shared" si="30"/>
        <v>QX0023</v>
      </c>
      <c r="AD94" s="1">
        <f t="shared" si="18"/>
        <v>81.818181818181728</v>
      </c>
      <c r="AE94" s="1" t="str">
        <f t="shared" si="31"/>
        <v>QX0123</v>
      </c>
      <c r="AF94" s="1">
        <f t="shared" si="32"/>
        <v>18.181818181818272</v>
      </c>
      <c r="AG94" s="1">
        <f t="shared" si="33"/>
        <v>0.20777272727272722</v>
      </c>
      <c r="AH94" s="1">
        <f t="shared" si="34"/>
        <v>-0.3858636363636363</v>
      </c>
      <c r="AI94" s="1">
        <f t="shared" si="42"/>
        <v>8.1901394116628978</v>
      </c>
      <c r="AJ94" s="1">
        <f t="shared" si="43"/>
        <v>0.18815123388177629</v>
      </c>
      <c r="AK94" s="1">
        <f t="shared" si="35"/>
        <v>2</v>
      </c>
      <c r="AL94" s="7">
        <f t="shared" si="36"/>
        <v>6</v>
      </c>
      <c r="AM94" s="229"/>
      <c r="AN94" s="86"/>
      <c r="AO94" s="86"/>
      <c r="AP94" s="86"/>
      <c r="AQ94" s="86"/>
      <c r="AR94" s="86"/>
      <c r="AS94" s="86">
        <f t="shared" si="37"/>
        <v>3.3478392561983455E-2</v>
      </c>
      <c r="AT94" s="86">
        <f t="shared" si="38"/>
        <v>1.216954545454545</v>
      </c>
      <c r="AU94" s="86">
        <f t="shared" si="39"/>
        <v>0.81026249999999989</v>
      </c>
      <c r="AV94" s="86">
        <f t="shared" si="16"/>
        <v>0.45635795454545436</v>
      </c>
      <c r="AW94" s="225">
        <f t="shared" si="17"/>
        <v>0.24339090909090899</v>
      </c>
      <c r="AX94" s="71">
        <f>AS94*$X$4*パラメータ!$D$24</f>
        <v>11.047869545454541</v>
      </c>
      <c r="AY94" s="1">
        <f>AU94*$X$5*E94*パラメータ!$D$30</f>
        <v>27.548924999999997</v>
      </c>
      <c r="AZ94" s="1">
        <f>SUMPRODUCT($AC$4:$AC$10,$AD$4:$AD$10)*E94*パラメータ!$D$28*10^-3</f>
        <v>12.75</v>
      </c>
      <c r="BA94" s="1">
        <f>(AV94+AW94)*$X$6*$X$4*パラメータ!$D$22*10^-3</f>
        <v>4.7233048295454516</v>
      </c>
      <c r="BB94" s="1">
        <f>($X$8*$X$9*パラメータ!$D$22+0.5*$X$8^2*SIN(RADIANS($X$10))*パラメータ!$D$25)*E94*10^-3</f>
        <v>3.3081478802897957</v>
      </c>
      <c r="BC94" s="1">
        <f t="shared" si="40"/>
        <v>12.16954545454545</v>
      </c>
      <c r="BD94" s="1">
        <f t="shared" si="41"/>
        <v>4</v>
      </c>
      <c r="BE94" s="1">
        <f>IF(G94="端リブ",AS94*$X$13*パラメータ!$D$22*2,0)</f>
        <v>0</v>
      </c>
      <c r="BF94" s="1">
        <f>主桁!AV49*1000</f>
        <v>79.054990815865537</v>
      </c>
      <c r="BG94" s="1">
        <f t="shared" si="21"/>
        <v>75.547792709835221</v>
      </c>
      <c r="BH94" s="1">
        <f t="shared" si="22"/>
        <v>0.15460278352570078</v>
      </c>
      <c r="BI94" s="2">
        <f>(AO94-機体重量!$E$15)^2+(AP94-機体重量!$F$15)^2</f>
        <v>5.4950777486569501E-4</v>
      </c>
      <c r="BJ94" s="2">
        <f>(AP94-機体重量!$F$15)^2</f>
        <v>3.8816156979940122E-4</v>
      </c>
      <c r="BK94" s="235">
        <f>(AO94-機体重量!$E$15)^2</f>
        <v>1.6134620506629379E-4</v>
      </c>
    </row>
    <row r="95" spans="2:63">
      <c r="B95" s="29">
        <v>44</v>
      </c>
      <c r="C95" s="1">
        <f t="shared" si="25"/>
        <v>9.2000000000000011</v>
      </c>
      <c r="D95" s="1">
        <f t="shared" si="27"/>
        <v>585.45454545454538</v>
      </c>
      <c r="E95" s="22">
        <v>0.2</v>
      </c>
      <c r="F95" s="22" t="str">
        <f t="shared" si="44"/>
        <v>4th</v>
      </c>
      <c r="G95" s="75" t="str">
        <f t="shared" si="28"/>
        <v>3番</v>
      </c>
      <c r="H95" s="1">
        <f t="shared" si="29"/>
        <v>0.35</v>
      </c>
      <c r="I95" s="9">
        <f>主桁!AD50*2</f>
        <v>69.951999999999998</v>
      </c>
      <c r="J95" s="1">
        <f>主桁!AE50*2</f>
        <v>69.951999999999998</v>
      </c>
      <c r="K95" s="225"/>
      <c r="L95" s="230"/>
      <c r="M95" s="86"/>
      <c r="N95" s="86"/>
      <c r="O95" s="229"/>
      <c r="P95" s="86"/>
      <c r="Q95" s="86"/>
      <c r="R95" s="86"/>
      <c r="S95" s="86"/>
      <c r="T95" s="86"/>
      <c r="U95" s="86"/>
      <c r="V95" s="86"/>
      <c r="W95" s="86"/>
      <c r="X95" s="86"/>
      <c r="Y95" s="86"/>
      <c r="Z95" s="86"/>
      <c r="AA95" s="86"/>
      <c r="AB95" s="86"/>
      <c r="AC95" s="71" t="str">
        <f t="shared" si="30"/>
        <v>QX0023</v>
      </c>
      <c r="AD95" s="1">
        <f t="shared" si="18"/>
        <v>72.727272727272677</v>
      </c>
      <c r="AE95" s="1" t="str">
        <f t="shared" si="31"/>
        <v>QX0123</v>
      </c>
      <c r="AF95" s="1">
        <f t="shared" si="32"/>
        <v>27.272727272727327</v>
      </c>
      <c r="AG95" s="1">
        <f t="shared" si="33"/>
        <v>0.20490909090909087</v>
      </c>
      <c r="AH95" s="1">
        <f t="shared" si="34"/>
        <v>-0.38054545454545446</v>
      </c>
      <c r="AI95" s="1">
        <f t="shared" si="42"/>
        <v>8.3890437907365527</v>
      </c>
      <c r="AJ95" s="1">
        <f t="shared" si="43"/>
        <v>0.209056926535307</v>
      </c>
      <c r="AK95" s="1">
        <f t="shared" si="35"/>
        <v>2</v>
      </c>
      <c r="AL95" s="7">
        <f t="shared" si="36"/>
        <v>6</v>
      </c>
      <c r="AM95" s="229"/>
      <c r="AN95" s="86"/>
      <c r="AO95" s="86"/>
      <c r="AP95" s="86"/>
      <c r="AQ95" s="86"/>
      <c r="AR95" s="86"/>
      <c r="AS95" s="86">
        <f t="shared" si="37"/>
        <v>3.2561917355371887E-2</v>
      </c>
      <c r="AT95" s="86">
        <f t="shared" si="38"/>
        <v>1.200181818181818</v>
      </c>
      <c r="AU95" s="86">
        <f t="shared" si="39"/>
        <v>0.81026249999999989</v>
      </c>
      <c r="AV95" s="86">
        <f t="shared" si="16"/>
        <v>0.45006818181818176</v>
      </c>
      <c r="AW95" s="225">
        <f t="shared" si="17"/>
        <v>0.2400363636363636</v>
      </c>
      <c r="AX95" s="71">
        <f>AS95*$X$4*パラメータ!$D$24</f>
        <v>10.745432727272723</v>
      </c>
      <c r="AY95" s="1">
        <f>AU95*$X$5*E95*パラメータ!$D$30</f>
        <v>27.548924999999997</v>
      </c>
      <c r="AZ95" s="1">
        <f>SUMPRODUCT($AC$4:$AC$10,$AD$4:$AD$10)*E95*パラメータ!$D$28*10^-3</f>
        <v>12.75</v>
      </c>
      <c r="BA95" s="1">
        <f>(AV95+AW95)*$X$6*$X$4*パラメータ!$D$22*10^-3</f>
        <v>4.6582056818181812</v>
      </c>
      <c r="BB95" s="1">
        <f>($X$8*$X$9*パラメータ!$D$22+0.5*$X$8^2*SIN(RADIANS($X$10))*パラメータ!$D$25)*E95*10^-3</f>
        <v>3.3081478802897957</v>
      </c>
      <c r="BC95" s="1">
        <f t="shared" si="40"/>
        <v>12.00181818181818</v>
      </c>
      <c r="BD95" s="1">
        <f t="shared" si="41"/>
        <v>4</v>
      </c>
      <c r="BE95" s="1">
        <f>IF(G95="端リブ",AS95*$X$13*パラメータ!$D$22*2,0)</f>
        <v>0</v>
      </c>
      <c r="BF95" s="1">
        <f>主桁!AV50*1000</f>
        <v>77.170686007568122</v>
      </c>
      <c r="BG95" s="1">
        <f t="shared" si="21"/>
        <v>75.012529471198874</v>
      </c>
      <c r="BH95" s="1">
        <f t="shared" si="22"/>
        <v>0.15218321547876701</v>
      </c>
      <c r="BI95" s="2">
        <f>(AO95-機体重量!$E$15)^2+(AP95-機体重量!$F$15)^2</f>
        <v>5.4950777486569501E-4</v>
      </c>
      <c r="BJ95" s="2">
        <f>(AP95-機体重量!$F$15)^2</f>
        <v>3.8816156979940122E-4</v>
      </c>
      <c r="BK95" s="235">
        <f>(AO95-機体重量!$E$15)^2</f>
        <v>1.6134620506629379E-4</v>
      </c>
    </row>
    <row r="96" spans="2:63">
      <c r="B96" s="29">
        <v>45</v>
      </c>
      <c r="C96" s="1">
        <f t="shared" si="25"/>
        <v>9.4</v>
      </c>
      <c r="D96" s="1">
        <f t="shared" si="27"/>
        <v>577.27272727272714</v>
      </c>
      <c r="E96" s="22">
        <v>0.2</v>
      </c>
      <c r="F96" s="22" t="str">
        <f t="shared" si="44"/>
        <v>4th</v>
      </c>
      <c r="G96" s="75" t="str">
        <f t="shared" si="28"/>
        <v>3番</v>
      </c>
      <c r="H96" s="1">
        <f t="shared" si="29"/>
        <v>0.35</v>
      </c>
      <c r="I96" s="9">
        <f>主桁!AD51*2</f>
        <v>68.25200000000001</v>
      </c>
      <c r="J96" s="1">
        <f>主桁!AE51*2</f>
        <v>68.25200000000001</v>
      </c>
      <c r="K96" s="225"/>
      <c r="L96" s="230"/>
      <c r="M96" s="86"/>
      <c r="N96" s="86"/>
      <c r="O96" s="229"/>
      <c r="P96" s="86"/>
      <c r="Q96" s="86"/>
      <c r="R96" s="86"/>
      <c r="S96" s="86"/>
      <c r="T96" s="86"/>
      <c r="U96" s="86"/>
      <c r="V96" s="86"/>
      <c r="W96" s="86"/>
      <c r="X96" s="86"/>
      <c r="Y96" s="86"/>
      <c r="Z96" s="86"/>
      <c r="AA96" s="86"/>
      <c r="AB96" s="86"/>
      <c r="AC96" s="71" t="str">
        <f t="shared" si="30"/>
        <v>QX0023</v>
      </c>
      <c r="AD96" s="1">
        <f t="shared" si="18"/>
        <v>63.636363636363626</v>
      </c>
      <c r="AE96" s="1" t="str">
        <f t="shared" si="31"/>
        <v>QX0123</v>
      </c>
      <c r="AF96" s="1">
        <f t="shared" si="32"/>
        <v>36.363636363636374</v>
      </c>
      <c r="AG96" s="1">
        <f t="shared" si="33"/>
        <v>0.20204545454545447</v>
      </c>
      <c r="AH96" s="1">
        <f t="shared" si="34"/>
        <v>-0.37522727272727269</v>
      </c>
      <c r="AI96" s="1">
        <f t="shared" si="42"/>
        <v>8.5879481698102076</v>
      </c>
      <c r="AJ96" s="1">
        <f t="shared" si="43"/>
        <v>0.2299626191888377</v>
      </c>
      <c r="AK96" s="1">
        <f t="shared" si="35"/>
        <v>2</v>
      </c>
      <c r="AL96" s="7">
        <f t="shared" si="36"/>
        <v>6</v>
      </c>
      <c r="AM96" s="229"/>
      <c r="AN96" s="86"/>
      <c r="AO96" s="86"/>
      <c r="AP96" s="86"/>
      <c r="AQ96" s="86"/>
      <c r="AR96" s="86"/>
      <c r="AS96" s="86">
        <f t="shared" si="37"/>
        <v>3.1658161157024779E-2</v>
      </c>
      <c r="AT96" s="86">
        <f t="shared" si="38"/>
        <v>1.1834090909090906</v>
      </c>
      <c r="AU96" s="86">
        <f t="shared" si="39"/>
        <v>0.81026249999999989</v>
      </c>
      <c r="AV96" s="86">
        <f t="shared" si="16"/>
        <v>0.44377840909090899</v>
      </c>
      <c r="AW96" s="225">
        <f t="shared" si="17"/>
        <v>0.23668181818181813</v>
      </c>
      <c r="AX96" s="71">
        <f>AS96*$X$4*パラメータ!$D$24</f>
        <v>10.447193181818177</v>
      </c>
      <c r="AY96" s="1">
        <f>AU96*$X$5*E96*パラメータ!$D$30</f>
        <v>27.548924999999997</v>
      </c>
      <c r="AZ96" s="1">
        <f>SUMPRODUCT($AC$4:$AC$10,$AD$4:$AD$10)*E96*パラメータ!$D$28*10^-3</f>
        <v>12.75</v>
      </c>
      <c r="BA96" s="1">
        <f>(AV96+AW96)*$X$6*$X$4*パラメータ!$D$22*10^-3</f>
        <v>4.593106534090909</v>
      </c>
      <c r="BB96" s="1">
        <f>($X$8*$X$9*パラメータ!$D$22+0.5*$X$8^2*SIN(RADIANS($X$10))*パラメータ!$D$25)*E96*10^-3</f>
        <v>3.3081478802897957</v>
      </c>
      <c r="BC96" s="1">
        <f t="shared" si="40"/>
        <v>11.834090909090907</v>
      </c>
      <c r="BD96" s="1">
        <f t="shared" si="41"/>
        <v>4</v>
      </c>
      <c r="BE96" s="1">
        <f>IF(G96="端リブ",AS96*$X$13*パラメータ!$D$22*2,0)</f>
        <v>0</v>
      </c>
      <c r="BF96" s="1">
        <f>主桁!AV51*1000</f>
        <v>75.286378911843371</v>
      </c>
      <c r="BG96" s="1">
        <f t="shared" si="21"/>
        <v>74.481463505289781</v>
      </c>
      <c r="BH96" s="1">
        <f t="shared" si="22"/>
        <v>0.14976784241713315</v>
      </c>
      <c r="BI96" s="2">
        <f>(AO96-機体重量!$E$15)^2+(AP96-機体重量!$F$15)^2</f>
        <v>5.4950777486569501E-4</v>
      </c>
      <c r="BJ96" s="2">
        <f>(AP96-機体重量!$F$15)^2</f>
        <v>3.8816156979940122E-4</v>
      </c>
      <c r="BK96" s="235">
        <f>(AO96-機体重量!$E$15)^2</f>
        <v>1.6134620506629379E-4</v>
      </c>
    </row>
    <row r="97" spans="2:63">
      <c r="B97" s="29">
        <v>46</v>
      </c>
      <c r="C97" s="1">
        <f t="shared" si="25"/>
        <v>9.6</v>
      </c>
      <c r="D97" s="1">
        <f t="shared" si="27"/>
        <v>569.09090909090912</v>
      </c>
      <c r="E97" s="22">
        <v>0.2</v>
      </c>
      <c r="F97" s="22" t="str">
        <f t="shared" si="44"/>
        <v>4th</v>
      </c>
      <c r="G97" s="75" t="str">
        <f t="shared" si="28"/>
        <v>3番</v>
      </c>
      <c r="H97" s="1">
        <f t="shared" si="29"/>
        <v>0.35</v>
      </c>
      <c r="I97" s="9">
        <f>主桁!AD52*2</f>
        <v>66.552000000000021</v>
      </c>
      <c r="J97" s="1">
        <f>主桁!AE52*2</f>
        <v>66.552000000000021</v>
      </c>
      <c r="K97" s="225"/>
      <c r="L97" s="230"/>
      <c r="M97" s="86"/>
      <c r="N97" s="86"/>
      <c r="O97" s="229"/>
      <c r="P97" s="86"/>
      <c r="Q97" s="86"/>
      <c r="R97" s="86"/>
      <c r="S97" s="86"/>
      <c r="T97" s="86"/>
      <c r="U97" s="86"/>
      <c r="V97" s="86"/>
      <c r="W97" s="86"/>
      <c r="X97" s="86"/>
      <c r="Y97" s="86"/>
      <c r="Z97" s="86"/>
      <c r="AA97" s="86"/>
      <c r="AB97" s="86"/>
      <c r="AC97" s="71" t="str">
        <f t="shared" si="30"/>
        <v>QX0023</v>
      </c>
      <c r="AD97" s="1">
        <f t="shared" si="18"/>
        <v>54.545454545454568</v>
      </c>
      <c r="AE97" s="1" t="str">
        <f t="shared" si="31"/>
        <v>QX0123</v>
      </c>
      <c r="AF97" s="1">
        <f t="shared" si="32"/>
        <v>45.454545454545432</v>
      </c>
      <c r="AG97" s="1">
        <f t="shared" si="33"/>
        <v>0.19918181818181818</v>
      </c>
      <c r="AH97" s="1">
        <f t="shared" si="34"/>
        <v>-0.36990909090909091</v>
      </c>
      <c r="AI97" s="1">
        <f t="shared" si="42"/>
        <v>8.7868525488838625</v>
      </c>
      <c r="AJ97" s="1">
        <f t="shared" si="43"/>
        <v>0.25086831184236841</v>
      </c>
      <c r="AK97" s="1">
        <f t="shared" si="35"/>
        <v>2</v>
      </c>
      <c r="AL97" s="7">
        <f t="shared" si="36"/>
        <v>6</v>
      </c>
      <c r="AM97" s="229"/>
      <c r="AN97" s="86"/>
      <c r="AO97" s="86"/>
      <c r="AP97" s="86"/>
      <c r="AQ97" s="86"/>
      <c r="AR97" s="86"/>
      <c r="AS97" s="86">
        <f t="shared" si="37"/>
        <v>3.0767123966942152E-2</v>
      </c>
      <c r="AT97" s="86">
        <f t="shared" si="38"/>
        <v>1.1666363636363635</v>
      </c>
      <c r="AU97" s="86">
        <f t="shared" si="39"/>
        <v>0.81026249999999989</v>
      </c>
      <c r="AV97" s="86">
        <f t="shared" si="16"/>
        <v>0.43748863636363633</v>
      </c>
      <c r="AW97" s="225">
        <f t="shared" si="17"/>
        <v>0.23332727272727272</v>
      </c>
      <c r="AX97" s="71">
        <f>AS97*$X$4*パラメータ!$D$24</f>
        <v>10.153150909090909</v>
      </c>
      <c r="AY97" s="1">
        <f>AU97*$X$5*E97*パラメータ!$D$30</f>
        <v>27.548924999999997</v>
      </c>
      <c r="AZ97" s="1">
        <f>SUMPRODUCT($AC$4:$AC$10,$AD$4:$AD$10)*E97*パラメータ!$D$28*10^-3</f>
        <v>12.75</v>
      </c>
      <c r="BA97" s="1">
        <f>(AV97+AW97)*$X$6*$X$4*パラメータ!$D$22*10^-3</f>
        <v>4.528007386363635</v>
      </c>
      <c r="BB97" s="1">
        <f>($X$8*$X$9*パラメータ!$D$22+0.5*$X$8^2*SIN(RADIANS($X$10))*パラメータ!$D$25)*E97*10^-3</f>
        <v>3.3081478802897957</v>
      </c>
      <c r="BC97" s="1">
        <f t="shared" si="40"/>
        <v>11.666363636363634</v>
      </c>
      <c r="BD97" s="1">
        <f t="shared" si="41"/>
        <v>4</v>
      </c>
      <c r="BE97" s="1">
        <f>IF(G97="端リブ",AS97*$X$13*パラメータ!$D$22*2,0)</f>
        <v>0</v>
      </c>
      <c r="BF97" s="1">
        <f>主桁!AV52*1000</f>
        <v>73.402069352507084</v>
      </c>
      <c r="BG97" s="1">
        <f t="shared" si="21"/>
        <v>73.95459481210797</v>
      </c>
      <c r="BH97" s="1">
        <f t="shared" si="22"/>
        <v>0.14735666416461504</v>
      </c>
      <c r="BI97" s="2">
        <f>(AO97-機体重量!$E$15)^2+(AP97-機体重量!$F$15)^2</f>
        <v>5.4950777486569501E-4</v>
      </c>
      <c r="BJ97" s="2">
        <f>(AP97-機体重量!$F$15)^2</f>
        <v>3.8816156979940122E-4</v>
      </c>
      <c r="BK97" s="235">
        <f>(AO97-機体重量!$E$15)^2</f>
        <v>1.6134620506629379E-4</v>
      </c>
    </row>
    <row r="98" spans="2:63">
      <c r="B98" s="29">
        <v>47</v>
      </c>
      <c r="C98" s="1">
        <f t="shared" si="25"/>
        <v>9.7999999999999989</v>
      </c>
      <c r="D98" s="1">
        <f t="shared" si="27"/>
        <v>560.90909090909088</v>
      </c>
      <c r="E98" s="22">
        <v>0.2</v>
      </c>
      <c r="F98" s="22" t="str">
        <f t="shared" si="44"/>
        <v>4th</v>
      </c>
      <c r="G98" s="75" t="str">
        <f t="shared" si="28"/>
        <v>3番</v>
      </c>
      <c r="H98" s="1">
        <f t="shared" si="29"/>
        <v>0.35</v>
      </c>
      <c r="I98" s="9">
        <f>主桁!AD53*2</f>
        <v>64.852000000000018</v>
      </c>
      <c r="J98" s="1">
        <f>主桁!AE53*2</f>
        <v>64.852000000000018</v>
      </c>
      <c r="K98" s="225"/>
      <c r="L98" s="230"/>
      <c r="M98" s="86"/>
      <c r="N98" s="86"/>
      <c r="O98" s="229"/>
      <c r="P98" s="86"/>
      <c r="Q98" s="86"/>
      <c r="R98" s="86"/>
      <c r="S98" s="86"/>
      <c r="T98" s="86"/>
      <c r="U98" s="86"/>
      <c r="V98" s="86"/>
      <c r="W98" s="86"/>
      <c r="X98" s="86"/>
      <c r="Y98" s="86"/>
      <c r="Z98" s="86"/>
      <c r="AA98" s="86"/>
      <c r="AB98" s="86"/>
      <c r="AC98" s="71" t="str">
        <f t="shared" si="30"/>
        <v>QX0023</v>
      </c>
      <c r="AD98" s="1">
        <f t="shared" si="18"/>
        <v>45.454545454545517</v>
      </c>
      <c r="AE98" s="1" t="str">
        <f t="shared" si="31"/>
        <v>QX0123</v>
      </c>
      <c r="AF98" s="1">
        <f t="shared" si="32"/>
        <v>54.545454545454483</v>
      </c>
      <c r="AG98" s="1">
        <f t="shared" si="33"/>
        <v>0.19631818181818178</v>
      </c>
      <c r="AH98" s="1">
        <f t="shared" si="34"/>
        <v>-0.36459090909090913</v>
      </c>
      <c r="AI98" s="1">
        <f t="shared" si="42"/>
        <v>8.9857569279575173</v>
      </c>
      <c r="AJ98" s="1">
        <f t="shared" si="43"/>
        <v>0.27177400449589911</v>
      </c>
      <c r="AK98" s="1">
        <f t="shared" si="35"/>
        <v>2</v>
      </c>
      <c r="AL98" s="7">
        <f t="shared" si="36"/>
        <v>6</v>
      </c>
      <c r="AM98" s="229"/>
      <c r="AN98" s="86"/>
      <c r="AO98" s="86"/>
      <c r="AP98" s="86"/>
      <c r="AQ98" s="86"/>
      <c r="AR98" s="86"/>
      <c r="AS98" s="86">
        <f t="shared" si="37"/>
        <v>2.9888805785123967E-2</v>
      </c>
      <c r="AT98" s="86">
        <f t="shared" si="38"/>
        <v>1.1498636363636363</v>
      </c>
      <c r="AU98" s="86">
        <f t="shared" si="39"/>
        <v>0.81026249999999989</v>
      </c>
      <c r="AV98" s="86">
        <f t="shared" si="16"/>
        <v>0.43119886363636362</v>
      </c>
      <c r="AW98" s="225">
        <f t="shared" si="17"/>
        <v>0.22997272727272727</v>
      </c>
      <c r="AX98" s="71">
        <f>AS98*$X$4*パラメータ!$D$24</f>
        <v>9.8633059090909097</v>
      </c>
      <c r="AY98" s="1">
        <f>AU98*$X$5*E98*パラメータ!$D$30</f>
        <v>27.548924999999997</v>
      </c>
      <c r="AZ98" s="1">
        <f>SUMPRODUCT($AC$4:$AC$10,$AD$4:$AD$10)*E98*パラメータ!$D$28*10^-3</f>
        <v>12.75</v>
      </c>
      <c r="BA98" s="1">
        <f>(AV98+AW98)*$X$6*$X$4*パラメータ!$D$22*10^-3</f>
        <v>4.4629082386363645</v>
      </c>
      <c r="BB98" s="1">
        <f>($X$8*$X$9*パラメータ!$D$22+0.5*$X$8^2*SIN(RADIANS($X$10))*パラメータ!$D$25)*E98*10^-3</f>
        <v>3.3081478802897957</v>
      </c>
      <c r="BC98" s="1">
        <f t="shared" si="40"/>
        <v>11.498636363636363</v>
      </c>
      <c r="BD98" s="1">
        <f t="shared" si="41"/>
        <v>4</v>
      </c>
      <c r="BE98" s="1">
        <f>IF(G98="端リブ",AS98*$X$13*パラメータ!$D$22*2,0)</f>
        <v>0</v>
      </c>
      <c r="BF98" s="1">
        <f>主桁!AV53*1000</f>
        <v>71.517757134804768</v>
      </c>
      <c r="BG98" s="1">
        <f t="shared" si="21"/>
        <v>73.431923391653427</v>
      </c>
      <c r="BH98" s="1">
        <f t="shared" si="22"/>
        <v>0.14494968052645821</v>
      </c>
      <c r="BI98" s="2">
        <f>(AO98-機体重量!$E$15)^2+(AP98-機体重量!$F$15)^2</f>
        <v>5.4950777486569501E-4</v>
      </c>
      <c r="BJ98" s="2">
        <f>(AP98-機体重量!$F$15)^2</f>
        <v>3.8816156979940122E-4</v>
      </c>
      <c r="BK98" s="235">
        <f>(AO98-機体重量!$E$15)^2</f>
        <v>1.6134620506629379E-4</v>
      </c>
    </row>
    <row r="99" spans="2:63">
      <c r="B99" s="29">
        <v>48</v>
      </c>
      <c r="C99" s="1">
        <f t="shared" si="25"/>
        <v>9.9999999999999982</v>
      </c>
      <c r="D99" s="1">
        <f t="shared" si="27"/>
        <v>552.72727272727275</v>
      </c>
      <c r="E99" s="22">
        <v>0.2</v>
      </c>
      <c r="F99" s="22" t="str">
        <f t="shared" si="44"/>
        <v>4th</v>
      </c>
      <c r="G99" s="75" t="str">
        <f t="shared" si="28"/>
        <v>3番</v>
      </c>
      <c r="H99" s="1">
        <f t="shared" si="29"/>
        <v>0.35</v>
      </c>
      <c r="I99" s="9">
        <f>主桁!AD54*2</f>
        <v>63.152000000000022</v>
      </c>
      <c r="J99" s="1">
        <f>主桁!AE54*2</f>
        <v>63.152000000000022</v>
      </c>
      <c r="K99" s="225"/>
      <c r="L99" s="230"/>
      <c r="M99" s="86"/>
      <c r="N99" s="86"/>
      <c r="O99" s="229"/>
      <c r="P99" s="86"/>
      <c r="Q99" s="86"/>
      <c r="R99" s="86"/>
      <c r="S99" s="86"/>
      <c r="T99" s="86"/>
      <c r="U99" s="86"/>
      <c r="V99" s="86"/>
      <c r="W99" s="86"/>
      <c r="X99" s="86"/>
      <c r="Y99" s="86"/>
      <c r="Z99" s="86"/>
      <c r="AA99" s="86"/>
      <c r="AB99" s="86"/>
      <c r="AC99" s="71" t="str">
        <f t="shared" si="30"/>
        <v>QX0023</v>
      </c>
      <c r="AD99" s="1">
        <f t="shared" si="18"/>
        <v>36.363636363636466</v>
      </c>
      <c r="AE99" s="1" t="str">
        <f t="shared" si="31"/>
        <v>QX0123</v>
      </c>
      <c r="AF99" s="1">
        <f t="shared" si="32"/>
        <v>63.636363636363534</v>
      </c>
      <c r="AG99" s="1">
        <f t="shared" si="33"/>
        <v>0.19345454545454543</v>
      </c>
      <c r="AH99" s="1">
        <f t="shared" si="34"/>
        <v>-0.3592727272727273</v>
      </c>
      <c r="AI99" s="1">
        <f t="shared" si="42"/>
        <v>9.1846613070311722</v>
      </c>
      <c r="AJ99" s="1">
        <f t="shared" si="43"/>
        <v>0.29267969714942982</v>
      </c>
      <c r="AK99" s="1">
        <f t="shared" si="35"/>
        <v>2</v>
      </c>
      <c r="AL99" s="7">
        <f t="shared" si="36"/>
        <v>6</v>
      </c>
      <c r="AM99" s="229"/>
      <c r="AN99" s="86"/>
      <c r="AO99" s="86"/>
      <c r="AP99" s="86"/>
      <c r="AQ99" s="86"/>
      <c r="AR99" s="86"/>
      <c r="AS99" s="86">
        <f t="shared" si="37"/>
        <v>2.9023206611570245E-2</v>
      </c>
      <c r="AT99" s="86">
        <f t="shared" si="38"/>
        <v>1.1330909090909089</v>
      </c>
      <c r="AU99" s="86">
        <f t="shared" si="39"/>
        <v>0.81026249999999989</v>
      </c>
      <c r="AV99" s="86">
        <f t="shared" si="16"/>
        <v>0.42490909090909085</v>
      </c>
      <c r="AW99" s="225">
        <f t="shared" si="17"/>
        <v>0.2266181818181818</v>
      </c>
      <c r="AX99" s="71">
        <f>AS99*$X$4*パラメータ!$D$24</f>
        <v>9.5776581818181814</v>
      </c>
      <c r="AY99" s="1">
        <f>AU99*$X$5*E99*パラメータ!$D$30</f>
        <v>27.548924999999997</v>
      </c>
      <c r="AZ99" s="1">
        <f>SUMPRODUCT($AC$4:$AC$10,$AD$4:$AD$10)*E99*パラメータ!$D$28*10^-3</f>
        <v>12.75</v>
      </c>
      <c r="BA99" s="1">
        <f>(AV99+AW99)*$X$6*$X$4*パラメータ!$D$22*10^-3</f>
        <v>4.3978090909090897</v>
      </c>
      <c r="BB99" s="1">
        <f>($X$8*$X$9*パラメータ!$D$22+0.5*$X$8^2*SIN(RADIANS($X$10))*パラメータ!$D$25)*E99*10^-3</f>
        <v>3.3081478802897957</v>
      </c>
      <c r="BC99" s="1">
        <f t="shared" si="40"/>
        <v>11.330909090909088</v>
      </c>
      <c r="BD99" s="1">
        <f t="shared" si="41"/>
        <v>4</v>
      </c>
      <c r="BE99" s="1">
        <f>IF(G99="端リブ",AS99*$X$13*パラメータ!$D$22*2,0)</f>
        <v>0</v>
      </c>
      <c r="BF99" s="1">
        <f>主桁!AV54*1000</f>
        <v>69.633442042904889</v>
      </c>
      <c r="BG99" s="1">
        <f t="shared" si="21"/>
        <v>72.913449243926152</v>
      </c>
      <c r="BH99" s="1">
        <f t="shared" si="22"/>
        <v>0.14254689128683107</v>
      </c>
      <c r="BI99" s="2">
        <f>(AO99-機体重量!$E$15)^2+(AP99-機体重量!$F$15)^2</f>
        <v>5.4950777486569501E-4</v>
      </c>
      <c r="BJ99" s="2">
        <f>(AP99-機体重量!$F$15)^2</f>
        <v>3.8816156979940122E-4</v>
      </c>
      <c r="BK99" s="235">
        <f>(AO99-機体重量!$E$15)^2</f>
        <v>1.6134620506629379E-4</v>
      </c>
    </row>
    <row r="100" spans="2:63">
      <c r="B100" s="29">
        <v>49</v>
      </c>
      <c r="C100" s="1">
        <f t="shared" si="25"/>
        <v>10.199999999999998</v>
      </c>
      <c r="D100" s="1">
        <f t="shared" si="27"/>
        <v>544.54545454545462</v>
      </c>
      <c r="E100" s="22">
        <v>0.2</v>
      </c>
      <c r="F100" s="22" t="str">
        <f t="shared" si="44"/>
        <v>4th</v>
      </c>
      <c r="G100" s="75" t="str">
        <f t="shared" si="28"/>
        <v>3番</v>
      </c>
      <c r="H100" s="1">
        <f t="shared" si="29"/>
        <v>0.35</v>
      </c>
      <c r="I100" s="9">
        <f>主桁!AD55*2</f>
        <v>61.452000000000027</v>
      </c>
      <c r="J100" s="1">
        <f>主桁!AE55*2</f>
        <v>61.452000000000027</v>
      </c>
      <c r="K100" s="225"/>
      <c r="L100" s="230"/>
      <c r="M100" s="86"/>
      <c r="N100" s="86"/>
      <c r="O100" s="229"/>
      <c r="P100" s="86"/>
      <c r="Q100" s="86"/>
      <c r="R100" s="86"/>
      <c r="S100" s="86"/>
      <c r="T100" s="86"/>
      <c r="U100" s="86"/>
      <c r="V100" s="86"/>
      <c r="W100" s="86"/>
      <c r="X100" s="86"/>
      <c r="Y100" s="86"/>
      <c r="Z100" s="86"/>
      <c r="AA100" s="86"/>
      <c r="AB100" s="86"/>
      <c r="AC100" s="71" t="str">
        <f t="shared" si="30"/>
        <v>QX0023</v>
      </c>
      <c r="AD100" s="1">
        <f t="shared" si="18"/>
        <v>27.272727272727408</v>
      </c>
      <c r="AE100" s="1" t="str">
        <f t="shared" si="31"/>
        <v>QX0123</v>
      </c>
      <c r="AF100" s="1">
        <f t="shared" si="32"/>
        <v>72.727272727272592</v>
      </c>
      <c r="AG100" s="1">
        <f t="shared" si="33"/>
        <v>0.19059090909090909</v>
      </c>
      <c r="AH100" s="1">
        <f t="shared" si="34"/>
        <v>-0.35395454545454558</v>
      </c>
      <c r="AI100" s="1">
        <f t="shared" si="42"/>
        <v>9.3835656861048271</v>
      </c>
      <c r="AJ100" s="1">
        <f t="shared" si="43"/>
        <v>0.31358538980296052</v>
      </c>
      <c r="AK100" s="1">
        <f t="shared" si="35"/>
        <v>2</v>
      </c>
      <c r="AL100" s="7">
        <f t="shared" si="36"/>
        <v>6</v>
      </c>
      <c r="AM100" s="229"/>
      <c r="AN100" s="86"/>
      <c r="AO100" s="86"/>
      <c r="AP100" s="86"/>
      <c r="AQ100" s="86"/>
      <c r="AR100" s="86"/>
      <c r="AS100" s="86">
        <f t="shared" si="37"/>
        <v>2.8170326446281004E-2</v>
      </c>
      <c r="AT100" s="86">
        <f t="shared" si="38"/>
        <v>1.1163181818181818</v>
      </c>
      <c r="AU100" s="86">
        <f t="shared" si="39"/>
        <v>0.81026249999999989</v>
      </c>
      <c r="AV100" s="86">
        <f t="shared" si="16"/>
        <v>0.41861931818181819</v>
      </c>
      <c r="AW100" s="225">
        <f t="shared" si="17"/>
        <v>0.22326363636363636</v>
      </c>
      <c r="AX100" s="71">
        <f>AS100*$X$4*パラメータ!$D$24</f>
        <v>9.2962077272727299</v>
      </c>
      <c r="AY100" s="1">
        <f>AU100*$X$5*E100*パラメータ!$D$30</f>
        <v>27.548924999999997</v>
      </c>
      <c r="AZ100" s="1">
        <f>SUMPRODUCT($AC$4:$AC$10,$AD$4:$AD$10)*E100*パラメータ!$D$28*10^-3</f>
        <v>12.75</v>
      </c>
      <c r="BA100" s="1">
        <f>(AV100+AW100)*$X$6*$X$4*パラメータ!$D$22*10^-3</f>
        <v>4.3327099431818192</v>
      </c>
      <c r="BB100" s="1">
        <f>($X$8*$X$9*パラメータ!$D$22+0.5*$X$8^2*SIN(RADIANS($X$10))*パラメータ!$D$25)*E100*10^-3</f>
        <v>3.3081478802897957</v>
      </c>
      <c r="BC100" s="1">
        <f t="shared" si="40"/>
        <v>11.163181818181817</v>
      </c>
      <c r="BD100" s="1">
        <f t="shared" si="41"/>
        <v>4</v>
      </c>
      <c r="BE100" s="1">
        <f>IF(G100="端リブ",AS100*$X$13*パラメータ!$D$22*2,0)</f>
        <v>0</v>
      </c>
      <c r="BF100" s="1">
        <f>主桁!AV55*1000</f>
        <v>67.749123836975386</v>
      </c>
      <c r="BG100" s="1">
        <f t="shared" si="21"/>
        <v>72.399172368926159</v>
      </c>
      <c r="BH100" s="1">
        <f t="shared" si="22"/>
        <v>0.14014829620590155</v>
      </c>
      <c r="BI100" s="2">
        <f>(AO100-機体重量!$E$15)^2+(AP100-機体重量!$F$15)^2</f>
        <v>5.4950777486569501E-4</v>
      </c>
      <c r="BJ100" s="2">
        <f>(AP100-機体重量!$F$15)^2</f>
        <v>3.8816156979940122E-4</v>
      </c>
      <c r="BK100" s="235">
        <f>(AO100-機体重量!$E$15)^2</f>
        <v>1.6134620506629379E-4</v>
      </c>
    </row>
    <row r="101" spans="2:63">
      <c r="B101" s="29">
        <v>50</v>
      </c>
      <c r="C101" s="1">
        <f t="shared" si="25"/>
        <v>10.399999999999997</v>
      </c>
      <c r="D101" s="1">
        <f t="shared" si="27"/>
        <v>536.36363636363649</v>
      </c>
      <c r="E101" s="22">
        <v>0.2</v>
      </c>
      <c r="F101" s="22" t="str">
        <f t="shared" si="44"/>
        <v>4th</v>
      </c>
      <c r="G101" s="75" t="str">
        <f t="shared" si="28"/>
        <v>3番</v>
      </c>
      <c r="H101" s="1">
        <f t="shared" si="29"/>
        <v>0.35</v>
      </c>
      <c r="I101" s="9">
        <f>主桁!AD56*2</f>
        <v>59.752000000000031</v>
      </c>
      <c r="J101" s="1">
        <f>主桁!AE56*2</f>
        <v>59.752000000000031</v>
      </c>
      <c r="K101" s="225"/>
      <c r="L101" s="230"/>
      <c r="M101" s="86"/>
      <c r="N101" s="86"/>
      <c r="O101" s="229"/>
      <c r="P101" s="86"/>
      <c r="Q101" s="86"/>
      <c r="R101" s="86"/>
      <c r="S101" s="86"/>
      <c r="T101" s="86"/>
      <c r="U101" s="86"/>
      <c r="V101" s="86"/>
      <c r="W101" s="86"/>
      <c r="X101" s="86"/>
      <c r="Y101" s="86"/>
      <c r="Z101" s="86"/>
      <c r="AA101" s="86"/>
      <c r="AB101" s="86"/>
      <c r="AC101" s="71" t="str">
        <f t="shared" si="30"/>
        <v>QX0023</v>
      </c>
      <c r="AD101" s="1">
        <f t="shared" si="18"/>
        <v>18.181818181818358</v>
      </c>
      <c r="AE101" s="1" t="str">
        <f t="shared" si="31"/>
        <v>QX0123</v>
      </c>
      <c r="AF101" s="1">
        <f t="shared" si="32"/>
        <v>81.818181818181642</v>
      </c>
      <c r="AG101" s="1">
        <f t="shared" si="33"/>
        <v>0.18772727272727274</v>
      </c>
      <c r="AH101" s="1">
        <f t="shared" si="34"/>
        <v>-0.34863636363636374</v>
      </c>
      <c r="AI101" s="1">
        <f t="shared" si="42"/>
        <v>9.582470065178482</v>
      </c>
      <c r="AJ101" s="1">
        <f t="shared" si="43"/>
        <v>0.33449108245649123</v>
      </c>
      <c r="AK101" s="1">
        <f t="shared" si="35"/>
        <v>2</v>
      </c>
      <c r="AL101" s="7">
        <f t="shared" si="36"/>
        <v>6</v>
      </c>
      <c r="AM101" s="229"/>
      <c r="AN101" s="86"/>
      <c r="AO101" s="86"/>
      <c r="AP101" s="86"/>
      <c r="AQ101" s="86"/>
      <c r="AR101" s="86"/>
      <c r="AS101" s="86">
        <f t="shared" si="37"/>
        <v>2.7330165289256209E-2</v>
      </c>
      <c r="AT101" s="86">
        <f t="shared" si="38"/>
        <v>1.0995454545454548</v>
      </c>
      <c r="AU101" s="86">
        <f t="shared" si="39"/>
        <v>0.81026249999999989</v>
      </c>
      <c r="AV101" s="86">
        <f t="shared" si="16"/>
        <v>0.41232954545454559</v>
      </c>
      <c r="AW101" s="225">
        <f t="shared" si="17"/>
        <v>0.21990909090909097</v>
      </c>
      <c r="AX101" s="71">
        <f>AS101*$X$4*パラメータ!$D$24</f>
        <v>9.0189545454545481</v>
      </c>
      <c r="AY101" s="1">
        <f>AU101*$X$5*E101*パラメータ!$D$30</f>
        <v>27.548924999999997</v>
      </c>
      <c r="AZ101" s="1">
        <f>SUMPRODUCT($AC$4:$AC$10,$AD$4:$AD$10)*E101*パラメータ!$D$28*10^-3</f>
        <v>12.75</v>
      </c>
      <c r="BA101" s="1">
        <f>(AV101+AW101)*$X$6*$X$4*パラメータ!$D$22*10^-3</f>
        <v>4.267610795454547</v>
      </c>
      <c r="BB101" s="1">
        <f>($X$8*$X$9*パラメータ!$D$22+0.5*$X$8^2*SIN(RADIANS($X$10))*パラメータ!$D$25)*E101*10^-3</f>
        <v>3.3081478802897957</v>
      </c>
      <c r="BC101" s="1">
        <f t="shared" si="40"/>
        <v>10.995454545454548</v>
      </c>
      <c r="BD101" s="1">
        <f t="shared" si="41"/>
        <v>4</v>
      </c>
      <c r="BE101" s="1">
        <f>IF(G101="端リブ",AS101*$X$13*パラメータ!$D$22*2,0)</f>
        <v>0</v>
      </c>
      <c r="BF101" s="1">
        <f>主桁!AV56*1000</f>
        <v>65.864802249694336</v>
      </c>
      <c r="BG101" s="1">
        <f t="shared" si="21"/>
        <v>71.889092766653434</v>
      </c>
      <c r="BH101" s="1">
        <f t="shared" si="22"/>
        <v>0.13775389501634777</v>
      </c>
      <c r="BI101" s="2">
        <f>(AO101-機体重量!$E$15)^2+(AP101-機体重量!$F$15)^2</f>
        <v>5.4950777486569501E-4</v>
      </c>
      <c r="BJ101" s="2">
        <f>(AP101-機体重量!$F$15)^2</f>
        <v>3.8816156979940122E-4</v>
      </c>
      <c r="BK101" s="235">
        <f>(AO101-機体重量!$E$15)^2</f>
        <v>1.6134620506629379E-4</v>
      </c>
    </row>
    <row r="102" spans="2:63">
      <c r="B102" s="29">
        <v>51</v>
      </c>
      <c r="C102" s="1">
        <f t="shared" si="25"/>
        <v>10.599999999999996</v>
      </c>
      <c r="D102" s="1">
        <f t="shared" si="27"/>
        <v>528.18181818181836</v>
      </c>
      <c r="E102" s="22">
        <v>0.2</v>
      </c>
      <c r="F102" s="22" t="str">
        <f t="shared" si="44"/>
        <v>4th</v>
      </c>
      <c r="G102" s="75" t="str">
        <f t="shared" si="28"/>
        <v>3番</v>
      </c>
      <c r="H102" s="1">
        <f t="shared" si="29"/>
        <v>0.35</v>
      </c>
      <c r="I102" s="9">
        <f>主桁!AD57*2</f>
        <v>58.052000000000042</v>
      </c>
      <c r="J102" s="1">
        <f>主桁!AE57*2</f>
        <v>58.052000000000042</v>
      </c>
      <c r="K102" s="225"/>
      <c r="L102" s="230"/>
      <c r="M102" s="86"/>
      <c r="N102" s="86"/>
      <c r="O102" s="229"/>
      <c r="P102" s="86"/>
      <c r="Q102" s="86"/>
      <c r="R102" s="86"/>
      <c r="S102" s="86"/>
      <c r="T102" s="86"/>
      <c r="U102" s="86"/>
      <c r="V102" s="86"/>
      <c r="W102" s="86"/>
      <c r="X102" s="86"/>
      <c r="Y102" s="86"/>
      <c r="Z102" s="86"/>
      <c r="AA102" s="86"/>
      <c r="AB102" s="86"/>
      <c r="AC102" s="71" t="str">
        <f t="shared" si="30"/>
        <v>QX0023</v>
      </c>
      <c r="AD102" s="1">
        <f t="shared" si="18"/>
        <v>9.0909090909092924</v>
      </c>
      <c r="AE102" s="1" t="str">
        <f t="shared" si="31"/>
        <v>QX0123</v>
      </c>
      <c r="AF102" s="1">
        <f t="shared" si="32"/>
        <v>90.909090909090708</v>
      </c>
      <c r="AG102" s="1">
        <f t="shared" si="33"/>
        <v>0.1848636363636364</v>
      </c>
      <c r="AH102" s="1">
        <f t="shared" si="34"/>
        <v>-0.34331818181818191</v>
      </c>
      <c r="AI102" s="1">
        <f t="shared" si="42"/>
        <v>9.7813744442521369</v>
      </c>
      <c r="AJ102" s="1">
        <f t="shared" si="43"/>
        <v>0.35539677511002193</v>
      </c>
      <c r="AK102" s="1">
        <f t="shared" si="35"/>
        <v>2</v>
      </c>
      <c r="AL102" s="7">
        <f t="shared" si="36"/>
        <v>6</v>
      </c>
      <c r="AM102" s="229"/>
      <c r="AN102" s="86"/>
      <c r="AO102" s="86"/>
      <c r="AP102" s="86"/>
      <c r="AQ102" s="86"/>
      <c r="AR102" s="86"/>
      <c r="AS102" s="86">
        <f t="shared" si="37"/>
        <v>2.6502723140495878E-2</v>
      </c>
      <c r="AT102" s="86">
        <f t="shared" si="38"/>
        <v>1.0827727272727274</v>
      </c>
      <c r="AU102" s="86">
        <f t="shared" si="39"/>
        <v>0.81026249999999989</v>
      </c>
      <c r="AV102" s="86">
        <f t="shared" si="16"/>
        <v>0.40603977272727276</v>
      </c>
      <c r="AW102" s="225">
        <f t="shared" si="17"/>
        <v>0.2165545454545455</v>
      </c>
      <c r="AX102" s="71">
        <f>AS102*$X$4*パラメータ!$D$24</f>
        <v>8.7458986363636395</v>
      </c>
      <c r="AY102" s="1">
        <f>AU102*$X$5*E102*パラメータ!$D$30</f>
        <v>27.548924999999997</v>
      </c>
      <c r="AZ102" s="1">
        <f>SUMPRODUCT($AC$4:$AC$10,$AD$4:$AD$10)*E102*パラメータ!$D$28*10^-3</f>
        <v>12.75</v>
      </c>
      <c r="BA102" s="1">
        <f>(AV102+AW102)*$X$6*$X$4*パラメータ!$D$22*10^-3</f>
        <v>4.202511647727273</v>
      </c>
      <c r="BB102" s="1">
        <f>($X$8*$X$9*パラメータ!$D$22+0.5*$X$8^2*SIN(RADIANS($X$10))*パラメータ!$D$25)*E102*10^-3</f>
        <v>3.3081478802897957</v>
      </c>
      <c r="BC102" s="1">
        <f t="shared" si="40"/>
        <v>10.827727272727275</v>
      </c>
      <c r="BD102" s="1">
        <f t="shared" si="41"/>
        <v>4</v>
      </c>
      <c r="BE102" s="1">
        <f>IF(G102="端リブ",AS102*$X$13*パラメータ!$D$22*2,0)</f>
        <v>0</v>
      </c>
      <c r="BF102" s="1">
        <f>主桁!AV57*1000</f>
        <v>63.980476982244419</v>
      </c>
      <c r="BG102" s="1">
        <f t="shared" si="21"/>
        <v>71.383210437107977</v>
      </c>
      <c r="BH102" s="1">
        <f t="shared" si="22"/>
        <v>0.1353636874193524</v>
      </c>
      <c r="BI102" s="2">
        <f>(AO102-機体重量!$E$15)^2+(AP102-機体重量!$F$15)^2</f>
        <v>5.4950777486569501E-4</v>
      </c>
      <c r="BJ102" s="2">
        <f>(AP102-機体重量!$F$15)^2</f>
        <v>3.8816156979940122E-4</v>
      </c>
      <c r="BK102" s="235">
        <f>(AO102-機体重量!$E$15)^2</f>
        <v>1.6134620506629379E-4</v>
      </c>
    </row>
    <row r="103" spans="2:63">
      <c r="B103" s="29">
        <v>52</v>
      </c>
      <c r="C103" s="1">
        <f t="shared" si="25"/>
        <v>10.799999999999995</v>
      </c>
      <c r="D103" s="1">
        <f t="shared" si="27"/>
        <v>520.00000000000034</v>
      </c>
      <c r="E103" s="22">
        <v>0.2</v>
      </c>
      <c r="F103" s="22" t="str">
        <f t="shared" si="44"/>
        <v>5th</v>
      </c>
      <c r="G103" s="75" t="str">
        <f t="shared" si="28"/>
        <v>3番</v>
      </c>
      <c r="H103" s="1">
        <f t="shared" si="29"/>
        <v>0.35</v>
      </c>
      <c r="I103" s="9">
        <f>主桁!AD58*2</f>
        <v>56.352000000000046</v>
      </c>
      <c r="J103" s="1">
        <f>主桁!AE58*2</f>
        <v>56.352000000000046</v>
      </c>
      <c r="K103" s="225"/>
      <c r="L103" s="230"/>
      <c r="M103" s="86"/>
      <c r="N103" s="86"/>
      <c r="O103" s="229"/>
      <c r="P103" s="86"/>
      <c r="Q103" s="86"/>
      <c r="R103" s="86"/>
      <c r="S103" s="86"/>
      <c r="T103" s="86"/>
      <c r="U103" s="86"/>
      <c r="V103" s="86"/>
      <c r="W103" s="86"/>
      <c r="X103" s="86"/>
      <c r="Y103" s="86"/>
      <c r="Z103" s="86"/>
      <c r="AA103" s="86"/>
      <c r="AB103" s="86"/>
      <c r="AC103" s="71" t="str">
        <f t="shared" si="30"/>
        <v>QX0123</v>
      </c>
      <c r="AD103" s="1">
        <f t="shared" si="18"/>
        <v>100</v>
      </c>
      <c r="AE103" s="1" t="str">
        <f t="shared" si="31"/>
        <v>QX0123</v>
      </c>
      <c r="AF103" s="1">
        <f t="shared" si="32"/>
        <v>0</v>
      </c>
      <c r="AG103" s="1">
        <f t="shared" si="33"/>
        <v>0.18200000000000011</v>
      </c>
      <c r="AH103" s="1">
        <f t="shared" si="34"/>
        <v>-0.33800000000000024</v>
      </c>
      <c r="AI103" s="1">
        <f t="shared" si="42"/>
        <v>9.9802788233257917</v>
      </c>
      <c r="AJ103" s="1">
        <f t="shared" si="43"/>
        <v>0.37630246776355264</v>
      </c>
      <c r="AK103" s="1">
        <f t="shared" si="35"/>
        <v>2.0000000000000053</v>
      </c>
      <c r="AL103" s="7">
        <f t="shared" si="36"/>
        <v>6</v>
      </c>
      <c r="AM103" s="229"/>
      <c r="AN103" s="86"/>
      <c r="AO103" s="86"/>
      <c r="AP103" s="86"/>
      <c r="AQ103" s="86"/>
      <c r="AR103" s="86"/>
      <c r="AS103" s="86">
        <f t="shared" si="37"/>
        <v>2.5688000000000034E-2</v>
      </c>
      <c r="AT103" s="86">
        <f t="shared" si="38"/>
        <v>1.0660000000000007</v>
      </c>
      <c r="AU103" s="86">
        <f t="shared" si="39"/>
        <v>0.81026249999999989</v>
      </c>
      <c r="AV103" s="86">
        <f t="shared" si="16"/>
        <v>0.39975000000000027</v>
      </c>
      <c r="AW103" s="225">
        <f t="shared" si="17"/>
        <v>0.21320000000000017</v>
      </c>
      <c r="AX103" s="71">
        <f>AS103*$X$4*パラメータ!$D$24</f>
        <v>8.4770400000000112</v>
      </c>
      <c r="AY103" s="1">
        <f>AU103*$X$5*E103*パラメータ!$D$30</f>
        <v>27.548924999999997</v>
      </c>
      <c r="AZ103" s="1">
        <f>SUMPRODUCT($AC$4:$AC$10,$AD$4:$AD$10)*E103*パラメータ!$D$28*10^-3</f>
        <v>12.75</v>
      </c>
      <c r="BA103" s="1">
        <f>(AV103+AW103)*$X$6*$X$4*パラメータ!$D$22*10^-3</f>
        <v>4.1374125000000035</v>
      </c>
      <c r="BB103" s="1">
        <f>($X$8*$X$9*パラメータ!$D$22+0.5*$X$8^2*SIN(RADIANS($X$10))*パラメータ!$D$25)*E103*10^-3</f>
        <v>3.3081478802897957</v>
      </c>
      <c r="BC103" s="1">
        <f t="shared" si="40"/>
        <v>10.660000000000007</v>
      </c>
      <c r="BD103" s="1">
        <f t="shared" si="41"/>
        <v>4</v>
      </c>
      <c r="BE103" s="1">
        <f>IF(G103="端リブ",AS103*$X$13*パラメータ!$D$22*2,0)</f>
        <v>0</v>
      </c>
      <c r="BF103" s="1">
        <f>主桁!AV58*1000</f>
        <v>62.09614769957382</v>
      </c>
      <c r="BG103" s="1">
        <f t="shared" si="21"/>
        <v>70.881525380289816</v>
      </c>
      <c r="BH103" s="1">
        <f t="shared" si="22"/>
        <v>0.13297767307986363</v>
      </c>
      <c r="BI103" s="2">
        <f>(AO103-機体重量!$E$15)^2+(AP103-機体重量!$F$15)^2</f>
        <v>5.4950777486569501E-4</v>
      </c>
      <c r="BJ103" s="2">
        <f>(AP103-機体重量!$F$15)^2</f>
        <v>3.8816156979940122E-4</v>
      </c>
      <c r="BK103" s="235">
        <f>(AO103-機体重量!$E$15)^2</f>
        <v>1.6134620506629379E-4</v>
      </c>
    </row>
    <row r="104" spans="2:63">
      <c r="B104" s="29">
        <v>53</v>
      </c>
      <c r="C104" s="1">
        <f t="shared" si="25"/>
        <v>10.999999999999995</v>
      </c>
      <c r="D104" s="1">
        <f t="shared" si="27"/>
        <v>502.5000000000004</v>
      </c>
      <c r="E104" s="22">
        <v>0.2</v>
      </c>
      <c r="F104" s="22" t="str">
        <f t="shared" si="44"/>
        <v>5th</v>
      </c>
      <c r="G104" s="75" t="str">
        <f t="shared" si="28"/>
        <v>3番</v>
      </c>
      <c r="H104" s="1">
        <f t="shared" si="29"/>
        <v>0.35</v>
      </c>
      <c r="I104" s="9">
        <f>主桁!AD59*2</f>
        <v>54.652000000000051</v>
      </c>
      <c r="J104" s="1">
        <f>主桁!AE59*2</f>
        <v>54.652000000000051</v>
      </c>
      <c r="K104" s="225"/>
      <c r="L104" s="230"/>
      <c r="M104" s="86"/>
      <c r="N104" s="86"/>
      <c r="O104" s="229"/>
      <c r="P104" s="86"/>
      <c r="Q104" s="86"/>
      <c r="R104" s="86"/>
      <c r="S104" s="86"/>
      <c r="T104" s="86"/>
      <c r="U104" s="86"/>
      <c r="V104" s="86"/>
      <c r="W104" s="86"/>
      <c r="X104" s="86"/>
      <c r="Y104" s="86"/>
      <c r="Z104" s="86"/>
      <c r="AA104" s="86"/>
      <c r="AB104" s="86"/>
      <c r="AC104" s="71" t="str">
        <f t="shared" si="30"/>
        <v>QX0123</v>
      </c>
      <c r="AD104" s="1">
        <f t="shared" si="18"/>
        <v>100</v>
      </c>
      <c r="AE104" s="1" t="str">
        <f t="shared" si="31"/>
        <v>QX0123</v>
      </c>
      <c r="AF104" s="1">
        <f t="shared" si="32"/>
        <v>0</v>
      </c>
      <c r="AG104" s="1">
        <f t="shared" si="33"/>
        <v>0.17587500000000014</v>
      </c>
      <c r="AH104" s="1">
        <f t="shared" si="34"/>
        <v>-0.32662500000000028</v>
      </c>
      <c r="AI104" s="1">
        <f t="shared" si="42"/>
        <v>10.179183202399447</v>
      </c>
      <c r="AJ104" s="1">
        <f t="shared" si="43"/>
        <v>0.39720816041708334</v>
      </c>
      <c r="AK104" s="1">
        <f t="shared" si="35"/>
        <v>1.7857142857142918</v>
      </c>
      <c r="AL104" s="7">
        <f t="shared" si="36"/>
        <v>6</v>
      </c>
      <c r="AM104" s="229"/>
      <c r="AN104" s="86"/>
      <c r="AO104" s="86"/>
      <c r="AP104" s="86"/>
      <c r="AQ104" s="86"/>
      <c r="AR104" s="86"/>
      <c r="AS104" s="86">
        <f t="shared" si="37"/>
        <v>2.3988093750000036E-2</v>
      </c>
      <c r="AT104" s="86">
        <f t="shared" si="38"/>
        <v>1.0301250000000006</v>
      </c>
      <c r="AU104" s="86">
        <f t="shared" si="39"/>
        <v>0.81026249999999989</v>
      </c>
      <c r="AV104" s="86">
        <f t="shared" si="16"/>
        <v>0.38629687500000021</v>
      </c>
      <c r="AW104" s="225">
        <f t="shared" si="17"/>
        <v>0.20602500000000012</v>
      </c>
      <c r="AX104" s="71">
        <f>AS104*$X$4*パラメータ!$D$24</f>
        <v>7.9160709375000122</v>
      </c>
      <c r="AY104" s="1">
        <f>AU104*$X$5*E104*パラメータ!$D$30</f>
        <v>27.548924999999997</v>
      </c>
      <c r="AZ104" s="1">
        <f>SUMPRODUCT($AC$4:$AC$10,$AD$4:$AD$10)*E104*パラメータ!$D$28*10^-3</f>
        <v>12.75</v>
      </c>
      <c r="BA104" s="1">
        <f>(AV104+AW104)*$X$6*$X$4*パラメータ!$D$22*10^-3</f>
        <v>3.9981726562500026</v>
      </c>
      <c r="BB104" s="1">
        <f>($X$8*$X$9*パラメータ!$D$22+0.5*$X$8^2*SIN(RADIANS($X$10))*パラメータ!$D$25)*E104*10^-3</f>
        <v>3.3081478802897957</v>
      </c>
      <c r="BC104" s="1">
        <f t="shared" si="40"/>
        <v>10.301250000000007</v>
      </c>
      <c r="BD104" s="1">
        <f t="shared" si="41"/>
        <v>4</v>
      </c>
      <c r="BE104" s="1">
        <f>IF(G104="端リブ",AS104*$X$13*パラメータ!$D$22*2,0)</f>
        <v>0</v>
      </c>
      <c r="BF104" s="1">
        <f>主桁!AV59*1000</f>
        <v>60.211814024647744</v>
      </c>
      <c r="BG104" s="1">
        <f t="shared" si="21"/>
        <v>69.822566474039817</v>
      </c>
      <c r="BH104" s="1">
        <f t="shared" si="22"/>
        <v>0.13003438049868757</v>
      </c>
      <c r="BI104" s="2">
        <f>(AO104-機体重量!$E$15)^2+(AP104-機体重量!$F$15)^2</f>
        <v>5.4950777486569501E-4</v>
      </c>
      <c r="BJ104" s="2">
        <f>(AP104-機体重量!$F$15)^2</f>
        <v>3.8816156979940122E-4</v>
      </c>
      <c r="BK104" s="235">
        <f>(AO104-機体重量!$E$15)^2</f>
        <v>1.6134620506629379E-4</v>
      </c>
    </row>
    <row r="105" spans="2:63">
      <c r="B105" s="29">
        <v>54</v>
      </c>
      <c r="C105" s="1">
        <f t="shared" si="25"/>
        <v>11.199999999999994</v>
      </c>
      <c r="D105" s="1">
        <f t="shared" si="27"/>
        <v>485.00000000000045</v>
      </c>
      <c r="E105" s="22">
        <v>0.2</v>
      </c>
      <c r="F105" s="22" t="str">
        <f t="shared" si="44"/>
        <v>5th</v>
      </c>
      <c r="G105" s="75" t="str">
        <f t="shared" si="28"/>
        <v>3番</v>
      </c>
      <c r="H105" s="1">
        <f t="shared" si="29"/>
        <v>0.35</v>
      </c>
      <c r="I105" s="9">
        <f>主桁!AD60*2</f>
        <v>52.952000000000055</v>
      </c>
      <c r="J105" s="1">
        <f>主桁!AE60*2</f>
        <v>52.952000000000055</v>
      </c>
      <c r="K105" s="225"/>
      <c r="L105" s="230"/>
      <c r="M105" s="86"/>
      <c r="N105" s="86"/>
      <c r="O105" s="229"/>
      <c r="P105" s="86"/>
      <c r="Q105" s="86"/>
      <c r="R105" s="86"/>
      <c r="S105" s="86"/>
      <c r="T105" s="86"/>
      <c r="U105" s="86"/>
      <c r="V105" s="86"/>
      <c r="W105" s="86"/>
      <c r="X105" s="86"/>
      <c r="Y105" s="86"/>
      <c r="Z105" s="86"/>
      <c r="AA105" s="86"/>
      <c r="AB105" s="86"/>
      <c r="AC105" s="71" t="str">
        <f t="shared" si="30"/>
        <v>QX0123</v>
      </c>
      <c r="AD105" s="1">
        <f t="shared" si="18"/>
        <v>100</v>
      </c>
      <c r="AE105" s="1" t="str">
        <f t="shared" si="31"/>
        <v>QX0123</v>
      </c>
      <c r="AF105" s="1">
        <f t="shared" si="32"/>
        <v>0</v>
      </c>
      <c r="AG105" s="1">
        <f t="shared" si="33"/>
        <v>0.16975000000000015</v>
      </c>
      <c r="AH105" s="1">
        <f t="shared" si="34"/>
        <v>-0.31525000000000025</v>
      </c>
      <c r="AI105" s="1">
        <f t="shared" si="42"/>
        <v>10.378087581473102</v>
      </c>
      <c r="AJ105" s="1">
        <f t="shared" si="43"/>
        <v>0.41811385307061405</v>
      </c>
      <c r="AK105" s="1">
        <f t="shared" si="35"/>
        <v>1.5714285714285783</v>
      </c>
      <c r="AL105" s="7">
        <f t="shared" si="36"/>
        <v>6</v>
      </c>
      <c r="AM105" s="229"/>
      <c r="AN105" s="86"/>
      <c r="AO105" s="86"/>
      <c r="AP105" s="86"/>
      <c r="AQ105" s="86"/>
      <c r="AR105" s="86"/>
      <c r="AS105" s="86">
        <f t="shared" si="37"/>
        <v>2.234637500000004E-2</v>
      </c>
      <c r="AT105" s="86">
        <f t="shared" si="38"/>
        <v>0.99425000000000074</v>
      </c>
      <c r="AU105" s="86">
        <f t="shared" si="39"/>
        <v>0.81026249999999989</v>
      </c>
      <c r="AV105" s="86">
        <f t="shared" si="16"/>
        <v>0.37284375000000025</v>
      </c>
      <c r="AW105" s="225">
        <f t="shared" si="17"/>
        <v>0.19885000000000017</v>
      </c>
      <c r="AX105" s="71">
        <f>AS105*$X$4*パラメータ!$D$24</f>
        <v>7.3743037500000135</v>
      </c>
      <c r="AY105" s="1">
        <f>AU105*$X$5*E105*パラメータ!$D$30</f>
        <v>27.548924999999997</v>
      </c>
      <c r="AZ105" s="1">
        <f>SUMPRODUCT($AC$4:$AC$10,$AD$4:$AD$10)*E105*パラメータ!$D$28*10^-3</f>
        <v>12.75</v>
      </c>
      <c r="BA105" s="1">
        <f>(AV105+AW105)*$X$6*$X$4*パラメータ!$D$22*10^-3</f>
        <v>3.8589328125000031</v>
      </c>
      <c r="BB105" s="1">
        <f>($X$8*$X$9*パラメータ!$D$22+0.5*$X$8^2*SIN(RADIANS($X$10))*パラメータ!$D$25)*E105*10^-3</f>
        <v>3.3081478802897957</v>
      </c>
      <c r="BC105" s="1">
        <f t="shared" si="40"/>
        <v>9.9425000000000079</v>
      </c>
      <c r="BD105" s="1">
        <f t="shared" si="41"/>
        <v>4</v>
      </c>
      <c r="BE105" s="1">
        <f>IF(G105="端リブ",AS105*$X$13*パラメータ!$D$22*2,0)</f>
        <v>0</v>
      </c>
      <c r="BF105" s="1">
        <f>主桁!AV60*1000</f>
        <v>58.327475531702802</v>
      </c>
      <c r="BG105" s="1">
        <f t="shared" si="21"/>
        <v>68.782809442789812</v>
      </c>
      <c r="BH105" s="1">
        <f t="shared" si="22"/>
        <v>0.12711028497449262</v>
      </c>
      <c r="BI105" s="2">
        <f>(AO105-機体重量!$E$15)^2+(AP105-機体重量!$F$15)^2</f>
        <v>5.4950777486569501E-4</v>
      </c>
      <c r="BJ105" s="2">
        <f>(AP105-機体重量!$F$15)^2</f>
        <v>3.8816156979940122E-4</v>
      </c>
      <c r="BK105" s="235">
        <f>(AO105-機体重量!$E$15)^2</f>
        <v>1.6134620506629379E-4</v>
      </c>
    </row>
    <row r="106" spans="2:63">
      <c r="B106" s="29">
        <v>55</v>
      </c>
      <c r="C106" s="1">
        <f t="shared" si="25"/>
        <v>11.399999999999993</v>
      </c>
      <c r="D106" s="1">
        <f t="shared" si="27"/>
        <v>467.50000000000045</v>
      </c>
      <c r="E106" s="22">
        <v>0.2</v>
      </c>
      <c r="F106" s="22" t="str">
        <f t="shared" si="44"/>
        <v>5th</v>
      </c>
      <c r="G106" s="75" t="str">
        <f t="shared" si="28"/>
        <v>3番</v>
      </c>
      <c r="H106" s="1">
        <f t="shared" si="29"/>
        <v>0.35</v>
      </c>
      <c r="I106" s="9">
        <f>主桁!AD61*2</f>
        <v>51.252000000000059</v>
      </c>
      <c r="J106" s="1">
        <f>主桁!AE61*2</f>
        <v>51.252000000000059</v>
      </c>
      <c r="K106" s="225"/>
      <c r="L106" s="230"/>
      <c r="M106" s="86"/>
      <c r="N106" s="86"/>
      <c r="O106" s="229"/>
      <c r="P106" s="86"/>
      <c r="Q106" s="86"/>
      <c r="R106" s="86"/>
      <c r="S106" s="86"/>
      <c r="T106" s="86"/>
      <c r="U106" s="86"/>
      <c r="V106" s="86"/>
      <c r="W106" s="86"/>
      <c r="X106" s="86"/>
      <c r="Y106" s="86"/>
      <c r="Z106" s="86"/>
      <c r="AA106" s="86"/>
      <c r="AB106" s="86"/>
      <c r="AC106" s="71" t="str">
        <f t="shared" si="30"/>
        <v>QX0123</v>
      </c>
      <c r="AD106" s="1">
        <f t="shared" si="18"/>
        <v>100</v>
      </c>
      <c r="AE106" s="1" t="str">
        <f t="shared" si="31"/>
        <v>QX0123</v>
      </c>
      <c r="AF106" s="1">
        <f t="shared" si="32"/>
        <v>0</v>
      </c>
      <c r="AG106" s="1">
        <f t="shared" si="33"/>
        <v>0.16362500000000013</v>
      </c>
      <c r="AH106" s="1">
        <f t="shared" si="34"/>
        <v>-0.30387500000000034</v>
      </c>
      <c r="AI106" s="1">
        <f t="shared" si="42"/>
        <v>10.576991960546756</v>
      </c>
      <c r="AJ106" s="1">
        <f t="shared" si="43"/>
        <v>0.43901954572414476</v>
      </c>
      <c r="AK106" s="1">
        <f t="shared" si="35"/>
        <v>1.3571428571428648</v>
      </c>
      <c r="AL106" s="7">
        <f t="shared" si="36"/>
        <v>6</v>
      </c>
      <c r="AM106" s="229"/>
      <c r="AN106" s="86"/>
      <c r="AO106" s="86"/>
      <c r="AP106" s="86"/>
      <c r="AQ106" s="86"/>
      <c r="AR106" s="86"/>
      <c r="AS106" s="86">
        <f t="shared" si="37"/>
        <v>2.0762843750000044E-2</v>
      </c>
      <c r="AT106" s="86">
        <f t="shared" si="38"/>
        <v>0.95837500000000075</v>
      </c>
      <c r="AU106" s="86">
        <f t="shared" si="39"/>
        <v>0.81026249999999989</v>
      </c>
      <c r="AV106" s="86">
        <f t="shared" si="16"/>
        <v>0.3593906250000003</v>
      </c>
      <c r="AW106" s="225">
        <f t="shared" si="17"/>
        <v>0.19167500000000015</v>
      </c>
      <c r="AX106" s="71">
        <f>AS106*$X$4*パラメータ!$D$24</f>
        <v>6.8517384375000141</v>
      </c>
      <c r="AY106" s="1">
        <f>AU106*$X$5*E106*パラメータ!$D$30</f>
        <v>27.548924999999997</v>
      </c>
      <c r="AZ106" s="1">
        <f>SUMPRODUCT($AC$4:$AC$10,$AD$4:$AD$10)*E106*パラメータ!$D$28*10^-3</f>
        <v>12.75</v>
      </c>
      <c r="BA106" s="1">
        <f>(AV106+AW106)*$X$6*$X$4*パラメータ!$D$22*10^-3</f>
        <v>3.7196929687500035</v>
      </c>
      <c r="BB106" s="1">
        <f>($X$8*$X$9*パラメータ!$D$22+0.5*$X$8^2*SIN(RADIANS($X$10))*パラメータ!$D$25)*E106*10^-3</f>
        <v>3.3081478802897957</v>
      </c>
      <c r="BC106" s="1">
        <f t="shared" si="40"/>
        <v>9.5837500000000073</v>
      </c>
      <c r="BD106" s="1">
        <f t="shared" si="41"/>
        <v>4</v>
      </c>
      <c r="BE106" s="1">
        <f>IF(G106="端リブ",AS106*$X$13*パラメータ!$D$22*2,0)</f>
        <v>0</v>
      </c>
      <c r="BF106" s="1">
        <f>主桁!AV61*1000</f>
        <v>56.443131738113109</v>
      </c>
      <c r="BG106" s="1">
        <f t="shared" si="21"/>
        <v>67.762254286539815</v>
      </c>
      <c r="BH106" s="1">
        <f t="shared" si="22"/>
        <v>0.12420538602465292</v>
      </c>
      <c r="BI106" s="2">
        <f>(AO106-機体重量!$E$15)^2+(AP106-機体重量!$F$15)^2</f>
        <v>5.4950777486569501E-4</v>
      </c>
      <c r="BJ106" s="2">
        <f>(AP106-機体重量!$F$15)^2</f>
        <v>3.8816156979940122E-4</v>
      </c>
      <c r="BK106" s="235">
        <f>(AO106-機体重量!$E$15)^2</f>
        <v>1.6134620506629379E-4</v>
      </c>
    </row>
    <row r="107" spans="2:63">
      <c r="B107" s="29">
        <v>56</v>
      </c>
      <c r="C107" s="1">
        <f t="shared" si="25"/>
        <v>11.599999999999993</v>
      </c>
      <c r="D107" s="1">
        <f t="shared" si="27"/>
        <v>450.00000000000063</v>
      </c>
      <c r="E107" s="22">
        <v>0.2</v>
      </c>
      <c r="F107" s="22" t="str">
        <f t="shared" si="44"/>
        <v>5th</v>
      </c>
      <c r="G107" s="75" t="str">
        <f t="shared" si="28"/>
        <v>3番</v>
      </c>
      <c r="H107" s="1">
        <f t="shared" si="29"/>
        <v>0.35</v>
      </c>
      <c r="I107" s="9">
        <f>主桁!AD62*2</f>
        <v>49.552000000000071</v>
      </c>
      <c r="J107" s="1">
        <f>主桁!AE62*2</f>
        <v>49.552000000000071</v>
      </c>
      <c r="K107" s="225"/>
      <c r="L107" s="230"/>
      <c r="M107" s="86"/>
      <c r="N107" s="86"/>
      <c r="O107" s="229"/>
      <c r="P107" s="86"/>
      <c r="Q107" s="86"/>
      <c r="R107" s="86"/>
      <c r="S107" s="86"/>
      <c r="T107" s="86"/>
      <c r="U107" s="86"/>
      <c r="V107" s="86"/>
      <c r="W107" s="86"/>
      <c r="X107" s="86"/>
      <c r="Y107" s="86"/>
      <c r="Z107" s="86"/>
      <c r="AA107" s="86"/>
      <c r="AB107" s="86"/>
      <c r="AC107" s="71" t="str">
        <f t="shared" si="30"/>
        <v>QX0123</v>
      </c>
      <c r="AD107" s="1">
        <f t="shared" si="18"/>
        <v>100</v>
      </c>
      <c r="AE107" s="1" t="str">
        <f t="shared" si="31"/>
        <v>QX0123</v>
      </c>
      <c r="AF107" s="1">
        <f t="shared" si="32"/>
        <v>0</v>
      </c>
      <c r="AG107" s="1">
        <f t="shared" si="33"/>
        <v>0.1575000000000002</v>
      </c>
      <c r="AH107" s="1">
        <f t="shared" si="34"/>
        <v>-0.29250000000000043</v>
      </c>
      <c r="AI107" s="1">
        <f t="shared" si="42"/>
        <v>10.775896339620411</v>
      </c>
      <c r="AJ107" s="1">
        <f t="shared" si="43"/>
        <v>0.45992523837767546</v>
      </c>
      <c r="AK107" s="1">
        <f t="shared" si="35"/>
        <v>1.1428571428571512</v>
      </c>
      <c r="AL107" s="7">
        <f t="shared" si="36"/>
        <v>6</v>
      </c>
      <c r="AM107" s="229"/>
      <c r="AN107" s="86"/>
      <c r="AO107" s="86"/>
      <c r="AP107" s="86"/>
      <c r="AQ107" s="86"/>
      <c r="AR107" s="86"/>
      <c r="AS107" s="86">
        <f t="shared" si="37"/>
        <v>1.9237500000000053E-2</v>
      </c>
      <c r="AT107" s="86">
        <f t="shared" si="38"/>
        <v>0.92250000000000121</v>
      </c>
      <c r="AU107" s="86">
        <f t="shared" si="39"/>
        <v>0.81026249999999989</v>
      </c>
      <c r="AV107" s="86">
        <f t="shared" si="16"/>
        <v>0.34593750000000045</v>
      </c>
      <c r="AW107" s="225">
        <f t="shared" si="17"/>
        <v>0.18450000000000025</v>
      </c>
      <c r="AX107" s="71">
        <f>AS107*$X$4*パラメータ!$D$24</f>
        <v>6.3483750000000168</v>
      </c>
      <c r="AY107" s="1">
        <f>AU107*$X$5*E107*パラメータ!$D$30</f>
        <v>27.548924999999997</v>
      </c>
      <c r="AZ107" s="1">
        <f>SUMPRODUCT($AC$4:$AC$10,$AD$4:$AD$10)*E107*パラメータ!$D$28*10^-3</f>
        <v>12.75</v>
      </c>
      <c r="BA107" s="1">
        <f>(AV107+AW107)*$X$6*$X$4*パラメータ!$D$22*10^-3</f>
        <v>3.5804531250000045</v>
      </c>
      <c r="BB107" s="1">
        <f>($X$8*$X$9*パラメータ!$D$22+0.5*$X$8^2*SIN(RADIANS($X$10))*パラメータ!$D$25)*E107*10^-3</f>
        <v>3.3081478802897957</v>
      </c>
      <c r="BC107" s="1">
        <f t="shared" si="40"/>
        <v>9.2250000000000121</v>
      </c>
      <c r="BD107" s="1">
        <f t="shared" si="41"/>
        <v>4</v>
      </c>
      <c r="BE107" s="1">
        <f>IF(G107="端リブ",AS107*$X$13*パラメータ!$D$22*2,0)</f>
        <v>0</v>
      </c>
      <c r="BF107" s="1">
        <f>主桁!AV62*1000</f>
        <v>54.558782094594285</v>
      </c>
      <c r="BG107" s="1">
        <f t="shared" si="21"/>
        <v>66.760901005289824</v>
      </c>
      <c r="BH107" s="1">
        <f t="shared" si="22"/>
        <v>0.12131968309988411</v>
      </c>
      <c r="BI107" s="2">
        <f>(AO107-機体重量!$E$15)^2+(AP107-機体重量!$F$15)^2</f>
        <v>5.4950777486569501E-4</v>
      </c>
      <c r="BJ107" s="2">
        <f>(AP107-機体重量!$F$15)^2</f>
        <v>3.8816156979940122E-4</v>
      </c>
      <c r="BK107" s="235">
        <f>(AO107-機体重量!$E$15)^2</f>
        <v>1.6134620506629379E-4</v>
      </c>
    </row>
    <row r="108" spans="2:63">
      <c r="B108" s="29">
        <v>57</v>
      </c>
      <c r="C108" s="1">
        <f t="shared" si="25"/>
        <v>11.799999999999992</v>
      </c>
      <c r="D108" s="1">
        <f t="shared" si="27"/>
        <v>432.50000000000057</v>
      </c>
      <c r="E108" s="22">
        <v>0.2</v>
      </c>
      <c r="F108" s="22" t="str">
        <f t="shared" si="44"/>
        <v>5th</v>
      </c>
      <c r="G108" s="75" t="str">
        <f t="shared" si="28"/>
        <v>3番</v>
      </c>
      <c r="H108" s="1">
        <f t="shared" si="29"/>
        <v>0.35</v>
      </c>
      <c r="I108" s="9">
        <f>主桁!AD63*2</f>
        <v>47.852000000000075</v>
      </c>
      <c r="J108" s="1">
        <f>主桁!AE63*2</f>
        <v>47.852000000000075</v>
      </c>
      <c r="K108" s="225"/>
      <c r="L108" s="230"/>
      <c r="M108" s="86"/>
      <c r="N108" s="86"/>
      <c r="O108" s="229"/>
      <c r="P108" s="86"/>
      <c r="Q108" s="86"/>
      <c r="R108" s="86"/>
      <c r="S108" s="86"/>
      <c r="T108" s="86"/>
      <c r="U108" s="86"/>
      <c r="V108" s="86"/>
      <c r="W108" s="86"/>
      <c r="X108" s="86"/>
      <c r="Y108" s="86"/>
      <c r="Z108" s="86"/>
      <c r="AA108" s="86"/>
      <c r="AB108" s="86"/>
      <c r="AC108" s="71" t="str">
        <f t="shared" si="30"/>
        <v>QX0123</v>
      </c>
      <c r="AD108" s="1">
        <f t="shared" si="18"/>
        <v>100</v>
      </c>
      <c r="AE108" s="1" t="str">
        <f t="shared" si="31"/>
        <v>QX0123</v>
      </c>
      <c r="AF108" s="1">
        <f t="shared" si="32"/>
        <v>0</v>
      </c>
      <c r="AG108" s="1">
        <f t="shared" si="33"/>
        <v>0.1513750000000002</v>
      </c>
      <c r="AH108" s="1">
        <f t="shared" si="34"/>
        <v>-0.28112500000000035</v>
      </c>
      <c r="AI108" s="1">
        <f t="shared" si="42"/>
        <v>10.974800718694066</v>
      </c>
      <c r="AJ108" s="1">
        <f t="shared" si="43"/>
        <v>0.48083093103120617</v>
      </c>
      <c r="AK108" s="1">
        <f t="shared" si="35"/>
        <v>0.92857142857143593</v>
      </c>
      <c r="AL108" s="7">
        <f t="shared" si="36"/>
        <v>6</v>
      </c>
      <c r="AM108" s="229"/>
      <c r="AN108" s="86"/>
      <c r="AO108" s="86"/>
      <c r="AP108" s="86"/>
      <c r="AQ108" s="86"/>
      <c r="AR108" s="86"/>
      <c r="AS108" s="86">
        <f t="shared" si="37"/>
        <v>1.7770343750000046E-2</v>
      </c>
      <c r="AT108" s="86">
        <f t="shared" si="38"/>
        <v>0.88662500000000111</v>
      </c>
      <c r="AU108" s="86">
        <f t="shared" si="39"/>
        <v>0.81026249999999989</v>
      </c>
      <c r="AV108" s="86">
        <f t="shared" si="16"/>
        <v>0.33248437500000039</v>
      </c>
      <c r="AW108" s="225">
        <f t="shared" si="17"/>
        <v>0.17732500000000023</v>
      </c>
      <c r="AX108" s="71">
        <f>AS108*$X$4*パラメータ!$D$24</f>
        <v>5.8642134375000152</v>
      </c>
      <c r="AY108" s="1">
        <f>AU108*$X$5*E108*パラメータ!$D$30</f>
        <v>27.548924999999997</v>
      </c>
      <c r="AZ108" s="1">
        <f>SUMPRODUCT($AC$4:$AC$10,$AD$4:$AD$10)*E108*パラメータ!$D$28*10^-3</f>
        <v>12.75</v>
      </c>
      <c r="BA108" s="1">
        <f>(AV108+AW108)*$X$6*$X$4*パラメータ!$D$22*10^-3</f>
        <v>3.441213281250004</v>
      </c>
      <c r="BB108" s="1">
        <f>($X$8*$X$9*パラメータ!$D$22+0.5*$X$8^2*SIN(RADIANS($X$10))*パラメータ!$D$25)*E108*10^-3</f>
        <v>3.3081478802897957</v>
      </c>
      <c r="BC108" s="1">
        <f t="shared" si="40"/>
        <v>8.8662500000000115</v>
      </c>
      <c r="BD108" s="1">
        <f t="shared" si="41"/>
        <v>4</v>
      </c>
      <c r="BE108" s="1">
        <f>IF(G108="端リブ",AS108*$X$13*パラメータ!$D$22*2,0)</f>
        <v>0</v>
      </c>
      <c r="BF108" s="1">
        <f>主桁!AV63*1000</f>
        <v>52.674425973154648</v>
      </c>
      <c r="BG108" s="1">
        <f t="shared" si="21"/>
        <v>65.778749599039813</v>
      </c>
      <c r="BH108" s="1">
        <f t="shared" si="22"/>
        <v>0.11845317557219445</v>
      </c>
      <c r="BI108" s="2">
        <f>(AO108-機体重量!$E$15)^2+(AP108-機体重量!$F$15)^2</f>
        <v>5.4950777486569501E-4</v>
      </c>
      <c r="BJ108" s="2">
        <f>(AP108-機体重量!$F$15)^2</f>
        <v>3.8816156979940122E-4</v>
      </c>
      <c r="BK108" s="235">
        <f>(AO108-機体重量!$E$15)^2</f>
        <v>1.6134620506629379E-4</v>
      </c>
    </row>
    <row r="109" spans="2:63">
      <c r="B109" s="29">
        <v>58</v>
      </c>
      <c r="C109" s="1">
        <f t="shared" si="25"/>
        <v>11.999999999999991</v>
      </c>
      <c r="D109" s="1">
        <f t="shared" si="27"/>
        <v>415.00000000000068</v>
      </c>
      <c r="E109" s="22">
        <v>0.2</v>
      </c>
      <c r="F109" s="22" t="s">
        <v>943</v>
      </c>
      <c r="G109" s="75" t="str">
        <f t="shared" si="28"/>
        <v>3番</v>
      </c>
      <c r="H109" s="1">
        <f t="shared" si="29"/>
        <v>0.35</v>
      </c>
      <c r="I109" s="9">
        <f>主桁!AD64*2</f>
        <v>46.152000000000079</v>
      </c>
      <c r="J109" s="1">
        <f>主桁!AE64*2</f>
        <v>46.152000000000079</v>
      </c>
      <c r="K109" s="225"/>
      <c r="L109" s="230"/>
      <c r="M109" s="86"/>
      <c r="N109" s="86"/>
      <c r="O109" s="229"/>
      <c r="P109" s="86"/>
      <c r="Q109" s="86"/>
      <c r="R109" s="86"/>
      <c r="S109" s="86"/>
      <c r="T109" s="86"/>
      <c r="U109" s="86"/>
      <c r="V109" s="86"/>
      <c r="W109" s="86"/>
      <c r="X109" s="86"/>
      <c r="Y109" s="86"/>
      <c r="Z109" s="86"/>
      <c r="AA109" s="86"/>
      <c r="AB109" s="86"/>
      <c r="AC109" s="71" t="str">
        <f t="shared" si="30"/>
        <v>QX0123</v>
      </c>
      <c r="AD109" s="1">
        <f t="shared" si="18"/>
        <v>100</v>
      </c>
      <c r="AE109" s="1" t="str">
        <f t="shared" si="31"/>
        <v>QX0123</v>
      </c>
      <c r="AF109" s="1">
        <f t="shared" si="32"/>
        <v>0</v>
      </c>
      <c r="AG109" s="1">
        <f t="shared" si="33"/>
        <v>0.14525000000000024</v>
      </c>
      <c r="AH109" s="1">
        <f t="shared" si="34"/>
        <v>-0.26975000000000049</v>
      </c>
      <c r="AI109" s="1">
        <f t="shared" si="42"/>
        <v>11.173705097767721</v>
      </c>
      <c r="AJ109" s="1">
        <f t="shared" si="43"/>
        <v>0.50173662368473682</v>
      </c>
      <c r="AK109" s="1">
        <f t="shared" si="35"/>
        <v>0.71428571428572241</v>
      </c>
      <c r="AL109" s="7">
        <f t="shared" si="36"/>
        <v>6</v>
      </c>
      <c r="AM109" s="229"/>
      <c r="AN109" s="86"/>
      <c r="AO109" s="86"/>
      <c r="AP109" s="86"/>
      <c r="AQ109" s="86"/>
      <c r="AR109" s="86"/>
      <c r="AS109" s="86">
        <f t="shared" si="37"/>
        <v>1.6361375000000053E-2</v>
      </c>
      <c r="AT109" s="86">
        <f t="shared" si="38"/>
        <v>0.85075000000000134</v>
      </c>
      <c r="AU109" s="86">
        <f t="shared" si="39"/>
        <v>0.81026249999999989</v>
      </c>
      <c r="AV109" s="86">
        <f t="shared" si="16"/>
        <v>0.31903125000000049</v>
      </c>
      <c r="AW109" s="225">
        <f t="shared" si="17"/>
        <v>0.17015000000000027</v>
      </c>
      <c r="AX109" s="71">
        <f>AS109*$X$4*パラメータ!$D$24</f>
        <v>5.3992537500000175</v>
      </c>
      <c r="AY109" s="1">
        <f>AU109*$X$5*E109*パラメータ!$D$30</f>
        <v>27.548924999999997</v>
      </c>
      <c r="AZ109" s="1">
        <f>SUMPRODUCT($AC$4:$AC$10,$AD$4:$AD$10)*E109*パラメータ!$D$28*10^-3</f>
        <v>12.75</v>
      </c>
      <c r="BA109" s="1">
        <f>(AV109+AW109)*$X$6*$X$4*パラメータ!$D$22*10^-3</f>
        <v>3.3019734375000054</v>
      </c>
      <c r="BB109" s="1">
        <f>($X$8*$X$9*パラメータ!$D$22+0.5*$X$8^2*SIN(RADIANS($X$10))*パラメータ!$D$25)*E109*10^-3</f>
        <v>3.3081478802897957</v>
      </c>
      <c r="BC109" s="1">
        <f t="shared" si="40"/>
        <v>8.5075000000000127</v>
      </c>
      <c r="BD109" s="1">
        <f t="shared" si="41"/>
        <v>4</v>
      </c>
      <c r="BE109" s="1">
        <f>IF(G109="端リブ",AS109*$X$13*パラメータ!$D$22*2,0)</f>
        <v>0</v>
      </c>
      <c r="BF109" s="1">
        <f>主桁!AV64*1000</f>
        <v>50.790062652590493</v>
      </c>
      <c r="BG109" s="1">
        <f t="shared" si="21"/>
        <v>64.815800067789823</v>
      </c>
      <c r="BH109" s="1">
        <f t="shared" si="22"/>
        <v>0.11560586272038031</v>
      </c>
      <c r="BI109" s="2">
        <f>(AO109-機体重量!$E$15)^2+(AP109-機体重量!$F$15)^2</f>
        <v>5.4950777486569501E-4</v>
      </c>
      <c r="BJ109" s="2">
        <f>(AP109-機体重量!$F$15)^2</f>
        <v>3.8816156979940122E-4</v>
      </c>
      <c r="BK109" s="235">
        <f>(AO109-機体重量!$E$15)^2</f>
        <v>1.6134620506629379E-4</v>
      </c>
    </row>
    <row r="110" spans="2:63">
      <c r="B110" s="29">
        <v>59</v>
      </c>
      <c r="C110" s="1">
        <f t="shared" si="25"/>
        <v>12.19999999999999</v>
      </c>
      <c r="D110" s="1">
        <f t="shared" si="27"/>
        <v>397.50000000000085</v>
      </c>
      <c r="E110" s="22">
        <v>0.6</v>
      </c>
      <c r="F110" s="22" t="str">
        <f>IF(C110&lt;$M$7,"flat",IF(C110&lt;$M$8,"1st",IF(C110&lt;$M$9,"2nd",IF(C110&lt;$M$10,"3rd",IF(C110&lt;$M$11,"4th",IF(C110&lt;$M$12,"5th","6th"))))))</f>
        <v>6th</v>
      </c>
      <c r="G110" s="75" t="str">
        <f t="shared" si="28"/>
        <v>ウィングレット</v>
      </c>
      <c r="H110" s="1">
        <f t="shared" si="29"/>
        <v>0.35</v>
      </c>
      <c r="I110" s="9">
        <f>主桁!AD65*2</f>
        <v>44.452000000000091</v>
      </c>
      <c r="J110" s="1">
        <f>主桁!AE65*2</f>
        <v>44.452000000000091</v>
      </c>
      <c r="K110" s="225"/>
      <c r="L110" s="230"/>
      <c r="M110" s="86"/>
      <c r="N110" s="86"/>
      <c r="O110" s="229"/>
      <c r="P110" s="86"/>
      <c r="Q110" s="86"/>
      <c r="R110" s="86"/>
      <c r="S110" s="86"/>
      <c r="T110" s="86"/>
      <c r="U110" s="86"/>
      <c r="V110" s="86"/>
      <c r="W110" s="86"/>
      <c r="X110" s="86"/>
      <c r="Y110" s="86"/>
      <c r="Z110" s="86"/>
      <c r="AA110" s="86"/>
      <c r="AB110" s="86"/>
      <c r="AC110" s="71" t="str">
        <f t="shared" si="30"/>
        <v>QX0123</v>
      </c>
      <c r="AD110" s="1">
        <f t="shared" si="18"/>
        <v>100</v>
      </c>
      <c r="AE110" s="1" t="str">
        <f t="shared" si="31"/>
        <v>QX0123</v>
      </c>
      <c r="AF110" s="1">
        <f t="shared" si="32"/>
        <v>0</v>
      </c>
      <c r="AG110" s="1">
        <f t="shared" si="33"/>
        <v>0.13912500000000028</v>
      </c>
      <c r="AH110" s="1">
        <f t="shared" si="34"/>
        <v>-0.25837500000000058</v>
      </c>
      <c r="AI110" s="1">
        <f t="shared" si="42"/>
        <v>11.372609476841376</v>
      </c>
      <c r="AJ110" s="1">
        <f t="shared" si="43"/>
        <v>0.52264231633826752</v>
      </c>
      <c r="AK110" s="1">
        <f t="shared" si="35"/>
        <v>0.5</v>
      </c>
      <c r="AL110" s="7">
        <f t="shared" si="36"/>
        <v>36</v>
      </c>
      <c r="AM110" s="229"/>
      <c r="AN110" s="86"/>
      <c r="AO110" s="86"/>
      <c r="AP110" s="86"/>
      <c r="AQ110" s="86"/>
      <c r="AR110" s="86"/>
      <c r="AS110" s="86">
        <f t="shared" si="37"/>
        <v>1.5010593750000065E-2</v>
      </c>
      <c r="AT110" s="86">
        <f t="shared" si="38"/>
        <v>0.81487500000000168</v>
      </c>
      <c r="AU110" s="86">
        <f t="shared" si="39"/>
        <v>0.81026249999999989</v>
      </c>
      <c r="AV110" s="86">
        <f t="shared" si="16"/>
        <v>0.30557812500000064</v>
      </c>
      <c r="AW110" s="225">
        <f t="shared" si="17"/>
        <v>0.16297500000000034</v>
      </c>
      <c r="AX110" s="71">
        <f>AS110*$X$4*パラメータ!$D$24</f>
        <v>4.9534959375000209</v>
      </c>
      <c r="AY110" s="1">
        <f>AU110*$X$5*E110*パラメータ!$D$30</f>
        <v>82.646774999999991</v>
      </c>
      <c r="AZ110" s="1">
        <f>SUMPRODUCT($AC$4:$AC$10,$AD$4:$AD$10)*E110*パラメータ!$D$28*10^-3</f>
        <v>38.25</v>
      </c>
      <c r="BA110" s="1">
        <f>(AV110+AW110)*$X$6*$X$4*パラメータ!$D$22*10^-3</f>
        <v>3.1627335937500072</v>
      </c>
      <c r="BB110" s="1">
        <f>($X$8*$X$9*パラメータ!$D$22+0.5*$X$8^2*SIN(RADIANS($X$10))*パラメータ!$D$25)*E110*10^-3</f>
        <v>9.9244436408693861</v>
      </c>
      <c r="BC110" s="1">
        <f t="shared" si="40"/>
        <v>8.1487500000000175</v>
      </c>
      <c r="BD110" s="1">
        <f t="shared" si="41"/>
        <v>4</v>
      </c>
      <c r="BE110" s="1">
        <f>IF(G110="端リブ",AS110*$X$13*パラメータ!$D$22*2,0)</f>
        <v>0</v>
      </c>
      <c r="BF110" s="1">
        <f>主桁!AV65*1000</f>
        <v>48.905691300594121</v>
      </c>
      <c r="BG110" s="1">
        <f t="shared" si="21"/>
        <v>151.08619817211942</v>
      </c>
      <c r="BH110" s="1">
        <f t="shared" si="22"/>
        <v>0.19999188947271354</v>
      </c>
      <c r="BI110" s="2">
        <f>(AO110-機体重量!$E$15)^2+(AP110-機体重量!$F$15)^2</f>
        <v>5.4950777486569501E-4</v>
      </c>
      <c r="BJ110" s="2">
        <f>(AP110-機体重量!$F$15)^2</f>
        <v>3.8816156979940122E-4</v>
      </c>
      <c r="BK110" s="235">
        <f>(AO110-機体重量!$E$15)^2</f>
        <v>1.6134620506629379E-4</v>
      </c>
    </row>
    <row r="111" spans="2:63">
      <c r="B111" s="29">
        <v>60</v>
      </c>
      <c r="C111" s="1">
        <f t="shared" si="25"/>
        <v>12.79999999999999</v>
      </c>
      <c r="D111" s="1">
        <f t="shared" si="27"/>
        <v>345.00000000000108</v>
      </c>
      <c r="E111" s="22"/>
      <c r="F111" s="22" t="str">
        <f>IF(C111&lt;$M$7,"flat",IF(C111&lt;$M$8,"1st",IF(C111&lt;$M$9,"2nd",IF(C111&lt;$M$10,"3rd",IF(C111&lt;$M$11,"4th",IF(C111&lt;$M$12,"5th","6th"))))))</f>
        <v>6th</v>
      </c>
      <c r="G111" s="75" t="str">
        <f t="shared" si="28"/>
        <v>ウィングレット</v>
      </c>
      <c r="H111" s="1">
        <f t="shared" si="29"/>
        <v>0.35</v>
      </c>
      <c r="I111" s="9">
        <f>主桁!AD66*2</f>
        <v>20</v>
      </c>
      <c r="J111" s="1">
        <f>主桁!AE66*2</f>
        <v>20</v>
      </c>
      <c r="K111" s="225"/>
      <c r="L111" s="230"/>
      <c r="M111" s="86"/>
      <c r="N111" s="86"/>
      <c r="O111" s="229"/>
      <c r="P111" s="86"/>
      <c r="Q111" s="86"/>
      <c r="R111" s="86"/>
      <c r="S111" s="86"/>
      <c r="T111" s="86"/>
      <c r="U111" s="86"/>
      <c r="V111" s="86"/>
      <c r="W111" s="86"/>
      <c r="X111" s="86"/>
      <c r="Y111" s="86"/>
      <c r="Z111" s="86"/>
      <c r="AA111" s="86"/>
      <c r="AB111" s="86"/>
      <c r="AC111" s="71" t="str">
        <f t="shared" si="30"/>
        <v>QX0123</v>
      </c>
      <c r="AD111" s="1">
        <f t="shared" si="18"/>
        <v>100</v>
      </c>
      <c r="AE111" s="1" t="str">
        <f t="shared" si="31"/>
        <v>QX0123</v>
      </c>
      <c r="AF111" s="1">
        <f t="shared" si="32"/>
        <v>0</v>
      </c>
      <c r="AG111" s="1">
        <f t="shared" si="33"/>
        <v>0.12075000000000037</v>
      </c>
      <c r="AH111" s="1">
        <f t="shared" si="34"/>
        <v>-0.22425000000000073</v>
      </c>
      <c r="AI111" s="1">
        <f t="shared" si="42"/>
        <v>11.858019673466345</v>
      </c>
      <c r="AJ111" s="1">
        <f t="shared" si="43"/>
        <v>0.8753134677137514</v>
      </c>
      <c r="AK111" s="1">
        <f t="shared" si="35"/>
        <v>0.5</v>
      </c>
      <c r="AL111" s="7">
        <f t="shared" si="36"/>
        <v>36</v>
      </c>
      <c r="AM111" s="229"/>
      <c r="AN111" s="86"/>
      <c r="AO111" s="86"/>
      <c r="AP111" s="86"/>
      <c r="AQ111" s="86"/>
      <c r="AR111" s="86"/>
      <c r="AS111" s="86">
        <f t="shared" si="37"/>
        <v>1.1307375000000071E-2</v>
      </c>
      <c r="AT111" s="86">
        <f t="shared" si="38"/>
        <v>0.70725000000000215</v>
      </c>
      <c r="AU111" s="86">
        <f t="shared" si="39"/>
        <v>0.81026249999999989</v>
      </c>
      <c r="AV111" s="86">
        <f t="shared" si="16"/>
        <v>0.26521875000000084</v>
      </c>
      <c r="AW111" s="225">
        <f t="shared" si="17"/>
        <v>0.14145000000000044</v>
      </c>
      <c r="AX111" s="71">
        <f>AS111*$X$4*パラメータ!$D$24</f>
        <v>3.7314337500000234</v>
      </c>
      <c r="AY111" s="1">
        <f>AU111*$X$5*E111*パラメータ!$D$30</f>
        <v>0</v>
      </c>
      <c r="AZ111" s="1">
        <f>SUMPRODUCT($AC$4:$AC$10,$AD$4:$AD$10)*E111*パラメータ!$D$28*10^-3</f>
        <v>0</v>
      </c>
      <c r="BA111" s="1">
        <f>(AV111+AW111)*$X$6*$X$4*パラメータ!$D$22*10^-3</f>
        <v>2.7450140625000086</v>
      </c>
      <c r="BB111" s="1">
        <f>($X$8*$X$9*パラメータ!$D$22+0.5*$X$8^2*SIN(RADIANS($X$10))*パラメータ!$D$25)*E111*10^-3</f>
        <v>0</v>
      </c>
      <c r="BC111" s="1">
        <f t="shared" si="40"/>
        <v>7.0725000000000211</v>
      </c>
      <c r="BD111" s="1">
        <f t="shared" si="41"/>
        <v>4</v>
      </c>
      <c r="BE111" s="1">
        <f>IF(G111="端リブ",AS111*$X$13*パラメータ!$D$22*2,0)</f>
        <v>0</v>
      </c>
      <c r="BF111" s="1">
        <f>主桁!AV66*1000</f>
        <v>96.886244918692697</v>
      </c>
      <c r="BG111" s="1">
        <f t="shared" si="21"/>
        <v>17.548947812500053</v>
      </c>
      <c r="BH111" s="1">
        <f t="shared" si="22"/>
        <v>0.11443519273119275</v>
      </c>
      <c r="BI111" s="2">
        <f>(AO111-機体重量!$E$15)^2+(AP111-機体重量!$F$15)^2</f>
        <v>5.4950777486569501E-4</v>
      </c>
      <c r="BJ111" s="2">
        <f>(AP111-機体重量!$F$15)^2</f>
        <v>3.8816156979940122E-4</v>
      </c>
      <c r="BK111" s="235">
        <f>(AO111-機体重量!$E$15)^2</f>
        <v>1.6134620506629379E-4</v>
      </c>
    </row>
    <row r="112" spans="2:63">
      <c r="B112" s="1"/>
      <c r="C112" s="1"/>
      <c r="D112" s="1"/>
      <c r="E112" s="22"/>
      <c r="F112" s="22"/>
      <c r="G112" s="75"/>
      <c r="H112" s="23"/>
      <c r="I112" s="9"/>
      <c r="J112" s="9"/>
      <c r="K112" s="225"/>
      <c r="L112" s="230"/>
      <c r="M112" s="86"/>
      <c r="N112" s="86"/>
      <c r="O112" s="229"/>
      <c r="P112" s="86"/>
      <c r="Q112" s="86"/>
      <c r="R112" s="86"/>
      <c r="S112" s="86"/>
      <c r="T112" s="86"/>
      <c r="U112" s="86"/>
      <c r="V112" s="86"/>
      <c r="W112" s="86"/>
      <c r="X112" s="86"/>
      <c r="Y112" s="86"/>
      <c r="Z112" s="86"/>
      <c r="AA112" s="86"/>
      <c r="AB112" s="86"/>
      <c r="AC112" s="23"/>
      <c r="AD112" s="23"/>
      <c r="AE112" s="23"/>
      <c r="AF112" s="23"/>
      <c r="AG112" s="1"/>
      <c r="AH112" s="1"/>
      <c r="AI112" s="1"/>
      <c r="AJ112" s="1"/>
      <c r="AK112" s="1"/>
      <c r="AL112" s="1"/>
      <c r="AM112" s="229"/>
      <c r="AN112" s="86"/>
      <c r="AO112" s="86"/>
      <c r="AP112" s="86"/>
      <c r="AQ112" s="86"/>
      <c r="AR112" s="86"/>
      <c r="AS112" s="86">
        <f t="shared" si="37"/>
        <v>0</v>
      </c>
      <c r="AT112" s="86">
        <f t="shared" si="38"/>
        <v>0</v>
      </c>
      <c r="AU112" s="86">
        <f t="shared" si="39"/>
        <v>0.81026249999999989</v>
      </c>
      <c r="AV112" s="86">
        <f t="shared" si="16"/>
        <v>0</v>
      </c>
      <c r="AW112" s="225">
        <f t="shared" si="17"/>
        <v>0</v>
      </c>
      <c r="AX112" s="71">
        <f>AS112*$X$4*パラメータ!$D$24</f>
        <v>0</v>
      </c>
      <c r="AY112" s="1">
        <f>AU112*$X$5*E112*パラメータ!$D$30</f>
        <v>0</v>
      </c>
      <c r="AZ112" s="1">
        <f>SUMPRODUCT($AC$4:$AC$10,$AD$4:$AD$10)*E112*パラメータ!$D$28*10^-3</f>
        <v>0</v>
      </c>
      <c r="BA112" s="1">
        <f>(AV112+AW112)*$X$6*$X$4*パラメータ!$D$22*10^-3</f>
        <v>0</v>
      </c>
      <c r="BB112" s="1">
        <f>($X$8*$X$9*パラメータ!$D$22+0.5*$X$8^2*SIN(RADIANS($X$10))*パラメータ!$D$25)*E112*10^-3</f>
        <v>0</v>
      </c>
      <c r="BC112" s="1">
        <f t="shared" si="40"/>
        <v>0</v>
      </c>
      <c r="BD112" s="1">
        <f t="shared" si="41"/>
        <v>4</v>
      </c>
      <c r="BE112" s="1">
        <f>IF(G112="端リブ",AS112*$X$13*パラメータ!$D$22*2,0)</f>
        <v>0</v>
      </c>
      <c r="BF112" s="1">
        <f>主桁!AV67*1000</f>
        <v>0</v>
      </c>
      <c r="BG112" s="1">
        <f t="shared" si="21"/>
        <v>4</v>
      </c>
      <c r="BH112" s="1">
        <f t="shared" si="22"/>
        <v>4.0000000000000001E-3</v>
      </c>
      <c r="BI112" s="2">
        <f>(AO112-機体重量!$E$15)^2+(AP112-機体重量!$F$15)^2</f>
        <v>5.4950777486569501E-4</v>
      </c>
      <c r="BJ112" s="2">
        <f>(AP112-機体重量!$F$15)^2</f>
        <v>3.8816156979940122E-4</v>
      </c>
      <c r="BK112" s="235">
        <f>(AO112-機体重量!$E$15)^2</f>
        <v>1.6134620506629379E-4</v>
      </c>
    </row>
    <row r="113" spans="2:63">
      <c r="B113" s="1"/>
      <c r="C113" s="1"/>
      <c r="D113" s="1"/>
      <c r="E113" s="22"/>
      <c r="F113" s="22"/>
      <c r="G113" s="75"/>
      <c r="H113" s="23"/>
      <c r="I113" s="9"/>
      <c r="J113" s="9"/>
      <c r="K113" s="225"/>
      <c r="L113" s="230"/>
      <c r="M113" s="86"/>
      <c r="N113" s="86"/>
      <c r="O113" s="229"/>
      <c r="P113" s="86"/>
      <c r="Q113" s="86"/>
      <c r="R113" s="86"/>
      <c r="S113" s="86"/>
      <c r="T113" s="86"/>
      <c r="U113" s="86"/>
      <c r="V113" s="86"/>
      <c r="W113" s="86"/>
      <c r="X113" s="86"/>
      <c r="Y113" s="86"/>
      <c r="Z113" s="86"/>
      <c r="AA113" s="86"/>
      <c r="AB113" s="86"/>
      <c r="AC113" s="23"/>
      <c r="AD113" s="23"/>
      <c r="AE113" s="23"/>
      <c r="AF113" s="23"/>
      <c r="AG113" s="1"/>
      <c r="AH113" s="1"/>
      <c r="AI113" s="1"/>
      <c r="AJ113" s="1"/>
      <c r="AK113" s="1"/>
      <c r="AL113" s="1"/>
      <c r="AM113" s="229"/>
      <c r="AN113" s="86"/>
      <c r="AO113" s="86"/>
      <c r="AP113" s="86"/>
      <c r="AQ113" s="86"/>
      <c r="AR113" s="86"/>
      <c r="AS113" s="86">
        <f t="shared" si="37"/>
        <v>0</v>
      </c>
      <c r="AT113" s="86">
        <f t="shared" si="38"/>
        <v>0</v>
      </c>
      <c r="AU113" s="86">
        <f t="shared" si="39"/>
        <v>0.81026249999999989</v>
      </c>
      <c r="AV113" s="86">
        <f t="shared" si="16"/>
        <v>0</v>
      </c>
      <c r="AW113" s="225">
        <f t="shared" si="17"/>
        <v>0</v>
      </c>
      <c r="AX113" s="71">
        <f>AS113*$X$4*パラメータ!$D$24</f>
        <v>0</v>
      </c>
      <c r="AY113" s="1">
        <f>AU113*$X$5*E113*パラメータ!$D$30</f>
        <v>0</v>
      </c>
      <c r="AZ113" s="1">
        <f>SUMPRODUCT($AC$4:$AC$10,$AD$4:$AD$10)*E113*パラメータ!$D$28*10^-3</f>
        <v>0</v>
      </c>
      <c r="BA113" s="1">
        <f>(AV113+AW113)*$X$6*$X$4*パラメータ!$D$22*10^-3</f>
        <v>0</v>
      </c>
      <c r="BB113" s="1">
        <f>($X$8*$X$9*パラメータ!$D$22+0.5*$X$8^2*SIN(RADIANS($X$10))*パラメータ!$D$25)*E113*10^-3</f>
        <v>0</v>
      </c>
      <c r="BC113" s="1">
        <f t="shared" si="40"/>
        <v>0</v>
      </c>
      <c r="BD113" s="1">
        <f t="shared" si="41"/>
        <v>4</v>
      </c>
      <c r="BE113" s="1">
        <f>IF(G113="端リブ",AS113*$X$13*パラメータ!$D$22*2,0)</f>
        <v>0</v>
      </c>
      <c r="BF113" s="1">
        <f>主桁!AV68*1000</f>
        <v>0</v>
      </c>
      <c r="BG113" s="1">
        <f t="shared" si="21"/>
        <v>4</v>
      </c>
      <c r="BH113" s="1">
        <f t="shared" si="22"/>
        <v>4.0000000000000001E-3</v>
      </c>
      <c r="BI113" s="2">
        <f>(AO113-機体重量!$E$15)^2+(AP113-機体重量!$F$15)^2</f>
        <v>5.4950777486569501E-4</v>
      </c>
      <c r="BJ113" s="2">
        <f>(AP113-機体重量!$F$15)^2</f>
        <v>3.8816156979940122E-4</v>
      </c>
      <c r="BK113" s="235">
        <f>(AO113-機体重量!$E$15)^2</f>
        <v>1.6134620506629379E-4</v>
      </c>
    </row>
    <row r="114" spans="2:63">
      <c r="B114" s="1"/>
      <c r="C114" s="1"/>
      <c r="D114" s="1"/>
      <c r="E114" s="22"/>
      <c r="F114" s="22"/>
      <c r="G114" s="75"/>
      <c r="H114" s="23"/>
      <c r="I114" s="9"/>
      <c r="J114" s="9"/>
      <c r="K114" s="225"/>
      <c r="L114" s="230"/>
      <c r="M114" s="86"/>
      <c r="N114" s="86"/>
      <c r="O114" s="229"/>
      <c r="P114" s="86"/>
      <c r="Q114" s="86"/>
      <c r="R114" s="86"/>
      <c r="S114" s="86"/>
      <c r="T114" s="86"/>
      <c r="U114" s="86"/>
      <c r="V114" s="86"/>
      <c r="W114" s="86"/>
      <c r="X114" s="86"/>
      <c r="Y114" s="86"/>
      <c r="Z114" s="86"/>
      <c r="AA114" s="86"/>
      <c r="AB114" s="86"/>
      <c r="AC114" s="23"/>
      <c r="AD114" s="23"/>
      <c r="AE114" s="23"/>
      <c r="AF114" s="23"/>
      <c r="AG114" s="1"/>
      <c r="AH114" s="1"/>
      <c r="AI114" s="1"/>
      <c r="AJ114" s="1"/>
      <c r="AK114" s="1"/>
      <c r="AL114" s="1"/>
      <c r="AM114" s="229"/>
      <c r="AN114" s="86"/>
      <c r="AO114" s="86"/>
      <c r="AP114" s="86"/>
      <c r="AQ114" s="86"/>
      <c r="AR114" s="86"/>
      <c r="AS114" s="86">
        <f t="shared" si="37"/>
        <v>0</v>
      </c>
      <c r="AT114" s="86">
        <f t="shared" si="38"/>
        <v>0</v>
      </c>
      <c r="AU114" s="86">
        <f t="shared" si="39"/>
        <v>0.81026249999999989</v>
      </c>
      <c r="AV114" s="86">
        <f t="shared" si="16"/>
        <v>0</v>
      </c>
      <c r="AW114" s="225">
        <f t="shared" si="17"/>
        <v>0</v>
      </c>
      <c r="AX114" s="71">
        <f>AS114*$X$4*パラメータ!$D$24</f>
        <v>0</v>
      </c>
      <c r="AY114" s="1">
        <f>AU114*$X$5*E114*パラメータ!$D$30</f>
        <v>0</v>
      </c>
      <c r="AZ114" s="1">
        <f>SUMPRODUCT($AC$4:$AC$10,$AD$4:$AD$10)*E114*パラメータ!$D$28*10^-3</f>
        <v>0</v>
      </c>
      <c r="BA114" s="1">
        <f>(AV114+AW114)*$X$6*$X$4*パラメータ!$D$22*10^-3</f>
        <v>0</v>
      </c>
      <c r="BB114" s="1">
        <f>($X$8*$X$9*パラメータ!$D$22+0.5*$X$8^2*SIN(RADIANS($X$10))*パラメータ!$D$25)*E114*10^-3</f>
        <v>0</v>
      </c>
      <c r="BC114" s="1">
        <f t="shared" si="40"/>
        <v>0</v>
      </c>
      <c r="BD114" s="1">
        <f t="shared" si="41"/>
        <v>4</v>
      </c>
      <c r="BE114" s="1">
        <f>IF(G114="端リブ",AS114*$X$13*パラメータ!$D$22*2,0)</f>
        <v>0</v>
      </c>
      <c r="BF114" s="1">
        <f>主桁!AV69*1000</f>
        <v>0</v>
      </c>
      <c r="BG114" s="1">
        <f t="shared" si="21"/>
        <v>4</v>
      </c>
      <c r="BH114" s="1">
        <f t="shared" si="22"/>
        <v>4.0000000000000001E-3</v>
      </c>
      <c r="BI114" s="2">
        <f>(AO114-機体重量!$E$15)^2+(AP114-機体重量!$F$15)^2</f>
        <v>5.4950777486569501E-4</v>
      </c>
      <c r="BJ114" s="2">
        <f>(AP114-機体重量!$F$15)^2</f>
        <v>3.8816156979940122E-4</v>
      </c>
      <c r="BK114" s="235">
        <f>(AO114-機体重量!$E$15)^2</f>
        <v>1.6134620506629379E-4</v>
      </c>
    </row>
    <row r="115" spans="2:63">
      <c r="B115" s="1"/>
      <c r="C115" s="1"/>
      <c r="D115" s="1"/>
      <c r="E115" s="22"/>
      <c r="F115" s="22"/>
      <c r="G115" s="75"/>
      <c r="H115" s="23"/>
      <c r="I115" s="9"/>
      <c r="J115" s="9"/>
      <c r="K115" s="225"/>
      <c r="L115" s="230"/>
      <c r="M115" s="86"/>
      <c r="N115" s="86"/>
      <c r="O115" s="229"/>
      <c r="P115" s="86"/>
      <c r="Q115" s="86"/>
      <c r="R115" s="86"/>
      <c r="S115" s="86"/>
      <c r="T115" s="86"/>
      <c r="U115" s="86"/>
      <c r="V115" s="86"/>
      <c r="W115" s="86"/>
      <c r="X115" s="86"/>
      <c r="Y115" s="86"/>
      <c r="Z115" s="86"/>
      <c r="AA115" s="86"/>
      <c r="AB115" s="86"/>
      <c r="AC115" s="23"/>
      <c r="AD115" s="23"/>
      <c r="AE115" s="23"/>
      <c r="AF115" s="23"/>
      <c r="AG115" s="1"/>
      <c r="AH115" s="1"/>
      <c r="AI115" s="1"/>
      <c r="AJ115" s="1"/>
      <c r="AK115" s="1"/>
      <c r="AL115" s="1"/>
      <c r="AM115" s="229"/>
      <c r="AN115" s="86"/>
      <c r="AO115" s="86"/>
      <c r="AP115" s="86"/>
      <c r="AQ115" s="86"/>
      <c r="AR115" s="86"/>
      <c r="AS115" s="86"/>
      <c r="AT115" s="86"/>
      <c r="AU115" s="230"/>
      <c r="AV115" s="86"/>
      <c r="AW115" s="225"/>
      <c r="AX115" s="23"/>
      <c r="AY115" s="1"/>
      <c r="AZ115" s="1"/>
      <c r="BA115" s="1"/>
      <c r="BB115" s="1"/>
      <c r="BC115" s="1"/>
      <c r="BD115" s="1"/>
      <c r="BE115" s="9"/>
      <c r="BF115" s="1"/>
      <c r="BG115" s="1"/>
      <c r="BH115" s="1"/>
      <c r="BI115" s="1"/>
      <c r="BJ115" s="1"/>
      <c r="BK115" s="70"/>
    </row>
    <row r="116" spans="2:63">
      <c r="B116" s="1"/>
      <c r="C116" s="1"/>
      <c r="D116" s="1"/>
      <c r="E116" s="22"/>
      <c r="F116" s="22"/>
      <c r="G116" s="75"/>
      <c r="H116" s="23"/>
      <c r="I116" s="9"/>
      <c r="J116" s="9"/>
      <c r="K116" s="225"/>
      <c r="L116" s="230"/>
      <c r="M116" s="86"/>
      <c r="N116" s="86"/>
      <c r="O116" s="229"/>
      <c r="P116" s="86"/>
      <c r="Q116" s="86"/>
      <c r="R116" s="86"/>
      <c r="S116" s="86"/>
      <c r="T116" s="86"/>
      <c r="U116" s="86"/>
      <c r="V116" s="86"/>
      <c r="W116" s="86"/>
      <c r="X116" s="86"/>
      <c r="Y116" s="86"/>
      <c r="Z116" s="86"/>
      <c r="AA116" s="86"/>
      <c r="AB116" s="86"/>
      <c r="AC116" s="23"/>
      <c r="AD116" s="23"/>
      <c r="AE116" s="23"/>
      <c r="AF116" s="23"/>
      <c r="AG116" s="1"/>
      <c r="AH116" s="1"/>
      <c r="AI116" s="1"/>
      <c r="AJ116" s="1"/>
      <c r="AK116" s="1"/>
      <c r="AL116" s="1"/>
      <c r="AM116" s="229"/>
      <c r="AN116" s="86"/>
      <c r="AO116" s="86"/>
      <c r="AP116" s="86"/>
      <c r="AQ116" s="86"/>
      <c r="AR116" s="86"/>
      <c r="AS116" s="86"/>
      <c r="AT116" s="86"/>
      <c r="AU116" s="230"/>
      <c r="AV116" s="86"/>
      <c r="AW116" s="225"/>
      <c r="AX116" s="23"/>
      <c r="AY116" s="1"/>
      <c r="AZ116" s="1"/>
      <c r="BA116" s="1"/>
      <c r="BB116" s="1"/>
      <c r="BC116" s="1"/>
      <c r="BD116" s="1"/>
      <c r="BE116" s="9"/>
      <c r="BF116" s="1"/>
      <c r="BG116" s="1"/>
      <c r="BH116" s="1"/>
      <c r="BI116" s="1"/>
      <c r="BJ116" s="1"/>
      <c r="BK116" s="70"/>
    </row>
  </sheetData>
  <mergeCells count="1">
    <mergeCell ref="B3:E13"/>
  </mergeCells>
  <phoneticPr fontId="3"/>
  <conditionalFormatting sqref="D47 F48:F116 E42:E46 E140:E1048576 E1 E20:E32 J2:J13 D117:D121">
    <cfRule type="cellIs" dxfId="3" priority="3" operator="equal">
      <formula>"基準"</formula>
    </cfRule>
  </conditionalFormatting>
  <conditionalFormatting sqref="E47 G48:G116 F42:F46 F140:F1048576 G1 F20:F32 K2:K13 E117:E121">
    <cfRule type="cellIs" dxfId="2" priority="2" operator="equal">
      <formula>"端リブ"</formula>
    </cfRule>
  </conditionalFormatting>
  <conditionalFormatting sqref="K51:K150">
    <cfRule type="cellIs" dxfId="1" priority="1" operator="lessThan">
      <formula>10</formula>
    </cfRule>
  </conditionalFormatting>
  <dataValidations count="2">
    <dataValidation type="list" allowBlank="1" showInputMessage="1" showErrorMessage="1" sqref="F51:F116" xr:uid="{54B72FDD-3BFD-C348-854F-97EE96A04B50}">
      <formula1>"基準,flat,1st,2nd,3rd,4th,5th,6th"</formula1>
    </dataValidation>
    <dataValidation type="list" allowBlank="1" showInputMessage="1" showErrorMessage="1" sqref="G51:G116" xr:uid="{0B4AB969-65C3-964B-B800-C2CBD36EA684}">
      <formula1>"端リブ,0番,1番,2番,3番,ウィングレット"</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パラメータ!$B$22:$B$49</xm:f>
          </x14:formula1>
          <xm:sqref>V4:V8 V13</xm:sqref>
        </x14:dataValidation>
        <x14:dataValidation type="list" allowBlank="1" showInputMessage="1" showErrorMessage="1" xr:uid="{0966932E-2437-5D44-926B-ED9DB59478DC}">
          <x14:formula1>
            <xm:f>パラメータ!$L$22:$L$49</xm:f>
          </x14:formula1>
          <xm:sqref>V11:V12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F3" sqref="F3"/>
    </sheetView>
  </sheetViews>
  <sheetFormatPr defaultColWidth="8.6640625" defaultRowHeight="19.5"/>
  <cols>
    <col min="1" max="16384" width="8.6640625" style="150"/>
  </cols>
  <sheetData>
    <row r="1" spans="2:46">
      <c r="P1" s="151"/>
      <c r="R1" s="151"/>
      <c r="AG1" s="151"/>
      <c r="AH1" s="151"/>
    </row>
    <row r="2" spans="2:46">
      <c r="B2" s="151"/>
      <c r="C2" s="151"/>
      <c r="D2" s="151"/>
      <c r="E2" s="151"/>
      <c r="G2" s="151" t="s">
        <v>890</v>
      </c>
      <c r="H2" s="151"/>
      <c r="I2" s="151"/>
      <c r="J2" s="151"/>
      <c r="K2" s="151"/>
      <c r="L2" s="151"/>
      <c r="M2" s="151"/>
      <c r="N2" s="151"/>
      <c r="O2" s="151"/>
      <c r="P2" s="151"/>
      <c r="R2" s="150" t="s">
        <v>771</v>
      </c>
      <c r="U2" s="151" t="s">
        <v>749</v>
      </c>
      <c r="AF2" s="151"/>
      <c r="AG2" s="151" t="s">
        <v>883</v>
      </c>
      <c r="AH2" s="151"/>
      <c r="AI2" s="151"/>
      <c r="AJ2" s="151"/>
    </row>
    <row r="3" spans="2:46" ht="20.25" thickBot="1">
      <c r="B3" s="152" t="s">
        <v>59</v>
      </c>
      <c r="C3" s="152" t="s">
        <v>60</v>
      </c>
      <c r="D3" s="152" t="s">
        <v>61</v>
      </c>
      <c r="E3" s="152" t="s">
        <v>62</v>
      </c>
      <c r="G3" s="153" t="s">
        <v>472</v>
      </c>
      <c r="H3" s="153" t="s">
        <v>691</v>
      </c>
      <c r="I3" s="153" t="s">
        <v>666</v>
      </c>
      <c r="J3" s="153" t="s">
        <v>881</v>
      </c>
      <c r="K3" s="153" t="s">
        <v>882</v>
      </c>
      <c r="L3" s="153" t="s">
        <v>689</v>
      </c>
      <c r="M3" s="153" t="s">
        <v>688</v>
      </c>
      <c r="N3" s="153" t="s">
        <v>665</v>
      </c>
      <c r="O3" s="153" t="s">
        <v>621</v>
      </c>
      <c r="P3" s="153" t="s">
        <v>657</v>
      </c>
      <c r="R3" s="149" t="s">
        <v>924</v>
      </c>
      <c r="S3" s="154"/>
      <c r="U3" s="153" t="s">
        <v>472</v>
      </c>
      <c r="V3" s="153" t="s">
        <v>153</v>
      </c>
      <c r="W3" s="153" t="s">
        <v>154</v>
      </c>
      <c r="X3" s="153" t="s">
        <v>155</v>
      </c>
      <c r="AF3" s="151"/>
      <c r="AG3" s="152" t="s">
        <v>59</v>
      </c>
      <c r="AH3" s="152" t="s">
        <v>60</v>
      </c>
      <c r="AI3" s="152" t="s">
        <v>61</v>
      </c>
      <c r="AJ3" s="152" t="s">
        <v>62</v>
      </c>
      <c r="AM3" s="151"/>
    </row>
    <row r="4" spans="2:46" ht="20.25" thickTop="1">
      <c r="B4" s="154" t="s">
        <v>873</v>
      </c>
      <c r="C4" s="154" t="s">
        <v>374</v>
      </c>
      <c r="D4" s="154"/>
      <c r="E4" s="154" t="s">
        <v>370</v>
      </c>
      <c r="G4" s="149" t="s">
        <v>153</v>
      </c>
      <c r="H4" s="149" t="s">
        <v>623</v>
      </c>
      <c r="I4" s="149" t="s">
        <v>624</v>
      </c>
      <c r="J4" s="155" t="s">
        <v>625</v>
      </c>
      <c r="K4" s="155" t="s">
        <v>626</v>
      </c>
      <c r="L4" s="149" t="s">
        <v>45</v>
      </c>
      <c r="M4" s="155" t="s">
        <v>46</v>
      </c>
      <c r="N4" s="149" t="s">
        <v>622</v>
      </c>
      <c r="O4" s="149" t="s">
        <v>627</v>
      </c>
      <c r="P4" s="149" t="s">
        <v>628</v>
      </c>
      <c r="R4" s="149" t="s">
        <v>925</v>
      </c>
      <c r="S4" s="154"/>
      <c r="U4" s="156" t="s">
        <v>751</v>
      </c>
      <c r="V4" s="156" t="s">
        <v>752</v>
      </c>
      <c r="W4" s="157">
        <f>10*10^-3</f>
        <v>0.01</v>
      </c>
      <c r="X4" s="156" t="s">
        <v>706</v>
      </c>
      <c r="AF4" s="151" t="s">
        <v>598</v>
      </c>
      <c r="AG4" s="149" t="s">
        <v>599</v>
      </c>
      <c r="AH4" s="149" t="s">
        <v>474</v>
      </c>
      <c r="AI4" s="149"/>
      <c r="AJ4" s="149" t="s">
        <v>404</v>
      </c>
      <c r="AM4" s="151" t="s">
        <v>113</v>
      </c>
    </row>
    <row r="5" spans="2:46" ht="20.25" thickBot="1">
      <c r="B5" s="154" t="s">
        <v>739</v>
      </c>
      <c r="C5" s="154" t="s">
        <v>369</v>
      </c>
      <c r="D5" s="154"/>
      <c r="E5" s="154" t="s">
        <v>370</v>
      </c>
      <c r="G5" s="158" t="s">
        <v>155</v>
      </c>
      <c r="H5" s="158" t="s">
        <v>5</v>
      </c>
      <c r="I5" s="158" t="s">
        <v>5</v>
      </c>
      <c r="J5" s="159" t="s">
        <v>318</v>
      </c>
      <c r="K5" s="159" t="s">
        <v>318</v>
      </c>
      <c r="L5" s="158" t="s">
        <v>690</v>
      </c>
      <c r="M5" s="159" t="s">
        <v>46</v>
      </c>
      <c r="N5" s="158" t="s">
        <v>46</v>
      </c>
      <c r="O5" s="158" t="s">
        <v>46</v>
      </c>
      <c r="P5" s="158" t="s">
        <v>5</v>
      </c>
      <c r="U5" s="149" t="s">
        <v>753</v>
      </c>
      <c r="V5" s="149" t="s">
        <v>752</v>
      </c>
      <c r="W5" s="160">
        <f>2*10^-3</f>
        <v>2E-3</v>
      </c>
      <c r="X5" s="149" t="s">
        <v>706</v>
      </c>
      <c r="AF5" s="151"/>
      <c r="AG5" s="149" t="s">
        <v>496</v>
      </c>
      <c r="AH5" s="149" t="s">
        <v>600</v>
      </c>
      <c r="AI5" s="149"/>
      <c r="AJ5" s="149" t="s">
        <v>5</v>
      </c>
      <c r="AM5" s="151"/>
    </row>
    <row r="6" spans="2:46" ht="20.25" thickTop="1">
      <c r="B6" s="149" t="s">
        <v>874</v>
      </c>
      <c r="C6" s="154" t="s">
        <v>366</v>
      </c>
      <c r="D6" s="154"/>
      <c r="E6" s="154" t="s">
        <v>45</v>
      </c>
      <c r="G6" s="161" t="s">
        <v>680</v>
      </c>
      <c r="H6" s="157">
        <v>0</v>
      </c>
      <c r="I6" s="157">
        <v>0.93</v>
      </c>
      <c r="J6" s="157">
        <v>2</v>
      </c>
      <c r="K6" s="157">
        <v>0</v>
      </c>
      <c r="L6" s="157">
        <v>35</v>
      </c>
      <c r="M6" s="157" t="s">
        <v>692</v>
      </c>
      <c r="N6" s="162">
        <v>0</v>
      </c>
      <c r="O6" s="156">
        <f t="shared" ref="O6:O11" si="0">I7/I6</f>
        <v>1</v>
      </c>
      <c r="P6" s="156">
        <f t="shared" ref="P6:P11" si="1">H7-H6</f>
        <v>1.6</v>
      </c>
      <c r="R6" s="150" t="s">
        <v>772</v>
      </c>
      <c r="U6" s="156" t="s">
        <v>754</v>
      </c>
      <c r="V6" s="156" t="s">
        <v>755</v>
      </c>
      <c r="W6" s="163">
        <v>5</v>
      </c>
      <c r="X6" s="156" t="s">
        <v>705</v>
      </c>
      <c r="AF6" s="151"/>
      <c r="AG6" s="149" t="s">
        <v>564</v>
      </c>
      <c r="AH6" s="149" t="s">
        <v>570</v>
      </c>
      <c r="AI6" s="149"/>
      <c r="AJ6" s="149" t="s">
        <v>46</v>
      </c>
      <c r="AM6" s="151"/>
    </row>
    <row r="7" spans="2:46">
      <c r="B7" s="149" t="s">
        <v>563</v>
      </c>
      <c r="C7" s="149" t="s">
        <v>474</v>
      </c>
      <c r="D7" s="149"/>
      <c r="E7" s="149" t="s">
        <v>404</v>
      </c>
      <c r="G7" s="153" t="s">
        <v>699</v>
      </c>
      <c r="H7" s="160">
        <v>1.6</v>
      </c>
      <c r="I7" s="160">
        <v>0.93</v>
      </c>
      <c r="J7" s="160">
        <v>2</v>
      </c>
      <c r="K7" s="160">
        <v>0</v>
      </c>
      <c r="L7" s="160">
        <v>35</v>
      </c>
      <c r="M7" s="160" t="s">
        <v>692</v>
      </c>
      <c r="N7" s="164"/>
      <c r="O7" s="149">
        <f t="shared" si="0"/>
        <v>0.83870967741935487</v>
      </c>
      <c r="P7" s="149">
        <f t="shared" si="1"/>
        <v>3.6</v>
      </c>
      <c r="R7" s="154">
        <v>1</v>
      </c>
      <c r="S7" s="154"/>
      <c r="U7" s="149"/>
      <c r="V7" s="149" t="s">
        <v>756</v>
      </c>
      <c r="W7" s="160">
        <f>(F30*G30)*10^-6</f>
        <v>0</v>
      </c>
      <c r="X7" s="149" t="s">
        <v>750</v>
      </c>
      <c r="AF7" s="151"/>
      <c r="AG7" s="149" t="s">
        <v>601</v>
      </c>
      <c r="AH7" s="149" t="s">
        <v>602</v>
      </c>
      <c r="AI7" s="149"/>
      <c r="AJ7" s="149" t="s">
        <v>5</v>
      </c>
      <c r="AM7" s="151"/>
    </row>
    <row r="8" spans="2:46" ht="20.25" thickBot="1">
      <c r="B8" s="149" t="s">
        <v>566</v>
      </c>
      <c r="C8" s="149" t="s">
        <v>425</v>
      </c>
      <c r="D8" s="149"/>
      <c r="E8" s="149" t="s">
        <v>572</v>
      </c>
      <c r="G8" s="153" t="s">
        <v>700</v>
      </c>
      <c r="H8" s="160">
        <v>5.2</v>
      </c>
      <c r="I8" s="160">
        <v>0.78</v>
      </c>
      <c r="J8" s="160">
        <v>2</v>
      </c>
      <c r="K8" s="160">
        <v>0</v>
      </c>
      <c r="L8" s="160">
        <v>35</v>
      </c>
      <c r="M8" s="160" t="s">
        <v>692</v>
      </c>
      <c r="N8" s="164"/>
      <c r="O8" s="149">
        <f t="shared" si="0"/>
        <v>0.87179487179487181</v>
      </c>
      <c r="P8" s="149">
        <f t="shared" si="1"/>
        <v>2</v>
      </c>
      <c r="R8" s="154">
        <v>2</v>
      </c>
      <c r="S8" s="154"/>
      <c r="U8" s="149" t="s">
        <v>757</v>
      </c>
      <c r="V8" s="149" t="s">
        <v>752</v>
      </c>
      <c r="W8" s="160">
        <f>0.45*10^-3</f>
        <v>4.5000000000000004E-4</v>
      </c>
      <c r="X8" s="149" t="s">
        <v>706</v>
      </c>
      <c r="AF8" s="151"/>
      <c r="AG8" s="158" t="s">
        <v>603</v>
      </c>
      <c r="AH8" s="158" t="s">
        <v>427</v>
      </c>
      <c r="AI8" s="158"/>
      <c r="AJ8" s="158" t="s">
        <v>5</v>
      </c>
      <c r="AM8" s="151"/>
    </row>
    <row r="9" spans="2:46" ht="20.25" thickTop="1">
      <c r="B9" s="149" t="s">
        <v>564</v>
      </c>
      <c r="C9" s="149" t="s">
        <v>570</v>
      </c>
      <c r="D9" s="149"/>
      <c r="E9" s="149" t="s">
        <v>46</v>
      </c>
      <c r="G9" s="153" t="s">
        <v>701</v>
      </c>
      <c r="H9" s="160">
        <v>7.2</v>
      </c>
      <c r="I9" s="160">
        <v>0.68</v>
      </c>
      <c r="J9" s="160">
        <v>2</v>
      </c>
      <c r="K9" s="160">
        <v>6</v>
      </c>
      <c r="L9" s="160">
        <v>35</v>
      </c>
      <c r="M9" s="160" t="s">
        <v>692</v>
      </c>
      <c r="N9" s="164"/>
      <c r="O9" s="149">
        <f t="shared" si="0"/>
        <v>0.89705882352941169</v>
      </c>
      <c r="P9" s="149">
        <f t="shared" si="1"/>
        <v>1.3999999999999995</v>
      </c>
      <c r="R9" s="154">
        <v>3</v>
      </c>
      <c r="S9" s="154"/>
      <c r="U9" s="149" t="s">
        <v>758</v>
      </c>
      <c r="V9" s="149" t="s">
        <v>759</v>
      </c>
      <c r="W9" s="160">
        <v>0.02</v>
      </c>
      <c r="X9" s="149" t="s">
        <v>706</v>
      </c>
      <c r="AF9" s="151" t="s">
        <v>604</v>
      </c>
      <c r="AG9" s="149" t="s">
        <v>599</v>
      </c>
      <c r="AH9" s="149" t="s">
        <v>474</v>
      </c>
      <c r="AI9" s="149"/>
      <c r="AJ9" s="149" t="s">
        <v>404</v>
      </c>
      <c r="AM9" s="151"/>
    </row>
    <row r="10" spans="2:46">
      <c r="B10" s="149" t="s">
        <v>565</v>
      </c>
      <c r="C10" s="149" t="s">
        <v>571</v>
      </c>
      <c r="D10" s="149"/>
      <c r="E10" s="149" t="s">
        <v>5</v>
      </c>
      <c r="G10" s="153" t="s">
        <v>702</v>
      </c>
      <c r="H10" s="160">
        <v>8.6</v>
      </c>
      <c r="I10" s="160">
        <v>0.61</v>
      </c>
      <c r="J10" s="160">
        <v>2</v>
      </c>
      <c r="K10" s="160">
        <v>6</v>
      </c>
      <c r="L10" s="160">
        <v>35</v>
      </c>
      <c r="M10" s="160" t="s">
        <v>692</v>
      </c>
      <c r="N10" s="164"/>
      <c r="O10" s="149">
        <f t="shared" si="0"/>
        <v>0.85245901639344268</v>
      </c>
      <c r="P10" s="149">
        <f t="shared" si="1"/>
        <v>2.2000000000000011</v>
      </c>
      <c r="R10" s="154">
        <v>4</v>
      </c>
      <c r="S10" s="154"/>
      <c r="U10" s="149"/>
      <c r="V10" s="149" t="s">
        <v>752</v>
      </c>
      <c r="W10" s="160">
        <f>0.5*10^-3</f>
        <v>5.0000000000000001E-4</v>
      </c>
      <c r="X10" s="149" t="s">
        <v>706</v>
      </c>
      <c r="AF10" s="151"/>
      <c r="AG10" s="149" t="s">
        <v>496</v>
      </c>
      <c r="AH10" s="149" t="s">
        <v>600</v>
      </c>
      <c r="AI10" s="149"/>
      <c r="AJ10" s="149" t="s">
        <v>5</v>
      </c>
      <c r="AM10" s="151"/>
    </row>
    <row r="11" spans="2:46">
      <c r="B11" s="149" t="s">
        <v>836</v>
      </c>
      <c r="C11" s="149" t="s">
        <v>875</v>
      </c>
      <c r="D11" s="149"/>
      <c r="E11" s="149" t="s">
        <v>5</v>
      </c>
      <c r="G11" s="153" t="s">
        <v>703</v>
      </c>
      <c r="H11" s="160">
        <v>10.8</v>
      </c>
      <c r="I11" s="160">
        <v>0.52</v>
      </c>
      <c r="J11" s="160">
        <v>2</v>
      </c>
      <c r="K11" s="160">
        <v>6</v>
      </c>
      <c r="L11" s="160">
        <v>35</v>
      </c>
      <c r="M11" s="160" t="s">
        <v>693</v>
      </c>
      <c r="N11" s="164"/>
      <c r="O11" s="149">
        <f t="shared" si="0"/>
        <v>0.73076923076923073</v>
      </c>
      <c r="P11" s="149">
        <f t="shared" si="1"/>
        <v>1.5999999999999996</v>
      </c>
      <c r="R11" s="154">
        <v>5</v>
      </c>
      <c r="S11" s="154"/>
      <c r="U11" s="149" t="s">
        <v>760</v>
      </c>
      <c r="V11" s="149" t="s">
        <v>761</v>
      </c>
      <c r="W11" s="160">
        <v>7.4999999999999997E-3</v>
      </c>
      <c r="X11" s="149" t="s">
        <v>762</v>
      </c>
      <c r="AF11" s="151"/>
      <c r="AG11" s="149" t="s">
        <v>564</v>
      </c>
      <c r="AH11" s="149" t="s">
        <v>570</v>
      </c>
      <c r="AI11" s="149"/>
      <c r="AJ11" s="149" t="s">
        <v>46</v>
      </c>
      <c r="AM11" s="151"/>
    </row>
    <row r="12" spans="2:46">
      <c r="B12" s="149" t="s">
        <v>837</v>
      </c>
      <c r="C12" s="149" t="s">
        <v>876</v>
      </c>
      <c r="D12" s="149"/>
      <c r="E12" s="149" t="s">
        <v>266</v>
      </c>
      <c r="G12" s="153" t="s">
        <v>679</v>
      </c>
      <c r="H12" s="160">
        <v>12.4</v>
      </c>
      <c r="I12" s="160">
        <v>0.38</v>
      </c>
      <c r="J12" s="160">
        <v>0.5</v>
      </c>
      <c r="K12" s="160">
        <v>6</v>
      </c>
      <c r="L12" s="160">
        <v>35</v>
      </c>
      <c r="M12" s="160" t="s">
        <v>693</v>
      </c>
      <c r="N12" s="164"/>
      <c r="O12" s="149"/>
      <c r="P12" s="149"/>
      <c r="R12" s="154">
        <v>6</v>
      </c>
      <c r="S12" s="154"/>
      <c r="U12" s="165" t="s">
        <v>763</v>
      </c>
      <c r="V12" s="149" t="s">
        <v>764</v>
      </c>
      <c r="W12" s="160">
        <v>7.4999999999999997E-3</v>
      </c>
      <c r="X12" s="149" t="s">
        <v>762</v>
      </c>
      <c r="AF12" s="151"/>
      <c r="AG12" s="149" t="s">
        <v>601</v>
      </c>
      <c r="AH12" s="149" t="s">
        <v>571</v>
      </c>
      <c r="AI12" s="149"/>
      <c r="AJ12" s="149" t="s">
        <v>5</v>
      </c>
      <c r="AM12" s="151"/>
    </row>
    <row r="13" spans="2:46" ht="20.25" thickBot="1">
      <c r="R13" s="154">
        <v>7</v>
      </c>
      <c r="S13" s="154"/>
      <c r="U13" s="149" t="s">
        <v>765</v>
      </c>
      <c r="V13" s="149" t="s">
        <v>766</v>
      </c>
      <c r="W13" s="160">
        <v>0.03</v>
      </c>
      <c r="X13" s="149" t="s">
        <v>762</v>
      </c>
      <c r="AF13" s="151"/>
      <c r="AG13" s="158" t="s">
        <v>603</v>
      </c>
      <c r="AH13" s="158" t="s">
        <v>427</v>
      </c>
      <c r="AI13" s="158"/>
      <c r="AJ13" s="158" t="s">
        <v>5</v>
      </c>
      <c r="AM13" s="151"/>
    </row>
    <row r="14" spans="2:46" ht="20.25" thickTop="1">
      <c r="U14" s="149" t="s">
        <v>767</v>
      </c>
      <c r="V14" s="149" t="s">
        <v>768</v>
      </c>
      <c r="W14" s="160">
        <v>0.08</v>
      </c>
      <c r="X14" s="149" t="s">
        <v>706</v>
      </c>
      <c r="AF14" s="151" t="s">
        <v>605</v>
      </c>
      <c r="AG14" s="156" t="s">
        <v>606</v>
      </c>
      <c r="AH14" s="156" t="s">
        <v>607</v>
      </c>
      <c r="AI14" s="157"/>
      <c r="AJ14" s="156" t="s">
        <v>46</v>
      </c>
      <c r="AM14" s="166"/>
      <c r="AR14" s="151"/>
      <c r="AS14" s="151"/>
      <c r="AT14" s="151"/>
    </row>
    <row r="15" spans="2:46">
      <c r="AF15" s="151"/>
      <c r="AG15" s="149" t="s">
        <v>608</v>
      </c>
      <c r="AH15" s="164" t="s">
        <v>609</v>
      </c>
      <c r="AI15" s="149"/>
      <c r="AJ15" s="149" t="s">
        <v>46</v>
      </c>
    </row>
    <row r="16" spans="2:46">
      <c r="AF16" s="151"/>
      <c r="AG16" s="149" t="s">
        <v>610</v>
      </c>
      <c r="AH16" s="149" t="s">
        <v>611</v>
      </c>
      <c r="AI16" s="149"/>
      <c r="AJ16" s="149" t="s">
        <v>435</v>
      </c>
    </row>
    <row r="17" spans="32:36">
      <c r="AF17" s="151"/>
      <c r="AG17" s="149" t="s">
        <v>612</v>
      </c>
      <c r="AH17" s="149" t="s">
        <v>446</v>
      </c>
      <c r="AI17" s="149"/>
      <c r="AJ17" s="149" t="s">
        <v>435</v>
      </c>
    </row>
    <row r="18" spans="32:36">
      <c r="AF18" s="151"/>
      <c r="AG18" s="149" t="s">
        <v>432</v>
      </c>
      <c r="AH18" s="149" t="s">
        <v>433</v>
      </c>
      <c r="AI18" s="149"/>
      <c r="AJ18" s="149" t="s">
        <v>46</v>
      </c>
    </row>
    <row r="19" spans="32:36">
      <c r="AF19" s="151"/>
      <c r="AG19" s="149" t="s">
        <v>456</v>
      </c>
      <c r="AH19" s="149" t="s">
        <v>457</v>
      </c>
      <c r="AI19" s="149"/>
      <c r="AJ19" s="149" t="s">
        <v>46</v>
      </c>
    </row>
    <row r="20" spans="32:36">
      <c r="AF20" s="151"/>
      <c r="AG20" s="165" t="s">
        <v>169</v>
      </c>
      <c r="AH20" s="165" t="s">
        <v>166</v>
      </c>
      <c r="AI20" s="167"/>
      <c r="AJ20" s="165" t="s">
        <v>46</v>
      </c>
    </row>
    <row r="21" spans="32:36" ht="20.25" thickBot="1">
      <c r="AF21" s="151"/>
      <c r="AG21" s="158" t="s">
        <v>613</v>
      </c>
      <c r="AH21" s="158" t="s">
        <v>614</v>
      </c>
      <c r="AI21" s="158"/>
      <c r="AJ21" s="158" t="s">
        <v>318</v>
      </c>
    </row>
    <row r="22" spans="32:36" ht="20.25" thickTop="1"/>
    <row r="35" spans="2:51">
      <c r="O35" s="151"/>
      <c r="AR35" s="151"/>
    </row>
    <row r="36" spans="2:51">
      <c r="O36" s="151"/>
    </row>
    <row r="37" spans="2:51">
      <c r="B37" s="168" t="s">
        <v>864</v>
      </c>
      <c r="C37" s="169"/>
      <c r="D37" s="170" t="s">
        <v>45</v>
      </c>
    </row>
    <row r="38" spans="2:51">
      <c r="B38" s="168" t="s">
        <v>872</v>
      </c>
      <c r="C38" s="169"/>
      <c r="D38" s="170" t="s">
        <v>37</v>
      </c>
    </row>
    <row r="40" spans="2:51">
      <c r="B40" s="150" t="s">
        <v>694</v>
      </c>
      <c r="H40" s="150" t="s">
        <v>782</v>
      </c>
      <c r="K40" s="150" t="s">
        <v>708</v>
      </c>
      <c r="R40" s="150" t="s">
        <v>744</v>
      </c>
      <c r="T40" s="150" t="s">
        <v>783</v>
      </c>
      <c r="W40" s="150" t="s">
        <v>776</v>
      </c>
      <c r="AE40" s="151"/>
      <c r="AF40" s="150" t="s">
        <v>712</v>
      </c>
    </row>
    <row r="41" spans="2:51">
      <c r="B41" s="153" t="s">
        <v>695</v>
      </c>
      <c r="C41" s="153" t="s">
        <v>743</v>
      </c>
      <c r="D41" s="153" t="s">
        <v>769</v>
      </c>
      <c r="E41" s="153" t="s">
        <v>707</v>
      </c>
      <c r="F41" s="153" t="s">
        <v>691</v>
      </c>
      <c r="G41" s="153" t="s">
        <v>666</v>
      </c>
      <c r="H41" s="153" t="s">
        <v>689</v>
      </c>
      <c r="I41" s="153" t="s">
        <v>710</v>
      </c>
      <c r="J41" s="171" t="s">
        <v>711</v>
      </c>
      <c r="K41" s="153" t="s">
        <v>709</v>
      </c>
      <c r="L41" s="153" t="s">
        <v>688</v>
      </c>
      <c r="M41" s="153" t="s">
        <v>697</v>
      </c>
      <c r="N41" s="153" t="s">
        <v>698</v>
      </c>
      <c r="O41" s="153" t="s">
        <v>877</v>
      </c>
      <c r="P41" s="172" t="s">
        <v>339</v>
      </c>
      <c r="Q41" s="153" t="s">
        <v>696</v>
      </c>
      <c r="R41" s="153" t="s">
        <v>339</v>
      </c>
      <c r="S41" s="153" t="s">
        <v>696</v>
      </c>
      <c r="T41" s="171" t="s">
        <v>773</v>
      </c>
      <c r="U41" s="171" t="s">
        <v>774</v>
      </c>
      <c r="V41" s="171" t="s">
        <v>775</v>
      </c>
      <c r="W41" s="153" t="s">
        <v>751</v>
      </c>
      <c r="X41" s="153" t="s">
        <v>753</v>
      </c>
      <c r="Y41" s="153" t="s">
        <v>754</v>
      </c>
      <c r="Z41" s="153" t="s">
        <v>757</v>
      </c>
      <c r="AA41" s="153" t="s">
        <v>758</v>
      </c>
      <c r="AB41" s="153" t="s">
        <v>777</v>
      </c>
      <c r="AC41" s="153" t="s">
        <v>781</v>
      </c>
      <c r="AD41" s="153" t="s">
        <v>780</v>
      </c>
      <c r="AE41" s="153" t="s">
        <v>778</v>
      </c>
      <c r="AF41" s="153" t="s">
        <v>719</v>
      </c>
      <c r="AG41" s="153" t="s">
        <v>713</v>
      </c>
      <c r="AH41" s="153" t="s">
        <v>714</v>
      </c>
      <c r="AI41" s="153" t="s">
        <v>784</v>
      </c>
      <c r="AJ41" s="153" t="s">
        <v>342</v>
      </c>
      <c r="AK41" s="153" t="s">
        <v>355</v>
      </c>
      <c r="AL41" s="153" t="s">
        <v>787</v>
      </c>
      <c r="AM41" s="153" t="s">
        <v>367</v>
      </c>
      <c r="AN41" s="153" t="s">
        <v>789</v>
      </c>
      <c r="AO41" s="153" t="s">
        <v>349</v>
      </c>
      <c r="AP41" s="153" t="s">
        <v>715</v>
      </c>
      <c r="AQ41" s="153" t="s">
        <v>739</v>
      </c>
      <c r="AR41" s="153" t="s">
        <v>740</v>
      </c>
      <c r="AS41" s="153" t="s">
        <v>741</v>
      </c>
      <c r="AT41" s="153" t="s">
        <v>717</v>
      </c>
      <c r="AU41" s="153" t="s">
        <v>716</v>
      </c>
      <c r="AV41" s="153" t="s">
        <v>720</v>
      </c>
      <c r="AW41" s="153" t="s">
        <v>718</v>
      </c>
      <c r="AX41" s="153" t="s">
        <v>745</v>
      </c>
    </row>
    <row r="42" spans="2:51">
      <c r="B42" s="149" t="s">
        <v>704</v>
      </c>
      <c r="C42" s="155" t="s">
        <v>705</v>
      </c>
      <c r="D42" s="155" t="s">
        <v>705</v>
      </c>
      <c r="E42" s="149" t="s">
        <v>657</v>
      </c>
      <c r="F42" s="149" t="s">
        <v>879</v>
      </c>
      <c r="G42" s="149" t="s">
        <v>667</v>
      </c>
      <c r="H42" s="149" t="s">
        <v>705</v>
      </c>
      <c r="I42" s="149" t="s">
        <v>705</v>
      </c>
      <c r="J42" s="173" t="s">
        <v>705</v>
      </c>
      <c r="K42" s="149" t="s">
        <v>705</v>
      </c>
      <c r="L42" s="149" t="s">
        <v>705</v>
      </c>
      <c r="M42" s="149" t="s">
        <v>705</v>
      </c>
      <c r="N42" s="149" t="s">
        <v>705</v>
      </c>
      <c r="O42" s="149" t="s">
        <v>878</v>
      </c>
      <c r="P42" s="174" t="s">
        <v>705</v>
      </c>
      <c r="Q42" s="149" t="s">
        <v>880</v>
      </c>
      <c r="R42" s="155" t="s">
        <v>705</v>
      </c>
      <c r="S42" s="155" t="s">
        <v>729</v>
      </c>
      <c r="T42" s="173" t="s">
        <v>705</v>
      </c>
      <c r="U42" s="173" t="s">
        <v>705</v>
      </c>
      <c r="V42" s="173" t="s">
        <v>705</v>
      </c>
      <c r="W42" s="149" t="s">
        <v>45</v>
      </c>
      <c r="X42" s="149" t="s">
        <v>45</v>
      </c>
      <c r="Y42" s="149" t="s">
        <v>45</v>
      </c>
      <c r="Z42" s="149" t="s">
        <v>45</v>
      </c>
      <c r="AA42" s="149" t="s">
        <v>45</v>
      </c>
      <c r="AB42" s="149" t="s">
        <v>45</v>
      </c>
      <c r="AC42" s="149" t="s">
        <v>45</v>
      </c>
      <c r="AD42" s="149" t="s">
        <v>45</v>
      </c>
      <c r="AE42" s="155" t="s">
        <v>45</v>
      </c>
      <c r="AF42" s="155" t="s">
        <v>733</v>
      </c>
      <c r="AG42" s="155" t="s">
        <v>721</v>
      </c>
      <c r="AH42" s="155" t="s">
        <v>722</v>
      </c>
      <c r="AI42" s="155" t="s">
        <v>785</v>
      </c>
      <c r="AJ42" s="155" t="s">
        <v>723</v>
      </c>
      <c r="AK42" s="155" t="s">
        <v>724</v>
      </c>
      <c r="AL42" s="155" t="s">
        <v>788</v>
      </c>
      <c r="AM42" s="155" t="s">
        <v>725</v>
      </c>
      <c r="AN42" s="155" t="s">
        <v>728</v>
      </c>
      <c r="AO42" s="155" t="s">
        <v>726</v>
      </c>
      <c r="AP42" s="155" t="s">
        <v>727</v>
      </c>
      <c r="AQ42" s="155" t="s">
        <v>369</v>
      </c>
      <c r="AR42" s="155" t="s">
        <v>372</v>
      </c>
      <c r="AS42" s="155" t="s">
        <v>886</v>
      </c>
      <c r="AT42" s="155" t="s">
        <v>731</v>
      </c>
      <c r="AU42" s="155" t="s">
        <v>730</v>
      </c>
      <c r="AV42" s="155" t="s">
        <v>734</v>
      </c>
      <c r="AW42" s="155" t="s">
        <v>732</v>
      </c>
      <c r="AX42" s="155" t="s">
        <v>742</v>
      </c>
    </row>
    <row r="43" spans="2:51" ht="20.25" thickBot="1">
      <c r="B43" s="165" t="s">
        <v>705</v>
      </c>
      <c r="C43" s="175" t="s">
        <v>705</v>
      </c>
      <c r="D43" s="175" t="s">
        <v>705</v>
      </c>
      <c r="E43" s="165" t="s">
        <v>706</v>
      </c>
      <c r="F43" s="165" t="s">
        <v>706</v>
      </c>
      <c r="G43" s="165" t="s">
        <v>706</v>
      </c>
      <c r="H43" s="158" t="s">
        <v>690</v>
      </c>
      <c r="I43" s="165" t="s">
        <v>652</v>
      </c>
      <c r="J43" s="176" t="s">
        <v>652</v>
      </c>
      <c r="K43" s="165" t="s">
        <v>652</v>
      </c>
      <c r="L43" s="165" t="s">
        <v>45</v>
      </c>
      <c r="M43" s="158" t="s">
        <v>706</v>
      </c>
      <c r="N43" s="158" t="s">
        <v>706</v>
      </c>
      <c r="O43" s="158" t="s">
        <v>706</v>
      </c>
      <c r="P43" s="177" t="s">
        <v>266</v>
      </c>
      <c r="Q43" s="165" t="s">
        <v>266</v>
      </c>
      <c r="R43" s="175" t="s">
        <v>735</v>
      </c>
      <c r="S43" s="175" t="s">
        <v>735</v>
      </c>
      <c r="T43" s="176" t="s">
        <v>706</v>
      </c>
      <c r="U43" s="176" t="s">
        <v>706</v>
      </c>
      <c r="V43" s="176" t="s">
        <v>706</v>
      </c>
      <c r="W43" s="178" t="s">
        <v>779</v>
      </c>
      <c r="X43" s="178" t="s">
        <v>779</v>
      </c>
      <c r="Y43" s="178" t="s">
        <v>779</v>
      </c>
      <c r="Z43" s="158" t="s">
        <v>779</v>
      </c>
      <c r="AA43" s="158" t="s">
        <v>779</v>
      </c>
      <c r="AB43" s="158" t="s">
        <v>779</v>
      </c>
      <c r="AC43" s="158" t="s">
        <v>779</v>
      </c>
      <c r="AD43" s="158" t="s">
        <v>779</v>
      </c>
      <c r="AE43" s="175" t="s">
        <v>779</v>
      </c>
      <c r="AF43" s="175" t="s">
        <v>735</v>
      </c>
      <c r="AG43" s="175" t="s">
        <v>735</v>
      </c>
      <c r="AH43" s="175" t="s">
        <v>705</v>
      </c>
      <c r="AI43" s="175" t="s">
        <v>705</v>
      </c>
      <c r="AJ43" s="175" t="s">
        <v>705</v>
      </c>
      <c r="AK43" s="175" t="s">
        <v>705</v>
      </c>
      <c r="AL43" s="175" t="s">
        <v>705</v>
      </c>
      <c r="AM43" s="175" t="s">
        <v>705</v>
      </c>
      <c r="AN43" s="175" t="s">
        <v>705</v>
      </c>
      <c r="AO43" s="175" t="s">
        <v>736</v>
      </c>
      <c r="AP43" s="175" t="s">
        <v>736</v>
      </c>
      <c r="AQ43" s="175" t="s">
        <v>279</v>
      </c>
      <c r="AR43" s="175" t="s">
        <v>279</v>
      </c>
      <c r="AS43" s="175" t="s">
        <v>786</v>
      </c>
      <c r="AT43" s="175" t="s">
        <v>737</v>
      </c>
      <c r="AU43" s="175" t="s">
        <v>737</v>
      </c>
      <c r="AV43" s="175" t="s">
        <v>737</v>
      </c>
      <c r="AW43" s="175" t="s">
        <v>738</v>
      </c>
      <c r="AX43" s="175" t="s">
        <v>738</v>
      </c>
    </row>
    <row r="44" spans="2:51" ht="20.25" thickTop="1">
      <c r="B44" s="179">
        <v>1</v>
      </c>
      <c r="C44" s="180"/>
      <c r="D44" s="180"/>
      <c r="E44" s="180"/>
      <c r="F44" s="179"/>
      <c r="G44" s="179"/>
      <c r="H44" s="181"/>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row>
    <row r="45" spans="2:51">
      <c r="B45" s="154">
        <v>2</v>
      </c>
      <c r="C45" s="182"/>
      <c r="D45" s="182"/>
      <c r="E45" s="182"/>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54"/>
      <c r="AO45" s="154"/>
      <c r="AP45" s="154"/>
      <c r="AQ45" s="154"/>
      <c r="AR45" s="154"/>
      <c r="AS45" s="154"/>
      <c r="AT45" s="154"/>
      <c r="AU45" s="154"/>
      <c r="AV45" s="154"/>
      <c r="AW45" s="154"/>
      <c r="AX45" s="154"/>
      <c r="AY45" s="154"/>
    </row>
    <row r="46" spans="2:51">
      <c r="B46" s="154">
        <v>3</v>
      </c>
      <c r="C46" s="182"/>
      <c r="D46" s="182"/>
      <c r="E46" s="182"/>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54"/>
      <c r="AO46" s="154"/>
      <c r="AP46" s="154"/>
      <c r="AQ46" s="154"/>
      <c r="AR46" s="154"/>
      <c r="AS46" s="154"/>
      <c r="AT46" s="154"/>
      <c r="AU46" s="154"/>
      <c r="AV46" s="154"/>
      <c r="AW46" s="154"/>
      <c r="AX46" s="154"/>
      <c r="AY46" s="154"/>
    </row>
    <row r="47" spans="2:51">
      <c r="B47" s="154">
        <v>4</v>
      </c>
      <c r="C47" s="182"/>
      <c r="D47" s="182"/>
      <c r="E47" s="182"/>
      <c r="F47" s="154"/>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4"/>
      <c r="AU47" s="154"/>
      <c r="AV47" s="154"/>
      <c r="AW47" s="154"/>
      <c r="AX47" s="154"/>
      <c r="AY47" s="154"/>
    </row>
    <row r="48" spans="2:51">
      <c r="B48" s="154">
        <v>5</v>
      </c>
      <c r="C48" s="182"/>
      <c r="D48" s="182"/>
      <c r="E48" s="182"/>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4"/>
      <c r="AU48" s="154"/>
      <c r="AV48" s="154"/>
      <c r="AW48" s="154"/>
      <c r="AX48" s="154"/>
      <c r="AY48" s="154"/>
    </row>
    <row r="49" spans="2:51">
      <c r="B49" s="154">
        <v>6</v>
      </c>
      <c r="C49" s="182"/>
      <c r="D49" s="182"/>
      <c r="E49" s="182"/>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54"/>
      <c r="AO49" s="154"/>
      <c r="AP49" s="154"/>
      <c r="AQ49" s="154"/>
      <c r="AR49" s="154"/>
      <c r="AS49" s="154"/>
      <c r="AT49" s="154"/>
      <c r="AU49" s="154"/>
      <c r="AV49" s="154"/>
      <c r="AW49" s="154"/>
      <c r="AX49" s="154"/>
      <c r="AY49" s="154"/>
    </row>
    <row r="50" spans="2:51">
      <c r="B50" s="154">
        <v>7</v>
      </c>
      <c r="C50" s="182"/>
      <c r="D50" s="182"/>
      <c r="E50" s="182"/>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row>
    <row r="51" spans="2:51">
      <c r="B51" s="154">
        <v>8</v>
      </c>
      <c r="C51" s="182"/>
      <c r="D51" s="182"/>
      <c r="E51" s="182"/>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c r="AN51" s="154"/>
      <c r="AO51" s="154"/>
      <c r="AP51" s="154"/>
      <c r="AQ51" s="154"/>
      <c r="AR51" s="154"/>
      <c r="AS51" s="154"/>
      <c r="AT51" s="154"/>
      <c r="AU51" s="154"/>
      <c r="AV51" s="154"/>
      <c r="AW51" s="154"/>
      <c r="AX51" s="154"/>
      <c r="AY51" s="154"/>
    </row>
    <row r="52" spans="2:51">
      <c r="B52" s="154">
        <v>9</v>
      </c>
      <c r="C52" s="182"/>
      <c r="D52" s="182"/>
      <c r="E52" s="182"/>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row>
    <row r="53" spans="2:51">
      <c r="B53" s="154">
        <v>10</v>
      </c>
      <c r="C53" s="182"/>
      <c r="D53" s="182"/>
      <c r="E53" s="182"/>
      <c r="F53" s="154"/>
      <c r="G53" s="154"/>
      <c r="H53" s="154"/>
      <c r="I53" s="154"/>
      <c r="J53" s="154"/>
      <c r="K53" s="154"/>
      <c r="L53" s="154"/>
      <c r="M53" s="154"/>
      <c r="N53" s="154"/>
      <c r="O53" s="154"/>
      <c r="P53" s="154"/>
      <c r="Q53" s="154"/>
      <c r="R53" s="154"/>
      <c r="S53" s="154"/>
      <c r="T53" s="154"/>
      <c r="U53" s="154"/>
      <c r="V53" s="154"/>
      <c r="W53" s="154"/>
      <c r="X53" s="154"/>
      <c r="Y53" s="154"/>
      <c r="Z53" s="154"/>
      <c r="AA53" s="154"/>
      <c r="AB53" s="154"/>
      <c r="AC53" s="154"/>
      <c r="AD53" s="154"/>
      <c r="AE53" s="154"/>
      <c r="AF53" s="154"/>
      <c r="AG53" s="154"/>
      <c r="AH53" s="154"/>
      <c r="AI53" s="154"/>
      <c r="AJ53" s="154"/>
      <c r="AK53" s="154"/>
      <c r="AL53" s="154"/>
      <c r="AM53" s="154"/>
      <c r="AN53" s="154"/>
      <c r="AO53" s="154"/>
      <c r="AP53" s="154"/>
      <c r="AQ53" s="154"/>
      <c r="AR53" s="154"/>
      <c r="AS53" s="154"/>
      <c r="AT53" s="154"/>
      <c r="AU53" s="154"/>
      <c r="AV53" s="154"/>
      <c r="AW53" s="154"/>
      <c r="AX53" s="154"/>
      <c r="AY53" s="154"/>
    </row>
    <row r="54" spans="2:51">
      <c r="B54" s="154">
        <v>11</v>
      </c>
      <c r="C54" s="182"/>
      <c r="D54" s="182"/>
      <c r="E54" s="182"/>
      <c r="F54" s="154"/>
      <c r="G54" s="154"/>
      <c r="H54" s="154"/>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c r="AS54" s="154"/>
      <c r="AT54" s="154"/>
      <c r="AU54" s="154"/>
      <c r="AV54" s="154"/>
      <c r="AW54" s="154"/>
      <c r="AX54" s="154"/>
      <c r="AY54" s="154"/>
    </row>
    <row r="55" spans="2:51">
      <c r="B55" s="154">
        <v>12</v>
      </c>
      <c r="C55" s="182"/>
      <c r="D55" s="182"/>
      <c r="E55" s="182"/>
      <c r="F55" s="154"/>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row>
    <row r="56" spans="2:51">
      <c r="B56" s="154">
        <v>13</v>
      </c>
      <c r="C56" s="182"/>
      <c r="D56" s="182"/>
      <c r="E56" s="182"/>
      <c r="F56" s="154"/>
      <c r="G56" s="154"/>
      <c r="H56" s="154"/>
      <c r="I56" s="154"/>
      <c r="J56" s="154"/>
      <c r="K56" s="154"/>
      <c r="L56" s="154"/>
      <c r="M56" s="154"/>
      <c r="N56" s="154"/>
      <c r="O56" s="154"/>
      <c r="P56" s="154"/>
      <c r="Q56" s="154"/>
      <c r="R56" s="154"/>
      <c r="S56" s="154"/>
      <c r="T56" s="154"/>
      <c r="U56" s="154"/>
      <c r="V56" s="154"/>
      <c r="W56" s="154"/>
      <c r="X56" s="154"/>
      <c r="Y56" s="154"/>
      <c r="Z56" s="154"/>
      <c r="AA56" s="154"/>
      <c r="AB56" s="154"/>
      <c r="AC56" s="154"/>
      <c r="AD56" s="154"/>
      <c r="AE56" s="154"/>
      <c r="AF56" s="154"/>
      <c r="AG56" s="154"/>
      <c r="AH56" s="154"/>
      <c r="AI56" s="154"/>
      <c r="AJ56" s="154"/>
      <c r="AK56" s="154"/>
      <c r="AL56" s="154"/>
      <c r="AM56" s="154"/>
      <c r="AN56" s="154"/>
      <c r="AO56" s="154"/>
      <c r="AP56" s="154"/>
      <c r="AQ56" s="154"/>
      <c r="AR56" s="154"/>
      <c r="AS56" s="154"/>
      <c r="AT56" s="154"/>
      <c r="AU56" s="154"/>
      <c r="AV56" s="154"/>
      <c r="AW56" s="154"/>
      <c r="AX56" s="154"/>
      <c r="AY56" s="154"/>
    </row>
    <row r="57" spans="2:51">
      <c r="B57" s="154">
        <v>14</v>
      </c>
      <c r="C57" s="182"/>
      <c r="D57" s="182"/>
      <c r="E57" s="182"/>
      <c r="F57" s="154"/>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row>
    <row r="58" spans="2:51">
      <c r="B58" s="154">
        <v>15</v>
      </c>
      <c r="C58" s="182"/>
      <c r="D58" s="182"/>
      <c r="E58" s="182"/>
      <c r="F58" s="154"/>
      <c r="G58" s="154"/>
      <c r="H58" s="154"/>
      <c r="I58" s="154"/>
      <c r="J58" s="154"/>
      <c r="K58" s="154"/>
      <c r="L58" s="154"/>
      <c r="M58" s="154"/>
      <c r="N58" s="154"/>
      <c r="O58" s="154"/>
      <c r="P58" s="154"/>
      <c r="Q58" s="154"/>
      <c r="R58" s="154"/>
      <c r="S58" s="154"/>
      <c r="T58" s="154"/>
      <c r="U58" s="154"/>
      <c r="V58" s="154"/>
      <c r="W58" s="154"/>
      <c r="X58" s="154"/>
      <c r="Y58" s="154"/>
      <c r="Z58" s="154"/>
      <c r="AA58" s="154"/>
      <c r="AB58" s="154"/>
      <c r="AC58" s="154"/>
      <c r="AD58" s="154"/>
      <c r="AE58" s="154"/>
      <c r="AF58" s="154"/>
      <c r="AG58" s="154"/>
      <c r="AH58" s="154"/>
      <c r="AI58" s="154"/>
      <c r="AJ58" s="154"/>
      <c r="AK58" s="154"/>
      <c r="AL58" s="154"/>
      <c r="AM58" s="154"/>
      <c r="AN58" s="154"/>
      <c r="AO58" s="154"/>
      <c r="AP58" s="154"/>
      <c r="AQ58" s="154"/>
      <c r="AR58" s="154"/>
      <c r="AS58" s="154"/>
      <c r="AT58" s="154"/>
      <c r="AU58" s="154"/>
      <c r="AV58" s="154"/>
      <c r="AW58" s="154"/>
      <c r="AX58" s="154"/>
      <c r="AY58" s="154"/>
    </row>
    <row r="59" spans="2:51">
      <c r="B59" s="154">
        <v>16</v>
      </c>
      <c r="C59" s="182"/>
      <c r="D59" s="182"/>
      <c r="E59" s="182"/>
      <c r="F59" s="154"/>
      <c r="G59" s="154"/>
      <c r="H59" s="154"/>
      <c r="I59" s="154"/>
      <c r="J59" s="154"/>
      <c r="K59" s="154"/>
      <c r="L59" s="154"/>
      <c r="M59" s="154"/>
      <c r="N59" s="154"/>
      <c r="O59" s="154"/>
      <c r="P59" s="154"/>
      <c r="Q59" s="154"/>
      <c r="R59" s="154"/>
      <c r="S59" s="154"/>
      <c r="T59" s="154"/>
      <c r="U59" s="154"/>
      <c r="V59" s="154"/>
      <c r="W59" s="154"/>
      <c r="X59" s="154"/>
      <c r="Y59" s="154"/>
      <c r="Z59" s="154"/>
      <c r="AA59" s="154"/>
      <c r="AB59" s="154"/>
      <c r="AC59" s="154"/>
      <c r="AD59" s="154"/>
      <c r="AE59" s="154"/>
      <c r="AF59" s="154"/>
      <c r="AG59" s="154"/>
      <c r="AH59" s="154"/>
      <c r="AI59" s="154"/>
      <c r="AJ59" s="154"/>
      <c r="AK59" s="154"/>
      <c r="AL59" s="154"/>
      <c r="AM59" s="154"/>
      <c r="AN59" s="154"/>
      <c r="AO59" s="154"/>
      <c r="AP59" s="154"/>
      <c r="AQ59" s="154"/>
      <c r="AR59" s="154"/>
      <c r="AS59" s="154"/>
      <c r="AT59" s="154"/>
      <c r="AU59" s="154"/>
      <c r="AV59" s="154"/>
      <c r="AW59" s="154"/>
      <c r="AX59" s="154"/>
      <c r="AY59" s="154"/>
    </row>
    <row r="60" spans="2:51">
      <c r="B60" s="154">
        <v>17</v>
      </c>
      <c r="C60" s="182"/>
      <c r="D60" s="182"/>
      <c r="E60" s="182"/>
      <c r="F60" s="154"/>
      <c r="G60" s="154"/>
      <c r="H60" s="154"/>
      <c r="I60" s="154"/>
      <c r="J60" s="154"/>
      <c r="K60" s="154"/>
      <c r="L60" s="154"/>
      <c r="M60" s="154"/>
      <c r="N60" s="154"/>
      <c r="O60" s="154"/>
      <c r="P60" s="154"/>
      <c r="Q60" s="154"/>
      <c r="R60" s="154"/>
      <c r="S60" s="154"/>
      <c r="T60" s="154"/>
      <c r="U60" s="154"/>
      <c r="V60" s="154"/>
      <c r="W60" s="154"/>
      <c r="X60" s="154"/>
      <c r="Y60" s="154"/>
      <c r="Z60" s="154"/>
      <c r="AA60" s="154"/>
      <c r="AB60" s="154"/>
      <c r="AC60" s="154"/>
      <c r="AD60" s="154"/>
      <c r="AE60" s="154"/>
      <c r="AF60" s="154"/>
      <c r="AG60" s="154"/>
      <c r="AH60" s="154"/>
      <c r="AI60" s="154"/>
      <c r="AJ60" s="154"/>
      <c r="AK60" s="154"/>
      <c r="AL60" s="154"/>
      <c r="AM60" s="154"/>
      <c r="AN60" s="154"/>
      <c r="AO60" s="154"/>
      <c r="AP60" s="154"/>
      <c r="AQ60" s="154"/>
      <c r="AR60" s="154"/>
      <c r="AS60" s="154"/>
      <c r="AT60" s="154"/>
      <c r="AU60" s="154"/>
      <c r="AV60" s="154"/>
      <c r="AW60" s="154"/>
      <c r="AX60" s="154"/>
      <c r="AY60" s="154"/>
    </row>
    <row r="61" spans="2:51">
      <c r="B61" s="154">
        <v>18</v>
      </c>
      <c r="C61" s="182"/>
      <c r="D61" s="182"/>
      <c r="E61" s="182"/>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c r="AD61" s="154"/>
      <c r="AE61" s="154"/>
      <c r="AF61" s="154"/>
      <c r="AG61" s="154"/>
      <c r="AH61" s="154"/>
      <c r="AI61" s="154"/>
      <c r="AJ61" s="154"/>
      <c r="AK61" s="154"/>
      <c r="AL61" s="154"/>
      <c r="AM61" s="154"/>
      <c r="AN61" s="154"/>
      <c r="AO61" s="154"/>
      <c r="AP61" s="154"/>
      <c r="AQ61" s="154"/>
      <c r="AR61" s="154"/>
      <c r="AS61" s="154"/>
      <c r="AT61" s="154"/>
      <c r="AU61" s="154"/>
      <c r="AV61" s="154"/>
      <c r="AW61" s="154"/>
      <c r="AX61" s="154"/>
      <c r="AY61" s="154"/>
    </row>
    <row r="62" spans="2:51">
      <c r="B62" s="154">
        <v>19</v>
      </c>
      <c r="C62" s="182"/>
      <c r="D62" s="182"/>
      <c r="E62" s="182"/>
      <c r="F62" s="154"/>
      <c r="G62" s="154"/>
      <c r="H62" s="154"/>
      <c r="I62" s="154"/>
      <c r="J62" s="154"/>
      <c r="K62" s="154"/>
      <c r="L62" s="154"/>
      <c r="M62" s="154"/>
      <c r="N62" s="154"/>
      <c r="O62" s="154"/>
      <c r="P62" s="154"/>
      <c r="Q62" s="154"/>
      <c r="R62" s="154"/>
      <c r="S62" s="154"/>
      <c r="T62" s="154"/>
      <c r="U62" s="154"/>
      <c r="V62" s="154"/>
      <c r="W62" s="154"/>
      <c r="X62" s="154"/>
      <c r="Y62" s="154"/>
      <c r="Z62" s="154"/>
      <c r="AA62" s="154"/>
      <c r="AB62" s="154"/>
      <c r="AC62" s="154"/>
      <c r="AD62" s="154"/>
      <c r="AE62" s="154"/>
      <c r="AF62" s="154"/>
      <c r="AG62" s="154"/>
      <c r="AH62" s="154"/>
      <c r="AI62" s="154"/>
      <c r="AJ62" s="154"/>
      <c r="AK62" s="154"/>
      <c r="AL62" s="154"/>
      <c r="AM62" s="154"/>
      <c r="AN62" s="154"/>
      <c r="AO62" s="154"/>
      <c r="AP62" s="154"/>
      <c r="AQ62" s="154"/>
      <c r="AR62" s="154"/>
      <c r="AS62" s="154"/>
      <c r="AT62" s="154"/>
      <c r="AU62" s="154"/>
      <c r="AV62" s="154"/>
      <c r="AW62" s="154"/>
      <c r="AX62" s="154"/>
      <c r="AY62" s="154"/>
    </row>
    <row r="63" spans="2:51">
      <c r="B63" s="154">
        <v>20</v>
      </c>
      <c r="C63" s="182"/>
      <c r="D63" s="182"/>
      <c r="E63" s="182"/>
      <c r="F63" s="154"/>
      <c r="G63" s="154"/>
      <c r="H63" s="154"/>
      <c r="I63" s="154"/>
      <c r="J63" s="154"/>
      <c r="K63" s="154"/>
      <c r="L63" s="154"/>
      <c r="M63" s="154"/>
      <c r="N63" s="154"/>
      <c r="O63" s="154"/>
      <c r="P63" s="154"/>
      <c r="Q63" s="154"/>
      <c r="R63" s="154"/>
      <c r="S63" s="154"/>
      <c r="T63" s="154"/>
      <c r="U63" s="154"/>
      <c r="V63" s="154"/>
      <c r="W63" s="154"/>
      <c r="X63" s="154"/>
      <c r="Y63" s="154"/>
      <c r="Z63" s="154"/>
      <c r="AA63" s="154"/>
      <c r="AB63" s="154"/>
      <c r="AC63" s="154"/>
      <c r="AD63" s="154"/>
      <c r="AE63" s="154"/>
      <c r="AF63" s="154"/>
      <c r="AG63" s="154"/>
      <c r="AH63" s="154"/>
      <c r="AI63" s="154"/>
      <c r="AJ63" s="154"/>
      <c r="AK63" s="154"/>
      <c r="AL63" s="154"/>
      <c r="AM63" s="154"/>
      <c r="AN63" s="154"/>
      <c r="AO63" s="154"/>
      <c r="AP63" s="154"/>
      <c r="AQ63" s="154"/>
      <c r="AR63" s="154"/>
      <c r="AS63" s="154"/>
      <c r="AT63" s="154"/>
      <c r="AU63" s="154"/>
      <c r="AV63" s="154"/>
      <c r="AW63" s="154"/>
      <c r="AX63" s="154"/>
      <c r="AY63" s="154"/>
    </row>
    <row r="64" spans="2:51">
      <c r="B64" s="154">
        <v>21</v>
      </c>
      <c r="C64" s="182"/>
      <c r="D64" s="182"/>
      <c r="E64" s="182"/>
      <c r="F64" s="154"/>
      <c r="G64" s="154"/>
      <c r="H64" s="154"/>
      <c r="I64" s="154"/>
      <c r="J64" s="154"/>
      <c r="K64" s="154"/>
      <c r="L64" s="154"/>
      <c r="M64" s="154"/>
      <c r="N64" s="154"/>
      <c r="O64" s="154"/>
      <c r="P64" s="154"/>
      <c r="Q64" s="154"/>
      <c r="R64" s="154"/>
      <c r="S64" s="154"/>
      <c r="T64" s="154"/>
      <c r="U64" s="154"/>
      <c r="V64" s="154"/>
      <c r="W64" s="154"/>
      <c r="X64" s="154"/>
      <c r="Y64" s="154"/>
      <c r="Z64" s="154"/>
      <c r="AA64" s="154"/>
      <c r="AB64" s="154"/>
      <c r="AC64" s="154"/>
      <c r="AD64" s="154"/>
      <c r="AE64" s="154"/>
      <c r="AF64" s="154"/>
      <c r="AG64" s="154"/>
      <c r="AH64" s="154"/>
      <c r="AI64" s="154"/>
      <c r="AJ64" s="154"/>
      <c r="AK64" s="154"/>
      <c r="AL64" s="154"/>
      <c r="AM64" s="154"/>
      <c r="AN64" s="154"/>
      <c r="AO64" s="154"/>
      <c r="AP64" s="154"/>
      <c r="AQ64" s="154"/>
      <c r="AR64" s="154"/>
      <c r="AS64" s="154"/>
      <c r="AT64" s="154"/>
      <c r="AU64" s="154"/>
      <c r="AV64" s="154"/>
      <c r="AW64" s="154"/>
      <c r="AX64" s="154"/>
      <c r="AY64" s="154"/>
    </row>
    <row r="65" spans="2:51">
      <c r="B65" s="154">
        <v>22</v>
      </c>
      <c r="C65" s="182"/>
      <c r="D65" s="182"/>
      <c r="E65" s="182"/>
      <c r="F65" s="154"/>
      <c r="G65" s="154"/>
      <c r="H65" s="154"/>
      <c r="I65" s="154"/>
      <c r="J65" s="154"/>
      <c r="K65" s="154"/>
      <c r="L65" s="154"/>
      <c r="M65" s="154"/>
      <c r="N65" s="154"/>
      <c r="O65" s="154"/>
      <c r="P65" s="154"/>
      <c r="Q65" s="154"/>
      <c r="R65" s="154"/>
      <c r="S65" s="154"/>
      <c r="T65" s="154"/>
      <c r="U65" s="154"/>
      <c r="V65" s="154"/>
      <c r="W65" s="154"/>
      <c r="X65" s="154"/>
      <c r="Y65" s="154"/>
      <c r="Z65" s="154"/>
      <c r="AA65" s="154"/>
      <c r="AB65" s="154"/>
      <c r="AC65" s="154"/>
      <c r="AD65" s="154"/>
      <c r="AE65" s="154"/>
      <c r="AF65" s="154"/>
      <c r="AG65" s="154"/>
      <c r="AH65" s="154"/>
      <c r="AI65" s="154"/>
      <c r="AJ65" s="154"/>
      <c r="AK65" s="154"/>
      <c r="AL65" s="154"/>
      <c r="AM65" s="154"/>
      <c r="AN65" s="154"/>
      <c r="AO65" s="154"/>
      <c r="AP65" s="154"/>
      <c r="AQ65" s="154"/>
      <c r="AR65" s="154"/>
      <c r="AS65" s="154"/>
      <c r="AT65" s="154"/>
      <c r="AU65" s="154"/>
      <c r="AV65" s="154"/>
      <c r="AW65" s="154"/>
      <c r="AX65" s="154"/>
      <c r="AY65" s="154"/>
    </row>
    <row r="66" spans="2:51">
      <c r="B66" s="154">
        <v>23</v>
      </c>
      <c r="C66" s="182"/>
      <c r="D66" s="182"/>
      <c r="E66" s="182"/>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c r="AQ66" s="154"/>
      <c r="AR66" s="154"/>
      <c r="AS66" s="154"/>
      <c r="AT66" s="154"/>
      <c r="AU66" s="154"/>
      <c r="AV66" s="154"/>
      <c r="AW66" s="154"/>
      <c r="AX66" s="154"/>
      <c r="AY66" s="154"/>
    </row>
    <row r="67" spans="2:51">
      <c r="B67" s="154">
        <v>24</v>
      </c>
      <c r="C67" s="182"/>
      <c r="D67" s="182"/>
      <c r="E67" s="182"/>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c r="AT67" s="154"/>
      <c r="AU67" s="154"/>
      <c r="AV67" s="154"/>
      <c r="AW67" s="154"/>
      <c r="AX67" s="154"/>
      <c r="AY67" s="154"/>
    </row>
    <row r="68" spans="2:51">
      <c r="B68" s="154">
        <v>25</v>
      </c>
      <c r="C68" s="182"/>
      <c r="D68" s="182"/>
      <c r="E68" s="182"/>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c r="AT68" s="154"/>
      <c r="AU68" s="154"/>
      <c r="AV68" s="154"/>
      <c r="AW68" s="154"/>
      <c r="AX68" s="154"/>
      <c r="AY68" s="154"/>
    </row>
    <row r="69" spans="2:51">
      <c r="B69" s="154">
        <v>26</v>
      </c>
      <c r="C69" s="182"/>
      <c r="D69" s="182"/>
      <c r="E69" s="182"/>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c r="AD69" s="154"/>
      <c r="AE69" s="154"/>
      <c r="AF69" s="154"/>
      <c r="AG69" s="154"/>
      <c r="AH69" s="154"/>
      <c r="AI69" s="154"/>
      <c r="AJ69" s="154"/>
      <c r="AK69" s="154"/>
      <c r="AL69" s="154"/>
      <c r="AM69" s="154"/>
      <c r="AN69" s="154"/>
      <c r="AO69" s="154"/>
      <c r="AP69" s="154"/>
      <c r="AQ69" s="154"/>
      <c r="AR69" s="154"/>
      <c r="AS69" s="154"/>
      <c r="AT69" s="154"/>
      <c r="AU69" s="154"/>
      <c r="AV69" s="154"/>
      <c r="AW69" s="154"/>
      <c r="AX69" s="154"/>
      <c r="AY69" s="154"/>
    </row>
    <row r="70" spans="2:51">
      <c r="B70" s="154">
        <v>27</v>
      </c>
      <c r="C70" s="182"/>
      <c r="D70" s="182"/>
      <c r="E70" s="182"/>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c r="AQ70" s="154"/>
      <c r="AR70" s="154"/>
      <c r="AS70" s="154"/>
      <c r="AT70" s="154"/>
      <c r="AU70" s="154"/>
      <c r="AV70" s="154"/>
      <c r="AW70" s="154"/>
      <c r="AX70" s="154"/>
      <c r="AY70" s="154"/>
    </row>
    <row r="71" spans="2:51">
      <c r="B71" s="154">
        <v>28</v>
      </c>
      <c r="C71" s="182"/>
      <c r="D71" s="182"/>
      <c r="E71" s="182"/>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c r="AQ71" s="154"/>
      <c r="AR71" s="154"/>
      <c r="AS71" s="154"/>
      <c r="AT71" s="154"/>
      <c r="AU71" s="154"/>
      <c r="AV71" s="154"/>
      <c r="AW71" s="154"/>
      <c r="AX71" s="154"/>
      <c r="AY71" s="154"/>
    </row>
    <row r="72" spans="2:51">
      <c r="B72" s="154">
        <v>29</v>
      </c>
      <c r="C72" s="182"/>
      <c r="D72" s="182"/>
      <c r="E72" s="182"/>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4"/>
      <c r="AR72" s="154"/>
      <c r="AS72" s="154"/>
      <c r="AT72" s="154"/>
      <c r="AU72" s="154"/>
      <c r="AV72" s="154"/>
      <c r="AW72" s="154"/>
      <c r="AX72" s="154"/>
      <c r="AY72" s="154"/>
    </row>
    <row r="73" spans="2:51">
      <c r="B73" s="154">
        <v>30</v>
      </c>
      <c r="C73" s="182"/>
      <c r="D73" s="182"/>
      <c r="E73" s="182"/>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c r="AD73" s="154"/>
      <c r="AE73" s="154"/>
      <c r="AF73" s="154"/>
      <c r="AG73" s="154"/>
      <c r="AH73" s="154"/>
      <c r="AI73" s="154"/>
      <c r="AJ73" s="154"/>
      <c r="AK73" s="154"/>
      <c r="AL73" s="154"/>
      <c r="AM73" s="154"/>
      <c r="AN73" s="154"/>
      <c r="AO73" s="154"/>
      <c r="AP73" s="154"/>
      <c r="AQ73" s="154"/>
      <c r="AR73" s="154"/>
      <c r="AS73" s="154"/>
      <c r="AT73" s="154"/>
      <c r="AU73" s="154"/>
      <c r="AV73" s="154"/>
      <c r="AW73" s="154"/>
      <c r="AX73" s="154"/>
      <c r="AY73" s="154"/>
    </row>
    <row r="74" spans="2:51">
      <c r="B74" s="154">
        <v>31</v>
      </c>
      <c r="C74" s="182"/>
      <c r="D74" s="182"/>
      <c r="E74" s="182"/>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c r="AD74" s="154"/>
      <c r="AE74" s="154"/>
      <c r="AF74" s="154"/>
      <c r="AG74" s="154"/>
      <c r="AH74" s="154"/>
      <c r="AI74" s="154"/>
      <c r="AJ74" s="154"/>
      <c r="AK74" s="154"/>
      <c r="AL74" s="154"/>
      <c r="AM74" s="154"/>
      <c r="AN74" s="154"/>
      <c r="AO74" s="154"/>
      <c r="AP74" s="154"/>
      <c r="AQ74" s="154"/>
      <c r="AR74" s="154"/>
      <c r="AS74" s="154"/>
      <c r="AT74" s="154"/>
      <c r="AU74" s="154"/>
      <c r="AV74" s="154"/>
      <c r="AW74" s="154"/>
      <c r="AX74" s="154"/>
      <c r="AY74" s="154"/>
    </row>
    <row r="75" spans="2:51">
      <c r="B75" s="154">
        <v>32</v>
      </c>
      <c r="C75" s="182"/>
      <c r="D75" s="182"/>
      <c r="E75" s="182"/>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c r="AD75" s="154"/>
      <c r="AE75" s="154"/>
      <c r="AF75" s="154"/>
      <c r="AG75" s="154"/>
      <c r="AH75" s="154"/>
      <c r="AI75" s="154"/>
      <c r="AJ75" s="154"/>
      <c r="AK75" s="154"/>
      <c r="AL75" s="154"/>
      <c r="AM75" s="154"/>
      <c r="AN75" s="154"/>
      <c r="AO75" s="154"/>
      <c r="AP75" s="154"/>
      <c r="AQ75" s="154"/>
      <c r="AR75" s="154"/>
      <c r="AS75" s="154"/>
      <c r="AT75" s="154"/>
      <c r="AU75" s="154"/>
      <c r="AV75" s="154"/>
      <c r="AW75" s="154"/>
      <c r="AX75" s="154"/>
      <c r="AY75" s="154"/>
    </row>
    <row r="76" spans="2:51">
      <c r="B76" s="154">
        <v>33</v>
      </c>
      <c r="C76" s="182"/>
      <c r="D76" s="182"/>
      <c r="E76" s="182"/>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154"/>
      <c r="AG76" s="154"/>
      <c r="AH76" s="154"/>
      <c r="AI76" s="154"/>
      <c r="AJ76" s="154"/>
      <c r="AK76" s="154"/>
      <c r="AL76" s="154"/>
      <c r="AM76" s="154"/>
      <c r="AN76" s="154"/>
      <c r="AO76" s="154"/>
      <c r="AP76" s="154"/>
      <c r="AQ76" s="154"/>
      <c r="AR76" s="154"/>
      <c r="AS76" s="154"/>
      <c r="AT76" s="154"/>
      <c r="AU76" s="154"/>
      <c r="AV76" s="154"/>
      <c r="AW76" s="154"/>
      <c r="AX76" s="154"/>
      <c r="AY76" s="154"/>
    </row>
    <row r="77" spans="2:51">
      <c r="B77" s="154">
        <v>34</v>
      </c>
      <c r="C77" s="182"/>
      <c r="D77" s="182"/>
      <c r="E77" s="182"/>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154"/>
      <c r="AG77" s="154"/>
      <c r="AH77" s="154"/>
      <c r="AI77" s="154"/>
      <c r="AJ77" s="154"/>
      <c r="AK77" s="154"/>
      <c r="AL77" s="154"/>
      <c r="AM77" s="154"/>
      <c r="AN77" s="154"/>
      <c r="AO77" s="154"/>
      <c r="AP77" s="154"/>
      <c r="AQ77" s="154"/>
      <c r="AR77" s="154"/>
      <c r="AS77" s="154"/>
      <c r="AT77" s="154"/>
      <c r="AU77" s="154"/>
      <c r="AV77" s="154"/>
      <c r="AW77" s="154"/>
      <c r="AX77" s="154"/>
      <c r="AY77" s="154"/>
    </row>
    <row r="78" spans="2:51">
      <c r="B78" s="154">
        <v>35</v>
      </c>
      <c r="C78" s="182"/>
      <c r="D78" s="182"/>
      <c r="E78" s="182"/>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154"/>
      <c r="AG78" s="154"/>
      <c r="AH78" s="154"/>
      <c r="AI78" s="154"/>
      <c r="AJ78" s="154"/>
      <c r="AK78" s="154"/>
      <c r="AL78" s="154"/>
      <c r="AM78" s="154"/>
      <c r="AN78" s="154"/>
      <c r="AO78" s="154"/>
      <c r="AP78" s="154"/>
      <c r="AQ78" s="154"/>
      <c r="AR78" s="154"/>
      <c r="AS78" s="154"/>
      <c r="AT78" s="154"/>
      <c r="AU78" s="154"/>
      <c r="AV78" s="154"/>
      <c r="AW78" s="154"/>
      <c r="AX78" s="154"/>
      <c r="AY78" s="154"/>
    </row>
    <row r="79" spans="2:51">
      <c r="B79" s="154">
        <v>36</v>
      </c>
      <c r="C79" s="182"/>
      <c r="D79" s="182"/>
      <c r="E79" s="182"/>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154"/>
      <c r="AG79" s="154"/>
      <c r="AH79" s="154"/>
      <c r="AI79" s="154"/>
      <c r="AJ79" s="154"/>
      <c r="AK79" s="154"/>
      <c r="AL79" s="154"/>
      <c r="AM79" s="154"/>
      <c r="AN79" s="154"/>
      <c r="AO79" s="154"/>
      <c r="AP79" s="154"/>
      <c r="AQ79" s="154"/>
      <c r="AR79" s="154"/>
      <c r="AS79" s="154"/>
      <c r="AT79" s="154"/>
      <c r="AU79" s="154"/>
      <c r="AV79" s="154"/>
      <c r="AW79" s="154"/>
      <c r="AX79" s="154"/>
      <c r="AY79" s="154"/>
    </row>
    <row r="80" spans="2:51">
      <c r="B80" s="154">
        <v>37</v>
      </c>
      <c r="C80" s="182"/>
      <c r="D80" s="182"/>
      <c r="E80" s="182"/>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154"/>
      <c r="AG80" s="154"/>
      <c r="AH80" s="154"/>
      <c r="AI80" s="154"/>
      <c r="AJ80" s="154"/>
      <c r="AK80" s="154"/>
      <c r="AL80" s="154"/>
      <c r="AM80" s="154"/>
      <c r="AN80" s="154"/>
      <c r="AO80" s="154"/>
      <c r="AP80" s="154"/>
      <c r="AQ80" s="154"/>
      <c r="AR80" s="154"/>
      <c r="AS80" s="154"/>
      <c r="AT80" s="154"/>
      <c r="AU80" s="154"/>
      <c r="AV80" s="154"/>
      <c r="AW80" s="154"/>
      <c r="AX80" s="154"/>
      <c r="AY80" s="154"/>
    </row>
    <row r="81" spans="2:51">
      <c r="B81" s="154">
        <v>38</v>
      </c>
      <c r="C81" s="182"/>
      <c r="D81" s="182"/>
      <c r="E81" s="182"/>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154"/>
      <c r="AG81" s="154"/>
      <c r="AH81" s="154"/>
      <c r="AI81" s="154"/>
      <c r="AJ81" s="154"/>
      <c r="AK81" s="154"/>
      <c r="AL81" s="154"/>
      <c r="AM81" s="154"/>
      <c r="AN81" s="154"/>
      <c r="AO81" s="154"/>
      <c r="AP81" s="154"/>
      <c r="AQ81" s="154"/>
      <c r="AR81" s="154"/>
      <c r="AS81" s="154"/>
      <c r="AT81" s="154"/>
      <c r="AU81" s="154"/>
      <c r="AV81" s="154"/>
      <c r="AW81" s="154"/>
      <c r="AX81" s="154"/>
      <c r="AY81" s="154"/>
    </row>
    <row r="82" spans="2:51">
      <c r="B82" s="154">
        <v>39</v>
      </c>
      <c r="C82" s="182"/>
      <c r="D82" s="182"/>
      <c r="E82" s="182"/>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154"/>
      <c r="AG82" s="154"/>
      <c r="AH82" s="154"/>
      <c r="AI82" s="154"/>
      <c r="AJ82" s="154"/>
      <c r="AK82" s="154"/>
      <c r="AL82" s="154"/>
      <c r="AM82" s="154"/>
      <c r="AN82" s="154"/>
      <c r="AO82" s="154"/>
      <c r="AP82" s="154"/>
      <c r="AQ82" s="154"/>
      <c r="AR82" s="154"/>
      <c r="AS82" s="154"/>
      <c r="AT82" s="154"/>
      <c r="AU82" s="154"/>
      <c r="AV82" s="154"/>
      <c r="AW82" s="154"/>
      <c r="AX82" s="154"/>
      <c r="AY82" s="154"/>
    </row>
    <row r="83" spans="2:51">
      <c r="B83" s="154">
        <v>40</v>
      </c>
      <c r="C83" s="182"/>
      <c r="D83" s="182"/>
      <c r="E83" s="182"/>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4"/>
      <c r="AU83" s="154"/>
      <c r="AV83" s="154"/>
      <c r="AW83" s="154"/>
      <c r="AX83" s="154"/>
      <c r="AY83" s="154"/>
    </row>
    <row r="84" spans="2:51">
      <c r="B84" s="154">
        <v>41</v>
      </c>
      <c r="C84" s="182"/>
      <c r="D84" s="182"/>
      <c r="E84" s="182"/>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154"/>
      <c r="AG84" s="154"/>
      <c r="AH84" s="154"/>
      <c r="AI84" s="154"/>
      <c r="AJ84" s="154"/>
      <c r="AK84" s="154"/>
      <c r="AL84" s="154"/>
      <c r="AM84" s="154"/>
      <c r="AN84" s="154"/>
      <c r="AO84" s="154"/>
      <c r="AP84" s="154"/>
      <c r="AQ84" s="154"/>
      <c r="AR84" s="154"/>
      <c r="AS84" s="154"/>
      <c r="AT84" s="154"/>
      <c r="AU84" s="154"/>
      <c r="AV84" s="154"/>
      <c r="AW84" s="154"/>
      <c r="AX84" s="154"/>
      <c r="AY84" s="154"/>
    </row>
    <row r="85" spans="2:51">
      <c r="B85" s="154">
        <v>42</v>
      </c>
      <c r="C85" s="182"/>
      <c r="D85" s="182"/>
      <c r="E85" s="182"/>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154"/>
      <c r="AG85" s="154"/>
      <c r="AH85" s="154"/>
      <c r="AI85" s="154"/>
      <c r="AJ85" s="154"/>
      <c r="AK85" s="154"/>
      <c r="AL85" s="154"/>
      <c r="AM85" s="154"/>
      <c r="AN85" s="154"/>
      <c r="AO85" s="154"/>
      <c r="AP85" s="154"/>
      <c r="AQ85" s="154"/>
      <c r="AR85" s="154"/>
      <c r="AS85" s="154"/>
      <c r="AT85" s="154"/>
      <c r="AU85" s="154"/>
      <c r="AV85" s="154"/>
      <c r="AW85" s="154"/>
      <c r="AX85" s="154"/>
      <c r="AY85" s="154"/>
    </row>
    <row r="86" spans="2:51">
      <c r="B86" s="154">
        <v>43</v>
      </c>
      <c r="C86" s="182"/>
      <c r="D86" s="182"/>
      <c r="E86" s="182"/>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154"/>
      <c r="AG86" s="154"/>
      <c r="AH86" s="154"/>
      <c r="AI86" s="154"/>
      <c r="AJ86" s="154"/>
      <c r="AK86" s="154"/>
      <c r="AL86" s="154"/>
      <c r="AM86" s="154"/>
      <c r="AN86" s="154"/>
      <c r="AO86" s="154"/>
      <c r="AP86" s="154"/>
      <c r="AQ86" s="154"/>
      <c r="AR86" s="154"/>
      <c r="AS86" s="154"/>
      <c r="AT86" s="154"/>
      <c r="AU86" s="154"/>
      <c r="AV86" s="154"/>
      <c r="AW86" s="154"/>
      <c r="AX86" s="154"/>
      <c r="AY86" s="154"/>
    </row>
    <row r="87" spans="2:51">
      <c r="B87" s="154">
        <v>44</v>
      </c>
      <c r="C87" s="182"/>
      <c r="D87" s="182"/>
      <c r="E87" s="182"/>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154"/>
      <c r="AG87" s="154"/>
      <c r="AH87" s="154"/>
      <c r="AI87" s="154"/>
      <c r="AJ87" s="154"/>
      <c r="AK87" s="154"/>
      <c r="AL87" s="154"/>
      <c r="AM87" s="154"/>
      <c r="AN87" s="154"/>
      <c r="AO87" s="154"/>
      <c r="AP87" s="154"/>
      <c r="AQ87" s="154"/>
      <c r="AR87" s="154"/>
      <c r="AS87" s="154"/>
      <c r="AT87" s="154"/>
      <c r="AU87" s="154"/>
      <c r="AV87" s="154"/>
      <c r="AW87" s="154"/>
      <c r="AX87" s="154"/>
      <c r="AY87" s="154"/>
    </row>
    <row r="88" spans="2:51">
      <c r="B88" s="154">
        <v>45</v>
      </c>
      <c r="C88" s="182"/>
      <c r="D88" s="182"/>
      <c r="E88" s="182"/>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154"/>
      <c r="AG88" s="154"/>
      <c r="AH88" s="154"/>
      <c r="AI88" s="154"/>
      <c r="AJ88" s="154"/>
      <c r="AK88" s="154"/>
      <c r="AL88" s="154"/>
      <c r="AM88" s="154"/>
      <c r="AN88" s="154"/>
      <c r="AO88" s="154"/>
      <c r="AP88" s="154"/>
      <c r="AQ88" s="154"/>
      <c r="AR88" s="154"/>
      <c r="AS88" s="154"/>
      <c r="AT88" s="154"/>
      <c r="AU88" s="154"/>
      <c r="AV88" s="154"/>
      <c r="AW88" s="154"/>
      <c r="AX88" s="154"/>
      <c r="AY88" s="154"/>
    </row>
    <row r="89" spans="2:51">
      <c r="B89" s="154">
        <v>46</v>
      </c>
      <c r="C89" s="182"/>
      <c r="D89" s="182"/>
      <c r="E89" s="182"/>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154"/>
      <c r="AG89" s="154"/>
      <c r="AH89" s="154"/>
      <c r="AI89" s="154"/>
      <c r="AJ89" s="154"/>
      <c r="AK89" s="154"/>
      <c r="AL89" s="154"/>
      <c r="AM89" s="154"/>
      <c r="AN89" s="154"/>
      <c r="AO89" s="154"/>
      <c r="AP89" s="154"/>
      <c r="AQ89" s="154"/>
      <c r="AR89" s="154"/>
      <c r="AS89" s="154"/>
      <c r="AT89" s="154"/>
      <c r="AU89" s="154"/>
      <c r="AV89" s="154"/>
      <c r="AW89" s="154"/>
      <c r="AX89" s="154"/>
      <c r="AY89" s="154"/>
    </row>
    <row r="90" spans="2:51">
      <c r="B90" s="154">
        <v>47</v>
      </c>
      <c r="C90" s="182"/>
      <c r="D90" s="182"/>
      <c r="E90" s="182"/>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154"/>
      <c r="AG90" s="154"/>
      <c r="AH90" s="154"/>
      <c r="AI90" s="154"/>
      <c r="AJ90" s="154"/>
      <c r="AK90" s="154"/>
      <c r="AL90" s="154"/>
      <c r="AM90" s="154"/>
      <c r="AN90" s="154"/>
      <c r="AO90" s="154"/>
      <c r="AP90" s="154"/>
      <c r="AQ90" s="154"/>
      <c r="AR90" s="154"/>
      <c r="AS90" s="154"/>
      <c r="AT90" s="154"/>
      <c r="AU90" s="154"/>
      <c r="AV90" s="154"/>
      <c r="AW90" s="154"/>
      <c r="AX90" s="154"/>
      <c r="AY90" s="154"/>
    </row>
    <row r="91" spans="2:51">
      <c r="B91" s="154">
        <v>48</v>
      </c>
      <c r="C91" s="182"/>
      <c r="D91" s="182"/>
      <c r="E91" s="182"/>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row>
    <row r="92" spans="2:51">
      <c r="B92" s="154">
        <v>49</v>
      </c>
      <c r="C92" s="182"/>
      <c r="D92" s="182"/>
      <c r="E92" s="182"/>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154"/>
      <c r="AG92" s="154"/>
      <c r="AH92" s="154"/>
      <c r="AI92" s="154"/>
      <c r="AJ92" s="154"/>
      <c r="AK92" s="154"/>
      <c r="AL92" s="154"/>
      <c r="AM92" s="154"/>
      <c r="AN92" s="154"/>
      <c r="AO92" s="154"/>
      <c r="AP92" s="154"/>
      <c r="AQ92" s="154"/>
      <c r="AR92" s="154"/>
      <c r="AS92" s="154"/>
      <c r="AT92" s="154"/>
      <c r="AU92" s="154"/>
      <c r="AV92" s="154"/>
      <c r="AW92" s="154"/>
      <c r="AX92" s="154"/>
      <c r="AY92" s="154"/>
    </row>
    <row r="93" spans="2:51">
      <c r="B93" s="154">
        <v>50</v>
      </c>
      <c r="C93" s="182"/>
      <c r="D93" s="182"/>
      <c r="E93" s="182"/>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154"/>
      <c r="AG93" s="154"/>
      <c r="AH93" s="154"/>
      <c r="AI93" s="154"/>
      <c r="AJ93" s="154"/>
      <c r="AK93" s="154"/>
      <c r="AL93" s="154"/>
      <c r="AM93" s="154"/>
      <c r="AN93" s="154"/>
      <c r="AO93" s="154"/>
      <c r="AP93" s="154"/>
      <c r="AQ93" s="154"/>
      <c r="AR93" s="154"/>
      <c r="AS93" s="154"/>
      <c r="AT93" s="154"/>
      <c r="AU93" s="154"/>
      <c r="AV93" s="154"/>
      <c r="AW93" s="154"/>
      <c r="AX93" s="154"/>
      <c r="AY93" s="154"/>
    </row>
    <row r="94" spans="2:51">
      <c r="B94" s="154">
        <v>51</v>
      </c>
      <c r="C94" s="182"/>
      <c r="D94" s="182"/>
      <c r="E94" s="182"/>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154"/>
      <c r="AG94" s="154"/>
      <c r="AH94" s="154"/>
      <c r="AI94" s="154"/>
      <c r="AJ94" s="154"/>
      <c r="AK94" s="154"/>
      <c r="AL94" s="154"/>
      <c r="AM94" s="154"/>
      <c r="AN94" s="154"/>
      <c r="AO94" s="154"/>
      <c r="AP94" s="154"/>
      <c r="AQ94" s="154"/>
      <c r="AR94" s="154"/>
      <c r="AS94" s="154"/>
      <c r="AT94" s="154"/>
      <c r="AU94" s="154"/>
      <c r="AV94" s="154"/>
      <c r="AW94" s="154"/>
      <c r="AX94" s="154"/>
      <c r="AY94" s="154"/>
    </row>
    <row r="95" spans="2:51">
      <c r="B95" s="154">
        <v>52</v>
      </c>
      <c r="C95" s="182"/>
      <c r="D95" s="182"/>
      <c r="E95" s="182"/>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154"/>
      <c r="AG95" s="154"/>
      <c r="AH95" s="154"/>
      <c r="AI95" s="154"/>
      <c r="AJ95" s="154"/>
      <c r="AK95" s="154"/>
      <c r="AL95" s="154"/>
      <c r="AM95" s="154"/>
      <c r="AN95" s="154"/>
      <c r="AO95" s="154"/>
      <c r="AP95" s="154"/>
      <c r="AQ95" s="154"/>
      <c r="AR95" s="154"/>
      <c r="AS95" s="154"/>
      <c r="AT95" s="154"/>
      <c r="AU95" s="154"/>
      <c r="AV95" s="154"/>
      <c r="AW95" s="154"/>
      <c r="AX95" s="154"/>
      <c r="AY95" s="154"/>
    </row>
    <row r="96" spans="2:51">
      <c r="B96" s="154">
        <v>53</v>
      </c>
      <c r="C96" s="182"/>
      <c r="D96" s="182"/>
      <c r="E96" s="182"/>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154"/>
      <c r="AG96" s="154"/>
      <c r="AH96" s="154"/>
      <c r="AI96" s="154"/>
      <c r="AJ96" s="154"/>
      <c r="AK96" s="154"/>
      <c r="AL96" s="154"/>
      <c r="AM96" s="154"/>
      <c r="AN96" s="154"/>
      <c r="AO96" s="154"/>
      <c r="AP96" s="154"/>
      <c r="AQ96" s="154"/>
      <c r="AR96" s="154"/>
      <c r="AS96" s="154"/>
      <c r="AT96" s="154"/>
      <c r="AU96" s="154"/>
      <c r="AV96" s="154"/>
      <c r="AW96" s="154"/>
      <c r="AX96" s="154"/>
      <c r="AY96" s="154"/>
    </row>
    <row r="97" spans="2:51">
      <c r="B97" s="154">
        <v>54</v>
      </c>
      <c r="C97" s="182"/>
      <c r="D97" s="182"/>
      <c r="E97" s="182"/>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c r="AD97" s="154"/>
      <c r="AE97" s="154"/>
      <c r="AF97" s="154"/>
      <c r="AG97" s="154"/>
      <c r="AH97" s="154"/>
      <c r="AI97" s="154"/>
      <c r="AJ97" s="154"/>
      <c r="AK97" s="154"/>
      <c r="AL97" s="154"/>
      <c r="AM97" s="154"/>
      <c r="AN97" s="154"/>
      <c r="AO97" s="154"/>
      <c r="AP97" s="154"/>
      <c r="AQ97" s="154"/>
      <c r="AR97" s="154"/>
      <c r="AS97" s="154"/>
      <c r="AT97" s="154"/>
      <c r="AU97" s="154"/>
      <c r="AV97" s="154"/>
      <c r="AW97" s="154"/>
      <c r="AX97" s="154"/>
      <c r="AY97" s="154"/>
    </row>
    <row r="98" spans="2:51">
      <c r="B98" s="154">
        <v>55</v>
      </c>
      <c r="C98" s="182"/>
      <c r="D98" s="182"/>
      <c r="E98" s="182"/>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c r="AD98" s="154"/>
      <c r="AE98" s="154"/>
      <c r="AF98" s="154"/>
      <c r="AG98" s="154"/>
      <c r="AH98" s="154"/>
      <c r="AI98" s="154"/>
      <c r="AJ98" s="154"/>
      <c r="AK98" s="154"/>
      <c r="AL98" s="154"/>
      <c r="AM98" s="154"/>
      <c r="AN98" s="154"/>
      <c r="AO98" s="154"/>
      <c r="AP98" s="154"/>
      <c r="AQ98" s="154"/>
      <c r="AR98" s="154"/>
      <c r="AS98" s="154"/>
      <c r="AT98" s="154"/>
      <c r="AU98" s="154"/>
      <c r="AV98" s="154"/>
      <c r="AW98" s="154"/>
      <c r="AX98" s="154"/>
      <c r="AY98" s="154"/>
    </row>
    <row r="99" spans="2:51">
      <c r="B99" s="154">
        <v>56</v>
      </c>
      <c r="C99" s="182"/>
      <c r="D99" s="182"/>
      <c r="E99" s="182"/>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154"/>
      <c r="AG99" s="154"/>
      <c r="AH99" s="154"/>
      <c r="AI99" s="154"/>
      <c r="AJ99" s="154"/>
      <c r="AK99" s="154"/>
      <c r="AL99" s="154"/>
      <c r="AM99" s="154"/>
      <c r="AN99" s="154"/>
      <c r="AO99" s="154"/>
      <c r="AP99" s="154"/>
      <c r="AQ99" s="154"/>
      <c r="AR99" s="154"/>
      <c r="AS99" s="154"/>
      <c r="AT99" s="154"/>
      <c r="AU99" s="154"/>
      <c r="AV99" s="154"/>
      <c r="AW99" s="154"/>
      <c r="AX99" s="154"/>
      <c r="AY99" s="154"/>
    </row>
    <row r="100" spans="2:51">
      <c r="B100" s="154">
        <v>57</v>
      </c>
      <c r="C100" s="182"/>
      <c r="D100" s="182"/>
      <c r="E100" s="182"/>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154"/>
      <c r="AG100" s="154"/>
      <c r="AH100" s="154"/>
      <c r="AI100" s="154"/>
      <c r="AJ100" s="154"/>
      <c r="AK100" s="154"/>
      <c r="AL100" s="154"/>
      <c r="AM100" s="154"/>
      <c r="AN100" s="154"/>
      <c r="AO100" s="154"/>
      <c r="AP100" s="154"/>
      <c r="AQ100" s="154"/>
      <c r="AR100" s="154"/>
      <c r="AS100" s="154"/>
      <c r="AT100" s="154"/>
      <c r="AU100" s="154"/>
      <c r="AV100" s="154"/>
      <c r="AW100" s="154"/>
      <c r="AX100" s="154"/>
      <c r="AY100" s="154"/>
    </row>
    <row r="101" spans="2:51">
      <c r="B101" s="154">
        <v>58</v>
      </c>
      <c r="C101" s="182"/>
      <c r="D101" s="182"/>
      <c r="E101" s="182"/>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154"/>
      <c r="AG101" s="154"/>
      <c r="AH101" s="154"/>
      <c r="AI101" s="154"/>
      <c r="AJ101" s="154"/>
      <c r="AK101" s="154"/>
      <c r="AL101" s="154"/>
      <c r="AM101" s="154"/>
      <c r="AN101" s="154"/>
      <c r="AO101" s="154"/>
      <c r="AP101" s="154"/>
      <c r="AQ101" s="154"/>
      <c r="AR101" s="154"/>
      <c r="AS101" s="154"/>
      <c r="AT101" s="154"/>
      <c r="AU101" s="154"/>
      <c r="AV101" s="154"/>
      <c r="AW101" s="154"/>
      <c r="AX101" s="154"/>
      <c r="AY101" s="154"/>
    </row>
    <row r="102" spans="2:51">
      <c r="B102" s="154">
        <v>59</v>
      </c>
      <c r="C102" s="182"/>
      <c r="D102" s="182"/>
      <c r="E102" s="182"/>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154"/>
      <c r="AG102" s="154"/>
      <c r="AH102" s="154"/>
      <c r="AI102" s="154"/>
      <c r="AJ102" s="154"/>
      <c r="AK102" s="154"/>
      <c r="AL102" s="154"/>
      <c r="AM102" s="154"/>
      <c r="AN102" s="154"/>
      <c r="AO102" s="154"/>
      <c r="AP102" s="154"/>
      <c r="AQ102" s="154"/>
      <c r="AR102" s="154"/>
      <c r="AS102" s="154"/>
      <c r="AT102" s="154"/>
      <c r="AU102" s="154"/>
      <c r="AV102" s="154"/>
      <c r="AW102" s="154"/>
      <c r="AX102" s="154"/>
      <c r="AY102" s="154"/>
    </row>
    <row r="103" spans="2:51">
      <c r="B103" s="154">
        <v>60</v>
      </c>
      <c r="C103" s="182"/>
      <c r="D103" s="182"/>
      <c r="E103" s="182"/>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154"/>
      <c r="AG103" s="154"/>
      <c r="AH103" s="154"/>
      <c r="AI103" s="154"/>
      <c r="AJ103" s="154"/>
      <c r="AK103" s="154"/>
      <c r="AL103" s="154"/>
      <c r="AM103" s="154"/>
      <c r="AN103" s="154"/>
      <c r="AO103" s="154"/>
      <c r="AP103" s="154"/>
      <c r="AQ103" s="154"/>
      <c r="AR103" s="154"/>
      <c r="AS103" s="154"/>
      <c r="AT103" s="154"/>
      <c r="AU103" s="154"/>
      <c r="AV103" s="154"/>
      <c r="AW103" s="154"/>
      <c r="AX103" s="154"/>
      <c r="AY103" s="154"/>
    </row>
    <row r="104" spans="2:51">
      <c r="B104" s="154">
        <v>61</v>
      </c>
      <c r="C104" s="182"/>
      <c r="D104" s="182"/>
      <c r="E104" s="182"/>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154"/>
      <c r="AG104" s="154"/>
      <c r="AH104" s="154"/>
      <c r="AI104" s="154"/>
      <c r="AJ104" s="154"/>
      <c r="AK104" s="154"/>
      <c r="AL104" s="154"/>
      <c r="AM104" s="154"/>
      <c r="AN104" s="154"/>
      <c r="AO104" s="154"/>
      <c r="AP104" s="154"/>
      <c r="AQ104" s="154"/>
      <c r="AR104" s="154"/>
      <c r="AS104" s="154"/>
      <c r="AT104" s="154"/>
      <c r="AU104" s="154"/>
      <c r="AV104" s="154"/>
      <c r="AW104" s="154"/>
      <c r="AX104" s="154"/>
      <c r="AY104" s="154"/>
    </row>
    <row r="105" spans="2:51">
      <c r="B105" s="154">
        <v>62</v>
      </c>
      <c r="C105" s="182"/>
      <c r="D105" s="182"/>
      <c r="E105" s="182"/>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154"/>
      <c r="AG105" s="154"/>
      <c r="AH105" s="154"/>
      <c r="AI105" s="154"/>
      <c r="AJ105" s="154"/>
      <c r="AK105" s="154"/>
      <c r="AL105" s="154"/>
      <c r="AM105" s="154"/>
      <c r="AN105" s="154"/>
      <c r="AO105" s="154"/>
      <c r="AP105" s="154"/>
      <c r="AQ105" s="154"/>
      <c r="AR105" s="154"/>
      <c r="AS105" s="154"/>
      <c r="AT105" s="154"/>
      <c r="AU105" s="154"/>
      <c r="AV105" s="154"/>
      <c r="AW105" s="154"/>
      <c r="AX105" s="154"/>
      <c r="AY105" s="154"/>
    </row>
    <row r="106" spans="2:51">
      <c r="B106" s="154">
        <v>63</v>
      </c>
      <c r="C106" s="182"/>
      <c r="D106" s="182"/>
      <c r="E106" s="182"/>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154"/>
      <c r="AG106" s="154"/>
      <c r="AH106" s="154"/>
      <c r="AI106" s="154"/>
      <c r="AJ106" s="154"/>
      <c r="AK106" s="154"/>
      <c r="AL106" s="154"/>
      <c r="AM106" s="154"/>
      <c r="AN106" s="154"/>
      <c r="AO106" s="154"/>
      <c r="AP106" s="154"/>
      <c r="AQ106" s="154"/>
      <c r="AR106" s="154"/>
      <c r="AS106" s="154"/>
      <c r="AT106" s="154"/>
      <c r="AU106" s="154"/>
      <c r="AV106" s="154"/>
      <c r="AW106" s="154"/>
      <c r="AX106" s="154"/>
      <c r="AY106" s="154"/>
    </row>
    <row r="107" spans="2:51">
      <c r="B107" s="154">
        <v>64</v>
      </c>
      <c r="C107" s="182"/>
      <c r="D107" s="182"/>
      <c r="E107" s="182"/>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154"/>
      <c r="AG107" s="154"/>
      <c r="AH107" s="154"/>
      <c r="AI107" s="154"/>
      <c r="AJ107" s="154"/>
      <c r="AK107" s="154"/>
      <c r="AL107" s="154"/>
      <c r="AM107" s="154"/>
      <c r="AN107" s="154"/>
      <c r="AO107" s="154"/>
      <c r="AP107" s="154"/>
      <c r="AQ107" s="154"/>
      <c r="AR107" s="154"/>
      <c r="AS107" s="154"/>
      <c r="AT107" s="154"/>
      <c r="AU107" s="154"/>
      <c r="AV107" s="154"/>
      <c r="AW107" s="154"/>
      <c r="AX107" s="154"/>
      <c r="AY107" s="154"/>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K9" sqref="K9"/>
    </sheetView>
  </sheetViews>
  <sheetFormatPr defaultColWidth="8.6640625" defaultRowHeight="19.5"/>
  <sheetData>
    <row r="2" spans="2:30" ht="20.25" thickBot="1">
      <c r="B2" t="s">
        <v>1322</v>
      </c>
      <c r="G2" s="3" t="s">
        <v>931</v>
      </c>
      <c r="H2" s="3"/>
      <c r="I2" s="3"/>
      <c r="J2" s="3"/>
      <c r="K2" s="3"/>
      <c r="S2" s="3"/>
      <c r="U2" s="3"/>
    </row>
    <row r="3" spans="2:30">
      <c r="B3" s="256" t="s">
        <v>1323</v>
      </c>
      <c r="C3" s="257"/>
      <c r="D3" s="257"/>
      <c r="E3" s="258"/>
      <c r="G3" s="1"/>
      <c r="H3" s="10" t="s">
        <v>877</v>
      </c>
      <c r="I3" s="10" t="s">
        <v>666</v>
      </c>
      <c r="J3" s="10" t="s">
        <v>688</v>
      </c>
      <c r="K3" s="10" t="s">
        <v>938</v>
      </c>
    </row>
    <row r="4" spans="2:30">
      <c r="B4" s="259"/>
      <c r="C4" s="260"/>
      <c r="D4" s="260"/>
      <c r="E4" s="261"/>
      <c r="G4" s="1"/>
      <c r="H4" s="1" t="s">
        <v>929</v>
      </c>
      <c r="I4" s="1" t="s">
        <v>927</v>
      </c>
      <c r="J4" s="64" t="s">
        <v>705</v>
      </c>
      <c r="K4" s="64" t="s">
        <v>928</v>
      </c>
    </row>
    <row r="5" spans="2:30">
      <c r="B5" s="259"/>
      <c r="C5" s="260"/>
      <c r="D5" s="260"/>
      <c r="E5" s="261"/>
      <c r="G5" s="1"/>
      <c r="H5" s="1" t="s">
        <v>706</v>
      </c>
      <c r="I5" s="1" t="s">
        <v>706</v>
      </c>
      <c r="J5" s="64" t="s">
        <v>705</v>
      </c>
      <c r="K5" s="64" t="s">
        <v>705</v>
      </c>
    </row>
    <row r="6" spans="2:30">
      <c r="B6" s="259"/>
      <c r="C6" s="260"/>
      <c r="D6" s="260"/>
      <c r="E6" s="261"/>
      <c r="G6" s="10" t="s">
        <v>930</v>
      </c>
      <c r="H6" s="22">
        <v>0</v>
      </c>
      <c r="I6" s="22">
        <v>0.95</v>
      </c>
      <c r="J6" s="22" t="s">
        <v>675</v>
      </c>
      <c r="K6" s="22">
        <v>0.71499999999999997</v>
      </c>
    </row>
    <row r="7" spans="2:30">
      <c r="B7" s="259"/>
      <c r="C7" s="260"/>
      <c r="D7" s="260"/>
      <c r="E7" s="261"/>
      <c r="G7" s="10" t="s">
        <v>679</v>
      </c>
      <c r="H7" s="22">
        <v>0.85</v>
      </c>
      <c r="I7" s="22">
        <v>0.7</v>
      </c>
      <c r="J7" s="22" t="s">
        <v>675</v>
      </c>
      <c r="K7" s="22">
        <v>0.65</v>
      </c>
    </row>
    <row r="8" spans="2:30">
      <c r="B8" s="259"/>
      <c r="C8" s="260"/>
      <c r="D8" s="260"/>
      <c r="E8" s="261"/>
    </row>
    <row r="9" spans="2:30">
      <c r="B9" s="259"/>
      <c r="C9" s="260"/>
      <c r="D9" s="260"/>
      <c r="E9" s="261"/>
    </row>
    <row r="10" spans="2:30" ht="20.25" thickBot="1">
      <c r="B10" s="262"/>
      <c r="C10" s="263"/>
      <c r="D10" s="263"/>
      <c r="E10" s="264"/>
    </row>
    <row r="11" spans="2:30">
      <c r="G11" s="3" t="s">
        <v>932</v>
      </c>
      <c r="H11" s="3"/>
      <c r="I11" s="3"/>
      <c r="J11" s="3"/>
      <c r="K11" s="3"/>
    </row>
    <row r="12" spans="2:30">
      <c r="G12" s="1"/>
      <c r="H12" s="10" t="s">
        <v>877</v>
      </c>
      <c r="I12" s="10" t="s">
        <v>926</v>
      </c>
      <c r="J12" s="10" t="s">
        <v>688</v>
      </c>
      <c r="K12" s="10" t="s">
        <v>938</v>
      </c>
    </row>
    <row r="13" spans="2:30">
      <c r="G13" s="1"/>
      <c r="H13" s="1" t="s">
        <v>929</v>
      </c>
      <c r="I13" s="1" t="s">
        <v>927</v>
      </c>
      <c r="J13" s="64" t="s">
        <v>705</v>
      </c>
      <c r="K13" s="64" t="s">
        <v>928</v>
      </c>
      <c r="AD13" s="3" t="s">
        <v>1209</v>
      </c>
    </row>
    <row r="14" spans="2:30">
      <c r="G14" s="1"/>
      <c r="H14" s="1" t="s">
        <v>706</v>
      </c>
      <c r="I14" s="1" t="s">
        <v>706</v>
      </c>
      <c r="J14" s="64" t="s">
        <v>705</v>
      </c>
      <c r="K14" s="64" t="s">
        <v>705</v>
      </c>
    </row>
    <row r="15" spans="2:30">
      <c r="G15" s="10" t="s">
        <v>930</v>
      </c>
      <c r="H15" s="22">
        <v>0</v>
      </c>
      <c r="I15" s="22">
        <v>0.95</v>
      </c>
      <c r="J15" s="1">
        <v>1</v>
      </c>
      <c r="K15" s="22">
        <v>0.71499999999999997</v>
      </c>
    </row>
    <row r="16" spans="2:30">
      <c r="B16" t="s">
        <v>936</v>
      </c>
      <c r="G16" s="10" t="s">
        <v>933</v>
      </c>
      <c r="H16" s="22">
        <v>0</v>
      </c>
      <c r="I16" s="22">
        <v>0.95</v>
      </c>
      <c r="J16" s="1">
        <v>1</v>
      </c>
      <c r="K16" s="22">
        <v>0.71499999999999997</v>
      </c>
    </row>
    <row r="17" spans="2:32">
      <c r="B17" s="35"/>
      <c r="C17" s="35"/>
      <c r="D17" s="35"/>
      <c r="E17" s="35"/>
      <c r="G17" s="10" t="s">
        <v>679</v>
      </c>
      <c r="H17" s="22">
        <v>0.85</v>
      </c>
      <c r="I17" s="22">
        <v>0.7</v>
      </c>
      <c r="J17" s="1">
        <v>1</v>
      </c>
      <c r="K17" s="22">
        <v>0.65</v>
      </c>
    </row>
    <row r="18" spans="2:32">
      <c r="B18" s="35" t="s">
        <v>934</v>
      </c>
      <c r="C18" s="35"/>
      <c r="D18" s="35"/>
      <c r="E18" s="35"/>
    </row>
    <row r="19" spans="2:32">
      <c r="B19" s="35" t="s">
        <v>935</v>
      </c>
      <c r="C19" s="35"/>
      <c r="D19" s="35"/>
      <c r="E19" s="35"/>
    </row>
    <row r="20" spans="2:32">
      <c r="B20" s="35" t="s">
        <v>937</v>
      </c>
      <c r="C20" s="35"/>
      <c r="D20" s="35"/>
      <c r="E20" s="35"/>
    </row>
    <row r="22" spans="2:32">
      <c r="B22" t="s">
        <v>668</v>
      </c>
      <c r="G22" t="s">
        <v>939</v>
      </c>
      <c r="X22" t="s">
        <v>898</v>
      </c>
      <c r="AB22" s="3" t="s">
        <v>822</v>
      </c>
      <c r="AC22" s="3"/>
      <c r="AE22" s="3"/>
      <c r="AF22" s="3"/>
    </row>
    <row r="23" spans="2:32">
      <c r="B23" s="35"/>
      <c r="C23" s="35"/>
      <c r="D23" s="35"/>
      <c r="E23" s="35"/>
      <c r="G23" s="10" t="s">
        <v>877</v>
      </c>
      <c r="H23" s="10" t="s">
        <v>899</v>
      </c>
      <c r="I23" s="10" t="s">
        <v>629</v>
      </c>
      <c r="J23" s="10" t="s">
        <v>403</v>
      </c>
      <c r="K23" s="10" t="s">
        <v>630</v>
      </c>
      <c r="L23" s="10" t="s">
        <v>792</v>
      </c>
      <c r="M23" s="10" t="s">
        <v>793</v>
      </c>
      <c r="N23" s="10" t="s">
        <v>794</v>
      </c>
      <c r="O23" s="10" t="s">
        <v>795</v>
      </c>
      <c r="P23" s="10" t="s">
        <v>797</v>
      </c>
      <c r="Q23" s="10" t="s">
        <v>621</v>
      </c>
      <c r="R23" s="10" t="s">
        <v>798</v>
      </c>
      <c r="S23" s="10"/>
      <c r="T23" s="10" t="s">
        <v>799</v>
      </c>
      <c r="U23" s="10" t="s">
        <v>756</v>
      </c>
      <c r="V23" s="10" t="s">
        <v>800</v>
      </c>
      <c r="W23" s="10" t="s">
        <v>801</v>
      </c>
      <c r="X23" s="10" t="s">
        <v>802</v>
      </c>
      <c r="Y23" s="10" t="s">
        <v>803</v>
      </c>
      <c r="Z23" s="10" t="s">
        <v>804</v>
      </c>
      <c r="AA23" s="10" t="s">
        <v>805</v>
      </c>
      <c r="AB23" s="112" t="s">
        <v>823</v>
      </c>
      <c r="AC23" s="112" t="s">
        <v>824</v>
      </c>
      <c r="AD23" s="112" t="s">
        <v>825</v>
      </c>
      <c r="AE23" s="112" t="s">
        <v>826</v>
      </c>
      <c r="AF23" s="112" t="s">
        <v>827</v>
      </c>
    </row>
    <row r="24" spans="2:32">
      <c r="B24" s="35"/>
      <c r="C24" s="35"/>
      <c r="D24" s="35"/>
      <c r="E24" s="35"/>
      <c r="G24" s="1" t="s">
        <v>929</v>
      </c>
      <c r="H24" s="1" t="s">
        <v>45</v>
      </c>
      <c r="I24" s="1" t="s">
        <v>622</v>
      </c>
      <c r="J24" s="1" t="s">
        <v>46</v>
      </c>
      <c r="K24" s="1" t="s">
        <v>46</v>
      </c>
      <c r="L24" s="1" t="s">
        <v>46</v>
      </c>
      <c r="M24" s="1" t="s">
        <v>46</v>
      </c>
      <c r="N24" s="1" t="s">
        <v>46</v>
      </c>
      <c r="O24" s="1" t="s">
        <v>46</v>
      </c>
      <c r="P24" s="1" t="s">
        <v>46</v>
      </c>
      <c r="Q24" s="1" t="s">
        <v>627</v>
      </c>
      <c r="R24" s="1" t="s">
        <v>806</v>
      </c>
      <c r="S24" s="1" t="s">
        <v>807</v>
      </c>
      <c r="T24" s="1" t="s">
        <v>808</v>
      </c>
      <c r="U24" s="1" t="s">
        <v>809</v>
      </c>
      <c r="V24" s="1" t="s">
        <v>810</v>
      </c>
      <c r="W24" s="1" t="s">
        <v>811</v>
      </c>
      <c r="X24" s="1" t="s">
        <v>812</v>
      </c>
      <c r="Y24" s="1" t="s">
        <v>813</v>
      </c>
      <c r="Z24" s="1" t="s">
        <v>814</v>
      </c>
      <c r="AA24" s="1" t="s">
        <v>815</v>
      </c>
      <c r="AB24" s="1" t="s">
        <v>828</v>
      </c>
      <c r="AC24" s="1" t="s">
        <v>829</v>
      </c>
      <c r="AD24" s="1" t="s">
        <v>830</v>
      </c>
      <c r="AE24" s="1" t="s">
        <v>831</v>
      </c>
      <c r="AF24" s="1" t="s">
        <v>832</v>
      </c>
    </row>
    <row r="25" spans="2:32" ht="20.25" thickBot="1">
      <c r="B25" s="35"/>
      <c r="C25" s="35"/>
      <c r="D25" s="35"/>
      <c r="E25" s="35"/>
      <c r="G25" s="20" t="s">
        <v>5</v>
      </c>
      <c r="H25" s="20" t="s">
        <v>45</v>
      </c>
      <c r="I25" s="20" t="s">
        <v>635</v>
      </c>
      <c r="J25" s="20" t="s">
        <v>635</v>
      </c>
      <c r="K25" s="20" t="s">
        <v>651</v>
      </c>
      <c r="L25" s="20" t="s">
        <v>652</v>
      </c>
      <c r="M25" s="20" t="s">
        <v>652</v>
      </c>
      <c r="N25" s="20" t="s">
        <v>652</v>
      </c>
      <c r="O25" s="20" t="s">
        <v>652</v>
      </c>
      <c r="P25" s="20" t="s">
        <v>45</v>
      </c>
      <c r="Q25" s="20" t="s">
        <v>636</v>
      </c>
      <c r="R25" s="20" t="s">
        <v>816</v>
      </c>
      <c r="S25" s="20" t="s">
        <v>816</v>
      </c>
      <c r="T25" s="20" t="s">
        <v>816</v>
      </c>
      <c r="U25" s="20" t="s">
        <v>817</v>
      </c>
      <c r="V25" s="20" t="s">
        <v>818</v>
      </c>
      <c r="W25" s="20" t="s">
        <v>819</v>
      </c>
      <c r="X25" s="20" t="s">
        <v>820</v>
      </c>
      <c r="Y25" s="20" t="s">
        <v>820</v>
      </c>
      <c r="Z25" s="20" t="s">
        <v>821</v>
      </c>
      <c r="AA25" s="20" t="s">
        <v>821</v>
      </c>
      <c r="AB25" s="20" t="s">
        <v>833</v>
      </c>
      <c r="AC25" s="20" t="s">
        <v>834</v>
      </c>
      <c r="AD25" s="20" t="s">
        <v>835</v>
      </c>
      <c r="AE25" s="20" t="s">
        <v>833</v>
      </c>
      <c r="AF25" s="20" t="s">
        <v>705</v>
      </c>
    </row>
    <row r="26" spans="2:32" ht="20.25" thickTop="1">
      <c r="B26" s="35"/>
      <c r="C26" s="35"/>
      <c r="D26" s="35"/>
      <c r="E26" s="35"/>
      <c r="G26" s="4">
        <v>0</v>
      </c>
      <c r="H26" s="135" t="s">
        <v>527</v>
      </c>
      <c r="I26" s="113">
        <v>15</v>
      </c>
      <c r="J26" s="113">
        <v>15</v>
      </c>
      <c r="K26" s="113">
        <v>0</v>
      </c>
      <c r="L26" s="135">
        <v>0</v>
      </c>
      <c r="M26" s="135">
        <v>0</v>
      </c>
      <c r="N26" s="113">
        <v>0</v>
      </c>
      <c r="O26" s="113">
        <v>0</v>
      </c>
      <c r="P26" s="113">
        <v>0</v>
      </c>
      <c r="Q26" s="2">
        <v>0</v>
      </c>
      <c r="R26" s="1">
        <v>128.55212654337893</v>
      </c>
      <c r="S26" s="1">
        <v>16.303408580287435</v>
      </c>
      <c r="T26" s="29">
        <v>-1041.8410000000001</v>
      </c>
      <c r="U26" s="29">
        <v>-1041.8410000000001</v>
      </c>
      <c r="V26" s="29">
        <v>-1041.8410000000001</v>
      </c>
      <c r="W26" s="29">
        <v>-1041.8410000000001</v>
      </c>
      <c r="X26" s="29">
        <v>-1041.8410000000001</v>
      </c>
      <c r="Y26" s="29">
        <v>-1041.8410000000001</v>
      </c>
      <c r="Z26" s="29">
        <v>-1041.8410000000001</v>
      </c>
      <c r="AA26" s="29">
        <v>-1041.8410000000001</v>
      </c>
      <c r="AB26" s="29">
        <v>-1041.8410000000001</v>
      </c>
      <c r="AC26" s="29">
        <v>-1041.8410000000001</v>
      </c>
      <c r="AD26" s="29">
        <v>-1041.8410000000001</v>
      </c>
      <c r="AE26" s="29">
        <v>-1041.8410000000001</v>
      </c>
      <c r="AF26" s="29">
        <v>-1041.8410000000001</v>
      </c>
    </row>
    <row r="27" spans="2:32">
      <c r="B27" s="35"/>
      <c r="C27" s="35"/>
      <c r="D27" s="35"/>
      <c r="E27" s="35"/>
      <c r="G27" s="22">
        <v>3.5</v>
      </c>
      <c r="H27" s="28"/>
      <c r="I27" s="29"/>
      <c r="J27" s="29"/>
      <c r="K27" s="29"/>
      <c r="L27" s="28"/>
      <c r="M27" s="28"/>
      <c r="N27" s="29"/>
      <c r="O27" s="29"/>
      <c r="P27" s="29"/>
      <c r="Q27" s="1"/>
      <c r="R27" s="1"/>
      <c r="S27" s="1"/>
      <c r="T27" s="29"/>
      <c r="U27" s="29"/>
      <c r="V27" s="29"/>
      <c r="W27" s="29"/>
      <c r="X27" s="29"/>
      <c r="Y27" s="29"/>
      <c r="Z27" s="29"/>
      <c r="AA27" s="29"/>
      <c r="AB27" s="29"/>
      <c r="AC27" s="29"/>
      <c r="AD27" s="29"/>
      <c r="AE27" s="29"/>
      <c r="AF27" s="29"/>
    </row>
    <row r="28" spans="2:32">
      <c r="B28" s="35"/>
      <c r="C28" s="35"/>
      <c r="D28" s="35"/>
      <c r="E28" s="35"/>
    </row>
    <row r="29" spans="2:32">
      <c r="B29" s="35"/>
      <c r="C29" s="35"/>
      <c r="D29" s="35"/>
      <c r="E29" s="35"/>
      <c r="G29" s="35" t="s">
        <v>900</v>
      </c>
      <c r="H29" s="134">
        <v>500</v>
      </c>
      <c r="I29" s="35" t="s">
        <v>819</v>
      </c>
      <c r="K29" s="35" t="s">
        <v>912</v>
      </c>
      <c r="L29" s="35" t="e">
        <f>(#REF!-H28)*(H29-1)+#REF!</f>
        <v>#REF!</v>
      </c>
      <c r="M29" s="35" t="s">
        <v>819</v>
      </c>
      <c r="S29" t="s">
        <v>1225</v>
      </c>
    </row>
    <row r="30" spans="2:32">
      <c r="B30" s="35"/>
      <c r="C30" s="35"/>
      <c r="D30" s="35"/>
      <c r="E30" s="35"/>
      <c r="G30" s="35" t="s">
        <v>901</v>
      </c>
      <c r="H30" s="134">
        <v>40</v>
      </c>
      <c r="I30" s="35" t="s">
        <v>819</v>
      </c>
      <c r="K30" s="35" t="s">
        <v>914</v>
      </c>
      <c r="L30" s="35" t="e">
        <f>L29-H30*2</f>
        <v>#REF!</v>
      </c>
      <c r="M30" s="35" t="s">
        <v>819</v>
      </c>
      <c r="O30" s="1" t="s">
        <v>919</v>
      </c>
      <c r="P30" s="22">
        <v>10</v>
      </c>
      <c r="Q30" s="1" t="s">
        <v>819</v>
      </c>
      <c r="V30" t="s">
        <v>910</v>
      </c>
      <c r="W30" t="s">
        <v>911</v>
      </c>
    </row>
    <row r="31" spans="2:32">
      <c r="B31" s="35"/>
      <c r="C31" s="35"/>
      <c r="D31" s="35"/>
      <c r="E31" s="35"/>
      <c r="G31" s="35" t="s">
        <v>902</v>
      </c>
      <c r="H31" s="134">
        <v>9</v>
      </c>
      <c r="I31" s="35" t="s">
        <v>903</v>
      </c>
      <c r="K31" s="35" t="s">
        <v>916</v>
      </c>
      <c r="L31" s="35" t="e">
        <f>(L30-#REF!)/2</f>
        <v>#REF!</v>
      </c>
      <c r="M31" s="35" t="s">
        <v>819</v>
      </c>
      <c r="O31" s="1" t="s">
        <v>920</v>
      </c>
      <c r="P31" s="22">
        <v>10</v>
      </c>
      <c r="Q31" s="1" t="s">
        <v>819</v>
      </c>
      <c r="T31" t="s">
        <v>913</v>
      </c>
      <c r="U31" s="35" t="s">
        <v>906</v>
      </c>
      <c r="V31" s="142" t="e">
        <f>#REF!</f>
        <v>#REF!</v>
      </c>
      <c r="W31" s="142" t="e">
        <f>V31+P29*(#REF!+#REF!)*2</f>
        <v>#REF!</v>
      </c>
    </row>
    <row r="32" spans="2:32">
      <c r="B32" s="35"/>
      <c r="C32" s="35"/>
      <c r="D32" s="35"/>
      <c r="E32" s="35"/>
      <c r="G32" s="35" t="s">
        <v>904</v>
      </c>
      <c r="H32" s="134">
        <v>50</v>
      </c>
      <c r="I32" s="35" t="s">
        <v>819</v>
      </c>
      <c r="K32" s="35" t="s">
        <v>922</v>
      </c>
      <c r="L32" s="35"/>
      <c r="M32" s="35" t="s">
        <v>36</v>
      </c>
      <c r="O32" s="1" t="s">
        <v>921</v>
      </c>
      <c r="P32" s="28">
        <v>1000</v>
      </c>
      <c r="Q32" s="1" t="s">
        <v>819</v>
      </c>
      <c r="U32" s="35" t="s">
        <v>915</v>
      </c>
      <c r="V32" s="142" t="e">
        <f>#REF!*#REF!</f>
        <v>#REF!</v>
      </c>
      <c r="W32" s="142" t="e">
        <f>V32+P29*#REF!*2</f>
        <v>#REF!</v>
      </c>
    </row>
    <row r="33" spans="2:35">
      <c r="B33" s="35"/>
      <c r="C33" s="35"/>
      <c r="D33" s="35"/>
      <c r="E33" s="35"/>
      <c r="U33" s="35" t="s">
        <v>917</v>
      </c>
      <c r="V33" s="142">
        <f>L28</f>
        <v>0</v>
      </c>
      <c r="W33" s="142" t="e">
        <f>V33+P29*(#REF!+#REF!)*2</f>
        <v>#REF!</v>
      </c>
    </row>
    <row r="34" spans="2:35">
      <c r="B34" s="35"/>
      <c r="C34" s="35"/>
      <c r="D34" s="35"/>
      <c r="E34" s="35"/>
      <c r="U34" s="35" t="s">
        <v>909</v>
      </c>
      <c r="V34" s="142" t="e">
        <f>L28*#REF!</f>
        <v>#REF!</v>
      </c>
      <c r="W34" s="142" t="e">
        <f>V34+P29*#REF!*2</f>
        <v>#REF!</v>
      </c>
    </row>
    <row r="35" spans="2:35">
      <c r="B35" s="35"/>
      <c r="C35" s="35"/>
      <c r="D35" s="35"/>
      <c r="E35" s="35"/>
      <c r="G35" s="38" t="s">
        <v>905</v>
      </c>
      <c r="H35" s="38">
        <v>1</v>
      </c>
      <c r="I35" s="38">
        <v>2</v>
      </c>
      <c r="J35" s="38">
        <v>3</v>
      </c>
      <c r="K35" s="38">
        <v>4</v>
      </c>
      <c r="L35" s="38">
        <v>5</v>
      </c>
      <c r="M35" s="38">
        <v>6</v>
      </c>
      <c r="N35" s="38">
        <v>7</v>
      </c>
      <c r="O35" s="38">
        <v>8</v>
      </c>
      <c r="P35" s="38">
        <v>9</v>
      </c>
      <c r="Q35" s="38"/>
      <c r="R35" s="38"/>
      <c r="T35" t="s">
        <v>918</v>
      </c>
      <c r="U35" s="35" t="s">
        <v>906</v>
      </c>
      <c r="V35" s="142" t="e">
        <f>H36-#REF!*H30</f>
        <v>#REF!</v>
      </c>
      <c r="W35" s="142" t="e">
        <f>V35+P29*(#REF!+#REF!)*2</f>
        <v>#REF!</v>
      </c>
    </row>
    <row r="36" spans="2:35">
      <c r="B36" s="35"/>
      <c r="C36" s="35"/>
      <c r="D36" s="35"/>
      <c r="E36" s="35"/>
      <c r="G36" s="38" t="s">
        <v>906</v>
      </c>
      <c r="H36" s="141" t="e">
        <f>#REF!+#REF!*(#REF!-$C$16)/2</f>
        <v>#REF!</v>
      </c>
      <c r="I36" s="141" t="e">
        <f>H38+#REF!*$C$18</f>
        <v>#REF!</v>
      </c>
      <c r="J36" s="141" t="e">
        <f>I38+#REF!*$C$18</f>
        <v>#REF!</v>
      </c>
      <c r="K36" s="141" t="e">
        <f>J38+#REF!*$C$18</f>
        <v>#REF!</v>
      </c>
      <c r="L36" s="141" t="e">
        <f>K38+#REF!*$C$18</f>
        <v>#REF!</v>
      </c>
      <c r="M36" s="141" t="e">
        <f>L38+#REF!*$C$18</f>
        <v>#REF!</v>
      </c>
      <c r="N36" s="141" t="e">
        <f>M38+#REF!*$C$18</f>
        <v>#REF!</v>
      </c>
      <c r="O36" s="141" t="e">
        <f>N38+#REF!*$C$18</f>
        <v>#REF!</v>
      </c>
      <c r="P36" s="141" t="e">
        <f>O38+#REF!*$C$18</f>
        <v>#REF!</v>
      </c>
      <c r="Q36" s="141"/>
      <c r="R36" s="141"/>
      <c r="U36" s="35" t="s">
        <v>915</v>
      </c>
      <c r="V36" s="142" t="e">
        <f>V35*#REF!</f>
        <v>#REF!</v>
      </c>
      <c r="W36" s="142" t="e">
        <f>V36+P29*#REF!*2</f>
        <v>#REF!</v>
      </c>
    </row>
    <row r="37" spans="2:35">
      <c r="B37" s="35"/>
      <c r="C37" s="35"/>
      <c r="D37" s="35"/>
      <c r="E37" s="35"/>
      <c r="G37" s="38" t="s">
        <v>907</v>
      </c>
      <c r="H37" s="141" t="e">
        <f>H36*#REF!</f>
        <v>#REF!</v>
      </c>
      <c r="I37" s="141" t="e">
        <f>I36*#REF!</f>
        <v>#REF!</v>
      </c>
      <c r="J37" s="141" t="e">
        <f>J36*#REF!</f>
        <v>#REF!</v>
      </c>
      <c r="K37" s="141" t="e">
        <f>K36*#REF!</f>
        <v>#REF!</v>
      </c>
      <c r="L37" s="141" t="e">
        <f>L36*#REF!</f>
        <v>#REF!</v>
      </c>
      <c r="M37" s="141" t="e">
        <f>M36*#REF!</f>
        <v>#REF!</v>
      </c>
      <c r="N37" s="141" t="e">
        <f>N36*#REF!</f>
        <v>#REF!</v>
      </c>
      <c r="O37" s="141" t="e">
        <f>O36*#REF!</f>
        <v>#REF!</v>
      </c>
      <c r="P37" s="141" t="e">
        <f>P36*#REF!</f>
        <v>#REF!</v>
      </c>
      <c r="Q37" s="141"/>
      <c r="R37" s="141"/>
      <c r="U37" s="35" t="s">
        <v>917</v>
      </c>
      <c r="V37" s="142" t="e">
        <f>O38+H30*#REF!</f>
        <v>#REF!</v>
      </c>
      <c r="W37" s="142" t="e">
        <f>V37+P29*(#REF!+#REF!)*2</f>
        <v>#REF!</v>
      </c>
    </row>
    <row r="38" spans="2:35">
      <c r="B38" s="35"/>
      <c r="C38" s="35"/>
      <c r="D38" s="35"/>
      <c r="E38" s="35"/>
      <c r="G38" s="38" t="s">
        <v>908</v>
      </c>
      <c r="H38" s="141" t="e">
        <f>H36-#REF!*$C$17</f>
        <v>#REF!</v>
      </c>
      <c r="I38" s="141" t="e">
        <f>I36-#REF!*$C$17</f>
        <v>#REF!</v>
      </c>
      <c r="J38" s="141" t="e">
        <f>J36-#REF!*$C$17</f>
        <v>#REF!</v>
      </c>
      <c r="K38" s="141" t="e">
        <f>K36-#REF!*$C$17</f>
        <v>#REF!</v>
      </c>
      <c r="L38" s="141" t="e">
        <f>L36-#REF!*$C$17</f>
        <v>#REF!</v>
      </c>
      <c r="M38" s="141" t="e">
        <f>M36-#REF!*$C$17</f>
        <v>#REF!</v>
      </c>
      <c r="N38" s="141" t="e">
        <f>N36-#REF!*$C$17</f>
        <v>#REF!</v>
      </c>
      <c r="O38" s="141" t="e">
        <f>O36-#REF!*$C$17</f>
        <v>#REF!</v>
      </c>
      <c r="P38" s="141" t="e">
        <f>P36-#REF!*$C$17</f>
        <v>#REF!</v>
      </c>
      <c r="Q38" s="141"/>
      <c r="R38" s="141"/>
      <c r="U38" s="35" t="s">
        <v>909</v>
      </c>
      <c r="V38" s="142" t="e">
        <f>V37*#REF!</f>
        <v>#REF!</v>
      </c>
      <c r="W38" s="142" t="e">
        <f>V38+P29*#REF!*2</f>
        <v>#REF!</v>
      </c>
    </row>
    <row r="39" spans="2:35">
      <c r="B39" s="35"/>
      <c r="C39" s="35"/>
      <c r="D39" s="35"/>
      <c r="E39" s="35"/>
      <c r="G39" s="38" t="s">
        <v>909</v>
      </c>
      <c r="H39" s="141" t="e">
        <f>H38*#REF!</f>
        <v>#REF!</v>
      </c>
      <c r="I39" s="141" t="e">
        <f>I38*#REF!</f>
        <v>#REF!</v>
      </c>
      <c r="J39" s="141" t="e">
        <f>J38*#REF!</f>
        <v>#REF!</v>
      </c>
      <c r="K39" s="141" t="e">
        <f>K38*#REF!</f>
        <v>#REF!</v>
      </c>
      <c r="L39" s="141" t="e">
        <f>L38*#REF!</f>
        <v>#REF!</v>
      </c>
      <c r="M39" s="141" t="e">
        <f>M38*#REF!</f>
        <v>#REF!</v>
      </c>
      <c r="N39" s="141" t="e">
        <f>N38*#REF!</f>
        <v>#REF!</v>
      </c>
      <c r="O39" s="141" t="e">
        <f>O38*#REF!</f>
        <v>#REF!</v>
      </c>
      <c r="P39" s="141" t="e">
        <f>P38*#REF!</f>
        <v>#REF!</v>
      </c>
      <c r="Q39" s="141"/>
      <c r="R39" s="141"/>
    </row>
    <row r="40" spans="2:35">
      <c r="B40" s="35"/>
      <c r="C40" s="35"/>
      <c r="D40" s="35"/>
      <c r="E40" s="35"/>
    </row>
    <row r="41" spans="2:35">
      <c r="B41" s="35"/>
      <c r="C41" s="35"/>
      <c r="D41" s="35"/>
      <c r="E41" s="35"/>
    </row>
    <row r="42" spans="2:35">
      <c r="B42" s="35"/>
      <c r="C42" s="35"/>
      <c r="D42" s="35"/>
      <c r="E42" s="35"/>
      <c r="G42" t="s">
        <v>940</v>
      </c>
      <c r="H42" t="s">
        <v>776</v>
      </c>
      <c r="P42" s="3"/>
      <c r="Q42" t="s">
        <v>712</v>
      </c>
    </row>
    <row r="43" spans="2:35">
      <c r="B43" s="35"/>
      <c r="C43" s="35"/>
      <c r="D43" s="35"/>
      <c r="E43" s="35"/>
      <c r="G43" s="10" t="s">
        <v>678</v>
      </c>
      <c r="H43" s="10" t="s">
        <v>751</v>
      </c>
      <c r="I43" s="10" t="s">
        <v>753</v>
      </c>
      <c r="J43" s="10" t="s">
        <v>754</v>
      </c>
      <c r="K43" s="10" t="s">
        <v>757</v>
      </c>
      <c r="L43" s="10" t="s">
        <v>758</v>
      </c>
      <c r="M43" s="10" t="s">
        <v>777</v>
      </c>
      <c r="N43" s="10" t="s">
        <v>781</v>
      </c>
      <c r="O43" s="10" t="s">
        <v>780</v>
      </c>
      <c r="P43" s="10" t="s">
        <v>778</v>
      </c>
      <c r="Q43" s="10" t="s">
        <v>719</v>
      </c>
      <c r="R43" s="10" t="s">
        <v>713</v>
      </c>
      <c r="S43" s="10" t="s">
        <v>714</v>
      </c>
      <c r="T43" s="10" t="s">
        <v>784</v>
      </c>
      <c r="U43" s="10" t="s">
        <v>342</v>
      </c>
      <c r="V43" s="10" t="s">
        <v>355</v>
      </c>
      <c r="W43" s="10" t="s">
        <v>787</v>
      </c>
      <c r="X43" s="10" t="s">
        <v>367</v>
      </c>
      <c r="Y43" s="10" t="s">
        <v>789</v>
      </c>
      <c r="Z43" s="10" t="s">
        <v>349</v>
      </c>
      <c r="AA43" s="10" t="s">
        <v>715</v>
      </c>
      <c r="AB43" s="10" t="s">
        <v>739</v>
      </c>
      <c r="AC43" s="10" t="s">
        <v>740</v>
      </c>
      <c r="AD43" s="10" t="s">
        <v>741</v>
      </c>
      <c r="AE43" s="10" t="s">
        <v>717</v>
      </c>
      <c r="AF43" s="10" t="s">
        <v>716</v>
      </c>
      <c r="AG43" s="10" t="s">
        <v>720</v>
      </c>
      <c r="AH43" s="10" t="s">
        <v>718</v>
      </c>
      <c r="AI43" s="10" t="s">
        <v>745</v>
      </c>
    </row>
    <row r="44" spans="2:35">
      <c r="B44" s="35"/>
      <c r="C44" s="35"/>
      <c r="D44" s="35"/>
      <c r="E44" s="35"/>
      <c r="G44" s="1" t="s">
        <v>491</v>
      </c>
      <c r="H44" s="1" t="s">
        <v>45</v>
      </c>
      <c r="I44" s="1" t="s">
        <v>45</v>
      </c>
      <c r="J44" s="1" t="s">
        <v>45</v>
      </c>
      <c r="K44" s="1" t="s">
        <v>45</v>
      </c>
      <c r="L44" s="1" t="s">
        <v>45</v>
      </c>
      <c r="M44" s="1" t="s">
        <v>45</v>
      </c>
      <c r="N44" s="1" t="s">
        <v>45</v>
      </c>
      <c r="O44" s="1" t="s">
        <v>45</v>
      </c>
      <c r="P44" s="64" t="s">
        <v>45</v>
      </c>
      <c r="Q44" s="64" t="s">
        <v>733</v>
      </c>
      <c r="R44" s="64" t="s">
        <v>721</v>
      </c>
      <c r="S44" s="64" t="s">
        <v>722</v>
      </c>
      <c r="T44" s="64" t="s">
        <v>785</v>
      </c>
      <c r="U44" s="64" t="s">
        <v>723</v>
      </c>
      <c r="V44" s="64" t="s">
        <v>724</v>
      </c>
      <c r="W44" s="64" t="s">
        <v>788</v>
      </c>
      <c r="X44" s="64" t="s">
        <v>725</v>
      </c>
      <c r="Y44" s="64" t="s">
        <v>728</v>
      </c>
      <c r="Z44" s="64" t="s">
        <v>726</v>
      </c>
      <c r="AA44" s="64" t="s">
        <v>727</v>
      </c>
      <c r="AB44" s="64" t="s">
        <v>369</v>
      </c>
      <c r="AC44" s="64" t="s">
        <v>372</v>
      </c>
      <c r="AD44" s="64" t="s">
        <v>886</v>
      </c>
      <c r="AE44" s="64" t="s">
        <v>731</v>
      </c>
      <c r="AF44" s="64" t="s">
        <v>730</v>
      </c>
      <c r="AG44" s="64" t="s">
        <v>734</v>
      </c>
      <c r="AH44" s="64" t="s">
        <v>732</v>
      </c>
      <c r="AI44" s="64" t="s">
        <v>742</v>
      </c>
    </row>
    <row r="45" spans="2:35" ht="20.25" thickBot="1">
      <c r="B45" s="35"/>
      <c r="C45" s="35"/>
      <c r="D45" s="35"/>
      <c r="E45" s="35"/>
      <c r="G45" s="20" t="s">
        <v>5</v>
      </c>
      <c r="H45" s="137" t="s">
        <v>779</v>
      </c>
      <c r="I45" s="137" t="s">
        <v>779</v>
      </c>
      <c r="J45" s="137" t="s">
        <v>779</v>
      </c>
      <c r="K45" s="20" t="s">
        <v>779</v>
      </c>
      <c r="L45" s="20" t="s">
        <v>779</v>
      </c>
      <c r="M45" s="20" t="s">
        <v>779</v>
      </c>
      <c r="N45" s="20" t="s">
        <v>779</v>
      </c>
      <c r="O45" s="20" t="s">
        <v>779</v>
      </c>
      <c r="P45" s="131" t="s">
        <v>779</v>
      </c>
      <c r="Q45" s="131" t="s">
        <v>735</v>
      </c>
      <c r="R45" s="131" t="s">
        <v>735</v>
      </c>
      <c r="S45" s="131" t="s">
        <v>705</v>
      </c>
      <c r="T45" s="131" t="s">
        <v>705</v>
      </c>
      <c r="U45" s="131" t="s">
        <v>705</v>
      </c>
      <c r="V45" s="131" t="s">
        <v>705</v>
      </c>
      <c r="W45" s="131" t="s">
        <v>705</v>
      </c>
      <c r="X45" s="131" t="s">
        <v>705</v>
      </c>
      <c r="Y45" s="131" t="s">
        <v>705</v>
      </c>
      <c r="Z45" s="131" t="s">
        <v>736</v>
      </c>
      <c r="AA45" s="131" t="s">
        <v>736</v>
      </c>
      <c r="AB45" s="131" t="s">
        <v>279</v>
      </c>
      <c r="AC45" s="131" t="s">
        <v>279</v>
      </c>
      <c r="AD45" s="131" t="s">
        <v>786</v>
      </c>
      <c r="AE45" s="131" t="s">
        <v>737</v>
      </c>
      <c r="AF45" s="131" t="s">
        <v>737</v>
      </c>
      <c r="AG45" s="131" t="s">
        <v>737</v>
      </c>
      <c r="AH45" s="131" t="s">
        <v>738</v>
      </c>
      <c r="AI45" s="131" t="s">
        <v>738</v>
      </c>
    </row>
    <row r="46" spans="2:35" ht="20.25" thickTop="1">
      <c r="B46" s="35"/>
      <c r="C46" s="35"/>
      <c r="D46" s="35"/>
      <c r="E46" s="35"/>
      <c r="G46" s="4">
        <v>0</v>
      </c>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row>
    <row r="47" spans="2:35">
      <c r="B47" s="35"/>
      <c r="C47" s="35"/>
      <c r="D47" s="35"/>
      <c r="E47" s="35"/>
      <c r="G47" s="22">
        <v>3.5</v>
      </c>
    </row>
  </sheetData>
  <mergeCells count="1">
    <mergeCell ref="B3:E10"/>
  </mergeCells>
  <phoneticPr fontId="3"/>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D23" sqref="D23"/>
    </sheetView>
  </sheetViews>
  <sheetFormatPr defaultColWidth="8.6640625" defaultRowHeight="19.5"/>
  <sheetData>
    <row r="2" spans="2:5">
      <c r="B2" s="3" t="s">
        <v>838</v>
      </c>
      <c r="C2" s="3"/>
      <c r="D2" s="3"/>
      <c r="E2" s="3"/>
    </row>
    <row r="3" spans="2:5">
      <c r="B3" s="10" t="s">
        <v>180</v>
      </c>
      <c r="C3" s="10" t="s">
        <v>181</v>
      </c>
      <c r="D3" s="10" t="s">
        <v>839</v>
      </c>
      <c r="E3" s="10" t="s">
        <v>182</v>
      </c>
    </row>
    <row r="4" spans="2:5">
      <c r="B4" s="1" t="s">
        <v>840</v>
      </c>
      <c r="C4" s="1" t="s">
        <v>841</v>
      </c>
      <c r="D4" s="22">
        <v>3.5209999999999999</v>
      </c>
      <c r="E4" s="1" t="s">
        <v>706</v>
      </c>
    </row>
    <row r="5" spans="2:5">
      <c r="B5" s="1" t="s">
        <v>697</v>
      </c>
      <c r="C5" s="1" t="s">
        <v>842</v>
      </c>
      <c r="D5" s="22">
        <v>-1.5</v>
      </c>
      <c r="E5" s="1" t="s">
        <v>706</v>
      </c>
    </row>
    <row r="6" spans="2:5">
      <c r="B6" s="1"/>
      <c r="C6" s="1" t="s">
        <v>843</v>
      </c>
      <c r="D6" s="22">
        <v>0</v>
      </c>
      <c r="E6" s="1" t="s">
        <v>706</v>
      </c>
    </row>
    <row r="7" spans="2:5">
      <c r="B7" s="1"/>
      <c r="C7" s="1" t="s">
        <v>844</v>
      </c>
      <c r="D7" s="22">
        <v>4.5999999999999999E-2</v>
      </c>
      <c r="E7" s="1" t="s">
        <v>706</v>
      </c>
    </row>
    <row r="8" spans="2:5">
      <c r="B8" s="1" t="s">
        <v>339</v>
      </c>
      <c r="C8" s="1" t="s">
        <v>721</v>
      </c>
      <c r="D8" s="22">
        <v>-5.2380000000000004</v>
      </c>
      <c r="E8" s="1" t="s">
        <v>735</v>
      </c>
    </row>
    <row r="9" spans="2:5">
      <c r="B9" s="1" t="s">
        <v>845</v>
      </c>
      <c r="C9" s="1" t="s">
        <v>846</v>
      </c>
      <c r="D9" s="28">
        <v>73</v>
      </c>
      <c r="E9" s="1" t="s">
        <v>705</v>
      </c>
    </row>
    <row r="10" spans="2:5">
      <c r="B10" s="1" t="s">
        <v>847</v>
      </c>
      <c r="C10" s="1" t="s">
        <v>848</v>
      </c>
      <c r="D10" s="28">
        <v>90</v>
      </c>
      <c r="E10" s="1" t="s">
        <v>705</v>
      </c>
    </row>
    <row r="11" spans="2:5">
      <c r="B11" s="1" t="s">
        <v>849</v>
      </c>
      <c r="C11" s="1" t="s">
        <v>705</v>
      </c>
      <c r="D11" s="29" t="s">
        <v>850</v>
      </c>
      <c r="E11" s="1" t="s">
        <v>705</v>
      </c>
    </row>
    <row r="12" spans="2:5">
      <c r="B12" s="1" t="s">
        <v>851</v>
      </c>
      <c r="C12" s="1" t="s">
        <v>705</v>
      </c>
      <c r="D12" s="29" t="s">
        <v>852</v>
      </c>
      <c r="E12" s="1" t="s">
        <v>705</v>
      </c>
    </row>
    <row r="13" spans="2:5">
      <c r="B13" s="1" t="s">
        <v>853</v>
      </c>
      <c r="C13" s="1" t="s">
        <v>854</v>
      </c>
      <c r="D13" s="1">
        <v>0.46397713446944971</v>
      </c>
      <c r="E13" s="1" t="s">
        <v>750</v>
      </c>
    </row>
    <row r="14" spans="2:5">
      <c r="B14" s="1" t="s">
        <v>855</v>
      </c>
      <c r="C14" s="1" t="s">
        <v>856</v>
      </c>
      <c r="D14" s="1">
        <v>0.95184732967148733</v>
      </c>
      <c r="E14" s="1" t="s">
        <v>857</v>
      </c>
    </row>
    <row r="15" spans="2:5">
      <c r="B15" s="1" t="s">
        <v>858</v>
      </c>
      <c r="C15" s="1" t="s">
        <v>859</v>
      </c>
      <c r="D15" s="1">
        <v>2.901613310275148</v>
      </c>
      <c r="E15" s="1" t="s">
        <v>750</v>
      </c>
    </row>
    <row r="16" spans="2:5">
      <c r="B16" s="1" t="s">
        <v>860</v>
      </c>
      <c r="C16" s="1" t="s">
        <v>861</v>
      </c>
      <c r="D16" s="1"/>
      <c r="E16" s="1"/>
    </row>
    <row r="17" spans="2:5">
      <c r="B17" s="1" t="s">
        <v>862</v>
      </c>
      <c r="C17" s="1" t="s">
        <v>863</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zoomScale="55" zoomScaleNormal="55" workbookViewId="0">
      <selection activeCell="N24" sqref="N24"/>
    </sheetView>
  </sheetViews>
  <sheetFormatPr defaultColWidth="11.5546875" defaultRowHeight="19.5"/>
  <sheetData>
    <row r="2" spans="2:21">
      <c r="B2" s="3"/>
      <c r="C2" s="3"/>
      <c r="D2" s="3"/>
      <c r="E2" s="3"/>
      <c r="F2" s="3" t="s">
        <v>640</v>
      </c>
      <c r="G2" s="3"/>
      <c r="H2" s="3"/>
      <c r="I2" s="3"/>
      <c r="J2" s="3" t="s">
        <v>641</v>
      </c>
      <c r="K2" s="3"/>
      <c r="L2" s="3"/>
      <c r="M2" s="3"/>
      <c r="N2" s="3" t="s">
        <v>642</v>
      </c>
      <c r="O2" s="3"/>
      <c r="P2" s="3"/>
      <c r="Q2" s="3"/>
      <c r="R2" s="3" t="s">
        <v>56</v>
      </c>
      <c r="S2" s="3"/>
      <c r="T2" s="3"/>
      <c r="U2" s="3"/>
    </row>
    <row r="3" spans="2:21">
      <c r="B3" s="112"/>
      <c r="C3" s="112" t="s">
        <v>161</v>
      </c>
      <c r="D3" s="112" t="s">
        <v>161</v>
      </c>
      <c r="E3" s="112" t="s">
        <v>161</v>
      </c>
      <c r="F3" s="112" t="s">
        <v>631</v>
      </c>
      <c r="G3" s="112" t="s">
        <v>632</v>
      </c>
      <c r="H3" s="112" t="s">
        <v>633</v>
      </c>
      <c r="I3" s="112" t="s">
        <v>634</v>
      </c>
      <c r="J3" s="112" t="s">
        <v>631</v>
      </c>
      <c r="K3" s="112" t="s">
        <v>632</v>
      </c>
      <c r="L3" s="112" t="s">
        <v>633</v>
      </c>
      <c r="M3" s="112" t="s">
        <v>634</v>
      </c>
      <c r="N3" s="112" t="s">
        <v>631</v>
      </c>
      <c r="O3" s="112" t="s">
        <v>632</v>
      </c>
      <c r="P3" s="112" t="s">
        <v>633</v>
      </c>
      <c r="Q3" s="112" t="s">
        <v>634</v>
      </c>
      <c r="R3" s="112" t="s">
        <v>631</v>
      </c>
      <c r="S3" s="112" t="s">
        <v>632</v>
      </c>
      <c r="T3" s="112" t="s">
        <v>633</v>
      </c>
      <c r="U3" s="112" t="s">
        <v>634</v>
      </c>
    </row>
    <row r="4" spans="2:21">
      <c r="B4" s="112"/>
      <c r="C4" s="1" t="s">
        <v>20</v>
      </c>
      <c r="D4" s="1" t="s">
        <v>22</v>
      </c>
      <c r="E4" s="1" t="s">
        <v>23</v>
      </c>
      <c r="F4" s="1" t="s">
        <v>643</v>
      </c>
      <c r="G4" s="1" t="s">
        <v>644</v>
      </c>
      <c r="H4" s="1" t="s">
        <v>645</v>
      </c>
      <c r="I4" s="1" t="s">
        <v>643</v>
      </c>
      <c r="J4" s="1" t="s">
        <v>644</v>
      </c>
      <c r="K4" s="1" t="s">
        <v>645</v>
      </c>
      <c r="L4" s="1" t="s">
        <v>646</v>
      </c>
      <c r="M4" s="1" t="s">
        <v>647</v>
      </c>
      <c r="N4" s="1" t="s">
        <v>648</v>
      </c>
      <c r="O4" s="1" t="s">
        <v>649</v>
      </c>
      <c r="P4" s="1" t="s">
        <v>650</v>
      </c>
      <c r="Q4" s="1" t="s">
        <v>647</v>
      </c>
      <c r="R4" s="1" t="s">
        <v>648</v>
      </c>
      <c r="S4" s="1" t="s">
        <v>649</v>
      </c>
      <c r="T4" s="1" t="s">
        <v>650</v>
      </c>
      <c r="U4" s="1" t="s">
        <v>647</v>
      </c>
    </row>
    <row r="5" spans="2:21">
      <c r="B5" s="112"/>
      <c r="C5" s="1" t="s">
        <v>37</v>
      </c>
      <c r="D5" s="1" t="s">
        <v>37</v>
      </c>
      <c r="E5" s="1" t="s">
        <v>37</v>
      </c>
      <c r="F5" s="1" t="s">
        <v>652</v>
      </c>
      <c r="G5" s="1" t="s">
        <v>652</v>
      </c>
      <c r="H5" s="1" t="s">
        <v>652</v>
      </c>
      <c r="I5" s="1" t="s">
        <v>652</v>
      </c>
      <c r="J5" s="1" t="s">
        <v>652</v>
      </c>
      <c r="K5" s="1" t="s">
        <v>652</v>
      </c>
      <c r="L5" s="1" t="s">
        <v>652</v>
      </c>
      <c r="M5" s="1" t="s">
        <v>652</v>
      </c>
      <c r="N5" s="1" t="s">
        <v>652</v>
      </c>
      <c r="O5" s="1" t="s">
        <v>652</v>
      </c>
      <c r="P5" s="1" t="s">
        <v>652</v>
      </c>
      <c r="Q5" s="1" t="s">
        <v>652</v>
      </c>
      <c r="R5" s="1" t="s">
        <v>652</v>
      </c>
      <c r="S5" s="1" t="s">
        <v>652</v>
      </c>
      <c r="T5" s="1" t="s">
        <v>652</v>
      </c>
      <c r="U5" s="1" t="s">
        <v>652</v>
      </c>
    </row>
    <row r="6" spans="2:21">
      <c r="B6" s="112" t="s">
        <v>637</v>
      </c>
      <c r="C6" s="22">
        <v>0</v>
      </c>
      <c r="D6" s="22">
        <v>0.23499999999999999</v>
      </c>
      <c r="E6" s="22">
        <v>0</v>
      </c>
      <c r="F6" s="1">
        <f>H6+2*$D$27*$C$6</f>
        <v>97.942000000000007</v>
      </c>
      <c r="G6" s="1">
        <f>I6+2*$D$27*$D$6</f>
        <v>0</v>
      </c>
      <c r="H6" s="22">
        <f>100-2.058</f>
        <v>97.942000000000007</v>
      </c>
      <c r="I6" s="1">
        <f>H6*$D$20</f>
        <v>0</v>
      </c>
      <c r="J6" s="1"/>
      <c r="K6" s="1"/>
      <c r="L6" s="1"/>
      <c r="M6" s="1"/>
      <c r="N6" s="1"/>
      <c r="O6" s="1"/>
      <c r="P6" s="1"/>
      <c r="Q6" s="1"/>
      <c r="R6" s="1"/>
      <c r="S6" s="1"/>
      <c r="T6" s="1"/>
      <c r="U6" s="1"/>
    </row>
    <row r="7" spans="2:21">
      <c r="B7" s="112" t="s">
        <v>653</v>
      </c>
      <c r="C7" s="22">
        <v>0.25</v>
      </c>
      <c r="D7" s="22">
        <v>0.16250000000000001</v>
      </c>
      <c r="E7" s="22">
        <v>0.32</v>
      </c>
      <c r="F7" s="1">
        <f>H7+2*$D$27*$C$6</f>
        <v>73.456500000000005</v>
      </c>
      <c r="G7" s="1">
        <f>I7+2*$D$27*$D$6</f>
        <v>0</v>
      </c>
      <c r="H7" s="1">
        <f>H6-$F$6*(C7-C6)</f>
        <v>73.456500000000005</v>
      </c>
      <c r="I7" s="1">
        <f>H7*$D$20</f>
        <v>0</v>
      </c>
      <c r="J7" s="1">
        <f>L7+2*$D$27*$C$7</f>
        <v>97.942000000000007</v>
      </c>
      <c r="K7" s="1">
        <f>M7+2*$D$27*$D$7</f>
        <v>0</v>
      </c>
      <c r="L7" s="22">
        <f>100-2.058</f>
        <v>97.942000000000007</v>
      </c>
      <c r="M7" s="1">
        <f>L7*$D$19</f>
        <v>0</v>
      </c>
      <c r="N7" s="1">
        <f>P7+2*$D$27*$C$8</f>
        <v>97.942000000000007</v>
      </c>
      <c r="O7" s="1">
        <f>Q7+2*$D$27*$D$8</f>
        <v>0</v>
      </c>
      <c r="P7" s="22">
        <f>100-2.058</f>
        <v>97.942000000000007</v>
      </c>
      <c r="Q7" s="1">
        <f>P7*$D$19</f>
        <v>0</v>
      </c>
      <c r="R7" s="1"/>
      <c r="S7" s="1"/>
      <c r="T7" s="1"/>
      <c r="U7" s="1"/>
    </row>
    <row r="8" spans="2:21">
      <c r="B8" s="112" t="s">
        <v>654</v>
      </c>
      <c r="C8" s="22">
        <v>0.45</v>
      </c>
      <c r="D8" s="22">
        <v>0</v>
      </c>
      <c r="E8" s="22">
        <v>0.32</v>
      </c>
      <c r="F8" s="1"/>
      <c r="G8" s="1"/>
      <c r="H8" s="1"/>
      <c r="I8" s="1"/>
      <c r="J8" s="1"/>
      <c r="K8" s="1"/>
      <c r="L8" s="1"/>
      <c r="M8" s="1"/>
      <c r="N8" s="1">
        <f>P8+2*$D$27*$C$8</f>
        <v>97.942000000000007</v>
      </c>
      <c r="O8" s="1">
        <f>Q8+2*$D$27*$D$8</f>
        <v>0</v>
      </c>
      <c r="P8" s="1">
        <f>P7-$F$8*(C8-C7)</f>
        <v>97.942000000000007</v>
      </c>
      <c r="Q8" s="1">
        <f>P8*$D$19</f>
        <v>0</v>
      </c>
      <c r="R8" s="1">
        <f>T8+2*$D$27*$C$9</f>
        <v>105</v>
      </c>
      <c r="S8" s="1">
        <f>U8+2*$D$27*$D$9</f>
        <v>0</v>
      </c>
      <c r="T8" s="22">
        <v>105</v>
      </c>
      <c r="U8" s="1">
        <f>T8*$D$19</f>
        <v>0</v>
      </c>
    </row>
    <row r="9" spans="2:21">
      <c r="B9" s="112" t="s">
        <v>655</v>
      </c>
      <c r="C9" s="22">
        <v>0.85</v>
      </c>
      <c r="D9" s="22">
        <v>0</v>
      </c>
      <c r="E9" s="22">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12" t="s">
        <v>656</v>
      </c>
      <c r="C10" s="22">
        <v>3.2</v>
      </c>
      <c r="D10" s="22">
        <v>0</v>
      </c>
      <c r="E10" s="22">
        <v>0.32</v>
      </c>
      <c r="F10" s="1"/>
      <c r="G10" s="1"/>
      <c r="H10" s="1"/>
      <c r="I10" s="1"/>
      <c r="J10" s="1"/>
      <c r="K10" s="1"/>
      <c r="L10" s="1"/>
      <c r="M10" s="1"/>
      <c r="N10" s="1"/>
      <c r="O10" s="1"/>
      <c r="P10" s="1"/>
      <c r="Q10" s="1"/>
      <c r="R10" s="1">
        <f>T10+2*$D$27*$C$9</f>
        <v>105</v>
      </c>
      <c r="S10" s="1">
        <f>U10+2*$D$27*$D$9</f>
        <v>0</v>
      </c>
      <c r="T10" s="1">
        <f>T9-$F$9*(C10-C9)</f>
        <v>105</v>
      </c>
      <c r="U10" s="1">
        <f>T10*$D$19</f>
        <v>0</v>
      </c>
    </row>
    <row r="12" spans="2:21">
      <c r="L12" t="s">
        <v>1245</v>
      </c>
    </row>
    <row r="13" spans="2:21">
      <c r="L13" t="s">
        <v>1097</v>
      </c>
      <c r="M13" t="s">
        <v>9</v>
      </c>
      <c r="N13" t="s">
        <v>1249</v>
      </c>
      <c r="O13" t="s">
        <v>1248</v>
      </c>
      <c r="P13" t="s">
        <v>1250</v>
      </c>
      <c r="Q13" t="s">
        <v>1251</v>
      </c>
    </row>
    <row r="14" spans="2:21">
      <c r="K14" t="s">
        <v>1247</v>
      </c>
      <c r="L14">
        <v>0</v>
      </c>
      <c r="M14">
        <f>O14-0.35</f>
        <v>2.46</v>
      </c>
      <c r="N14">
        <f>O14-0.235</f>
        <v>2.5750000000000002</v>
      </c>
      <c r="O14">
        <v>2.81</v>
      </c>
      <c r="P14">
        <f>Q14-0.87</f>
        <v>2.83</v>
      </c>
      <c r="Q14">
        <v>3.7</v>
      </c>
    </row>
    <row r="15" spans="2:21">
      <c r="K15" t="s">
        <v>1246</v>
      </c>
      <c r="L15" s="3">
        <f>L14+$C$8</f>
        <v>0.45</v>
      </c>
      <c r="M15" s="3">
        <f t="shared" ref="M15:Q15" si="0">M14+$C$8</f>
        <v>2.91</v>
      </c>
      <c r="N15" s="3">
        <f t="shared" si="0"/>
        <v>3.0250000000000004</v>
      </c>
      <c r="O15" s="3">
        <f t="shared" si="0"/>
        <v>3.2600000000000002</v>
      </c>
      <c r="P15" s="3">
        <f t="shared" si="0"/>
        <v>3.2800000000000002</v>
      </c>
      <c r="Q15" s="3">
        <f t="shared" si="0"/>
        <v>4.1500000000000004</v>
      </c>
    </row>
    <row r="17" spans="2:27">
      <c r="Q17">
        <f>(P15+Q15)/2</f>
        <v>3.7150000000000003</v>
      </c>
    </row>
    <row r="21" spans="2:27">
      <c r="N21">
        <f>DEGREES(ATAN(0.54/4.15))</f>
        <v>7.4137004062125156</v>
      </c>
    </row>
    <row r="22" spans="2:27">
      <c r="N22">
        <f>4.15*TAN(RADIANS(5))</f>
        <v>0.36307795363258466</v>
      </c>
    </row>
    <row r="23" spans="2:27">
      <c r="N23">
        <f>DEGREES(ATAN(4/1000))</f>
        <v>0.22918189575410042</v>
      </c>
    </row>
    <row r="26" spans="2:27">
      <c r="B26" t="s">
        <v>790</v>
      </c>
    </row>
    <row r="28" spans="2:27">
      <c r="B28" s="38" t="s">
        <v>685</v>
      </c>
      <c r="C28" s="38" t="s">
        <v>783</v>
      </c>
      <c r="D28" s="38" t="s">
        <v>796</v>
      </c>
      <c r="E28" s="38" t="s">
        <v>791</v>
      </c>
    </row>
    <row r="29" spans="2:27">
      <c r="B29" s="35" t="s">
        <v>45</v>
      </c>
      <c r="C29" s="35" t="s">
        <v>37</v>
      </c>
      <c r="D29" s="35" t="s">
        <v>37</v>
      </c>
      <c r="E29" s="35" t="s">
        <v>36</v>
      </c>
    </row>
    <row r="30" spans="2:27">
      <c r="B30" s="134" t="s">
        <v>527</v>
      </c>
      <c r="C30" s="134">
        <v>0</v>
      </c>
      <c r="D30" s="134">
        <v>0</v>
      </c>
      <c r="E30" s="35">
        <v>0</v>
      </c>
    </row>
    <row r="31" spans="2:27">
      <c r="S31" t="s">
        <v>898</v>
      </c>
      <c r="W31" s="3" t="s">
        <v>822</v>
      </c>
      <c r="X31" s="3"/>
      <c r="Y31" s="3"/>
      <c r="Z31" s="3"/>
    </row>
    <row r="32" spans="2:27">
      <c r="B32" s="10" t="s">
        <v>678</v>
      </c>
      <c r="C32" s="10" t="s">
        <v>899</v>
      </c>
      <c r="D32" s="10" t="s">
        <v>629</v>
      </c>
      <c r="E32" s="10" t="s">
        <v>403</v>
      </c>
      <c r="F32" s="10" t="s">
        <v>630</v>
      </c>
      <c r="G32" s="10" t="s">
        <v>792</v>
      </c>
      <c r="H32" s="10" t="s">
        <v>793</v>
      </c>
      <c r="I32" s="10" t="s">
        <v>794</v>
      </c>
      <c r="J32" s="10" t="s">
        <v>795</v>
      </c>
      <c r="K32" s="10" t="s">
        <v>797</v>
      </c>
      <c r="L32" s="10" t="s">
        <v>621</v>
      </c>
      <c r="M32" s="10" t="s">
        <v>798</v>
      </c>
      <c r="N32" s="10"/>
      <c r="O32" s="10" t="s">
        <v>799</v>
      </c>
      <c r="P32" s="10" t="s">
        <v>756</v>
      </c>
      <c r="Q32" s="10" t="s">
        <v>800</v>
      </c>
      <c r="R32" s="10" t="s">
        <v>801</v>
      </c>
      <c r="S32" s="10" t="s">
        <v>802</v>
      </c>
      <c r="T32" s="10" t="s">
        <v>803</v>
      </c>
      <c r="U32" s="10" t="s">
        <v>804</v>
      </c>
      <c r="V32" s="10" t="s">
        <v>805</v>
      </c>
      <c r="W32" s="112" t="s">
        <v>823</v>
      </c>
      <c r="X32" s="112" t="s">
        <v>824</v>
      </c>
      <c r="Y32" s="112" t="s">
        <v>825</v>
      </c>
      <c r="Z32" s="112" t="s">
        <v>826</v>
      </c>
      <c r="AA32" s="112" t="s">
        <v>827</v>
      </c>
    </row>
    <row r="33" spans="2:27">
      <c r="B33" s="1" t="s">
        <v>491</v>
      </c>
      <c r="C33" s="1" t="s">
        <v>45</v>
      </c>
      <c r="D33" s="1" t="s">
        <v>622</v>
      </c>
      <c r="E33" s="1" t="s">
        <v>46</v>
      </c>
      <c r="F33" s="1" t="s">
        <v>46</v>
      </c>
      <c r="G33" s="1" t="s">
        <v>46</v>
      </c>
      <c r="H33" s="1" t="s">
        <v>46</v>
      </c>
      <c r="I33" s="1" t="s">
        <v>46</v>
      </c>
      <c r="J33" s="1" t="s">
        <v>46</v>
      </c>
      <c r="K33" s="1" t="s">
        <v>46</v>
      </c>
      <c r="L33" s="1" t="s">
        <v>627</v>
      </c>
      <c r="M33" s="1" t="s">
        <v>806</v>
      </c>
      <c r="N33" s="1" t="s">
        <v>807</v>
      </c>
      <c r="O33" s="1" t="s">
        <v>808</v>
      </c>
      <c r="P33" s="1" t="s">
        <v>809</v>
      </c>
      <c r="Q33" s="1" t="s">
        <v>810</v>
      </c>
      <c r="R33" s="1" t="s">
        <v>811</v>
      </c>
      <c r="S33" s="1" t="s">
        <v>812</v>
      </c>
      <c r="T33" s="1" t="s">
        <v>813</v>
      </c>
      <c r="U33" s="1" t="s">
        <v>814</v>
      </c>
      <c r="V33" s="1" t="s">
        <v>815</v>
      </c>
      <c r="W33" s="1" t="s">
        <v>828</v>
      </c>
      <c r="X33" s="1" t="s">
        <v>829</v>
      </c>
      <c r="Y33" s="1" t="s">
        <v>830</v>
      </c>
      <c r="Z33" s="1" t="s">
        <v>831</v>
      </c>
      <c r="AA33" s="1" t="s">
        <v>832</v>
      </c>
    </row>
    <row r="34" spans="2:27" ht="20.25" thickBot="1">
      <c r="B34" s="20" t="s">
        <v>5</v>
      </c>
      <c r="C34" s="20" t="s">
        <v>45</v>
      </c>
      <c r="D34" s="20" t="s">
        <v>635</v>
      </c>
      <c r="E34" s="20" t="s">
        <v>635</v>
      </c>
      <c r="F34" s="20" t="s">
        <v>651</v>
      </c>
      <c r="G34" s="20" t="s">
        <v>652</v>
      </c>
      <c r="H34" s="20" t="s">
        <v>652</v>
      </c>
      <c r="I34" s="20" t="s">
        <v>652</v>
      </c>
      <c r="J34" s="20" t="s">
        <v>652</v>
      </c>
      <c r="K34" s="20" t="s">
        <v>45</v>
      </c>
      <c r="L34" s="20" t="s">
        <v>636</v>
      </c>
      <c r="M34" s="20" t="s">
        <v>816</v>
      </c>
      <c r="N34" s="20" t="s">
        <v>816</v>
      </c>
      <c r="O34" s="20" t="s">
        <v>816</v>
      </c>
      <c r="P34" s="20" t="s">
        <v>817</v>
      </c>
      <c r="Q34" s="20" t="s">
        <v>818</v>
      </c>
      <c r="R34" s="20" t="s">
        <v>819</v>
      </c>
      <c r="S34" s="20" t="s">
        <v>820</v>
      </c>
      <c r="T34" s="20" t="s">
        <v>820</v>
      </c>
      <c r="U34" s="20" t="s">
        <v>821</v>
      </c>
      <c r="V34" s="20" t="s">
        <v>821</v>
      </c>
      <c r="W34" s="20" t="s">
        <v>833</v>
      </c>
      <c r="X34" s="20" t="s">
        <v>834</v>
      </c>
      <c r="Y34" s="20" t="s">
        <v>835</v>
      </c>
      <c r="Z34" s="20" t="s">
        <v>833</v>
      </c>
      <c r="AA34" s="20" t="s">
        <v>705</v>
      </c>
    </row>
    <row r="35" spans="2:27" ht="20.25" thickTop="1">
      <c r="B35" s="4">
        <v>0</v>
      </c>
      <c r="C35" s="135" t="s">
        <v>527</v>
      </c>
      <c r="D35" s="113">
        <v>15</v>
      </c>
      <c r="E35" s="113">
        <v>15</v>
      </c>
      <c r="F35" s="113">
        <v>0</v>
      </c>
      <c r="G35" s="135">
        <v>0</v>
      </c>
      <c r="H35" s="135">
        <v>0</v>
      </c>
      <c r="I35" s="113">
        <v>0</v>
      </c>
      <c r="J35" s="113">
        <v>0</v>
      </c>
      <c r="K35" s="113">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5" t="s">
        <v>900</v>
      </c>
      <c r="C40" s="134">
        <v>500</v>
      </c>
      <c r="D40" s="35" t="s">
        <v>819</v>
      </c>
      <c r="F40" s="35" t="s">
        <v>912</v>
      </c>
      <c r="G40" s="35">
        <f>(C38-C39)*(C40-1)+C38</f>
        <v>0</v>
      </c>
      <c r="H40" s="35" t="s">
        <v>819</v>
      </c>
    </row>
    <row r="41" spans="2:27">
      <c r="B41" s="35" t="s">
        <v>901</v>
      </c>
      <c r="C41" s="134">
        <v>40</v>
      </c>
      <c r="D41" s="35" t="s">
        <v>819</v>
      </c>
      <c r="F41" s="35" t="s">
        <v>914</v>
      </c>
      <c r="G41" s="35">
        <f>G40-C41*2</f>
        <v>-80</v>
      </c>
      <c r="H41" s="35" t="s">
        <v>819</v>
      </c>
      <c r="J41" s="1" t="s">
        <v>919</v>
      </c>
      <c r="K41" s="22">
        <v>10</v>
      </c>
      <c r="L41" s="1" t="s">
        <v>819</v>
      </c>
      <c r="Q41" t="s">
        <v>910</v>
      </c>
      <c r="R41" t="s">
        <v>911</v>
      </c>
    </row>
    <row r="42" spans="2:27">
      <c r="B42" s="35" t="s">
        <v>902</v>
      </c>
      <c r="C42" s="134">
        <v>9</v>
      </c>
      <c r="D42" s="35" t="s">
        <v>903</v>
      </c>
      <c r="F42" s="35" t="s">
        <v>916</v>
      </c>
      <c r="G42" s="35">
        <f>(G41-C37)/2</f>
        <v>-40</v>
      </c>
      <c r="H42" s="35" t="s">
        <v>819</v>
      </c>
      <c r="J42" s="1" t="s">
        <v>920</v>
      </c>
      <c r="K42" s="22">
        <v>10</v>
      </c>
      <c r="L42" s="1" t="s">
        <v>819</v>
      </c>
      <c r="O42" t="s">
        <v>913</v>
      </c>
      <c r="P42" s="35" t="s">
        <v>906</v>
      </c>
      <c r="Q42" s="142">
        <f>G38</f>
        <v>0</v>
      </c>
      <c r="R42" s="142">
        <f>Q42+K40*(K37+K38)*2</f>
        <v>0</v>
      </c>
    </row>
    <row r="43" spans="2:27">
      <c r="B43" s="35" t="s">
        <v>904</v>
      </c>
      <c r="C43" s="134">
        <v>50</v>
      </c>
      <c r="D43" s="35" t="s">
        <v>819</v>
      </c>
      <c r="F43" s="35" t="s">
        <v>922</v>
      </c>
      <c r="G43" s="35"/>
      <c r="H43" s="35" t="s">
        <v>36</v>
      </c>
      <c r="J43" s="1" t="s">
        <v>921</v>
      </c>
      <c r="K43" s="28">
        <v>1000</v>
      </c>
      <c r="L43" s="1" t="s">
        <v>819</v>
      </c>
      <c r="P43" s="35" t="s">
        <v>915</v>
      </c>
      <c r="Q43" s="142">
        <f>G38*G37</f>
        <v>0</v>
      </c>
      <c r="R43" s="142">
        <f>Q43+K40*K37*2</f>
        <v>0</v>
      </c>
    </row>
    <row r="44" spans="2:27">
      <c r="P44" s="35" t="s">
        <v>917</v>
      </c>
      <c r="Q44" s="142">
        <f>G39</f>
        <v>0</v>
      </c>
      <c r="R44" s="142">
        <f>Q44+K40*(K37+K38)*2</f>
        <v>0</v>
      </c>
    </row>
    <row r="45" spans="2:27">
      <c r="P45" s="35" t="s">
        <v>909</v>
      </c>
      <c r="Q45" s="142">
        <f>G39*G37</f>
        <v>0</v>
      </c>
      <c r="R45" s="142">
        <f>Q45+K40*K37*2</f>
        <v>0</v>
      </c>
    </row>
    <row r="46" spans="2:27">
      <c r="B46" s="38" t="s">
        <v>905</v>
      </c>
      <c r="C46" s="38">
        <v>1</v>
      </c>
      <c r="D46" s="38">
        <v>2</v>
      </c>
      <c r="E46" s="38">
        <v>3</v>
      </c>
      <c r="F46" s="38">
        <v>4</v>
      </c>
      <c r="G46" s="38">
        <v>5</v>
      </c>
      <c r="H46" s="38">
        <v>6</v>
      </c>
      <c r="I46" s="38">
        <v>7</v>
      </c>
      <c r="J46" s="38">
        <v>8</v>
      </c>
      <c r="K46" s="38">
        <v>9</v>
      </c>
      <c r="L46" s="38"/>
      <c r="M46" s="38"/>
      <c r="O46" t="s">
        <v>918</v>
      </c>
      <c r="P46" s="35" t="s">
        <v>906</v>
      </c>
      <c r="Q46" s="142" t="e">
        <f>C47-#REF!*C41</f>
        <v>#REF!</v>
      </c>
      <c r="R46" s="142" t="e">
        <f>Q46+K40*(K37+K38)*2</f>
        <v>#REF!</v>
      </c>
    </row>
    <row r="47" spans="2:27">
      <c r="B47" s="38" t="s">
        <v>906</v>
      </c>
      <c r="C47" s="141" t="e">
        <f>G38+$G$7*(#REF!-$C$4)/2</f>
        <v>#REF!</v>
      </c>
      <c r="D47" s="141" t="e">
        <f t="shared" ref="D47:K47" si="1">C49+$G$7*$C$6</f>
        <v>#REF!</v>
      </c>
      <c r="E47" s="141" t="e">
        <f t="shared" si="1"/>
        <v>#REF!</v>
      </c>
      <c r="F47" s="141" t="e">
        <f t="shared" si="1"/>
        <v>#REF!</v>
      </c>
      <c r="G47" s="141" t="e">
        <f t="shared" si="1"/>
        <v>#REF!</v>
      </c>
      <c r="H47" s="141" t="e">
        <f t="shared" si="1"/>
        <v>#REF!</v>
      </c>
      <c r="I47" s="141" t="e">
        <f t="shared" si="1"/>
        <v>#REF!</v>
      </c>
      <c r="J47" s="141" t="e">
        <f t="shared" si="1"/>
        <v>#REF!</v>
      </c>
      <c r="K47" s="141" t="e">
        <f t="shared" si="1"/>
        <v>#REF!</v>
      </c>
      <c r="L47" s="141"/>
      <c r="M47" s="141"/>
      <c r="P47" s="35" t="s">
        <v>915</v>
      </c>
      <c r="Q47" s="142" t="e">
        <f>Q46*G37</f>
        <v>#REF!</v>
      </c>
      <c r="R47" s="142" t="e">
        <f>Q47+K40*K37*2</f>
        <v>#REF!</v>
      </c>
    </row>
    <row r="48" spans="2:27">
      <c r="B48" s="38" t="s">
        <v>907</v>
      </c>
      <c r="C48" s="141" t="e">
        <f>C47*G37</f>
        <v>#REF!</v>
      </c>
      <c r="D48" s="141" t="e">
        <f t="shared" ref="D48:K48" si="2">D47*$G$4</f>
        <v>#REF!</v>
      </c>
      <c r="E48" s="141" t="e">
        <f t="shared" si="2"/>
        <v>#REF!</v>
      </c>
      <c r="F48" s="141" t="e">
        <f t="shared" si="2"/>
        <v>#REF!</v>
      </c>
      <c r="G48" s="141" t="e">
        <f t="shared" si="2"/>
        <v>#REF!</v>
      </c>
      <c r="H48" s="141" t="e">
        <f t="shared" si="2"/>
        <v>#REF!</v>
      </c>
      <c r="I48" s="141" t="e">
        <f t="shared" si="2"/>
        <v>#REF!</v>
      </c>
      <c r="J48" s="141" t="e">
        <f t="shared" si="2"/>
        <v>#REF!</v>
      </c>
      <c r="K48" s="141" t="e">
        <f t="shared" si="2"/>
        <v>#REF!</v>
      </c>
      <c r="L48" s="141"/>
      <c r="M48" s="141"/>
      <c r="P48" s="35" t="s">
        <v>917</v>
      </c>
      <c r="Q48" s="142" t="e">
        <f>J49+C41*#REF!</f>
        <v>#REF!</v>
      </c>
      <c r="R48" s="142" t="e">
        <f>Q48+K40*(K37+K38)*2</f>
        <v>#REF!</v>
      </c>
    </row>
    <row r="49" spans="2:18">
      <c r="B49" s="38" t="s">
        <v>908</v>
      </c>
      <c r="C49" s="141" t="e">
        <f t="shared" ref="C49:K49" si="3">C47-$G$7*$C$5</f>
        <v>#REF!</v>
      </c>
      <c r="D49" s="141" t="e">
        <f t="shared" si="3"/>
        <v>#REF!</v>
      </c>
      <c r="E49" s="141" t="e">
        <f t="shared" si="3"/>
        <v>#REF!</v>
      </c>
      <c r="F49" s="141" t="e">
        <f t="shared" si="3"/>
        <v>#REF!</v>
      </c>
      <c r="G49" s="141" t="e">
        <f t="shared" si="3"/>
        <v>#REF!</v>
      </c>
      <c r="H49" s="141" t="e">
        <f t="shared" si="3"/>
        <v>#REF!</v>
      </c>
      <c r="I49" s="141" t="e">
        <f t="shared" si="3"/>
        <v>#REF!</v>
      </c>
      <c r="J49" s="141" t="e">
        <f t="shared" si="3"/>
        <v>#REF!</v>
      </c>
      <c r="K49" s="141" t="e">
        <f t="shared" si="3"/>
        <v>#REF!</v>
      </c>
      <c r="L49" s="141"/>
      <c r="M49" s="141"/>
      <c r="P49" s="35" t="s">
        <v>909</v>
      </c>
      <c r="Q49" s="142" t="e">
        <f>Q48*G37</f>
        <v>#REF!</v>
      </c>
      <c r="R49" s="142" t="e">
        <f>Q49+K40*K37*2</f>
        <v>#REF!</v>
      </c>
    </row>
    <row r="50" spans="2:18">
      <c r="B50" s="38" t="s">
        <v>909</v>
      </c>
      <c r="C50" s="141" t="e">
        <f t="shared" ref="C50:K50" si="4">C49*$G$4</f>
        <v>#REF!</v>
      </c>
      <c r="D50" s="141" t="e">
        <f t="shared" si="4"/>
        <v>#REF!</v>
      </c>
      <c r="E50" s="141" t="e">
        <f t="shared" si="4"/>
        <v>#REF!</v>
      </c>
      <c r="F50" s="141" t="e">
        <f t="shared" si="4"/>
        <v>#REF!</v>
      </c>
      <c r="G50" s="141" t="e">
        <f t="shared" si="4"/>
        <v>#REF!</v>
      </c>
      <c r="H50" s="141" t="e">
        <f t="shared" si="4"/>
        <v>#REF!</v>
      </c>
      <c r="I50" s="141" t="e">
        <f t="shared" si="4"/>
        <v>#REF!</v>
      </c>
      <c r="J50" s="141" t="e">
        <f t="shared" si="4"/>
        <v>#REF!</v>
      </c>
      <c r="K50" s="141" t="e">
        <f t="shared" si="4"/>
        <v>#REF!</v>
      </c>
      <c r="L50" s="141"/>
      <c r="M50" s="141"/>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A1:AV1288"/>
  <sheetViews>
    <sheetView zoomScale="55" zoomScaleNormal="55" workbookViewId="0">
      <selection activeCell="M53" sqref="M53"/>
    </sheetView>
  </sheetViews>
  <sheetFormatPr defaultColWidth="11.5546875" defaultRowHeight="19.5"/>
  <cols>
    <col min="1" max="1" width="11.5546875" customWidth="1"/>
    <col min="2" max="2" width="11.44140625" customWidth="1"/>
    <col min="3" max="5" width="11.5546875" customWidth="1"/>
    <col min="32" max="32" width="11.5546875" style="214"/>
    <col min="34" max="34" width="11.5546875" style="3"/>
  </cols>
  <sheetData>
    <row r="1" spans="2:48">
      <c r="Y1" s="214"/>
      <c r="AA1" s="3"/>
      <c r="AF1"/>
      <c r="AH1"/>
    </row>
    <row r="2" spans="2:48">
      <c r="B2" s="3"/>
      <c r="C2" s="3"/>
      <c r="D2" t="s">
        <v>923</v>
      </c>
      <c r="F2" s="3" t="s">
        <v>891</v>
      </c>
      <c r="G2" s="3"/>
      <c r="H2" s="3"/>
      <c r="I2" s="3"/>
      <c r="J2" s="3" t="s">
        <v>892</v>
      </c>
      <c r="K2" s="3"/>
      <c r="L2" s="3"/>
      <c r="M2" s="3"/>
      <c r="N2" s="3" t="s">
        <v>893</v>
      </c>
      <c r="O2" s="3"/>
      <c r="P2" s="3"/>
      <c r="Q2" s="3"/>
      <c r="R2" s="3" t="s">
        <v>894</v>
      </c>
      <c r="S2" s="3"/>
      <c r="T2" s="3"/>
      <c r="U2" s="3"/>
      <c r="X2" t="s">
        <v>1194</v>
      </c>
      <c r="Y2" s="214"/>
      <c r="AA2" s="3"/>
      <c r="AF2"/>
      <c r="AH2"/>
    </row>
    <row r="3" spans="2:48">
      <c r="B3" s="10"/>
      <c r="C3" s="12" t="s">
        <v>895</v>
      </c>
      <c r="D3" s="13" t="s">
        <v>686</v>
      </c>
      <c r="E3" s="44" t="s">
        <v>687</v>
      </c>
      <c r="F3" s="14" t="s">
        <v>792</v>
      </c>
      <c r="G3" s="10" t="s">
        <v>793</v>
      </c>
      <c r="H3" s="10" t="s">
        <v>794</v>
      </c>
      <c r="I3" s="44" t="s">
        <v>795</v>
      </c>
      <c r="J3" s="14" t="s">
        <v>792</v>
      </c>
      <c r="K3" s="10" t="s">
        <v>793</v>
      </c>
      <c r="L3" s="10" t="s">
        <v>794</v>
      </c>
      <c r="M3" s="44" t="s">
        <v>795</v>
      </c>
      <c r="N3" s="14" t="s">
        <v>792</v>
      </c>
      <c r="O3" s="10" t="s">
        <v>793</v>
      </c>
      <c r="P3" s="10" t="s">
        <v>794</v>
      </c>
      <c r="Q3" s="44" t="s">
        <v>795</v>
      </c>
      <c r="R3" s="14" t="s">
        <v>792</v>
      </c>
      <c r="S3" s="10" t="s">
        <v>793</v>
      </c>
      <c r="T3" s="10" t="s">
        <v>794</v>
      </c>
      <c r="U3" s="10" t="s">
        <v>795</v>
      </c>
      <c r="X3" s="10" t="s">
        <v>1068</v>
      </c>
      <c r="Y3" s="215" t="s">
        <v>1114</v>
      </c>
      <c r="Z3" s="10" t="s">
        <v>1049</v>
      </c>
      <c r="AA3" s="10" t="s">
        <v>1113</v>
      </c>
      <c r="AB3" s="10" t="s">
        <v>1115</v>
      </c>
      <c r="AC3" s="10" t="s">
        <v>1116</v>
      </c>
      <c r="AD3" s="10" t="s">
        <v>1117</v>
      </c>
      <c r="AE3" s="10" t="s">
        <v>1118</v>
      </c>
      <c r="AF3" s="10" t="s">
        <v>1119</v>
      </c>
      <c r="AG3" s="10" t="s">
        <v>1042</v>
      </c>
      <c r="AH3" s="10" t="s">
        <v>1120</v>
      </c>
      <c r="AI3" s="10" t="s">
        <v>1121</v>
      </c>
      <c r="AJ3" s="10" t="s">
        <v>1122</v>
      </c>
      <c r="AK3" s="10" t="s">
        <v>1123</v>
      </c>
      <c r="AL3" s="10" t="s">
        <v>1124</v>
      </c>
      <c r="AM3" s="10" t="s">
        <v>1125</v>
      </c>
      <c r="AN3" s="10" t="s">
        <v>1126</v>
      </c>
      <c r="AO3" s="10" t="s">
        <v>1127</v>
      </c>
      <c r="AP3" s="10" t="s">
        <v>1128</v>
      </c>
      <c r="AQ3" s="112" t="s">
        <v>1129</v>
      </c>
      <c r="AR3" s="112" t="s">
        <v>1130</v>
      </c>
      <c r="AS3" s="112" t="s">
        <v>1131</v>
      </c>
      <c r="AT3" s="112" t="s">
        <v>1001</v>
      </c>
      <c r="AU3" s="112" t="s">
        <v>1132</v>
      </c>
      <c r="AV3" s="112" t="s">
        <v>1133</v>
      </c>
    </row>
    <row r="4" spans="2:48">
      <c r="B4" s="10"/>
      <c r="C4" s="9" t="s">
        <v>896</v>
      </c>
      <c r="D4" s="71" t="s">
        <v>1043</v>
      </c>
      <c r="E4" s="70" t="s">
        <v>1044</v>
      </c>
      <c r="F4" s="23" t="s">
        <v>1045</v>
      </c>
      <c r="G4" s="1" t="s">
        <v>1048</v>
      </c>
      <c r="H4" s="1" t="s">
        <v>1047</v>
      </c>
      <c r="I4" s="70" t="s">
        <v>1046</v>
      </c>
      <c r="J4" s="23" t="s">
        <v>1045</v>
      </c>
      <c r="K4" s="1" t="s">
        <v>1048</v>
      </c>
      <c r="L4" s="1" t="s">
        <v>1047</v>
      </c>
      <c r="M4" s="70" t="s">
        <v>1046</v>
      </c>
      <c r="N4" s="23" t="s">
        <v>1045</v>
      </c>
      <c r="O4" s="1" t="s">
        <v>1048</v>
      </c>
      <c r="P4" s="1" t="s">
        <v>1047</v>
      </c>
      <c r="Q4" s="70" t="s">
        <v>1046</v>
      </c>
      <c r="R4" s="23" t="s">
        <v>1045</v>
      </c>
      <c r="S4" s="1" t="s">
        <v>1048</v>
      </c>
      <c r="T4" s="1" t="s">
        <v>1047</v>
      </c>
      <c r="U4" s="1" t="s">
        <v>1046</v>
      </c>
      <c r="X4" s="1" t="s">
        <v>60</v>
      </c>
      <c r="Y4" s="216" t="s">
        <v>622</v>
      </c>
      <c r="Z4" s="1" t="s">
        <v>46</v>
      </c>
      <c r="AA4" s="2" t="s">
        <v>46</v>
      </c>
      <c r="AB4" s="1" t="s">
        <v>1107</v>
      </c>
      <c r="AC4" s="1" t="s">
        <v>1108</v>
      </c>
      <c r="AD4" s="1" t="s">
        <v>1109</v>
      </c>
      <c r="AE4" s="1" t="s">
        <v>1110</v>
      </c>
      <c r="AF4" s="1" t="s">
        <v>1050</v>
      </c>
      <c r="AG4" s="1" t="s">
        <v>1051</v>
      </c>
      <c r="AH4" s="1" t="s">
        <v>1052</v>
      </c>
      <c r="AI4" s="1" t="s">
        <v>1053</v>
      </c>
      <c r="AJ4" s="1" t="s">
        <v>1054</v>
      </c>
      <c r="AK4" s="1" t="s">
        <v>491</v>
      </c>
      <c r="AL4" s="1" t="s">
        <v>1055</v>
      </c>
      <c r="AM4" s="1" t="s">
        <v>588</v>
      </c>
      <c r="AN4" s="1" t="s">
        <v>1056</v>
      </c>
      <c r="AO4" s="1" t="s">
        <v>1057</v>
      </c>
      <c r="AP4" s="1" t="s">
        <v>46</v>
      </c>
      <c r="AQ4" s="1" t="s">
        <v>1058</v>
      </c>
      <c r="AR4" s="1" t="s">
        <v>21</v>
      </c>
      <c r="AS4" s="1" t="s">
        <v>1059</v>
      </c>
      <c r="AT4" s="1" t="s">
        <v>587</v>
      </c>
      <c r="AU4" s="1" t="s">
        <v>1060</v>
      </c>
      <c r="AV4" s="1" t="s">
        <v>46</v>
      </c>
    </row>
    <row r="5" spans="2:48" ht="20.25" thickBot="1">
      <c r="B5" s="10"/>
      <c r="C5" s="9" t="s">
        <v>706</v>
      </c>
      <c r="D5" s="71" t="s">
        <v>819</v>
      </c>
      <c r="E5" s="70" t="s">
        <v>819</v>
      </c>
      <c r="F5" s="23" t="s">
        <v>819</v>
      </c>
      <c r="G5" s="1" t="s">
        <v>819</v>
      </c>
      <c r="H5" s="1" t="s">
        <v>819</v>
      </c>
      <c r="I5" s="70" t="s">
        <v>819</v>
      </c>
      <c r="J5" s="23" t="s">
        <v>819</v>
      </c>
      <c r="K5" s="1" t="s">
        <v>819</v>
      </c>
      <c r="L5" s="1" t="s">
        <v>819</v>
      </c>
      <c r="M5" s="70" t="s">
        <v>819</v>
      </c>
      <c r="N5" s="23" t="s">
        <v>819</v>
      </c>
      <c r="O5" s="1" t="s">
        <v>819</v>
      </c>
      <c r="P5" s="1" t="s">
        <v>819</v>
      </c>
      <c r="Q5" s="70" t="s">
        <v>819</v>
      </c>
      <c r="R5" s="23" t="s">
        <v>819</v>
      </c>
      <c r="S5" s="1" t="s">
        <v>819</v>
      </c>
      <c r="T5" s="1" t="s">
        <v>819</v>
      </c>
      <c r="U5" s="1" t="s">
        <v>819</v>
      </c>
      <c r="X5" s="20" t="s">
        <v>62</v>
      </c>
      <c r="Y5" s="217" t="s">
        <v>46</v>
      </c>
      <c r="Z5" s="20" t="s">
        <v>46</v>
      </c>
      <c r="AA5" s="20" t="s">
        <v>5</v>
      </c>
      <c r="AB5" s="20" t="s">
        <v>1030</v>
      </c>
      <c r="AC5" s="20" t="s">
        <v>1030</v>
      </c>
      <c r="AD5" s="20" t="s">
        <v>1030</v>
      </c>
      <c r="AE5" s="20" t="s">
        <v>1030</v>
      </c>
      <c r="AF5" s="20" t="s">
        <v>1061</v>
      </c>
      <c r="AG5" s="20" t="s">
        <v>1061</v>
      </c>
      <c r="AH5" s="20" t="s">
        <v>1061</v>
      </c>
      <c r="AI5" s="20" t="s">
        <v>1062</v>
      </c>
      <c r="AJ5" s="20" t="s">
        <v>1063</v>
      </c>
      <c r="AK5" s="20" t="s">
        <v>1030</v>
      </c>
      <c r="AL5" s="20" t="s">
        <v>116</v>
      </c>
      <c r="AM5" s="20" t="s">
        <v>116</v>
      </c>
      <c r="AN5" s="20" t="s">
        <v>1064</v>
      </c>
      <c r="AO5" s="20" t="s">
        <v>1064</v>
      </c>
      <c r="AP5" s="20" t="s">
        <v>1030</v>
      </c>
      <c r="AQ5" s="20" t="s">
        <v>1065</v>
      </c>
      <c r="AR5" s="20" t="s">
        <v>1066</v>
      </c>
      <c r="AS5" s="20" t="s">
        <v>1067</v>
      </c>
      <c r="AT5" s="20" t="s">
        <v>1065</v>
      </c>
      <c r="AU5" s="20" t="s">
        <v>46</v>
      </c>
      <c r="AV5" s="20" t="s">
        <v>6</v>
      </c>
    </row>
    <row r="6" spans="2:48" ht="20.25" thickTop="1">
      <c r="B6" s="10" t="s">
        <v>680</v>
      </c>
      <c r="C6" s="9">
        <v>0</v>
      </c>
      <c r="D6" s="71"/>
      <c r="E6" s="70"/>
      <c r="F6" s="237">
        <v>110</v>
      </c>
      <c r="G6" s="1">
        <f>F6*($C$21*($C6-$C$6)+$C$20*($C$8-$C6))/($C$8-$C$6)</f>
        <v>110</v>
      </c>
      <c r="H6" s="1">
        <f t="shared" ref="H6:I8" si="0">F6+D$20*2</f>
        <v>113.39</v>
      </c>
      <c r="I6" s="70">
        <f t="shared" si="0"/>
        <v>113.39</v>
      </c>
      <c r="J6" s="23"/>
      <c r="K6" s="1"/>
      <c r="L6" s="1"/>
      <c r="M6" s="70"/>
      <c r="N6" s="23"/>
      <c r="O6" s="1"/>
      <c r="P6" s="1"/>
      <c r="Q6" s="70"/>
      <c r="R6" s="23"/>
      <c r="S6" s="1"/>
      <c r="T6" s="1"/>
      <c r="U6" s="1"/>
      <c r="X6" s="2" t="s">
        <v>61</v>
      </c>
      <c r="Y6" s="218">
        <v>0</v>
      </c>
      <c r="Z6" s="113" t="str">
        <f t="shared" ref="Z6:Z37" si="1">IF(AA6&lt;$C$7,"0",IF(AA6&lt;$C$8,"0-1接合",IF(AA6&lt;$C$9,"1",IF(AA6&lt;$C$10,"1-2接合",IF(AA6&lt;$C$11,"2",IF(AA6&lt;$C$12,"2-3接合",IF(AA6&lt;$C$13,"3","ウィングレット")))))))</f>
        <v>0</v>
      </c>
      <c r="AA6" s="85">
        <f>VLOOKUP(Y6,主翼!B51:C150,2)</f>
        <v>0</v>
      </c>
      <c r="AB6" s="199">
        <v>55</v>
      </c>
      <c r="AC6" s="199">
        <v>55</v>
      </c>
      <c r="AD6" s="199">
        <v>56.695</v>
      </c>
      <c r="AE6" s="199">
        <v>56.695</v>
      </c>
      <c r="AF6" s="197">
        <v>927564.33127605473</v>
      </c>
      <c r="AG6" s="197">
        <v>927564.3312760609</v>
      </c>
      <c r="AH6" s="197">
        <v>1855128.6642813568</v>
      </c>
      <c r="AI6" s="198">
        <v>594.79397672067023</v>
      </c>
      <c r="AJ6" s="198">
        <v>9798.4492207984258</v>
      </c>
      <c r="AK6" s="199">
        <v>350.91090072022854</v>
      </c>
      <c r="AL6" s="86">
        <v>128.54669117765229</v>
      </c>
      <c r="AM6" s="199">
        <v>16.301557051223895</v>
      </c>
      <c r="AN6" s="27">
        <f>AL6*AF6*10^-3</f>
        <v>119235.32563994858</v>
      </c>
      <c r="AO6" s="200">
        <f>AM6*AH6*10^-3</f>
        <v>30241.485758143321</v>
      </c>
      <c r="AP6" s="2">
        <f>主翼!K51</f>
        <v>10</v>
      </c>
      <c r="AQ6" s="113"/>
      <c r="AR6" s="113"/>
      <c r="AS6" s="113"/>
      <c r="AT6" s="113"/>
      <c r="AU6" s="2"/>
      <c r="AV6" s="2">
        <f>AI6*AA6*10^-6*$P$17</f>
        <v>0</v>
      </c>
    </row>
    <row r="7" spans="2:48">
      <c r="B7" s="10" t="s">
        <v>897</v>
      </c>
      <c r="C7" s="292">
        <f>C8-J20</f>
        <v>1.4</v>
      </c>
      <c r="D7" s="71">
        <f>(J7-H7)/2</f>
        <v>2.0549999999999997</v>
      </c>
      <c r="E7" s="70">
        <f>(K7-I7)/2</f>
        <v>3.2887500000000003</v>
      </c>
      <c r="F7" s="23">
        <f>$F$6-$G$20*$C7</f>
        <v>110</v>
      </c>
      <c r="G7" s="1">
        <f>F7*($C$21*($C7-$C$6)+$C$20*($C$8-$C7))/($C$8-$C$6)</f>
        <v>110</v>
      </c>
      <c r="H7" s="1">
        <f t="shared" si="0"/>
        <v>113.39</v>
      </c>
      <c r="I7" s="70">
        <f t="shared" si="0"/>
        <v>113.39</v>
      </c>
      <c r="J7" s="237">
        <v>117.5</v>
      </c>
      <c r="K7" s="1">
        <f>$J7*($C$23*($C7-$C$7)+$C$22*($C$10-$C7))/($C$10-$C$7)</f>
        <v>119.9675</v>
      </c>
      <c r="L7" s="1">
        <f>J7+2*$D$22</f>
        <v>121.91</v>
      </c>
      <c r="M7" s="70">
        <f>K7+2*$E$22</f>
        <v>122.31950000000001</v>
      </c>
      <c r="N7" s="23"/>
      <c r="O7" s="1"/>
      <c r="P7" s="1"/>
      <c r="Q7" s="70"/>
      <c r="R7" s="23"/>
      <c r="S7" s="1"/>
      <c r="T7" s="1"/>
      <c r="U7" s="1"/>
      <c r="X7" s="1"/>
      <c r="Y7" s="218">
        <v>1</v>
      </c>
      <c r="Z7" s="113" t="str">
        <f t="shared" si="1"/>
        <v>0</v>
      </c>
      <c r="AA7" s="85">
        <f>VLOOKUP(Y7,主翼!B52:C151,2)</f>
        <v>0.8</v>
      </c>
      <c r="AB7" s="86">
        <v>55</v>
      </c>
      <c r="AC7" s="86">
        <v>55</v>
      </c>
      <c r="AD7" s="86">
        <v>56.695</v>
      </c>
      <c r="AE7" s="86">
        <v>56.695</v>
      </c>
      <c r="AF7" s="201">
        <v>927564.33127605473</v>
      </c>
      <c r="AG7" s="201">
        <v>927564.3312760609</v>
      </c>
      <c r="AH7" s="201">
        <v>1855128.6642813568</v>
      </c>
      <c r="AI7" s="202">
        <v>594.79397672067023</v>
      </c>
      <c r="AJ7" s="202">
        <v>9798.4492207984258</v>
      </c>
      <c r="AK7" s="86">
        <v>350.91090072022854</v>
      </c>
      <c r="AL7" s="86">
        <v>128.54669117765229</v>
      </c>
      <c r="AM7" s="199">
        <v>16.301557051223895</v>
      </c>
      <c r="AN7" s="27">
        <f t="shared" ref="AN7:AN65" si="2">AL7*AF7*10^-3</f>
        <v>119235.32563994858</v>
      </c>
      <c r="AO7" s="200">
        <f t="shared" ref="AO7:AO65" si="3">AM7*AH7*10^-3</f>
        <v>30241.485758143321</v>
      </c>
      <c r="AP7" s="2">
        <f>主翼!K52</f>
        <v>0</v>
      </c>
      <c r="AQ7" s="29"/>
      <c r="AR7" s="29"/>
      <c r="AS7" s="29"/>
      <c r="AT7" s="29"/>
      <c r="AU7" s="1"/>
      <c r="AV7" s="2">
        <f>IF((AA7-AA6)&gt;0,(AI6+AI7+SQRT(AI6*AI7))*(AA7-AA6)/3*10^-6*$P$17,0)</f>
        <v>0.71375277206480425</v>
      </c>
    </row>
    <row r="8" spans="2:48">
      <c r="B8" s="10" t="s">
        <v>681</v>
      </c>
      <c r="C8" s="292">
        <f>F20/2</f>
        <v>1.75</v>
      </c>
      <c r="D8" s="71">
        <f>(J8-H8)/2</f>
        <v>0.65500000000000114</v>
      </c>
      <c r="E8" s="70">
        <f>(K8-I8)/2</f>
        <v>1.859349999999985</v>
      </c>
      <c r="F8" s="23">
        <f>$F$6-$G$20*$C8</f>
        <v>110</v>
      </c>
      <c r="G8" s="1">
        <f>F8*($C$21*($C8-$C$6)+$C$20*($C$8-$C8))/($C$8-$C$6)</f>
        <v>110</v>
      </c>
      <c r="H8" s="1">
        <f t="shared" si="0"/>
        <v>113.39</v>
      </c>
      <c r="I8" s="70">
        <f t="shared" si="0"/>
        <v>113.39</v>
      </c>
      <c r="J8" s="23">
        <f>$J$7-$G$22*(C8-$C$7)</f>
        <v>114.7</v>
      </c>
      <c r="K8" s="1">
        <f>$J8*($C$23*($C8-$C$7)+$C$22*($C$10-$C8))/($C$10-$C$7)</f>
        <v>117.10869999999997</v>
      </c>
      <c r="L8" s="1">
        <f>J8+2*$D$22</f>
        <v>119.11</v>
      </c>
      <c r="M8" s="70">
        <f>K8+2*$E$22</f>
        <v>119.46069999999997</v>
      </c>
      <c r="N8" s="23"/>
      <c r="O8" s="1"/>
      <c r="P8" s="1"/>
      <c r="Q8" s="70"/>
      <c r="R8" s="23"/>
      <c r="S8" s="1"/>
      <c r="T8" s="1"/>
      <c r="U8" s="1"/>
      <c r="X8" s="1"/>
      <c r="Y8" s="218">
        <v>2</v>
      </c>
      <c r="Z8" s="113" t="str">
        <f t="shared" si="1"/>
        <v>0</v>
      </c>
      <c r="AA8" s="85">
        <f>VLOOKUP(Y8,主翼!B53:C152,2)</f>
        <v>1</v>
      </c>
      <c r="AB8" s="86">
        <v>55</v>
      </c>
      <c r="AC8" s="86">
        <v>55</v>
      </c>
      <c r="AD8" s="86">
        <v>56.695</v>
      </c>
      <c r="AE8" s="86">
        <v>56.695</v>
      </c>
      <c r="AF8" s="201">
        <v>927564.33127605473</v>
      </c>
      <c r="AG8" s="201">
        <v>927564.3312760609</v>
      </c>
      <c r="AH8" s="201">
        <v>1855128.6642813568</v>
      </c>
      <c r="AI8" s="202">
        <v>594.79397672067023</v>
      </c>
      <c r="AJ8" s="202">
        <v>9798.4492207984258</v>
      </c>
      <c r="AK8" s="86">
        <v>350.91090072022854</v>
      </c>
      <c r="AL8" s="86">
        <v>128.54669117765229</v>
      </c>
      <c r="AM8" s="199">
        <v>16.301557051223895</v>
      </c>
      <c r="AN8" s="27">
        <f t="shared" si="2"/>
        <v>119235.32563994858</v>
      </c>
      <c r="AO8" s="200">
        <f t="shared" si="3"/>
        <v>30241.485758143321</v>
      </c>
      <c r="AP8" s="2">
        <f>主翼!K53</f>
        <v>0</v>
      </c>
      <c r="AQ8" s="29"/>
      <c r="AR8" s="29"/>
      <c r="AS8" s="29"/>
      <c r="AT8" s="29"/>
      <c r="AU8" s="1"/>
      <c r="AV8" s="2">
        <f>IF((AA8-AA7)&gt;0,(AI7+AI8+SQRT(AI7*AI8))*(AA8-AA7)/3*10^-6*$P$17,0)</f>
        <v>0.17843819301620101</v>
      </c>
    </row>
    <row r="9" spans="2:48">
      <c r="B9" s="10" t="s">
        <v>638</v>
      </c>
      <c r="C9" s="292">
        <f>C10-J21</f>
        <v>4.8999999999999995</v>
      </c>
      <c r="D9" s="71">
        <f>(N9-L9)/2</f>
        <v>1.2950000000000017</v>
      </c>
      <c r="E9" s="70">
        <f>(O9-M9)/2</f>
        <v>2.1079999999999899</v>
      </c>
      <c r="F9" s="23"/>
      <c r="G9" s="1"/>
      <c r="H9" s="1"/>
      <c r="I9" s="70"/>
      <c r="J9" s="23">
        <f>$J$7-$G$22*(C9-$C$7)</f>
        <v>89.5</v>
      </c>
      <c r="K9" s="1">
        <f>$J9*($C$23*($C9-$C$7)+$C$22*($C$10-$C9))/($C$10-$C$7)</f>
        <v>91.379499999999993</v>
      </c>
      <c r="L9" s="1">
        <f>J9+2*$D$22</f>
        <v>93.91</v>
      </c>
      <c r="M9" s="70">
        <f>K9+2*$E$22</f>
        <v>93.731499999999997</v>
      </c>
      <c r="N9" s="237">
        <v>96.5</v>
      </c>
      <c r="O9" s="1">
        <f>$N9*($C$25*($C9-$C$9)+$C$24*($C$12-$C9))/($C$12-$C$9)</f>
        <v>97.947499999999977</v>
      </c>
      <c r="P9" s="1">
        <f t="shared" ref="P9:Q12" si="4">N9+2*D$24</f>
        <v>100.02800000000001</v>
      </c>
      <c r="Q9" s="70">
        <f t="shared" si="4"/>
        <v>100.29949999999998</v>
      </c>
      <c r="R9" s="23"/>
      <c r="S9" s="1"/>
      <c r="T9" s="1"/>
      <c r="U9" s="1"/>
      <c r="X9" s="1"/>
      <c r="Y9" s="218">
        <v>3</v>
      </c>
      <c r="Z9" s="113" t="str">
        <f t="shared" si="1"/>
        <v>0</v>
      </c>
      <c r="AA9" s="85">
        <f>VLOOKUP(Y9,主翼!B54:C153,2)</f>
        <v>1.2</v>
      </c>
      <c r="AB9" s="86">
        <v>55</v>
      </c>
      <c r="AC9" s="86">
        <v>55</v>
      </c>
      <c r="AD9" s="86">
        <v>56.695</v>
      </c>
      <c r="AE9" s="86">
        <v>56.695</v>
      </c>
      <c r="AF9" s="201">
        <v>927564.33127605473</v>
      </c>
      <c r="AG9" s="201">
        <v>927564.3312760609</v>
      </c>
      <c r="AH9" s="201">
        <v>1855128.6642813568</v>
      </c>
      <c r="AI9" s="202">
        <v>594.79397672067023</v>
      </c>
      <c r="AJ9" s="202">
        <v>9798.4492207984258</v>
      </c>
      <c r="AK9" s="86">
        <v>350.91090072022854</v>
      </c>
      <c r="AL9" s="86">
        <v>128.54669117765229</v>
      </c>
      <c r="AM9" s="199">
        <v>16.301557051223895</v>
      </c>
      <c r="AN9" s="27">
        <f t="shared" si="2"/>
        <v>119235.32563994858</v>
      </c>
      <c r="AO9" s="200">
        <f t="shared" si="3"/>
        <v>30241.485758143321</v>
      </c>
      <c r="AP9" s="2">
        <f>主翼!K54</f>
        <v>0</v>
      </c>
      <c r="AQ9" s="29"/>
      <c r="AR9" s="29"/>
      <c r="AS9" s="29"/>
      <c r="AT9" s="29"/>
      <c r="AU9" s="1"/>
      <c r="AV9" s="2">
        <f>IF((AA9-AA8)&gt;0,(AI8+AI9+SQRT(AI8*AI9))*(AA9-AA8)/3*10^-6*$P$17,0)</f>
        <v>0.17843819301620101</v>
      </c>
    </row>
    <row r="10" spans="2:48">
      <c r="B10" s="10" t="s">
        <v>682</v>
      </c>
      <c r="C10" s="292">
        <f>C7+F22</f>
        <v>5.1999999999999993</v>
      </c>
      <c r="D10" s="71">
        <f>(N10-L10)/2</f>
        <v>1.2949999999999946</v>
      </c>
      <c r="E10" s="70">
        <f>(O10-M10)/2</f>
        <v>2.1151999999999873</v>
      </c>
      <c r="F10" s="23"/>
      <c r="G10" s="1"/>
      <c r="H10" s="1"/>
      <c r="I10" s="70"/>
      <c r="J10" s="23">
        <f>$J$7-$G$22*(C10-$C$7)</f>
        <v>87.100000000000009</v>
      </c>
      <c r="K10" s="1">
        <f>$J10*($C$23*($C10-$C$7)+$C$22*($C$10-$C10))/($C$10-$C$7)</f>
        <v>88.929100000000005</v>
      </c>
      <c r="L10" s="1">
        <f>J10+2*$D$22</f>
        <v>91.51</v>
      </c>
      <c r="M10" s="70">
        <f>K10+2*$E$22</f>
        <v>91.281100000000009</v>
      </c>
      <c r="N10" s="23">
        <f>$N$9-$G$24*(C10-$C$9)</f>
        <v>94.1</v>
      </c>
      <c r="O10" s="1">
        <f>$N10*($C$25*($C10-$C$9)+$C$24*($C$12-$C10))/($C$12-$C$9)</f>
        <v>95.511499999999984</v>
      </c>
      <c r="P10" s="1">
        <f t="shared" si="4"/>
        <v>97.628</v>
      </c>
      <c r="Q10" s="70">
        <f t="shared" si="4"/>
        <v>97.863499999999988</v>
      </c>
      <c r="R10" s="23"/>
      <c r="S10" s="1"/>
      <c r="T10" s="1"/>
      <c r="U10" s="1"/>
      <c r="X10" s="1"/>
      <c r="Y10" s="218">
        <v>4</v>
      </c>
      <c r="Z10" s="113" t="str">
        <f t="shared" si="1"/>
        <v>0-1接合</v>
      </c>
      <c r="AA10" s="85">
        <f>VLOOKUP(Y10,主翼!B55:C154,2)</f>
        <v>1.4</v>
      </c>
      <c r="AB10" s="86">
        <v>55</v>
      </c>
      <c r="AC10" s="86">
        <v>55</v>
      </c>
      <c r="AD10" s="86">
        <v>60.954999999999998</v>
      </c>
      <c r="AE10" s="86">
        <v>61.159749999999995</v>
      </c>
      <c r="AF10" s="201">
        <v>3679059.7778962436</v>
      </c>
      <c r="AG10" s="201">
        <v>3758310.0167815923</v>
      </c>
      <c r="AH10" s="201">
        <v>7436160.4959747586</v>
      </c>
      <c r="AI10" s="202">
        <v>2208.6491354470913</v>
      </c>
      <c r="AJ10" s="202">
        <v>10578.766475598</v>
      </c>
      <c r="AK10" s="86">
        <v>364.61626608747662</v>
      </c>
      <c r="AL10" s="86">
        <v>113.34563451684357</v>
      </c>
      <c r="AM10" s="199">
        <v>14.661092788303325</v>
      </c>
      <c r="AN10" s="27">
        <f t="shared" si="2"/>
        <v>417005.36495104729</v>
      </c>
      <c r="AO10" s="200">
        <f t="shared" si="3"/>
        <v>109022.23902020161</v>
      </c>
      <c r="AP10" s="2">
        <f>主翼!K55</f>
        <v>0</v>
      </c>
      <c r="AQ10" s="29"/>
      <c r="AR10" s="29"/>
      <c r="AS10" s="29"/>
      <c r="AT10" s="29"/>
      <c r="AU10" s="1"/>
      <c r="AV10" s="2">
        <f>IF((AA10-AA9)&gt;0,(AI9+AI10+SQRT(AI9*AI10))*(AA10-AA9)/3*10^-6*$P$17,0)</f>
        <v>0.39496068013732971</v>
      </c>
    </row>
    <row r="11" spans="2:48">
      <c r="B11" s="10" t="s">
        <v>639</v>
      </c>
      <c r="C11" s="292">
        <f>C12-J22</f>
        <v>8.3999999999999986</v>
      </c>
      <c r="D11" s="71">
        <f>(R11-P11)/2</f>
        <v>1.1859999999999999</v>
      </c>
      <c r="E11" s="70">
        <f>(S11-Q11)/2</f>
        <v>1.2602499999999992</v>
      </c>
      <c r="F11" s="23"/>
      <c r="G11" s="1"/>
      <c r="H11" s="1"/>
      <c r="I11" s="70"/>
      <c r="J11" s="23"/>
      <c r="K11" s="1"/>
      <c r="L11" s="1"/>
      <c r="M11" s="70"/>
      <c r="N11" s="23">
        <f>$N$9-$G$24*(C11-$C$9)</f>
        <v>68.5</v>
      </c>
      <c r="O11" s="1">
        <f>$N11*($C$25*($C11-$C$9)+$C$24*($C$12-$C11))/($C$12-$C$9)</f>
        <v>69.527500000000003</v>
      </c>
      <c r="P11" s="1">
        <f t="shared" si="4"/>
        <v>72.028000000000006</v>
      </c>
      <c r="Q11" s="70">
        <f t="shared" si="4"/>
        <v>71.879500000000007</v>
      </c>
      <c r="R11" s="237">
        <v>74.400000000000006</v>
      </c>
      <c r="S11" s="1">
        <f>$R11*($C$27*($C11-$C$11)+$C$26*($C$13-$C11))/($C$13-$C$11)</f>
        <v>74.400000000000006</v>
      </c>
      <c r="T11" s="1">
        <f t="shared" ref="T11:U14" si="5">R11+2*D$26</f>
        <v>76.75200000000001</v>
      </c>
      <c r="U11" s="1">
        <f t="shared" si="5"/>
        <v>76.75200000000001</v>
      </c>
      <c r="X11" s="1"/>
      <c r="Y11" s="218">
        <v>5</v>
      </c>
      <c r="Z11" s="113" t="str">
        <f t="shared" si="1"/>
        <v>0-1接合</v>
      </c>
      <c r="AA11" s="85">
        <f>VLOOKUP(Y11,主翼!B56:C155,2)</f>
        <v>1.5999999999999999</v>
      </c>
      <c r="AB11" s="86">
        <v>55</v>
      </c>
      <c r="AC11" s="86">
        <v>55</v>
      </c>
      <c r="AD11" s="86">
        <v>60.155000000000001</v>
      </c>
      <c r="AE11" s="86">
        <v>60.342950000000002</v>
      </c>
      <c r="AF11" s="201">
        <v>3120848.0485842824</v>
      </c>
      <c r="AG11" s="201">
        <v>3190208.1344231619</v>
      </c>
      <c r="AH11" s="201">
        <v>6309925.0111976657</v>
      </c>
      <c r="AI11" s="202">
        <v>1900.557340455897</v>
      </c>
      <c r="AJ11" s="202">
        <v>10431.907697316106</v>
      </c>
      <c r="AK11" s="86">
        <v>362.07650359235737</v>
      </c>
      <c r="AL11" s="86">
        <v>113.34563451684357</v>
      </c>
      <c r="AM11" s="199">
        <v>14.661092788303325</v>
      </c>
      <c r="AN11" s="27">
        <f t="shared" si="2"/>
        <v>353734.50229743856</v>
      </c>
      <c r="AO11" s="200">
        <f t="shared" si="3"/>
        <v>92510.396076404868</v>
      </c>
      <c r="AP11" s="2">
        <f>主翼!K56</f>
        <v>0</v>
      </c>
      <c r="AQ11" s="29"/>
      <c r="AR11" s="29"/>
      <c r="AS11" s="29"/>
      <c r="AT11" s="29"/>
      <c r="AU11" s="1"/>
      <c r="AV11" s="2">
        <f>IF((AA11-AA10)&gt;0,(AI10+AI11+SQRT(AI10*AI11))*(AA11-AA10)/3*10^-6*$P$17,0)</f>
        <v>0.61580267039526659</v>
      </c>
    </row>
    <row r="12" spans="2:48">
      <c r="B12" s="10" t="s">
        <v>683</v>
      </c>
      <c r="C12" s="292">
        <f>C9+F24</f>
        <v>8.6999999999999993</v>
      </c>
      <c r="D12" s="71">
        <f>(R12-P12)/2</f>
        <v>1.1109999999999971</v>
      </c>
      <c r="E12" s="70">
        <f>(S12-Q12)/2</f>
        <v>1.2032500000000041</v>
      </c>
      <c r="F12" s="23"/>
      <c r="G12" s="1"/>
      <c r="H12" s="1"/>
      <c r="I12" s="70"/>
      <c r="J12" s="23"/>
      <c r="K12" s="1"/>
      <c r="L12" s="1"/>
      <c r="M12" s="70"/>
      <c r="N12" s="23">
        <f>$N$9-$G$24*(C12-$C$9)</f>
        <v>66.099999999999994</v>
      </c>
      <c r="O12" s="1">
        <f>$N12*($C$25*($C12-$C$9)+$C$24*($C$12-$C12))/($C$12-$C$9)</f>
        <v>67.091499999999982</v>
      </c>
      <c r="P12" s="1">
        <f t="shared" si="4"/>
        <v>69.628</v>
      </c>
      <c r="Q12" s="70">
        <f t="shared" si="4"/>
        <v>69.443499999999986</v>
      </c>
      <c r="R12" s="23">
        <f>$R$11-$G$26*(C12-$C$11)</f>
        <v>71.849999999999994</v>
      </c>
      <c r="S12" s="1">
        <f>$R12*($C$27*($C12-$C$11)+$C$26*($C$13-$C12))/($C$13-$C$11)</f>
        <v>71.849999999999994</v>
      </c>
      <c r="T12" s="1">
        <f t="shared" si="5"/>
        <v>74.201999999999998</v>
      </c>
      <c r="U12" s="1">
        <f t="shared" si="5"/>
        <v>74.201999999999998</v>
      </c>
      <c r="X12" s="1"/>
      <c r="Y12" s="218">
        <v>6</v>
      </c>
      <c r="Z12" s="113" t="str">
        <f t="shared" si="1"/>
        <v>1</v>
      </c>
      <c r="AA12" s="85">
        <f>VLOOKUP(Y12,主翼!B57:C156,2)</f>
        <v>1.7999999999999998</v>
      </c>
      <c r="AB12" s="86">
        <v>57.15</v>
      </c>
      <c r="AC12" s="86">
        <v>58.350149999999992</v>
      </c>
      <c r="AD12" s="86">
        <v>59.354999999999997</v>
      </c>
      <c r="AE12" s="86">
        <v>59.526149999999994</v>
      </c>
      <c r="AF12" s="201">
        <v>1211743.2997121168</v>
      </c>
      <c r="AG12" s="201">
        <v>917745.6479444342</v>
      </c>
      <c r="AH12" s="201">
        <v>2031706.4797556757</v>
      </c>
      <c r="AI12" s="202">
        <v>621.29100934949827</v>
      </c>
      <c r="AJ12" s="202">
        <v>10786.013039169731</v>
      </c>
      <c r="AK12" s="86">
        <v>368.18282279477393</v>
      </c>
      <c r="AL12" s="86">
        <v>98.144577856034871</v>
      </c>
      <c r="AM12" s="199">
        <v>13.020628525382756</v>
      </c>
      <c r="AN12" s="27">
        <f t="shared" si="2"/>
        <v>118926.03462012445</v>
      </c>
      <c r="AO12" s="200">
        <f t="shared" si="3"/>
        <v>26454.095345511734</v>
      </c>
      <c r="AP12" s="2">
        <f>主翼!K57</f>
        <v>0</v>
      </c>
      <c r="AQ12" s="29"/>
      <c r="AR12" s="29"/>
      <c r="AS12" s="29"/>
      <c r="AT12" s="29"/>
      <c r="AU12" s="1"/>
      <c r="AV12" s="2">
        <f>IF((AA12-AA11)&gt;0,(AI11+AI12+SQRT(AI11*AI12))*(AA12-AA11)/3*10^-6*$P$17,0)</f>
        <v>0.36084941929292896</v>
      </c>
    </row>
    <row r="13" spans="2:48">
      <c r="B13" s="10" t="s">
        <v>684</v>
      </c>
      <c r="C13" s="9">
        <f>C11+F26</f>
        <v>12.2</v>
      </c>
      <c r="D13" s="71"/>
      <c r="E13" s="70"/>
      <c r="F13" s="23"/>
      <c r="G13" s="1"/>
      <c r="H13" s="1"/>
      <c r="I13" s="70"/>
      <c r="J13" s="23"/>
      <c r="K13" s="1"/>
      <c r="L13" s="1"/>
      <c r="M13" s="70"/>
      <c r="N13" s="23"/>
      <c r="O13" s="1"/>
      <c r="P13" s="1"/>
      <c r="Q13" s="70"/>
      <c r="R13" s="23">
        <f>$R$11-$G$26*(C13-$C$11)</f>
        <v>42.1</v>
      </c>
      <c r="S13" s="1">
        <f>$R13*($C$27*($C13-$C$11)+$C$26*($C$13-$C13))/($C$13-$C$11)</f>
        <v>42.1</v>
      </c>
      <c r="T13" s="1">
        <f t="shared" si="5"/>
        <v>44.451999999999998</v>
      </c>
      <c r="U13" s="1">
        <f t="shared" si="5"/>
        <v>44.451999999999998</v>
      </c>
      <c r="X13" s="1"/>
      <c r="Y13" s="218">
        <v>7</v>
      </c>
      <c r="Z13" s="113" t="str">
        <f t="shared" si="1"/>
        <v>1</v>
      </c>
      <c r="AA13" s="85">
        <f>VLOOKUP(Y13,主翼!B58:C157,2)</f>
        <v>1.9999999999999998</v>
      </c>
      <c r="AB13" s="86">
        <v>56.35</v>
      </c>
      <c r="AC13" s="86">
        <v>57.533349999999999</v>
      </c>
      <c r="AD13" s="86">
        <v>58.555</v>
      </c>
      <c r="AE13" s="86">
        <v>58.709350000000001</v>
      </c>
      <c r="AF13" s="201">
        <v>1162479.3559664472</v>
      </c>
      <c r="AG13" s="201">
        <v>880158.55648699601</v>
      </c>
      <c r="AH13" s="201">
        <v>1948813.6313182258</v>
      </c>
      <c r="AI13" s="202">
        <v>612.7312581753207</v>
      </c>
      <c r="AJ13" s="202">
        <v>10490.459158868071</v>
      </c>
      <c r="AK13" s="86">
        <v>363.10311963876757</v>
      </c>
      <c r="AL13" s="86">
        <v>98.144577856034871</v>
      </c>
      <c r="AM13" s="199">
        <v>13.020628525382756</v>
      </c>
      <c r="AN13" s="27">
        <f t="shared" si="2"/>
        <v>114091.04565768226</v>
      </c>
      <c r="AO13" s="200">
        <f t="shared" si="3"/>
        <v>25374.778358596843</v>
      </c>
      <c r="AP13" s="2">
        <f>主翼!K58</f>
        <v>0</v>
      </c>
      <c r="AQ13" s="29"/>
      <c r="AR13" s="29"/>
      <c r="AS13" s="29"/>
      <c r="AT13" s="29"/>
      <c r="AU13" s="1"/>
      <c r="AV13" s="2">
        <f>IF((AA13-AA12)&gt;0,(AI12+AI13+SQRT(AI12*AI13))*(AA13-AA12)/3*10^-6*$P$17,0)</f>
        <v>0.18510185575069649</v>
      </c>
    </row>
    <row r="14" spans="2:48">
      <c r="B14" s="10" t="s">
        <v>1033</v>
      </c>
      <c r="C14" s="9">
        <f>主翼!M13</f>
        <v>12.4</v>
      </c>
      <c r="D14" s="71"/>
      <c r="E14" s="70"/>
      <c r="F14" s="23"/>
      <c r="G14" s="1"/>
      <c r="H14" s="1"/>
      <c r="I14" s="70"/>
      <c r="J14" s="23"/>
      <c r="K14" s="1"/>
      <c r="L14" s="1"/>
      <c r="M14" s="70"/>
      <c r="N14" s="23"/>
      <c r="O14" s="1"/>
      <c r="P14" s="1"/>
      <c r="Q14" s="70"/>
      <c r="R14" s="23">
        <f>$R$11-$G$26*(C14-$C$11)</f>
        <v>40.399999999999991</v>
      </c>
      <c r="S14" s="1">
        <f>$R14*($C$27*($C14-$C$11)+$C$26*($C$13-$C14))/($C$13-$C$11)</f>
        <v>40.4</v>
      </c>
      <c r="T14" s="1">
        <f t="shared" si="5"/>
        <v>42.751999999999988</v>
      </c>
      <c r="U14" s="1">
        <f t="shared" si="5"/>
        <v>42.751999999999995</v>
      </c>
      <c r="X14" s="1"/>
      <c r="Y14" s="218">
        <v>8</v>
      </c>
      <c r="Z14" s="113" t="str">
        <f t="shared" si="1"/>
        <v>1</v>
      </c>
      <c r="AA14" s="85">
        <f>VLOOKUP(Y14,主翼!B59:C158,2)</f>
        <v>2.1999999999999997</v>
      </c>
      <c r="AB14" s="86">
        <v>55.55</v>
      </c>
      <c r="AC14" s="86">
        <v>56.716549999999991</v>
      </c>
      <c r="AD14" s="86">
        <v>57.754999999999995</v>
      </c>
      <c r="AE14" s="86">
        <v>57.892549999999993</v>
      </c>
      <c r="AF14" s="201">
        <v>1114569.0696443412</v>
      </c>
      <c r="AG14" s="201">
        <v>843612.00815889717</v>
      </c>
      <c r="AH14" s="201">
        <v>1868206.6282121004</v>
      </c>
      <c r="AI14" s="202">
        <v>604.17150583651051</v>
      </c>
      <c r="AJ14" s="202">
        <v>10199.010963173529</v>
      </c>
      <c r="AK14" s="86">
        <v>358.02341798925579</v>
      </c>
      <c r="AL14" s="86">
        <v>98.144577856034871</v>
      </c>
      <c r="AM14" s="199">
        <v>13.020628525382756</v>
      </c>
      <c r="AN14" s="27">
        <f t="shared" si="2"/>
        <v>109388.9108316374</v>
      </c>
      <c r="AO14" s="200">
        <f t="shared" si="3"/>
        <v>24325.224514607613</v>
      </c>
      <c r="AP14" s="2">
        <f>主翼!K59</f>
        <v>0</v>
      </c>
      <c r="AQ14" s="29"/>
      <c r="AR14" s="29"/>
      <c r="AS14" s="29"/>
      <c r="AT14" s="29"/>
      <c r="AU14" s="1"/>
      <c r="AV14" s="2">
        <f>IF((AA14-AA13)&gt;0,(AI13+AI14+SQRT(AI13*AI14))*(AA14-AA13)/3*10^-6*$P$17,0)</f>
        <v>0.1825339093404548</v>
      </c>
    </row>
    <row r="15" spans="2:48">
      <c r="X15" s="1"/>
      <c r="Y15" s="218">
        <v>9</v>
      </c>
      <c r="Z15" s="113" t="str">
        <f t="shared" si="1"/>
        <v>1</v>
      </c>
      <c r="AA15" s="85">
        <f>VLOOKUP(Y15,主翼!B60:C159,2)</f>
        <v>2.4</v>
      </c>
      <c r="AB15" s="86">
        <v>54.75</v>
      </c>
      <c r="AC15" s="86">
        <v>55.899749999999997</v>
      </c>
      <c r="AD15" s="86">
        <v>56.954999999999998</v>
      </c>
      <c r="AE15" s="86">
        <v>57.075749999999999</v>
      </c>
      <c r="AF15" s="201">
        <v>1067993.5828292524</v>
      </c>
      <c r="AG15" s="201">
        <v>808091.39693825436</v>
      </c>
      <c r="AH15" s="201">
        <v>1789853.511313939</v>
      </c>
      <c r="AI15" s="202">
        <v>595.61175228432967</v>
      </c>
      <c r="AJ15" s="202">
        <v>9911.6684520861145</v>
      </c>
      <c r="AK15" s="86">
        <v>352.94371791125519</v>
      </c>
      <c r="AL15" s="86">
        <v>98.144577856034871</v>
      </c>
      <c r="AM15" s="199">
        <v>13.020628525382756</v>
      </c>
      <c r="AN15" s="27">
        <f t="shared" si="2"/>
        <v>104817.77933973119</v>
      </c>
      <c r="AO15" s="200">
        <f t="shared" si="3"/>
        <v>23305.017685670762</v>
      </c>
      <c r="AP15" s="2">
        <f>主翼!K60</f>
        <v>0</v>
      </c>
      <c r="AQ15" s="29"/>
      <c r="AR15" s="29"/>
      <c r="AS15" s="29"/>
      <c r="AT15" s="29"/>
      <c r="AU15" s="1"/>
      <c r="AV15" s="2">
        <f>IF((AA15-AA14)&gt;0,(AI14+AI15+SQRT(AI14*AI15))*(AA15-AA14)/3*10^-6*$P$17,0)</f>
        <v>0.17996596197750961</v>
      </c>
    </row>
    <row r="16" spans="2:48">
      <c r="B16" t="s">
        <v>11</v>
      </c>
      <c r="J16" t="s">
        <v>1188</v>
      </c>
      <c r="X16" s="1"/>
      <c r="Y16" s="218">
        <v>10</v>
      </c>
      <c r="Z16" s="113" t="str">
        <f t="shared" si="1"/>
        <v>1</v>
      </c>
      <c r="AA16" s="85">
        <f>VLOOKUP(Y16,主翼!B61:C160,2)</f>
        <v>2.6</v>
      </c>
      <c r="AB16" s="86">
        <v>53.95</v>
      </c>
      <c r="AC16" s="86">
        <v>55.082949999999997</v>
      </c>
      <c r="AD16" s="86">
        <v>56.155000000000001</v>
      </c>
      <c r="AE16" s="86">
        <v>56.258949999999999</v>
      </c>
      <c r="AF16" s="201">
        <v>1022734.0376046614</v>
      </c>
      <c r="AG16" s="201">
        <v>773582.11680316308</v>
      </c>
      <c r="AH16" s="201">
        <v>1713722.3215004622</v>
      </c>
      <c r="AI16" s="202">
        <v>587.05199746732058</v>
      </c>
      <c r="AJ16" s="202">
        <v>9628.4316256058228</v>
      </c>
      <c r="AK16" s="86">
        <v>347.86401947362458</v>
      </c>
      <c r="AL16" s="86">
        <v>98.144577856034871</v>
      </c>
      <c r="AM16" s="199">
        <v>13.020628525382756</v>
      </c>
      <c r="AN16" s="27">
        <f t="shared" si="2"/>
        <v>100375.80037970759</v>
      </c>
      <c r="AO16" s="200">
        <f t="shared" si="3"/>
        <v>22313.741743914081</v>
      </c>
      <c r="AP16" s="2">
        <f>主翼!K61</f>
        <v>0</v>
      </c>
      <c r="AQ16" s="29"/>
      <c r="AR16" s="29"/>
      <c r="AS16" s="29"/>
      <c r="AT16" s="29"/>
      <c r="AU16" s="1"/>
      <c r="AV16" s="2">
        <f>IF((AA16-AA15)&gt;0,(AI15+AI16+SQRT(AI15*AI16))*(AA16-AA15)/3*10^-6*$P$17,0)</f>
        <v>0.17739801362094659</v>
      </c>
    </row>
    <row r="17" spans="1:48">
      <c r="B17" s="10" t="s">
        <v>899</v>
      </c>
      <c r="C17" s="10" t="s">
        <v>1032</v>
      </c>
      <c r="D17" s="10" t="s">
        <v>1039</v>
      </c>
      <c r="E17" s="44" t="s">
        <v>1036</v>
      </c>
      <c r="F17" s="10" t="s">
        <v>1041</v>
      </c>
      <c r="G17" s="10" t="s">
        <v>1317</v>
      </c>
      <c r="J17" s="10" t="s">
        <v>1187</v>
      </c>
      <c r="K17" s="10" t="s">
        <v>1189</v>
      </c>
      <c r="L17" s="10" t="s">
        <v>1190</v>
      </c>
      <c r="M17" s="10" t="s">
        <v>1191</v>
      </c>
      <c r="O17" s="35" t="s">
        <v>1134</v>
      </c>
      <c r="P17" s="35">
        <f>パラメータ!D22</f>
        <v>1500</v>
      </c>
      <c r="Q17" s="35" t="s">
        <v>66</v>
      </c>
      <c r="X17" s="1"/>
      <c r="Y17" s="218">
        <v>11</v>
      </c>
      <c r="Z17" s="113" t="str">
        <f t="shared" si="1"/>
        <v>1</v>
      </c>
      <c r="AA17" s="85">
        <f>VLOOKUP(Y17,主翼!B62:C161,2)</f>
        <v>2.8000000000000003</v>
      </c>
      <c r="AB17" s="86">
        <v>53.15</v>
      </c>
      <c r="AC17" s="86">
        <v>54.266149999999996</v>
      </c>
      <c r="AD17" s="86">
        <v>55.354999999999997</v>
      </c>
      <c r="AE17" s="86">
        <v>55.442149999999998</v>
      </c>
      <c r="AF17" s="201">
        <v>978771.57605400798</v>
      </c>
      <c r="AG17" s="201">
        <v>740069.56173170707</v>
      </c>
      <c r="AH17" s="201">
        <v>1639781.0996483155</v>
      </c>
      <c r="AI17" s="202">
        <v>578.49224133104019</v>
      </c>
      <c r="AJ17" s="202">
        <v>9349.3004837326534</v>
      </c>
      <c r="AK17" s="86">
        <v>342.78432274926791</v>
      </c>
      <c r="AL17" s="86">
        <v>98.144577856034871</v>
      </c>
      <c r="AM17" s="199">
        <v>13.020628525382756</v>
      </c>
      <c r="AN17" s="27">
        <f t="shared" si="2"/>
        <v>96061.123149306542</v>
      </c>
      <c r="AO17" s="200">
        <f t="shared" si="3"/>
        <v>21350.980561464363</v>
      </c>
      <c r="AP17" s="2">
        <f>主翼!K62</f>
        <v>0</v>
      </c>
      <c r="AQ17" s="29"/>
      <c r="AR17" s="29"/>
      <c r="AS17" s="29"/>
      <c r="AT17" s="29"/>
      <c r="AU17" s="1"/>
      <c r="AV17" s="2">
        <f>IF((AA17-AA16)&gt;0,(AI16+AI17+SQRT(AI16*AI17))*(AA17-AA16)/3*10^-6*$P$17,0)</f>
        <v>0.17483006422747499</v>
      </c>
    </row>
    <row r="18" spans="1:48">
      <c r="B18" s="1" t="s">
        <v>45</v>
      </c>
      <c r="C18" s="1" t="s">
        <v>46</v>
      </c>
      <c r="D18" s="1" t="s">
        <v>1034</v>
      </c>
      <c r="E18" s="70" t="s">
        <v>1035</v>
      </c>
      <c r="F18" s="1" t="s">
        <v>491</v>
      </c>
      <c r="G18" s="1" t="s">
        <v>627</v>
      </c>
      <c r="J18" s="1" t="s">
        <v>491</v>
      </c>
      <c r="K18" s="1" t="s">
        <v>46</v>
      </c>
      <c r="L18" s="1" t="s">
        <v>491</v>
      </c>
      <c r="M18" s="1" t="s">
        <v>45</v>
      </c>
      <c r="N18" s="247"/>
      <c r="O18" s="35" t="s">
        <v>1320</v>
      </c>
      <c r="P18" s="35">
        <f>パラメータ!D23</f>
        <v>20</v>
      </c>
      <c r="Q18" s="35" t="s">
        <v>66</v>
      </c>
      <c r="X18" s="1"/>
      <c r="Y18" s="218">
        <v>12</v>
      </c>
      <c r="Z18" s="113" t="str">
        <f t="shared" si="1"/>
        <v>1</v>
      </c>
      <c r="AA18" s="85">
        <f>VLOOKUP(Y18,主翼!B63:C162,2)</f>
        <v>3.0000000000000004</v>
      </c>
      <c r="AB18" s="86">
        <v>52.349999999999994</v>
      </c>
      <c r="AC18" s="86">
        <v>53.449349999999988</v>
      </c>
      <c r="AD18" s="86">
        <v>54.554999999999993</v>
      </c>
      <c r="AE18" s="86">
        <v>54.62534999999999</v>
      </c>
      <c r="AF18" s="201">
        <v>936087.34026076109</v>
      </c>
      <c r="AG18" s="201">
        <v>707539.12570196204</v>
      </c>
      <c r="AH18" s="201">
        <v>1567997.8866341789</v>
      </c>
      <c r="AI18" s="202">
        <v>569.93248381788874</v>
      </c>
      <c r="AJ18" s="202">
        <v>9074.2750264666047</v>
      </c>
      <c r="AK18" s="86">
        <v>337.7046278154935</v>
      </c>
      <c r="AL18" s="86">
        <v>98.144577856034871</v>
      </c>
      <c r="AM18" s="199">
        <v>13.020628525382756</v>
      </c>
      <c r="AN18" s="27">
        <f t="shared" si="2"/>
        <v>91871.896846270873</v>
      </c>
      <c r="AO18" s="200">
        <f t="shared" si="3"/>
        <v>20416.318010448867</v>
      </c>
      <c r="AP18" s="2">
        <f>主翼!K63</f>
        <v>0</v>
      </c>
      <c r="AQ18" s="29"/>
      <c r="AR18" s="29"/>
      <c r="AS18" s="29"/>
      <c r="AT18" s="29"/>
      <c r="AU18" s="1"/>
      <c r="AV18" s="2">
        <f>IF((AA18-AA17)&gt;0,(AI17+AI18+SQRT(AI17*AI18))*(AA18-AA17)/3*10^-6*$P$17,0)</f>
        <v>0.1722621137512485</v>
      </c>
    </row>
    <row r="19" spans="1:48" ht="20.25" thickBot="1">
      <c r="B19" s="20" t="s">
        <v>45</v>
      </c>
      <c r="C19" s="20" t="s">
        <v>45</v>
      </c>
      <c r="D19" s="20" t="s">
        <v>1030</v>
      </c>
      <c r="E19" s="234" t="s">
        <v>1030</v>
      </c>
      <c r="F19" s="20" t="s">
        <v>5</v>
      </c>
      <c r="G19" s="20" t="s">
        <v>1040</v>
      </c>
      <c r="J19" s="20" t="s">
        <v>5</v>
      </c>
      <c r="K19" s="20" t="s">
        <v>6</v>
      </c>
      <c r="L19" s="20" t="s">
        <v>5</v>
      </c>
      <c r="M19" s="20" t="s">
        <v>45</v>
      </c>
      <c r="O19" s="1" t="s">
        <v>919</v>
      </c>
      <c r="P19" s="22">
        <v>10</v>
      </c>
      <c r="Q19" s="1" t="s">
        <v>819</v>
      </c>
      <c r="X19" s="1"/>
      <c r="Y19" s="218">
        <v>13</v>
      </c>
      <c r="Z19" s="113" t="str">
        <f t="shared" si="1"/>
        <v>1</v>
      </c>
      <c r="AA19" s="85">
        <f>VLOOKUP(Y19,主翼!B64:C163,2)</f>
        <v>3.2000000000000006</v>
      </c>
      <c r="AB19" s="86">
        <v>51.55</v>
      </c>
      <c r="AC19" s="86">
        <v>52.632549999999995</v>
      </c>
      <c r="AD19" s="86">
        <v>53.754999999999995</v>
      </c>
      <c r="AE19" s="86">
        <v>53.808549999999997</v>
      </c>
      <c r="AF19" s="201">
        <v>894662.47230836505</v>
      </c>
      <c r="AG19" s="201">
        <v>675976.20269203256</v>
      </c>
      <c r="AH19" s="201">
        <v>1498340.7233347527</v>
      </c>
      <c r="AI19" s="202">
        <v>561.37272486687107</v>
      </c>
      <c r="AJ19" s="202">
        <v>8803.3552538076838</v>
      </c>
      <c r="AK19" s="86">
        <v>332.62493475432638</v>
      </c>
      <c r="AL19" s="86">
        <v>98.144577856034871</v>
      </c>
      <c r="AM19" s="199">
        <v>13.020628525382756</v>
      </c>
      <c r="AN19" s="27">
        <f t="shared" si="2"/>
        <v>87806.270668340978</v>
      </c>
      <c r="AO19" s="200">
        <f t="shared" si="3"/>
        <v>19509.337962995112</v>
      </c>
      <c r="AP19" s="2">
        <f>主翼!K64</f>
        <v>0</v>
      </c>
      <c r="AQ19" s="29"/>
      <c r="AR19" s="29"/>
      <c r="AS19" s="29"/>
      <c r="AT19" s="29"/>
      <c r="AU19" s="1"/>
      <c r="AV19" s="2">
        <f>IF((AA19-AA18)&gt;0,(AI18+AI19+SQRT(AI18*AI19))*(AA19-AA18)/3*10^-6*$P$17,0)</f>
        <v>0.16969416214367974</v>
      </c>
    </row>
    <row r="20" spans="1:48" ht="20.25" thickTop="1">
      <c r="A20" s="243" t="s">
        <v>520</v>
      </c>
      <c r="B20" s="193" t="s">
        <v>527</v>
      </c>
      <c r="C20" s="50">
        <v>1</v>
      </c>
      <c r="D20" s="25">
        <f>VLOOKUP(主桁!$B20,積層構成!$B$7:$M$29,7)</f>
        <v>1.6950000000000001</v>
      </c>
      <c r="E20" s="241">
        <f>VLOOKUP(主桁!$B20,積層構成!$B$7:$M$29,8)</f>
        <v>1.6950000000000001</v>
      </c>
      <c r="F20" s="249">
        <v>3.5</v>
      </c>
      <c r="G20" s="50">
        <v>0</v>
      </c>
      <c r="I20" t="s">
        <v>1184</v>
      </c>
      <c r="J20" s="50">
        <v>0.35</v>
      </c>
      <c r="K20" s="25"/>
      <c r="L20" s="50">
        <v>0.5</v>
      </c>
      <c r="M20" s="193">
        <v>2</v>
      </c>
      <c r="O20" s="1" t="s">
        <v>920</v>
      </c>
      <c r="P20" s="22">
        <v>10</v>
      </c>
      <c r="Q20" s="1" t="s">
        <v>819</v>
      </c>
      <c r="X20" s="1"/>
      <c r="Y20" s="218">
        <v>14</v>
      </c>
      <c r="Z20" s="113" t="str">
        <f t="shared" si="1"/>
        <v>1</v>
      </c>
      <c r="AA20" s="85">
        <f>VLOOKUP(Y20,主翼!B65:C164,2)</f>
        <v>3.4000000000000008</v>
      </c>
      <c r="AB20" s="86">
        <v>50.75</v>
      </c>
      <c r="AC20" s="86">
        <v>51.815749999999994</v>
      </c>
      <c r="AD20" s="86">
        <v>52.954999999999998</v>
      </c>
      <c r="AE20" s="86">
        <v>52.991749999999996</v>
      </c>
      <c r="AF20" s="201">
        <v>854478.11428028019</v>
      </c>
      <c r="AG20" s="201">
        <v>645366.18667999993</v>
      </c>
      <c r="AH20" s="201">
        <v>1430777.6506266897</v>
      </c>
      <c r="AI20" s="202">
        <v>552.81296441332825</v>
      </c>
      <c r="AJ20" s="202">
        <v>8536.5411657558852</v>
      </c>
      <c r="AK20" s="86">
        <v>327.54524365288643</v>
      </c>
      <c r="AL20" s="86">
        <v>98.144577856034871</v>
      </c>
      <c r="AM20" s="199">
        <v>13.020628525382756</v>
      </c>
      <c r="AN20" s="27">
        <f t="shared" si="2"/>
        <v>83862.393813258823</v>
      </c>
      <c r="AO20" s="200">
        <f t="shared" si="3"/>
        <v>18629.624291229997</v>
      </c>
      <c r="AP20" s="2">
        <f>主翼!K65</f>
        <v>0</v>
      </c>
      <c r="AQ20" s="29"/>
      <c r="AR20" s="29"/>
      <c r="AS20" s="29"/>
      <c r="AT20" s="29"/>
      <c r="AU20" s="1"/>
      <c r="AV20" s="2">
        <f>IF((AA20-AA19)&gt;0,(AI19+AI20+SQRT(AI19*AI20))*(AA20-AA19)/3*10^-6*$P$17,0)</f>
        <v>0.1671262093532295</v>
      </c>
    </row>
    <row r="21" spans="1:48" ht="20.25" thickBot="1">
      <c r="A21" s="243"/>
      <c r="B21" s="194" t="s">
        <v>1002</v>
      </c>
      <c r="C21" s="195">
        <v>1</v>
      </c>
      <c r="D21" s="196">
        <f>VLOOKUP(主桁!$B21,積層構成!$B$7:$M$29,7)</f>
        <v>1.6950000000000001</v>
      </c>
      <c r="E21" s="245">
        <f>VLOOKUP(主桁!$B21,積層構成!$B$7:$M$29,8)</f>
        <v>1.6950000000000001</v>
      </c>
      <c r="F21" s="246"/>
      <c r="G21" s="244"/>
      <c r="I21" t="s">
        <v>1185</v>
      </c>
      <c r="J21" s="22">
        <v>0.3</v>
      </c>
      <c r="K21" s="1"/>
      <c r="L21" s="22">
        <v>0.5</v>
      </c>
      <c r="M21" s="28">
        <v>2</v>
      </c>
      <c r="O21" s="1" t="s">
        <v>921</v>
      </c>
      <c r="P21" s="28">
        <v>1000</v>
      </c>
      <c r="Q21" s="1" t="s">
        <v>819</v>
      </c>
      <c r="X21" s="1"/>
      <c r="Y21" s="218">
        <v>15</v>
      </c>
      <c r="Z21" s="113" t="str">
        <f t="shared" si="1"/>
        <v>1</v>
      </c>
      <c r="AA21" s="85">
        <f>VLOOKUP(Y21,主翼!B66:C165,2)</f>
        <v>3.600000000000001</v>
      </c>
      <c r="AB21" s="86">
        <v>49.949999999999996</v>
      </c>
      <c r="AC21" s="86">
        <v>50.998949999999994</v>
      </c>
      <c r="AD21" s="86">
        <v>52.154999999999994</v>
      </c>
      <c r="AE21" s="86">
        <v>52.174949999999995</v>
      </c>
      <c r="AF21" s="201">
        <v>815515.40825995337</v>
      </c>
      <c r="AG21" s="201">
        <v>615694.47164392041</v>
      </c>
      <c r="AH21" s="201">
        <v>1365276.709386691</v>
      </c>
      <c r="AI21" s="202">
        <v>544.25320238868721</v>
      </c>
      <c r="AJ21" s="202">
        <v>8273.8327623112091</v>
      </c>
      <c r="AK21" s="86">
        <v>322.46555460376749</v>
      </c>
      <c r="AL21" s="86">
        <v>98.144577856034871</v>
      </c>
      <c r="AM21" s="199">
        <v>13.020628525382756</v>
      </c>
      <c r="AN21" s="27">
        <f t="shared" si="2"/>
        <v>80038.415478765062</v>
      </c>
      <c r="AO21" s="200">
        <f t="shared" si="3"/>
        <v>17776.760867281053</v>
      </c>
      <c r="AP21" s="2">
        <f>主翼!K66</f>
        <v>0</v>
      </c>
      <c r="AQ21" s="29"/>
      <c r="AR21" s="29"/>
      <c r="AS21" s="29"/>
      <c r="AT21" s="29"/>
      <c r="AU21" s="1"/>
      <c r="AV21" s="2">
        <f>IF((AA21-AA20)&gt;0,(AI20+AI21+SQRT(AI20*AI21))*(AA21-AA20)/3*10^-6*$P$17,0)</f>
        <v>0.16455825532518087</v>
      </c>
    </row>
    <row r="22" spans="1:48" ht="20.25" thickTop="1">
      <c r="A22" s="243" t="s">
        <v>521</v>
      </c>
      <c r="B22" s="193" t="s">
        <v>944</v>
      </c>
      <c r="C22" s="50">
        <v>1.0209999999999999</v>
      </c>
      <c r="D22" s="25">
        <f>VLOOKUP(主桁!$B22,積層構成!$B$7:$M$29,7)</f>
        <v>2.2050000000000001</v>
      </c>
      <c r="E22" s="241">
        <f>VLOOKUP(主桁!$B22,積層構成!$B$7:$M$29,8)</f>
        <v>1.1759999999999999</v>
      </c>
      <c r="F22" s="5">
        <v>3.8</v>
      </c>
      <c r="G22" s="4">
        <v>8</v>
      </c>
      <c r="I22" t="s">
        <v>1186</v>
      </c>
      <c r="J22" s="22">
        <v>0.3</v>
      </c>
      <c r="K22" s="1"/>
      <c r="L22" s="22">
        <v>0.5</v>
      </c>
      <c r="M22" s="28">
        <v>2</v>
      </c>
      <c r="X22" s="1"/>
      <c r="Y22" s="218">
        <v>16</v>
      </c>
      <c r="Z22" s="113" t="str">
        <f t="shared" si="1"/>
        <v>1</v>
      </c>
      <c r="AA22" s="85">
        <f>VLOOKUP(Y22,主翼!B67:C166,2)</f>
        <v>3.8000000000000012</v>
      </c>
      <c r="AB22" s="86">
        <v>49.149999999999991</v>
      </c>
      <c r="AC22" s="86">
        <v>50.182149999999986</v>
      </c>
      <c r="AD22" s="86">
        <v>51.35499999999999</v>
      </c>
      <c r="AE22" s="86">
        <v>51.358149999999988</v>
      </c>
      <c r="AF22" s="201">
        <v>777755.49633082643</v>
      </c>
      <c r="AG22" s="201">
        <v>586946.45156191336</v>
      </c>
      <c r="AH22" s="201">
        <v>1301805.9404914088</v>
      </c>
      <c r="AI22" s="202">
        <v>535.69343872010734</v>
      </c>
      <c r="AJ22" s="202">
        <v>8015.2300434736553</v>
      </c>
      <c r="AK22" s="86">
        <v>317.38586770550478</v>
      </c>
      <c r="AL22" s="86">
        <v>98.144577856034871</v>
      </c>
      <c r="AM22" s="199">
        <v>13.020628525382756</v>
      </c>
      <c r="AN22" s="27">
        <f t="shared" si="2"/>
        <v>76332.484862599842</v>
      </c>
      <c r="AO22" s="200">
        <f t="shared" si="3"/>
        <v>16950.331563275166</v>
      </c>
      <c r="AP22" s="2">
        <f>主翼!K67</f>
        <v>0</v>
      </c>
      <c r="AQ22" s="29"/>
      <c r="AR22" s="29"/>
      <c r="AS22" s="29"/>
      <c r="AT22" s="29"/>
      <c r="AU22" s="1"/>
      <c r="AV22" s="2">
        <f>IF((AA22-AA21)&gt;0,(AI21+AI22+SQRT(AI21*AI22))*(AA22-AA21)/3*10^-6*$P$17,0)</f>
        <v>0.16199030000138712</v>
      </c>
    </row>
    <row r="23" spans="1:48" ht="20.25" thickBot="1">
      <c r="A23" s="243"/>
      <c r="B23" s="194" t="s">
        <v>944</v>
      </c>
      <c r="C23" s="195">
        <v>1.0209999999999999</v>
      </c>
      <c r="D23" s="196">
        <f>VLOOKUP(主桁!$B23,積層構成!$B$7:$M$29,7)</f>
        <v>2.2050000000000001</v>
      </c>
      <c r="E23" s="245">
        <f>VLOOKUP(主桁!$B23,積層構成!$B$7:$M$29,8)</f>
        <v>1.1759999999999999</v>
      </c>
      <c r="F23" s="246"/>
      <c r="G23" s="244"/>
      <c r="X23" s="1"/>
      <c r="Y23" s="218">
        <v>17</v>
      </c>
      <c r="Z23" s="113" t="str">
        <f t="shared" si="1"/>
        <v>1</v>
      </c>
      <c r="AA23" s="85">
        <f>VLOOKUP(Y23,主翼!B68:C167,2)</f>
        <v>4.0000000000000009</v>
      </c>
      <c r="AB23" s="86">
        <v>48.349999999999994</v>
      </c>
      <c r="AC23" s="86">
        <v>49.365349999999992</v>
      </c>
      <c r="AD23" s="86">
        <v>50.554999999999993</v>
      </c>
      <c r="AE23" s="86">
        <v>50.541349999999994</v>
      </c>
      <c r="AF23" s="201">
        <v>741179.52057635342</v>
      </c>
      <c r="AG23" s="201">
        <v>559107.52041201096</v>
      </c>
      <c r="AH23" s="201">
        <v>1240333.3848175448</v>
      </c>
      <c r="AI23" s="202">
        <v>527.13367333020426</v>
      </c>
      <c r="AJ23" s="202">
        <v>7760.7330092432285</v>
      </c>
      <c r="AK23" s="86">
        <v>312.30618306303074</v>
      </c>
      <c r="AL23" s="86">
        <v>98.144577856034871</v>
      </c>
      <c r="AM23" s="199">
        <v>13.020628525382756</v>
      </c>
      <c r="AN23" s="27">
        <f t="shared" si="2"/>
        <v>72742.75116250453</v>
      </c>
      <c r="AO23" s="200">
        <f t="shared" si="3"/>
        <v>16149.920251339872</v>
      </c>
      <c r="AP23" s="2">
        <f>主翼!K68</f>
        <v>0</v>
      </c>
      <c r="AQ23" s="29"/>
      <c r="AR23" s="29"/>
      <c r="AS23" s="29"/>
      <c r="AT23" s="29"/>
      <c r="AU23" s="1"/>
      <c r="AV23" s="2">
        <f>IF((AA23-AA22)&gt;0,(AI22+AI23+SQRT(AI22*AI23))*(AA23-AA22)/3*10^-6*$P$17,0)</f>
        <v>0.15942234331999941</v>
      </c>
    </row>
    <row r="24" spans="1:48" ht="20.25" thickTop="1">
      <c r="A24" s="243" t="s">
        <v>522</v>
      </c>
      <c r="B24" s="193" t="s">
        <v>1017</v>
      </c>
      <c r="C24" s="50">
        <v>1.0149999999999999</v>
      </c>
      <c r="D24" s="25">
        <f>VLOOKUP(主桁!$B24,積層構成!$B$7:$M$29,7)</f>
        <v>1.7639999999999998</v>
      </c>
      <c r="E24" s="241">
        <f>VLOOKUP(主桁!$B24,積層構成!$B$7:$M$29,8)</f>
        <v>1.1759999999999999</v>
      </c>
      <c r="F24" s="5">
        <v>3.8</v>
      </c>
      <c r="G24" s="4">
        <v>8</v>
      </c>
      <c r="X24" s="1"/>
      <c r="Y24" s="218">
        <v>18</v>
      </c>
      <c r="Z24" s="113" t="str">
        <f t="shared" si="1"/>
        <v>1</v>
      </c>
      <c r="AA24" s="85">
        <f>VLOOKUP(Y24,主翼!B69:C168,2)</f>
        <v>4.2000000000000011</v>
      </c>
      <c r="AB24" s="86">
        <v>47.55</v>
      </c>
      <c r="AC24" s="86">
        <v>48.548549999999992</v>
      </c>
      <c r="AD24" s="86">
        <v>49.754999999999995</v>
      </c>
      <c r="AE24" s="86">
        <v>49.724549999999994</v>
      </c>
      <c r="AF24" s="201">
        <v>705768.62307997711</v>
      </c>
      <c r="AG24" s="201">
        <v>532163.07217230392</v>
      </c>
      <c r="AH24" s="201">
        <v>1180827.0832417463</v>
      </c>
      <c r="AI24" s="202">
        <v>518.57390613666166</v>
      </c>
      <c r="AJ24" s="202">
        <v>7510.3416596199231</v>
      </c>
      <c r="AK24" s="86">
        <v>307.22650078823483</v>
      </c>
      <c r="AL24" s="86">
        <v>98.144577856034871</v>
      </c>
      <c r="AM24" s="199">
        <v>13.020628525382756</v>
      </c>
      <c r="AN24" s="27">
        <f t="shared" si="2"/>
        <v>69267.363576219344</v>
      </c>
      <c r="AO24" s="200">
        <f t="shared" si="3"/>
        <v>15375.110803602001</v>
      </c>
      <c r="AP24" s="2">
        <f>主翼!K69</f>
        <v>0</v>
      </c>
      <c r="AQ24" s="29"/>
      <c r="AR24" s="29"/>
      <c r="AS24" s="29"/>
      <c r="AT24" s="29"/>
      <c r="AU24" s="1"/>
      <c r="AV24" s="2">
        <f>IF((AA24-AA23)&gt;0,(AI23+AI24+SQRT(AI23*AI24))*(AA24-AA23)/3*10^-6*$P$17,0)</f>
        <v>0.15685438521517403</v>
      </c>
    </row>
    <row r="25" spans="1:48" ht="20.25" thickBot="1">
      <c r="A25" s="243"/>
      <c r="B25" s="194" t="s">
        <v>1017</v>
      </c>
      <c r="C25" s="195">
        <v>1.0149999999999999</v>
      </c>
      <c r="D25" s="196">
        <f>VLOOKUP(主桁!$B25,積層構成!$B$7:$M$29,7)</f>
        <v>1.7639999999999998</v>
      </c>
      <c r="E25" s="245">
        <f>VLOOKUP(主桁!$B25,積層構成!$B$7:$M$29,8)</f>
        <v>1.1759999999999999</v>
      </c>
      <c r="F25" s="246"/>
      <c r="G25" s="244"/>
      <c r="X25" s="1"/>
      <c r="Y25" s="218">
        <v>19</v>
      </c>
      <c r="Z25" s="113" t="str">
        <f t="shared" si="1"/>
        <v>1</v>
      </c>
      <c r="AA25" s="85">
        <f>VLOOKUP(Y25,主翼!B70:C169,2)</f>
        <v>4.4000000000000012</v>
      </c>
      <c r="AB25" s="86">
        <v>46.749999999999993</v>
      </c>
      <c r="AC25" s="86">
        <v>47.731749999999991</v>
      </c>
      <c r="AD25" s="86">
        <v>48.954999999999991</v>
      </c>
      <c r="AE25" s="86">
        <v>48.907749999999993</v>
      </c>
      <c r="AF25" s="201">
        <v>671503.94592512609</v>
      </c>
      <c r="AG25" s="201">
        <v>506098.50082082849</v>
      </c>
      <c r="AH25" s="201">
        <v>1123255.0766407165</v>
      </c>
      <c r="AI25" s="202">
        <v>510.01413705181182</v>
      </c>
      <c r="AJ25" s="202">
        <v>7264.0559946037401</v>
      </c>
      <c r="AK25" s="86">
        <v>302.14682100051664</v>
      </c>
      <c r="AL25" s="86">
        <v>98.144577856034871</v>
      </c>
      <c r="AM25" s="199">
        <v>13.020628525382756</v>
      </c>
      <c r="AN25" s="27">
        <f t="shared" si="2"/>
        <v>65904.471301483165</v>
      </c>
      <c r="AO25" s="200">
        <f t="shared" si="3"/>
        <v>14625.487092189107</v>
      </c>
      <c r="AP25" s="2">
        <f>主翼!K70</f>
        <v>0</v>
      </c>
      <c r="AQ25" s="29"/>
      <c r="AR25" s="29"/>
      <c r="AS25" s="29"/>
      <c r="AT25" s="29"/>
      <c r="AU25" s="1"/>
      <c r="AV25" s="2">
        <f>IF((AA25-AA24)&gt;0,(AI24+AI25+SQRT(AI24*AI25))*(AA25-AA24)/3*10^-6*$P$17,0)</f>
        <v>0.15428642561673336</v>
      </c>
    </row>
    <row r="26" spans="1:48" ht="20.25" thickTop="1">
      <c r="A26" s="243" t="s">
        <v>523</v>
      </c>
      <c r="B26" s="135" t="s">
        <v>1020</v>
      </c>
      <c r="C26" s="4">
        <v>1</v>
      </c>
      <c r="D26" s="2">
        <f>VLOOKUP(主桁!$B26,積層構成!$B$7:$M$29,7)</f>
        <v>1.1759999999999999</v>
      </c>
      <c r="E26" s="235">
        <f>VLOOKUP(主桁!$B26,積層構成!$B$7:$M$29,8)</f>
        <v>1.1759999999999999</v>
      </c>
      <c r="F26" s="5">
        <v>3.8</v>
      </c>
      <c r="G26" s="4">
        <v>8.5</v>
      </c>
      <c r="X26" s="1"/>
      <c r="Y26" s="218">
        <v>20</v>
      </c>
      <c r="Z26" s="113" t="str">
        <f t="shared" si="1"/>
        <v>1</v>
      </c>
      <c r="AA26" s="85">
        <f>VLOOKUP(Y26,主翼!B71:C170,2)</f>
        <v>4.6000000000000014</v>
      </c>
      <c r="AB26" s="86">
        <v>45.949999999999996</v>
      </c>
      <c r="AC26" s="86">
        <v>46.91494999999999</v>
      </c>
      <c r="AD26" s="86">
        <v>48.154999999999994</v>
      </c>
      <c r="AE26" s="86">
        <v>48.090949999999992</v>
      </c>
      <c r="AF26" s="201">
        <v>638366.6311952516</v>
      </c>
      <c r="AG26" s="201">
        <v>480899.20033566101</v>
      </c>
      <c r="AH26" s="201">
        <v>1067585.4058910895</v>
      </c>
      <c r="AI26" s="202">
        <v>501.45436598225274</v>
      </c>
      <c r="AJ26" s="202">
        <v>7021.8760141946823</v>
      </c>
      <c r="AK26" s="86">
        <v>297.06714382743826</v>
      </c>
      <c r="AL26" s="86">
        <v>98.144577856034871</v>
      </c>
      <c r="AM26" s="199">
        <v>13.020628525382756</v>
      </c>
      <c r="AN26" s="27">
        <f t="shared" si="2"/>
        <v>62652.223536037076</v>
      </c>
      <c r="AO26" s="200">
        <f t="shared" si="3"/>
        <v>13900.632989227848</v>
      </c>
      <c r="AP26" s="2">
        <f>主翼!K71</f>
        <v>0</v>
      </c>
      <c r="AQ26" s="29"/>
      <c r="AR26" s="29"/>
      <c r="AS26" s="29"/>
      <c r="AT26" s="29"/>
      <c r="AU26" s="1"/>
      <c r="AV26" s="2">
        <f>IF((AA26-AA25)&gt;0,(AI25+AI26+SQRT(AI25*AI26))*(AA26-AA25)/3*10^-6*$P$17,0)</f>
        <v>0.15171846444981305</v>
      </c>
    </row>
    <row r="27" spans="1:48">
      <c r="B27" s="135" t="s">
        <v>1020</v>
      </c>
      <c r="C27" s="4">
        <v>1</v>
      </c>
      <c r="D27" s="2">
        <f>VLOOKUP(主桁!$B27,積層構成!$B$7:$M$29,7)</f>
        <v>1.1759999999999999</v>
      </c>
      <c r="E27" s="235">
        <f>VLOOKUP(主桁!$B27,積層構成!$B$7:$M$29,8)</f>
        <v>1.1759999999999999</v>
      </c>
      <c r="X27" s="1"/>
      <c r="Y27" s="218">
        <v>21</v>
      </c>
      <c r="Z27" s="113" t="str">
        <f t="shared" si="1"/>
        <v>1</v>
      </c>
      <c r="AA27" s="85">
        <f>VLOOKUP(Y27,主翼!B72:C171,2)</f>
        <v>4.7500000000000018</v>
      </c>
      <c r="AB27" s="86">
        <v>45.349999999999994</v>
      </c>
      <c r="AC27" s="86">
        <v>46.30234999999999</v>
      </c>
      <c r="AD27" s="86">
        <v>47.554999999999993</v>
      </c>
      <c r="AE27" s="86">
        <v>47.478349999999992</v>
      </c>
      <c r="AF27" s="201">
        <v>614242.13252379408</v>
      </c>
      <c r="AG27" s="201">
        <v>462558.77254271222</v>
      </c>
      <c r="AH27" s="201">
        <v>1027062.3353212699</v>
      </c>
      <c r="AI27" s="202">
        <v>495.03453631789654</v>
      </c>
      <c r="AJ27" s="202">
        <v>6842.9353844113139</v>
      </c>
      <c r="AK27" s="86">
        <v>293.2573877452179</v>
      </c>
      <c r="AL27" s="86">
        <v>98.144577856034871</v>
      </c>
      <c r="AM27" s="199">
        <v>13.020628525382756</v>
      </c>
      <c r="AN27" s="27">
        <f t="shared" si="2"/>
        <v>60284.534797938402</v>
      </c>
      <c r="AO27" s="200">
        <f t="shared" si="3"/>
        <v>13372.997140630358</v>
      </c>
      <c r="AP27" s="2">
        <f>主翼!K72</f>
        <v>0</v>
      </c>
      <c r="AQ27" s="29"/>
      <c r="AR27" s="29"/>
      <c r="AS27" s="29"/>
      <c r="AT27" s="29"/>
      <c r="AU27" s="1"/>
      <c r="AV27" s="2">
        <f>IF((AA27-AA26)&gt;0,(AI26+AI27+SQRT(AI26*AI27))*(AA27-AA26)/3*10^-6*$P$17,0)</f>
        <v>0.11210422601140921</v>
      </c>
    </row>
    <row r="28" spans="1:48">
      <c r="X28" s="1"/>
      <c r="Y28" s="218">
        <v>22</v>
      </c>
      <c r="Z28" s="113" t="str">
        <f t="shared" si="1"/>
        <v>1-2接合</v>
      </c>
      <c r="AA28" s="85">
        <f>VLOOKUP(Y28,主翼!B73:C172,2)</f>
        <v>4.9000000000000021</v>
      </c>
      <c r="AB28" s="86">
        <v>44.749999999999993</v>
      </c>
      <c r="AC28" s="86">
        <v>45.689749999999989</v>
      </c>
      <c r="AD28" s="86">
        <v>50.013999999999996</v>
      </c>
      <c r="AE28" s="86">
        <v>50.14974999999999</v>
      </c>
      <c r="AF28" s="201">
        <v>1696264.7836370231</v>
      </c>
      <c r="AG28" s="201">
        <v>1606219.4316736383</v>
      </c>
      <c r="AH28" s="201">
        <v>3292205.2906225957</v>
      </c>
      <c r="AI28" s="202">
        <v>1455.0371499687415</v>
      </c>
      <c r="AJ28" s="202">
        <v>7133.0916602100242</v>
      </c>
      <c r="AK28" s="86">
        <v>299.41318156977997</v>
      </c>
      <c r="AL28" s="86">
        <v>92.023981569427491</v>
      </c>
      <c r="AM28" s="199">
        <v>14.148207091055601</v>
      </c>
      <c r="AN28" s="27">
        <f t="shared" si="2"/>
        <v>156097.03918628232</v>
      </c>
      <c r="AO28" s="200">
        <f t="shared" si="3"/>
        <v>46578.802237997377</v>
      </c>
      <c r="AP28" s="2">
        <f>主翼!K73</f>
        <v>0</v>
      </c>
      <c r="AQ28" s="29"/>
      <c r="AR28" s="29"/>
      <c r="AS28" s="29"/>
      <c r="AT28" s="29"/>
      <c r="AU28" s="1"/>
      <c r="AV28" s="2">
        <f>IF((AA28-AA27)&gt;0,(AI27+AI28+SQRT(AI27*AI28))*(AA28-AA27)/3*10^-6*$P$17,0)</f>
        <v>0.20990796267063094</v>
      </c>
    </row>
    <row r="29" spans="1:48">
      <c r="X29" s="1"/>
      <c r="Y29" s="218">
        <v>23</v>
      </c>
      <c r="Z29" s="113" t="str">
        <f t="shared" si="1"/>
        <v>1-2接合</v>
      </c>
      <c r="AA29" s="85">
        <f>VLOOKUP(Y29,主翼!B74:C173,2)</f>
        <v>5.0500000000000025</v>
      </c>
      <c r="AB29" s="86">
        <v>44.149999999999991</v>
      </c>
      <c r="AC29" s="86">
        <v>45.077149999999989</v>
      </c>
      <c r="AD29" s="86">
        <v>49.413999999999994</v>
      </c>
      <c r="AE29" s="86">
        <v>49.540749999999989</v>
      </c>
      <c r="AF29" s="201">
        <v>1632899.7700968154</v>
      </c>
      <c r="AG29" s="201">
        <v>1546513.4215529545</v>
      </c>
      <c r="AH29" s="201">
        <v>3169612.0703123393</v>
      </c>
      <c r="AI29" s="202">
        <v>1437.0909924367886</v>
      </c>
      <c r="AJ29" s="202">
        <v>6952.9957910955472</v>
      </c>
      <c r="AK29" s="86">
        <v>295.6090944579729</v>
      </c>
      <c r="AL29" s="86">
        <v>92.023981569427491</v>
      </c>
      <c r="AM29" s="199">
        <v>14.148207091055601</v>
      </c>
      <c r="AN29" s="27">
        <f t="shared" si="2"/>
        <v>150265.93834811173</v>
      </c>
      <c r="AO29" s="200">
        <f t="shared" si="3"/>
        <v>44844.327969088466</v>
      </c>
      <c r="AP29" s="2">
        <f>主翼!K74</f>
        <v>0</v>
      </c>
      <c r="AQ29" s="29"/>
      <c r="AR29" s="29"/>
      <c r="AS29" s="29"/>
      <c r="AT29" s="29"/>
      <c r="AU29" s="1"/>
      <c r="AV29" s="2">
        <f>IF((AA29-AA28)&gt;0,(AI28+AI29+SQRT(AI28*AI29))*(AA29-AA28)/3*10^-6*$P$17,0)</f>
        <v>0.32536232801880438</v>
      </c>
    </row>
    <row r="30" spans="1:48">
      <c r="X30" s="1"/>
      <c r="Y30" s="218">
        <v>24</v>
      </c>
      <c r="Z30" s="113" t="str">
        <f t="shared" si="1"/>
        <v>2</v>
      </c>
      <c r="AA30" s="85">
        <f>VLOOKUP(Y30,主翼!B75:C174,2)</f>
        <v>5.2000000000000028</v>
      </c>
      <c r="AB30" s="86">
        <v>47.04999999999999</v>
      </c>
      <c r="AC30" s="86">
        <v>47.755749999999985</v>
      </c>
      <c r="AD30" s="86">
        <v>48.813999999999993</v>
      </c>
      <c r="AE30" s="86">
        <v>48.931749999999987</v>
      </c>
      <c r="AF30" s="201">
        <v>560309.19549204863</v>
      </c>
      <c r="AG30" s="201">
        <v>468281.1690952839</v>
      </c>
      <c r="AH30" s="201">
        <v>1008585.2031832144</v>
      </c>
      <c r="AI30" s="202">
        <v>444.24717998171968</v>
      </c>
      <c r="AJ30" s="202">
        <v>7279.7381595055158</v>
      </c>
      <c r="AK30" s="86">
        <v>302.47118595681286</v>
      </c>
      <c r="AL30" s="86">
        <v>85.903385282820111</v>
      </c>
      <c r="AM30" s="199">
        <v>15.275785656728447</v>
      </c>
      <c r="AN30" s="27">
        <f t="shared" si="2"/>
        <v>48132.456697860427</v>
      </c>
      <c r="AO30" s="200">
        <f t="shared" si="3"/>
        <v>15406.931380374692</v>
      </c>
      <c r="AP30" s="2">
        <f>主翼!K75</f>
        <v>0</v>
      </c>
      <c r="AQ30" s="29"/>
      <c r="AR30" s="29"/>
      <c r="AS30" s="29"/>
      <c r="AT30" s="29"/>
      <c r="AU30" s="1"/>
      <c r="AV30" s="2">
        <f>IF((AA30-AA29)&gt;0,(AI29+AI30+SQRT(AI29*AI30))*(AA30-AA29)/3*10^-6*$P$17,0)</f>
        <v>0.2010264245975398</v>
      </c>
    </row>
    <row r="31" spans="1:48">
      <c r="X31" s="1"/>
      <c r="Y31" s="218">
        <v>25</v>
      </c>
      <c r="Z31" s="113" t="str">
        <f t="shared" si="1"/>
        <v>2</v>
      </c>
      <c r="AA31" s="85">
        <f>VLOOKUP(Y31,主翼!B76:C175,2)</f>
        <v>5.400000000000003</v>
      </c>
      <c r="AB31" s="86">
        <v>46.249999999999986</v>
      </c>
      <c r="AC31" s="86">
        <v>46.94374999999998</v>
      </c>
      <c r="AD31" s="86">
        <v>48.013999999999989</v>
      </c>
      <c r="AE31" s="86">
        <v>48.119749999999982</v>
      </c>
      <c r="AF31" s="201">
        <v>532709.07291632204</v>
      </c>
      <c r="AG31" s="201">
        <v>445094.87184536806</v>
      </c>
      <c r="AH31" s="201">
        <v>958778.45159491396</v>
      </c>
      <c r="AI31" s="202">
        <v>436.81357519673031</v>
      </c>
      <c r="AJ31" s="202">
        <v>7038.0045931293471</v>
      </c>
      <c r="AK31" s="86">
        <v>297.40666955524443</v>
      </c>
      <c r="AL31" s="86">
        <v>85.903385282820111</v>
      </c>
      <c r="AM31" s="199">
        <v>15.275785656728447</v>
      </c>
      <c r="AN31" s="27">
        <f t="shared" si="2"/>
        <v>45761.512734384727</v>
      </c>
      <c r="AO31" s="200">
        <f t="shared" si="3"/>
        <v>14646.094118853896</v>
      </c>
      <c r="AP31" s="2">
        <f>主翼!K76</f>
        <v>0</v>
      </c>
      <c r="AQ31" s="29"/>
      <c r="AR31" s="29"/>
      <c r="AS31" s="29"/>
      <c r="AT31" s="29"/>
      <c r="AU31" s="1"/>
      <c r="AV31" s="2">
        <f>IF((AA31-AA30)&gt;0,(AI30+AI31+SQRT(AI30*AI31))*(AA31-AA30)/3*10^-6*$P$17,0)</f>
        <v>0.13215754529569479</v>
      </c>
    </row>
    <row r="32" spans="1:48">
      <c r="X32" s="1"/>
      <c r="Y32" s="218">
        <v>26</v>
      </c>
      <c r="Z32" s="113" t="str">
        <f t="shared" si="1"/>
        <v>2</v>
      </c>
      <c r="AA32" s="85">
        <f>VLOOKUP(Y32,主翼!B77:C176,2)</f>
        <v>5.6000000000000032</v>
      </c>
      <c r="AB32" s="86">
        <v>45.449999999999989</v>
      </c>
      <c r="AC32" s="86">
        <v>46.131749999999982</v>
      </c>
      <c r="AD32" s="86">
        <v>47.213999999999992</v>
      </c>
      <c r="AE32" s="86">
        <v>47.307749999999984</v>
      </c>
      <c r="AF32" s="201">
        <v>506030.53046303376</v>
      </c>
      <c r="AG32" s="201">
        <v>422686.84891304286</v>
      </c>
      <c r="AH32" s="201">
        <v>910639.01197830832</v>
      </c>
      <c r="AI32" s="202">
        <v>429.37996981325608</v>
      </c>
      <c r="AJ32" s="202">
        <v>6800.352583928724</v>
      </c>
      <c r="AK32" s="86">
        <v>292.34215404888585</v>
      </c>
      <c r="AL32" s="86">
        <v>85.903385282820111</v>
      </c>
      <c r="AM32" s="199">
        <v>15.275785656728447</v>
      </c>
      <c r="AN32" s="27">
        <f t="shared" si="2"/>
        <v>43469.735623235829</v>
      </c>
      <c r="AO32" s="200">
        <f t="shared" si="3"/>
        <v>13910.726357635607</v>
      </c>
      <c r="AP32" s="2">
        <f>主翼!K77</f>
        <v>0</v>
      </c>
      <c r="AQ32" s="29"/>
      <c r="AR32" s="29"/>
      <c r="AS32" s="29"/>
      <c r="AT32" s="29"/>
      <c r="AU32" s="1"/>
      <c r="AV32" s="2">
        <f>IF((AA32-AA31)&gt;0,(AI31+AI32+SQRT(AI31*AI32))*(AA32-AA31)/3*10^-6*$P$17,0)</f>
        <v>0.12992743685660443</v>
      </c>
    </row>
    <row r="33" spans="24:48">
      <c r="X33" s="1"/>
      <c r="Y33" s="218">
        <v>27</v>
      </c>
      <c r="Z33" s="113" t="str">
        <f t="shared" si="1"/>
        <v>2</v>
      </c>
      <c r="AA33" s="85">
        <f>VLOOKUP(Y33,主翼!B78:C177,2)</f>
        <v>5.8000000000000034</v>
      </c>
      <c r="AB33" s="86">
        <v>44.649999999999991</v>
      </c>
      <c r="AC33" s="86">
        <v>45.319749999999985</v>
      </c>
      <c r="AD33" s="86">
        <v>46.413999999999994</v>
      </c>
      <c r="AE33" s="86">
        <v>46.495749999999987</v>
      </c>
      <c r="AF33" s="201">
        <v>480257.91942906723</v>
      </c>
      <c r="AG33" s="201">
        <v>401043.8142377687</v>
      </c>
      <c r="AH33" s="201">
        <v>864138.49969917501</v>
      </c>
      <c r="AI33" s="202">
        <v>421.94636380070312</v>
      </c>
      <c r="AJ33" s="202">
        <v>6566.7821319036439</v>
      </c>
      <c r="AK33" s="86">
        <v>287.27763948508868</v>
      </c>
      <c r="AL33" s="86">
        <v>85.903385282820111</v>
      </c>
      <c r="AM33" s="199">
        <v>15.275785656728447</v>
      </c>
      <c r="AN33" s="27">
        <f t="shared" si="2"/>
        <v>41255.781087840747</v>
      </c>
      <c r="AO33" s="200">
        <f t="shared" si="3"/>
        <v>13200.394499131497</v>
      </c>
      <c r="AP33" s="2">
        <f>主翼!K78</f>
        <v>0</v>
      </c>
      <c r="AQ33" s="29"/>
      <c r="AR33" s="29"/>
      <c r="AS33" s="29"/>
      <c r="AT33" s="29"/>
      <c r="AU33" s="1"/>
      <c r="AV33" s="2">
        <f>IF((AA33-AA32)&gt;0,(AI32+AI33+SQRT(AI32*AI33))*(AA33-AA32)/3*10^-6*$P$17,0)</f>
        <v>0.12769732729328742</v>
      </c>
    </row>
    <row r="34" spans="24:48">
      <c r="X34" s="1"/>
      <c r="Y34" s="218">
        <v>28</v>
      </c>
      <c r="Z34" s="113" t="str">
        <f t="shared" si="1"/>
        <v>2</v>
      </c>
      <c r="AA34" s="85">
        <f>VLOOKUP(Y34,主翼!B79:C178,2)</f>
        <v>6.0000000000000036</v>
      </c>
      <c r="AB34" s="86">
        <v>43.849999999999987</v>
      </c>
      <c r="AC34" s="86">
        <v>44.50774999999998</v>
      </c>
      <c r="AD34" s="86">
        <v>45.61399999999999</v>
      </c>
      <c r="AE34" s="86">
        <v>45.683749999999982</v>
      </c>
      <c r="AF34" s="201">
        <v>455375.59111130214</v>
      </c>
      <c r="AG34" s="201">
        <v>380152.48175901169</v>
      </c>
      <c r="AH34" s="201">
        <v>819248.53012333321</v>
      </c>
      <c r="AI34" s="202">
        <v>414.51275712634759</v>
      </c>
      <c r="AJ34" s="202">
        <v>6337.2932370541048</v>
      </c>
      <c r="AK34" s="86">
        <v>282.21312591458775</v>
      </c>
      <c r="AL34" s="86">
        <v>85.903385282820111</v>
      </c>
      <c r="AM34" s="199">
        <v>15.275785656728447</v>
      </c>
      <c r="AN34" s="27">
        <f t="shared" si="2"/>
        <v>39118.304851626141</v>
      </c>
      <c r="AO34" s="200">
        <f t="shared" si="3"/>
        <v>12514.664945753877</v>
      </c>
      <c r="AP34" s="2">
        <f>主翼!K79</f>
        <v>0</v>
      </c>
      <c r="AQ34" s="29"/>
      <c r="AR34" s="29"/>
      <c r="AS34" s="29"/>
      <c r="AT34" s="29"/>
      <c r="AU34" s="1"/>
      <c r="AV34" s="2">
        <f>IF((AA34-AA33)&gt;0,(AI33+AI34+SQRT(AI33*AI34))*(AA34-AA33)/3*10^-6*$P$17,0)</f>
        <v>0.1254672165461134</v>
      </c>
    </row>
    <row r="35" spans="24:48">
      <c r="X35" s="1"/>
      <c r="Y35" s="218">
        <v>29</v>
      </c>
      <c r="Z35" s="113" t="str">
        <f t="shared" si="1"/>
        <v>2</v>
      </c>
      <c r="AA35" s="85">
        <f>VLOOKUP(Y35,主翼!B80:C179,2)</f>
        <v>6.2000000000000037</v>
      </c>
      <c r="AB35" s="86">
        <v>43.049999999999983</v>
      </c>
      <c r="AC35" s="86">
        <v>43.695749999999975</v>
      </c>
      <c r="AD35" s="86">
        <v>44.813999999999986</v>
      </c>
      <c r="AE35" s="86">
        <v>44.871749999999977</v>
      </c>
      <c r="AF35" s="201">
        <v>431367.89680660382</v>
      </c>
      <c r="AG35" s="201">
        <v>359999.56541622168</v>
      </c>
      <c r="AH35" s="201">
        <v>775940.71861654508</v>
      </c>
      <c r="AI35" s="202">
        <v>407.07914975515473</v>
      </c>
      <c r="AJ35" s="202">
        <v>6111.8858993801114</v>
      </c>
      <c r="AK35" s="86">
        <v>277.14861339183636</v>
      </c>
      <c r="AL35" s="86">
        <v>85.903385282820111</v>
      </c>
      <c r="AM35" s="199">
        <v>15.275785656728447</v>
      </c>
      <c r="AN35" s="27">
        <f t="shared" si="2"/>
        <v>37055.962638017474</v>
      </c>
      <c r="AO35" s="200">
        <f t="shared" si="3"/>
        <v>11853.104099914184</v>
      </c>
      <c r="AP35" s="2">
        <f>主翼!K80</f>
        <v>0</v>
      </c>
      <c r="AQ35" s="29"/>
      <c r="AR35" s="29"/>
      <c r="AS35" s="29"/>
      <c r="AT35" s="29"/>
      <c r="AU35" s="1"/>
      <c r="AV35" s="2">
        <f>IF((AA35-AA34)&gt;0,(AI34+AI35+SQRT(AI34*AI35))*(AA35-AA34)/3*10^-6*$P$17,0)</f>
        <v>0.12323710455115688</v>
      </c>
    </row>
    <row r="36" spans="24:48">
      <c r="X36" s="1"/>
      <c r="Y36" s="218">
        <v>30</v>
      </c>
      <c r="Z36" s="113" t="str">
        <f t="shared" si="1"/>
        <v>2</v>
      </c>
      <c r="AA36" s="85">
        <f>VLOOKUP(Y36,主翼!B81:C180,2)</f>
        <v>6.4000000000000039</v>
      </c>
      <c r="AB36" s="86">
        <v>42.249999999999986</v>
      </c>
      <c r="AC36" s="86">
        <v>42.883749999999985</v>
      </c>
      <c r="AD36" s="86">
        <v>44.013999999999989</v>
      </c>
      <c r="AE36" s="86">
        <v>44.059749999999987</v>
      </c>
      <c r="AF36" s="201">
        <v>408219.18781185918</v>
      </c>
      <c r="AG36" s="201">
        <v>340571.77914885426</v>
      </c>
      <c r="AH36" s="201">
        <v>734186.68054460501</v>
      </c>
      <c r="AI36" s="202">
        <v>399.64554164959031</v>
      </c>
      <c r="AJ36" s="202">
        <v>5890.5601188816636</v>
      </c>
      <c r="AK36" s="86">
        <v>272.08410197533857</v>
      </c>
      <c r="AL36" s="86">
        <v>85.903385282820111</v>
      </c>
      <c r="AM36" s="199">
        <v>15.275785656728447</v>
      </c>
      <c r="AN36" s="27">
        <f t="shared" si="2"/>
        <v>35067.410170442046</v>
      </c>
      <c r="AO36" s="200">
        <f t="shared" si="3"/>
        <v>11215.278364024347</v>
      </c>
      <c r="AP36" s="2">
        <f>主翼!K81</f>
        <v>0</v>
      </c>
      <c r="AQ36" s="29"/>
      <c r="AR36" s="29"/>
      <c r="AS36" s="29"/>
      <c r="AT36" s="29"/>
      <c r="AU36" s="1"/>
      <c r="AV36" s="2">
        <f>IF((AA36-AA35)&gt;0,(AI35+AI36+SQRT(AI35*AI36))*(AA36-AA35)/3*10^-6*$P$17,0)</f>
        <v>0.12100699123980703</v>
      </c>
    </row>
    <row r="37" spans="24:48">
      <c r="X37" s="1"/>
      <c r="Y37" s="218">
        <v>31</v>
      </c>
      <c r="Z37" s="113" t="str">
        <f t="shared" si="1"/>
        <v>2</v>
      </c>
      <c r="AA37" s="85">
        <f>VLOOKUP(Y37,主翼!B82:C181,2)</f>
        <v>6.6000000000000041</v>
      </c>
      <c r="AB37" s="86">
        <v>41.449999999999989</v>
      </c>
      <c r="AC37" s="86">
        <v>42.071749999999987</v>
      </c>
      <c r="AD37" s="86">
        <v>43.213999999999992</v>
      </c>
      <c r="AE37" s="86">
        <v>43.247749999999989</v>
      </c>
      <c r="AF37" s="201">
        <v>385913.81542393169</v>
      </c>
      <c r="AG37" s="201">
        <v>321855.83689636615</v>
      </c>
      <c r="AH37" s="201">
        <v>693958.03127332451</v>
      </c>
      <c r="AI37" s="202">
        <v>392.21193276935566</v>
      </c>
      <c r="AJ37" s="202">
        <v>5673.3158955587596</v>
      </c>
      <c r="AK37" s="86">
        <v>267.01959172803515</v>
      </c>
      <c r="AL37" s="86">
        <v>85.903385282820111</v>
      </c>
      <c r="AM37" s="199">
        <v>15.275785656728447</v>
      </c>
      <c r="AN37" s="27">
        <f t="shared" si="2"/>
        <v>33151.303172325133</v>
      </c>
      <c r="AO37" s="200">
        <f t="shared" si="3"/>
        <v>10600.754140496561</v>
      </c>
      <c r="AP37" s="2">
        <f>主翼!K82</f>
        <v>0</v>
      </c>
      <c r="AQ37" s="29"/>
      <c r="AR37" s="29"/>
      <c r="AS37" s="29"/>
      <c r="AT37" s="29"/>
      <c r="AU37" s="1"/>
      <c r="AV37" s="2">
        <f>IF((AA37-AA36)&gt;0,(AI36+AI37+SQRT(AI36*AI37))*(AA37-AA36)/3*10^-6*$P$17,0)</f>
        <v>0.11877687653832762</v>
      </c>
    </row>
    <row r="38" spans="24:48">
      <c r="X38" s="1"/>
      <c r="Y38" s="218">
        <v>32</v>
      </c>
      <c r="Z38" s="113" t="str">
        <f t="shared" ref="Z38:Z66" si="6">IF(AA38&lt;$C$7,"0",IF(AA38&lt;$C$8,"0-1接合",IF(AA38&lt;$C$9,"1",IF(AA38&lt;$C$10,"1-2接合",IF(AA38&lt;$C$11,"2",IF(AA38&lt;$C$12,"2-3接合",IF(AA38&lt;$C$13,"3","ウィングレット")))))))</f>
        <v>2</v>
      </c>
      <c r="AA38" s="85">
        <f>VLOOKUP(Y38,主翼!B83:C182,2)</f>
        <v>6.8000000000000043</v>
      </c>
      <c r="AB38" s="86">
        <v>40.649999999999984</v>
      </c>
      <c r="AC38" s="86">
        <v>41.259749999999983</v>
      </c>
      <c r="AD38" s="86">
        <v>42.413999999999987</v>
      </c>
      <c r="AE38" s="86">
        <v>42.435749999999985</v>
      </c>
      <c r="AF38" s="201">
        <v>364436.13093970093</v>
      </c>
      <c r="AG38" s="201">
        <v>303838.45259820495</v>
      </c>
      <c r="AH38" s="201">
        <v>655226.38616846048</v>
      </c>
      <c r="AI38" s="202">
        <v>384.77832307116546</v>
      </c>
      <c r="AJ38" s="202">
        <v>5460.1532294113968</v>
      </c>
      <c r="AK38" s="86">
        <v>261.95508271774122</v>
      </c>
      <c r="AL38" s="86">
        <v>85.903385282820111</v>
      </c>
      <c r="AM38" s="199">
        <v>15.275785656728447</v>
      </c>
      <c r="AN38" s="27">
        <f t="shared" si="2"/>
        <v>31306.297367093408</v>
      </c>
      <c r="AO38" s="200">
        <f t="shared" si="3"/>
        <v>10009.097831742183</v>
      </c>
      <c r="AP38" s="2">
        <f>主翼!K83</f>
        <v>0</v>
      </c>
      <c r="AQ38" s="29"/>
      <c r="AR38" s="29"/>
      <c r="AS38" s="29"/>
      <c r="AT38" s="29"/>
      <c r="AU38" s="1"/>
      <c r="AV38" s="2">
        <f>IF((AA38-AA37)&gt;0,(AI37+AI38+SQRT(AI37*AI38))*(AA38-AA37)/3*10^-6*$P$17,0)</f>
        <v>0.11654676036736915</v>
      </c>
    </row>
    <row r="39" spans="24:48">
      <c r="X39" s="1"/>
      <c r="Y39" s="218">
        <v>33</v>
      </c>
      <c r="Z39" s="113" t="str">
        <f t="shared" si="6"/>
        <v>2</v>
      </c>
      <c r="AA39" s="85">
        <f>VLOOKUP(Y39,主翼!B84:C183,2)</f>
        <v>7.0000000000000044</v>
      </c>
      <c r="AB39" s="86">
        <v>39.84999999999998</v>
      </c>
      <c r="AC39" s="86">
        <v>40.447749999999978</v>
      </c>
      <c r="AD39" s="86">
        <v>41.613999999999983</v>
      </c>
      <c r="AE39" s="86">
        <v>41.62374999999998</v>
      </c>
      <c r="AF39" s="201">
        <v>343770.48565603327</v>
      </c>
      <c r="AG39" s="201">
        <v>286506.34019381233</v>
      </c>
      <c r="AH39" s="201">
        <v>617963.36059582047</v>
      </c>
      <c r="AI39" s="202">
        <v>377.34471250844575</v>
      </c>
      <c r="AJ39" s="202">
        <v>5251.0721204395777</v>
      </c>
      <c r="AK39" s="86">
        <v>256.89057501761584</v>
      </c>
      <c r="AL39" s="86">
        <v>85.903385282820111</v>
      </c>
      <c r="AM39" s="199">
        <v>15.275785656728447</v>
      </c>
      <c r="AN39" s="27">
        <f t="shared" si="2"/>
        <v>29531.048478172412</v>
      </c>
      <c r="AO39" s="200">
        <f t="shared" si="3"/>
        <v>9439.875840173343</v>
      </c>
      <c r="AP39" s="2">
        <f>主翼!K84</f>
        <v>0</v>
      </c>
      <c r="AQ39" s="29"/>
      <c r="AR39" s="29"/>
      <c r="AS39" s="29"/>
      <c r="AT39" s="29"/>
      <c r="AU39" s="1"/>
      <c r="AV39" s="2">
        <f>IF((AA39-AA38)&gt;0,(AI38+AI39+SQRT(AI38*AI39))*(AA39-AA38)/3*10^-6*$P$17,0)</f>
        <v>0.11431664264142659</v>
      </c>
    </row>
    <row r="40" spans="24:48">
      <c r="X40" s="1"/>
      <c r="Y40" s="218">
        <v>34</v>
      </c>
      <c r="Z40" s="113" t="str">
        <f t="shared" si="6"/>
        <v>2</v>
      </c>
      <c r="AA40" s="85">
        <f>VLOOKUP(Y40,主翼!B85:C184,2)</f>
        <v>7.2000000000000046</v>
      </c>
      <c r="AB40" s="86">
        <v>39.049999999999983</v>
      </c>
      <c r="AC40" s="86">
        <v>39.63574999999998</v>
      </c>
      <c r="AD40" s="86">
        <v>40.813999999999986</v>
      </c>
      <c r="AE40" s="86">
        <v>40.811749999999982</v>
      </c>
      <c r="AF40" s="201">
        <v>323901.23086980585</v>
      </c>
      <c r="AG40" s="201">
        <v>269846.21362264972</v>
      </c>
      <c r="AH40" s="201">
        <v>582140.56992117164</v>
      </c>
      <c r="AI40" s="202">
        <v>369.91110103102119</v>
      </c>
      <c r="AJ40" s="202">
        <v>5046.0725686433052</v>
      </c>
      <c r="AK40" s="86">
        <v>251.82606870669193</v>
      </c>
      <c r="AL40" s="86">
        <v>85.903385282820111</v>
      </c>
      <c r="AM40" s="199">
        <v>15.275785656728447</v>
      </c>
      <c r="AN40" s="27">
        <f t="shared" si="2"/>
        <v>27824.212228988599</v>
      </c>
      <c r="AO40" s="200">
        <f t="shared" si="3"/>
        <v>8892.6545682015567</v>
      </c>
      <c r="AP40" s="2">
        <f>主翼!K85</f>
        <v>0</v>
      </c>
      <c r="AQ40" s="29"/>
      <c r="AR40" s="29"/>
      <c r="AS40" s="29"/>
      <c r="AT40" s="29"/>
      <c r="AU40" s="1"/>
      <c r="AV40" s="2">
        <f>IF((AA40-AA39)&gt;0,(AI39+AI40+SQRT(AI39*AI40))*(AA40-AA39)/3*10^-6*$P$17,0)</f>
        <v>0.11208652326822853</v>
      </c>
    </row>
    <row r="41" spans="24:48">
      <c r="X41" s="1"/>
      <c r="Y41" s="218">
        <v>35</v>
      </c>
      <c r="Z41" s="113" t="str">
        <f t="shared" si="6"/>
        <v>2</v>
      </c>
      <c r="AA41" s="85">
        <f>VLOOKUP(Y41,主翼!B86:C185,2)</f>
        <v>7.4000000000000048</v>
      </c>
      <c r="AB41" s="86">
        <v>38.249999999999986</v>
      </c>
      <c r="AC41" s="86">
        <v>38.823749999999983</v>
      </c>
      <c r="AD41" s="86">
        <v>40.013999999999989</v>
      </c>
      <c r="AE41" s="86">
        <v>39.999749999999985</v>
      </c>
      <c r="AF41" s="201">
        <v>304812.71787787491</v>
      </c>
      <c r="AG41" s="201">
        <v>253844.78682415155</v>
      </c>
      <c r="AH41" s="201">
        <v>547729.62951030489</v>
      </c>
      <c r="AI41" s="202">
        <v>362.47748858476467</v>
      </c>
      <c r="AJ41" s="202">
        <v>4845.1545740225756</v>
      </c>
      <c r="AK41" s="86">
        <v>246.76156387050486</v>
      </c>
      <c r="AL41" s="86">
        <v>85.903385282820111</v>
      </c>
      <c r="AM41" s="199">
        <v>15.275785656728447</v>
      </c>
      <c r="AN41" s="27">
        <f t="shared" si="2"/>
        <v>26184.444342966639</v>
      </c>
      <c r="AO41" s="200">
        <f t="shared" si="3"/>
        <v>8367.000418238702</v>
      </c>
      <c r="AP41" s="2">
        <f>主翼!K86</f>
        <v>0</v>
      </c>
      <c r="AQ41" s="29"/>
      <c r="AR41" s="29"/>
      <c r="AS41" s="29"/>
      <c r="AT41" s="29"/>
      <c r="AU41" s="1"/>
      <c r="AV41" s="2">
        <f>IF((AA41-AA40)&gt;0,(AI40+AI41+SQRT(AI40*AI41))*(AA41-AA40)/3*10^-6*$P$17,0)</f>
        <v>0.10985640214805552</v>
      </c>
    </row>
    <row r="42" spans="24:48">
      <c r="X42" s="1"/>
      <c r="Y42" s="218">
        <v>36</v>
      </c>
      <c r="Z42" s="113" t="str">
        <f t="shared" si="6"/>
        <v>2</v>
      </c>
      <c r="AA42" s="85">
        <f>VLOOKUP(Y42,主翼!B87:C186,2)</f>
        <v>7.600000000000005</v>
      </c>
      <c r="AB42" s="86">
        <v>37.449999999999982</v>
      </c>
      <c r="AC42" s="86">
        <v>38.011749999999978</v>
      </c>
      <c r="AD42" s="86">
        <v>39.213999999999984</v>
      </c>
      <c r="AE42" s="86">
        <v>39.18774999999998</v>
      </c>
      <c r="AF42" s="201">
        <v>286489.29797711386</v>
      </c>
      <c r="AG42" s="201">
        <v>238488.77373775723</v>
      </c>
      <c r="AH42" s="201">
        <v>514702.15472897846</v>
      </c>
      <c r="AI42" s="202">
        <v>355.04387511119108</v>
      </c>
      <c r="AJ42" s="202">
        <v>4648.318136577388</v>
      </c>
      <c r="AK42" s="86">
        <v>241.69706060175457</v>
      </c>
      <c r="AL42" s="86">
        <v>85.903385282820111</v>
      </c>
      <c r="AM42" s="199">
        <v>15.275785656728447</v>
      </c>
      <c r="AN42" s="27">
        <f t="shared" si="2"/>
        <v>24610.400543532669</v>
      </c>
      <c r="AO42" s="200">
        <f t="shared" si="3"/>
        <v>7862.4797926961546</v>
      </c>
      <c r="AP42" s="2">
        <f>主翼!K87</f>
        <v>0</v>
      </c>
      <c r="AQ42" s="29"/>
      <c r="AR42" s="29"/>
      <c r="AS42" s="29"/>
      <c r="AT42" s="29"/>
      <c r="AU42" s="1"/>
      <c r="AV42" s="2">
        <f>IF((AA42-AA41)&gt;0,(AI41+AI42+SQRT(AI41*AI42))*(AA42-AA41)/3*10^-6*$P$17,0)</f>
        <v>0.10762627917297249</v>
      </c>
    </row>
    <row r="43" spans="24:48">
      <c r="X43" s="1"/>
      <c r="Y43" s="218">
        <v>37</v>
      </c>
      <c r="Z43" s="113" t="str">
        <f t="shared" si="6"/>
        <v>2</v>
      </c>
      <c r="AA43" s="85">
        <f>VLOOKUP(Y43,主翼!B88:C187,2)</f>
        <v>7.8000000000000052</v>
      </c>
      <c r="AB43" s="86">
        <v>36.649999999999977</v>
      </c>
      <c r="AC43" s="86">
        <v>37.199749999999973</v>
      </c>
      <c r="AD43" s="86">
        <v>38.41399999999998</v>
      </c>
      <c r="AE43" s="86">
        <v>38.375749999999975</v>
      </c>
      <c r="AF43" s="201">
        <v>268915.32246437855</v>
      </c>
      <c r="AG43" s="201">
        <v>223764.88830290662</v>
      </c>
      <c r="AH43" s="201">
        <v>483029.76094297785</v>
      </c>
      <c r="AI43" s="202">
        <v>347.61026054702086</v>
      </c>
      <c r="AJ43" s="202">
        <v>4455.5632563077461</v>
      </c>
      <c r="AK43" s="86">
        <v>236.63255900107742</v>
      </c>
      <c r="AL43" s="86">
        <v>85.903385282820111</v>
      </c>
      <c r="AM43" s="199">
        <v>15.275785656728447</v>
      </c>
      <c r="AN43" s="27">
        <f t="shared" si="2"/>
        <v>23100.736554111321</v>
      </c>
      <c r="AO43" s="200">
        <f t="shared" si="3"/>
        <v>7378.6590939857115</v>
      </c>
      <c r="AP43" s="2">
        <f>主翼!K88</f>
        <v>0</v>
      </c>
      <c r="AQ43" s="29"/>
      <c r="AR43" s="29"/>
      <c r="AS43" s="29"/>
      <c r="AT43" s="29"/>
      <c r="AU43" s="1"/>
      <c r="AV43" s="2">
        <f>IF((AA43-AA42)&gt;0,(AI42+AI43+SQRT(AI42*AI43))*(AA43-AA42)/3*10^-6*$P$17,0)</f>
        <v>0.10539615422596467</v>
      </c>
    </row>
    <row r="44" spans="24:48">
      <c r="X44" s="1"/>
      <c r="Y44" s="218">
        <v>38</v>
      </c>
      <c r="Z44" s="113" t="str">
        <f t="shared" si="6"/>
        <v>2</v>
      </c>
      <c r="AA44" s="85">
        <f>VLOOKUP(Y44,主翼!B89:C188,2)</f>
        <v>8.0000000000000053</v>
      </c>
      <c r="AB44" s="86">
        <v>35.84999999999998</v>
      </c>
      <c r="AC44" s="86">
        <v>36.387749999999976</v>
      </c>
      <c r="AD44" s="86">
        <v>37.613999999999983</v>
      </c>
      <c r="AE44" s="86">
        <v>37.563749999999978</v>
      </c>
      <c r="AF44" s="201">
        <v>252075.14263653546</v>
      </c>
      <c r="AG44" s="201">
        <v>209659.84445903162</v>
      </c>
      <c r="AH44" s="201">
        <v>452684.06351806998</v>
      </c>
      <c r="AI44" s="202">
        <v>340.17664482366717</v>
      </c>
      <c r="AJ44" s="202">
        <v>4266.8899332136489</v>
      </c>
      <c r="AK44" s="86">
        <v>231.56805917790666</v>
      </c>
      <c r="AL44" s="86">
        <v>85.903385282820111</v>
      </c>
      <c r="AM44" s="199">
        <v>15.275785656728447</v>
      </c>
      <c r="AN44" s="27">
        <f t="shared" si="2"/>
        <v>21654.108098128141</v>
      </c>
      <c r="AO44" s="200">
        <f t="shared" si="3"/>
        <v>6915.104724518882</v>
      </c>
      <c r="AP44" s="2">
        <f>主翼!K89</f>
        <v>0</v>
      </c>
      <c r="AQ44" s="29"/>
      <c r="AR44" s="29"/>
      <c r="AS44" s="29"/>
      <c r="AT44" s="29"/>
      <c r="AU44" s="1"/>
      <c r="AV44" s="2">
        <f>IF((AA44-AA43)&gt;0,(AI43+AI44+SQRT(AI43*AI44))*(AA44-AA43)/3*10^-6*$P$17,0)</f>
        <v>0.10316602717996205</v>
      </c>
    </row>
    <row r="45" spans="24:48">
      <c r="X45" s="1"/>
      <c r="Y45" s="218">
        <v>39</v>
      </c>
      <c r="Z45" s="113" t="str">
        <f t="shared" si="6"/>
        <v>2</v>
      </c>
      <c r="AA45" s="85">
        <f>VLOOKUP(Y45,主翼!B90:C189,2)</f>
        <v>8.2000000000000046</v>
      </c>
      <c r="AB45" s="86">
        <v>35.049999999999983</v>
      </c>
      <c r="AC45" s="86">
        <v>35.575749999999978</v>
      </c>
      <c r="AD45" s="86">
        <v>36.813999999999986</v>
      </c>
      <c r="AE45" s="86">
        <v>36.75174999999998</v>
      </c>
      <c r="AF45" s="201">
        <v>235953.10979043774</v>
      </c>
      <c r="AG45" s="201">
        <v>196160.356145567</v>
      </c>
      <c r="AH45" s="201">
        <v>423636.67782002658</v>
      </c>
      <c r="AI45" s="202">
        <v>332.74302786667636</v>
      </c>
      <c r="AJ45" s="202">
        <v>4082.2981672950941</v>
      </c>
      <c r="AK45" s="86">
        <v>226.50356125147474</v>
      </c>
      <c r="AL45" s="86">
        <v>85.903385282820111</v>
      </c>
      <c r="AM45" s="199">
        <v>15.275785656728447</v>
      </c>
      <c r="AN45" s="27">
        <f t="shared" si="2"/>
        <v>20269.170899007524</v>
      </c>
      <c r="AO45" s="200">
        <f t="shared" si="3"/>
        <v>6471.383086707252</v>
      </c>
      <c r="AP45" s="2">
        <f>主翼!K90</f>
        <v>0</v>
      </c>
      <c r="AQ45" s="29"/>
      <c r="AR45" s="29"/>
      <c r="AS45" s="29"/>
      <c r="AT45" s="29"/>
      <c r="AU45" s="1"/>
      <c r="AV45" s="2">
        <f>IF((AA45-AA44)&gt;0,(AI44+AI45+SQRT(AI44*AI45))*(AA45-AA44)/3*10^-6*$P$17,0)</f>
        <v>0.10093589789673471</v>
      </c>
    </row>
    <row r="46" spans="24:48">
      <c r="X46" s="1"/>
      <c r="Y46" s="218">
        <v>40</v>
      </c>
      <c r="Z46" s="113" t="str">
        <f t="shared" si="6"/>
        <v>2-3接合</v>
      </c>
      <c r="AA46" s="85">
        <f>VLOOKUP(Y46,主翼!B91:C190,2)</f>
        <v>8.4000000000000039</v>
      </c>
      <c r="AB46" s="86">
        <v>34.249999999999986</v>
      </c>
      <c r="AC46" s="86">
        <v>34.76374999999998</v>
      </c>
      <c r="AD46" s="86">
        <v>38.375999999999991</v>
      </c>
      <c r="AE46" s="86">
        <v>38.375999999999991</v>
      </c>
      <c r="AF46" s="201">
        <v>602333.69292182894</v>
      </c>
      <c r="AG46" s="201">
        <v>573642.09817685559</v>
      </c>
      <c r="AH46" s="201">
        <v>1173587.872951318</v>
      </c>
      <c r="AI46" s="202">
        <v>885.72366594038681</v>
      </c>
      <c r="AJ46" s="202">
        <v>4171.9152577882542</v>
      </c>
      <c r="AK46" s="86">
        <v>228.97671479633405</v>
      </c>
      <c r="AL46" s="86">
        <v>85.477862278174257</v>
      </c>
      <c r="AM46" s="199">
        <v>13.866312449637391</v>
      </c>
      <c r="AN46" s="27">
        <f t="shared" si="2"/>
        <v>51486.196449076197</v>
      </c>
      <c r="AO46" s="200">
        <f t="shared" si="3"/>
        <v>16273.336133448327</v>
      </c>
      <c r="AP46" s="2">
        <f>主翼!K91</f>
        <v>0</v>
      </c>
      <c r="AQ46" s="29"/>
      <c r="AR46" s="29"/>
      <c r="AS46" s="29"/>
      <c r="AT46" s="29"/>
      <c r="AU46" s="1"/>
      <c r="AV46" s="2">
        <f>IF((AA46-AA45)&gt;0,(AI45+AI46+SQRT(AI45*AI46))*(AA46-AA45)/3*10^-6*$P$17,0)</f>
        <v>0.17613463991361261</v>
      </c>
    </row>
    <row r="47" spans="24:48">
      <c r="X47" s="1"/>
      <c r="Y47" s="218">
        <v>41</v>
      </c>
      <c r="Z47" s="113" t="str">
        <f t="shared" si="6"/>
        <v>2-3接合</v>
      </c>
      <c r="AA47" s="85">
        <f>VLOOKUP(Y47,主翼!B92:C191,2)</f>
        <v>8.6000000000000032</v>
      </c>
      <c r="AB47" s="86">
        <v>33.449999999999989</v>
      </c>
      <c r="AC47" s="86">
        <v>33.951749999999983</v>
      </c>
      <c r="AD47" s="86">
        <v>37.525999999999996</v>
      </c>
      <c r="AE47" s="86">
        <v>37.525999999999996</v>
      </c>
      <c r="AF47" s="201">
        <v>555596.40273045574</v>
      </c>
      <c r="AG47" s="201">
        <v>529551.70814734278</v>
      </c>
      <c r="AH47" s="201">
        <v>1082999.2013643503</v>
      </c>
      <c r="AI47" s="202">
        <v>855.75769410050168</v>
      </c>
      <c r="AJ47" s="202">
        <v>3984.4857198927471</v>
      </c>
      <c r="AK47" s="86">
        <v>223.77404446313724</v>
      </c>
      <c r="AL47" s="86">
        <v>85.477862278174257</v>
      </c>
      <c r="AM47" s="199">
        <v>13.866312449637391</v>
      </c>
      <c r="AN47" s="27">
        <f t="shared" si="2"/>
        <v>47491.192794842937</v>
      </c>
      <c r="AO47" s="200">
        <f t="shared" si="3"/>
        <v>15017.205308825842</v>
      </c>
      <c r="AP47" s="2">
        <f>主翼!K92</f>
        <v>0</v>
      </c>
      <c r="AQ47" s="29"/>
      <c r="AR47" s="29"/>
      <c r="AS47" s="29"/>
      <c r="AT47" s="29"/>
      <c r="AU47" s="1"/>
      <c r="AV47" s="2">
        <f>IF((AA47-AA46)&gt;0,(AI46+AI47+SQRT(AI46*AI47))*(AA47-AA46)/3*10^-6*$P$17,0)</f>
        <v>0.26120931230991251</v>
      </c>
    </row>
    <row r="48" spans="24:48">
      <c r="X48" s="1"/>
      <c r="Y48" s="218">
        <v>42</v>
      </c>
      <c r="Z48" s="113" t="str">
        <f t="shared" si="6"/>
        <v>3</v>
      </c>
      <c r="AA48" s="85">
        <f>VLOOKUP(Y48,主翼!B93:C192,2)</f>
        <v>8.8000000000000025</v>
      </c>
      <c r="AB48" s="86">
        <v>35.499999999999993</v>
      </c>
      <c r="AC48" s="86">
        <v>35.499999999999993</v>
      </c>
      <c r="AD48" s="86">
        <v>36.675999999999995</v>
      </c>
      <c r="AE48" s="86">
        <v>36.675999999999995</v>
      </c>
      <c r="AF48" s="201">
        <v>173643.64390936267</v>
      </c>
      <c r="AG48" s="201">
        <v>173643.64390936503</v>
      </c>
      <c r="AH48" s="201">
        <v>347287.28814223426</v>
      </c>
      <c r="AI48" s="202">
        <v>266.66330561240511</v>
      </c>
      <c r="AJ48" s="202">
        <v>4091.4335385990248</v>
      </c>
      <c r="AK48" s="86">
        <v>226.75451157534059</v>
      </c>
      <c r="AL48" s="86">
        <v>85.052339273528418</v>
      </c>
      <c r="AM48" s="199">
        <v>12.456839242546334</v>
      </c>
      <c r="AN48" s="27">
        <f t="shared" si="2"/>
        <v>14768.79811447087</v>
      </c>
      <c r="AO48" s="200">
        <f t="shared" si="3"/>
        <v>4326.1019193676793</v>
      </c>
      <c r="AP48" s="2">
        <f>主翼!K93</f>
        <v>0</v>
      </c>
      <c r="AQ48" s="29"/>
      <c r="AR48" s="29"/>
      <c r="AS48" s="29"/>
      <c r="AT48" s="29"/>
      <c r="AU48" s="1"/>
      <c r="AV48" s="2">
        <f>IF((AA48-AA47)&gt;0,(AI47+AI48+SQRT(AI47*AI48))*(AA48-AA47)/3*10^-6*$P$17,0)</f>
        <v>0.16001229732404229</v>
      </c>
    </row>
    <row r="49" spans="2:48">
      <c r="X49" s="1"/>
      <c r="Y49" s="218">
        <v>43</v>
      </c>
      <c r="Z49" s="113" t="str">
        <f t="shared" si="6"/>
        <v>3</v>
      </c>
      <c r="AA49" s="85">
        <f>VLOOKUP(Y49,主翼!B94:C193,2)</f>
        <v>9.0000000000000018</v>
      </c>
      <c r="AB49" s="86">
        <v>34.65</v>
      </c>
      <c r="AC49" s="86">
        <v>34.65</v>
      </c>
      <c r="AD49" s="86">
        <v>35.826000000000001</v>
      </c>
      <c r="AE49" s="86">
        <v>35.826000000000001</v>
      </c>
      <c r="AF49" s="201">
        <v>161660.60595430189</v>
      </c>
      <c r="AG49" s="201">
        <v>161660.60595430166</v>
      </c>
      <c r="AH49" s="201">
        <v>323321.21220957884</v>
      </c>
      <c r="AI49" s="202">
        <v>260.38244189672696</v>
      </c>
      <c r="AJ49" s="202">
        <v>3900.9678866305726</v>
      </c>
      <c r="AK49" s="86">
        <v>221.41364106857873</v>
      </c>
      <c r="AL49" s="86">
        <v>85.052339273528418</v>
      </c>
      <c r="AM49" s="199">
        <v>12.456839242546334</v>
      </c>
      <c r="AN49" s="27">
        <f t="shared" si="2"/>
        <v>13749.612704789473</v>
      </c>
      <c r="AO49" s="200">
        <f t="shared" si="3"/>
        <v>4027.5603641999328</v>
      </c>
      <c r="AP49" s="2">
        <f>主翼!K94</f>
        <v>0</v>
      </c>
      <c r="AQ49" s="29"/>
      <c r="AR49" s="29"/>
      <c r="AS49" s="29"/>
      <c r="AT49" s="29"/>
      <c r="AU49" s="1"/>
      <c r="AV49" s="2">
        <f>IF((AA49-AA48)&gt;0,(AI48+AI49+SQRT(AI48*AI49))*(AA49-AA48)/3*10^-6*$P$17,0)</f>
        <v>7.9054990815865533E-2</v>
      </c>
    </row>
    <row r="50" spans="2:48">
      <c r="B50" t="s">
        <v>1002</v>
      </c>
      <c r="X50" s="1"/>
      <c r="Y50" s="218">
        <v>44</v>
      </c>
      <c r="Z50" s="113" t="str">
        <f t="shared" si="6"/>
        <v>3</v>
      </c>
      <c r="AA50" s="85">
        <f>VLOOKUP(Y50,主翼!B95:C194,2)</f>
        <v>9.2000000000000011</v>
      </c>
      <c r="AB50" s="86">
        <v>33.799999999999997</v>
      </c>
      <c r="AC50" s="86">
        <v>33.799999999999997</v>
      </c>
      <c r="AD50" s="86">
        <v>34.975999999999999</v>
      </c>
      <c r="AE50" s="86">
        <v>34.975999999999999</v>
      </c>
      <c r="AF50" s="201">
        <v>150241.94694205312</v>
      </c>
      <c r="AG50" s="201">
        <v>150241.94694205097</v>
      </c>
      <c r="AH50" s="201">
        <v>300483.89416411839</v>
      </c>
      <c r="AI50" s="202">
        <v>254.10157818104358</v>
      </c>
      <c r="AJ50" s="202">
        <v>3715.0418360465555</v>
      </c>
      <c r="AK50" s="86">
        <v>216.07277056230714</v>
      </c>
      <c r="AL50" s="86">
        <v>85.052339273528418</v>
      </c>
      <c r="AM50" s="199">
        <v>12.456839242546334</v>
      </c>
      <c r="AN50" s="27">
        <f t="shared" si="2"/>
        <v>12778.429044430959</v>
      </c>
      <c r="AO50" s="200">
        <f t="shared" si="3"/>
        <v>3743.0795645767294</v>
      </c>
      <c r="AP50" s="2">
        <f>主翼!K95</f>
        <v>0</v>
      </c>
      <c r="AQ50" s="29"/>
      <c r="AR50" s="29"/>
      <c r="AS50" s="29"/>
      <c r="AT50" s="29"/>
      <c r="AU50" s="1"/>
      <c r="AV50" s="2">
        <f>IF((AA50-AA49)&gt;0,(AI49+AI50+SQRT(AI49*AI50))*(AA50-AA49)/3*10^-6*$P$17,0)</f>
        <v>7.7170686007568129E-2</v>
      </c>
    </row>
    <row r="51" spans="2:48">
      <c r="X51" s="1"/>
      <c r="Y51" s="218">
        <v>45</v>
      </c>
      <c r="Z51" s="113" t="str">
        <f t="shared" si="6"/>
        <v>3</v>
      </c>
      <c r="AA51" s="85">
        <f>VLOOKUP(Y51,主翼!B96:C195,2)</f>
        <v>9.4</v>
      </c>
      <c r="AB51" s="86">
        <v>32.950000000000003</v>
      </c>
      <c r="AC51" s="86">
        <v>32.950000000000003</v>
      </c>
      <c r="AD51" s="86">
        <v>34.126000000000005</v>
      </c>
      <c r="AE51" s="86">
        <v>34.126000000000005</v>
      </c>
      <c r="AF51" s="201">
        <v>139374.05310051149</v>
      </c>
      <c r="AG51" s="201">
        <v>139374.05310051152</v>
      </c>
      <c r="AH51" s="201">
        <v>278748.10646056669</v>
      </c>
      <c r="AI51" s="202">
        <v>247.82071446538842</v>
      </c>
      <c r="AJ51" s="202">
        <v>3533.6553868469778</v>
      </c>
      <c r="AK51" s="86">
        <v>210.7319000555658</v>
      </c>
      <c r="AL51" s="86">
        <v>85.052339273528418</v>
      </c>
      <c r="AM51" s="199">
        <v>12.456839242546334</v>
      </c>
      <c r="AN51" s="27">
        <f t="shared" si="2"/>
        <v>11854.089250231469</v>
      </c>
      <c r="AO51" s="200">
        <f t="shared" si="3"/>
        <v>3472.3203513434701</v>
      </c>
      <c r="AP51" s="2">
        <f>主翼!K96</f>
        <v>0</v>
      </c>
      <c r="AQ51" s="29"/>
      <c r="AR51" s="29"/>
      <c r="AS51" s="29"/>
      <c r="AT51" s="29"/>
      <c r="AU51" s="1"/>
      <c r="AV51" s="2">
        <f>IF((AA51-AA50)&gt;0,(AI50+AI51+SQRT(AI50*AI51))*(AA51-AA50)/3*10^-6*$P$17,0)</f>
        <v>7.5286378911843366E-2</v>
      </c>
    </row>
    <row r="52" spans="2:48">
      <c r="B52" s="35" t="s">
        <v>900</v>
      </c>
      <c r="C52" s="134">
        <v>500</v>
      </c>
      <c r="D52" s="35" t="s">
        <v>819</v>
      </c>
      <c r="F52" s="35" t="s">
        <v>912</v>
      </c>
      <c r="G52" s="35" t="e">
        <f>(C51-#REF!)*(C52-1)+C51</f>
        <v>#REF!</v>
      </c>
      <c r="H52" s="35" t="s">
        <v>819</v>
      </c>
      <c r="J52" s="35" t="s">
        <v>1192</v>
      </c>
      <c r="K52" s="35"/>
      <c r="L52" s="35" t="s">
        <v>36</v>
      </c>
      <c r="O52" t="s">
        <v>1193</v>
      </c>
      <c r="X52" s="1"/>
      <c r="Y52" s="218">
        <v>46</v>
      </c>
      <c r="Z52" s="113" t="str">
        <f t="shared" si="6"/>
        <v>3</v>
      </c>
      <c r="AA52" s="85">
        <f>VLOOKUP(Y52,主翼!B97:C196,2)</f>
        <v>9.6</v>
      </c>
      <c r="AB52" s="86">
        <v>32.100000000000009</v>
      </c>
      <c r="AC52" s="86">
        <v>32.100000000000009</v>
      </c>
      <c r="AD52" s="86">
        <v>33.27600000000001</v>
      </c>
      <c r="AE52" s="86">
        <v>33.27600000000001</v>
      </c>
      <c r="AF52" s="201">
        <v>129043.31065757385</v>
      </c>
      <c r="AG52" s="201">
        <v>129043.3106575729</v>
      </c>
      <c r="AH52" s="201">
        <v>258086.62155568425</v>
      </c>
      <c r="AI52" s="202">
        <v>241.53985074970598</v>
      </c>
      <c r="AJ52" s="202">
        <v>3356.808539031837</v>
      </c>
      <c r="AK52" s="86">
        <v>205.39102954915421</v>
      </c>
      <c r="AL52" s="86">
        <v>85.052339273528418</v>
      </c>
      <c r="AM52" s="199">
        <v>12.456839242546334</v>
      </c>
      <c r="AN52" s="27">
        <f t="shared" si="2"/>
        <v>10975.435439027297</v>
      </c>
      <c r="AO52" s="200">
        <f t="shared" si="3"/>
        <v>3214.9435553710523</v>
      </c>
      <c r="AP52" s="2">
        <f>主翼!K97</f>
        <v>0</v>
      </c>
      <c r="AQ52" s="29"/>
      <c r="AR52" s="29"/>
      <c r="AS52" s="29"/>
      <c r="AT52" s="29"/>
      <c r="AU52" s="1"/>
      <c r="AV52" s="2">
        <f>IF((AA52-AA51)&gt;0,(AI51+AI52+SQRT(AI51*AI52))*(AA52-AA51)/3*10^-6*$P$17,0)</f>
        <v>7.3402069352507079E-2</v>
      </c>
    </row>
    <row r="53" spans="2:48">
      <c r="B53" s="35" t="s">
        <v>901</v>
      </c>
      <c r="C53" s="134">
        <v>40</v>
      </c>
      <c r="D53" s="35" t="s">
        <v>819</v>
      </c>
      <c r="F53" s="35" t="s">
        <v>914</v>
      </c>
      <c r="G53" s="35" t="e">
        <f>G52-C53*2</f>
        <v>#REF!</v>
      </c>
      <c r="H53" s="35" t="s">
        <v>819</v>
      </c>
      <c r="J53" s="35" t="s">
        <v>1071</v>
      </c>
      <c r="K53" s="134"/>
      <c r="L53" s="35" t="s">
        <v>6</v>
      </c>
      <c r="X53" s="1"/>
      <c r="Y53" s="218">
        <v>47</v>
      </c>
      <c r="Z53" s="113" t="str">
        <f t="shared" si="6"/>
        <v>3</v>
      </c>
      <c r="AA53" s="85">
        <f>VLOOKUP(Y53,主翼!B98:C197,2)</f>
        <v>9.7999999999999989</v>
      </c>
      <c r="AB53" s="86">
        <v>31.250000000000007</v>
      </c>
      <c r="AC53" s="86">
        <v>31.250000000000007</v>
      </c>
      <c r="AD53" s="86">
        <v>32.426000000000009</v>
      </c>
      <c r="AE53" s="86">
        <v>32.426000000000009</v>
      </c>
      <c r="AF53" s="201">
        <v>119236.1058411363</v>
      </c>
      <c r="AG53" s="201">
        <v>119236.10584113518</v>
      </c>
      <c r="AH53" s="201">
        <v>238472.21190441577</v>
      </c>
      <c r="AI53" s="202">
        <v>235.2589870340297</v>
      </c>
      <c r="AJ53" s="202">
        <v>3184.5012926011318</v>
      </c>
      <c r="AK53" s="86">
        <v>200.0501590427312</v>
      </c>
      <c r="AL53" s="86">
        <v>85.052339273528418</v>
      </c>
      <c r="AM53" s="199">
        <v>12.456839242546334</v>
      </c>
      <c r="AN53" s="27">
        <f t="shared" si="2"/>
        <v>10141.309727654669</v>
      </c>
      <c r="AO53" s="200">
        <f t="shared" si="3"/>
        <v>2970.6100075077511</v>
      </c>
      <c r="AP53" s="2">
        <f>主翼!K98</f>
        <v>0</v>
      </c>
      <c r="AQ53" s="29"/>
      <c r="AR53" s="29"/>
      <c r="AS53" s="29"/>
      <c r="AT53" s="29"/>
      <c r="AU53" s="1"/>
      <c r="AV53" s="2">
        <f>IF((AA53-AA52)&gt;0,(AI52+AI53+SQRT(AI52*AI53))*(AA53-AA52)/3*10^-6*$P$17,0)</f>
        <v>7.1517757134804766E-2</v>
      </c>
    </row>
    <row r="54" spans="2:48">
      <c r="B54" s="35" t="s">
        <v>902</v>
      </c>
      <c r="C54" s="134">
        <v>9</v>
      </c>
      <c r="D54" s="35" t="s">
        <v>903</v>
      </c>
      <c r="F54" s="35" t="s">
        <v>1318</v>
      </c>
      <c r="G54" s="35" t="e">
        <f>G53-C54*2</f>
        <v>#REF!</v>
      </c>
      <c r="H54" s="35" t="s">
        <v>819</v>
      </c>
      <c r="J54" s="35" t="s">
        <v>1319</v>
      </c>
      <c r="K54" s="35"/>
      <c r="L54" s="35" t="s">
        <v>36</v>
      </c>
      <c r="Q54" t="s">
        <v>910</v>
      </c>
      <c r="R54" t="s">
        <v>911</v>
      </c>
      <c r="X54" s="1"/>
      <c r="Y54" s="218">
        <v>48</v>
      </c>
      <c r="Z54" s="113" t="str">
        <f t="shared" si="6"/>
        <v>3</v>
      </c>
      <c r="AA54" s="85">
        <f>VLOOKUP(Y54,主翼!B99:C198,2)</f>
        <v>9.9999999999999982</v>
      </c>
      <c r="AB54" s="86">
        <v>30.400000000000013</v>
      </c>
      <c r="AC54" s="86">
        <v>30.400000000000013</v>
      </c>
      <c r="AD54" s="86">
        <v>31.576000000000011</v>
      </c>
      <c r="AE54" s="86">
        <v>31.576000000000011</v>
      </c>
      <c r="AF54" s="201">
        <v>109938.8248790951</v>
      </c>
      <c r="AG54" s="201">
        <v>109938.82487909358</v>
      </c>
      <c r="AH54" s="201">
        <v>219877.64996291313</v>
      </c>
      <c r="AI54" s="202">
        <v>228.97812331834791</v>
      </c>
      <c r="AJ54" s="202">
        <v>3016.7336475548655</v>
      </c>
      <c r="AK54" s="86">
        <v>194.7092885360114</v>
      </c>
      <c r="AL54" s="86">
        <v>85.052339273528418</v>
      </c>
      <c r="AM54" s="199">
        <v>12.456839242546334</v>
      </c>
      <c r="AN54" s="27">
        <f t="shared" si="2"/>
        <v>9350.5542329498239</v>
      </c>
      <c r="AO54" s="200">
        <f t="shared" si="3"/>
        <v>2738.9805386168828</v>
      </c>
      <c r="AP54" s="2">
        <f>主翼!K99</f>
        <v>0</v>
      </c>
      <c r="AQ54" s="29"/>
      <c r="AR54" s="29"/>
      <c r="AS54" s="29"/>
      <c r="AT54" s="29"/>
      <c r="AU54" s="1"/>
      <c r="AV54" s="2">
        <f>IF((AA54-AA53)&gt;0,(AI53+AI54+SQRT(AI53*AI54))*(AA54-AA53)/3*10^-6*$P$17,0)</f>
        <v>6.9633442042904892E-2</v>
      </c>
    </row>
    <row r="55" spans="2:48">
      <c r="B55" s="35" t="s">
        <v>904</v>
      </c>
      <c r="C55" s="134">
        <v>50</v>
      </c>
      <c r="D55" s="35" t="s">
        <v>819</v>
      </c>
      <c r="F55" s="35" t="s">
        <v>916</v>
      </c>
      <c r="G55" s="35"/>
      <c r="H55" s="35" t="s">
        <v>819</v>
      </c>
      <c r="J55" s="35" t="s">
        <v>1071</v>
      </c>
      <c r="K55" s="134"/>
      <c r="L55" s="35" t="s">
        <v>6</v>
      </c>
      <c r="O55" t="s">
        <v>913</v>
      </c>
      <c r="P55" s="35" t="s">
        <v>906</v>
      </c>
      <c r="Q55" s="142" t="e">
        <f>#REF!</f>
        <v>#REF!</v>
      </c>
      <c r="R55" s="142" t="e">
        <f>Q55+#REF!*(#REF!+#REF!)*2</f>
        <v>#REF!</v>
      </c>
      <c r="X55" s="1"/>
      <c r="Y55" s="218">
        <v>49</v>
      </c>
      <c r="Z55" s="113" t="str">
        <f t="shared" si="6"/>
        <v>3</v>
      </c>
      <c r="AA55" s="85">
        <f>VLOOKUP(Y55,主翼!B100:C199,2)</f>
        <v>10.199999999999998</v>
      </c>
      <c r="AB55" s="86">
        <v>29.550000000000015</v>
      </c>
      <c r="AC55" s="86">
        <v>29.550000000000015</v>
      </c>
      <c r="AD55" s="86">
        <v>30.726000000000013</v>
      </c>
      <c r="AE55" s="86">
        <v>30.726000000000013</v>
      </c>
      <c r="AF55" s="201">
        <v>101137.85399934588</v>
      </c>
      <c r="AG55" s="201">
        <v>101137.85399934708</v>
      </c>
      <c r="AH55" s="201">
        <v>202275.70818720915</v>
      </c>
      <c r="AI55" s="202">
        <v>222.69725960279808</v>
      </c>
      <c r="AJ55" s="202">
        <v>2853.5056038930347</v>
      </c>
      <c r="AK55" s="86">
        <v>189.36841802972947</v>
      </c>
      <c r="AL55" s="86">
        <v>85.052339273528418</v>
      </c>
      <c r="AM55" s="199">
        <v>12.456839242546334</v>
      </c>
      <c r="AN55" s="27">
        <f t="shared" si="2"/>
        <v>8602.0110717489497</v>
      </c>
      <c r="AO55" s="200">
        <f t="shared" si="3"/>
        <v>2519.7159795602779</v>
      </c>
      <c r="AP55" s="2">
        <f>主翼!K100</f>
        <v>0</v>
      </c>
      <c r="AQ55" s="29"/>
      <c r="AR55" s="29"/>
      <c r="AS55" s="29"/>
      <c r="AT55" s="29"/>
      <c r="AU55" s="1"/>
      <c r="AV55" s="2">
        <f>IF((AA55-AA54)&gt;0,(AI54+AI55+SQRT(AI54*AI55))*(AA55-AA54)/3*10^-6*$P$17,0)</f>
        <v>6.7749123836975386E-2</v>
      </c>
    </row>
    <row r="56" spans="2:48">
      <c r="J56" s="1" t="s">
        <v>1183</v>
      </c>
      <c r="K56" s="134">
        <v>1.1000000000000001</v>
      </c>
      <c r="L56" s="35"/>
      <c r="P56" s="35" t="s">
        <v>915</v>
      </c>
      <c r="Q56" s="142" t="e">
        <f>#REF!*#REF!</f>
        <v>#REF!</v>
      </c>
      <c r="R56" s="142" t="e">
        <f>Q56+#REF!*#REF!*2</f>
        <v>#REF!</v>
      </c>
      <c r="X56" s="1"/>
      <c r="Y56" s="218">
        <v>50</v>
      </c>
      <c r="Z56" s="113" t="str">
        <f t="shared" si="6"/>
        <v>3</v>
      </c>
      <c r="AA56" s="85">
        <f>VLOOKUP(Y56,主翼!B101:C200,2)</f>
        <v>10.399999999999997</v>
      </c>
      <c r="AB56" s="86">
        <v>28.700000000000017</v>
      </c>
      <c r="AC56" s="86">
        <v>28.700000000000017</v>
      </c>
      <c r="AD56" s="86">
        <v>29.876000000000015</v>
      </c>
      <c r="AE56" s="86">
        <v>29.876000000000015</v>
      </c>
      <c r="AF56" s="201">
        <v>92819.579429787424</v>
      </c>
      <c r="AG56" s="201">
        <v>92819.579429787511</v>
      </c>
      <c r="AH56" s="201">
        <v>185639.15903248076</v>
      </c>
      <c r="AI56" s="202">
        <v>216.41639588712061</v>
      </c>
      <c r="AJ56" s="202">
        <v>2694.8171616156428</v>
      </c>
      <c r="AK56" s="86">
        <v>184.02754752303656</v>
      </c>
      <c r="AL56" s="86">
        <v>85.052339273528418</v>
      </c>
      <c r="AM56" s="199">
        <v>12.456839242546334</v>
      </c>
      <c r="AN56" s="27">
        <f t="shared" si="2"/>
        <v>7894.5223608884999</v>
      </c>
      <c r="AO56" s="200">
        <f t="shared" si="3"/>
        <v>2312.477161189106</v>
      </c>
      <c r="AP56" s="2">
        <f>主翼!K101</f>
        <v>0</v>
      </c>
      <c r="AQ56" s="29"/>
      <c r="AR56" s="29"/>
      <c r="AS56" s="29"/>
      <c r="AT56" s="29"/>
      <c r="AU56" s="1"/>
      <c r="AV56" s="2">
        <f>IF((AA56-AA55)&gt;0,(AI55+AI56+SQRT(AI55*AI56))*(AA56-AA55)/3*10^-6*$P$17,0)</f>
        <v>6.5864802249694335E-2</v>
      </c>
    </row>
    <row r="57" spans="2:48">
      <c r="P57" s="35" t="s">
        <v>917</v>
      </c>
      <c r="Q57" s="142" t="e">
        <f>#REF!</f>
        <v>#REF!</v>
      </c>
      <c r="R57" s="142" t="e">
        <f>Q57+#REF!*(#REF!+#REF!)*2</f>
        <v>#REF!</v>
      </c>
      <c r="X57" s="1"/>
      <c r="Y57" s="218">
        <v>51</v>
      </c>
      <c r="Z57" s="113" t="str">
        <f t="shared" si="6"/>
        <v>3</v>
      </c>
      <c r="AA57" s="85">
        <f>VLOOKUP(Y57,主翼!B102:C201,2)</f>
        <v>10.599999999999996</v>
      </c>
      <c r="AB57" s="86">
        <v>27.850000000000023</v>
      </c>
      <c r="AC57" s="86">
        <v>27.850000000000023</v>
      </c>
      <c r="AD57" s="86">
        <v>29.026000000000021</v>
      </c>
      <c r="AE57" s="86">
        <v>29.026000000000021</v>
      </c>
      <c r="AF57" s="201">
        <v>84970.387398313265</v>
      </c>
      <c r="AG57" s="201">
        <v>84970.387398314153</v>
      </c>
      <c r="AH57" s="201">
        <v>169940.77495503944</v>
      </c>
      <c r="AI57" s="202">
        <v>210.1355321714521</v>
      </c>
      <c r="AJ57" s="202">
        <v>2540.6683207226879</v>
      </c>
      <c r="AK57" s="86">
        <v>178.68667701657924</v>
      </c>
      <c r="AL57" s="86">
        <v>85.052339273528418</v>
      </c>
      <c r="AM57" s="199">
        <v>12.456839242546334</v>
      </c>
      <c r="AN57" s="27">
        <f t="shared" si="2"/>
        <v>7226.9302172044836</v>
      </c>
      <c r="AO57" s="200">
        <f t="shared" si="3"/>
        <v>2116.9249143686707</v>
      </c>
      <c r="AP57" s="2">
        <f>主翼!K102</f>
        <v>0</v>
      </c>
      <c r="AQ57" s="29"/>
      <c r="AR57" s="29"/>
      <c r="AS57" s="29"/>
      <c r="AT57" s="29"/>
      <c r="AU57" s="1"/>
      <c r="AV57" s="2">
        <f>IF((AA57-AA56)&gt;0,(AI56+AI57+SQRT(AI56*AI57))*(AA57-AA56)/3*10^-6*$P$17,0)</f>
        <v>6.3980476982244419E-2</v>
      </c>
    </row>
    <row r="58" spans="2:48">
      <c r="B58" s="38" t="s">
        <v>905</v>
      </c>
      <c r="C58" s="38">
        <v>1</v>
      </c>
      <c r="D58" s="38">
        <v>2</v>
      </c>
      <c r="E58" s="38">
        <v>3</v>
      </c>
      <c r="F58" s="38">
        <v>4</v>
      </c>
      <c r="G58" s="38">
        <v>5</v>
      </c>
      <c r="H58" s="38">
        <v>6</v>
      </c>
      <c r="I58" s="38">
        <v>7</v>
      </c>
      <c r="J58" s="38">
        <v>8</v>
      </c>
      <c r="K58" s="38">
        <v>9</v>
      </c>
      <c r="L58" s="38"/>
      <c r="M58" s="38"/>
      <c r="P58" s="35" t="s">
        <v>909</v>
      </c>
      <c r="Q58" s="142" t="e">
        <f>#REF!*#REF!</f>
        <v>#REF!</v>
      </c>
      <c r="R58" s="142" t="e">
        <f>Q58+#REF!*#REF!*2</f>
        <v>#REF!</v>
      </c>
      <c r="X58" s="1"/>
      <c r="Y58" s="218">
        <v>52</v>
      </c>
      <c r="Z58" s="113" t="str">
        <f t="shared" si="6"/>
        <v>3</v>
      </c>
      <c r="AA58" s="85">
        <f>VLOOKUP(Y58,主翼!B103:C202,2)</f>
        <v>10.799999999999995</v>
      </c>
      <c r="AB58" s="86">
        <v>27.000000000000025</v>
      </c>
      <c r="AC58" s="86">
        <v>27.000000000000025</v>
      </c>
      <c r="AD58" s="86">
        <v>28.176000000000023</v>
      </c>
      <c r="AE58" s="86">
        <v>28.176000000000023</v>
      </c>
      <c r="AF58" s="201">
        <v>77576.66413282312</v>
      </c>
      <c r="AG58" s="201">
        <v>77576.664132823091</v>
      </c>
      <c r="AH58" s="201">
        <v>155153.32841003747</v>
      </c>
      <c r="AI58" s="202">
        <v>203.85466845581075</v>
      </c>
      <c r="AJ58" s="202">
        <v>2391.0590812141691</v>
      </c>
      <c r="AK58" s="86">
        <v>173.3458065101529</v>
      </c>
      <c r="AL58" s="86">
        <v>85.052339273528418</v>
      </c>
      <c r="AM58" s="199">
        <v>12.456839242546334</v>
      </c>
      <c r="AN58" s="27">
        <f t="shared" si="2"/>
        <v>6598.0767575334348</v>
      </c>
      <c r="AO58" s="200">
        <f t="shared" si="3"/>
        <v>1932.7200699498337</v>
      </c>
      <c r="AP58" s="2">
        <f>主翼!K103</f>
        <v>0</v>
      </c>
      <c r="AQ58" s="29"/>
      <c r="AR58" s="29"/>
      <c r="AS58" s="29"/>
      <c r="AT58" s="29"/>
      <c r="AU58" s="1"/>
      <c r="AV58" s="2">
        <f>IF((AA58-AA57)&gt;0,(AI57+AI58+SQRT(AI57*AI58))*(AA58-AA57)/3*10^-6*$P$17,0)</f>
        <v>6.209614769957382E-2</v>
      </c>
    </row>
    <row r="59" spans="2:48">
      <c r="B59" s="38" t="s">
        <v>906</v>
      </c>
      <c r="C59" s="141" t="e">
        <f>#REF!+$I$7*(#REF!-$C$4)/2</f>
        <v>#REF!</v>
      </c>
      <c r="D59" s="141" t="e">
        <f t="shared" ref="D59:K59" si="7">C61+$I$7*$C$6</f>
        <v>#REF!</v>
      </c>
      <c r="E59" s="141" t="e">
        <f t="shared" si="7"/>
        <v>#REF!</v>
      </c>
      <c r="F59" s="141" t="e">
        <f t="shared" si="7"/>
        <v>#REF!</v>
      </c>
      <c r="G59" s="141" t="e">
        <f t="shared" si="7"/>
        <v>#REF!</v>
      </c>
      <c r="H59" s="141" t="e">
        <f t="shared" si="7"/>
        <v>#REF!</v>
      </c>
      <c r="I59" s="141" t="e">
        <f t="shared" si="7"/>
        <v>#REF!</v>
      </c>
      <c r="J59" s="141" t="e">
        <f t="shared" si="7"/>
        <v>#REF!</v>
      </c>
      <c r="K59" s="141" t="e">
        <f t="shared" si="7"/>
        <v>#REF!</v>
      </c>
      <c r="L59" s="141"/>
      <c r="M59" s="141"/>
      <c r="O59" t="s">
        <v>918</v>
      </c>
      <c r="P59" s="35" t="s">
        <v>906</v>
      </c>
      <c r="Q59" s="142" t="e">
        <f>C59-#REF!*C53</f>
        <v>#REF!</v>
      </c>
      <c r="R59" s="142" t="e">
        <f>Q59+#REF!*(#REF!+#REF!)*2</f>
        <v>#REF!</v>
      </c>
      <c r="X59" s="1"/>
      <c r="Y59" s="218">
        <v>53</v>
      </c>
      <c r="Z59" s="113" t="str">
        <f t="shared" si="6"/>
        <v>3</v>
      </c>
      <c r="AA59" s="85">
        <f>VLOOKUP(Y59,主翼!B104:C203,2)</f>
        <v>10.999999999999995</v>
      </c>
      <c r="AB59" s="86">
        <v>26.150000000000027</v>
      </c>
      <c r="AC59" s="86">
        <v>26.150000000000027</v>
      </c>
      <c r="AD59" s="86">
        <v>27.326000000000025</v>
      </c>
      <c r="AE59" s="86">
        <v>27.326000000000025</v>
      </c>
      <c r="AF59" s="201">
        <v>70624.795861208884</v>
      </c>
      <c r="AG59" s="201">
        <v>70624.795861209495</v>
      </c>
      <c r="AH59" s="201">
        <v>141249.59185394619</v>
      </c>
      <c r="AI59" s="202">
        <v>197.57380474013647</v>
      </c>
      <c r="AJ59" s="202">
        <v>2245.9894430900886</v>
      </c>
      <c r="AK59" s="86">
        <v>168.00493600362259</v>
      </c>
      <c r="AL59" s="86">
        <v>85.052339273528418</v>
      </c>
      <c r="AM59" s="199">
        <v>12.456839242546334</v>
      </c>
      <c r="AN59" s="27">
        <f t="shared" si="2"/>
        <v>6006.8040987112236</v>
      </c>
      <c r="AO59" s="200">
        <f t="shared" si="3"/>
        <v>1759.5234587998898</v>
      </c>
      <c r="AP59" s="2">
        <f>主翼!K104</f>
        <v>0</v>
      </c>
      <c r="AQ59" s="29"/>
      <c r="AR59" s="29"/>
      <c r="AS59" s="29"/>
      <c r="AT59" s="29"/>
      <c r="AU59" s="1"/>
      <c r="AV59" s="2">
        <f>IF((AA59-AA58)&gt;0,(AI58+AI59+SQRT(AI58*AI59))*(AA59-AA58)/3*10^-6*$P$17,0)</f>
        <v>6.0211814024647745E-2</v>
      </c>
    </row>
    <row r="60" spans="2:48">
      <c r="B60" s="38" t="s">
        <v>907</v>
      </c>
      <c r="C60" s="141" t="e">
        <f>C59*#REF!</f>
        <v>#REF!</v>
      </c>
      <c r="D60" s="141" t="e">
        <f t="shared" ref="D60:K60" si="8">D59*$I$4</f>
        <v>#REF!</v>
      </c>
      <c r="E60" s="141" t="e">
        <f t="shared" si="8"/>
        <v>#REF!</v>
      </c>
      <c r="F60" s="141" t="e">
        <f t="shared" si="8"/>
        <v>#REF!</v>
      </c>
      <c r="G60" s="141" t="e">
        <f t="shared" si="8"/>
        <v>#REF!</v>
      </c>
      <c r="H60" s="141" t="e">
        <f t="shared" si="8"/>
        <v>#REF!</v>
      </c>
      <c r="I60" s="141" t="e">
        <f t="shared" si="8"/>
        <v>#REF!</v>
      </c>
      <c r="J60" s="141" t="e">
        <f t="shared" si="8"/>
        <v>#REF!</v>
      </c>
      <c r="K60" s="141" t="e">
        <f t="shared" si="8"/>
        <v>#REF!</v>
      </c>
      <c r="L60" s="141"/>
      <c r="M60" s="141"/>
      <c r="P60" s="35" t="s">
        <v>915</v>
      </c>
      <c r="Q60" s="142" t="e">
        <f>Q59*#REF!</f>
        <v>#REF!</v>
      </c>
      <c r="R60" s="142" t="e">
        <f>Q60+#REF!*#REF!*2</f>
        <v>#REF!</v>
      </c>
      <c r="X60" s="1"/>
      <c r="Y60" s="218">
        <v>54</v>
      </c>
      <c r="Z60" s="113" t="str">
        <f t="shared" si="6"/>
        <v>3</v>
      </c>
      <c r="AA60" s="85">
        <f>VLOOKUP(Y60,主翼!B105:C204,2)</f>
        <v>11.199999999999994</v>
      </c>
      <c r="AB60" s="86">
        <v>25.300000000000029</v>
      </c>
      <c r="AC60" s="86">
        <v>25.300000000000029</v>
      </c>
      <c r="AD60" s="86">
        <v>26.476000000000028</v>
      </c>
      <c r="AE60" s="86">
        <v>26.476000000000028</v>
      </c>
      <c r="AF60" s="201">
        <v>64101.168811369578</v>
      </c>
      <c r="AG60" s="201">
        <v>64101.16881136944</v>
      </c>
      <c r="AH60" s="201">
        <v>128202.33774211223</v>
      </c>
      <c r="AI60" s="202">
        <v>191.29294102447028</v>
      </c>
      <c r="AJ60" s="202">
        <v>2105.4594063504442</v>
      </c>
      <c r="AK60" s="86">
        <v>162.66406549714401</v>
      </c>
      <c r="AL60" s="86">
        <v>85.052339273528418</v>
      </c>
      <c r="AM60" s="199">
        <v>12.456839242546334</v>
      </c>
      <c r="AN60" s="27">
        <f t="shared" si="2"/>
        <v>5451.9543575743246</v>
      </c>
      <c r="AO60" s="200">
        <f t="shared" si="3"/>
        <v>1596.9959117721226</v>
      </c>
      <c r="AP60" s="2">
        <f>主翼!K105</f>
        <v>0</v>
      </c>
      <c r="AQ60" s="29"/>
      <c r="AR60" s="29"/>
      <c r="AS60" s="29"/>
      <c r="AT60" s="29"/>
      <c r="AU60" s="1"/>
      <c r="AV60" s="2">
        <f>IF((AA60-AA59)&gt;0,(AI59+AI60+SQRT(AI59*AI60))*(AA60-AA59)/3*10^-6*$P$17,0)</f>
        <v>5.8327475531702803E-2</v>
      </c>
    </row>
    <row r="61" spans="2:48">
      <c r="B61" s="38" t="s">
        <v>908</v>
      </c>
      <c r="C61" s="141" t="e">
        <f t="shared" ref="C61:K61" si="9">C59-$I$7*$C$5</f>
        <v>#REF!</v>
      </c>
      <c r="D61" s="141" t="e">
        <f t="shared" si="9"/>
        <v>#REF!</v>
      </c>
      <c r="E61" s="141" t="e">
        <f t="shared" si="9"/>
        <v>#REF!</v>
      </c>
      <c r="F61" s="141" t="e">
        <f t="shared" si="9"/>
        <v>#REF!</v>
      </c>
      <c r="G61" s="141" t="e">
        <f t="shared" si="9"/>
        <v>#REF!</v>
      </c>
      <c r="H61" s="141" t="e">
        <f t="shared" si="9"/>
        <v>#REF!</v>
      </c>
      <c r="I61" s="141" t="e">
        <f t="shared" si="9"/>
        <v>#REF!</v>
      </c>
      <c r="J61" s="141" t="e">
        <f t="shared" si="9"/>
        <v>#REF!</v>
      </c>
      <c r="K61" s="141" t="e">
        <f t="shared" si="9"/>
        <v>#REF!</v>
      </c>
      <c r="L61" s="141"/>
      <c r="M61" s="141"/>
      <c r="P61" s="35" t="s">
        <v>917</v>
      </c>
      <c r="Q61" s="142" t="e">
        <f>J61+C53*#REF!</f>
        <v>#REF!</v>
      </c>
      <c r="R61" s="142" t="e">
        <f>Q61+#REF!*(#REF!+#REF!)*2</f>
        <v>#REF!</v>
      </c>
      <c r="X61" s="1"/>
      <c r="Y61" s="218">
        <v>55</v>
      </c>
      <c r="Z61" s="113" t="str">
        <f t="shared" si="6"/>
        <v>3</v>
      </c>
      <c r="AA61" s="85">
        <f>VLOOKUP(Y61,主翼!B106:C205,2)</f>
        <v>11.399999999999993</v>
      </c>
      <c r="AB61" s="86">
        <v>24.450000000000031</v>
      </c>
      <c r="AC61" s="86">
        <v>24.450000000000031</v>
      </c>
      <c r="AD61" s="86">
        <v>25.62600000000003</v>
      </c>
      <c r="AE61" s="86">
        <v>25.62600000000003</v>
      </c>
      <c r="AF61" s="201">
        <v>57992.169211201763</v>
      </c>
      <c r="AG61" s="201">
        <v>57992.169211201406</v>
      </c>
      <c r="AH61" s="201">
        <v>115984.33853040471</v>
      </c>
      <c r="AI61" s="202">
        <v>185.01207730879807</v>
      </c>
      <c r="AJ61" s="202">
        <v>1969.4689709952384</v>
      </c>
      <c r="AK61" s="86">
        <v>157.32319499051556</v>
      </c>
      <c r="AL61" s="86">
        <v>85.052339273528418</v>
      </c>
      <c r="AM61" s="199">
        <v>12.456839242546334</v>
      </c>
      <c r="AN61" s="27">
        <f t="shared" si="2"/>
        <v>4932.3696509590009</v>
      </c>
      <c r="AO61" s="200">
        <f t="shared" si="3"/>
        <v>1444.7982597263242</v>
      </c>
      <c r="AP61" s="2">
        <f>主翼!K106</f>
        <v>0</v>
      </c>
      <c r="AQ61" s="29"/>
      <c r="AR61" s="29"/>
      <c r="AS61" s="29"/>
      <c r="AT61" s="29"/>
      <c r="AU61" s="1"/>
      <c r="AV61" s="2">
        <f>IF((AA61-AA60)&gt;0,(AI60+AI61+SQRT(AI60*AI61))*(AA61-AA60)/3*10^-6*$P$17,0)</f>
        <v>5.6443131738113106E-2</v>
      </c>
    </row>
    <row r="62" spans="2:48">
      <c r="B62" s="38" t="s">
        <v>909</v>
      </c>
      <c r="C62" s="141" t="e">
        <f t="shared" ref="C62:K62" si="10">C61*$I$4</f>
        <v>#REF!</v>
      </c>
      <c r="D62" s="141" t="e">
        <f t="shared" si="10"/>
        <v>#REF!</v>
      </c>
      <c r="E62" s="141" t="e">
        <f t="shared" si="10"/>
        <v>#REF!</v>
      </c>
      <c r="F62" s="141" t="e">
        <f t="shared" si="10"/>
        <v>#REF!</v>
      </c>
      <c r="G62" s="141" t="e">
        <f t="shared" si="10"/>
        <v>#REF!</v>
      </c>
      <c r="H62" s="141" t="e">
        <f t="shared" si="10"/>
        <v>#REF!</v>
      </c>
      <c r="I62" s="141" t="e">
        <f t="shared" si="10"/>
        <v>#REF!</v>
      </c>
      <c r="J62" s="141" t="e">
        <f t="shared" si="10"/>
        <v>#REF!</v>
      </c>
      <c r="K62" s="141" t="e">
        <f t="shared" si="10"/>
        <v>#REF!</v>
      </c>
      <c r="L62" s="141"/>
      <c r="M62" s="141"/>
      <c r="P62" s="35" t="s">
        <v>909</v>
      </c>
      <c r="Q62" s="142" t="e">
        <f>Q61*#REF!</f>
        <v>#REF!</v>
      </c>
      <c r="R62" s="142" t="e">
        <f>Q62+#REF!*#REF!*2</f>
        <v>#REF!</v>
      </c>
      <c r="X62" s="1"/>
      <c r="Y62" s="218">
        <v>56</v>
      </c>
      <c r="Z62" s="113" t="str">
        <f t="shared" si="6"/>
        <v>3</v>
      </c>
      <c r="AA62" s="85">
        <f>VLOOKUP(Y62,主翼!B107:C206,2)</f>
        <v>11.599999999999993</v>
      </c>
      <c r="AB62" s="86">
        <v>23.600000000000037</v>
      </c>
      <c r="AC62" s="86">
        <v>23.600000000000037</v>
      </c>
      <c r="AD62" s="86">
        <v>24.776000000000035</v>
      </c>
      <c r="AE62" s="86">
        <v>24.776000000000035</v>
      </c>
      <c r="AF62" s="201">
        <v>52284.183288600289</v>
      </c>
      <c r="AG62" s="201">
        <v>52284.183288600027</v>
      </c>
      <c r="AH62" s="201">
        <v>104568.36667457869</v>
      </c>
      <c r="AI62" s="202">
        <v>178.73121359338845</v>
      </c>
      <c r="AJ62" s="202">
        <v>1838.0181370244693</v>
      </c>
      <c r="AK62" s="86">
        <v>151.98232448401427</v>
      </c>
      <c r="AL62" s="86">
        <v>85.052339273528418</v>
      </c>
      <c r="AM62" s="199">
        <v>12.456839242546334</v>
      </c>
      <c r="AN62" s="27">
        <f t="shared" si="2"/>
        <v>4446.892095701377</v>
      </c>
      <c r="AO62" s="200">
        <f t="shared" si="3"/>
        <v>1302.5913335208661</v>
      </c>
      <c r="AP62" s="2">
        <f>主翼!K107</f>
        <v>0</v>
      </c>
      <c r="AQ62" s="29"/>
      <c r="AR62" s="29"/>
      <c r="AS62" s="29"/>
      <c r="AT62" s="29"/>
      <c r="AU62" s="1"/>
      <c r="AV62" s="2">
        <f>IF((AA62-AA61)&gt;0,(AI61+AI62+SQRT(AI61*AI62))*(AA62-AA61)/3*10^-6*$P$17,0)</f>
        <v>5.4558782094594284E-2</v>
      </c>
    </row>
    <row r="63" spans="2:48">
      <c r="X63" s="1"/>
      <c r="Y63" s="218">
        <v>57</v>
      </c>
      <c r="Z63" s="113" t="str">
        <f t="shared" si="6"/>
        <v>3</v>
      </c>
      <c r="AA63" s="85">
        <f>VLOOKUP(Y63,主翼!B108:C207,2)</f>
        <v>11.799999999999992</v>
      </c>
      <c r="AB63" s="86">
        <v>22.750000000000039</v>
      </c>
      <c r="AC63" s="86">
        <v>22.750000000000039</v>
      </c>
      <c r="AD63" s="86">
        <v>23.926000000000037</v>
      </c>
      <c r="AE63" s="86">
        <v>23.926000000000037</v>
      </c>
      <c r="AF63" s="201">
        <v>46963.597271462182</v>
      </c>
      <c r="AG63" s="201">
        <v>46963.597271462881</v>
      </c>
      <c r="AH63" s="201">
        <v>93927.194630422644</v>
      </c>
      <c r="AI63" s="202">
        <v>172.45034987769384</v>
      </c>
      <c r="AJ63" s="202">
        <v>1711.1069044381368</v>
      </c>
      <c r="AK63" s="86">
        <v>146.64145397752742</v>
      </c>
      <c r="AL63" s="86">
        <v>85.052339273528418</v>
      </c>
      <c r="AM63" s="199">
        <v>12.456839242546334</v>
      </c>
      <c r="AN63" s="27">
        <f t="shared" si="2"/>
        <v>3994.363808637755</v>
      </c>
      <c r="AO63" s="200">
        <f t="shared" si="3"/>
        <v>1170.0359640145359</v>
      </c>
      <c r="AP63" s="2">
        <f>主翼!K108</f>
        <v>0</v>
      </c>
      <c r="AQ63" s="29"/>
      <c r="AR63" s="29"/>
      <c r="AS63" s="29"/>
      <c r="AT63" s="29"/>
      <c r="AU63" s="1"/>
      <c r="AV63" s="2">
        <f>IF((AA63-AA62)&gt;0,(AI62+AI63+SQRT(AI62*AI63))*(AA63-AA62)/3*10^-6*$P$17,0)</f>
        <v>5.2674425973154651E-2</v>
      </c>
    </row>
    <row r="64" spans="2:48">
      <c r="X64" s="1"/>
      <c r="Y64" s="218">
        <v>58</v>
      </c>
      <c r="Z64" s="113" t="str">
        <f t="shared" si="6"/>
        <v>3</v>
      </c>
      <c r="AA64" s="85">
        <f>VLOOKUP(Y64,主翼!B109:C208,2)</f>
        <v>11.999999999999991</v>
      </c>
      <c r="AB64" s="86">
        <v>21.900000000000041</v>
      </c>
      <c r="AC64" s="86">
        <v>21.900000000000041</v>
      </c>
      <c r="AD64" s="86">
        <v>23.07600000000004</v>
      </c>
      <c r="AE64" s="86">
        <v>23.07600000000004</v>
      </c>
      <c r="AF64" s="201">
        <v>42016.797387684179</v>
      </c>
      <c r="AG64" s="201">
        <v>42016.797387683924</v>
      </c>
      <c r="AH64" s="201">
        <v>84033.594853667557</v>
      </c>
      <c r="AI64" s="202">
        <v>166.16948616200702</v>
      </c>
      <c r="AJ64" s="202">
        <v>1588.7352732362424</v>
      </c>
      <c r="AK64" s="86">
        <v>141.30058347109832</v>
      </c>
      <c r="AL64" s="86">
        <v>85.052339273528418</v>
      </c>
      <c r="AM64" s="199">
        <v>12.456839242546334</v>
      </c>
      <c r="AN64" s="27">
        <f t="shared" si="2"/>
        <v>3573.6269066044174</v>
      </c>
      <c r="AO64" s="200">
        <f t="shared" si="3"/>
        <v>1046.7929820654058</v>
      </c>
      <c r="AP64" s="2">
        <f>主翼!K109</f>
        <v>0</v>
      </c>
      <c r="AQ64" s="29"/>
      <c r="AR64" s="29"/>
      <c r="AS64" s="29"/>
      <c r="AT64" s="29"/>
      <c r="AU64" s="1"/>
      <c r="AV64" s="2">
        <f>IF((AA64-AA63)&gt;0,(AI63+AI64+SQRT(AI63*AI64))*(AA64-AA63)/3*10^-6*$P$17,0)</f>
        <v>5.0790062652590492E-2</v>
      </c>
    </row>
    <row r="65" spans="24:48">
      <c r="X65" s="1"/>
      <c r="Y65" s="218">
        <v>59</v>
      </c>
      <c r="Z65" s="113" t="str">
        <f t="shared" si="6"/>
        <v>ウィングレット</v>
      </c>
      <c r="AA65" s="85">
        <f>VLOOKUP(Y65,主翼!B110:C209,2)</f>
        <v>12.19999999999999</v>
      </c>
      <c r="AB65" s="86">
        <v>21.050000000000047</v>
      </c>
      <c r="AC65" s="86">
        <v>21.050000000000047</v>
      </c>
      <c r="AD65" s="86">
        <v>22.226000000000045</v>
      </c>
      <c r="AE65" s="86">
        <v>22.226000000000045</v>
      </c>
      <c r="AF65" s="201">
        <v>37430.16986516225</v>
      </c>
      <c r="AG65" s="201">
        <v>37430.169865162316</v>
      </c>
      <c r="AH65" s="201">
        <v>74860.339800101676</v>
      </c>
      <c r="AI65" s="202">
        <v>159.88862244631213</v>
      </c>
      <c r="AJ65" s="202">
        <v>1470.903243418785</v>
      </c>
      <c r="AK65" s="86">
        <v>135.95971296460743</v>
      </c>
      <c r="AL65" s="86">
        <v>85.052339273528418</v>
      </c>
      <c r="AM65" s="199">
        <v>12.456839242546334</v>
      </c>
      <c r="AN65" s="27">
        <f t="shared" si="2"/>
        <v>3183.5235064375793</v>
      </c>
      <c r="AO65" s="200">
        <f t="shared" si="3"/>
        <v>932.52321853225976</v>
      </c>
      <c r="AP65" s="2">
        <f>主翼!K110</f>
        <v>0</v>
      </c>
      <c r="AQ65" s="29"/>
      <c r="AR65" s="29"/>
      <c r="AS65" s="29"/>
      <c r="AT65" s="29"/>
      <c r="AU65" s="1"/>
      <c r="AV65" s="2">
        <f>IF((AA65-AA64)&gt;0,(AI64+AI65+SQRT(AI64*AI65))*(AA65-AA64)/3*10^-6*$P$17,0)</f>
        <v>4.890569130059412E-2</v>
      </c>
    </row>
    <row r="66" spans="24:48">
      <c r="X66" s="1"/>
      <c r="Y66" s="218">
        <v>60</v>
      </c>
      <c r="Z66" s="113" t="str">
        <f t="shared" si="6"/>
        <v>ウィングレット</v>
      </c>
      <c r="AA66" s="85">
        <f>VLOOKUP(Y66,主翼!B111:C210,2)</f>
        <v>12.79999999999999</v>
      </c>
      <c r="AB66" s="86">
        <v>10</v>
      </c>
      <c r="AC66" s="86">
        <v>10</v>
      </c>
      <c r="AD66" s="86">
        <v>10</v>
      </c>
      <c r="AE66" s="86">
        <v>10</v>
      </c>
      <c r="AF66" s="201">
        <v>3141.6885332410543</v>
      </c>
      <c r="AG66" s="201">
        <v>3141.6885332410707</v>
      </c>
      <c r="AH66" s="201">
        <v>6283.3770723367443</v>
      </c>
      <c r="AI66" s="202">
        <v>62.833770664800838</v>
      </c>
      <c r="AJ66" s="202">
        <v>314.15926535897933</v>
      </c>
      <c r="AK66" s="86">
        <v>62.833770664800838</v>
      </c>
      <c r="AL66" s="86">
        <v>85.052339273528418</v>
      </c>
      <c r="AM66" s="199">
        <v>12.456839242546334</v>
      </c>
      <c r="AN66" s="27">
        <f t="shared" ref="AN66" si="11">AL66*AF66*10^-3</f>
        <v>267.207959020972</v>
      </c>
      <c r="AO66" s="200">
        <f t="shared" ref="AO66" si="12">AM66*AH66*10^-3</f>
        <v>78.271018090400247</v>
      </c>
      <c r="AP66" s="2">
        <f>主翼!K111</f>
        <v>0</v>
      </c>
      <c r="AQ66" s="29"/>
      <c r="AR66" s="29"/>
      <c r="AS66" s="29"/>
      <c r="AT66" s="29"/>
      <c r="AU66" s="1"/>
      <c r="AV66" s="2">
        <f>IF((AA66-AA65)&gt;0,(AI65+AI66+SQRT(AI65*AI66))*(AA66-AA65)/3*10^-6*$P$17,0)</f>
        <v>9.6886244918692702E-2</v>
      </c>
    </row>
    <row r="67" spans="24:48">
      <c r="X67" s="1"/>
      <c r="Y67" s="218"/>
      <c r="Z67" s="113"/>
      <c r="AA67" s="85"/>
      <c r="AB67" s="86"/>
      <c r="AC67" s="86"/>
      <c r="AD67" s="86"/>
      <c r="AE67" s="86"/>
      <c r="AF67" s="201"/>
      <c r="AG67" s="201"/>
      <c r="AH67" s="201"/>
      <c r="AI67" s="202"/>
      <c r="AJ67" s="202"/>
      <c r="AK67" s="86"/>
      <c r="AL67" s="86"/>
      <c r="AM67" s="199"/>
      <c r="AN67" s="27"/>
      <c r="AO67" s="200"/>
      <c r="AP67" s="2">
        <f>主翼!K112</f>
        <v>0</v>
      </c>
      <c r="AQ67" s="29"/>
      <c r="AR67" s="29"/>
      <c r="AS67" s="29"/>
      <c r="AT67" s="29"/>
      <c r="AU67" s="1"/>
      <c r="AV67" s="2">
        <f>IF((AA67-AA66)&gt;0,(AI66+AI67+SQRT(AI66*AI67))*(AA67-AA66)/3*10^-6*$P$17,0)</f>
        <v>0</v>
      </c>
    </row>
    <row r="68" spans="24:48">
      <c r="AA68" s="3"/>
      <c r="AF68"/>
      <c r="AH68"/>
    </row>
    <row r="69" spans="24:48">
      <c r="AF69"/>
    </row>
    <row r="70" spans="24:48">
      <c r="AF70"/>
    </row>
    <row r="71" spans="24:48">
      <c r="AF71"/>
    </row>
    <row r="72" spans="24:48">
      <c r="AF72"/>
    </row>
    <row r="73" spans="24:48">
      <c r="AF73"/>
    </row>
    <row r="74" spans="24:48">
      <c r="AF74"/>
    </row>
    <row r="75" spans="24:48">
      <c r="AF75"/>
    </row>
    <row r="76" spans="24:48">
      <c r="AF76"/>
    </row>
    <row r="77" spans="24:48">
      <c r="AF77"/>
    </row>
    <row r="78" spans="24:48">
      <c r="AF78"/>
    </row>
    <row r="79" spans="24:48">
      <c r="AF79"/>
    </row>
    <row r="80" spans="24:48">
      <c r="AF80"/>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P6:AP67">
    <cfRule type="cellIs" dxfId="0" priority="1" operator="lessThan">
      <formula>10</formula>
    </cfRule>
  </conditionalFormatting>
  <pageMargins left="0.7" right="0.7" top="0.75" bottom="0.75" header="0.3" footer="0.3"/>
  <pageSetup paperSize="9" orientation="portrait" horizontalDpi="0" verticalDpi="0"/>
  <ignoredErrors>
    <ignoredError sqref="C11" 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85" zoomScaleNormal="85" workbookViewId="0">
      <selection activeCell="A8" sqref="A8"/>
    </sheetView>
  </sheetViews>
  <sheetFormatPr defaultColWidth="8.6640625" defaultRowHeight="19.5"/>
  <cols>
    <col min="5" max="5" width="8.6640625" customWidth="1"/>
    <col min="6" max="6" width="8.88671875" customWidth="1"/>
    <col min="7" max="7" width="74.88671875" customWidth="1"/>
  </cols>
  <sheetData>
    <row r="3" spans="2:13">
      <c r="G3" t="s">
        <v>991</v>
      </c>
    </row>
    <row r="4" spans="2:13">
      <c r="B4" s="38" t="s">
        <v>995</v>
      </c>
      <c r="C4" s="38" t="s">
        <v>100</v>
      </c>
      <c r="D4" s="38" t="s">
        <v>996</v>
      </c>
      <c r="E4" s="38" t="s">
        <v>997</v>
      </c>
      <c r="F4" s="38" t="s">
        <v>630</v>
      </c>
      <c r="G4" s="38" t="s">
        <v>990</v>
      </c>
      <c r="H4" s="38" t="s">
        <v>1031</v>
      </c>
      <c r="I4" s="38" t="s">
        <v>1037</v>
      </c>
      <c r="J4" s="38" t="s">
        <v>998</v>
      </c>
      <c r="K4" s="38" t="s">
        <v>999</v>
      </c>
      <c r="L4" s="38" t="s">
        <v>1000</v>
      </c>
      <c r="M4" s="38" t="s">
        <v>1001</v>
      </c>
    </row>
    <row r="5" spans="2:13">
      <c r="B5" s="35" t="s">
        <v>46</v>
      </c>
      <c r="C5" s="35" t="s">
        <v>46</v>
      </c>
      <c r="D5" s="35" t="s">
        <v>622</v>
      </c>
      <c r="E5" s="35" t="s">
        <v>46</v>
      </c>
      <c r="F5" s="35" t="s">
        <v>46</v>
      </c>
      <c r="G5" s="35" t="s">
        <v>46</v>
      </c>
      <c r="H5" s="35" t="s">
        <v>132</v>
      </c>
      <c r="I5" s="35" t="s">
        <v>132</v>
      </c>
      <c r="J5" s="35" t="s">
        <v>658</v>
      </c>
      <c r="K5" s="35" t="s">
        <v>659</v>
      </c>
      <c r="L5" s="35" t="s">
        <v>660</v>
      </c>
      <c r="M5" s="35"/>
    </row>
    <row r="6" spans="2:13" ht="20.25" thickBot="1">
      <c r="B6" s="81" t="s">
        <v>46</v>
      </c>
      <c r="C6" s="81" t="s">
        <v>46</v>
      </c>
      <c r="D6" s="81" t="s">
        <v>46</v>
      </c>
      <c r="E6" s="81" t="s">
        <v>46</v>
      </c>
      <c r="F6" s="81" t="s">
        <v>46</v>
      </c>
      <c r="G6" s="81" t="s">
        <v>46</v>
      </c>
      <c r="H6" s="81" t="s">
        <v>1030</v>
      </c>
      <c r="I6" s="81" t="s">
        <v>1030</v>
      </c>
      <c r="J6" s="81" t="s">
        <v>116</v>
      </c>
      <c r="K6" s="81" t="s">
        <v>116</v>
      </c>
      <c r="L6" s="81" t="s">
        <v>46</v>
      </c>
      <c r="M6" s="81"/>
    </row>
    <row r="7" spans="2:13" ht="20.25" thickTop="1">
      <c r="B7" s="140" t="s">
        <v>1002</v>
      </c>
      <c r="C7" s="134" t="s">
        <v>103</v>
      </c>
      <c r="D7" s="205" t="s">
        <v>1208</v>
      </c>
      <c r="E7" s="205">
        <v>15</v>
      </c>
      <c r="F7" s="205">
        <v>0</v>
      </c>
      <c r="G7" s="140" t="s">
        <v>1003</v>
      </c>
      <c r="H7" s="205">
        <v>1.6950000000000001</v>
      </c>
      <c r="I7" s="205">
        <v>1.6950000000000001</v>
      </c>
      <c r="J7" s="205">
        <v>128.54669117765229</v>
      </c>
      <c r="K7" s="205">
        <v>16.301557051223895</v>
      </c>
      <c r="L7" s="205">
        <v>0.3102623243021736</v>
      </c>
      <c r="M7" s="205"/>
    </row>
    <row r="8" spans="2:13">
      <c r="B8" s="134" t="s">
        <v>1015</v>
      </c>
      <c r="C8" s="134" t="s">
        <v>102</v>
      </c>
      <c r="D8" s="208">
        <v>15</v>
      </c>
      <c r="E8" s="208">
        <v>8</v>
      </c>
      <c r="F8" s="208">
        <v>7</v>
      </c>
      <c r="G8" s="134" t="s">
        <v>1004</v>
      </c>
      <c r="H8" s="208">
        <v>2.2050000000000001</v>
      </c>
      <c r="I8" s="208">
        <v>1.1759999999999999</v>
      </c>
      <c r="J8" s="208">
        <v>98.144577856034871</v>
      </c>
      <c r="K8" s="208">
        <v>13.020628525382756</v>
      </c>
      <c r="L8" s="208">
        <v>0.32222199749785485</v>
      </c>
      <c r="M8" s="208"/>
    </row>
    <row r="9" spans="2:13">
      <c r="B9" s="134" t="s">
        <v>1016</v>
      </c>
      <c r="C9" s="134" t="s">
        <v>102</v>
      </c>
      <c r="D9" s="208">
        <v>17</v>
      </c>
      <c r="E9" s="208">
        <v>10</v>
      </c>
      <c r="F9" s="208">
        <v>7</v>
      </c>
      <c r="G9" s="134" t="s">
        <v>1012</v>
      </c>
      <c r="H9" s="208">
        <v>2.4989999999999997</v>
      </c>
      <c r="I9" s="208">
        <v>1.47</v>
      </c>
      <c r="J9" s="208">
        <v>88.708836278420023</v>
      </c>
      <c r="K9" s="208">
        <v>11.959378110631844</v>
      </c>
      <c r="L9" s="208">
        <v>0.21741313156667993</v>
      </c>
      <c r="M9" s="208"/>
    </row>
    <row r="10" spans="2:13">
      <c r="B10" s="134" t="s">
        <v>1018</v>
      </c>
      <c r="C10" s="134" t="s">
        <v>102</v>
      </c>
      <c r="D10" s="208">
        <v>12</v>
      </c>
      <c r="E10" s="208">
        <v>8</v>
      </c>
      <c r="F10" s="208">
        <v>4</v>
      </c>
      <c r="G10" s="134" t="s">
        <v>1005</v>
      </c>
      <c r="H10" s="208">
        <v>1.7639999999999998</v>
      </c>
      <c r="I10" s="208">
        <v>1.1759999999999999</v>
      </c>
      <c r="J10" s="208">
        <v>85.903385282820111</v>
      </c>
      <c r="K10" s="208">
        <v>15.275785656728447</v>
      </c>
      <c r="L10" s="208">
        <v>0.32217766505946849</v>
      </c>
      <c r="M10" s="208"/>
    </row>
    <row r="11" spans="2:13">
      <c r="B11" s="134" t="s">
        <v>1019</v>
      </c>
      <c r="C11" s="134" t="s">
        <v>102</v>
      </c>
      <c r="D11" s="208">
        <v>14</v>
      </c>
      <c r="E11" s="208">
        <v>10</v>
      </c>
      <c r="F11" s="208">
        <v>4</v>
      </c>
      <c r="G11" s="134" t="s">
        <v>1011</v>
      </c>
      <c r="H11" s="208">
        <v>2.0579999999999998</v>
      </c>
      <c r="I11" s="208">
        <v>1.47</v>
      </c>
      <c r="J11" s="208">
        <v>76.171783392281426</v>
      </c>
      <c r="K11" s="208">
        <v>13.664959134338668</v>
      </c>
      <c r="L11" s="208">
        <v>0.2138972933390928</v>
      </c>
      <c r="M11" s="208"/>
    </row>
    <row r="12" spans="2:13">
      <c r="B12" s="134" t="s">
        <v>1021</v>
      </c>
      <c r="C12" s="134" t="s">
        <v>102</v>
      </c>
      <c r="D12" s="208">
        <v>8</v>
      </c>
      <c r="E12" s="208">
        <v>8</v>
      </c>
      <c r="F12" s="208">
        <v>0</v>
      </c>
      <c r="G12" s="134" t="s">
        <v>1006</v>
      </c>
      <c r="H12" s="208">
        <v>1.1759999999999999</v>
      </c>
      <c r="I12" s="208">
        <v>1.1759999999999999</v>
      </c>
      <c r="J12" s="208">
        <v>85.052339273528418</v>
      </c>
      <c r="K12" s="208">
        <v>12.456839242546334</v>
      </c>
      <c r="L12" s="208">
        <v>0.21626661808150291</v>
      </c>
      <c r="M12" s="208"/>
    </row>
    <row r="13" spans="2:13">
      <c r="B13" s="134" t="s">
        <v>1022</v>
      </c>
      <c r="C13" s="134" t="s">
        <v>102</v>
      </c>
      <c r="D13" s="208">
        <v>5</v>
      </c>
      <c r="E13" s="208">
        <v>5</v>
      </c>
      <c r="F13" s="208">
        <v>0</v>
      </c>
      <c r="G13" s="134" t="s">
        <v>1008</v>
      </c>
      <c r="H13" s="208">
        <v>0.73499999999999999</v>
      </c>
      <c r="I13" s="208">
        <v>0.73499999999999999</v>
      </c>
      <c r="J13" s="208">
        <v>92.370558215228073</v>
      </c>
      <c r="K13" s="208">
        <v>3.9999999999999996</v>
      </c>
      <c r="L13" s="208">
        <v>4.5751633986928116E-2</v>
      </c>
      <c r="M13" s="208"/>
    </row>
    <row r="14" spans="2:13">
      <c r="B14" s="134" t="s">
        <v>1023</v>
      </c>
      <c r="C14" s="134" t="s">
        <v>102</v>
      </c>
      <c r="D14" s="208">
        <v>4</v>
      </c>
      <c r="E14" s="208">
        <v>4</v>
      </c>
      <c r="F14" s="208">
        <v>0</v>
      </c>
      <c r="G14" s="134" t="s">
        <v>1007</v>
      </c>
      <c r="H14" s="208">
        <v>0.58799999999999997</v>
      </c>
      <c r="I14" s="208">
        <v>0.58799999999999997</v>
      </c>
      <c r="J14" s="208">
        <v>78.504487918393622</v>
      </c>
      <c r="K14" s="208">
        <v>3.9999999999999996</v>
      </c>
      <c r="L14" s="208">
        <v>3.766816143497758E-2</v>
      </c>
      <c r="M14" s="208"/>
    </row>
    <row r="15" spans="2:13">
      <c r="B15" s="134" t="s">
        <v>1024</v>
      </c>
      <c r="C15" s="134" t="s">
        <v>102</v>
      </c>
      <c r="D15" s="208">
        <v>16</v>
      </c>
      <c r="E15" s="208">
        <v>10</v>
      </c>
      <c r="F15" s="208">
        <v>6</v>
      </c>
      <c r="G15" s="134" t="s">
        <v>1009</v>
      </c>
      <c r="H15" s="208">
        <v>2.3519999999999999</v>
      </c>
      <c r="I15" s="208">
        <v>1.47</v>
      </c>
      <c r="J15" s="208">
        <v>96.444703565710427</v>
      </c>
      <c r="K15" s="208">
        <v>10.342629431909753</v>
      </c>
      <c r="L15" s="208">
        <v>0.2012550987364857</v>
      </c>
      <c r="M15" s="208"/>
    </row>
    <row r="16" spans="2:13">
      <c r="B16" s="134" t="s">
        <v>1025</v>
      </c>
      <c r="C16" s="134" t="s">
        <v>102</v>
      </c>
      <c r="D16" s="208">
        <v>16</v>
      </c>
      <c r="E16" s="208">
        <v>12</v>
      </c>
      <c r="F16" s="208">
        <v>4</v>
      </c>
      <c r="G16" s="134" t="s">
        <v>1010</v>
      </c>
      <c r="H16" s="208">
        <v>2.3519999999999999</v>
      </c>
      <c r="I16" s="208">
        <v>1.7639999999999998</v>
      </c>
      <c r="J16" s="208">
        <v>88.05948027706377</v>
      </c>
      <c r="K16" s="208">
        <v>10.342629431909753</v>
      </c>
      <c r="L16" s="208">
        <v>0.16943724529910401</v>
      </c>
      <c r="M16" s="208"/>
    </row>
    <row r="17" spans="2:13">
      <c r="B17" s="134" t="s">
        <v>550</v>
      </c>
      <c r="C17" s="134" t="s">
        <v>102</v>
      </c>
      <c r="D17" s="208">
        <v>8</v>
      </c>
      <c r="E17" s="208">
        <v>6</v>
      </c>
      <c r="F17" s="208">
        <v>2</v>
      </c>
      <c r="G17" s="134" t="s">
        <v>1013</v>
      </c>
      <c r="H17" s="208">
        <v>1.1759999999999999</v>
      </c>
      <c r="I17" s="208">
        <v>0.8819999999999999</v>
      </c>
      <c r="J17" s="208">
        <v>85.052339273528418</v>
      </c>
      <c r="K17" s="208">
        <v>12.456839242546334</v>
      </c>
      <c r="L17" s="208">
        <v>0.21626661808150291</v>
      </c>
      <c r="M17" s="208"/>
    </row>
    <row r="18" spans="2:13">
      <c r="B18" s="134" t="s">
        <v>1026</v>
      </c>
      <c r="C18" s="134" t="s">
        <v>102</v>
      </c>
      <c r="D18" s="208">
        <v>7</v>
      </c>
      <c r="E18" s="208">
        <v>7</v>
      </c>
      <c r="F18" s="208">
        <v>0</v>
      </c>
      <c r="G18" s="134" t="s">
        <v>1014</v>
      </c>
      <c r="H18" s="208">
        <v>1.0289999999999999</v>
      </c>
      <c r="I18" s="208">
        <v>1.0289999999999999</v>
      </c>
      <c r="J18" s="208">
        <v>76.171783392281398</v>
      </c>
      <c r="K18" s="208">
        <v>13.664959134338668</v>
      </c>
      <c r="L18" s="208">
        <v>0.21389729333909271</v>
      </c>
      <c r="M18" s="208"/>
    </row>
    <row r="19" spans="2:13">
      <c r="B19" s="134" t="s">
        <v>1027</v>
      </c>
      <c r="C19" s="134" t="s">
        <v>102</v>
      </c>
      <c r="D19" s="208">
        <v>7</v>
      </c>
      <c r="E19" s="208">
        <v>7</v>
      </c>
      <c r="F19" s="208">
        <v>0</v>
      </c>
      <c r="G19" s="134" t="s">
        <v>1014</v>
      </c>
      <c r="H19" s="208">
        <v>1.0289999999999999</v>
      </c>
      <c r="I19" s="208">
        <v>1.0289999999999999</v>
      </c>
      <c r="J19" s="208">
        <v>76.171783392281398</v>
      </c>
      <c r="K19" s="208">
        <v>13.664959134338668</v>
      </c>
      <c r="L19" s="208">
        <v>0.21389729333909271</v>
      </c>
      <c r="M19" s="208"/>
    </row>
    <row r="20" spans="2:13">
      <c r="B20" s="134" t="s">
        <v>1028</v>
      </c>
      <c r="C20" s="134" t="s">
        <v>102</v>
      </c>
      <c r="D20" s="208">
        <v>7</v>
      </c>
      <c r="E20" s="208">
        <v>7</v>
      </c>
      <c r="F20" s="208">
        <v>0</v>
      </c>
      <c r="G20" s="134" t="s">
        <v>1014</v>
      </c>
      <c r="H20" s="208">
        <v>1.0289999999999999</v>
      </c>
      <c r="I20" s="208">
        <v>1.0289999999999999</v>
      </c>
      <c r="J20" s="208">
        <v>76.171783392281398</v>
      </c>
      <c r="K20" s="208">
        <v>13.664959134338668</v>
      </c>
      <c r="L20" s="208">
        <v>0.21389729333909271</v>
      </c>
      <c r="M20" s="208"/>
    </row>
    <row r="21" spans="2:13">
      <c r="B21" s="134" t="s">
        <v>1029</v>
      </c>
      <c r="C21" s="134" t="s">
        <v>102</v>
      </c>
      <c r="D21" s="208">
        <v>5</v>
      </c>
      <c r="E21" s="208">
        <v>5</v>
      </c>
      <c r="F21" s="208">
        <v>0</v>
      </c>
      <c r="G21" s="134" t="s">
        <v>1207</v>
      </c>
      <c r="H21" s="208">
        <v>0.73499999999999999</v>
      </c>
      <c r="I21" s="208">
        <v>0.73499999999999999</v>
      </c>
      <c r="J21" s="208">
        <v>120.04870179798367</v>
      </c>
      <c r="K21" s="208">
        <v>3.9999999999999996</v>
      </c>
      <c r="L21" s="208">
        <v>8.0152671755725172E-2</v>
      </c>
      <c r="M21" s="208"/>
    </row>
    <row r="22" spans="2:13">
      <c r="B22" s="134"/>
      <c r="C22" s="134"/>
      <c r="D22" s="208"/>
      <c r="E22" s="208"/>
      <c r="F22" s="208"/>
      <c r="G22" s="134"/>
      <c r="H22" s="208"/>
      <c r="I22" s="208"/>
      <c r="J22" s="208"/>
      <c r="K22" s="208"/>
      <c r="L22" s="208"/>
      <c r="M22" s="208"/>
    </row>
    <row r="23" spans="2:13">
      <c r="B23" s="134"/>
      <c r="C23" s="134"/>
      <c r="D23" s="208"/>
      <c r="E23" s="208"/>
      <c r="F23" s="208"/>
      <c r="G23" s="134"/>
      <c r="H23" s="208"/>
      <c r="I23" s="208"/>
      <c r="J23" s="208"/>
      <c r="K23" s="208"/>
      <c r="L23" s="208"/>
      <c r="M23" s="208"/>
    </row>
    <row r="24" spans="2:13">
      <c r="B24" s="134"/>
      <c r="C24" s="134"/>
      <c r="D24" s="208"/>
      <c r="E24" s="208"/>
      <c r="F24" s="208"/>
      <c r="G24" s="134"/>
      <c r="H24" s="208"/>
      <c r="I24" s="208"/>
      <c r="J24" s="208"/>
      <c r="K24" s="208"/>
      <c r="L24" s="208"/>
      <c r="M24" s="208"/>
    </row>
    <row r="25" spans="2:13">
      <c r="B25" s="134"/>
      <c r="C25" s="134"/>
      <c r="D25" s="208"/>
      <c r="E25" s="208"/>
      <c r="F25" s="208"/>
      <c r="G25" s="134"/>
      <c r="H25" s="208"/>
      <c r="I25" s="208"/>
      <c r="J25" s="208"/>
      <c r="K25" s="208"/>
      <c r="L25" s="208"/>
      <c r="M25" s="208"/>
    </row>
    <row r="26" spans="2:13">
      <c r="B26" s="134"/>
      <c r="C26" s="134"/>
      <c r="D26" s="208"/>
      <c r="E26" s="208"/>
      <c r="F26" s="208"/>
      <c r="G26" s="134"/>
      <c r="H26" s="208"/>
      <c r="I26" s="208"/>
      <c r="J26" s="208"/>
      <c r="K26" s="208"/>
      <c r="L26" s="208"/>
      <c r="M26" s="208"/>
    </row>
    <row r="27" spans="2:13">
      <c r="B27" s="134"/>
      <c r="C27" s="134"/>
      <c r="D27" s="208"/>
      <c r="E27" s="208"/>
      <c r="F27" s="208"/>
      <c r="G27" s="134"/>
      <c r="H27" s="208"/>
      <c r="I27" s="208"/>
      <c r="J27" s="208"/>
      <c r="K27" s="208"/>
      <c r="L27" s="208"/>
      <c r="M27" s="208"/>
    </row>
    <row r="28" spans="2:13">
      <c r="B28" s="134"/>
      <c r="C28" s="134"/>
      <c r="D28" s="208"/>
      <c r="E28" s="208"/>
      <c r="F28" s="208"/>
      <c r="G28" s="134"/>
      <c r="H28" s="208"/>
      <c r="I28" s="208"/>
      <c r="J28" s="208"/>
      <c r="K28" s="208"/>
      <c r="L28" s="208"/>
      <c r="M28" s="208"/>
    </row>
    <row r="29" spans="2:13">
      <c r="B29" s="134"/>
      <c r="C29" s="134"/>
      <c r="D29" s="208"/>
      <c r="E29" s="208"/>
      <c r="F29" s="208"/>
      <c r="G29" s="134"/>
      <c r="H29" s="208"/>
      <c r="I29" s="208"/>
      <c r="J29" s="208"/>
      <c r="K29" s="208"/>
      <c r="L29" s="208"/>
      <c r="M29" s="208"/>
    </row>
  </sheetData>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R5" sqref="R5"/>
    </sheetView>
  </sheetViews>
  <sheetFormatPr defaultColWidth="8.6640625" defaultRowHeight="19.5"/>
  <cols>
    <col min="2" max="3" width="8.6640625" customWidth="1"/>
    <col min="4" max="4" width="9.6640625" customWidth="1"/>
    <col min="5" max="5" width="8.6640625" bestFit="1" customWidth="1"/>
    <col min="9" max="9" width="8.6640625" style="144"/>
    <col min="17" max="18" width="8.6640625" customWidth="1"/>
    <col min="19" max="19" width="86.6640625" customWidth="1"/>
    <col min="20" max="22" width="26.6640625" customWidth="1"/>
  </cols>
  <sheetData>
    <row r="1" spans="2:27" ht="20.25" thickBot="1">
      <c r="G1" t="s">
        <v>1206</v>
      </c>
    </row>
    <row r="2" spans="2:27" ht="20.100000000000001" customHeight="1">
      <c r="B2" s="10" t="s">
        <v>173</v>
      </c>
      <c r="C2" s="10" t="s">
        <v>174</v>
      </c>
      <c r="D2" s="10" t="s">
        <v>175</v>
      </c>
      <c r="E2" s="10" t="s">
        <v>176</v>
      </c>
      <c r="G2" s="268" t="s">
        <v>1316</v>
      </c>
      <c r="H2" s="269"/>
      <c r="I2" s="269"/>
      <c r="J2" s="269"/>
      <c r="K2" s="269"/>
      <c r="L2" s="269"/>
      <c r="M2" s="269"/>
      <c r="N2" s="269"/>
      <c r="O2" s="269"/>
      <c r="P2" s="270"/>
      <c r="Q2" s="80"/>
    </row>
    <row r="3" spans="2:27">
      <c r="B3" s="1" t="s">
        <v>177</v>
      </c>
      <c r="C3" s="22">
        <v>-10</v>
      </c>
      <c r="D3" s="22">
        <v>20</v>
      </c>
      <c r="E3" s="22">
        <v>0.1</v>
      </c>
      <c r="G3" s="271"/>
      <c r="H3" s="272"/>
      <c r="I3" s="272"/>
      <c r="J3" s="272"/>
      <c r="K3" s="272"/>
      <c r="L3" s="272"/>
      <c r="M3" s="272"/>
      <c r="N3" s="272"/>
      <c r="O3" s="272"/>
      <c r="P3" s="273"/>
      <c r="Q3" s="80"/>
    </row>
    <row r="4" spans="2:27">
      <c r="B4" s="1" t="s">
        <v>178</v>
      </c>
      <c r="C4" s="143">
        <v>100000</v>
      </c>
      <c r="D4" s="143">
        <v>1000000</v>
      </c>
      <c r="E4" s="143">
        <v>20000</v>
      </c>
      <c r="G4" s="271"/>
      <c r="H4" s="272"/>
      <c r="I4" s="272"/>
      <c r="J4" s="272"/>
      <c r="K4" s="272"/>
      <c r="L4" s="272"/>
      <c r="M4" s="272"/>
      <c r="N4" s="272"/>
      <c r="O4" s="272"/>
      <c r="P4" s="273"/>
      <c r="Q4" s="80"/>
    </row>
    <row r="5" spans="2:27">
      <c r="F5" s="3"/>
      <c r="G5" s="271"/>
      <c r="H5" s="272"/>
      <c r="I5" s="272"/>
      <c r="J5" s="272"/>
      <c r="K5" s="272"/>
      <c r="L5" s="272"/>
      <c r="M5" s="272"/>
      <c r="N5" s="272"/>
      <c r="O5" s="272"/>
      <c r="P5" s="273"/>
      <c r="Q5" s="80"/>
    </row>
    <row r="6" spans="2:27">
      <c r="G6" s="271"/>
      <c r="H6" s="272"/>
      <c r="I6" s="272"/>
      <c r="J6" s="272"/>
      <c r="K6" s="272"/>
      <c r="L6" s="272"/>
      <c r="M6" s="272"/>
      <c r="N6" s="272"/>
      <c r="O6" s="272"/>
      <c r="P6" s="273"/>
      <c r="Q6" s="80"/>
    </row>
    <row r="7" spans="2:27">
      <c r="G7" s="271"/>
      <c r="H7" s="272"/>
      <c r="I7" s="272"/>
      <c r="J7" s="272"/>
      <c r="K7" s="272"/>
      <c r="L7" s="272"/>
      <c r="M7" s="272"/>
      <c r="N7" s="272"/>
      <c r="O7" s="272"/>
      <c r="P7" s="273"/>
      <c r="Q7" s="80"/>
    </row>
    <row r="8" spans="2:27" ht="20.25" thickBot="1">
      <c r="G8" s="274"/>
      <c r="H8" s="275"/>
      <c r="I8" s="275"/>
      <c r="J8" s="275"/>
      <c r="K8" s="275"/>
      <c r="L8" s="275"/>
      <c r="M8" s="275"/>
      <c r="N8" s="275"/>
      <c r="O8" s="275"/>
      <c r="P8" s="276"/>
    </row>
    <row r="10" spans="2:27">
      <c r="C10" t="s">
        <v>172</v>
      </c>
      <c r="I10" s="144" t="s">
        <v>171</v>
      </c>
      <c r="S10" t="s">
        <v>405</v>
      </c>
      <c r="AA10" s="128"/>
    </row>
    <row r="11" spans="2:27">
      <c r="B11" s="40" t="s">
        <v>970</v>
      </c>
      <c r="C11" s="42" t="s">
        <v>971</v>
      </c>
      <c r="D11" s="38" t="s">
        <v>968</v>
      </c>
      <c r="E11" s="38" t="s">
        <v>160</v>
      </c>
      <c r="F11" s="38" t="s">
        <v>969</v>
      </c>
      <c r="G11" s="38" t="s">
        <v>1038</v>
      </c>
      <c r="H11" s="117" t="s">
        <v>972</v>
      </c>
      <c r="I11" s="145" t="s">
        <v>973</v>
      </c>
      <c r="J11" s="38" t="s">
        <v>974</v>
      </c>
      <c r="K11" s="114" t="s">
        <v>975</v>
      </c>
      <c r="L11" s="114" t="s">
        <v>987</v>
      </c>
      <c r="M11" s="38" t="s">
        <v>976</v>
      </c>
      <c r="N11" s="38" t="s">
        <v>977</v>
      </c>
      <c r="O11" s="114" t="s">
        <v>978</v>
      </c>
      <c r="P11" s="38" t="s">
        <v>979</v>
      </c>
      <c r="Q11" s="38" t="s">
        <v>980</v>
      </c>
      <c r="R11" s="40" t="s">
        <v>981</v>
      </c>
      <c r="S11" s="129" t="s">
        <v>982</v>
      </c>
      <c r="T11" s="38" t="s">
        <v>888</v>
      </c>
      <c r="U11" s="121" t="s">
        <v>887</v>
      </c>
      <c r="V11" s="121" t="s">
        <v>889</v>
      </c>
      <c r="W11" s="121"/>
      <c r="X11" s="121"/>
      <c r="Y11" s="121"/>
      <c r="Z11" s="114"/>
      <c r="AA11" s="128"/>
    </row>
    <row r="12" spans="2:27">
      <c r="B12" s="40"/>
      <c r="C12" s="42" t="s">
        <v>132</v>
      </c>
      <c r="D12" s="38" t="s">
        <v>46</v>
      </c>
      <c r="E12" s="38" t="s">
        <v>983</v>
      </c>
      <c r="F12" s="38" t="s">
        <v>46</v>
      </c>
      <c r="G12" s="38" t="s">
        <v>46</v>
      </c>
      <c r="H12" s="117" t="s">
        <v>46</v>
      </c>
      <c r="I12" s="145" t="s">
        <v>178</v>
      </c>
      <c r="J12" s="38" t="s">
        <v>170</v>
      </c>
      <c r="K12" s="114" t="s">
        <v>984</v>
      </c>
      <c r="L12" s="114" t="s">
        <v>177</v>
      </c>
      <c r="M12" s="38" t="s">
        <v>177</v>
      </c>
      <c r="N12" s="38" t="s">
        <v>985</v>
      </c>
      <c r="O12" s="114" t="s">
        <v>986</v>
      </c>
      <c r="P12" s="38" t="s">
        <v>166</v>
      </c>
      <c r="Q12" s="38" t="s">
        <v>163</v>
      </c>
      <c r="R12" s="40" t="s">
        <v>164</v>
      </c>
      <c r="S12" s="42"/>
      <c r="T12" s="38"/>
      <c r="U12" s="121"/>
      <c r="V12" s="121"/>
      <c r="W12" s="121"/>
      <c r="X12" s="121"/>
      <c r="Y12" s="121"/>
      <c r="Z12" s="114"/>
      <c r="AA12" s="128"/>
    </row>
    <row r="13" spans="2:27" ht="18.95" customHeight="1" thickBot="1">
      <c r="B13" s="41"/>
      <c r="C13" s="43" t="s">
        <v>157</v>
      </c>
      <c r="D13" s="39" t="s">
        <v>157</v>
      </c>
      <c r="E13" s="39" t="s">
        <v>157</v>
      </c>
      <c r="F13" s="39" t="s">
        <v>157</v>
      </c>
      <c r="G13" s="39" t="s">
        <v>5</v>
      </c>
      <c r="H13" s="118" t="s">
        <v>318</v>
      </c>
      <c r="I13" s="146" t="s">
        <v>46</v>
      </c>
      <c r="J13" s="39" t="s">
        <v>46</v>
      </c>
      <c r="K13" s="115" t="s">
        <v>46</v>
      </c>
      <c r="L13" s="115" t="s">
        <v>318</v>
      </c>
      <c r="M13" s="39" t="s">
        <v>318</v>
      </c>
      <c r="N13" s="39" t="s">
        <v>46</v>
      </c>
      <c r="O13" s="115" t="s">
        <v>46</v>
      </c>
      <c r="P13" s="39" t="s">
        <v>46</v>
      </c>
      <c r="Q13" s="39" t="s">
        <v>157</v>
      </c>
      <c r="R13" s="41" t="s">
        <v>162</v>
      </c>
      <c r="S13" s="43"/>
      <c r="T13" s="39"/>
      <c r="U13" s="122"/>
      <c r="V13" s="122"/>
      <c r="W13" s="122"/>
      <c r="X13" s="122"/>
      <c r="Y13" s="122"/>
      <c r="Z13" s="115"/>
      <c r="AA13" s="128"/>
    </row>
    <row r="14" spans="2:27" ht="108" customHeight="1" thickTop="1">
      <c r="B14" s="119" t="s">
        <v>661</v>
      </c>
      <c r="C14" s="204">
        <v>14.080387494903704</v>
      </c>
      <c r="D14" s="205">
        <v>32.9</v>
      </c>
      <c r="E14" s="205">
        <v>5.0922297489936863</v>
      </c>
      <c r="F14" s="205">
        <v>47.300000000000004</v>
      </c>
      <c r="G14" s="205">
        <v>1</v>
      </c>
      <c r="H14" s="206">
        <v>0.1</v>
      </c>
      <c r="I14" s="147">
        <v>700000</v>
      </c>
      <c r="J14" s="205">
        <v>1.6730999999999978</v>
      </c>
      <c r="K14" s="204">
        <v>145.07371007370918</v>
      </c>
      <c r="L14" s="204">
        <v>4.9999999999997868</v>
      </c>
      <c r="M14" s="140">
        <v>4</v>
      </c>
      <c r="N14" s="205">
        <v>1.0752999999999999</v>
      </c>
      <c r="O14" s="205">
        <v>142.80212483399734</v>
      </c>
      <c r="P14" s="205">
        <v>-0.13850000000000001</v>
      </c>
      <c r="Q14" s="205">
        <v>37.19</v>
      </c>
      <c r="R14" s="210">
        <v>59.96</v>
      </c>
      <c r="S14" s="126"/>
      <c r="T14" s="51"/>
      <c r="U14" s="123"/>
      <c r="V14" s="123"/>
      <c r="W14" s="123"/>
      <c r="X14" s="123"/>
      <c r="Y14" s="123"/>
      <c r="Z14" s="124"/>
      <c r="AA14" s="128"/>
    </row>
    <row r="15" spans="2:27" ht="108" customHeight="1">
      <c r="B15" s="120" t="s">
        <v>662</v>
      </c>
      <c r="C15" s="207">
        <v>13.227287992011144</v>
      </c>
      <c r="D15" s="208">
        <v>30.8</v>
      </c>
      <c r="E15" s="208">
        <v>3.5061503119141224</v>
      </c>
      <c r="F15" s="208">
        <v>44</v>
      </c>
      <c r="G15" s="208">
        <v>1</v>
      </c>
      <c r="H15" s="209">
        <v>0.1</v>
      </c>
      <c r="I15" s="147">
        <v>400000</v>
      </c>
      <c r="J15" s="208">
        <v>1.5118999999999982</v>
      </c>
      <c r="K15" s="207">
        <v>100.1873048907385</v>
      </c>
      <c r="L15" s="207">
        <v>5.0999999999997847</v>
      </c>
      <c r="M15" s="134">
        <v>5</v>
      </c>
      <c r="N15" s="208">
        <v>0.95250000000000001</v>
      </c>
      <c r="O15" s="208">
        <v>100.05252100840336</v>
      </c>
      <c r="P15" s="208">
        <v>-8.0600000000000005E-2</v>
      </c>
      <c r="Q15" s="208">
        <v>32.72</v>
      </c>
      <c r="R15" s="211">
        <v>50.23</v>
      </c>
      <c r="S15" s="127"/>
      <c r="T15" s="35"/>
      <c r="U15" s="125"/>
      <c r="V15" s="125"/>
      <c r="W15" s="125"/>
      <c r="X15" s="125"/>
      <c r="Y15" s="125"/>
      <c r="Z15" s="116"/>
      <c r="AA15" s="128"/>
    </row>
    <row r="16" spans="2:27" ht="108" customHeight="1">
      <c r="B16" s="120" t="s">
        <v>988</v>
      </c>
      <c r="C16" s="207">
        <v>9.0025847148535583</v>
      </c>
      <c r="D16" s="208">
        <v>30</v>
      </c>
      <c r="E16" s="208">
        <v>1.0408340855860843E-15</v>
      </c>
      <c r="F16" s="208">
        <v>39</v>
      </c>
      <c r="G16" s="208">
        <v>1</v>
      </c>
      <c r="H16" s="209">
        <v>0.1</v>
      </c>
      <c r="I16" s="147">
        <v>600000</v>
      </c>
      <c r="J16" s="208">
        <v>1.0999999999999988</v>
      </c>
      <c r="K16" s="207">
        <v>56.968085106382674</v>
      </c>
      <c r="L16" s="207">
        <v>5.6999999999997719</v>
      </c>
      <c r="M16" s="140">
        <v>10</v>
      </c>
      <c r="N16" s="208">
        <v>1.0246999999999999</v>
      </c>
      <c r="O16" s="208">
        <v>41.46904087414002</v>
      </c>
      <c r="P16" s="208">
        <v>1.21E-2</v>
      </c>
      <c r="Q16" s="208">
        <v>22.91</v>
      </c>
      <c r="R16" s="211">
        <v>1.4000000000000001</v>
      </c>
      <c r="S16" s="127"/>
      <c r="T16" s="35"/>
      <c r="U16" s="125"/>
      <c r="V16" s="125"/>
      <c r="W16" s="125"/>
      <c r="X16" s="125"/>
      <c r="Y16" s="125"/>
      <c r="Z16" s="116"/>
    </row>
    <row r="17" spans="2:26" ht="108" customHeight="1">
      <c r="B17" s="120" t="s">
        <v>989</v>
      </c>
      <c r="C17" s="207">
        <v>12.003448079787852</v>
      </c>
      <c r="D17" s="208">
        <v>30</v>
      </c>
      <c r="E17" s="208">
        <v>1.3877787807814457E-15</v>
      </c>
      <c r="F17" s="208">
        <v>42.4</v>
      </c>
      <c r="G17" s="208">
        <v>1</v>
      </c>
      <c r="H17" s="209">
        <v>0.1</v>
      </c>
      <c r="I17" s="147">
        <v>600000</v>
      </c>
      <c r="J17" s="208">
        <v>1.2681999999999991</v>
      </c>
      <c r="K17" s="207">
        <v>64.995773457311657</v>
      </c>
      <c r="L17" s="207">
        <v>6.4999999999997549</v>
      </c>
      <c r="M17" s="134">
        <v>10</v>
      </c>
      <c r="N17" s="208">
        <v>1.052</v>
      </c>
      <c r="O17" s="208">
        <v>57.865786578657861</v>
      </c>
      <c r="P17" s="208">
        <v>9.7000000000000003E-3</v>
      </c>
      <c r="Q17" s="208">
        <v>22.97</v>
      </c>
      <c r="R17" s="211">
        <v>3.0700000000000003</v>
      </c>
      <c r="S17" s="127"/>
      <c r="T17" s="35"/>
      <c r="U17" s="125"/>
      <c r="V17" s="125"/>
      <c r="W17" s="125"/>
      <c r="X17" s="125"/>
      <c r="Y17" s="125"/>
      <c r="Z17" s="116"/>
    </row>
    <row r="18" spans="2:26" ht="108" customHeight="1">
      <c r="B18" s="120"/>
      <c r="C18" s="207"/>
      <c r="D18" s="208"/>
      <c r="E18" s="208"/>
      <c r="F18" s="208"/>
      <c r="G18" s="208"/>
      <c r="H18" s="209"/>
      <c r="I18" s="148"/>
      <c r="J18" s="208"/>
      <c r="K18" s="207"/>
      <c r="L18" s="207"/>
      <c r="M18" s="134"/>
      <c r="N18" s="208"/>
      <c r="O18" s="208"/>
      <c r="P18" s="208"/>
      <c r="Q18" s="208"/>
      <c r="R18" s="211"/>
      <c r="S18" s="127"/>
      <c r="T18" s="35"/>
      <c r="U18" s="125"/>
      <c r="V18" s="125"/>
      <c r="W18" s="125"/>
      <c r="X18" s="125"/>
      <c r="Y18" s="125"/>
      <c r="Z18" s="116"/>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tabSelected="1" zoomScale="85" zoomScaleNormal="85" workbookViewId="0">
      <selection activeCell="J12" sqref="J12"/>
    </sheetView>
  </sheetViews>
  <sheetFormatPr defaultColWidth="8.6640625" defaultRowHeight="19.5"/>
  <cols>
    <col min="4" max="4" width="10.33203125" bestFit="1" customWidth="1"/>
  </cols>
  <sheetData>
    <row r="2" spans="2:23">
      <c r="B2" s="3" t="s">
        <v>58</v>
      </c>
      <c r="C2" s="3"/>
      <c r="D2" s="3"/>
      <c r="E2" s="3"/>
      <c r="F2" s="26"/>
      <c r="G2" s="26"/>
      <c r="H2" s="26"/>
      <c r="I2" s="26"/>
      <c r="K2" s="3"/>
      <c r="L2" s="3" t="s">
        <v>134</v>
      </c>
      <c r="M2" s="3"/>
      <c r="N2" s="3"/>
      <c r="O2" s="3"/>
      <c r="P2" s="3"/>
      <c r="Q2" s="3"/>
      <c r="R2" s="3"/>
      <c r="S2" s="3"/>
      <c r="T2" s="3"/>
      <c r="U2" s="3"/>
      <c r="V2" s="3"/>
      <c r="W2" s="3"/>
    </row>
    <row r="3" spans="2:23">
      <c r="B3" s="10" t="s">
        <v>59</v>
      </c>
      <c r="C3" s="10" t="s">
        <v>60</v>
      </c>
      <c r="D3" s="10" t="s">
        <v>61</v>
      </c>
      <c r="E3" s="10" t="s">
        <v>62</v>
      </c>
      <c r="F3" s="281" t="s">
        <v>63</v>
      </c>
      <c r="G3" s="281"/>
      <c r="H3" s="281"/>
      <c r="I3" s="281"/>
      <c r="K3" s="3"/>
      <c r="L3" s="10" t="s">
        <v>59</v>
      </c>
      <c r="M3" s="10" t="s">
        <v>61</v>
      </c>
      <c r="N3" s="265" t="s">
        <v>63</v>
      </c>
      <c r="O3" s="266"/>
      <c r="P3" s="267"/>
    </row>
    <row r="4" spans="2:23">
      <c r="B4" s="1" t="s">
        <v>64</v>
      </c>
      <c r="C4" s="1" t="s">
        <v>65</v>
      </c>
      <c r="D4" s="1">
        <f>D11/(D12*D9)</f>
        <v>1.1528198974645434</v>
      </c>
      <c r="E4" s="1" t="s">
        <v>66</v>
      </c>
      <c r="F4" s="282" t="s">
        <v>67</v>
      </c>
      <c r="G4" s="279"/>
      <c r="H4" s="279"/>
      <c r="I4" s="280"/>
      <c r="K4" s="3" t="s">
        <v>605</v>
      </c>
      <c r="L4" s="1" t="s">
        <v>1202</v>
      </c>
      <c r="M4" s="22" t="s">
        <v>1094</v>
      </c>
      <c r="N4" s="277"/>
      <c r="O4" s="277"/>
      <c r="P4" s="277"/>
    </row>
    <row r="5" spans="2:23">
      <c r="B5" s="1" t="s">
        <v>68</v>
      </c>
      <c r="C5" s="1" t="s">
        <v>69</v>
      </c>
      <c r="D5" s="22">
        <v>9.7970000000000006</v>
      </c>
      <c r="E5" s="1" t="s">
        <v>70</v>
      </c>
      <c r="F5" s="282" t="s">
        <v>71</v>
      </c>
      <c r="G5" s="279"/>
      <c r="H5" s="279"/>
      <c r="I5" s="280"/>
      <c r="K5" s="3"/>
      <c r="L5" s="1" t="s">
        <v>1196</v>
      </c>
      <c r="M5" s="248" t="s">
        <v>852</v>
      </c>
      <c r="N5" s="277"/>
      <c r="O5" s="277"/>
      <c r="P5" s="277"/>
    </row>
    <row r="6" spans="2:23">
      <c r="B6" s="1" t="s">
        <v>72</v>
      </c>
      <c r="C6" s="1" t="s">
        <v>73</v>
      </c>
      <c r="D6" s="27">
        <f>(1.458*(10^-6)*(D9^(3/2)))/(D9+110.4)</f>
        <v>1.8608692424914869E-5</v>
      </c>
      <c r="E6" s="1" t="s">
        <v>74</v>
      </c>
      <c r="F6" s="278" t="s">
        <v>75</v>
      </c>
      <c r="G6" s="279"/>
      <c r="H6" s="279"/>
      <c r="I6" s="280"/>
      <c r="K6" s="3"/>
      <c r="L6" s="1" t="s">
        <v>1197</v>
      </c>
      <c r="M6" s="248" t="s">
        <v>852</v>
      </c>
      <c r="N6" s="277"/>
      <c r="O6" s="277"/>
      <c r="P6" s="277"/>
    </row>
    <row r="7" spans="2:23">
      <c r="B7" s="1" t="s">
        <v>76</v>
      </c>
      <c r="C7" s="1" t="s">
        <v>77</v>
      </c>
      <c r="D7" s="27">
        <f>D6/D4</f>
        <v>1.6141890390547503E-5</v>
      </c>
      <c r="E7" s="1" t="s">
        <v>78</v>
      </c>
      <c r="F7" s="278" t="s">
        <v>75</v>
      </c>
      <c r="G7" s="279"/>
      <c r="H7" s="279"/>
      <c r="I7" s="280"/>
      <c r="K7" s="3"/>
      <c r="L7" s="1" t="s">
        <v>1198</v>
      </c>
      <c r="M7" s="248" t="s">
        <v>852</v>
      </c>
      <c r="N7" s="277"/>
      <c r="O7" s="277"/>
      <c r="P7" s="277"/>
    </row>
    <row r="8" spans="2:23">
      <c r="B8" s="1" t="s">
        <v>79</v>
      </c>
      <c r="C8" s="1" t="s">
        <v>80</v>
      </c>
      <c r="D8" s="22">
        <v>30</v>
      </c>
      <c r="E8" s="1" t="s">
        <v>81</v>
      </c>
      <c r="F8" s="278"/>
      <c r="G8" s="279"/>
      <c r="H8" s="279"/>
      <c r="I8" s="280"/>
      <c r="K8" s="3" t="s">
        <v>1201</v>
      </c>
      <c r="L8" s="1" t="s">
        <v>1199</v>
      </c>
      <c r="M8" s="248" t="s">
        <v>850</v>
      </c>
      <c r="N8" s="277"/>
      <c r="O8" s="277"/>
      <c r="P8" s="277"/>
    </row>
    <row r="9" spans="2:23">
      <c r="B9" s="1"/>
      <c r="C9" s="1"/>
      <c r="D9" s="1">
        <f>273.15+D8</f>
        <v>303.14999999999998</v>
      </c>
      <c r="E9" s="1" t="s">
        <v>82</v>
      </c>
      <c r="F9" s="278"/>
      <c r="G9" s="279"/>
      <c r="H9" s="279"/>
      <c r="I9" s="280"/>
      <c r="K9" s="3"/>
      <c r="L9" s="1" t="s">
        <v>1200</v>
      </c>
      <c r="M9" s="22">
        <v>0.99999999999999989</v>
      </c>
      <c r="N9" s="277"/>
      <c r="O9" s="277"/>
      <c r="P9" s="277"/>
    </row>
    <row r="10" spans="2:23">
      <c r="B10" s="1" t="s">
        <v>83</v>
      </c>
      <c r="C10" s="1" t="s">
        <v>84</v>
      </c>
      <c r="D10" s="28">
        <v>1003</v>
      </c>
      <c r="E10" s="1" t="s">
        <v>85</v>
      </c>
      <c r="F10" s="278" t="s">
        <v>1311</v>
      </c>
      <c r="G10" s="279"/>
      <c r="H10" s="279"/>
      <c r="I10" s="280"/>
      <c r="K10" s="3"/>
      <c r="L10" s="1"/>
      <c r="M10" s="28"/>
      <c r="N10" s="277"/>
      <c r="O10" s="277"/>
      <c r="P10" s="277"/>
    </row>
    <row r="11" spans="2:23">
      <c r="B11" s="1"/>
      <c r="C11" s="1"/>
      <c r="D11" s="29">
        <f>D10*100</f>
        <v>100300</v>
      </c>
      <c r="E11" s="1" t="s">
        <v>86</v>
      </c>
      <c r="F11" s="278"/>
      <c r="G11" s="279"/>
      <c r="H11" s="279"/>
      <c r="I11" s="280"/>
      <c r="K11" s="3"/>
      <c r="L11" s="1"/>
      <c r="M11" s="28"/>
      <c r="N11" s="277"/>
      <c r="O11" s="277"/>
      <c r="P11" s="277"/>
    </row>
    <row r="12" spans="2:23">
      <c r="B12" s="1" t="s">
        <v>87</v>
      </c>
      <c r="C12" s="1" t="s">
        <v>88</v>
      </c>
      <c r="D12" s="22">
        <v>287</v>
      </c>
      <c r="E12" s="1" t="s">
        <v>89</v>
      </c>
      <c r="F12" s="278" t="s">
        <v>75</v>
      </c>
      <c r="G12" s="279"/>
      <c r="H12" s="279"/>
      <c r="I12" s="280"/>
      <c r="K12" s="3"/>
      <c r="L12" s="1"/>
      <c r="M12" s="22"/>
      <c r="N12" s="277"/>
      <c r="O12" s="277"/>
      <c r="P12" s="277"/>
    </row>
    <row r="13" spans="2:23">
      <c r="B13" s="1" t="s">
        <v>90</v>
      </c>
      <c r="C13" s="1" t="s">
        <v>91</v>
      </c>
      <c r="D13" s="22">
        <v>1.4</v>
      </c>
      <c r="E13" s="1" t="s">
        <v>46</v>
      </c>
      <c r="F13" s="278" t="s">
        <v>75</v>
      </c>
      <c r="G13" s="279"/>
      <c r="H13" s="279"/>
      <c r="I13" s="280"/>
      <c r="K13" s="3"/>
      <c r="L13" s="1"/>
      <c r="M13" s="22"/>
      <c r="N13" s="277"/>
      <c r="O13" s="277"/>
      <c r="P13" s="277"/>
    </row>
    <row r="14" spans="2:23">
      <c r="B14" s="1" t="s">
        <v>92</v>
      </c>
      <c r="C14" s="1" t="s">
        <v>93</v>
      </c>
      <c r="D14" s="1">
        <f>SQRT(D13*D12*D9)</f>
        <v>349.00669048028288</v>
      </c>
      <c r="E14" s="1" t="s">
        <v>94</v>
      </c>
      <c r="F14" s="278" t="s">
        <v>75</v>
      </c>
      <c r="G14" s="279"/>
      <c r="H14" s="279"/>
      <c r="I14" s="280"/>
      <c r="K14" s="3"/>
      <c r="L14" s="1"/>
      <c r="M14" s="22"/>
      <c r="N14" s="277"/>
      <c r="O14" s="277"/>
      <c r="P14" s="277"/>
    </row>
    <row r="15" spans="2:23">
      <c r="B15" s="1" t="s">
        <v>95</v>
      </c>
      <c r="C15" s="1" t="s">
        <v>96</v>
      </c>
      <c r="D15" s="22">
        <v>0.4</v>
      </c>
      <c r="E15" s="1" t="s">
        <v>46</v>
      </c>
      <c r="F15" s="30" t="s">
        <v>97</v>
      </c>
      <c r="G15" s="31"/>
      <c r="H15" s="31"/>
      <c r="I15" s="32"/>
      <c r="K15" s="3"/>
      <c r="L15" s="1"/>
      <c r="M15" s="22"/>
      <c r="N15" s="277"/>
      <c r="O15" s="277"/>
      <c r="P15" s="277"/>
    </row>
    <row r="16" spans="2:23">
      <c r="B16" s="1" t="s">
        <v>98</v>
      </c>
      <c r="C16" s="1" t="s">
        <v>99</v>
      </c>
      <c r="D16" s="22">
        <v>0.01</v>
      </c>
      <c r="E16" s="1" t="s">
        <v>46</v>
      </c>
      <c r="F16" s="33" t="s">
        <v>97</v>
      </c>
      <c r="G16" s="31"/>
      <c r="H16" s="31"/>
      <c r="I16" s="32"/>
      <c r="K16" s="3"/>
      <c r="L16" s="1"/>
      <c r="M16" s="22"/>
      <c r="N16" s="277"/>
      <c r="O16" s="277"/>
      <c r="P16" s="277"/>
    </row>
    <row r="17" spans="1:36">
      <c r="B17" s="3"/>
      <c r="C17" s="3"/>
      <c r="D17" s="3"/>
      <c r="E17" s="3"/>
      <c r="F17" s="3"/>
      <c r="G17" s="3"/>
      <c r="H17" s="3"/>
      <c r="I17" s="3"/>
      <c r="J17" s="3"/>
      <c r="K17" s="3"/>
      <c r="L17" s="3"/>
      <c r="M17" s="3"/>
      <c r="N17" s="3"/>
      <c r="O17" s="3"/>
      <c r="P17" s="3"/>
      <c r="Q17" s="3"/>
    </row>
    <row r="18" spans="1:36">
      <c r="C18" s="3"/>
      <c r="D18" s="3"/>
      <c r="E18" s="3"/>
      <c r="F18" s="3"/>
      <c r="G18" s="3"/>
      <c r="H18" s="3"/>
      <c r="I18" s="3"/>
      <c r="J18" s="3"/>
      <c r="K18" s="3"/>
      <c r="L18" s="3"/>
      <c r="M18" s="3"/>
      <c r="N18" s="3"/>
      <c r="O18" s="3"/>
      <c r="P18" s="3"/>
      <c r="Q18" s="3"/>
      <c r="V18" s="3"/>
      <c r="W18" s="3"/>
    </row>
    <row r="19" spans="1:36">
      <c r="A19" s="3"/>
      <c r="B19" s="3" t="s">
        <v>957</v>
      </c>
      <c r="C19" s="3"/>
      <c r="D19" s="3"/>
      <c r="E19" s="3"/>
      <c r="H19" s="3"/>
      <c r="I19" s="3"/>
      <c r="J19" s="3"/>
      <c r="L19" s="3" t="s">
        <v>17</v>
      </c>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0</v>
      </c>
      <c r="C20" s="10" t="s">
        <v>135</v>
      </c>
      <c r="D20" s="10" t="s">
        <v>136</v>
      </c>
      <c r="E20" s="10" t="s">
        <v>1093</v>
      </c>
      <c r="F20" s="10" t="s">
        <v>1092</v>
      </c>
      <c r="G20" s="10" t="s">
        <v>1000</v>
      </c>
      <c r="H20" s="10" t="s">
        <v>114</v>
      </c>
      <c r="I20" s="10" t="s">
        <v>63</v>
      </c>
      <c r="J20" s="3"/>
      <c r="L20" s="10" t="s">
        <v>0</v>
      </c>
      <c r="M20" s="10" t="s">
        <v>135</v>
      </c>
      <c r="N20" s="10" t="s">
        <v>136</v>
      </c>
      <c r="O20" s="10" t="s">
        <v>146</v>
      </c>
      <c r="P20" s="10" t="s">
        <v>147</v>
      </c>
      <c r="Q20" s="10" t="s">
        <v>63</v>
      </c>
      <c r="R20" s="3"/>
      <c r="S20" s="3"/>
      <c r="T20" s="3"/>
      <c r="U20" s="3"/>
      <c r="V20" s="3"/>
      <c r="W20" s="3"/>
      <c r="X20" s="3"/>
      <c r="Y20" s="3"/>
      <c r="Z20" s="3"/>
      <c r="AA20" s="3"/>
      <c r="AB20" s="3"/>
      <c r="AC20" s="3"/>
      <c r="AD20" s="3"/>
      <c r="AE20" s="3"/>
      <c r="AF20" s="3"/>
      <c r="AG20" s="3"/>
      <c r="AH20" s="3"/>
      <c r="AI20" s="3"/>
      <c r="AJ20" s="3"/>
    </row>
    <row r="21" spans="1:36" ht="20.25" thickBot="1">
      <c r="A21" s="3"/>
      <c r="B21" s="37" t="s">
        <v>46</v>
      </c>
      <c r="C21" s="37" t="s">
        <v>46</v>
      </c>
      <c r="D21" s="37" t="s">
        <v>66</v>
      </c>
      <c r="E21" s="37" t="s">
        <v>86</v>
      </c>
      <c r="F21" s="37" t="s">
        <v>86</v>
      </c>
      <c r="G21" s="37" t="s">
        <v>86</v>
      </c>
      <c r="H21" s="37" t="s">
        <v>86</v>
      </c>
      <c r="I21" s="37" t="s">
        <v>46</v>
      </c>
      <c r="J21" s="3"/>
      <c r="L21" s="37" t="s">
        <v>46</v>
      </c>
      <c r="M21" s="37" t="s">
        <v>46</v>
      </c>
      <c r="N21" s="37" t="s">
        <v>66</v>
      </c>
      <c r="O21" s="37" t="s">
        <v>86</v>
      </c>
      <c r="P21" s="37" t="s">
        <v>86</v>
      </c>
      <c r="Q21" s="37" t="s">
        <v>46</v>
      </c>
      <c r="R21" s="3"/>
      <c r="S21" s="3"/>
      <c r="T21" s="3"/>
      <c r="U21" s="3"/>
      <c r="V21" s="3"/>
      <c r="W21" s="3"/>
      <c r="X21" s="3"/>
      <c r="Y21" s="3"/>
      <c r="Z21" s="3"/>
      <c r="AA21" s="3"/>
      <c r="AB21" s="3"/>
      <c r="AC21" s="3"/>
      <c r="AD21" s="3"/>
      <c r="AE21" s="3"/>
      <c r="AF21" s="3"/>
      <c r="AG21" s="3"/>
      <c r="AH21" s="3"/>
      <c r="AI21" s="3"/>
      <c r="AJ21" s="3"/>
    </row>
    <row r="22" spans="1:36" ht="20.25" thickTop="1">
      <c r="A22" s="3"/>
      <c r="B22" s="25" t="s">
        <v>137</v>
      </c>
      <c r="C22" s="25"/>
      <c r="D22" s="50">
        <v>1500</v>
      </c>
      <c r="E22" s="50"/>
      <c r="F22" s="50"/>
      <c r="G22" s="50"/>
      <c r="H22" s="50"/>
      <c r="I22" s="25"/>
      <c r="J22" s="3"/>
      <c r="L22" s="25" t="s">
        <v>962</v>
      </c>
      <c r="M22" s="25"/>
      <c r="N22" s="50"/>
      <c r="O22" s="50"/>
      <c r="P22" s="50"/>
      <c r="Q22" s="25"/>
      <c r="R22" s="3"/>
      <c r="S22" s="3"/>
      <c r="T22" s="3"/>
      <c r="U22" s="3"/>
      <c r="V22" s="3"/>
      <c r="W22" s="3"/>
      <c r="X22" s="3"/>
      <c r="Y22" s="3"/>
      <c r="Z22" s="3"/>
      <c r="AA22" s="3"/>
      <c r="AB22" s="3"/>
      <c r="AC22" s="3"/>
      <c r="AD22" s="3"/>
      <c r="AE22" s="3"/>
      <c r="AF22" s="3"/>
      <c r="AG22" s="3"/>
      <c r="AH22" s="3"/>
      <c r="AI22" s="3"/>
      <c r="AJ22" s="3"/>
    </row>
    <row r="23" spans="1:36">
      <c r="A23" s="3"/>
      <c r="B23" s="1" t="s">
        <v>138</v>
      </c>
      <c r="C23" s="1"/>
      <c r="D23" s="22">
        <v>20</v>
      </c>
      <c r="E23" s="22">
        <v>0.05</v>
      </c>
      <c r="F23" s="22">
        <v>2.5000000000000001E-2</v>
      </c>
      <c r="G23" s="22">
        <v>0.12</v>
      </c>
      <c r="H23" s="22">
        <v>2E-3</v>
      </c>
      <c r="I23" s="212" t="s">
        <v>1091</v>
      </c>
      <c r="J23" s="3"/>
      <c r="L23" s="1" t="s">
        <v>963</v>
      </c>
      <c r="M23" s="1"/>
      <c r="N23" s="22"/>
      <c r="O23" s="22"/>
      <c r="P23" s="22"/>
      <c r="Q23" s="1"/>
      <c r="R23" s="3"/>
      <c r="S23" s="3"/>
      <c r="T23" s="3"/>
      <c r="U23" s="3"/>
      <c r="V23" s="3"/>
      <c r="W23" s="3"/>
      <c r="X23" s="3"/>
      <c r="Y23" s="3"/>
      <c r="Z23" s="3"/>
      <c r="AA23" s="3"/>
      <c r="AB23" s="3"/>
      <c r="AC23" s="3"/>
      <c r="AD23" s="3"/>
      <c r="AE23" s="3"/>
      <c r="AF23" s="3"/>
      <c r="AG23" s="3"/>
      <c r="AH23" s="3"/>
      <c r="AI23" s="3"/>
      <c r="AJ23" s="3"/>
    </row>
    <row r="24" spans="1:36">
      <c r="A24" s="3"/>
      <c r="B24" s="1" t="s">
        <v>139</v>
      </c>
      <c r="C24" s="1"/>
      <c r="D24" s="22">
        <v>33</v>
      </c>
      <c r="E24" s="22">
        <v>0.1</v>
      </c>
      <c r="F24" s="22">
        <v>0.05</v>
      </c>
      <c r="G24" s="22">
        <v>0.17499999999999999</v>
      </c>
      <c r="H24" s="22">
        <v>5.0000000000000001E-3</v>
      </c>
      <c r="I24" s="212" t="s">
        <v>1091</v>
      </c>
      <c r="J24" s="3"/>
      <c r="L24" s="1" t="s">
        <v>964</v>
      </c>
      <c r="M24" s="1"/>
      <c r="N24" s="22"/>
      <c r="O24" s="22"/>
      <c r="P24" s="22"/>
      <c r="Q24" s="1"/>
      <c r="R24" s="3"/>
      <c r="S24" s="3"/>
      <c r="T24" s="3"/>
      <c r="U24" s="3"/>
      <c r="V24" s="3"/>
      <c r="W24" s="3"/>
      <c r="X24" s="3"/>
      <c r="Y24" s="3"/>
      <c r="Z24" s="3"/>
      <c r="AA24" s="3"/>
      <c r="AB24" s="3"/>
      <c r="AC24" s="3"/>
      <c r="AD24" s="3"/>
      <c r="AE24" s="3"/>
      <c r="AF24" s="3"/>
      <c r="AG24" s="3"/>
      <c r="AH24" s="3"/>
      <c r="AI24" s="3"/>
      <c r="AJ24" s="3"/>
    </row>
    <row r="25" spans="1:36">
      <c r="A25" s="3"/>
      <c r="B25" s="1" t="s">
        <v>966</v>
      </c>
      <c r="C25" s="1"/>
      <c r="D25" s="22">
        <v>33</v>
      </c>
      <c r="E25" s="22"/>
      <c r="F25" s="22"/>
      <c r="G25" s="22"/>
      <c r="H25" s="22"/>
      <c r="I25" s="1"/>
      <c r="J25" s="3"/>
      <c r="L25" s="1" t="s">
        <v>967</v>
      </c>
      <c r="M25" s="1"/>
      <c r="N25" s="22"/>
      <c r="O25" s="22"/>
      <c r="P25" s="22"/>
      <c r="Q25" s="1"/>
      <c r="R25" s="3"/>
      <c r="S25" s="3"/>
      <c r="T25" s="3"/>
      <c r="U25" s="3"/>
      <c r="V25" s="3"/>
      <c r="W25" s="3"/>
      <c r="X25" s="3"/>
      <c r="Y25" s="3"/>
      <c r="Z25" s="3"/>
      <c r="AA25" s="3"/>
      <c r="AB25" s="3"/>
      <c r="AC25" s="3"/>
      <c r="AD25" s="3"/>
      <c r="AE25" s="3"/>
      <c r="AF25" s="3"/>
      <c r="AG25" s="3"/>
      <c r="AH25" s="3"/>
      <c r="AI25" s="3"/>
      <c r="AJ25" s="3"/>
    </row>
    <row r="26" spans="1:36">
      <c r="A26" s="3"/>
      <c r="B26" s="1" t="s">
        <v>1069</v>
      </c>
      <c r="C26" s="1"/>
      <c r="D26" s="22">
        <v>33</v>
      </c>
      <c r="E26" s="22"/>
      <c r="F26" s="22"/>
      <c r="G26" s="22"/>
      <c r="H26" s="22"/>
      <c r="I26" s="1"/>
      <c r="J26" s="3"/>
      <c r="L26" s="1" t="s">
        <v>965</v>
      </c>
      <c r="M26" s="1"/>
      <c r="N26" s="22"/>
      <c r="O26" s="22"/>
      <c r="P26" s="22"/>
      <c r="Q26" s="1"/>
      <c r="R26" s="3"/>
      <c r="S26" s="3"/>
      <c r="T26" s="3"/>
      <c r="U26" s="3"/>
      <c r="V26" s="3"/>
      <c r="W26" s="3"/>
      <c r="X26" s="3"/>
      <c r="Y26" s="3"/>
      <c r="Z26" s="3"/>
      <c r="AA26" s="3"/>
      <c r="AB26" s="3"/>
      <c r="AC26" s="3"/>
      <c r="AD26" s="3"/>
      <c r="AE26" s="3"/>
      <c r="AF26" s="3"/>
      <c r="AG26" s="3"/>
      <c r="AH26" s="3"/>
      <c r="AI26" s="3"/>
      <c r="AJ26" s="3"/>
    </row>
    <row r="27" spans="1:36" ht="19.5" customHeight="1">
      <c r="A27" s="3"/>
      <c r="B27" s="1" t="s">
        <v>1070</v>
      </c>
      <c r="C27" s="1"/>
      <c r="D27" s="22"/>
      <c r="E27" s="22"/>
      <c r="F27" s="22"/>
      <c r="G27" s="22"/>
      <c r="H27" s="22"/>
      <c r="I27" s="1"/>
      <c r="J27" s="3"/>
      <c r="L27" s="1"/>
      <c r="M27" s="1"/>
      <c r="N27" s="22"/>
      <c r="O27" s="22"/>
      <c r="P27" s="22"/>
      <c r="Q27" s="1"/>
      <c r="R27" s="3"/>
      <c r="S27" s="3"/>
      <c r="T27" s="3"/>
      <c r="U27" s="3"/>
      <c r="V27" s="3"/>
      <c r="W27" s="3"/>
      <c r="X27" s="3"/>
      <c r="Y27" s="3"/>
      <c r="Z27" s="3"/>
      <c r="AA27" s="3"/>
      <c r="AB27" s="3"/>
      <c r="AC27" s="3"/>
      <c r="AD27" s="3"/>
      <c r="AE27" s="3"/>
      <c r="AF27" s="3"/>
      <c r="AG27" s="3"/>
      <c r="AH27" s="3"/>
      <c r="AI27" s="3"/>
      <c r="AJ27" s="3"/>
    </row>
    <row r="28" spans="1:36">
      <c r="A28" s="3"/>
      <c r="B28" s="1" t="s">
        <v>140</v>
      </c>
      <c r="C28" s="1"/>
      <c r="D28" s="22">
        <v>510</v>
      </c>
      <c r="E28" s="22"/>
      <c r="F28" s="22"/>
      <c r="G28" s="22"/>
      <c r="H28" s="22"/>
      <c r="I28" s="1"/>
      <c r="J28" s="3"/>
      <c r="L28" s="1"/>
      <c r="M28" s="1"/>
      <c r="N28" s="22"/>
      <c r="O28" s="22"/>
      <c r="P28" s="22"/>
      <c r="Q28" s="1"/>
      <c r="R28" s="3"/>
      <c r="S28" s="3"/>
      <c r="T28" s="3"/>
      <c r="U28" s="3"/>
      <c r="V28" s="3"/>
      <c r="W28" s="3"/>
      <c r="X28" s="3"/>
      <c r="Y28" s="3"/>
      <c r="Z28" s="3"/>
      <c r="AA28" s="3"/>
      <c r="AB28" s="3"/>
      <c r="AC28" s="3"/>
      <c r="AD28" s="3"/>
      <c r="AE28" s="3"/>
      <c r="AF28" s="3"/>
      <c r="AG28" s="3"/>
      <c r="AH28" s="3"/>
      <c r="AI28" s="3"/>
      <c r="AJ28" s="3"/>
    </row>
    <row r="29" spans="1:36">
      <c r="A29" s="3"/>
      <c r="B29" s="1" t="s">
        <v>526</v>
      </c>
      <c r="C29" s="1"/>
      <c r="D29" s="22"/>
      <c r="E29" s="22"/>
      <c r="F29" s="22"/>
      <c r="G29" s="22"/>
      <c r="H29" s="22"/>
      <c r="I29" s="1"/>
      <c r="J29" s="3"/>
      <c r="L29" s="1"/>
      <c r="M29" s="1"/>
      <c r="N29" s="22"/>
      <c r="O29" s="22"/>
      <c r="P29" s="22"/>
      <c r="Q29" s="1"/>
      <c r="R29" s="3"/>
      <c r="S29" s="3"/>
      <c r="T29" s="3"/>
      <c r="U29" s="3"/>
      <c r="V29" s="3"/>
      <c r="W29" s="3"/>
      <c r="X29" s="3"/>
      <c r="Y29" s="3"/>
      <c r="Z29" s="3"/>
      <c r="AA29" s="3"/>
      <c r="AB29" s="3"/>
      <c r="AC29" s="3"/>
      <c r="AD29" s="3"/>
      <c r="AE29" s="3"/>
      <c r="AF29" s="3"/>
      <c r="AG29" s="3"/>
      <c r="AH29" s="3"/>
      <c r="AI29" s="3"/>
      <c r="AJ29" s="3"/>
    </row>
    <row r="30" spans="1:36">
      <c r="A30" s="3"/>
      <c r="B30" s="1" t="s">
        <v>141</v>
      </c>
      <c r="C30" s="1"/>
      <c r="D30" s="22">
        <v>85</v>
      </c>
      <c r="E30" s="22"/>
      <c r="F30" s="22"/>
      <c r="G30" s="22"/>
      <c r="H30" s="22"/>
      <c r="I30" s="1"/>
      <c r="J30" s="3"/>
      <c r="L30" s="1"/>
      <c r="M30" s="1"/>
      <c r="N30" s="22"/>
      <c r="O30" s="22"/>
      <c r="P30" s="22"/>
      <c r="Q30" s="1"/>
      <c r="R30" s="3"/>
      <c r="S30" s="3"/>
      <c r="T30" s="3"/>
      <c r="U30" s="3"/>
      <c r="V30" s="3"/>
      <c r="W30" s="3"/>
      <c r="X30" s="3"/>
      <c r="Y30" s="3"/>
      <c r="Z30" s="3"/>
      <c r="AA30" s="3"/>
      <c r="AB30" s="3"/>
      <c r="AC30" s="3"/>
      <c r="AD30" s="3"/>
      <c r="AE30" s="3"/>
      <c r="AF30" s="3"/>
      <c r="AG30" s="3"/>
      <c r="AH30" s="3"/>
      <c r="AI30" s="3"/>
      <c r="AJ30" s="3"/>
    </row>
    <row r="31" spans="1:36">
      <c r="A31" s="3"/>
      <c r="B31" s="1" t="s">
        <v>142</v>
      </c>
      <c r="C31" s="1"/>
      <c r="D31" s="22"/>
      <c r="E31" s="22"/>
      <c r="F31" s="22"/>
      <c r="G31" s="22"/>
      <c r="H31" s="22"/>
      <c r="I31" s="1"/>
      <c r="J31" s="3"/>
      <c r="L31" s="1"/>
      <c r="M31" s="1"/>
      <c r="N31" s="22"/>
      <c r="O31" s="22"/>
      <c r="P31" s="22"/>
      <c r="Q31" s="1"/>
      <c r="R31" s="3"/>
      <c r="S31" s="3"/>
      <c r="T31" s="3"/>
      <c r="U31" s="3"/>
      <c r="V31" s="3"/>
      <c r="W31" s="3"/>
      <c r="X31" s="3"/>
      <c r="Y31" s="3"/>
      <c r="Z31" s="3"/>
      <c r="AA31" s="3"/>
      <c r="AB31" s="3"/>
      <c r="AC31" s="3"/>
      <c r="AD31" s="3"/>
      <c r="AE31" s="3"/>
      <c r="AF31" s="3"/>
      <c r="AG31" s="3"/>
      <c r="AH31" s="3"/>
      <c r="AI31" s="3"/>
      <c r="AJ31" s="3"/>
    </row>
    <row r="32" spans="1:36">
      <c r="A32" s="3"/>
      <c r="B32" s="1" t="s">
        <v>143</v>
      </c>
      <c r="C32" s="1"/>
      <c r="D32" s="22"/>
      <c r="E32" s="22"/>
      <c r="F32" s="22"/>
      <c r="G32" s="22"/>
      <c r="H32" s="22"/>
      <c r="I32" s="1"/>
      <c r="J32" s="3"/>
      <c r="L32" s="1"/>
      <c r="M32" s="1"/>
      <c r="N32" s="22"/>
      <c r="O32" s="22"/>
      <c r="P32" s="22"/>
      <c r="Q32" s="1"/>
      <c r="R32" s="3"/>
      <c r="S32" s="3"/>
      <c r="T32" s="3"/>
      <c r="U32" s="3"/>
      <c r="V32" s="3"/>
      <c r="W32" s="3"/>
      <c r="X32" s="3"/>
      <c r="Y32" s="3"/>
      <c r="Z32" s="3"/>
      <c r="AA32" s="3"/>
      <c r="AB32" s="3"/>
      <c r="AC32" s="3"/>
      <c r="AD32" s="3"/>
      <c r="AE32" s="3"/>
      <c r="AF32" s="3"/>
      <c r="AG32" s="3"/>
      <c r="AH32" s="3"/>
      <c r="AI32" s="3"/>
      <c r="AJ32" s="3"/>
    </row>
    <row r="33" spans="1:36">
      <c r="A33" s="3"/>
      <c r="B33" s="1" t="s">
        <v>144</v>
      </c>
      <c r="C33" s="1"/>
      <c r="D33" s="22"/>
      <c r="E33" s="22"/>
      <c r="F33" s="22"/>
      <c r="G33" s="22"/>
      <c r="H33" s="22"/>
      <c r="I33" s="1"/>
      <c r="J33" s="3"/>
      <c r="L33" s="1"/>
      <c r="M33" s="1"/>
      <c r="N33" s="22"/>
      <c r="O33" s="22"/>
      <c r="P33" s="22"/>
      <c r="Q33" s="1"/>
      <c r="R33" s="3"/>
      <c r="S33" s="3"/>
      <c r="T33" s="3"/>
      <c r="U33" s="3"/>
      <c r="V33" s="3"/>
      <c r="W33" s="3"/>
      <c r="X33" s="3"/>
      <c r="Y33" s="3"/>
      <c r="Z33" s="3"/>
      <c r="AA33" s="3"/>
      <c r="AB33" s="3"/>
      <c r="AC33" s="3"/>
      <c r="AD33" s="3"/>
      <c r="AE33" s="3"/>
      <c r="AF33" s="3"/>
      <c r="AG33" s="3"/>
      <c r="AH33" s="3"/>
      <c r="AI33" s="3"/>
      <c r="AJ33" s="3"/>
    </row>
    <row r="34" spans="1:36">
      <c r="A34" s="3"/>
      <c r="B34" s="1" t="s">
        <v>145</v>
      </c>
      <c r="C34" s="1"/>
      <c r="D34" s="22"/>
      <c r="E34" s="22"/>
      <c r="F34" s="22"/>
      <c r="G34" s="22"/>
      <c r="H34" s="22"/>
      <c r="I34" s="1"/>
      <c r="J34" s="3"/>
      <c r="L34" s="1"/>
      <c r="M34" s="1"/>
      <c r="N34" s="22"/>
      <c r="O34" s="22"/>
      <c r="P34" s="22"/>
      <c r="Q34" s="1"/>
      <c r="R34" s="3"/>
      <c r="S34" s="3"/>
      <c r="T34" s="3"/>
      <c r="U34" s="3"/>
      <c r="V34" s="3"/>
      <c r="W34" s="3"/>
      <c r="X34" s="3"/>
      <c r="Y34" s="3"/>
      <c r="Z34" s="3"/>
      <c r="AA34" s="3"/>
      <c r="AB34" s="3"/>
      <c r="AC34" s="3"/>
      <c r="AD34" s="3"/>
      <c r="AE34" s="3"/>
      <c r="AF34" s="3"/>
      <c r="AG34" s="3"/>
      <c r="AH34" s="3"/>
      <c r="AI34" s="3"/>
      <c r="AJ34" s="3"/>
    </row>
    <row r="35" spans="1:36">
      <c r="A35" s="3"/>
      <c r="B35" s="1"/>
      <c r="C35" s="1"/>
      <c r="D35" s="22"/>
      <c r="E35" s="22"/>
      <c r="F35" s="22"/>
      <c r="G35" s="22"/>
      <c r="H35" s="22"/>
      <c r="I35" s="1"/>
      <c r="J35" s="3"/>
      <c r="L35" s="1"/>
      <c r="M35" s="1"/>
      <c r="N35" s="22"/>
      <c r="O35" s="22"/>
      <c r="P35" s="22"/>
      <c r="Q35" s="1"/>
      <c r="R35" s="3"/>
      <c r="S35" s="3"/>
      <c r="T35" s="3"/>
      <c r="U35" s="3"/>
      <c r="V35" s="3"/>
      <c r="W35" s="3"/>
      <c r="X35" s="3"/>
      <c r="Y35" s="3"/>
      <c r="Z35" s="3"/>
      <c r="AA35" s="3"/>
      <c r="AB35" s="3"/>
      <c r="AC35" s="3"/>
      <c r="AD35" s="3"/>
      <c r="AE35" s="3"/>
      <c r="AF35" s="3"/>
      <c r="AG35" s="3"/>
      <c r="AH35" s="3"/>
      <c r="AI35" s="3"/>
      <c r="AJ35" s="3"/>
    </row>
    <row r="36" spans="1:36">
      <c r="A36" s="3"/>
      <c r="B36" s="1"/>
      <c r="C36" s="1"/>
      <c r="D36" s="22"/>
      <c r="E36" s="22"/>
      <c r="F36" s="22"/>
      <c r="G36" s="22"/>
      <c r="H36" s="22"/>
      <c r="I36" s="1"/>
      <c r="J36" s="3"/>
      <c r="L36" s="1"/>
      <c r="M36" s="1"/>
      <c r="N36" s="22"/>
      <c r="O36" s="22"/>
      <c r="P36" s="22"/>
      <c r="Q36" s="1"/>
      <c r="R36" s="3"/>
      <c r="S36" s="3"/>
      <c r="T36" s="3"/>
      <c r="U36" s="3"/>
      <c r="V36" s="3"/>
      <c r="W36" s="3"/>
      <c r="X36" s="3"/>
      <c r="Y36" s="3"/>
      <c r="Z36" s="3"/>
      <c r="AA36" s="3"/>
      <c r="AB36" s="3"/>
      <c r="AC36" s="3"/>
      <c r="AD36" s="3"/>
      <c r="AE36" s="3"/>
      <c r="AF36" s="3"/>
      <c r="AG36" s="3"/>
      <c r="AH36" s="3"/>
      <c r="AI36" s="3"/>
      <c r="AJ36" s="3"/>
    </row>
    <row r="37" spans="1:36">
      <c r="A37" s="3"/>
      <c r="B37" s="1"/>
      <c r="C37" s="1"/>
      <c r="D37" s="22"/>
      <c r="E37" s="22"/>
      <c r="F37" s="22"/>
      <c r="G37" s="22"/>
      <c r="H37" s="22"/>
      <c r="I37" s="1"/>
      <c r="J37" s="3"/>
      <c r="L37" s="1"/>
      <c r="M37" s="1"/>
      <c r="N37" s="22"/>
      <c r="O37" s="22"/>
      <c r="P37" s="22"/>
      <c r="Q37" s="1"/>
      <c r="R37" s="3"/>
      <c r="S37" s="3"/>
      <c r="T37" s="3"/>
      <c r="U37" s="3"/>
      <c r="V37" s="3"/>
      <c r="W37" s="3"/>
      <c r="X37" s="3"/>
      <c r="Y37" s="3"/>
      <c r="Z37" s="3"/>
      <c r="AA37" s="3"/>
      <c r="AB37" s="3"/>
      <c r="AC37" s="3"/>
      <c r="AD37" s="3"/>
      <c r="AE37" s="3"/>
      <c r="AF37" s="3"/>
      <c r="AG37" s="3"/>
      <c r="AH37" s="3"/>
      <c r="AI37" s="3"/>
      <c r="AJ37" s="3"/>
    </row>
    <row r="38" spans="1:36">
      <c r="A38" s="3"/>
      <c r="B38" s="1"/>
      <c r="C38" s="1"/>
      <c r="D38" s="22"/>
      <c r="E38" s="22"/>
      <c r="F38" s="22"/>
      <c r="G38" s="22"/>
      <c r="H38" s="22"/>
      <c r="I38" s="1"/>
      <c r="J38" s="3"/>
      <c r="L38" s="1"/>
      <c r="M38" s="1"/>
      <c r="N38" s="22"/>
      <c r="O38" s="22"/>
      <c r="P38" s="22"/>
      <c r="Q38" s="1"/>
      <c r="R38" s="3"/>
      <c r="S38" s="3"/>
      <c r="T38" s="3"/>
      <c r="U38" s="3"/>
      <c r="V38" s="3"/>
      <c r="W38" s="3"/>
      <c r="X38" s="3"/>
      <c r="Y38" s="3"/>
      <c r="Z38" s="3"/>
      <c r="AA38" s="3"/>
      <c r="AB38" s="3"/>
      <c r="AC38" s="3"/>
      <c r="AD38" s="3"/>
      <c r="AE38" s="3"/>
      <c r="AF38" s="3"/>
      <c r="AG38" s="3"/>
      <c r="AH38" s="3"/>
      <c r="AI38" s="3"/>
      <c r="AJ38" s="3"/>
    </row>
    <row r="39" spans="1:36">
      <c r="A39" s="3"/>
      <c r="B39" s="1"/>
      <c r="C39" s="1"/>
      <c r="D39" s="22"/>
      <c r="E39" s="22"/>
      <c r="F39" s="22"/>
      <c r="G39" s="22"/>
      <c r="H39" s="22"/>
      <c r="I39" s="1"/>
      <c r="J39" s="3"/>
      <c r="L39" s="1"/>
      <c r="M39" s="1"/>
      <c r="N39" s="22"/>
      <c r="O39" s="22"/>
      <c r="P39" s="22"/>
      <c r="Q39" s="1"/>
      <c r="R39" s="3"/>
      <c r="S39" s="3"/>
      <c r="T39" s="3"/>
      <c r="U39" s="3"/>
      <c r="V39" s="3"/>
      <c r="W39" s="3"/>
      <c r="X39" s="3"/>
      <c r="Y39" s="3"/>
      <c r="Z39" s="3"/>
      <c r="AA39" s="3"/>
      <c r="AB39" s="3"/>
      <c r="AC39" s="3"/>
      <c r="AD39" s="3"/>
      <c r="AE39" s="3"/>
      <c r="AF39" s="3"/>
      <c r="AG39" s="3"/>
      <c r="AH39" s="3"/>
      <c r="AI39" s="3"/>
      <c r="AJ39" s="3"/>
    </row>
    <row r="40" spans="1:36">
      <c r="A40" s="3"/>
      <c r="B40" s="1"/>
      <c r="C40" s="1"/>
      <c r="D40" s="22"/>
      <c r="E40" s="22"/>
      <c r="F40" s="22"/>
      <c r="G40" s="22"/>
      <c r="H40" s="22"/>
      <c r="I40" s="1"/>
      <c r="J40" s="3"/>
      <c r="L40" s="1"/>
      <c r="M40" s="1"/>
      <c r="N40" s="22"/>
      <c r="O40" s="22"/>
      <c r="P40" s="22"/>
      <c r="Q40" s="1"/>
      <c r="R40" s="3"/>
      <c r="S40" s="3"/>
      <c r="T40" s="3"/>
      <c r="U40" s="3"/>
      <c r="V40" s="3"/>
      <c r="W40" s="3"/>
      <c r="X40" s="3"/>
      <c r="Y40" s="3"/>
      <c r="Z40" s="3"/>
      <c r="AA40" s="3"/>
      <c r="AB40" s="3"/>
      <c r="AC40" s="3"/>
      <c r="AD40" s="3"/>
      <c r="AE40" s="3"/>
      <c r="AF40" s="3"/>
      <c r="AG40" s="3"/>
      <c r="AH40" s="3"/>
      <c r="AI40" s="3"/>
      <c r="AJ40" s="3"/>
    </row>
    <row r="41" spans="1:36">
      <c r="A41" s="3"/>
      <c r="B41" s="1"/>
      <c r="C41" s="1"/>
      <c r="D41" s="22"/>
      <c r="E41" s="22"/>
      <c r="F41" s="22"/>
      <c r="G41" s="22"/>
      <c r="H41" s="22"/>
      <c r="I41" s="1"/>
      <c r="J41" s="3"/>
      <c r="L41" s="1"/>
      <c r="M41" s="1"/>
      <c r="N41" s="22"/>
      <c r="O41" s="22"/>
      <c r="P41" s="22"/>
      <c r="Q41" s="1"/>
      <c r="R41" s="3"/>
      <c r="S41" s="3"/>
      <c r="T41" s="3"/>
      <c r="U41" s="3"/>
      <c r="V41" s="3"/>
      <c r="W41" s="3"/>
      <c r="X41" s="3"/>
      <c r="Y41" s="3"/>
      <c r="Z41" s="3"/>
      <c r="AA41" s="3"/>
      <c r="AB41" s="3"/>
      <c r="AC41" s="3"/>
      <c r="AD41" s="3"/>
      <c r="AE41" s="3"/>
      <c r="AF41" s="3"/>
      <c r="AG41" s="3"/>
      <c r="AH41" s="3"/>
      <c r="AI41" s="3"/>
      <c r="AJ41" s="3"/>
    </row>
    <row r="42" spans="1:36">
      <c r="A42" s="3"/>
      <c r="B42" s="1"/>
      <c r="C42" s="1"/>
      <c r="D42" s="22"/>
      <c r="E42" s="22"/>
      <c r="F42" s="22"/>
      <c r="G42" s="22"/>
      <c r="H42" s="22"/>
      <c r="I42" s="1"/>
      <c r="J42" s="3"/>
      <c r="L42" s="1"/>
      <c r="M42" s="1"/>
      <c r="N42" s="22"/>
      <c r="O42" s="22"/>
      <c r="P42" s="22"/>
      <c r="Q42" s="1"/>
      <c r="R42" s="3"/>
      <c r="S42" s="3"/>
      <c r="T42" s="3"/>
      <c r="U42" s="3"/>
      <c r="V42" s="3"/>
      <c r="W42" s="3"/>
      <c r="X42" s="3"/>
      <c r="Y42" s="3"/>
      <c r="Z42" s="3"/>
      <c r="AA42" s="3"/>
      <c r="AB42" s="3"/>
      <c r="AC42" s="3"/>
      <c r="AD42" s="3"/>
      <c r="AE42" s="3"/>
      <c r="AF42" s="3"/>
      <c r="AG42" s="3"/>
      <c r="AH42" s="3"/>
      <c r="AI42" s="3"/>
      <c r="AJ42" s="3"/>
    </row>
    <row r="43" spans="1:36">
      <c r="A43" s="3"/>
      <c r="B43" s="1"/>
      <c r="C43" s="1"/>
      <c r="D43" s="22"/>
      <c r="E43" s="22"/>
      <c r="F43" s="22"/>
      <c r="G43" s="22"/>
      <c r="H43" s="22"/>
      <c r="I43" s="1"/>
      <c r="J43" s="3"/>
      <c r="L43" s="1"/>
      <c r="M43" s="1"/>
      <c r="N43" s="22"/>
      <c r="O43" s="22"/>
      <c r="P43" s="22"/>
      <c r="Q43" s="1"/>
      <c r="R43" s="3"/>
      <c r="S43" s="3"/>
      <c r="T43" s="3"/>
      <c r="U43" s="3"/>
      <c r="V43" s="3"/>
      <c r="W43" s="3"/>
      <c r="X43" s="3"/>
      <c r="Y43" s="3"/>
      <c r="Z43" s="3"/>
      <c r="AA43" s="3"/>
      <c r="AB43" s="3"/>
      <c r="AC43" s="3"/>
      <c r="AD43" s="3"/>
      <c r="AE43" s="3"/>
      <c r="AF43" s="3"/>
      <c r="AG43" s="3"/>
      <c r="AH43" s="3"/>
      <c r="AI43" s="3"/>
      <c r="AJ43" s="3"/>
    </row>
    <row r="44" spans="1:36">
      <c r="A44" s="3"/>
      <c r="B44" s="1"/>
      <c r="C44" s="1"/>
      <c r="D44" s="22"/>
      <c r="E44" s="22"/>
      <c r="F44" s="22"/>
      <c r="G44" s="22"/>
      <c r="H44" s="22"/>
      <c r="I44" s="1"/>
      <c r="J44" s="3"/>
      <c r="L44" s="1"/>
      <c r="M44" s="1"/>
      <c r="N44" s="22"/>
      <c r="O44" s="22"/>
      <c r="P44" s="22"/>
      <c r="Q44" s="1"/>
      <c r="R44" s="3"/>
      <c r="S44" s="3"/>
      <c r="T44" s="3"/>
      <c r="U44" s="3"/>
      <c r="V44" s="3"/>
      <c r="W44" s="3"/>
      <c r="X44" s="3"/>
      <c r="Y44" s="3"/>
      <c r="Z44" s="3"/>
      <c r="AA44" s="3"/>
      <c r="AB44" s="3"/>
      <c r="AC44" s="3"/>
      <c r="AD44" s="3"/>
      <c r="AE44" s="3"/>
      <c r="AF44" s="3"/>
      <c r="AG44" s="3"/>
      <c r="AH44" s="3"/>
      <c r="AI44" s="3"/>
      <c r="AJ44" s="3"/>
    </row>
    <row r="45" spans="1:36">
      <c r="A45" s="3"/>
      <c r="B45" s="1"/>
      <c r="C45" s="1"/>
      <c r="D45" s="22"/>
      <c r="E45" s="22"/>
      <c r="F45" s="22"/>
      <c r="G45" s="22"/>
      <c r="H45" s="22"/>
      <c r="I45" s="1"/>
      <c r="J45" s="3"/>
      <c r="L45" s="1"/>
      <c r="M45" s="1"/>
      <c r="N45" s="22"/>
      <c r="O45" s="22"/>
      <c r="P45" s="22"/>
      <c r="Q45" s="1"/>
      <c r="R45" s="3"/>
      <c r="S45" s="3"/>
      <c r="T45" s="3"/>
      <c r="U45" s="3"/>
      <c r="V45" s="3"/>
      <c r="W45" s="3"/>
      <c r="X45" s="3"/>
      <c r="Y45" s="3"/>
      <c r="Z45" s="3"/>
      <c r="AA45" s="3"/>
      <c r="AB45" s="3"/>
      <c r="AC45" s="3"/>
      <c r="AD45" s="3"/>
      <c r="AE45" s="3"/>
      <c r="AF45" s="3"/>
      <c r="AG45" s="3"/>
      <c r="AH45" s="3"/>
      <c r="AI45" s="3"/>
      <c r="AJ45" s="3"/>
    </row>
    <row r="46" spans="1:36">
      <c r="A46" s="3"/>
      <c r="B46" s="1"/>
      <c r="C46" s="1"/>
      <c r="D46" s="22"/>
      <c r="E46" s="22"/>
      <c r="F46" s="22"/>
      <c r="G46" s="22"/>
      <c r="H46" s="22"/>
      <c r="I46" s="1"/>
      <c r="J46" s="3"/>
      <c r="L46" s="1"/>
      <c r="M46" s="1"/>
      <c r="N46" s="22"/>
      <c r="O46" s="22"/>
      <c r="P46" s="22"/>
      <c r="Q46" s="1"/>
      <c r="R46" s="3"/>
      <c r="S46" s="3"/>
      <c r="T46" s="3"/>
      <c r="U46" s="3"/>
      <c r="V46" s="3"/>
      <c r="W46" s="3"/>
      <c r="X46" s="3"/>
      <c r="Y46" s="3"/>
      <c r="Z46" s="3"/>
      <c r="AA46" s="3"/>
      <c r="AB46" s="3"/>
      <c r="AC46" s="3"/>
      <c r="AD46" s="3"/>
      <c r="AE46" s="3"/>
      <c r="AF46" s="3"/>
      <c r="AG46" s="3"/>
      <c r="AH46" s="3"/>
      <c r="AI46" s="3"/>
      <c r="AJ46" s="3"/>
    </row>
    <row r="47" spans="1:36">
      <c r="A47" s="3"/>
      <c r="B47" s="1"/>
      <c r="C47" s="1"/>
      <c r="D47" s="22"/>
      <c r="E47" s="22"/>
      <c r="F47" s="22"/>
      <c r="G47" s="22"/>
      <c r="H47" s="22"/>
      <c r="I47" s="1"/>
      <c r="J47" s="3"/>
      <c r="L47" s="1"/>
      <c r="M47" s="1"/>
      <c r="N47" s="22"/>
      <c r="O47" s="22"/>
      <c r="P47" s="22"/>
      <c r="Q47" s="1"/>
      <c r="R47" s="3"/>
      <c r="S47" s="3"/>
      <c r="T47" s="3"/>
      <c r="U47" s="3"/>
      <c r="V47" s="3"/>
      <c r="W47" s="3"/>
      <c r="X47" s="3"/>
      <c r="Y47" s="3"/>
      <c r="Z47" s="3"/>
      <c r="AA47" s="3"/>
      <c r="AB47" s="3"/>
      <c r="AC47" s="3"/>
      <c r="AD47" s="3"/>
      <c r="AE47" s="3"/>
      <c r="AF47" s="3"/>
      <c r="AG47" s="3"/>
      <c r="AH47" s="3"/>
      <c r="AI47" s="3"/>
      <c r="AJ47" s="3"/>
    </row>
    <row r="48" spans="1:36">
      <c r="A48" s="3"/>
      <c r="B48" s="1"/>
      <c r="C48" s="1"/>
      <c r="D48" s="22"/>
      <c r="E48" s="22"/>
      <c r="F48" s="22"/>
      <c r="G48" s="22"/>
      <c r="H48" s="22"/>
      <c r="I48" s="1"/>
      <c r="J48" s="3"/>
      <c r="L48" s="1"/>
      <c r="M48" s="1"/>
      <c r="N48" s="22"/>
      <c r="O48" s="22"/>
      <c r="P48" s="22"/>
      <c r="Q48" s="1"/>
      <c r="R48" s="3"/>
      <c r="S48" s="3"/>
      <c r="T48" s="3"/>
      <c r="U48" s="3"/>
      <c r="V48" s="3"/>
      <c r="W48" s="3"/>
      <c r="X48" s="3"/>
      <c r="Y48" s="3"/>
      <c r="Z48" s="3"/>
      <c r="AA48" s="3"/>
      <c r="AB48" s="3"/>
      <c r="AC48" s="3"/>
      <c r="AD48" s="3"/>
      <c r="AE48" s="3"/>
      <c r="AF48" s="3"/>
      <c r="AG48" s="3"/>
      <c r="AH48" s="3"/>
      <c r="AI48" s="3"/>
      <c r="AJ48" s="3"/>
    </row>
    <row r="49" spans="1:38">
      <c r="A49" s="3"/>
      <c r="B49" s="1"/>
      <c r="C49" s="1"/>
      <c r="D49" s="22"/>
      <c r="E49" s="22"/>
      <c r="F49" s="22"/>
      <c r="G49" s="22"/>
      <c r="H49" s="22"/>
      <c r="I49" s="1"/>
      <c r="J49" s="3"/>
      <c r="L49" s="1"/>
      <c r="M49" s="1"/>
      <c r="N49" s="22"/>
      <c r="O49" s="22"/>
      <c r="P49" s="22"/>
      <c r="Q49" s="1"/>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150</v>
      </c>
      <c r="J52" s="3"/>
      <c r="K52" s="3"/>
      <c r="L52" s="3" t="s">
        <v>149</v>
      </c>
      <c r="M52" s="3"/>
      <c r="N52" s="3"/>
      <c r="O52" s="3" t="s">
        <v>148</v>
      </c>
      <c r="P52" s="3"/>
      <c r="Q52" s="3"/>
      <c r="R52" s="3" t="s">
        <v>151</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135</v>
      </c>
      <c r="D53" s="10" t="s">
        <v>104</v>
      </c>
      <c r="E53" s="10" t="s">
        <v>107</v>
      </c>
      <c r="F53" s="10" t="s">
        <v>109</v>
      </c>
      <c r="G53" s="10" t="s">
        <v>111</v>
      </c>
      <c r="H53" s="12" t="s">
        <v>112</v>
      </c>
      <c r="I53" s="13" t="s">
        <v>114</v>
      </c>
      <c r="J53" s="10" t="s">
        <v>117</v>
      </c>
      <c r="K53" s="44" t="s">
        <v>119</v>
      </c>
      <c r="L53" s="13" t="s">
        <v>114</v>
      </c>
      <c r="M53" s="10" t="s">
        <v>117</v>
      </c>
      <c r="N53" s="44" t="s">
        <v>119</v>
      </c>
      <c r="O53" s="13" t="s">
        <v>114</v>
      </c>
      <c r="P53" s="10" t="s">
        <v>117</v>
      </c>
      <c r="Q53" s="44" t="s">
        <v>119</v>
      </c>
      <c r="R53" s="13" t="s">
        <v>114</v>
      </c>
      <c r="S53" s="10" t="s">
        <v>117</v>
      </c>
      <c r="T53" s="44" t="s">
        <v>119</v>
      </c>
      <c r="U53" s="13" t="s">
        <v>114</v>
      </c>
      <c r="V53" s="44" t="s">
        <v>117</v>
      </c>
      <c r="W53" s="45"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0" t="s">
        <v>109</v>
      </c>
      <c r="G54" s="10" t="s">
        <v>111</v>
      </c>
      <c r="H54" s="12" t="s">
        <v>46</v>
      </c>
      <c r="I54" s="13" t="s">
        <v>115</v>
      </c>
      <c r="J54" s="10" t="s">
        <v>118</v>
      </c>
      <c r="K54" s="44" t="s">
        <v>120</v>
      </c>
      <c r="L54" s="13" t="s">
        <v>121</v>
      </c>
      <c r="M54" s="10" t="s">
        <v>992</v>
      </c>
      <c r="N54" s="44" t="s">
        <v>122</v>
      </c>
      <c r="O54" s="13" t="s">
        <v>123</v>
      </c>
      <c r="P54" s="10" t="s">
        <v>993</v>
      </c>
      <c r="Q54" s="44" t="s">
        <v>124</v>
      </c>
      <c r="R54" s="13" t="s">
        <v>125</v>
      </c>
      <c r="S54" s="10" t="s">
        <v>994</v>
      </c>
      <c r="T54" s="44" t="s">
        <v>152</v>
      </c>
      <c r="U54" s="13" t="s">
        <v>126</v>
      </c>
      <c r="V54" s="44" t="s">
        <v>128</v>
      </c>
      <c r="W54" s="45" t="s">
        <v>129</v>
      </c>
      <c r="X54" s="14" t="s">
        <v>132</v>
      </c>
      <c r="Y54" s="3"/>
      <c r="Z54" s="3"/>
      <c r="AA54" s="3"/>
      <c r="AB54" s="3"/>
      <c r="AC54" s="3"/>
      <c r="AD54" s="3"/>
      <c r="AE54" s="3"/>
      <c r="AF54" s="3"/>
      <c r="AG54" s="3"/>
      <c r="AH54" s="3"/>
      <c r="AI54" s="3"/>
      <c r="AJ54" s="3"/>
    </row>
    <row r="55" spans="1:38" ht="20.25" thickBot="1">
      <c r="A55" s="3"/>
      <c r="B55" s="11" t="s">
        <v>46</v>
      </c>
      <c r="C55" s="11" t="s">
        <v>46</v>
      </c>
      <c r="D55" s="11" t="s">
        <v>46</v>
      </c>
      <c r="E55" s="11" t="s">
        <v>46</v>
      </c>
      <c r="F55" s="11" t="s">
        <v>110</v>
      </c>
      <c r="G55" s="11" t="s">
        <v>157</v>
      </c>
      <c r="H55" s="15" t="s">
        <v>46</v>
      </c>
      <c r="I55" s="16" t="s">
        <v>116</v>
      </c>
      <c r="J55" s="11" t="s">
        <v>116</v>
      </c>
      <c r="K55" s="46" t="s">
        <v>46</v>
      </c>
      <c r="L55" s="16" t="s">
        <v>116</v>
      </c>
      <c r="M55" s="11" t="s">
        <v>116</v>
      </c>
      <c r="N55" s="46" t="s">
        <v>46</v>
      </c>
      <c r="O55" s="16" t="s">
        <v>116</v>
      </c>
      <c r="P55" s="11" t="s">
        <v>116</v>
      </c>
      <c r="Q55" s="46" t="s">
        <v>46</v>
      </c>
      <c r="R55" s="16" t="s">
        <v>116</v>
      </c>
      <c r="S55" s="11" t="s">
        <v>116</v>
      </c>
      <c r="T55" s="46" t="s">
        <v>46</v>
      </c>
      <c r="U55" s="16" t="s">
        <v>116</v>
      </c>
      <c r="V55" s="46" t="s">
        <v>116</v>
      </c>
      <c r="W55" s="47" t="s">
        <v>116</v>
      </c>
      <c r="X55" s="17" t="s">
        <v>133</v>
      </c>
      <c r="Y55" s="3"/>
      <c r="Z55" s="3"/>
      <c r="AA55" s="3"/>
      <c r="AB55" s="3"/>
      <c r="AC55" s="3"/>
      <c r="AD55" s="3"/>
      <c r="AE55" s="3"/>
      <c r="AF55" s="3"/>
      <c r="AG55" s="3"/>
      <c r="AH55" s="3"/>
      <c r="AI55" s="3"/>
      <c r="AJ55" s="3"/>
    </row>
    <row r="56" spans="1:38" ht="20.25" thickTop="1">
      <c r="A56" s="3"/>
      <c r="B56" s="25" t="s">
        <v>102</v>
      </c>
      <c r="C56" s="25" t="s">
        <v>156</v>
      </c>
      <c r="D56" s="25" t="s">
        <v>105</v>
      </c>
      <c r="E56" s="25" t="s">
        <v>108</v>
      </c>
      <c r="F56" s="25">
        <v>150</v>
      </c>
      <c r="G56" s="25">
        <v>33</v>
      </c>
      <c r="H56" s="25" t="s">
        <v>158</v>
      </c>
      <c r="I56" s="50">
        <v>3.1819999999999999</v>
      </c>
      <c r="J56" s="50">
        <v>166</v>
      </c>
      <c r="K56" s="50">
        <v>0.33</v>
      </c>
      <c r="L56" s="50">
        <v>7.5999999999999998E-2</v>
      </c>
      <c r="M56" s="50">
        <v>8</v>
      </c>
      <c r="N56" s="50">
        <v>0.02</v>
      </c>
      <c r="O56" s="50">
        <v>-1.4690000000000001</v>
      </c>
      <c r="P56" s="50">
        <v>147</v>
      </c>
      <c r="Q56" s="50">
        <v>0.36</v>
      </c>
      <c r="R56" s="50">
        <v>-0.18099999999999999</v>
      </c>
      <c r="S56" s="50">
        <v>9.1</v>
      </c>
      <c r="T56" s="50">
        <v>0.02</v>
      </c>
      <c r="U56" s="50">
        <v>0.125</v>
      </c>
      <c r="V56" s="50">
        <v>4</v>
      </c>
      <c r="W56" s="50">
        <v>8.5999999999999993E-2</v>
      </c>
      <c r="X56" s="50">
        <v>0.14699999999999999</v>
      </c>
      <c r="Y56" s="3"/>
      <c r="Z56" s="3"/>
      <c r="AA56" s="3"/>
      <c r="AB56" s="3"/>
      <c r="AC56" s="3"/>
      <c r="AD56" s="3"/>
      <c r="AE56" s="3"/>
      <c r="AF56" s="3"/>
      <c r="AG56" s="3"/>
      <c r="AH56" s="3"/>
      <c r="AI56" s="3"/>
      <c r="AJ56" s="3"/>
    </row>
    <row r="57" spans="1:38">
      <c r="A57" s="3"/>
      <c r="B57" s="1" t="s">
        <v>103</v>
      </c>
      <c r="C57" s="1" t="s">
        <v>159</v>
      </c>
      <c r="D57" s="1" t="s">
        <v>106</v>
      </c>
      <c r="E57" s="1" t="s">
        <v>108</v>
      </c>
      <c r="F57" s="1">
        <v>116</v>
      </c>
      <c r="G57" s="1">
        <v>33</v>
      </c>
      <c r="H57" s="1"/>
      <c r="I57" s="22">
        <v>2.2549999999999999</v>
      </c>
      <c r="J57" s="22">
        <v>215.74600000000001</v>
      </c>
      <c r="K57" s="22">
        <v>0.3</v>
      </c>
      <c r="L57" s="22">
        <v>4.9000000000000002E-2</v>
      </c>
      <c r="M57" s="22">
        <v>7.8449999999999998</v>
      </c>
      <c r="N57" s="22">
        <v>1.0908661110750603E-2</v>
      </c>
      <c r="O57" s="22">
        <v>-1.2258</v>
      </c>
      <c r="P57" s="22">
        <v>194.17140000000001</v>
      </c>
      <c r="Q57" s="22">
        <v>0.3</v>
      </c>
      <c r="R57" s="22">
        <v>-0.18099999999999999</v>
      </c>
      <c r="S57" s="22">
        <v>8.6295000000000002</v>
      </c>
      <c r="T57" s="22">
        <v>1.0908661110750603E-2</v>
      </c>
      <c r="U57" s="22">
        <v>0.125</v>
      </c>
      <c r="V57" s="22">
        <v>4.1188000000000002</v>
      </c>
      <c r="W57" s="22">
        <v>8.8300000000000003E-2</v>
      </c>
      <c r="X57" s="22">
        <v>0.113</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8"/>
      <c r="D63" s="48"/>
      <c r="E63" s="48"/>
      <c r="F63" s="48"/>
      <c r="G63" s="48"/>
      <c r="H63" s="48"/>
      <c r="I63" s="3"/>
      <c r="J63" s="3"/>
      <c r="K63" s="3"/>
      <c r="L63" s="3"/>
      <c r="M63" s="48"/>
      <c r="N63" s="48"/>
      <c r="O63" s="48"/>
      <c r="P63" s="48"/>
      <c r="Q63" s="48"/>
      <c r="R63" s="48"/>
      <c r="S63" s="3"/>
      <c r="T63" s="3"/>
      <c r="U63" s="3"/>
      <c r="AL63" s="3"/>
    </row>
    <row r="64" spans="1:38">
      <c r="A64" s="3"/>
      <c r="B64" s="3"/>
      <c r="C64" s="48"/>
      <c r="D64" s="48"/>
      <c r="E64" s="48"/>
      <c r="F64" s="48"/>
      <c r="G64" s="48"/>
      <c r="H64" s="48"/>
      <c r="I64" s="3"/>
      <c r="J64" s="3"/>
      <c r="K64" s="3"/>
      <c r="L64" s="3"/>
      <c r="M64" s="48"/>
      <c r="N64" s="48"/>
      <c r="O64" s="48"/>
      <c r="P64" s="48"/>
      <c r="Q64" s="48"/>
      <c r="R64" s="48"/>
      <c r="S64" s="3"/>
      <c r="T64" s="3"/>
      <c r="U64" s="3"/>
      <c r="AL64" s="3"/>
    </row>
    <row r="65" spans="1:38">
      <c r="A65" s="3"/>
      <c r="B65" s="26"/>
      <c r="C65" s="26"/>
      <c r="D65" s="26"/>
      <c r="E65" s="26"/>
      <c r="F65" s="26"/>
      <c r="G65" s="26"/>
      <c r="H65" s="26"/>
      <c r="I65" s="3"/>
      <c r="J65" s="3"/>
      <c r="K65" s="3"/>
      <c r="L65" s="26"/>
      <c r="M65" s="26"/>
      <c r="N65" s="26"/>
      <c r="O65" s="26"/>
      <c r="P65" s="26"/>
      <c r="Q65" s="26"/>
      <c r="R65" s="26"/>
      <c r="S65" s="3"/>
      <c r="T65" s="3"/>
      <c r="U65" s="3"/>
      <c r="AL65" s="3"/>
    </row>
    <row r="66" spans="1:38">
      <c r="A66" s="3"/>
      <c r="B66" s="26"/>
      <c r="C66" s="26"/>
      <c r="D66" s="26"/>
      <c r="E66" s="26"/>
      <c r="F66" s="26"/>
      <c r="G66" s="26"/>
      <c r="H66" s="26"/>
      <c r="I66" s="3"/>
      <c r="J66" s="3"/>
      <c r="K66" s="3"/>
      <c r="L66" s="26"/>
      <c r="M66" s="26"/>
      <c r="N66" s="26"/>
      <c r="O66" s="26"/>
      <c r="P66" s="26"/>
      <c r="Q66" s="26"/>
      <c r="R66" s="26"/>
      <c r="S66" s="3"/>
      <c r="T66" s="3"/>
      <c r="U66" s="3"/>
      <c r="AL66" s="3"/>
    </row>
    <row r="67" spans="1:38">
      <c r="A67" s="3"/>
      <c r="B67" s="26"/>
      <c r="C67" s="26"/>
      <c r="D67" s="26"/>
      <c r="E67" s="26"/>
      <c r="F67" s="26"/>
      <c r="G67" s="26"/>
      <c r="H67" s="26"/>
      <c r="I67" s="3"/>
      <c r="J67" s="3"/>
      <c r="K67" s="3"/>
      <c r="L67" s="26"/>
      <c r="M67" s="26"/>
      <c r="N67" s="26"/>
      <c r="O67" s="26"/>
      <c r="P67" s="26"/>
      <c r="Q67" s="26"/>
      <c r="R67" s="26"/>
      <c r="S67" s="3"/>
      <c r="T67" s="3"/>
      <c r="U67" s="3"/>
      <c r="AL67" s="3"/>
    </row>
    <row r="68" spans="1:38">
      <c r="A68" s="3"/>
      <c r="B68" s="3"/>
      <c r="C68" s="3"/>
      <c r="D68" s="26"/>
      <c r="E68" s="26"/>
      <c r="F68" s="26"/>
      <c r="G68" s="26"/>
      <c r="H68" s="26"/>
      <c r="I68" s="3"/>
      <c r="J68" s="3"/>
      <c r="K68" s="3"/>
      <c r="L68" s="3"/>
      <c r="M68" s="3"/>
      <c r="N68" s="26"/>
      <c r="O68" s="26"/>
      <c r="P68" s="26"/>
      <c r="Q68" s="26"/>
      <c r="R68" s="26"/>
      <c r="S68" s="3"/>
      <c r="T68" s="3"/>
      <c r="U68" s="3"/>
      <c r="AL68" s="3"/>
    </row>
    <row r="69" spans="1:38">
      <c r="A69" s="3"/>
      <c r="B69" s="3"/>
      <c r="C69" s="3"/>
      <c r="D69" s="26"/>
      <c r="E69" s="26"/>
      <c r="F69" s="26"/>
      <c r="G69" s="26"/>
      <c r="H69" s="26"/>
      <c r="I69" s="3"/>
      <c r="J69" s="3"/>
      <c r="K69" s="3"/>
      <c r="L69" s="3"/>
      <c r="M69" s="3"/>
      <c r="N69" s="26"/>
      <c r="O69" s="26"/>
      <c r="P69" s="26"/>
      <c r="Q69" s="26"/>
      <c r="R69" s="26"/>
      <c r="S69" s="3"/>
      <c r="T69" s="3"/>
      <c r="U69" s="3"/>
      <c r="AL69" s="3"/>
    </row>
    <row r="70" spans="1:38">
      <c r="A70" s="26"/>
      <c r="B70" s="49"/>
      <c r="C70" s="49"/>
      <c r="D70" s="49"/>
      <c r="E70" s="49"/>
      <c r="F70" s="49"/>
      <c r="G70" s="49"/>
      <c r="H70" s="49"/>
      <c r="I70" s="3"/>
      <c r="J70" s="3"/>
      <c r="K70" s="26"/>
      <c r="L70" s="49"/>
      <c r="M70" s="49"/>
      <c r="N70" s="49"/>
      <c r="O70" s="49"/>
      <c r="P70" s="49"/>
      <c r="Q70" s="49"/>
      <c r="R70" s="49"/>
      <c r="S70" s="3"/>
      <c r="T70" s="3"/>
      <c r="U70" s="3"/>
      <c r="AL70" s="3"/>
    </row>
    <row r="71" spans="1:38">
      <c r="A71" s="26"/>
      <c r="B71" s="49"/>
      <c r="C71" s="49"/>
      <c r="D71" s="49"/>
      <c r="E71" s="49"/>
      <c r="F71" s="49"/>
      <c r="G71" s="49"/>
      <c r="H71" s="49"/>
      <c r="I71" s="3"/>
      <c r="J71" s="3"/>
      <c r="K71" s="26"/>
      <c r="L71" s="49"/>
      <c r="M71" s="49"/>
      <c r="N71" s="49"/>
      <c r="O71" s="49"/>
      <c r="P71" s="49"/>
      <c r="Q71" s="49"/>
      <c r="R71" s="49"/>
      <c r="S71" s="3"/>
      <c r="T71" s="3"/>
      <c r="U71" s="3"/>
      <c r="AL71" s="3"/>
    </row>
    <row r="72" spans="1:38">
      <c r="A72" s="26"/>
      <c r="B72" s="49"/>
      <c r="C72" s="49"/>
      <c r="D72" s="49"/>
      <c r="E72" s="49"/>
      <c r="F72" s="49"/>
      <c r="G72" s="49"/>
      <c r="H72" s="49"/>
      <c r="I72" s="3"/>
      <c r="J72" s="3"/>
      <c r="K72" s="26"/>
      <c r="L72" s="49"/>
      <c r="M72" s="49"/>
      <c r="N72" s="49"/>
      <c r="O72" s="49"/>
      <c r="P72" s="49"/>
      <c r="Q72" s="49"/>
      <c r="R72" s="49"/>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6"/>
      <c r="P75" s="26"/>
      <c r="Q75" s="26"/>
      <c r="R75" s="26"/>
      <c r="S75" s="3"/>
      <c r="T75" s="3"/>
      <c r="U75" s="3"/>
      <c r="AL75" s="3"/>
    </row>
    <row r="76" spans="1:38">
      <c r="A76" s="3"/>
      <c r="B76" s="3"/>
      <c r="C76" s="3"/>
      <c r="D76" s="3"/>
      <c r="E76" s="3"/>
      <c r="F76" s="3"/>
      <c r="G76" s="3"/>
      <c r="H76" s="3"/>
      <c r="I76" s="3"/>
      <c r="J76" s="3"/>
      <c r="K76" s="3"/>
      <c r="L76" s="3"/>
      <c r="M76" s="3"/>
      <c r="N76" s="3"/>
      <c r="O76" s="26"/>
      <c r="P76" s="26"/>
      <c r="Q76" s="26"/>
      <c r="R76" s="26"/>
      <c r="S76" s="3"/>
      <c r="T76" s="3"/>
      <c r="U76" s="3"/>
      <c r="AL76" s="3"/>
    </row>
    <row r="77" spans="1:38">
      <c r="A77" s="3"/>
      <c r="B77" s="3"/>
      <c r="C77" s="3"/>
      <c r="D77" s="3"/>
      <c r="E77" s="3"/>
      <c r="F77" s="3"/>
      <c r="G77" s="3"/>
      <c r="H77" s="3"/>
      <c r="I77" s="3"/>
      <c r="J77" s="3"/>
      <c r="K77" s="3"/>
      <c r="L77" s="3"/>
      <c r="M77" s="3"/>
      <c r="N77" s="3"/>
      <c r="O77" s="26"/>
      <c r="P77" s="26"/>
      <c r="Q77" s="26"/>
      <c r="R77" s="26"/>
      <c r="S77" s="3"/>
      <c r="T77" s="3"/>
      <c r="U77" s="3"/>
      <c r="AL77" s="3"/>
    </row>
    <row r="78" spans="1:38">
      <c r="A78" s="3"/>
      <c r="B78" s="3"/>
      <c r="C78" s="3"/>
      <c r="D78" s="3"/>
      <c r="E78" s="3"/>
      <c r="F78" s="3"/>
      <c r="G78" s="3"/>
      <c r="H78" s="3"/>
      <c r="I78" s="3"/>
      <c r="J78" s="3"/>
      <c r="K78" s="3"/>
      <c r="L78" s="3"/>
      <c r="M78" s="3"/>
      <c r="N78" s="3"/>
      <c r="O78" s="26"/>
      <c r="P78" s="26"/>
      <c r="Q78" s="26"/>
      <c r="R78" s="26"/>
      <c r="S78" s="3"/>
      <c r="T78" s="3"/>
      <c r="U78" s="3"/>
      <c r="AL78" s="3"/>
    </row>
    <row r="79" spans="1:38">
      <c r="A79" s="3"/>
      <c r="B79" s="3"/>
      <c r="C79" s="3"/>
      <c r="D79" s="3"/>
      <c r="E79" s="3"/>
      <c r="F79" s="3"/>
      <c r="G79" s="3"/>
      <c r="H79" s="3"/>
      <c r="I79" s="3"/>
      <c r="J79" s="3"/>
      <c r="K79" s="3"/>
      <c r="L79" s="3"/>
      <c r="M79" s="3"/>
      <c r="N79" s="3"/>
      <c r="O79" s="26"/>
      <c r="P79" s="26"/>
      <c r="Q79" s="26"/>
      <c r="R79" s="26"/>
      <c r="S79" s="3"/>
      <c r="T79" s="3"/>
      <c r="U79" s="3"/>
      <c r="AL79" s="3"/>
    </row>
    <row r="80" spans="1:38">
      <c r="A80" s="3"/>
      <c r="B80" s="3"/>
      <c r="C80" s="3"/>
      <c r="D80" s="3"/>
      <c r="E80" s="3"/>
      <c r="F80" s="3"/>
      <c r="G80" s="3"/>
      <c r="H80" s="3"/>
      <c r="I80" s="3"/>
      <c r="J80" s="3"/>
      <c r="K80" s="3"/>
      <c r="L80" s="3"/>
      <c r="M80" s="3"/>
      <c r="N80" s="3"/>
      <c r="O80" s="26"/>
      <c r="P80" s="26"/>
      <c r="Q80" s="26"/>
      <c r="R80" s="26"/>
      <c r="S80" s="3"/>
      <c r="T80" s="3"/>
      <c r="U80" s="3"/>
      <c r="AL80" s="3"/>
    </row>
    <row r="81" spans="1:38">
      <c r="A81" s="3"/>
      <c r="B81" s="3"/>
      <c r="C81" s="3"/>
      <c r="D81" s="3"/>
      <c r="E81" s="3"/>
      <c r="F81" s="3"/>
      <c r="G81" s="3"/>
      <c r="H81" s="3"/>
      <c r="I81" s="3"/>
      <c r="J81" s="3"/>
      <c r="K81" s="3"/>
      <c r="L81" s="3"/>
      <c r="M81" s="3"/>
      <c r="N81" s="3"/>
      <c r="O81" s="26"/>
      <c r="P81" s="26"/>
      <c r="Q81" s="26"/>
      <c r="R81" s="26"/>
      <c r="S81" s="3"/>
      <c r="T81" s="3"/>
      <c r="U81" s="3"/>
      <c r="AL81" s="3"/>
    </row>
    <row r="82" spans="1:38">
      <c r="A82" s="3"/>
      <c r="B82" s="3"/>
      <c r="C82" s="3"/>
      <c r="D82" s="3"/>
      <c r="E82" s="3"/>
      <c r="F82" s="3"/>
      <c r="G82" s="3"/>
      <c r="H82" s="3"/>
      <c r="I82" s="3"/>
      <c r="J82" s="3"/>
      <c r="K82" s="3"/>
      <c r="L82" s="3"/>
      <c r="M82" s="3"/>
      <c r="N82" s="3"/>
      <c r="O82" s="26"/>
      <c r="P82" s="26"/>
      <c r="Q82" s="26"/>
      <c r="R82" s="26"/>
      <c r="S82" s="3"/>
      <c r="T82" s="3"/>
      <c r="U82" s="3"/>
      <c r="AL82" s="3"/>
    </row>
    <row r="83" spans="1:38">
      <c r="A83" s="3"/>
      <c r="B83" s="3"/>
      <c r="C83" s="3"/>
      <c r="D83" s="3"/>
      <c r="E83" s="3"/>
      <c r="F83" s="3"/>
      <c r="G83" s="3"/>
      <c r="H83" s="3"/>
      <c r="I83" s="3"/>
      <c r="J83" s="3"/>
      <c r="K83" s="3"/>
      <c r="L83" s="3"/>
      <c r="M83" s="3"/>
      <c r="N83" s="3"/>
      <c r="O83" s="26"/>
      <c r="P83" s="26"/>
      <c r="Q83" s="26"/>
      <c r="R83" s="26"/>
      <c r="S83" s="3"/>
      <c r="T83" s="3"/>
      <c r="U83" s="3"/>
      <c r="AL83" s="3"/>
    </row>
    <row r="84" spans="1:38">
      <c r="A84" s="3"/>
      <c r="B84" s="3"/>
      <c r="C84" s="3"/>
      <c r="D84" s="3"/>
      <c r="E84" s="3"/>
      <c r="F84" s="3"/>
      <c r="G84" s="3"/>
      <c r="H84" s="3"/>
      <c r="I84" s="3"/>
      <c r="J84" s="3"/>
      <c r="K84" s="3"/>
      <c r="L84" s="3"/>
      <c r="M84" s="3"/>
      <c r="N84" s="3"/>
      <c r="O84" s="26"/>
      <c r="P84" s="26"/>
      <c r="Q84" s="26"/>
      <c r="R84" s="26"/>
      <c r="S84" s="3"/>
      <c r="T84" s="3"/>
      <c r="U84" s="3"/>
      <c r="AL84" s="3"/>
    </row>
    <row r="85" spans="1:38">
      <c r="A85" s="3"/>
      <c r="B85" s="3"/>
      <c r="C85" s="3"/>
      <c r="D85" s="3"/>
      <c r="E85" s="3"/>
      <c r="F85" s="3"/>
      <c r="G85" s="3"/>
      <c r="H85" s="3"/>
      <c r="I85" s="3"/>
      <c r="J85" s="3"/>
      <c r="K85" s="3"/>
      <c r="L85" s="3"/>
      <c r="M85" s="3"/>
      <c r="N85" s="3"/>
      <c r="O85" s="26"/>
      <c r="P85" s="26"/>
      <c r="Q85" s="26"/>
      <c r="R85" s="26"/>
      <c r="S85" s="3"/>
      <c r="T85" s="3"/>
      <c r="U85" s="3"/>
      <c r="AL85" s="3"/>
    </row>
    <row r="86" spans="1:38">
      <c r="A86" s="3"/>
      <c r="B86" s="3"/>
      <c r="C86" s="3"/>
      <c r="D86" s="3"/>
      <c r="E86" s="3"/>
      <c r="F86" s="3"/>
      <c r="G86" s="3"/>
      <c r="H86" s="3"/>
      <c r="I86" s="3"/>
      <c r="J86" s="3"/>
      <c r="K86" s="3"/>
      <c r="L86" s="3"/>
      <c r="M86" s="3"/>
      <c r="N86" s="3"/>
      <c r="O86" s="26"/>
      <c r="P86" s="26"/>
      <c r="Q86" s="26"/>
      <c r="R86" s="26"/>
      <c r="S86" s="3"/>
      <c r="T86" s="3"/>
      <c r="U86" s="3"/>
      <c r="AL86" s="3"/>
    </row>
    <row r="87" spans="1:38">
      <c r="A87" s="3"/>
      <c r="B87" s="3"/>
      <c r="C87" s="3"/>
      <c r="D87" s="3"/>
      <c r="E87" s="3"/>
      <c r="F87" s="3"/>
      <c r="G87" s="3"/>
      <c r="H87" s="3"/>
      <c r="I87" s="3"/>
      <c r="J87" s="3"/>
      <c r="K87" s="3"/>
      <c r="L87" s="3"/>
      <c r="M87" s="3"/>
      <c r="N87" s="3"/>
      <c r="O87" s="26"/>
      <c r="P87" s="26"/>
      <c r="Q87" s="26"/>
      <c r="R87" s="26"/>
      <c r="S87" s="3"/>
      <c r="T87" s="3"/>
      <c r="U87" s="3"/>
      <c r="AL87" s="3"/>
    </row>
    <row r="88" spans="1:38">
      <c r="A88" s="3"/>
      <c r="B88" s="3"/>
      <c r="C88" s="3"/>
      <c r="D88" s="3"/>
      <c r="E88" s="3"/>
      <c r="F88" s="3"/>
      <c r="G88" s="3"/>
      <c r="H88" s="3"/>
      <c r="I88" s="3"/>
      <c r="J88" s="3"/>
      <c r="K88" s="3"/>
      <c r="L88" s="3"/>
      <c r="M88" s="3"/>
      <c r="N88" s="3"/>
      <c r="O88" s="26"/>
      <c r="P88" s="26"/>
      <c r="Q88" s="26"/>
      <c r="R88" s="26"/>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6"/>
      <c r="P89" s="26"/>
      <c r="Q89" s="26"/>
      <c r="R89" s="26"/>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6"/>
      <c r="P90" s="26"/>
      <c r="Q90" s="26"/>
      <c r="R90" s="26"/>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6"/>
      <c r="P91" s="26"/>
      <c r="Q91" s="26"/>
      <c r="R91" s="26"/>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26">
    <mergeCell ref="N10:P10"/>
    <mergeCell ref="N11:P11"/>
    <mergeCell ref="N12:P12"/>
    <mergeCell ref="N13:P13"/>
    <mergeCell ref="N14:P14"/>
    <mergeCell ref="N5:P5"/>
    <mergeCell ref="N6:P6"/>
    <mergeCell ref="N7:P7"/>
    <mergeCell ref="N8:P8"/>
    <mergeCell ref="N9:P9"/>
    <mergeCell ref="N15:P15"/>
    <mergeCell ref="N16:P16"/>
    <mergeCell ref="F14:I14"/>
    <mergeCell ref="F3:I3"/>
    <mergeCell ref="F4:I4"/>
    <mergeCell ref="F5:I5"/>
    <mergeCell ref="F6:I6"/>
    <mergeCell ref="F7:I7"/>
    <mergeCell ref="F8:I8"/>
    <mergeCell ref="F9:I9"/>
    <mergeCell ref="F10:I10"/>
    <mergeCell ref="F11:I11"/>
    <mergeCell ref="F12:I12"/>
    <mergeCell ref="F13:I13"/>
    <mergeCell ref="N3:P3"/>
    <mergeCell ref="N4:P4"/>
  </mergeCells>
  <phoneticPr fontId="3"/>
  <dataValidations count="1">
    <dataValidation type="list" allowBlank="1" showInputMessage="1" showErrorMessage="1" sqref="M5:M8" xr:uid="{9869AF96-81CB-474A-B168-728E116357DC}">
      <formula1>"あり,なし"</formula1>
    </dataValidation>
  </dataValidations>
  <hyperlinks>
    <hyperlink ref="F4" r:id="rId1" xr:uid="{C6B42BBF-4995-429F-A45D-BE567FE19C78}"/>
    <hyperlink ref="F5" r:id="rId2" xr:uid="{BAD3EEDA-54CC-4BFD-B693-7660153C2744}"/>
    <hyperlink ref="I23" r:id="rId3" xr:uid="{553D53E2-6DAF-3941-A3BE-53F3AFC80A2D}"/>
    <hyperlink ref="I24" r:id="rId4" xr:uid="{F32DD154-C026-1342-BD03-5471A9581A19}"/>
  </hyperlinks>
  <pageMargins left="0.7" right="0.7" top="0.75" bottom="0.75" header="0.3" footer="0.3"/>
  <pageSetup paperSize="9" orientation="portrait" horizontalDpi="0" verticalDpi="0"/>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92" zoomScaleNormal="70" workbookViewId="0">
      <selection activeCell="F45" sqref="F45"/>
    </sheetView>
  </sheetViews>
  <sheetFormatPr defaultColWidth="8.6640625" defaultRowHeight="19.5"/>
  <sheetData>
    <row r="2" spans="2:27">
      <c r="B2" s="26"/>
      <c r="C2" s="10" t="s">
        <v>180</v>
      </c>
      <c r="D2" s="10" t="s">
        <v>181</v>
      </c>
      <c r="E2" s="10" t="s">
        <v>182</v>
      </c>
      <c r="K2" s="52"/>
      <c r="L2" s="52"/>
      <c r="M2" s="52"/>
      <c r="N2" s="52"/>
      <c r="O2" s="52"/>
      <c r="P2" s="52"/>
      <c r="S2" s="52"/>
      <c r="T2" s="52"/>
      <c r="U2" s="52"/>
      <c r="V2" s="52"/>
      <c r="W2" s="52"/>
      <c r="X2" s="52"/>
      <c r="Y2" s="52"/>
      <c r="Z2" s="52"/>
      <c r="AA2" s="52"/>
    </row>
    <row r="3" spans="2:27">
      <c r="B3" s="53"/>
      <c r="C3" s="287" t="s">
        <v>183</v>
      </c>
      <c r="D3" s="287"/>
      <c r="E3" s="287"/>
      <c r="F3" s="54">
        <v>2023</v>
      </c>
      <c r="G3" s="54">
        <v>2022</v>
      </c>
      <c r="H3" s="54">
        <v>2021</v>
      </c>
      <c r="I3" s="54">
        <v>2020</v>
      </c>
      <c r="J3" s="54">
        <v>2019</v>
      </c>
      <c r="K3" s="54">
        <v>2018</v>
      </c>
      <c r="L3" s="54">
        <v>2017</v>
      </c>
      <c r="M3" s="54">
        <v>2016</v>
      </c>
      <c r="N3" s="54">
        <v>2015</v>
      </c>
      <c r="O3" s="54">
        <v>2014</v>
      </c>
      <c r="P3" s="54">
        <v>2013</v>
      </c>
      <c r="Q3" s="54">
        <v>2012</v>
      </c>
      <c r="R3" s="54">
        <v>2011</v>
      </c>
      <c r="S3" s="54">
        <v>2010</v>
      </c>
      <c r="T3" s="54">
        <v>2009</v>
      </c>
      <c r="U3" s="54">
        <v>2008</v>
      </c>
      <c r="V3" s="54">
        <v>2007</v>
      </c>
      <c r="W3" s="54">
        <v>2006</v>
      </c>
      <c r="X3" s="54">
        <v>2005</v>
      </c>
      <c r="Y3" s="54">
        <v>2004</v>
      </c>
      <c r="Z3" s="54">
        <v>2003</v>
      </c>
    </row>
    <row r="4" spans="2:27">
      <c r="B4" s="26"/>
      <c r="C4" s="288" t="s">
        <v>184</v>
      </c>
      <c r="D4" s="288"/>
      <c r="E4" s="288"/>
      <c r="F4" s="1" t="s">
        <v>185</v>
      </c>
      <c r="G4" s="55" t="s">
        <v>186</v>
      </c>
      <c r="H4" s="55" t="s">
        <v>187</v>
      </c>
      <c r="I4" s="55" t="s">
        <v>188</v>
      </c>
      <c r="J4" s="55" t="s">
        <v>189</v>
      </c>
      <c r="K4" s="55" t="s">
        <v>190</v>
      </c>
      <c r="L4" s="55" t="s">
        <v>191</v>
      </c>
      <c r="M4" s="55" t="s">
        <v>192</v>
      </c>
      <c r="N4" s="55" t="s">
        <v>193</v>
      </c>
      <c r="O4" s="55" t="s">
        <v>194</v>
      </c>
      <c r="P4" s="55" t="s">
        <v>195</v>
      </c>
      <c r="Q4" s="55" t="s">
        <v>196</v>
      </c>
      <c r="R4" s="55" t="s">
        <v>197</v>
      </c>
      <c r="S4" s="55" t="s">
        <v>198</v>
      </c>
      <c r="T4" s="55" t="s">
        <v>199</v>
      </c>
      <c r="U4" s="55" t="s">
        <v>200</v>
      </c>
      <c r="V4" s="55" t="s">
        <v>201</v>
      </c>
      <c r="W4" s="55" t="s">
        <v>202</v>
      </c>
      <c r="X4" s="55" t="s">
        <v>203</v>
      </c>
      <c r="Y4" s="55" t="s">
        <v>204</v>
      </c>
      <c r="Z4" s="55" t="s">
        <v>205</v>
      </c>
    </row>
    <row r="5" spans="2:27">
      <c r="B5" s="26"/>
      <c r="C5" s="288" t="s">
        <v>47</v>
      </c>
      <c r="D5" s="288"/>
      <c r="E5" s="288"/>
      <c r="F5" s="1" t="s">
        <v>206</v>
      </c>
      <c r="G5" s="55" t="s">
        <v>207</v>
      </c>
      <c r="H5" s="55" t="s">
        <v>208</v>
      </c>
      <c r="I5" s="55" t="s">
        <v>209</v>
      </c>
      <c r="J5" s="55" t="s">
        <v>210</v>
      </c>
      <c r="K5" s="55" t="s">
        <v>210</v>
      </c>
      <c r="L5" s="55" t="s">
        <v>211</v>
      </c>
      <c r="M5" s="55" t="s">
        <v>211</v>
      </c>
      <c r="N5" s="55" t="s">
        <v>212</v>
      </c>
      <c r="O5" s="55" t="s">
        <v>212</v>
      </c>
      <c r="P5" s="55" t="s">
        <v>212</v>
      </c>
      <c r="Q5" s="55" t="s">
        <v>213</v>
      </c>
      <c r="R5" s="55" t="s">
        <v>213</v>
      </c>
      <c r="S5" s="55" t="s">
        <v>213</v>
      </c>
      <c r="T5" s="55" t="s">
        <v>213</v>
      </c>
      <c r="U5" s="55" t="s">
        <v>214</v>
      </c>
      <c r="V5" s="55" t="s">
        <v>215</v>
      </c>
      <c r="W5" s="55" t="s">
        <v>215</v>
      </c>
      <c r="X5" s="55" t="s">
        <v>215</v>
      </c>
      <c r="Y5" s="55" t="s">
        <v>216</v>
      </c>
      <c r="Z5" s="55" t="s">
        <v>216</v>
      </c>
    </row>
    <row r="6" spans="2:27">
      <c r="B6" s="26"/>
      <c r="C6" s="288" t="s">
        <v>217</v>
      </c>
      <c r="D6" s="288"/>
      <c r="E6" s="288"/>
      <c r="F6" s="1" t="s">
        <v>218</v>
      </c>
      <c r="G6" s="55" t="s">
        <v>219</v>
      </c>
      <c r="H6" s="55" t="s">
        <v>220</v>
      </c>
      <c r="I6" s="55" t="s">
        <v>221</v>
      </c>
      <c r="J6" s="55" t="s">
        <v>222</v>
      </c>
      <c r="K6" s="55" t="s">
        <v>223</v>
      </c>
      <c r="L6" s="55" t="s">
        <v>224</v>
      </c>
      <c r="M6" s="55" t="s">
        <v>225</v>
      </c>
      <c r="N6" s="55" t="s">
        <v>226</v>
      </c>
      <c r="O6" s="55" t="s">
        <v>227</v>
      </c>
      <c r="P6" s="55" t="s">
        <v>228</v>
      </c>
      <c r="Q6" s="55" t="s">
        <v>229</v>
      </c>
      <c r="R6" s="55" t="s">
        <v>230</v>
      </c>
      <c r="S6" s="55" t="s">
        <v>231</v>
      </c>
      <c r="T6" s="55" t="s">
        <v>232</v>
      </c>
      <c r="U6" s="55" t="s">
        <v>233</v>
      </c>
      <c r="V6" s="55" t="s">
        <v>234</v>
      </c>
      <c r="W6" s="55" t="s">
        <v>235</v>
      </c>
      <c r="X6" s="55" t="s">
        <v>236</v>
      </c>
      <c r="Y6" s="55" t="s">
        <v>237</v>
      </c>
      <c r="Z6" s="55" t="s">
        <v>238</v>
      </c>
    </row>
    <row r="7" spans="2:27">
      <c r="B7" s="26"/>
      <c r="C7" s="288" t="s">
        <v>239</v>
      </c>
      <c r="D7" s="288"/>
      <c r="E7" s="288"/>
      <c r="F7" s="1" t="s">
        <v>240</v>
      </c>
      <c r="G7" s="55" t="s">
        <v>220</v>
      </c>
      <c r="H7" s="55" t="s">
        <v>221</v>
      </c>
      <c r="I7" s="55" t="s">
        <v>241</v>
      </c>
      <c r="J7" s="55" t="s">
        <v>242</v>
      </c>
      <c r="K7" s="55" t="s">
        <v>243</v>
      </c>
      <c r="L7" s="55" t="s">
        <v>244</v>
      </c>
      <c r="M7" s="55" t="s">
        <v>226</v>
      </c>
      <c r="N7" s="55" t="s">
        <v>245</v>
      </c>
      <c r="O7" s="55" t="s">
        <v>228</v>
      </c>
      <c r="P7" s="55" t="s">
        <v>246</v>
      </c>
      <c r="Q7" s="55" t="s">
        <v>247</v>
      </c>
      <c r="R7" s="55" t="s">
        <v>247</v>
      </c>
      <c r="S7" s="55" t="s">
        <v>248</v>
      </c>
      <c r="T7" s="55" t="s">
        <v>232</v>
      </c>
      <c r="U7" s="55" t="s">
        <v>215</v>
      </c>
      <c r="V7" s="55" t="s">
        <v>234</v>
      </c>
      <c r="W7" s="55" t="s">
        <v>235</v>
      </c>
      <c r="X7" s="55" t="s">
        <v>236</v>
      </c>
      <c r="Y7" s="55" t="s">
        <v>237</v>
      </c>
      <c r="Z7" s="55" t="s">
        <v>238</v>
      </c>
    </row>
    <row r="8" spans="2:27">
      <c r="B8" s="26"/>
      <c r="C8" s="288" t="s">
        <v>249</v>
      </c>
      <c r="D8" s="288"/>
      <c r="E8" s="288"/>
      <c r="F8" s="1"/>
      <c r="G8" s="55" t="s">
        <v>46</v>
      </c>
      <c r="H8" s="55" t="s">
        <v>250</v>
      </c>
      <c r="I8" s="55" t="s">
        <v>251</v>
      </c>
      <c r="J8" s="55">
        <v>317.57</v>
      </c>
      <c r="K8" s="55">
        <v>127.75</v>
      </c>
      <c r="L8" s="55">
        <v>352.44</v>
      </c>
      <c r="M8" s="55">
        <v>332.91</v>
      </c>
      <c r="N8" s="55">
        <v>373.75</v>
      </c>
      <c r="O8" s="55">
        <v>350.77</v>
      </c>
      <c r="P8" s="55">
        <v>390.73</v>
      </c>
      <c r="Q8" s="55">
        <v>369.38</v>
      </c>
      <c r="R8" s="55">
        <v>27.18</v>
      </c>
      <c r="S8" s="55">
        <v>371.8</v>
      </c>
      <c r="T8" s="55" t="s">
        <v>252</v>
      </c>
      <c r="U8" s="55">
        <v>341.14</v>
      </c>
      <c r="V8" s="55">
        <v>241.56</v>
      </c>
      <c r="W8" s="55">
        <v>40.92</v>
      </c>
      <c r="X8" s="55">
        <v>37.67</v>
      </c>
      <c r="Y8" s="55">
        <v>34.96</v>
      </c>
      <c r="Z8" s="55">
        <v>41.96</v>
      </c>
    </row>
    <row r="9" spans="2:27">
      <c r="B9" s="53"/>
      <c r="C9" s="287" t="s">
        <v>253</v>
      </c>
      <c r="D9" s="287"/>
      <c r="E9" s="287"/>
      <c r="F9" s="56"/>
      <c r="G9" s="56" t="s">
        <v>46</v>
      </c>
      <c r="H9" s="56" t="s">
        <v>250</v>
      </c>
      <c r="I9" s="56" t="s">
        <v>251</v>
      </c>
      <c r="J9" s="56">
        <v>2</v>
      </c>
      <c r="K9" s="56">
        <v>5</v>
      </c>
      <c r="L9" s="56">
        <v>3</v>
      </c>
      <c r="M9" s="56">
        <v>3</v>
      </c>
      <c r="N9" s="56">
        <v>1</v>
      </c>
      <c r="O9" s="56">
        <v>4</v>
      </c>
      <c r="P9" s="56">
        <v>2</v>
      </c>
      <c r="Q9" s="56">
        <v>2</v>
      </c>
      <c r="R9" s="56" t="s">
        <v>45</v>
      </c>
      <c r="S9" s="56">
        <v>2</v>
      </c>
      <c r="T9" s="56" t="s">
        <v>254</v>
      </c>
      <c r="U9" s="56">
        <v>2</v>
      </c>
      <c r="V9" s="56">
        <v>5</v>
      </c>
      <c r="W9" s="56" t="s">
        <v>45</v>
      </c>
      <c r="X9" s="56" t="s">
        <v>45</v>
      </c>
      <c r="Y9" s="56">
        <v>6</v>
      </c>
      <c r="Z9" s="56">
        <v>8</v>
      </c>
    </row>
    <row r="10" spans="2:27">
      <c r="B10" s="26"/>
      <c r="C10" s="55" t="s">
        <v>255</v>
      </c>
      <c r="D10" s="288" t="s">
        <v>256</v>
      </c>
      <c r="E10" s="288"/>
      <c r="F10" s="1" t="s">
        <v>257</v>
      </c>
      <c r="G10" s="55"/>
      <c r="H10" s="55"/>
      <c r="I10" s="55"/>
      <c r="J10" s="55"/>
      <c r="K10" s="55" t="s">
        <v>258</v>
      </c>
      <c r="L10" s="55" t="s">
        <v>259</v>
      </c>
      <c r="M10" s="55" t="s">
        <v>259</v>
      </c>
      <c r="N10" s="55" t="s">
        <v>259</v>
      </c>
      <c r="O10" s="55" t="s">
        <v>259</v>
      </c>
      <c r="P10" s="55" t="s">
        <v>259</v>
      </c>
      <c r="Q10" s="55" t="s">
        <v>259</v>
      </c>
      <c r="R10" s="55" t="s">
        <v>259</v>
      </c>
      <c r="S10" s="55" t="s">
        <v>259</v>
      </c>
      <c r="T10" s="55" t="s">
        <v>259</v>
      </c>
      <c r="U10" s="55" t="s">
        <v>259</v>
      </c>
      <c r="V10" s="55" t="s">
        <v>259</v>
      </c>
      <c r="W10" s="55" t="s">
        <v>259</v>
      </c>
      <c r="X10" s="55" t="s">
        <v>259</v>
      </c>
      <c r="Y10" s="55" t="s">
        <v>259</v>
      </c>
      <c r="Z10" s="55" t="s">
        <v>259</v>
      </c>
    </row>
    <row r="11" spans="2:27">
      <c r="B11" s="26"/>
      <c r="C11" s="55"/>
      <c r="D11" s="288" t="s">
        <v>260</v>
      </c>
      <c r="E11" s="288"/>
      <c r="F11" s="1" t="s">
        <v>261</v>
      </c>
      <c r="G11" s="55" t="s">
        <v>261</v>
      </c>
      <c r="H11" s="55" t="s">
        <v>262</v>
      </c>
      <c r="I11" s="55" t="s">
        <v>262</v>
      </c>
      <c r="J11" s="55" t="s">
        <v>263</v>
      </c>
      <c r="K11" s="55" t="s">
        <v>263</v>
      </c>
      <c r="L11" s="55"/>
      <c r="M11" s="55"/>
      <c r="N11" s="55" t="s">
        <v>262</v>
      </c>
      <c r="O11" s="55" t="s">
        <v>262</v>
      </c>
      <c r="P11" s="55"/>
      <c r="Q11" s="55"/>
      <c r="R11" s="55"/>
      <c r="S11" s="55"/>
      <c r="T11" s="55"/>
      <c r="U11" s="55"/>
      <c r="V11" s="55"/>
      <c r="W11" s="55"/>
      <c r="X11" s="55"/>
      <c r="Y11" s="55"/>
      <c r="Z11" s="55"/>
    </row>
    <row r="12" spans="2:27">
      <c r="B12" s="283" t="s">
        <v>264</v>
      </c>
      <c r="C12" s="55" t="s">
        <v>265</v>
      </c>
      <c r="D12" s="55" t="s">
        <v>179</v>
      </c>
      <c r="E12" s="55" t="s">
        <v>266</v>
      </c>
      <c r="F12" s="55">
        <v>1.5764761738534672</v>
      </c>
      <c r="G12" s="1">
        <v>1.4620544906879693</v>
      </c>
      <c r="H12" s="55">
        <v>1.1974377391693776</v>
      </c>
      <c r="I12" s="55">
        <v>1.245531064274104</v>
      </c>
      <c r="J12" s="55">
        <v>2.8</v>
      </c>
      <c r="K12" s="55">
        <v>0.6</v>
      </c>
      <c r="L12" s="55">
        <v>-0.55000000000000004</v>
      </c>
      <c r="M12" s="55">
        <v>-0.1</v>
      </c>
      <c r="N12" s="55">
        <v>-0.25</v>
      </c>
      <c r="O12" s="55">
        <v>-1</v>
      </c>
      <c r="P12" s="55">
        <v>-0.5</v>
      </c>
      <c r="Q12" s="55"/>
      <c r="R12" s="55"/>
      <c r="S12" s="55"/>
      <c r="T12" s="55"/>
      <c r="U12" s="55"/>
      <c r="V12" s="55"/>
      <c r="W12" s="55"/>
      <c r="X12" s="55"/>
      <c r="Y12" s="55"/>
      <c r="Z12" s="55"/>
    </row>
    <row r="13" spans="2:27">
      <c r="B13" s="283"/>
      <c r="C13" s="55" t="s">
        <v>267</v>
      </c>
      <c r="D13" s="55" t="s">
        <v>268</v>
      </c>
      <c r="E13" s="55" t="s">
        <v>266</v>
      </c>
      <c r="F13" s="55">
        <v>0</v>
      </c>
      <c r="G13" s="1">
        <v>0</v>
      </c>
      <c r="H13" s="55">
        <v>0</v>
      </c>
      <c r="I13" s="55">
        <v>0</v>
      </c>
      <c r="J13" s="55">
        <v>0</v>
      </c>
      <c r="K13" s="55">
        <v>0</v>
      </c>
      <c r="L13" s="55">
        <v>0</v>
      </c>
      <c r="M13" s="55">
        <v>0</v>
      </c>
      <c r="N13" s="55">
        <v>0</v>
      </c>
      <c r="O13" s="55">
        <v>0</v>
      </c>
      <c r="P13" s="55">
        <v>0</v>
      </c>
      <c r="Q13" s="55"/>
      <c r="R13" s="55"/>
      <c r="S13" s="55"/>
      <c r="T13" s="55"/>
      <c r="U13" s="55"/>
      <c r="V13" s="55"/>
      <c r="W13" s="55"/>
      <c r="X13" s="55"/>
      <c r="Y13" s="55"/>
      <c r="Z13" s="55"/>
    </row>
    <row r="14" spans="2:27">
      <c r="B14" s="283"/>
      <c r="C14" s="55" t="s">
        <v>269</v>
      </c>
      <c r="D14" s="55" t="s">
        <v>270</v>
      </c>
      <c r="E14" s="55" t="s">
        <v>271</v>
      </c>
      <c r="F14" s="55">
        <v>10.5</v>
      </c>
      <c r="G14" s="1">
        <v>9.5</v>
      </c>
      <c r="H14" s="55">
        <v>11</v>
      </c>
      <c r="I14" s="55">
        <v>9.6</v>
      </c>
      <c r="J14" s="55">
        <v>8.3000000000000007</v>
      </c>
      <c r="K14" s="55">
        <v>10</v>
      </c>
      <c r="L14" s="55">
        <v>11</v>
      </c>
      <c r="M14" s="55">
        <v>10.5</v>
      </c>
      <c r="N14" s="55">
        <v>10</v>
      </c>
      <c r="O14" s="55">
        <v>9.5</v>
      </c>
      <c r="P14" s="55">
        <v>9</v>
      </c>
      <c r="Q14" s="55">
        <v>8.8000000000000007</v>
      </c>
      <c r="R14" s="55">
        <v>9</v>
      </c>
      <c r="S14" s="55">
        <v>8.8000000000000007</v>
      </c>
      <c r="T14" s="55">
        <v>9.11</v>
      </c>
      <c r="U14" s="55">
        <v>8.76</v>
      </c>
      <c r="V14" s="55">
        <v>8.5</v>
      </c>
      <c r="W14" s="55">
        <v>8.5299999999999994</v>
      </c>
      <c r="X14" s="55">
        <v>7.69</v>
      </c>
      <c r="Y14" s="55">
        <v>8</v>
      </c>
      <c r="Z14" s="55">
        <v>7.6</v>
      </c>
    </row>
    <row r="15" spans="2:27" ht="20.25" thickBot="1">
      <c r="B15" s="284"/>
      <c r="C15" s="57" t="s">
        <v>272</v>
      </c>
      <c r="D15" s="57" t="s">
        <v>273</v>
      </c>
      <c r="E15" s="57" t="s">
        <v>37</v>
      </c>
      <c r="F15" s="57">
        <v>100</v>
      </c>
      <c r="G15" s="20">
        <v>100</v>
      </c>
      <c r="H15" s="57">
        <v>2</v>
      </c>
      <c r="I15" s="57">
        <v>2</v>
      </c>
      <c r="J15" s="57">
        <v>2</v>
      </c>
      <c r="K15" s="57">
        <v>2</v>
      </c>
      <c r="L15" s="57">
        <v>2</v>
      </c>
      <c r="M15" s="57">
        <v>2</v>
      </c>
      <c r="N15" s="57">
        <v>2</v>
      </c>
      <c r="O15" s="57">
        <v>2</v>
      </c>
      <c r="P15" s="57">
        <v>2</v>
      </c>
      <c r="Q15" s="57"/>
      <c r="R15" s="57"/>
      <c r="S15" s="57"/>
      <c r="T15" s="57"/>
      <c r="U15" s="57"/>
      <c r="V15" s="57"/>
      <c r="W15" s="57"/>
      <c r="X15" s="57"/>
      <c r="Y15" s="57"/>
      <c r="Z15" s="57"/>
    </row>
    <row r="16" spans="2:27" ht="20.25" thickTop="1">
      <c r="B16" s="283" t="s">
        <v>19</v>
      </c>
      <c r="C16" s="58" t="s">
        <v>274</v>
      </c>
      <c r="D16" s="55" t="s">
        <v>45</v>
      </c>
      <c r="E16" s="55" t="s">
        <v>36</v>
      </c>
      <c r="F16" s="55">
        <v>42.574195183784404</v>
      </c>
      <c r="G16" s="2">
        <v>40.629999999999995</v>
      </c>
      <c r="H16" s="55">
        <v>44.93644280491565</v>
      </c>
      <c r="I16" s="55">
        <v>45.797063524200141</v>
      </c>
      <c r="J16" s="55">
        <v>44.512043873841378</v>
      </c>
      <c r="K16" s="55">
        <v>44.343872785418093</v>
      </c>
      <c r="L16" s="55">
        <v>38.544311560569746</v>
      </c>
      <c r="M16" s="55">
        <v>40.157903567729356</v>
      </c>
      <c r="N16" s="55">
        <v>38.481598500930382</v>
      </c>
      <c r="O16" s="55">
        <v>39.1303852973776</v>
      </c>
      <c r="P16" s="55">
        <v>39.785132411188641</v>
      </c>
      <c r="Q16" s="55">
        <v>36</v>
      </c>
      <c r="R16" s="55">
        <v>35</v>
      </c>
      <c r="S16" s="55">
        <v>36</v>
      </c>
      <c r="T16" s="55">
        <v>36</v>
      </c>
      <c r="U16" s="55">
        <v>34</v>
      </c>
      <c r="V16" s="55">
        <v>36.5</v>
      </c>
      <c r="W16" s="55">
        <v>40</v>
      </c>
      <c r="X16" s="55">
        <v>40</v>
      </c>
      <c r="Y16" s="55">
        <v>37.5</v>
      </c>
      <c r="Z16" s="55">
        <v>37.5</v>
      </c>
    </row>
    <row r="17" spans="2:26">
      <c r="B17" s="283"/>
      <c r="C17" s="58" t="s">
        <v>275</v>
      </c>
      <c r="D17" s="55" t="s">
        <v>45</v>
      </c>
      <c r="E17" s="55" t="s">
        <v>36</v>
      </c>
      <c r="F17" s="55">
        <v>61</v>
      </c>
      <c r="G17" s="1">
        <v>58.5</v>
      </c>
      <c r="H17" s="55">
        <v>65</v>
      </c>
      <c r="I17" s="55">
        <v>53</v>
      </c>
      <c r="J17" s="55">
        <v>53</v>
      </c>
      <c r="K17" s="55">
        <v>51</v>
      </c>
      <c r="L17" s="55">
        <v>53</v>
      </c>
      <c r="M17" s="55">
        <v>55</v>
      </c>
      <c r="N17" s="55">
        <v>49</v>
      </c>
      <c r="O17" s="55">
        <v>49</v>
      </c>
      <c r="P17" s="55">
        <v>49</v>
      </c>
      <c r="Q17" s="55"/>
      <c r="R17" s="55"/>
      <c r="S17" s="55"/>
      <c r="T17" s="55"/>
      <c r="U17" s="55"/>
      <c r="V17" s="55"/>
      <c r="W17" s="55"/>
      <c r="X17" s="55"/>
      <c r="Y17" s="55"/>
      <c r="Z17" s="55"/>
    </row>
    <row r="18" spans="2:26">
      <c r="B18" s="283"/>
      <c r="C18" s="58" t="s">
        <v>276</v>
      </c>
      <c r="D18" s="55" t="s">
        <v>37</v>
      </c>
      <c r="E18" s="55" t="s">
        <v>36</v>
      </c>
      <c r="F18" s="55">
        <v>103.57419518378441</v>
      </c>
      <c r="G18" s="1">
        <v>99.13</v>
      </c>
      <c r="H18" s="55">
        <v>109.93644280491566</v>
      </c>
      <c r="I18" s="55">
        <v>98.797063524200141</v>
      </c>
      <c r="J18" s="55">
        <v>97.512043873841378</v>
      </c>
      <c r="K18" s="55">
        <v>95.343872785418085</v>
      </c>
      <c r="L18" s="55">
        <v>91.544311560569753</v>
      </c>
      <c r="M18" s="55">
        <v>95.157903567729363</v>
      </c>
      <c r="N18" s="55">
        <v>87.481598500930374</v>
      </c>
      <c r="O18" s="55">
        <v>88.1303852973776</v>
      </c>
      <c r="P18" s="55">
        <v>88.785132411188641</v>
      </c>
      <c r="Q18" s="55">
        <v>85</v>
      </c>
      <c r="R18" s="55">
        <v>84</v>
      </c>
      <c r="S18" s="55">
        <v>86</v>
      </c>
      <c r="T18" s="55">
        <v>88</v>
      </c>
      <c r="U18" s="55">
        <v>86</v>
      </c>
      <c r="V18" s="55">
        <v>91.5</v>
      </c>
      <c r="W18" s="55">
        <v>96</v>
      </c>
      <c r="X18" s="55">
        <v>96</v>
      </c>
      <c r="Y18" s="55">
        <v>89</v>
      </c>
      <c r="Z18" s="55">
        <v>89</v>
      </c>
    </row>
    <row r="19" spans="2:26">
      <c r="B19" s="283"/>
      <c r="C19" s="58" t="s">
        <v>277</v>
      </c>
      <c r="D19" s="55" t="s">
        <v>278</v>
      </c>
      <c r="E19" s="55" t="s">
        <v>279</v>
      </c>
      <c r="F19" s="55">
        <v>1014.716390215536</v>
      </c>
      <c r="G19" s="1">
        <v>970.97834999999998</v>
      </c>
      <c r="H19" s="55">
        <v>1076.8274572741489</v>
      </c>
      <c r="I19" s="55">
        <v>967.71723721954038</v>
      </c>
      <c r="J19" s="55">
        <v>955.1304697442763</v>
      </c>
      <c r="K19" s="55">
        <v>933.89323393317011</v>
      </c>
      <c r="L19" s="55">
        <v>896.67653173578071</v>
      </c>
      <c r="M19" s="55">
        <v>932.07166544590916</v>
      </c>
      <c r="N19" s="55">
        <v>856.88225731661305</v>
      </c>
      <c r="O19" s="55">
        <v>863.23712398781356</v>
      </c>
      <c r="P19" s="55">
        <v>869.65037196759272</v>
      </c>
      <c r="Q19" s="55"/>
      <c r="R19" s="55"/>
      <c r="S19" s="55"/>
      <c r="T19" s="55"/>
      <c r="U19" s="55"/>
      <c r="V19" s="55"/>
      <c r="W19" s="55"/>
      <c r="X19" s="55"/>
      <c r="Y19" s="55"/>
      <c r="Z19" s="55"/>
    </row>
    <row r="20" spans="2:26" ht="20.25" thickBot="1">
      <c r="B20" s="284"/>
      <c r="C20" s="57" t="s">
        <v>280</v>
      </c>
      <c r="D20" s="57" t="s">
        <v>281</v>
      </c>
      <c r="E20" s="57" t="s">
        <v>282</v>
      </c>
      <c r="F20" s="57">
        <v>5.8642150459954827</v>
      </c>
      <c r="G20" s="20">
        <v>5.2592371024187807</v>
      </c>
      <c r="H20" s="57">
        <v>5.7667803807721114</v>
      </c>
      <c r="I20" s="57">
        <v>5.2494263298141739</v>
      </c>
      <c r="J20" s="57">
        <v>5.3211758695686999</v>
      </c>
      <c r="K20" s="57">
        <v>5.2796190648854795</v>
      </c>
      <c r="L20" s="57">
        <v>4.9932308466401985</v>
      </c>
      <c r="M20" s="57">
        <v>5.3626377908957457</v>
      </c>
      <c r="N20" s="57">
        <v>4.7387905392098775</v>
      </c>
      <c r="O20" s="57">
        <v>4.7065826929369603</v>
      </c>
      <c r="P20" s="57">
        <v>4.7787575826698534</v>
      </c>
      <c r="Q20" s="57">
        <v>4.4800000000000004</v>
      </c>
      <c r="R20" s="57">
        <v>5.21</v>
      </c>
      <c r="S20" s="57">
        <v>4.66</v>
      </c>
      <c r="T20" s="57">
        <v>4.6100000000000003</v>
      </c>
      <c r="U20" s="57">
        <v>4.51</v>
      </c>
      <c r="V20" s="57">
        <v>4.83</v>
      </c>
      <c r="W20" s="57">
        <v>4.01</v>
      </c>
      <c r="X20" s="57">
        <v>4.0199999999999996</v>
      </c>
      <c r="Y20" s="57">
        <v>4.3600000000000003</v>
      </c>
      <c r="Z20" s="57">
        <v>4.03</v>
      </c>
    </row>
    <row r="21" spans="2:26" ht="20.25" thickTop="1">
      <c r="B21" s="283" t="s">
        <v>283</v>
      </c>
      <c r="C21" s="55" t="s">
        <v>284</v>
      </c>
      <c r="D21" s="55" t="s">
        <v>285</v>
      </c>
      <c r="E21" s="55" t="s">
        <v>37</v>
      </c>
      <c r="F21" s="55">
        <v>0.23544509320633827</v>
      </c>
      <c r="G21" s="2">
        <v>0.2492959690889035</v>
      </c>
      <c r="H21" s="55">
        <v>0.27955130115864996</v>
      </c>
      <c r="I21" s="55">
        <v>0.28948775014121375</v>
      </c>
      <c r="J21" s="55">
        <v>0.2817978091561667</v>
      </c>
      <c r="K21" s="55">
        <v>0.21242587219432632</v>
      </c>
      <c r="L21" s="55">
        <v>0.22847891878415774</v>
      </c>
      <c r="M21" s="55">
        <v>0.22279182074093792</v>
      </c>
      <c r="N21" s="55">
        <v>0.23342359262169821</v>
      </c>
      <c r="O21" s="55">
        <v>0.23788263073181701</v>
      </c>
      <c r="P21" s="55">
        <v>0.22527494420692037</v>
      </c>
      <c r="Q21" s="55"/>
      <c r="R21" s="55"/>
      <c r="S21" s="55"/>
      <c r="T21" s="55"/>
      <c r="U21" s="55"/>
      <c r="V21" s="55"/>
      <c r="W21" s="55"/>
      <c r="X21" s="55"/>
      <c r="Y21" s="55"/>
      <c r="Z21" s="55"/>
    </row>
    <row r="22" spans="2:26">
      <c r="B22" s="283"/>
      <c r="C22" s="55" t="s">
        <v>284</v>
      </c>
      <c r="D22" s="55" t="s">
        <v>286</v>
      </c>
      <c r="E22" s="55" t="s">
        <v>45</v>
      </c>
      <c r="F22" s="55">
        <v>0.35</v>
      </c>
      <c r="G22" s="1">
        <v>0.33</v>
      </c>
      <c r="H22" s="55">
        <v>0.33</v>
      </c>
      <c r="I22" s="55">
        <v>0.32319999999999999</v>
      </c>
      <c r="J22" s="55">
        <v>0.32319999999999999</v>
      </c>
      <c r="K22" s="55">
        <v>0.32319999999999999</v>
      </c>
      <c r="L22" s="55">
        <v>0.32319999999999999</v>
      </c>
      <c r="M22" s="55">
        <v>0.32319999999999999</v>
      </c>
      <c r="N22" s="55">
        <v>0.32319999999999999</v>
      </c>
      <c r="O22" s="55">
        <v>0.32319999999999999</v>
      </c>
      <c r="P22" s="55">
        <v>0.32319999999999999</v>
      </c>
      <c r="Q22" s="55">
        <v>33</v>
      </c>
      <c r="R22" s="55">
        <v>33</v>
      </c>
      <c r="S22" s="55">
        <v>33</v>
      </c>
      <c r="T22" s="55">
        <v>33</v>
      </c>
      <c r="U22" s="55">
        <v>30</v>
      </c>
      <c r="V22" s="55">
        <v>33</v>
      </c>
      <c r="W22" s="55">
        <v>30</v>
      </c>
      <c r="X22" s="55">
        <v>25</v>
      </c>
      <c r="Y22" s="55">
        <v>25</v>
      </c>
      <c r="Z22" s="55">
        <v>25</v>
      </c>
    </row>
    <row r="23" spans="2:26" ht="20.25" thickBot="1">
      <c r="B23" s="284"/>
      <c r="C23" s="57" t="s">
        <v>287</v>
      </c>
      <c r="D23" s="57" t="s">
        <v>288</v>
      </c>
      <c r="E23" s="57" t="s">
        <v>45</v>
      </c>
      <c r="F23" s="57">
        <v>0.55274022409528079</v>
      </c>
      <c r="G23" s="20">
        <v>0.51724507324221358</v>
      </c>
      <c r="H23" s="57">
        <v>0.5231483199220881</v>
      </c>
      <c r="I23" s="57">
        <v>0.52800508218192999</v>
      </c>
      <c r="J23" s="57">
        <v>0.49513467835370822</v>
      </c>
      <c r="K23" s="57">
        <v>0.49508048406814709</v>
      </c>
      <c r="L23" s="57">
        <v>0.50801579155783205</v>
      </c>
      <c r="M23" s="57">
        <v>0.49050073651817705</v>
      </c>
      <c r="N23" s="57">
        <v>0.50150590032370146</v>
      </c>
      <c r="O23" s="57">
        <v>0.49779989846597406</v>
      </c>
      <c r="P23" s="57">
        <v>0.50245945268494019</v>
      </c>
      <c r="Q23" s="57"/>
      <c r="R23" s="57"/>
      <c r="S23" s="57"/>
      <c r="T23" s="57"/>
      <c r="U23" s="57"/>
      <c r="V23" s="57"/>
      <c r="W23" s="57"/>
      <c r="X23" s="57"/>
      <c r="Y23" s="57"/>
      <c r="Z23" s="57"/>
    </row>
    <row r="24" spans="2:26" ht="20.25" thickTop="1">
      <c r="B24" s="285" t="s">
        <v>289</v>
      </c>
      <c r="C24" s="59" t="s">
        <v>290</v>
      </c>
      <c r="D24" s="59" t="s">
        <v>291</v>
      </c>
      <c r="E24" s="59" t="s">
        <v>292</v>
      </c>
      <c r="F24" s="60">
        <v>17.662073162632822</v>
      </c>
      <c r="G24" s="2">
        <v>18.848741380077545</v>
      </c>
      <c r="H24" s="60">
        <v>19.063747107739921</v>
      </c>
      <c r="I24" s="60">
        <v>18.820544820884741</v>
      </c>
      <c r="J24" s="59">
        <v>18.32528115289395</v>
      </c>
      <c r="K24" s="59">
        <v>18.058854552508553</v>
      </c>
      <c r="L24" s="59">
        <v>18.333683014508992</v>
      </c>
      <c r="M24" s="59">
        <v>17.744607649854849</v>
      </c>
      <c r="N24" s="59">
        <v>18.460743891735003</v>
      </c>
      <c r="O24" s="59">
        <v>18.724920190955629</v>
      </c>
      <c r="P24" s="59">
        <v>18.579124568521241</v>
      </c>
      <c r="Q24" s="59">
        <v>19</v>
      </c>
      <c r="R24" s="59">
        <v>19.2</v>
      </c>
      <c r="S24" s="59">
        <v>19</v>
      </c>
      <c r="T24" s="59">
        <v>19.2</v>
      </c>
      <c r="U24" s="59">
        <v>19.05</v>
      </c>
      <c r="V24" s="59">
        <v>19.100000000000001</v>
      </c>
      <c r="W24" s="59">
        <v>22.4</v>
      </c>
      <c r="X24" s="59">
        <v>23.8</v>
      </c>
      <c r="Y24" s="59">
        <v>20.2</v>
      </c>
      <c r="Z24" s="59">
        <v>20.37</v>
      </c>
    </row>
    <row r="25" spans="2:26">
      <c r="B25" s="283"/>
      <c r="C25" s="55" t="s">
        <v>293</v>
      </c>
      <c r="D25" s="55" t="s">
        <v>294</v>
      </c>
      <c r="E25" s="55" t="s">
        <v>292</v>
      </c>
      <c r="F25" s="61">
        <v>1.54</v>
      </c>
      <c r="G25" s="1">
        <v>1.353</v>
      </c>
      <c r="H25" s="61">
        <v>1.6703999999999999</v>
      </c>
      <c r="I25" s="61">
        <v>1.5264</v>
      </c>
      <c r="J25" s="55">
        <v>1.5475999999999996</v>
      </c>
      <c r="K25" s="55">
        <v>1.375</v>
      </c>
      <c r="L25" s="55">
        <v>1.254</v>
      </c>
      <c r="M25" s="55">
        <v>1.3559999999999999</v>
      </c>
      <c r="N25" s="55">
        <v>1.254</v>
      </c>
      <c r="O25" s="55">
        <v>1.254</v>
      </c>
      <c r="P25" s="55">
        <v>1.254</v>
      </c>
      <c r="Q25" s="55">
        <v>1.32</v>
      </c>
      <c r="R25" s="55">
        <v>1.3</v>
      </c>
      <c r="S25" s="55">
        <v>1.3</v>
      </c>
      <c r="T25" s="55">
        <v>1.4</v>
      </c>
      <c r="U25" s="55">
        <v>1.38</v>
      </c>
      <c r="V25" s="55">
        <v>1.39</v>
      </c>
      <c r="W25" s="55">
        <v>2.1</v>
      </c>
      <c r="X25" s="55">
        <v>2.16</v>
      </c>
      <c r="Y25" s="55">
        <v>1.69</v>
      </c>
      <c r="Z25" s="55">
        <v>1.7</v>
      </c>
    </row>
    <row r="26" spans="2:26" ht="20.25" thickBot="1">
      <c r="B26" s="284"/>
      <c r="C26" s="57" t="s">
        <v>295</v>
      </c>
      <c r="D26" s="57" t="s">
        <v>296</v>
      </c>
      <c r="E26" s="57" t="s">
        <v>292</v>
      </c>
      <c r="F26" s="62">
        <v>0.70125000000000004</v>
      </c>
      <c r="G26" s="20">
        <v>0.62600000000000011</v>
      </c>
      <c r="H26" s="62">
        <v>0.63319999999999999</v>
      </c>
      <c r="I26" s="62">
        <v>0.63319999999999999</v>
      </c>
      <c r="J26" s="57">
        <v>0.55503775834658209</v>
      </c>
      <c r="K26" s="57">
        <v>0.57000000000000006</v>
      </c>
      <c r="L26" s="57">
        <v>0.4</v>
      </c>
      <c r="M26" s="57">
        <v>0.36000000000000004</v>
      </c>
      <c r="N26" s="57">
        <v>0.4</v>
      </c>
      <c r="O26" s="57">
        <v>0.4</v>
      </c>
      <c r="P26" s="57">
        <v>0.4</v>
      </c>
      <c r="Q26" s="57">
        <v>0.4</v>
      </c>
      <c r="R26" s="57">
        <v>0.45</v>
      </c>
      <c r="S26" s="57">
        <v>0.38300000000000001</v>
      </c>
      <c r="T26" s="57">
        <v>0.72199999999999998</v>
      </c>
      <c r="U26" s="57">
        <v>0.73</v>
      </c>
      <c r="V26" s="57">
        <v>0.92</v>
      </c>
      <c r="W26" s="57">
        <v>1.32</v>
      </c>
      <c r="X26" s="57">
        <v>1.24</v>
      </c>
      <c r="Y26" s="57">
        <v>1.05</v>
      </c>
      <c r="Z26" s="57">
        <v>1.05</v>
      </c>
    </row>
    <row r="27" spans="2:26" ht="20.25" thickTop="1">
      <c r="B27" s="286" t="s">
        <v>40</v>
      </c>
      <c r="C27" s="63" t="s">
        <v>297</v>
      </c>
      <c r="D27" s="63" t="s">
        <v>298</v>
      </c>
      <c r="E27" s="63" t="s">
        <v>37</v>
      </c>
      <c r="F27" s="63">
        <v>24.585465220630464</v>
      </c>
      <c r="G27" s="2">
        <v>26.522536724685345</v>
      </c>
      <c r="H27" s="63">
        <v>25.696443303325886</v>
      </c>
      <c r="I27" s="63">
        <v>26.687812794039022</v>
      </c>
      <c r="J27" s="63">
        <v>26.482901442796813</v>
      </c>
      <c r="K27" s="63">
        <v>25.157304326023652</v>
      </c>
      <c r="L27" s="63">
        <v>26.797336910170205</v>
      </c>
      <c r="M27" s="63">
        <v>25.901214194796381</v>
      </c>
      <c r="N27" s="63">
        <v>26.665379765339125</v>
      </c>
      <c r="O27" s="63">
        <v>27.831659171718915</v>
      </c>
      <c r="P27" s="63">
        <v>26.704262449297481</v>
      </c>
      <c r="Q27" s="63">
        <v>25</v>
      </c>
      <c r="R27" s="63">
        <v>25</v>
      </c>
      <c r="S27" s="63">
        <v>25</v>
      </c>
      <c r="T27" s="63">
        <v>25</v>
      </c>
      <c r="U27" s="63">
        <v>24.2</v>
      </c>
      <c r="V27" s="63">
        <v>24.6</v>
      </c>
      <c r="W27" s="63">
        <v>24</v>
      </c>
      <c r="X27" s="63">
        <v>25</v>
      </c>
      <c r="Y27" s="63">
        <v>23</v>
      </c>
      <c r="Z27" s="63">
        <v>22.9</v>
      </c>
    </row>
    <row r="28" spans="2:26">
      <c r="B28" s="283"/>
      <c r="C28" s="55" t="s">
        <v>299</v>
      </c>
      <c r="D28" s="55" t="s">
        <v>300</v>
      </c>
      <c r="E28" s="55" t="s">
        <v>45</v>
      </c>
      <c r="F28" s="55">
        <v>34.222771842755051</v>
      </c>
      <c r="G28" s="1">
        <v>37.320526613824697</v>
      </c>
      <c r="H28" s="55">
        <v>34.636800137416621</v>
      </c>
      <c r="I28" s="55">
        <v>37.843715923638761</v>
      </c>
      <c r="J28" s="55">
        <v>38.271940439949674</v>
      </c>
      <c r="K28" s="55">
        <v>35.045963691216159</v>
      </c>
      <c r="L28" s="55">
        <v>39.168194678007659</v>
      </c>
      <c r="M28" s="55">
        <v>37.80714175273463</v>
      </c>
      <c r="N28" s="55">
        <v>38.516458610754881</v>
      </c>
      <c r="O28" s="55">
        <v>41.36739939884324</v>
      </c>
      <c r="P28" s="55">
        <v>38.382735975041598</v>
      </c>
      <c r="Q28" s="55">
        <v>32.9</v>
      </c>
      <c r="R28" s="55">
        <v>32.6</v>
      </c>
      <c r="S28" s="55">
        <v>32.799999999999997</v>
      </c>
      <c r="T28" s="55">
        <v>31</v>
      </c>
      <c r="U28" s="55">
        <v>29.3</v>
      </c>
      <c r="V28" s="55">
        <v>30.19</v>
      </c>
      <c r="W28" s="55">
        <v>25.7</v>
      </c>
      <c r="X28" s="55">
        <v>26.2</v>
      </c>
      <c r="Y28" s="55">
        <v>26.2</v>
      </c>
      <c r="Z28" s="55">
        <v>25.74</v>
      </c>
    </row>
    <row r="29" spans="2:26">
      <c r="B29" s="283"/>
      <c r="C29" s="55" t="s">
        <v>301</v>
      </c>
      <c r="D29" s="55" t="s">
        <v>302</v>
      </c>
      <c r="E29" s="55" t="s">
        <v>37</v>
      </c>
      <c r="F29" s="55">
        <v>0.75501262265133262</v>
      </c>
      <c r="G29" s="1">
        <v>0.77033183441003639</v>
      </c>
      <c r="H29" s="55">
        <v>0.79254432983788059</v>
      </c>
      <c r="I29" s="55">
        <v>0.75472648598482284</v>
      </c>
      <c r="J29" s="55">
        <v>0.74907663009657421</v>
      </c>
      <c r="K29" s="55">
        <v>0.76454669157292232</v>
      </c>
      <c r="L29" s="55">
        <v>0.7392500571267937</v>
      </c>
      <c r="M29" s="55">
        <v>0.73843862040532482</v>
      </c>
      <c r="N29" s="55">
        <v>0.7418913760048218</v>
      </c>
      <c r="O29" s="55">
        <v>0.73538366710057068</v>
      </c>
      <c r="P29" s="55">
        <v>0.74501081421659832</v>
      </c>
      <c r="Q29" s="55">
        <v>0.78300000000000003</v>
      </c>
      <c r="R29" s="55">
        <v>0.78700000000000003</v>
      </c>
      <c r="S29" s="55">
        <v>0.79400000000000004</v>
      </c>
      <c r="T29" s="55">
        <v>0.82799999999999996</v>
      </c>
      <c r="U29" s="55">
        <v>0.83599999999999997</v>
      </c>
      <c r="V29" s="55">
        <v>0.83399999999999996</v>
      </c>
      <c r="W29" s="55">
        <v>1.05</v>
      </c>
      <c r="X29" s="55">
        <v>1.04</v>
      </c>
      <c r="Y29" s="55">
        <v>0.95</v>
      </c>
      <c r="Z29" s="55">
        <v>0.89</v>
      </c>
    </row>
    <row r="30" spans="2:26">
      <c r="B30" s="283"/>
      <c r="C30" s="55" t="s">
        <v>303</v>
      </c>
      <c r="D30" s="55" t="s">
        <v>304</v>
      </c>
      <c r="E30" s="55" t="s">
        <v>37</v>
      </c>
      <c r="F30" s="55">
        <v>5.3518975325674409</v>
      </c>
      <c r="G30" s="1">
        <v>5.5528508888626043</v>
      </c>
      <c r="H30" s="55">
        <v>5.4785617201595151</v>
      </c>
      <c r="I30" s="55">
        <v>5.7156252767200275</v>
      </c>
      <c r="J30" s="55">
        <v>6.9413681054456706</v>
      </c>
      <c r="K30" s="55">
        <v>6.5208255603551191</v>
      </c>
      <c r="L30" s="55">
        <v>6.8168060737590235</v>
      </c>
      <c r="M30" s="55">
        <v>6.2937869269897311</v>
      </c>
      <c r="N30" s="55">
        <v>6.6913667016195841</v>
      </c>
      <c r="O30" s="55">
        <v>6.8903242022534164</v>
      </c>
      <c r="P30" s="55">
        <v>6.8926165956630623</v>
      </c>
      <c r="Q30" s="55"/>
      <c r="R30" s="55"/>
      <c r="S30" s="55"/>
      <c r="T30" s="55"/>
      <c r="U30" s="55"/>
      <c r="V30" s="55"/>
      <c r="W30" s="55"/>
      <c r="X30" s="55"/>
      <c r="Y30" s="55"/>
      <c r="Z30" s="55"/>
    </row>
    <row r="31" spans="2:26">
      <c r="B31" s="283"/>
      <c r="C31" s="55" t="s">
        <v>305</v>
      </c>
      <c r="D31" s="55" t="s">
        <v>306</v>
      </c>
      <c r="E31" s="55" t="s">
        <v>45</v>
      </c>
      <c r="F31" s="55">
        <v>0.25</v>
      </c>
      <c r="G31" s="1">
        <v>0.25</v>
      </c>
      <c r="H31" s="55">
        <v>0.25</v>
      </c>
      <c r="I31" s="55">
        <v>0.25</v>
      </c>
      <c r="J31" s="55">
        <v>0.25</v>
      </c>
      <c r="K31" s="55">
        <v>0.25</v>
      </c>
      <c r="L31" s="55">
        <v>0.25</v>
      </c>
      <c r="M31" s="55">
        <v>0.25</v>
      </c>
      <c r="N31" s="55">
        <v>0.25</v>
      </c>
      <c r="O31" s="55">
        <v>0.25</v>
      </c>
      <c r="P31" s="55">
        <v>0.25</v>
      </c>
      <c r="Q31" s="55"/>
      <c r="R31" s="55"/>
      <c r="S31" s="55"/>
      <c r="T31" s="55"/>
      <c r="U31" s="55"/>
      <c r="V31" s="55"/>
      <c r="W31" s="55"/>
      <c r="X31" s="55"/>
      <c r="Y31" s="55"/>
      <c r="Z31" s="55"/>
    </row>
    <row r="32" spans="2:26">
      <c r="B32" s="283"/>
      <c r="C32" s="55" t="s">
        <v>307</v>
      </c>
      <c r="D32" s="55" t="s">
        <v>308</v>
      </c>
      <c r="E32" s="55" t="s">
        <v>45</v>
      </c>
      <c r="F32" s="55">
        <v>1.0033821094050335</v>
      </c>
      <c r="G32" s="1">
        <v>0.99250802706810226</v>
      </c>
      <c r="H32" s="55">
        <v>1.7805617050996969</v>
      </c>
      <c r="I32" s="55">
        <v>1.7731267172912202</v>
      </c>
      <c r="J32" s="55">
        <v>1.7066097267535372</v>
      </c>
      <c r="K32" s="55">
        <v>1.9579540414279473</v>
      </c>
      <c r="L32" s="55">
        <v>1.9434745281125376</v>
      </c>
      <c r="M32" s="55">
        <v>1.9584644392092285</v>
      </c>
      <c r="N32" s="55">
        <v>1.9309507687771426</v>
      </c>
      <c r="O32" s="55">
        <v>1.9606085843940717</v>
      </c>
      <c r="P32" s="55">
        <v>1.8703274241793417</v>
      </c>
      <c r="Q32" s="55"/>
      <c r="R32" s="55"/>
      <c r="S32" s="55"/>
      <c r="T32" s="55"/>
      <c r="U32" s="55"/>
      <c r="V32" s="55"/>
      <c r="W32" s="55"/>
      <c r="X32" s="55"/>
      <c r="Y32" s="55"/>
      <c r="Z32" s="55"/>
    </row>
    <row r="33" spans="2:26">
      <c r="B33" s="283"/>
      <c r="C33" s="55" t="s">
        <v>309</v>
      </c>
      <c r="D33" s="55" t="s">
        <v>310</v>
      </c>
      <c r="E33" s="55" t="s">
        <v>45</v>
      </c>
      <c r="F33" s="55">
        <v>0.11093402044426547</v>
      </c>
      <c r="G33" s="1">
        <v>0.11758499978781374</v>
      </c>
      <c r="H33" s="55">
        <v>0.1170786455478971</v>
      </c>
      <c r="I33" s="55">
        <v>0.11419203368739703</v>
      </c>
      <c r="J33" s="55">
        <v>0.1108294313611778</v>
      </c>
      <c r="K33" s="55">
        <v>0.11609664028196555</v>
      </c>
      <c r="L33" s="55">
        <v>0.11480993359989657</v>
      </c>
      <c r="M33" s="55">
        <v>0.11779240220037493</v>
      </c>
      <c r="N33" s="55">
        <v>0.11645898497470911</v>
      </c>
      <c r="O33" s="55">
        <v>0.11806821332309325</v>
      </c>
      <c r="P33" s="55">
        <v>0.11482817842248566</v>
      </c>
      <c r="Q33" s="55"/>
      <c r="R33" s="55"/>
      <c r="S33" s="55"/>
      <c r="T33" s="55"/>
      <c r="U33" s="55"/>
      <c r="V33" s="55"/>
      <c r="W33" s="55"/>
      <c r="X33" s="55"/>
      <c r="Y33" s="55"/>
      <c r="Z33" s="55"/>
    </row>
    <row r="34" spans="2:26">
      <c r="B34" s="283"/>
      <c r="C34" s="55" t="s">
        <v>311</v>
      </c>
      <c r="D34" s="55" t="s">
        <v>312</v>
      </c>
      <c r="E34" s="55" t="s">
        <v>266</v>
      </c>
      <c r="F34" s="55">
        <v>0.10474185445756348</v>
      </c>
      <c r="G34" s="1">
        <v>0.11119553796618663</v>
      </c>
      <c r="H34" s="55">
        <v>0.11028019104580952</v>
      </c>
      <c r="I34" s="55">
        <v>0.10823561805284826</v>
      </c>
      <c r="J34" s="55">
        <v>0.10526973696124349</v>
      </c>
      <c r="K34" s="55">
        <v>0.10948213075902856</v>
      </c>
      <c r="L34" s="55">
        <v>0.10898379773170222</v>
      </c>
      <c r="M34" s="55">
        <v>0.11145907911771946</v>
      </c>
      <c r="N34" s="55">
        <v>0.11037258319132046</v>
      </c>
      <c r="O34" s="55">
        <v>0.11222646535285601</v>
      </c>
      <c r="P34" s="55">
        <v>0.10888714601460912</v>
      </c>
      <c r="Q34" s="55"/>
      <c r="R34" s="55"/>
      <c r="S34" s="55"/>
      <c r="T34" s="55"/>
      <c r="U34" s="55"/>
      <c r="V34" s="55"/>
      <c r="W34" s="55"/>
      <c r="X34" s="55"/>
      <c r="Y34" s="55"/>
      <c r="Z34" s="55"/>
    </row>
    <row r="35" spans="2:26">
      <c r="B35" s="283"/>
      <c r="C35" s="55" t="s">
        <v>313</v>
      </c>
      <c r="D35" s="55" t="s">
        <v>45</v>
      </c>
      <c r="E35" s="55" t="s">
        <v>46</v>
      </c>
      <c r="F35" s="55">
        <v>0.35</v>
      </c>
      <c r="G35" s="1">
        <v>0.33</v>
      </c>
      <c r="H35" s="55">
        <v>0.33</v>
      </c>
      <c r="I35" s="55">
        <v>0.32319999999999999</v>
      </c>
      <c r="J35" s="55">
        <v>0.32319999999999999</v>
      </c>
      <c r="K35" s="55">
        <v>0.32319999999999999</v>
      </c>
      <c r="L35" s="55">
        <v>0.32319999999999999</v>
      </c>
      <c r="M35" s="55">
        <v>0.32319999999999999</v>
      </c>
      <c r="N35" s="55">
        <v>0.32319999999999999</v>
      </c>
      <c r="O35" s="55">
        <v>0.32319999999999999</v>
      </c>
      <c r="P35" s="55">
        <v>0.32319999999999999</v>
      </c>
      <c r="Q35" s="55"/>
      <c r="R35" s="55"/>
      <c r="S35" s="55"/>
      <c r="T35" s="55"/>
      <c r="U35" s="55"/>
      <c r="V35" s="55"/>
      <c r="W35" s="55"/>
      <c r="X35" s="55"/>
      <c r="Y35" s="55"/>
      <c r="Z35" s="55"/>
    </row>
    <row r="36" spans="2:26">
      <c r="B36" s="283"/>
      <c r="C36" s="55" t="s">
        <v>314</v>
      </c>
      <c r="D36" s="55" t="s">
        <v>315</v>
      </c>
      <c r="E36" s="55" t="s">
        <v>5</v>
      </c>
      <c r="F36" s="55">
        <v>0.83746843256447934</v>
      </c>
      <c r="G36" s="1">
        <v>1.4360432109387011</v>
      </c>
      <c r="H36" s="55">
        <v>1.0377574932920675</v>
      </c>
      <c r="I36" s="55">
        <v>1.0222454839469268</v>
      </c>
      <c r="J36" s="55">
        <v>0.85529195385742918</v>
      </c>
      <c r="K36" s="55">
        <v>0.65958789862370848</v>
      </c>
      <c r="L36" s="55">
        <v>1.0432033827672182</v>
      </c>
      <c r="M36" s="55">
        <v>0.97342364555717686</v>
      </c>
      <c r="N36" s="55">
        <v>1.1320297023472368</v>
      </c>
      <c r="O36" s="55">
        <v>1.2815087284463602</v>
      </c>
      <c r="P36" s="55">
        <v>0.96662922926928074</v>
      </c>
      <c r="Q36" s="55"/>
      <c r="R36" s="55"/>
      <c r="S36" s="55"/>
      <c r="T36" s="55"/>
      <c r="U36" s="55"/>
      <c r="V36" s="55"/>
      <c r="W36" s="55"/>
      <c r="X36" s="55"/>
      <c r="Y36" s="55"/>
      <c r="Z36" s="55"/>
    </row>
    <row r="37" spans="2:26" ht="20.25" thickBot="1">
      <c r="B37" s="284"/>
      <c r="C37" s="57" t="s">
        <v>316</v>
      </c>
      <c r="D37" s="57" t="s">
        <v>317</v>
      </c>
      <c r="E37" s="57" t="s">
        <v>318</v>
      </c>
      <c r="F37" s="57">
        <v>-0.28010179717063205</v>
      </c>
      <c r="G37" s="20">
        <v>-0.5018358811952609</v>
      </c>
      <c r="H37" s="57">
        <v>-0.57805363370660279</v>
      </c>
      <c r="I37" s="57">
        <v>-0.65128744152501072</v>
      </c>
      <c r="J37" s="57">
        <v>-0.94594713681692288</v>
      </c>
      <c r="K37" s="57">
        <v>-1.361712510409832</v>
      </c>
      <c r="L37" s="57">
        <v>-2.5882887143491735</v>
      </c>
      <c r="M37" s="57">
        <v>-2.0481021907093688</v>
      </c>
      <c r="N37" s="57">
        <v>-2.3150464167749276</v>
      </c>
      <c r="O37" s="57">
        <v>-1.6910095810387213</v>
      </c>
      <c r="P37" s="57">
        <v>-0.92332880559383013</v>
      </c>
      <c r="Q37" s="57"/>
      <c r="R37" s="57"/>
      <c r="S37" s="57"/>
      <c r="T37" s="57"/>
      <c r="U37" s="57"/>
      <c r="V37" s="57"/>
      <c r="W37" s="57"/>
      <c r="X37" s="57"/>
      <c r="Y37" s="57"/>
      <c r="Z37" s="57"/>
    </row>
    <row r="38" spans="2:26" ht="20.25" thickTop="1">
      <c r="B38" s="286" t="s">
        <v>50</v>
      </c>
      <c r="C38" s="63" t="s">
        <v>297</v>
      </c>
      <c r="D38" s="63" t="s">
        <v>298</v>
      </c>
      <c r="E38" s="63" t="s">
        <v>37</v>
      </c>
      <c r="F38" s="63">
        <v>2.8000000000000003</v>
      </c>
      <c r="G38" s="2">
        <v>2.2000000000000002</v>
      </c>
      <c r="H38" s="63">
        <v>2.88</v>
      </c>
      <c r="I38" s="63">
        <v>2.88</v>
      </c>
      <c r="J38" s="63">
        <v>2.88</v>
      </c>
      <c r="K38" s="63">
        <v>2.2000000000000002</v>
      </c>
      <c r="L38" s="63">
        <v>2.2000000000000002</v>
      </c>
      <c r="M38" s="63">
        <v>2.4000000000000004</v>
      </c>
      <c r="N38" s="63">
        <v>2.2000000000000002</v>
      </c>
      <c r="O38" s="63">
        <v>2.2000000000000002</v>
      </c>
      <c r="P38" s="63">
        <v>2.2000000000000002</v>
      </c>
      <c r="Q38" s="63"/>
      <c r="R38" s="63"/>
      <c r="S38" s="63"/>
      <c r="T38" s="63"/>
      <c r="U38" s="63"/>
      <c r="V38" s="63"/>
      <c r="W38" s="63"/>
      <c r="X38" s="63"/>
      <c r="Y38" s="63"/>
      <c r="Z38" s="63"/>
    </row>
    <row r="39" spans="2:26">
      <c r="B39" s="283"/>
      <c r="C39" s="55" t="s">
        <v>299</v>
      </c>
      <c r="D39" s="55" t="s">
        <v>300</v>
      </c>
      <c r="E39" s="55" t="s">
        <v>45</v>
      </c>
      <c r="F39" s="55">
        <v>5.0909090909090917</v>
      </c>
      <c r="G39" s="1">
        <v>3.5772357723577244</v>
      </c>
      <c r="H39" s="55">
        <v>4.9655172413793105</v>
      </c>
      <c r="I39" s="55">
        <v>5.4339622641509431</v>
      </c>
      <c r="J39" s="55">
        <v>5.3595244249159997</v>
      </c>
      <c r="K39" s="55">
        <v>3.5200000000000005</v>
      </c>
      <c r="L39" s="55">
        <v>3.859649122807018</v>
      </c>
      <c r="M39" s="55">
        <v>4.2477876106194703</v>
      </c>
      <c r="N39" s="55">
        <v>3.859649122807018</v>
      </c>
      <c r="O39" s="55">
        <v>3.859649122807018</v>
      </c>
      <c r="P39" s="55">
        <v>3.859649122807018</v>
      </c>
      <c r="Q39" s="55"/>
      <c r="R39" s="55"/>
      <c r="S39" s="55"/>
      <c r="T39" s="55"/>
      <c r="U39" s="55"/>
      <c r="V39" s="55"/>
      <c r="W39" s="55"/>
      <c r="X39" s="55"/>
      <c r="Y39" s="55"/>
      <c r="Z39" s="55"/>
    </row>
    <row r="40" spans="2:26">
      <c r="B40" s="283"/>
      <c r="C40" s="55" t="s">
        <v>301</v>
      </c>
      <c r="D40" s="55" t="s">
        <v>302</v>
      </c>
      <c r="E40" s="55" t="s">
        <v>37</v>
      </c>
      <c r="F40" s="55">
        <v>0.55593692022263463</v>
      </c>
      <c r="G40" s="1">
        <v>0.6150000000000001</v>
      </c>
      <c r="H40" s="55">
        <v>0.57999999999999996</v>
      </c>
      <c r="I40" s="55">
        <v>0.52999999999999992</v>
      </c>
      <c r="J40" s="55">
        <v>0.59857456707159462</v>
      </c>
      <c r="K40" s="55">
        <v>0.68353719008264457</v>
      </c>
      <c r="L40" s="55">
        <v>0.62370305930114567</v>
      </c>
      <c r="M40" s="55">
        <v>0.61433894624713203</v>
      </c>
      <c r="N40" s="55">
        <v>0.62370305930114567</v>
      </c>
      <c r="O40" s="55">
        <v>0.62370305930114567</v>
      </c>
      <c r="P40" s="55">
        <v>0.62370305930114567</v>
      </c>
      <c r="Q40" s="55"/>
      <c r="R40" s="55"/>
      <c r="S40" s="55"/>
      <c r="T40" s="55"/>
      <c r="U40" s="55"/>
      <c r="V40" s="55"/>
      <c r="W40" s="55"/>
      <c r="X40" s="55"/>
      <c r="Y40" s="55"/>
      <c r="Z40" s="55"/>
    </row>
    <row r="41" spans="2:26">
      <c r="B41" s="283"/>
      <c r="C41" s="55" t="s">
        <v>303</v>
      </c>
      <c r="D41" s="55" t="s">
        <v>304</v>
      </c>
      <c r="E41" s="55" t="s">
        <v>37</v>
      </c>
      <c r="F41" s="55">
        <v>-0.65844155844155861</v>
      </c>
      <c r="G41" s="1">
        <v>-0.55000000000000004</v>
      </c>
      <c r="H41" s="55">
        <v>-0.72000000000000008</v>
      </c>
      <c r="I41" s="55">
        <v>-0.7200000000000002</v>
      </c>
      <c r="J41" s="55">
        <v>0.69998449211682623</v>
      </c>
      <c r="K41" s="55">
        <v>0.53545454545454541</v>
      </c>
      <c r="L41" s="55">
        <v>0.53405103668261578</v>
      </c>
      <c r="M41" s="55">
        <v>0.58066617502458218</v>
      </c>
      <c r="N41" s="55">
        <v>0.53405103668261578</v>
      </c>
      <c r="O41" s="55">
        <v>0.53405103668261578</v>
      </c>
      <c r="P41" s="55">
        <v>0.53405103668261578</v>
      </c>
      <c r="Q41" s="55"/>
      <c r="R41" s="55"/>
      <c r="S41" s="55"/>
      <c r="T41" s="55"/>
      <c r="U41" s="55"/>
      <c r="V41" s="55"/>
      <c r="W41" s="55"/>
      <c r="X41" s="55"/>
      <c r="Y41" s="55"/>
      <c r="Z41" s="55"/>
    </row>
    <row r="42" spans="2:26">
      <c r="B42" s="283"/>
      <c r="C42" s="55" t="s">
        <v>305</v>
      </c>
      <c r="D42" s="55" t="s">
        <v>306</v>
      </c>
      <c r="E42" s="55" t="s">
        <v>45</v>
      </c>
      <c r="F42" s="55">
        <v>0.25</v>
      </c>
      <c r="G42" s="1">
        <v>0.25</v>
      </c>
      <c r="H42" s="55">
        <v>0.25</v>
      </c>
      <c r="I42" s="55">
        <v>0.25</v>
      </c>
      <c r="J42" s="55">
        <v>0.25</v>
      </c>
      <c r="K42" s="55">
        <v>0.25</v>
      </c>
      <c r="L42" s="55">
        <v>0.25</v>
      </c>
      <c r="M42" s="55">
        <v>0.25</v>
      </c>
      <c r="N42" s="55">
        <v>0.25</v>
      </c>
      <c r="O42" s="55">
        <v>0.25</v>
      </c>
      <c r="P42" s="55">
        <v>0.25</v>
      </c>
      <c r="Q42" s="55"/>
      <c r="R42" s="55"/>
      <c r="S42" s="55"/>
      <c r="T42" s="55"/>
      <c r="U42" s="55"/>
      <c r="V42" s="55"/>
      <c r="W42" s="55"/>
      <c r="X42" s="55"/>
      <c r="Y42" s="55"/>
      <c r="Z42" s="55"/>
    </row>
    <row r="43" spans="2:26">
      <c r="B43" s="283"/>
      <c r="C43" s="55" t="s">
        <v>307</v>
      </c>
      <c r="D43" s="55" t="s">
        <v>308</v>
      </c>
      <c r="E43" s="55" t="s">
        <v>45</v>
      </c>
      <c r="F43" s="55">
        <v>1.0682092392323017</v>
      </c>
      <c r="G43" s="1">
        <v>1.0449706976611999</v>
      </c>
      <c r="H43" s="55">
        <v>1.0440102521550767</v>
      </c>
      <c r="I43" s="55">
        <v>1.0414860681499853</v>
      </c>
      <c r="J43" s="55">
        <v>1.0393368682673272</v>
      </c>
      <c r="K43" s="55">
        <v>1.0431606651390797</v>
      </c>
      <c r="L43" s="55">
        <v>1.0425708010062988</v>
      </c>
      <c r="M43" s="55">
        <v>1.0381114983534576</v>
      </c>
      <c r="N43" s="55">
        <v>1.0425708010062988</v>
      </c>
      <c r="O43" s="55">
        <v>1.0425708010062993</v>
      </c>
      <c r="P43" s="55">
        <v>1.0425708010062988</v>
      </c>
      <c r="Q43" s="55"/>
      <c r="R43" s="55"/>
      <c r="S43" s="55"/>
      <c r="T43" s="55"/>
      <c r="U43" s="55"/>
      <c r="V43" s="55"/>
      <c r="W43" s="55"/>
      <c r="X43" s="55"/>
      <c r="Y43" s="55"/>
      <c r="Z43" s="55"/>
    </row>
    <row r="44" spans="2:26" ht="20.25" thickBot="1">
      <c r="B44" s="284"/>
      <c r="C44" s="57" t="s">
        <v>313</v>
      </c>
      <c r="D44" s="57" t="s">
        <v>45</v>
      </c>
      <c r="E44" s="57" t="s">
        <v>46</v>
      </c>
      <c r="F44" s="57">
        <v>0.36</v>
      </c>
      <c r="G44" s="20">
        <v>0.36</v>
      </c>
      <c r="H44" s="57">
        <v>0.36</v>
      </c>
      <c r="I44" s="57">
        <v>0.36</v>
      </c>
      <c r="J44" s="57">
        <v>0.36</v>
      </c>
      <c r="K44" s="57">
        <v>0.36</v>
      </c>
      <c r="L44" s="57">
        <v>0.36</v>
      </c>
      <c r="M44" s="57">
        <v>0.36</v>
      </c>
      <c r="N44" s="57">
        <v>0.36</v>
      </c>
      <c r="O44" s="57">
        <v>0.36</v>
      </c>
      <c r="P44" s="57">
        <v>0.36</v>
      </c>
      <c r="Q44" s="57"/>
      <c r="R44" s="57"/>
      <c r="S44" s="57"/>
      <c r="T44" s="57"/>
      <c r="U44" s="57"/>
      <c r="V44" s="57"/>
      <c r="W44" s="57"/>
      <c r="X44" s="57"/>
      <c r="Y44" s="57"/>
      <c r="Z44" s="57"/>
    </row>
    <row r="45" spans="2:26" ht="20.25" thickTop="1">
      <c r="B45" s="283" t="s">
        <v>51</v>
      </c>
      <c r="C45" s="55" t="s">
        <v>297</v>
      </c>
      <c r="D45" s="55" t="s">
        <v>298</v>
      </c>
      <c r="E45" s="55" t="s">
        <v>37</v>
      </c>
      <c r="F45" s="55">
        <v>0.85</v>
      </c>
      <c r="G45" s="2">
        <v>0.8</v>
      </c>
      <c r="H45" s="55">
        <v>0.8</v>
      </c>
      <c r="I45" s="55">
        <v>0.8</v>
      </c>
      <c r="J45" s="55">
        <v>1</v>
      </c>
      <c r="K45" s="55">
        <v>1.1000000000000001</v>
      </c>
      <c r="L45" s="55">
        <v>0.8</v>
      </c>
      <c r="M45" s="55">
        <v>0.8</v>
      </c>
      <c r="N45" s="55">
        <v>0.8</v>
      </c>
      <c r="O45" s="55">
        <v>0.8</v>
      </c>
      <c r="P45" s="55">
        <v>0.8</v>
      </c>
      <c r="Q45" s="55"/>
      <c r="R45" s="55"/>
      <c r="S45" s="55"/>
      <c r="T45" s="55"/>
      <c r="U45" s="55"/>
      <c r="V45" s="55"/>
      <c r="W45" s="55"/>
      <c r="X45" s="55"/>
      <c r="Y45" s="55"/>
      <c r="Z45" s="55"/>
    </row>
    <row r="46" spans="2:26">
      <c r="B46" s="283"/>
      <c r="C46" s="55" t="s">
        <v>299</v>
      </c>
      <c r="D46" s="55" t="s">
        <v>300</v>
      </c>
      <c r="E46" s="55" t="s">
        <v>45</v>
      </c>
      <c r="F46" s="55">
        <v>1.0303030303030303</v>
      </c>
      <c r="G46" s="1">
        <v>1.0223642172523961</v>
      </c>
      <c r="H46" s="55">
        <v>1.0107391029690462</v>
      </c>
      <c r="I46" s="55">
        <v>1.0107391029690462</v>
      </c>
      <c r="J46" s="55">
        <v>1.8016792280563554</v>
      </c>
      <c r="K46" s="55">
        <v>2.1228070175438596</v>
      </c>
      <c r="L46" s="55">
        <v>1.6</v>
      </c>
      <c r="M46" s="55">
        <v>1.7777777777777777</v>
      </c>
      <c r="N46" s="55">
        <v>1.6</v>
      </c>
      <c r="O46" s="55">
        <v>1.6</v>
      </c>
      <c r="P46" s="55">
        <v>1.6</v>
      </c>
      <c r="Q46" s="55"/>
      <c r="R46" s="55"/>
      <c r="S46" s="55"/>
      <c r="T46" s="55"/>
      <c r="U46" s="55"/>
      <c r="V46" s="55"/>
      <c r="W46" s="55"/>
      <c r="X46" s="55"/>
      <c r="Y46" s="55"/>
      <c r="Z46" s="55"/>
    </row>
    <row r="47" spans="2:26">
      <c r="B47" s="283"/>
      <c r="C47" s="55" t="s">
        <v>301</v>
      </c>
      <c r="D47" s="55" t="s">
        <v>302</v>
      </c>
      <c r="E47" s="55" t="s">
        <v>37</v>
      </c>
      <c r="F47" s="55">
        <v>0.83131225752333027</v>
      </c>
      <c r="G47" s="1">
        <v>0.78608788438498378</v>
      </c>
      <c r="H47" s="55">
        <v>0.79512419555432723</v>
      </c>
      <c r="I47" s="55">
        <v>0.79512419555432723</v>
      </c>
      <c r="J47" s="55">
        <v>0.60333136917444674</v>
      </c>
      <c r="K47" s="55">
        <v>0.56002506265664143</v>
      </c>
      <c r="L47" s="55">
        <v>0.57187500000000002</v>
      </c>
      <c r="M47" s="55">
        <v>0.52968749999999987</v>
      </c>
      <c r="N47" s="55">
        <v>0.57187500000000002</v>
      </c>
      <c r="O47" s="55">
        <v>0.57187500000000002</v>
      </c>
      <c r="P47" s="55">
        <v>0.57187500000000002</v>
      </c>
      <c r="Q47" s="55"/>
      <c r="R47" s="55"/>
      <c r="S47" s="55"/>
      <c r="T47" s="55"/>
      <c r="U47" s="55"/>
      <c r="V47" s="55"/>
      <c r="W47" s="55"/>
      <c r="X47" s="55"/>
      <c r="Y47" s="55"/>
      <c r="Z47" s="55"/>
    </row>
    <row r="48" spans="2:26" ht="20.25" thickBot="1">
      <c r="B48" s="284"/>
      <c r="C48" s="57" t="s">
        <v>303</v>
      </c>
      <c r="D48" s="57" t="s">
        <v>304</v>
      </c>
      <c r="E48" s="57" t="s">
        <v>37</v>
      </c>
      <c r="F48" s="57">
        <v>0.40353832442067739</v>
      </c>
      <c r="G48" s="20">
        <v>0.38448482428115011</v>
      </c>
      <c r="H48" s="57">
        <v>0.38449542008843973</v>
      </c>
      <c r="I48" s="57">
        <v>0.38449542008843973</v>
      </c>
      <c r="J48" s="57">
        <v>0.51590672944377791</v>
      </c>
      <c r="K48" s="57">
        <v>0.52105263157894732</v>
      </c>
      <c r="L48" s="57">
        <v>0.37375000000000003</v>
      </c>
      <c r="M48" s="57">
        <v>0.35624999999999996</v>
      </c>
      <c r="N48" s="57">
        <v>0.37375000000000003</v>
      </c>
      <c r="O48" s="57">
        <v>0.37375000000000003</v>
      </c>
      <c r="P48" s="57">
        <v>0.37375000000000003</v>
      </c>
      <c r="Q48" s="57"/>
      <c r="R48" s="57"/>
      <c r="S48" s="57"/>
      <c r="T48" s="57"/>
      <c r="U48" s="57"/>
      <c r="V48" s="57"/>
      <c r="W48" s="57"/>
      <c r="X48" s="57"/>
      <c r="Y48" s="57"/>
      <c r="Z48" s="57"/>
    </row>
    <row r="49" spans="2:26" ht="20.25" thickTop="1">
      <c r="B49" s="283" t="s">
        <v>319</v>
      </c>
      <c r="C49" s="55" t="s">
        <v>320</v>
      </c>
      <c r="D49" s="55" t="s">
        <v>321</v>
      </c>
      <c r="E49" s="55" t="s">
        <v>45</v>
      </c>
      <c r="F49" s="55">
        <v>0.3695513620523892</v>
      </c>
      <c r="G49" s="2">
        <v>0.3913694173202345</v>
      </c>
      <c r="H49" s="55">
        <v>0.35378435870142183</v>
      </c>
      <c r="I49" s="55">
        <v>0.34387179305970833</v>
      </c>
      <c r="J49" s="55">
        <v>0.3607711533983225</v>
      </c>
      <c r="K49" s="55">
        <v>0.41827101965108376</v>
      </c>
      <c r="L49" s="55">
        <v>0.41635996685508009</v>
      </c>
      <c r="M49" s="55">
        <v>0.38807007439517721</v>
      </c>
      <c r="N49" s="55">
        <v>0.41202211795625671</v>
      </c>
      <c r="O49" s="55">
        <v>0.40980390739689798</v>
      </c>
      <c r="P49" s="55">
        <v>0.40768264772815699</v>
      </c>
      <c r="Q49" s="55">
        <v>0.40899999999999997</v>
      </c>
      <c r="R49" s="55">
        <v>0.36199999999999999</v>
      </c>
      <c r="S49" s="55">
        <v>0.36099999999999999</v>
      </c>
      <c r="T49" s="55">
        <v>0.39600000000000002</v>
      </c>
      <c r="U49" s="55">
        <v>0.39</v>
      </c>
      <c r="V49" s="55">
        <v>0.39</v>
      </c>
      <c r="W49" s="55">
        <v>0.4</v>
      </c>
      <c r="X49" s="55">
        <v>0.39</v>
      </c>
      <c r="Y49" s="55">
        <v>0.4</v>
      </c>
      <c r="Z49" s="55">
        <v>0.4</v>
      </c>
    </row>
    <row r="50" spans="2:26">
      <c r="B50" s="283"/>
      <c r="C50" s="55"/>
      <c r="D50" s="55" t="s">
        <v>322</v>
      </c>
      <c r="E50" s="55" t="s">
        <v>45</v>
      </c>
      <c r="F50" s="55" t="s">
        <v>45</v>
      </c>
      <c r="G50" s="1" t="s">
        <v>45</v>
      </c>
      <c r="H50" s="55" t="s">
        <v>45</v>
      </c>
      <c r="I50" s="55" t="s">
        <v>45</v>
      </c>
      <c r="J50" s="55">
        <v>0.36695301325928892</v>
      </c>
      <c r="K50" s="55">
        <v>0.42384446284524346</v>
      </c>
      <c r="L50" s="55">
        <v>0.42136675135808244</v>
      </c>
      <c r="M50" s="55">
        <v>0.39366384135574523</v>
      </c>
      <c r="N50" s="55">
        <v>0.41699444196109253</v>
      </c>
      <c r="O50" s="55">
        <v>0.41470608049370705</v>
      </c>
      <c r="P50" s="55">
        <v>0.41262328955772543</v>
      </c>
      <c r="Q50" s="55"/>
      <c r="R50" s="55"/>
      <c r="S50" s="55"/>
      <c r="T50" s="55"/>
      <c r="U50" s="55"/>
      <c r="V50" s="55"/>
      <c r="W50" s="55"/>
      <c r="X50" s="55"/>
      <c r="Y50" s="55"/>
      <c r="Z50" s="55"/>
    </row>
    <row r="51" spans="2:26">
      <c r="B51" s="283"/>
      <c r="C51" s="55" t="s">
        <v>323</v>
      </c>
      <c r="D51" s="55" t="s">
        <v>324</v>
      </c>
      <c r="E51" s="55" t="s">
        <v>45</v>
      </c>
      <c r="F51" s="55">
        <v>5.1677648361201567E-3</v>
      </c>
      <c r="G51" s="1">
        <v>5.259278978381356E-3</v>
      </c>
      <c r="H51" s="55">
        <v>4.1362768601852541E-3</v>
      </c>
      <c r="I51" s="55">
        <v>4.0340911854252481E-3</v>
      </c>
      <c r="J51" s="55">
        <v>3.659791094887305E-3</v>
      </c>
      <c r="K51" s="55">
        <v>4.3285221790316779E-3</v>
      </c>
      <c r="L51" s="55">
        <v>3.0531623930240884E-3</v>
      </c>
      <c r="M51" s="55">
        <v>3.5247513864828297E-3</v>
      </c>
      <c r="N51" s="55">
        <v>3.0471531926554761E-3</v>
      </c>
      <c r="O51" s="55">
        <v>2.8782743426983997E-3</v>
      </c>
      <c r="P51" s="55">
        <v>3.0233291045002851E-3</v>
      </c>
      <c r="Q51" s="55">
        <v>3.1900000000000001E-3</v>
      </c>
      <c r="R51" s="55">
        <v>3.0999999999999999E-3</v>
      </c>
      <c r="S51" s="55">
        <v>3.0100000000000001E-3</v>
      </c>
      <c r="T51" s="55">
        <v>5.8500000000000002E-3</v>
      </c>
      <c r="U51" s="55">
        <v>6.1999999999999998E-3</v>
      </c>
      <c r="V51" s="55">
        <v>8.0000000000000002E-3</v>
      </c>
      <c r="W51" s="55">
        <v>9.1999999999999998E-3</v>
      </c>
      <c r="X51" s="55">
        <v>8.3000000000000001E-3</v>
      </c>
      <c r="Y51" s="55">
        <v>0.01</v>
      </c>
      <c r="Z51" s="55">
        <v>0.01</v>
      </c>
    </row>
    <row r="52" spans="2:26">
      <c r="B52" s="283"/>
      <c r="C52" s="55" t="s">
        <v>45</v>
      </c>
      <c r="D52" s="55" t="s">
        <v>325</v>
      </c>
      <c r="E52" s="55" t="s">
        <v>45</v>
      </c>
      <c r="F52" s="55">
        <v>0</v>
      </c>
      <c r="G52" s="1">
        <v>0</v>
      </c>
      <c r="H52" s="55">
        <v>0</v>
      </c>
      <c r="I52" s="55">
        <v>0</v>
      </c>
      <c r="J52" s="55">
        <v>0.10032884463362519</v>
      </c>
      <c r="K52" s="55">
        <v>0.11394833660771307</v>
      </c>
      <c r="L52" s="55">
        <v>0.10149184283126518</v>
      </c>
      <c r="M52" s="55">
        <v>0.10753364333094993</v>
      </c>
      <c r="N52" s="55">
        <v>0.10452438315017795</v>
      </c>
      <c r="O52" s="55">
        <v>9.8955473379635589E-2</v>
      </c>
      <c r="P52" s="55">
        <v>0.10347690766316585</v>
      </c>
      <c r="Q52" s="55"/>
      <c r="R52" s="55"/>
      <c r="S52" s="55"/>
      <c r="T52" s="55"/>
      <c r="U52" s="55"/>
      <c r="V52" s="55"/>
      <c r="W52" s="55"/>
      <c r="X52" s="55"/>
      <c r="Y52" s="55"/>
      <c r="Z52" s="55"/>
    </row>
    <row r="53" spans="2:26" ht="20.25" thickBot="1">
      <c r="B53" s="284"/>
      <c r="C53" s="57" t="s">
        <v>326</v>
      </c>
      <c r="D53" s="57" t="s">
        <v>45</v>
      </c>
      <c r="E53" s="57" t="s">
        <v>45</v>
      </c>
      <c r="F53" s="57" t="s">
        <v>327</v>
      </c>
      <c r="G53" s="20" t="s">
        <v>327</v>
      </c>
      <c r="H53" s="57" t="s">
        <v>327</v>
      </c>
      <c r="I53" s="57" t="s">
        <v>327</v>
      </c>
      <c r="J53" s="57" t="s">
        <v>328</v>
      </c>
      <c r="K53" s="57" t="s">
        <v>328</v>
      </c>
      <c r="L53" s="57" t="s">
        <v>328</v>
      </c>
      <c r="M53" s="57" t="s">
        <v>328</v>
      </c>
      <c r="N53" s="57" t="s">
        <v>328</v>
      </c>
      <c r="O53" s="57" t="s">
        <v>328</v>
      </c>
      <c r="P53" s="57" t="s">
        <v>328</v>
      </c>
      <c r="Q53" s="57"/>
      <c r="R53" s="57"/>
      <c r="S53" s="57"/>
      <c r="T53" s="57"/>
      <c r="U53" s="57"/>
      <c r="V53" s="57"/>
      <c r="W53" s="57"/>
      <c r="X53" s="57"/>
      <c r="Y53" s="57"/>
      <c r="Z53" s="57"/>
    </row>
    <row r="54" spans="2:26" ht="20.25" thickTop="1">
      <c r="B54" s="283" t="s">
        <v>329</v>
      </c>
      <c r="C54" s="55" t="s">
        <v>330</v>
      </c>
      <c r="D54" s="55" t="s">
        <v>331</v>
      </c>
      <c r="E54" s="55" t="s">
        <v>37</v>
      </c>
      <c r="F54" s="55">
        <v>3.2</v>
      </c>
      <c r="G54" s="2">
        <v>4.2</v>
      </c>
      <c r="H54" s="55">
        <v>3.2</v>
      </c>
      <c r="I54" s="55">
        <v>3.2</v>
      </c>
      <c r="J54" s="55">
        <v>3.2</v>
      </c>
      <c r="K54" s="55">
        <v>4.2</v>
      </c>
      <c r="L54" s="55">
        <v>4.5</v>
      </c>
      <c r="M54" s="55">
        <v>3.75</v>
      </c>
      <c r="N54" s="55">
        <v>4.5</v>
      </c>
      <c r="O54" s="55">
        <v>4.5</v>
      </c>
      <c r="P54" s="55">
        <v>4.5</v>
      </c>
      <c r="Q54" s="55"/>
      <c r="R54" s="55"/>
      <c r="S54" s="55"/>
      <c r="T54" s="55"/>
      <c r="U54" s="55"/>
      <c r="V54" s="55"/>
      <c r="W54" s="55"/>
      <c r="X54" s="55"/>
      <c r="Y54" s="55"/>
      <c r="Z54" s="55"/>
    </row>
    <row r="55" spans="2:26">
      <c r="B55" s="283"/>
      <c r="C55" s="55" t="s">
        <v>332</v>
      </c>
      <c r="D55" s="55" t="s">
        <v>333</v>
      </c>
      <c r="E55" s="55" t="s">
        <v>37</v>
      </c>
      <c r="F55" s="55" t="s">
        <v>45</v>
      </c>
      <c r="G55" s="1" t="s">
        <v>45</v>
      </c>
      <c r="H55" s="55" t="s">
        <v>45</v>
      </c>
      <c r="I55" s="55" t="s">
        <v>45</v>
      </c>
      <c r="J55" s="55">
        <v>3.2548324093230696</v>
      </c>
      <c r="K55" s="55">
        <v>4.2559648178231377</v>
      </c>
      <c r="L55" s="55">
        <v>4.5541131041816811</v>
      </c>
      <c r="M55" s="55">
        <v>3.80405370701367</v>
      </c>
      <c r="N55" s="55">
        <v>4.5543064487235529</v>
      </c>
      <c r="O55" s="55">
        <v>4.5538300844317616</v>
      </c>
      <c r="P55" s="55">
        <v>4.5545347916006547</v>
      </c>
      <c r="Q55" s="55"/>
      <c r="R55" s="55"/>
      <c r="S55" s="55"/>
      <c r="T55" s="55"/>
      <c r="U55" s="55"/>
      <c r="V55" s="55"/>
      <c r="W55" s="55"/>
      <c r="X55" s="55"/>
      <c r="Y55" s="55"/>
      <c r="Z55" s="55"/>
    </row>
    <row r="56" spans="2:26">
      <c r="B56" s="283"/>
      <c r="C56" s="55" t="s">
        <v>334</v>
      </c>
      <c r="D56" s="55" t="s">
        <v>335</v>
      </c>
      <c r="E56" s="55" t="s">
        <v>37</v>
      </c>
      <c r="F56" s="55">
        <v>3.2</v>
      </c>
      <c r="G56" s="1">
        <v>4.2</v>
      </c>
      <c r="H56" s="55">
        <v>3.2</v>
      </c>
      <c r="I56" s="55">
        <v>3.2</v>
      </c>
      <c r="J56" s="55">
        <v>3.2</v>
      </c>
      <c r="K56" s="55">
        <v>3.45</v>
      </c>
      <c r="L56" s="55">
        <v>3.75</v>
      </c>
      <c r="M56" s="55">
        <v>4.5</v>
      </c>
      <c r="N56" s="55">
        <v>3.75</v>
      </c>
      <c r="O56" s="55">
        <v>3.75</v>
      </c>
      <c r="P56" s="55">
        <v>3.75</v>
      </c>
      <c r="Q56" s="55"/>
      <c r="R56" s="55"/>
      <c r="S56" s="55"/>
      <c r="T56" s="55"/>
      <c r="U56" s="55"/>
      <c r="V56" s="55"/>
      <c r="W56" s="55"/>
      <c r="X56" s="55"/>
      <c r="Y56" s="55"/>
      <c r="Z56" s="55"/>
    </row>
    <row r="57" spans="2:26">
      <c r="B57" s="283"/>
      <c r="C57" s="55" t="s">
        <v>336</v>
      </c>
      <c r="D57" s="55" t="s">
        <v>337</v>
      </c>
      <c r="E57" s="55" t="s">
        <v>37</v>
      </c>
      <c r="F57" s="55">
        <v>0.16455490679366175</v>
      </c>
      <c r="G57" s="1">
        <v>0.10070403091109648</v>
      </c>
      <c r="H57" s="55">
        <v>0.12044869884135007</v>
      </c>
      <c r="I57" s="55">
        <v>0.11051224985878627</v>
      </c>
      <c r="J57" s="55">
        <v>0.11820219084383332</v>
      </c>
      <c r="K57" s="55">
        <v>0.1875741278056737</v>
      </c>
      <c r="L57" s="55">
        <v>0.17152108121584228</v>
      </c>
      <c r="M57" s="55">
        <v>0.1772081792590621</v>
      </c>
      <c r="N57" s="55">
        <v>0.16657640737830182</v>
      </c>
      <c r="O57" s="55">
        <v>0.16211736926818301</v>
      </c>
      <c r="P57" s="55">
        <v>0.17472505579307965</v>
      </c>
      <c r="Q57" s="55"/>
      <c r="R57" s="55"/>
      <c r="S57" s="55"/>
      <c r="T57" s="55"/>
      <c r="U57" s="55"/>
      <c r="V57" s="55"/>
      <c r="W57" s="55"/>
      <c r="X57" s="55"/>
      <c r="Y57" s="55"/>
      <c r="Z57" s="55"/>
    </row>
    <row r="58" spans="2:26">
      <c r="B58" s="283"/>
      <c r="C58" s="55" t="s">
        <v>338</v>
      </c>
      <c r="D58" s="55" t="s">
        <v>304</v>
      </c>
      <c r="E58" s="55" t="s">
        <v>37</v>
      </c>
      <c r="F58" s="55">
        <v>0.40353832442067739</v>
      </c>
      <c r="G58" s="1">
        <v>0.38448482428115011</v>
      </c>
      <c r="H58" s="55">
        <v>0.38449542008843973</v>
      </c>
      <c r="I58" s="55">
        <v>0.38449542008843973</v>
      </c>
      <c r="J58" s="55">
        <v>0.51590672944377791</v>
      </c>
      <c r="K58" s="55">
        <v>0.52105263157894732</v>
      </c>
      <c r="L58" s="55">
        <v>0.37375000000000003</v>
      </c>
      <c r="M58" s="55">
        <v>0.35624999999999996</v>
      </c>
      <c r="N58" s="55">
        <v>0.37375000000000003</v>
      </c>
      <c r="O58" s="55">
        <v>0.37375000000000003</v>
      </c>
      <c r="P58" s="55">
        <v>0.37375000000000003</v>
      </c>
      <c r="Q58" s="55"/>
      <c r="R58" s="55"/>
      <c r="S58" s="55"/>
      <c r="T58" s="55"/>
      <c r="U58" s="55"/>
      <c r="V58" s="55"/>
      <c r="W58" s="55"/>
      <c r="X58" s="55"/>
      <c r="Y58" s="55"/>
      <c r="Z58" s="55"/>
    </row>
    <row r="59" spans="2:26" ht="20.25" thickBot="1">
      <c r="B59" s="284"/>
      <c r="C59" s="57" t="s">
        <v>339</v>
      </c>
      <c r="D59" s="57" t="s">
        <v>340</v>
      </c>
      <c r="E59" s="57" t="s">
        <v>266</v>
      </c>
      <c r="F59" s="57">
        <v>-3.6</v>
      </c>
      <c r="G59" s="20">
        <v>-2.94</v>
      </c>
      <c r="H59" s="57">
        <v>-2.5</v>
      </c>
      <c r="I59" s="57">
        <v>-3.3</v>
      </c>
      <c r="J59" s="57">
        <v>-2.4500000000000002</v>
      </c>
      <c r="K59" s="57">
        <v>-3.6</v>
      </c>
      <c r="L59" s="57">
        <v>-2.8</v>
      </c>
      <c r="M59" s="57">
        <v>-2.65</v>
      </c>
      <c r="N59" s="57">
        <v>-2.4</v>
      </c>
      <c r="O59" s="57">
        <v>-1.1200000000000001</v>
      </c>
      <c r="P59" s="57">
        <v>-0.92</v>
      </c>
      <c r="Q59" s="57"/>
      <c r="R59" s="57"/>
      <c r="S59" s="57"/>
      <c r="T59" s="57"/>
      <c r="U59" s="57"/>
      <c r="V59" s="57"/>
      <c r="W59" s="57"/>
      <c r="X59" s="57"/>
      <c r="Y59" s="57"/>
      <c r="Z59" s="57"/>
    </row>
    <row r="60" spans="2:26" ht="20.25" thickTop="1">
      <c r="B60" s="283" t="s">
        <v>341</v>
      </c>
      <c r="C60" s="55" t="s">
        <v>342</v>
      </c>
      <c r="D60" s="55" t="s">
        <v>343</v>
      </c>
      <c r="E60" s="55" t="s">
        <v>45</v>
      </c>
      <c r="F60" s="55">
        <v>0.89334209521379149</v>
      </c>
      <c r="G60" s="2">
        <v>0.99518048364603229</v>
      </c>
      <c r="H60" s="55">
        <v>0.80775540451913708</v>
      </c>
      <c r="I60" s="55">
        <v>0.96089613516659922</v>
      </c>
      <c r="J60" s="55">
        <v>1.30602091427374</v>
      </c>
      <c r="K60" s="55">
        <v>0.88960674611935719</v>
      </c>
      <c r="L60" s="55">
        <v>0.69702410295988126</v>
      </c>
      <c r="M60" s="55">
        <v>0.82370987878542834</v>
      </c>
      <c r="N60" s="55">
        <v>0.80156902974961186</v>
      </c>
      <c r="O60" s="55">
        <v>0.88292500309175725</v>
      </c>
      <c r="P60" s="55">
        <v>1.0035204565390832</v>
      </c>
      <c r="Q60" s="55"/>
      <c r="R60" s="55"/>
      <c r="S60" s="55"/>
      <c r="T60" s="55"/>
      <c r="U60" s="55"/>
      <c r="V60" s="55"/>
      <c r="W60" s="55"/>
      <c r="X60" s="55"/>
      <c r="Y60" s="55"/>
      <c r="Z60" s="55"/>
    </row>
    <row r="61" spans="2:26">
      <c r="B61" s="283"/>
      <c r="C61" s="55" t="s">
        <v>344</v>
      </c>
      <c r="D61" s="55" t="s">
        <v>345</v>
      </c>
      <c r="E61" s="55" t="s">
        <v>45</v>
      </c>
      <c r="F61" s="55">
        <v>1.6847046002102821</v>
      </c>
      <c r="G61" s="1">
        <v>1.5700690055057438</v>
      </c>
      <c r="H61" s="55">
        <v>1.5891699804771495</v>
      </c>
      <c r="I61" s="55">
        <v>1.6971035733910482</v>
      </c>
      <c r="J61" s="55">
        <v>1.4207165009077423</v>
      </c>
      <c r="K61" s="55">
        <v>0</v>
      </c>
      <c r="L61" s="55">
        <v>1.4207165009077423</v>
      </c>
      <c r="M61" s="55">
        <v>1.4207165009077423</v>
      </c>
      <c r="N61" s="55">
        <v>1.4207165009077423</v>
      </c>
      <c r="O61" s="55">
        <v>1.4207165009077423</v>
      </c>
      <c r="P61" s="55">
        <v>1.4207165009077423</v>
      </c>
      <c r="Q61" s="55"/>
      <c r="R61" s="55"/>
      <c r="S61" s="55"/>
      <c r="T61" s="55"/>
      <c r="U61" s="55"/>
      <c r="V61" s="55"/>
      <c r="W61" s="55"/>
      <c r="X61" s="55"/>
      <c r="Y61" s="55"/>
      <c r="Z61" s="55"/>
    </row>
    <row r="62" spans="2:26">
      <c r="B62" s="283"/>
      <c r="C62" s="55" t="s">
        <v>290</v>
      </c>
      <c r="D62" s="55" t="s">
        <v>346</v>
      </c>
      <c r="E62" s="55" t="s">
        <v>45</v>
      </c>
      <c r="F62" s="55">
        <v>0.90637713276099385</v>
      </c>
      <c r="G62" s="1">
        <v>1.0017730159086871</v>
      </c>
      <c r="H62" s="55">
        <v>0.81590850011517313</v>
      </c>
      <c r="I62" s="55">
        <v>0.97317771376468332</v>
      </c>
      <c r="J62" s="55">
        <v>1.325966844745778</v>
      </c>
      <c r="K62" s="55">
        <v>0.90647103754541036</v>
      </c>
      <c r="L62" s="55">
        <v>0.71342407448361023</v>
      </c>
      <c r="M62" s="55">
        <v>0.84026657875366129</v>
      </c>
      <c r="N62" s="55">
        <v>0.81526467001619241</v>
      </c>
      <c r="O62" s="55">
        <v>0.89408404389796436</v>
      </c>
      <c r="P62" s="55">
        <v>1.0125387143621192</v>
      </c>
      <c r="Q62" s="55"/>
      <c r="R62" s="55"/>
      <c r="S62" s="55"/>
      <c r="T62" s="55"/>
      <c r="U62" s="55"/>
      <c r="V62" s="55"/>
      <c r="W62" s="55"/>
      <c r="X62" s="55"/>
      <c r="Y62" s="55"/>
      <c r="Z62" s="55"/>
    </row>
    <row r="63" spans="2:26">
      <c r="B63" s="283"/>
      <c r="C63" s="55" t="s">
        <v>293</v>
      </c>
      <c r="D63" s="55" t="s">
        <v>347</v>
      </c>
      <c r="E63" s="55" t="s">
        <v>45</v>
      </c>
      <c r="F63" s="55">
        <v>-0.14949726417945014</v>
      </c>
      <c r="G63" s="1">
        <v>-9.1841046310862567E-2</v>
      </c>
      <c r="H63" s="55">
        <v>-9.3048702459326255E-2</v>
      </c>
      <c r="I63" s="55">
        <v>-0.15143212819474611</v>
      </c>
      <c r="J63" s="55">
        <v>-0.23618169020171326</v>
      </c>
      <c r="K63" s="55">
        <v>-0.22149075345033498</v>
      </c>
      <c r="L63" s="55">
        <v>-0.23977023872649147</v>
      </c>
      <c r="M63" s="55">
        <v>-0.21666087382939367</v>
      </c>
      <c r="N63" s="55">
        <v>-0.20162018133546727</v>
      </c>
      <c r="O63" s="55">
        <v>-0.16662850757882444</v>
      </c>
      <c r="P63" s="55">
        <v>-0.1336135051716322</v>
      </c>
      <c r="Q63" s="55"/>
      <c r="R63" s="55"/>
      <c r="S63" s="55"/>
      <c r="T63" s="55"/>
      <c r="U63" s="55"/>
      <c r="V63" s="55"/>
      <c r="W63" s="55"/>
      <c r="X63" s="55"/>
      <c r="Y63" s="55"/>
      <c r="Z63" s="55"/>
    </row>
    <row r="64" spans="2:26">
      <c r="B64" s="283"/>
      <c r="C64" s="55" t="s">
        <v>295</v>
      </c>
      <c r="D64" s="55" t="s">
        <v>348</v>
      </c>
      <c r="E64" s="55" t="s">
        <v>45</v>
      </c>
      <c r="F64" s="55">
        <v>1.0552889856616786E-10</v>
      </c>
      <c r="G64" s="1">
        <v>1.1551489497962747E-10</v>
      </c>
      <c r="H64" s="55">
        <v>1.144306420943344E-10</v>
      </c>
      <c r="I64" s="55">
        <v>1.1443064209433443E-10</v>
      </c>
      <c r="J64" s="55">
        <v>1.7255164367239104E-10</v>
      </c>
      <c r="K64" s="55">
        <v>1.9216568733856887E-10</v>
      </c>
      <c r="L64" s="55">
        <v>1.6213365045382322E-10</v>
      </c>
      <c r="M64" s="55">
        <v>1.7302477097702235E-10</v>
      </c>
      <c r="N64" s="55">
        <v>1.621336504538232E-10</v>
      </c>
      <c r="O64" s="55">
        <v>1.6213365045382317E-10</v>
      </c>
      <c r="P64" s="55">
        <v>1.6213365045382322E-10</v>
      </c>
      <c r="Q64" s="55"/>
      <c r="R64" s="55"/>
      <c r="S64" s="55"/>
      <c r="T64" s="55"/>
      <c r="U64" s="55"/>
      <c r="V64" s="55"/>
      <c r="W64" s="55"/>
      <c r="X64" s="55"/>
      <c r="Y64" s="55"/>
      <c r="Z64" s="55"/>
    </row>
    <row r="65" spans="2:26">
      <c r="B65" s="283"/>
      <c r="C65" s="55" t="s">
        <v>349</v>
      </c>
      <c r="D65" s="55" t="s">
        <v>350</v>
      </c>
      <c r="E65" s="55" t="s">
        <v>351</v>
      </c>
      <c r="F65" s="55">
        <v>0.1122234567979726</v>
      </c>
      <c r="G65" s="1">
        <v>0.1166459034194281</v>
      </c>
      <c r="H65" s="55">
        <v>0.11774072013896636</v>
      </c>
      <c r="I65" s="55">
        <v>0.11533241778015911</v>
      </c>
      <c r="J65" s="55">
        <v>0.11167813026207936</v>
      </c>
      <c r="K65" s="55">
        <v>0.11459456176974697</v>
      </c>
      <c r="L65" s="55">
        <v>0.11380768012303166</v>
      </c>
      <c r="M65" s="55">
        <v>0.117000046311916</v>
      </c>
      <c r="N65" s="55">
        <v>0.11514709501136162</v>
      </c>
      <c r="O65" s="55">
        <v>0.11696289055066557</v>
      </c>
      <c r="P65" s="55">
        <v>0.11363678542164531</v>
      </c>
      <c r="Q65" s="55"/>
      <c r="R65" s="55"/>
      <c r="S65" s="55"/>
      <c r="T65" s="55"/>
      <c r="U65" s="55"/>
      <c r="V65" s="55"/>
      <c r="W65" s="55"/>
      <c r="X65" s="55"/>
      <c r="Y65" s="55"/>
      <c r="Z65" s="55"/>
    </row>
    <row r="66" spans="2:26">
      <c r="B66" s="283"/>
      <c r="C66" s="55" t="s">
        <v>290</v>
      </c>
      <c r="D66" s="55" t="s">
        <v>352</v>
      </c>
      <c r="E66" s="55" t="s">
        <v>351</v>
      </c>
      <c r="F66" s="55">
        <v>0.10474185445756348</v>
      </c>
      <c r="G66" s="1">
        <v>0.11119553796618663</v>
      </c>
      <c r="H66" s="55">
        <v>0.11028019104580952</v>
      </c>
      <c r="I66" s="55">
        <v>0.10823561805284826</v>
      </c>
      <c r="J66" s="55">
        <v>0.10526973696124349</v>
      </c>
      <c r="K66" s="55">
        <v>0.10948213075902856</v>
      </c>
      <c r="L66" s="55">
        <v>0.10898379773170222</v>
      </c>
      <c r="M66" s="55">
        <v>0.11145907911771946</v>
      </c>
      <c r="N66" s="55">
        <v>0.11037258319132046</v>
      </c>
      <c r="O66" s="55">
        <v>0.11222646535285601</v>
      </c>
      <c r="P66" s="55">
        <v>0.10888714601460912</v>
      </c>
      <c r="Q66" s="55"/>
      <c r="R66" s="55"/>
      <c r="S66" s="55"/>
      <c r="T66" s="55"/>
      <c r="U66" s="55"/>
      <c r="V66" s="55"/>
      <c r="W66" s="55"/>
      <c r="X66" s="55"/>
      <c r="Y66" s="55"/>
      <c r="Z66" s="55"/>
    </row>
    <row r="67" spans="2:26">
      <c r="B67" s="283"/>
      <c r="C67" s="55" t="s">
        <v>293</v>
      </c>
      <c r="D67" s="55" t="s">
        <v>353</v>
      </c>
      <c r="E67" s="55" t="s">
        <v>351</v>
      </c>
      <c r="F67" s="55">
        <v>8.5805589551968084E-2</v>
      </c>
      <c r="G67" s="1">
        <v>7.5929437439067077E-2</v>
      </c>
      <c r="H67" s="55">
        <v>8.514465991491757E-2</v>
      </c>
      <c r="I67" s="55">
        <v>8.7503693234208854E-2</v>
      </c>
      <c r="J67" s="55">
        <v>8.4344600691053831E-2</v>
      </c>
      <c r="K67" s="55">
        <v>7.5780229689853401E-2</v>
      </c>
      <c r="L67" s="55">
        <v>7.8492266268236979E-2</v>
      </c>
      <c r="M67" s="55">
        <v>8.1245709757649165E-2</v>
      </c>
      <c r="N67" s="55">
        <v>7.8492266341715702E-2</v>
      </c>
      <c r="O67" s="55">
        <v>7.8492266341715702E-2</v>
      </c>
      <c r="P67" s="55">
        <v>7.8492266341715702E-2</v>
      </c>
      <c r="Q67" s="55"/>
      <c r="R67" s="55"/>
      <c r="S67" s="55"/>
      <c r="T67" s="55"/>
      <c r="U67" s="55"/>
      <c r="V67" s="55"/>
      <c r="W67" s="55"/>
      <c r="X67" s="55"/>
      <c r="Y67" s="55"/>
      <c r="Z67" s="55"/>
    </row>
    <row r="68" spans="2:26">
      <c r="B68" s="283"/>
      <c r="C68" s="55" t="s">
        <v>295</v>
      </c>
      <c r="D68" s="55" t="s">
        <v>354</v>
      </c>
      <c r="E68" s="55" t="s">
        <v>351</v>
      </c>
      <c r="F68" s="55">
        <v>3.8172620602696196E-2</v>
      </c>
      <c r="G68" s="1">
        <v>3.7973374933672942E-2</v>
      </c>
      <c r="H68" s="55">
        <v>4.4859693176593024E-2</v>
      </c>
      <c r="I68" s="55">
        <v>4.4859693176593024E-2</v>
      </c>
      <c r="J68" s="55">
        <v>5.4188314512789909E-2</v>
      </c>
      <c r="K68" s="55">
        <v>5.9091684649062455E-2</v>
      </c>
      <c r="L68" s="55">
        <v>5.0683925103064187E-2</v>
      </c>
      <c r="M68" s="55">
        <v>5.3791614430781218E-2</v>
      </c>
      <c r="N68" s="55">
        <v>5.0683925103064187E-2</v>
      </c>
      <c r="O68" s="55">
        <v>5.0683925103064187E-2</v>
      </c>
      <c r="P68" s="55">
        <v>5.0683925103064187E-2</v>
      </c>
      <c r="Q68" s="55"/>
      <c r="R68" s="55"/>
      <c r="S68" s="55"/>
      <c r="T68" s="55"/>
      <c r="U68" s="55"/>
      <c r="V68" s="55"/>
      <c r="W68" s="55"/>
      <c r="X68" s="55"/>
      <c r="Y68" s="55"/>
      <c r="Z68" s="55"/>
    </row>
    <row r="69" spans="2:26">
      <c r="B69" s="283"/>
      <c r="C69" s="55" t="s">
        <v>355</v>
      </c>
      <c r="D69" s="55" t="s">
        <v>356</v>
      </c>
      <c r="E69" s="55" t="s">
        <v>45</v>
      </c>
      <c r="F69" s="55">
        <v>2.4586244303371366E-2</v>
      </c>
      <c r="G69" s="1">
        <v>2.5400195265692326E-2</v>
      </c>
      <c r="H69" s="55">
        <v>1.6883925147005055E-2</v>
      </c>
      <c r="I69" s="55">
        <v>2.0891845066662008E-2</v>
      </c>
      <c r="J69" s="55">
        <v>2.700464340732707E-2</v>
      </c>
      <c r="K69" s="55">
        <v>1.9246178282943501E-2</v>
      </c>
      <c r="L69" s="55">
        <v>1.4609803781242738E-2</v>
      </c>
      <c r="M69" s="55">
        <v>1.7977683005341426E-2</v>
      </c>
      <c r="N69" s="55">
        <v>1.833623693228548E-2</v>
      </c>
      <c r="O69" s="55">
        <v>1.9029566101812397E-2</v>
      </c>
      <c r="P69" s="55">
        <v>2.1598977553327306E-2</v>
      </c>
      <c r="Q69" s="55"/>
      <c r="R69" s="55"/>
      <c r="S69" s="55"/>
      <c r="T69" s="55"/>
      <c r="U69" s="55"/>
      <c r="V69" s="55"/>
      <c r="W69" s="55"/>
      <c r="X69" s="55"/>
      <c r="Y69" s="55"/>
      <c r="Z69" s="55"/>
    </row>
    <row r="70" spans="2:26">
      <c r="B70" s="283"/>
      <c r="C70" s="55" t="s">
        <v>290</v>
      </c>
      <c r="D70" s="55" t="s">
        <v>357</v>
      </c>
      <c r="E70" s="55" t="s">
        <v>45</v>
      </c>
      <c r="F70" s="55">
        <v>1.7113168423305021E-2</v>
      </c>
      <c r="G70" s="1">
        <v>1.8476000854648834E-2</v>
      </c>
      <c r="H70" s="55">
        <v>1.0858153475370291E-2</v>
      </c>
      <c r="I70" s="55">
        <v>1.4480626253271449E-2</v>
      </c>
      <c r="J70" s="55">
        <v>2.16275929469061E-2</v>
      </c>
      <c r="K70" s="55">
        <v>1.4187463673077026E-2</v>
      </c>
      <c r="L70" s="55">
        <v>1.1964276319624713E-2</v>
      </c>
      <c r="M70" s="55">
        <v>1.3410295971976124E-2</v>
      </c>
      <c r="N70" s="55">
        <v>1.3999642604226066E-2</v>
      </c>
      <c r="O70" s="55">
        <v>1.5001352600841939E-2</v>
      </c>
      <c r="P70" s="55">
        <v>1.7373362208508655E-2</v>
      </c>
      <c r="Q70" s="55"/>
      <c r="R70" s="55"/>
      <c r="S70" s="55"/>
      <c r="T70" s="55"/>
      <c r="U70" s="55"/>
      <c r="V70" s="55"/>
      <c r="W70" s="55"/>
      <c r="X70" s="55"/>
      <c r="Y70" s="55"/>
      <c r="Z70" s="55"/>
    </row>
    <row r="71" spans="2:26">
      <c r="B71" s="283"/>
      <c r="C71" s="55" t="s">
        <v>293</v>
      </c>
      <c r="D71" s="55" t="s">
        <v>358</v>
      </c>
      <c r="E71" s="55" t="s">
        <v>45</v>
      </c>
      <c r="F71" s="55">
        <v>9.3619884584271104E-3</v>
      </c>
      <c r="G71" s="1">
        <v>8.4402488272241772E-3</v>
      </c>
      <c r="H71" s="55">
        <v>7.4624279567092455E-3</v>
      </c>
      <c r="I71" s="55">
        <v>1.0672391889346024E-2</v>
      </c>
      <c r="J71" s="55">
        <v>1.4315481593539282E-2</v>
      </c>
      <c r="K71" s="55">
        <v>1.2843563962288657E-2</v>
      </c>
      <c r="L71" s="55">
        <v>1.3450839511804251E-2</v>
      </c>
      <c r="M71" s="55">
        <v>1.247658728967543E-2</v>
      </c>
      <c r="N71" s="55">
        <v>1.2705848998838821E-2</v>
      </c>
      <c r="O71" s="55">
        <v>1.1778432817228986E-2</v>
      </c>
      <c r="P71" s="55">
        <v>1.1340906504749983E-2</v>
      </c>
      <c r="Q71" s="55"/>
      <c r="R71" s="55"/>
      <c r="S71" s="55"/>
      <c r="T71" s="55"/>
      <c r="U71" s="55"/>
      <c r="V71" s="55"/>
      <c r="W71" s="55"/>
      <c r="X71" s="55"/>
      <c r="Y71" s="55"/>
      <c r="Z71" s="55"/>
    </row>
    <row r="72" spans="2:26">
      <c r="B72" s="283"/>
      <c r="C72" s="55" t="s">
        <v>295</v>
      </c>
      <c r="D72" s="55" t="s">
        <v>359</v>
      </c>
      <c r="E72" s="55" t="s">
        <v>45</v>
      </c>
      <c r="F72" s="55">
        <v>8.867077996424633E-3</v>
      </c>
      <c r="G72" s="1">
        <v>1.2361311155327367E-2</v>
      </c>
      <c r="H72" s="55">
        <v>8.8474419386210413E-3</v>
      </c>
      <c r="I72" s="55">
        <v>1.1948743953588643E-2</v>
      </c>
      <c r="J72" s="55">
        <v>1.5964930119893229E-2</v>
      </c>
      <c r="K72" s="55">
        <v>1.5379800048954029E-2</v>
      </c>
      <c r="L72" s="55">
        <v>1.5111839261076759E-2</v>
      </c>
      <c r="M72" s="55">
        <v>1.5800325577597366E-2</v>
      </c>
      <c r="N72" s="55">
        <v>1.5607690220090443E-2</v>
      </c>
      <c r="O72" s="55">
        <v>1.583954007527542E-2</v>
      </c>
      <c r="P72" s="55">
        <v>1.6075946859339992E-2</v>
      </c>
      <c r="Q72" s="55"/>
      <c r="R72" s="55"/>
      <c r="S72" s="55"/>
      <c r="T72" s="55"/>
      <c r="U72" s="55"/>
      <c r="V72" s="55"/>
      <c r="W72" s="55"/>
      <c r="X72" s="55"/>
      <c r="Y72" s="55"/>
      <c r="Z72" s="55"/>
    </row>
    <row r="73" spans="2:26">
      <c r="B73" s="283"/>
      <c r="C73" s="55" t="s">
        <v>41</v>
      </c>
      <c r="D73" s="55" t="s">
        <v>360</v>
      </c>
      <c r="E73" s="55" t="s">
        <v>45</v>
      </c>
      <c r="F73" s="55">
        <v>0.2</v>
      </c>
      <c r="G73" s="1">
        <v>0.2</v>
      </c>
      <c r="H73" s="55">
        <v>0.20307417424463414</v>
      </c>
      <c r="I73" s="55">
        <v>0.20307417424463414</v>
      </c>
      <c r="J73" s="55">
        <v>0.11253363853407559</v>
      </c>
      <c r="K73" s="55">
        <v>0.10821367481029676</v>
      </c>
      <c r="L73" s="55">
        <v>4.2650289058750408E-2</v>
      </c>
      <c r="M73" s="55">
        <v>9.7400202198944769E-2</v>
      </c>
      <c r="N73" s="55">
        <v>9.6467577533459026E-2</v>
      </c>
      <c r="O73" s="55">
        <v>9.0536675891477375E-2</v>
      </c>
      <c r="P73" s="55">
        <v>9.6427263948913433E-2</v>
      </c>
      <c r="Q73" s="55"/>
      <c r="R73" s="55"/>
      <c r="S73" s="55"/>
      <c r="T73" s="55"/>
      <c r="U73" s="55"/>
      <c r="V73" s="55"/>
      <c r="W73" s="55"/>
      <c r="X73" s="55"/>
      <c r="Y73" s="55"/>
      <c r="Z73" s="55"/>
    </row>
    <row r="74" spans="2:26">
      <c r="B74" s="283"/>
      <c r="C74" s="55" t="s">
        <v>361</v>
      </c>
      <c r="D74" s="55" t="s">
        <v>362</v>
      </c>
      <c r="E74" s="55" t="s">
        <v>45</v>
      </c>
      <c r="F74" s="55">
        <v>0.20472728608752949</v>
      </c>
      <c r="G74" s="1">
        <v>0.20433083126946039</v>
      </c>
      <c r="H74" s="55">
        <v>0.20228944613939059</v>
      </c>
      <c r="I74" s="55">
        <v>0.20246292449307876</v>
      </c>
      <c r="J74" s="55">
        <v>1</v>
      </c>
      <c r="K74" s="55">
        <v>1</v>
      </c>
      <c r="L74" s="55">
        <v>1</v>
      </c>
      <c r="M74" s="55">
        <v>1</v>
      </c>
      <c r="N74" s="55">
        <v>1</v>
      </c>
      <c r="O74" s="55">
        <v>1</v>
      </c>
      <c r="P74" s="55">
        <v>1</v>
      </c>
      <c r="Q74" s="55"/>
      <c r="R74" s="55"/>
      <c r="S74" s="55"/>
      <c r="T74" s="55"/>
      <c r="U74" s="55"/>
      <c r="V74" s="55"/>
      <c r="W74" s="55"/>
      <c r="X74" s="55"/>
      <c r="Y74" s="55"/>
      <c r="Z74" s="55"/>
    </row>
    <row r="75" spans="2:26">
      <c r="B75" s="283"/>
      <c r="C75" s="55" t="s">
        <v>363</v>
      </c>
      <c r="D75" s="55" t="s">
        <v>364</v>
      </c>
      <c r="E75" s="55" t="s">
        <v>45</v>
      </c>
      <c r="F75" s="55">
        <v>1.2</v>
      </c>
      <c r="G75" s="1">
        <v>1.2</v>
      </c>
      <c r="H75" s="55">
        <v>1.2</v>
      </c>
      <c r="I75" s="55">
        <v>1.2</v>
      </c>
      <c r="J75" s="55">
        <v>1.2</v>
      </c>
      <c r="K75" s="55">
        <v>1.2</v>
      </c>
      <c r="L75" s="55">
        <v>1.2</v>
      </c>
      <c r="M75" s="55">
        <v>1.2</v>
      </c>
      <c r="N75" s="55">
        <v>1.2</v>
      </c>
      <c r="O75" s="55">
        <v>1.2</v>
      </c>
      <c r="P75" s="55">
        <v>1.2</v>
      </c>
      <c r="Q75" s="55"/>
      <c r="R75" s="55"/>
      <c r="S75" s="55"/>
      <c r="T75" s="55"/>
      <c r="U75" s="55"/>
      <c r="V75" s="55"/>
      <c r="W75" s="55"/>
      <c r="X75" s="55"/>
      <c r="Y75" s="55"/>
      <c r="Z75" s="55"/>
    </row>
    <row r="76" spans="2:26">
      <c r="B76" s="283"/>
      <c r="C76" s="55" t="s">
        <v>365</v>
      </c>
      <c r="D76" s="55" t="s">
        <v>366</v>
      </c>
      <c r="E76" s="55" t="s">
        <v>45</v>
      </c>
      <c r="F76" s="55">
        <v>48.86585600467933</v>
      </c>
      <c r="G76" s="1">
        <v>51.054795874434618</v>
      </c>
      <c r="H76" s="55">
        <v>68.419686714309421</v>
      </c>
      <c r="I76" s="55">
        <v>61.016281531367596</v>
      </c>
      <c r="J76" s="55">
        <v>56.004072703101656</v>
      </c>
      <c r="K76" s="55">
        <v>56.840933983222001</v>
      </c>
      <c r="L76" s="55">
        <v>52.748899444464207</v>
      </c>
      <c r="M76" s="55">
        <v>56.094667669967592</v>
      </c>
      <c r="N76" s="55">
        <v>52.731662474475193</v>
      </c>
      <c r="O76" s="55">
        <v>54.743115805968664</v>
      </c>
      <c r="P76" s="55">
        <v>54.288584977975084</v>
      </c>
      <c r="Q76" s="55"/>
      <c r="R76" s="55"/>
      <c r="S76" s="55"/>
      <c r="T76" s="55"/>
      <c r="U76" s="55"/>
      <c r="V76" s="55"/>
      <c r="W76" s="55"/>
      <c r="X76" s="55"/>
      <c r="Y76" s="55"/>
      <c r="Z76" s="55"/>
    </row>
    <row r="77" spans="2:26">
      <c r="B77" s="283"/>
      <c r="C77" s="55" t="s">
        <v>367</v>
      </c>
      <c r="D77" s="55" t="s">
        <v>165</v>
      </c>
      <c r="E77" s="55" t="s">
        <v>45</v>
      </c>
      <c r="F77" s="55">
        <v>7.9321225425896518E-4</v>
      </c>
      <c r="G77" s="1">
        <v>1.1196133917099668E-4</v>
      </c>
      <c r="H77" s="55">
        <v>5.0388112890804772E-4</v>
      </c>
      <c r="I77" s="55">
        <v>-3.1383800751981668E-4</v>
      </c>
      <c r="J77" s="55">
        <v>-1.2981101169055875E-4</v>
      </c>
      <c r="K77" s="55">
        <v>3.0913437415344691E-4</v>
      </c>
      <c r="L77" s="55">
        <v>-1.3604911429110356E-4</v>
      </c>
      <c r="M77" s="55">
        <v>-4.1431794856480741E-5</v>
      </c>
      <c r="N77" s="55">
        <v>-3.7852648738045946E-4</v>
      </c>
      <c r="O77" s="55">
        <v>-2.3021686617781534E-4</v>
      </c>
      <c r="P77" s="55">
        <v>-4.3738887125700787E-5</v>
      </c>
      <c r="Q77" s="55"/>
      <c r="R77" s="55"/>
      <c r="S77" s="55"/>
      <c r="T77" s="55"/>
      <c r="U77" s="55"/>
      <c r="V77" s="55"/>
      <c r="W77" s="55"/>
      <c r="X77" s="55"/>
      <c r="Y77" s="55"/>
      <c r="Z77" s="55"/>
    </row>
    <row r="78" spans="2:26">
      <c r="B78" s="283"/>
      <c r="C78" s="55" t="s">
        <v>368</v>
      </c>
      <c r="D78" s="55" t="s">
        <v>369</v>
      </c>
      <c r="E78" s="55" t="s">
        <v>279</v>
      </c>
      <c r="F78" s="55">
        <v>1012.6935801942534</v>
      </c>
      <c r="G78" s="1">
        <v>985.53351320983711</v>
      </c>
      <c r="H78" s="55">
        <v>1084.7096188961623</v>
      </c>
      <c r="I78" s="55">
        <v>970.26660603808079</v>
      </c>
      <c r="J78" s="55">
        <v>959.83579788656823</v>
      </c>
      <c r="K78" s="55">
        <v>935.25114416985036</v>
      </c>
      <c r="L78" s="55">
        <v>900.1665385883714</v>
      </c>
      <c r="M78" s="55">
        <v>938.12185616804322</v>
      </c>
      <c r="N78" s="55">
        <v>861.45006221899473</v>
      </c>
      <c r="O78" s="55">
        <v>868.62231422494881</v>
      </c>
      <c r="P78" s="55">
        <v>879.17731923931979</v>
      </c>
      <c r="Q78" s="55"/>
      <c r="R78" s="55"/>
      <c r="S78" s="55"/>
      <c r="T78" s="55"/>
      <c r="U78" s="55"/>
      <c r="V78" s="55"/>
      <c r="W78" s="55"/>
      <c r="X78" s="55"/>
      <c r="Y78" s="55"/>
      <c r="Z78" s="55"/>
    </row>
    <row r="79" spans="2:26">
      <c r="B79" s="283"/>
      <c r="C79" s="55"/>
      <c r="D79" s="55"/>
      <c r="E79" s="55" t="s">
        <v>370</v>
      </c>
      <c r="F79" s="55">
        <v>103.36772279210507</v>
      </c>
      <c r="G79" s="1">
        <v>100.61597888819163</v>
      </c>
      <c r="H79" s="55">
        <v>110.74115557898543</v>
      </c>
      <c r="I79" s="55">
        <v>99.057335991636634</v>
      </c>
      <c r="J79" s="55">
        <v>97.992424490716516</v>
      </c>
      <c r="K79" s="55">
        <v>95.482505785589623</v>
      </c>
      <c r="L79" s="55">
        <v>91.900616497026178</v>
      </c>
      <c r="M79" s="55">
        <v>95.775585111591951</v>
      </c>
      <c r="N79" s="55">
        <v>87.947938970800891</v>
      </c>
      <c r="O79" s="55">
        <v>88.680175010204067</v>
      </c>
      <c r="P79" s="55">
        <v>89.757766129588546</v>
      </c>
      <c r="Q79" s="55"/>
      <c r="R79" s="55"/>
      <c r="S79" s="55"/>
      <c r="T79" s="55"/>
      <c r="U79" s="55"/>
      <c r="V79" s="55"/>
      <c r="W79" s="55"/>
      <c r="X79" s="55"/>
      <c r="Y79" s="55"/>
      <c r="Z79" s="55"/>
    </row>
    <row r="80" spans="2:26">
      <c r="B80" s="283"/>
      <c r="C80" s="55" t="s">
        <v>371</v>
      </c>
      <c r="D80" s="55" t="s">
        <v>372</v>
      </c>
      <c r="E80" s="55" t="s">
        <v>279</v>
      </c>
      <c r="F80" s="55">
        <v>27.870993542684378</v>
      </c>
      <c r="G80" s="1">
        <v>25.153973663853844</v>
      </c>
      <c r="H80" s="55">
        <v>22.672898143692077</v>
      </c>
      <c r="I80" s="55">
        <v>21.095578247058995</v>
      </c>
      <c r="J80" s="55">
        <v>19.8465607772658</v>
      </c>
      <c r="K80" s="55">
        <v>20.233671044581762</v>
      </c>
      <c r="L80" s="55">
        <v>18.867721278748267</v>
      </c>
      <c r="M80" s="55">
        <v>20.474754261099356</v>
      </c>
      <c r="N80" s="55">
        <v>19.706041351315328</v>
      </c>
      <c r="O80" s="55">
        <v>18.721302135709376</v>
      </c>
      <c r="P80" s="55">
        <v>18.922714589331328</v>
      </c>
      <c r="Q80" s="55"/>
      <c r="R80" s="55"/>
      <c r="S80" s="55"/>
      <c r="T80" s="55"/>
      <c r="U80" s="55"/>
      <c r="V80" s="55"/>
      <c r="W80" s="55"/>
      <c r="X80" s="55"/>
      <c r="Y80" s="55"/>
      <c r="Z80" s="55"/>
    </row>
    <row r="81" spans="2:26">
      <c r="B81" s="283"/>
      <c r="C81" s="55"/>
      <c r="D81" s="55"/>
      <c r="E81" s="55" t="s">
        <v>370</v>
      </c>
      <c r="F81" s="55">
        <v>2.8448498053163598</v>
      </c>
      <c r="G81" s="1">
        <v>2.5680422321443435</v>
      </c>
      <c r="H81" s="55">
        <v>2.314742025900161</v>
      </c>
      <c r="I81" s="55">
        <v>2.1537088562592133</v>
      </c>
      <c r="J81" s="55">
        <v>2.0261930349429096</v>
      </c>
      <c r="K81" s="55">
        <v>2.0657142465116651</v>
      </c>
      <c r="L81" s="55">
        <v>1.9262604674577097</v>
      </c>
      <c r="M81" s="55">
        <v>2.0903271323225479</v>
      </c>
      <c r="N81" s="55">
        <v>2.0118469986028922</v>
      </c>
      <c r="O81" s="55">
        <v>1.9113121118641527</v>
      </c>
      <c r="P81" s="55">
        <v>1.931874894265577</v>
      </c>
      <c r="Q81" s="55"/>
      <c r="R81" s="55"/>
      <c r="S81" s="55"/>
      <c r="T81" s="55"/>
      <c r="U81" s="55"/>
      <c r="V81" s="55"/>
      <c r="W81" s="55"/>
      <c r="X81" s="55"/>
      <c r="Y81" s="55"/>
      <c r="Z81" s="55"/>
    </row>
    <row r="82" spans="2:26" ht="20.25" thickBot="1">
      <c r="B82" s="284"/>
      <c r="C82" s="57" t="s">
        <v>373</v>
      </c>
      <c r="D82" s="57" t="s">
        <v>374</v>
      </c>
      <c r="E82" s="57" t="s">
        <v>370</v>
      </c>
      <c r="F82" s="57">
        <v>-0.20647239167934117</v>
      </c>
      <c r="G82" s="20">
        <v>1.4859788881916387</v>
      </c>
      <c r="H82" s="57">
        <v>0.80471277406977038</v>
      </c>
      <c r="I82" s="57">
        <v>0.26027246743649357</v>
      </c>
      <c r="J82" s="57">
        <v>0.48038061687513789</v>
      </c>
      <c r="K82" s="57">
        <v>0.1386330001715379</v>
      </c>
      <c r="L82" s="57">
        <v>0.35630493645642503</v>
      </c>
      <c r="M82" s="57">
        <v>0.617681543862588</v>
      </c>
      <c r="N82" s="57">
        <v>0.46634046987051647</v>
      </c>
      <c r="O82" s="57">
        <v>0.54978971282646683</v>
      </c>
      <c r="P82" s="57">
        <v>0.97263371839990498</v>
      </c>
      <c r="Q82" s="57"/>
      <c r="R82" s="57"/>
      <c r="S82" s="57"/>
      <c r="T82" s="57"/>
      <c r="U82" s="57"/>
      <c r="V82" s="57"/>
      <c r="W82" s="57"/>
      <c r="X82" s="57"/>
      <c r="Y82" s="57"/>
      <c r="Z82" s="57"/>
    </row>
    <row r="83" spans="2:26" ht="20.25" thickTop="1">
      <c r="B83" s="283" t="s">
        <v>24</v>
      </c>
      <c r="C83" s="55" t="s">
        <v>375</v>
      </c>
      <c r="D83" s="55" t="s">
        <v>25</v>
      </c>
      <c r="E83" s="55" t="s">
        <v>376</v>
      </c>
      <c r="F83" s="56">
        <v>918.40715156383294</v>
      </c>
      <c r="G83" s="2">
        <v>833.81063889746554</v>
      </c>
      <c r="H83" s="56">
        <v>941.40599435392676</v>
      </c>
      <c r="I83" s="56">
        <v>1010.1455163950034</v>
      </c>
      <c r="J83" s="56">
        <v>904.52562693682296</v>
      </c>
      <c r="K83" s="56">
        <v>885.1284285239492</v>
      </c>
      <c r="L83" s="56">
        <v>805.38723643263461</v>
      </c>
      <c r="M83" s="56">
        <v>815.91501256870231</v>
      </c>
      <c r="N83" s="56">
        <v>832.47226848351579</v>
      </c>
      <c r="O83" s="56">
        <v>892.78855554089125</v>
      </c>
      <c r="P83" s="56">
        <v>891.80653593857642</v>
      </c>
      <c r="Q83" s="56"/>
      <c r="R83" s="56"/>
      <c r="S83" s="56"/>
      <c r="T83" s="56"/>
      <c r="U83" s="56"/>
      <c r="V83" s="56"/>
      <c r="W83" s="56"/>
      <c r="X83" s="56"/>
      <c r="Y83" s="56"/>
      <c r="Z83" s="56"/>
    </row>
    <row r="84" spans="2:26">
      <c r="B84" s="283"/>
      <c r="C84" s="55"/>
      <c r="D84" s="55" t="s">
        <v>27</v>
      </c>
      <c r="E84" s="55" t="s">
        <v>376</v>
      </c>
      <c r="F84" s="56">
        <v>55.530862171617095</v>
      </c>
      <c r="G84" s="1">
        <v>72.911848683691176</v>
      </c>
      <c r="H84" s="56">
        <v>58.680109429353045</v>
      </c>
      <c r="I84" s="56">
        <v>57.72518969576015</v>
      </c>
      <c r="J84" s="56">
        <v>52.359348891475904</v>
      </c>
      <c r="K84" s="56">
        <v>57.310584566883882</v>
      </c>
      <c r="L84" s="56">
        <v>61.608111818404758</v>
      </c>
      <c r="M84" s="56">
        <v>61.309209303595203</v>
      </c>
      <c r="N84" s="56">
        <v>61.555242693094755</v>
      </c>
      <c r="O84" s="56">
        <v>61.979275376536179</v>
      </c>
      <c r="P84" s="56">
        <v>61.134686718395209</v>
      </c>
      <c r="Q84" s="56"/>
      <c r="R84" s="56"/>
      <c r="S84" s="56"/>
      <c r="T84" s="56"/>
      <c r="U84" s="56"/>
      <c r="V84" s="56"/>
      <c r="W84" s="56"/>
      <c r="X84" s="56"/>
      <c r="Y84" s="56"/>
      <c r="Z84" s="56"/>
    </row>
    <row r="85" spans="2:26">
      <c r="B85" s="283"/>
      <c r="C85" s="55"/>
      <c r="D85" s="55" t="s">
        <v>29</v>
      </c>
      <c r="E85" s="55" t="s">
        <v>376</v>
      </c>
      <c r="F85" s="56">
        <v>963.51180413877057</v>
      </c>
      <c r="G85" s="1">
        <v>896.99496843978659</v>
      </c>
      <c r="H85" s="56">
        <v>982.70276637670884</v>
      </c>
      <c r="I85" s="56">
        <v>1050.537846066663</v>
      </c>
      <c r="J85" s="56">
        <v>938.77426688646835</v>
      </c>
      <c r="K85" s="56">
        <v>935.64369229074987</v>
      </c>
      <c r="L85" s="56">
        <v>859.90611138054135</v>
      </c>
      <c r="M85" s="56">
        <v>871.2826765478984</v>
      </c>
      <c r="N85" s="56">
        <v>887.03226452233321</v>
      </c>
      <c r="O85" s="56">
        <v>946.92451889626716</v>
      </c>
      <c r="P85" s="56">
        <v>946.7870879520932</v>
      </c>
      <c r="Q85" s="56"/>
      <c r="R85" s="56"/>
      <c r="S85" s="56"/>
      <c r="T85" s="56"/>
      <c r="U85" s="56"/>
      <c r="V85" s="56"/>
      <c r="W85" s="56"/>
      <c r="X85" s="56"/>
      <c r="Y85" s="56"/>
      <c r="Z85" s="56"/>
    </row>
    <row r="86" spans="2:26">
      <c r="B86" s="283"/>
      <c r="C86" s="55"/>
      <c r="D86" s="55" t="s">
        <v>31</v>
      </c>
      <c r="E86" s="55" t="s">
        <v>376</v>
      </c>
      <c r="F86" s="55">
        <v>0</v>
      </c>
      <c r="G86" s="1">
        <v>0</v>
      </c>
      <c r="H86" s="55">
        <v>0</v>
      </c>
      <c r="I86" s="55">
        <v>0</v>
      </c>
      <c r="J86" s="55">
        <v>0</v>
      </c>
      <c r="K86" s="55">
        <v>0</v>
      </c>
      <c r="L86" s="55">
        <v>0</v>
      </c>
      <c r="M86" s="55">
        <v>0</v>
      </c>
      <c r="N86" s="55">
        <v>0</v>
      </c>
      <c r="O86" s="55">
        <v>0</v>
      </c>
      <c r="P86" s="55">
        <v>0</v>
      </c>
      <c r="Q86" s="55"/>
      <c r="R86" s="55"/>
      <c r="S86" s="55"/>
      <c r="T86" s="55"/>
      <c r="U86" s="55"/>
      <c r="V86" s="55"/>
      <c r="W86" s="55"/>
      <c r="X86" s="55"/>
      <c r="Y86" s="55"/>
      <c r="Z86" s="55"/>
    </row>
    <row r="87" spans="2:26">
      <c r="B87" s="283"/>
      <c r="C87" s="55"/>
      <c r="D87" s="55" t="s">
        <v>33</v>
      </c>
      <c r="E87" s="55" t="s">
        <v>376</v>
      </c>
      <c r="F87" s="55">
        <v>0</v>
      </c>
      <c r="G87" s="1">
        <v>0</v>
      </c>
      <c r="H87" s="55">
        <v>0</v>
      </c>
      <c r="I87" s="55">
        <v>0</v>
      </c>
      <c r="J87" s="55">
        <v>0</v>
      </c>
      <c r="K87" s="55">
        <v>0</v>
      </c>
      <c r="L87" s="55">
        <v>0</v>
      </c>
      <c r="M87" s="55">
        <v>0</v>
      </c>
      <c r="N87" s="55">
        <v>0</v>
      </c>
      <c r="O87" s="55">
        <v>0</v>
      </c>
      <c r="P87" s="55">
        <v>0</v>
      </c>
      <c r="Q87" s="55"/>
      <c r="R87" s="55"/>
      <c r="S87" s="55"/>
      <c r="T87" s="55"/>
      <c r="U87" s="55"/>
      <c r="V87" s="55"/>
      <c r="W87" s="55"/>
      <c r="X87" s="55"/>
      <c r="Y87" s="55"/>
      <c r="Z87" s="55"/>
    </row>
    <row r="88" spans="2:26" ht="20.25" thickBot="1">
      <c r="B88" s="284"/>
      <c r="C88" s="57"/>
      <c r="D88" s="57" t="s">
        <v>377</v>
      </c>
      <c r="E88" s="57" t="s">
        <v>376</v>
      </c>
      <c r="F88" s="57">
        <v>-5.6196454676211225</v>
      </c>
      <c r="G88" s="20">
        <v>-6.0825334963457909</v>
      </c>
      <c r="H88" s="57">
        <v>-6.9131857565410044</v>
      </c>
      <c r="I88" s="57">
        <v>-6.5852125029812028</v>
      </c>
      <c r="J88" s="57">
        <v>-4.987654749548712</v>
      </c>
      <c r="K88" s="57">
        <v>-7.6748803539465982</v>
      </c>
      <c r="L88" s="57">
        <v>-5.784948570851979</v>
      </c>
      <c r="M88" s="57">
        <v>-5.6420922591709717</v>
      </c>
      <c r="N88" s="57">
        <v>-5.7208954706653863</v>
      </c>
      <c r="O88" s="57">
        <v>-5.6642768869536919</v>
      </c>
      <c r="P88" s="57">
        <v>-5.8243628376211198</v>
      </c>
      <c r="Q88" s="57"/>
      <c r="R88" s="57"/>
      <c r="S88" s="57"/>
      <c r="T88" s="57"/>
      <c r="U88" s="57"/>
      <c r="V88" s="57"/>
      <c r="W88" s="57"/>
      <c r="X88" s="57"/>
      <c r="Y88" s="57"/>
      <c r="Z88" s="57"/>
    </row>
    <row r="89" spans="2:26" ht="20.25" thickTop="1">
      <c r="B89" s="283" t="s">
        <v>378</v>
      </c>
      <c r="C89" s="55"/>
      <c r="D89" s="55" t="s">
        <v>167</v>
      </c>
      <c r="E89" s="55" t="s">
        <v>351</v>
      </c>
      <c r="F89" s="55">
        <v>-2.1235387044881707E-2</v>
      </c>
      <c r="G89" s="2">
        <v>-2.0820816650685955E-2</v>
      </c>
      <c r="H89" s="55">
        <v>-2.130043362118501E-2</v>
      </c>
      <c r="I89" s="55">
        <v>-2.2167204650325574E-2</v>
      </c>
      <c r="J89" s="55">
        <v>-2.0018827319272563E-2</v>
      </c>
      <c r="K89" s="55">
        <v>-2.0535400940715834E-2</v>
      </c>
      <c r="L89" s="55">
        <v>-2.1866528705799238E-2</v>
      </c>
      <c r="M89" s="55">
        <v>-2.0430634259647602E-2</v>
      </c>
      <c r="N89" s="55">
        <v>-2.1374283181142786E-2</v>
      </c>
      <c r="O89" s="55">
        <v>-2.1277877173263921E-2</v>
      </c>
      <c r="P89" s="55">
        <v>-2.1202289228846573E-2</v>
      </c>
      <c r="Q89" s="55"/>
      <c r="R89" s="55"/>
      <c r="S89" s="55"/>
      <c r="T89" s="55"/>
      <c r="U89" s="55"/>
      <c r="V89" s="55"/>
      <c r="W89" s="55"/>
      <c r="X89" s="55"/>
      <c r="Y89" s="55"/>
      <c r="Z89" s="55"/>
    </row>
    <row r="90" spans="2:26">
      <c r="B90" s="283"/>
      <c r="C90" s="55"/>
      <c r="D90" s="55" t="s">
        <v>379</v>
      </c>
      <c r="E90" s="55" t="s">
        <v>351</v>
      </c>
      <c r="F90" s="55">
        <v>-3.3102396725761384E-3</v>
      </c>
      <c r="G90" s="1">
        <v>-3.4932616092385018E-3</v>
      </c>
      <c r="H90" s="55">
        <v>-4.0605550085478061E-3</v>
      </c>
      <c r="I90" s="55">
        <v>-3.9301510675748665E-3</v>
      </c>
      <c r="J90" s="55">
        <v>-4.5244603596246253E-3</v>
      </c>
      <c r="K90" s="55">
        <v>-1.6261031494530539E-3</v>
      </c>
      <c r="L90" s="55">
        <v>-2.8747141341960475E-3</v>
      </c>
      <c r="M90" s="55">
        <v>-2.3232525096361562E-3</v>
      </c>
      <c r="N90" s="55">
        <v>-2.6407031537638032E-3</v>
      </c>
      <c r="O90" s="55">
        <v>-2.8537063442499789E-3</v>
      </c>
      <c r="P90" s="55">
        <v>-2.1937912085889066E-3</v>
      </c>
      <c r="Q90" s="55"/>
      <c r="R90" s="55"/>
      <c r="S90" s="55"/>
      <c r="T90" s="55"/>
      <c r="U90" s="55"/>
      <c r="V90" s="55"/>
      <c r="W90" s="55"/>
      <c r="X90" s="55"/>
      <c r="Y90" s="55"/>
      <c r="Z90" s="55"/>
    </row>
    <row r="91" spans="2:26" ht="20.25" thickBot="1">
      <c r="B91" s="284"/>
      <c r="C91" s="57"/>
      <c r="D91" s="57" t="s">
        <v>380</v>
      </c>
      <c r="E91" s="57" t="s">
        <v>351</v>
      </c>
      <c r="F91" s="57">
        <v>-3.1702415539934146E-4</v>
      </c>
      <c r="G91" s="20">
        <v>-3.7529757345022873E-4</v>
      </c>
      <c r="H91" s="57">
        <v>1.8555211084135206E-4</v>
      </c>
      <c r="I91" s="57">
        <v>1.8096809282457506E-4</v>
      </c>
      <c r="J91" s="57">
        <v>1.9831791090086103E-4</v>
      </c>
      <c r="K91" s="57">
        <v>2.557796675998126E-4</v>
      </c>
      <c r="L91" s="57">
        <v>1.5474625405552511E-4</v>
      </c>
      <c r="M91" s="57">
        <v>1.8960206754604588E-4</v>
      </c>
      <c r="N91" s="57">
        <v>1.5444168419411308E-4</v>
      </c>
      <c r="O91" s="57">
        <v>1.45882241211397E-4</v>
      </c>
      <c r="P91" s="57">
        <v>1.5323418589440656E-4</v>
      </c>
      <c r="Q91" s="57"/>
      <c r="R91" s="57"/>
      <c r="S91" s="57"/>
      <c r="T91" s="57"/>
      <c r="U91" s="57"/>
      <c r="V91" s="57"/>
      <c r="W91" s="57"/>
      <c r="X91" s="57"/>
      <c r="Y91" s="57"/>
      <c r="Z91" s="57"/>
    </row>
    <row r="92" spans="2:26" ht="20.25" thickTop="1">
      <c r="B92" s="283" t="s">
        <v>381</v>
      </c>
      <c r="C92" s="55" t="s">
        <v>382</v>
      </c>
      <c r="D92" s="55" t="s">
        <v>383</v>
      </c>
      <c r="E92" s="55" t="s">
        <v>384</v>
      </c>
      <c r="F92" s="55">
        <v>8.7453503909277899</v>
      </c>
      <c r="G92" s="2">
        <v>8.2104818110790951</v>
      </c>
      <c r="H92" s="55">
        <v>9.4963161479902265</v>
      </c>
      <c r="I92" s="55">
        <v>8.3860722086699404</v>
      </c>
      <c r="J92" s="55">
        <v>7.0458658976119821</v>
      </c>
      <c r="K92" s="55">
        <v>9.2901291803350876</v>
      </c>
      <c r="L92" s="55">
        <v>10.401330090247521</v>
      </c>
      <c r="M92" s="55">
        <v>8.7455376688500372</v>
      </c>
      <c r="N92" s="55">
        <v>9.7013471072537136</v>
      </c>
      <c r="O92" s="55">
        <v>9.2531089919488565</v>
      </c>
      <c r="P92" s="55">
        <v>8.6584587070829002</v>
      </c>
      <c r="Q92" s="55"/>
      <c r="R92" s="55"/>
      <c r="S92" s="55"/>
      <c r="T92" s="55"/>
      <c r="U92" s="55"/>
      <c r="V92" s="55"/>
      <c r="W92" s="55"/>
      <c r="X92" s="55"/>
      <c r="Y92" s="55"/>
      <c r="Z92" s="55"/>
    </row>
    <row r="93" spans="2:26">
      <c r="B93" s="283"/>
      <c r="C93" s="55"/>
      <c r="D93" s="55" t="s">
        <v>385</v>
      </c>
      <c r="E93" s="55" t="s">
        <v>45</v>
      </c>
      <c r="F93" s="55">
        <v>0.87466672375566978</v>
      </c>
      <c r="G93" s="1">
        <v>0.90435520631105559</v>
      </c>
      <c r="H93" s="55">
        <v>0.87289716628344272</v>
      </c>
      <c r="I93" s="55">
        <v>0.87324814934969552</v>
      </c>
      <c r="J93" s="55">
        <v>0.92923133755955545</v>
      </c>
      <c r="K93" s="55">
        <v>0.9925505543187817</v>
      </c>
      <c r="L93" s="55">
        <v>0.98803141841708864</v>
      </c>
      <c r="M93" s="55">
        <v>0.95074838866354594</v>
      </c>
      <c r="N93" s="55">
        <v>0.98825436767997343</v>
      </c>
      <c r="O93" s="55">
        <v>0.98368694325554928</v>
      </c>
      <c r="P93" s="55">
        <v>0.98948080665334137</v>
      </c>
      <c r="Q93" s="55"/>
      <c r="R93" s="55"/>
      <c r="S93" s="55"/>
      <c r="T93" s="55"/>
      <c r="U93" s="55"/>
      <c r="V93" s="55"/>
      <c r="W93" s="55"/>
      <c r="X93" s="55"/>
      <c r="Y93" s="55"/>
      <c r="Z93" s="55"/>
    </row>
    <row r="94" spans="2:26">
      <c r="B94" s="283"/>
      <c r="C94" s="55"/>
      <c r="D94" s="55" t="s">
        <v>386</v>
      </c>
      <c r="E94" s="55" t="s">
        <v>384</v>
      </c>
      <c r="F94" s="55">
        <v>4.2390881345512756</v>
      </c>
      <c r="G94" s="1">
        <v>3.5040741639495896</v>
      </c>
      <c r="H94" s="55">
        <v>4.6332928125957356</v>
      </c>
      <c r="I94" s="55">
        <v>4.0863297379258734</v>
      </c>
      <c r="J94" s="55">
        <v>2.6034366877272448</v>
      </c>
      <c r="K94" s="55">
        <v>1.1318487780818216</v>
      </c>
      <c r="L94" s="55">
        <v>1.6044339500554228</v>
      </c>
      <c r="M94" s="55">
        <v>2.7107993008886107</v>
      </c>
      <c r="N94" s="55">
        <v>1.4825393080339162</v>
      </c>
      <c r="O94" s="55">
        <v>1.6645311178490798</v>
      </c>
      <c r="P94" s="55">
        <v>1.2525690769984914</v>
      </c>
      <c r="Q94" s="55"/>
      <c r="R94" s="55"/>
      <c r="S94" s="55"/>
      <c r="T94" s="55"/>
      <c r="U94" s="55"/>
      <c r="V94" s="55"/>
      <c r="W94" s="55"/>
      <c r="X94" s="55"/>
      <c r="Y94" s="55"/>
      <c r="Z94" s="55"/>
    </row>
    <row r="95" spans="2:26">
      <c r="B95" s="283"/>
      <c r="C95" s="55"/>
      <c r="D95" s="55" t="s">
        <v>387</v>
      </c>
      <c r="E95" s="55" t="s">
        <v>388</v>
      </c>
      <c r="F95" s="55">
        <v>1.4822020934095739</v>
      </c>
      <c r="G95" s="1">
        <v>1.7931085397169628</v>
      </c>
      <c r="H95" s="55">
        <v>1.3560950195287835</v>
      </c>
      <c r="I95" s="55">
        <v>1.5376109394365189</v>
      </c>
      <c r="J95" s="55">
        <v>2.413419668240405</v>
      </c>
      <c r="K95" s="55">
        <v>5.5512586388332643</v>
      </c>
      <c r="L95" s="55">
        <v>3.9161383408538213</v>
      </c>
      <c r="M95" s="55">
        <v>2.3178349297640493</v>
      </c>
      <c r="N95" s="55">
        <v>4.2381239223343714</v>
      </c>
      <c r="O95" s="55">
        <v>3.7747478793299867</v>
      </c>
      <c r="P95" s="55">
        <v>5.0162385632542277</v>
      </c>
      <c r="Q95" s="55"/>
      <c r="R95" s="55"/>
      <c r="S95" s="55"/>
      <c r="T95" s="55"/>
      <c r="U95" s="55"/>
      <c r="V95" s="55"/>
      <c r="W95" s="55"/>
      <c r="X95" s="55"/>
      <c r="Y95" s="55"/>
      <c r="Z95" s="55"/>
    </row>
    <row r="96" spans="2:26">
      <c r="B96" s="283"/>
      <c r="C96" s="55" t="s">
        <v>389</v>
      </c>
      <c r="D96" s="55" t="s">
        <v>390</v>
      </c>
      <c r="E96" s="55" t="s">
        <v>384</v>
      </c>
      <c r="F96" s="55">
        <v>0.65326714854755707</v>
      </c>
      <c r="G96" s="1">
        <v>0.62732315975683761</v>
      </c>
      <c r="H96" s="55">
        <v>0.62382508504723611</v>
      </c>
      <c r="I96" s="55">
        <v>0.70448947113508698</v>
      </c>
      <c r="J96" s="55">
        <v>0.82248996349895132</v>
      </c>
      <c r="K96" s="55">
        <v>0.60563290975250206</v>
      </c>
      <c r="L96" s="55">
        <v>0.53340329177995904</v>
      </c>
      <c r="M96" s="55">
        <v>0.60440909762581829</v>
      </c>
      <c r="N96" s="55">
        <v>0.5686171003563496</v>
      </c>
      <c r="O96" s="55">
        <v>0.5943886699925105</v>
      </c>
      <c r="P96" s="55">
        <v>0.64010513773290212</v>
      </c>
      <c r="Q96" s="55"/>
      <c r="R96" s="55"/>
      <c r="S96" s="55"/>
      <c r="T96" s="55"/>
      <c r="U96" s="55"/>
      <c r="V96" s="55"/>
      <c r="W96" s="55"/>
      <c r="X96" s="55"/>
      <c r="Y96" s="55"/>
      <c r="Z96" s="55"/>
    </row>
    <row r="97" spans="2:27">
      <c r="B97" s="283"/>
      <c r="C97" s="55"/>
      <c r="D97" s="55" t="s">
        <v>391</v>
      </c>
      <c r="E97" s="55" t="s">
        <v>45</v>
      </c>
      <c r="F97" s="55">
        <v>3.9293704054904489E-2</v>
      </c>
      <c r="G97" s="1">
        <v>4.1935643099854196E-2</v>
      </c>
      <c r="H97" s="55">
        <v>2.9829612677350483E-2</v>
      </c>
      <c r="I97" s="55">
        <v>3.148157310602704E-2</v>
      </c>
      <c r="J97" s="55">
        <v>3.2163274407309643E-2</v>
      </c>
      <c r="K97" s="55">
        <v>3.7242807874262492E-2</v>
      </c>
      <c r="L97" s="55">
        <v>3.6480889219473393E-2</v>
      </c>
      <c r="M97" s="55">
        <v>3.5390909123463973E-2</v>
      </c>
      <c r="N97" s="55">
        <v>4.1291947701511719E-2</v>
      </c>
      <c r="O97" s="55">
        <v>3.9216782953523835E-2</v>
      </c>
      <c r="P97" s="55">
        <v>3.8981032713419926E-2</v>
      </c>
      <c r="Q97" s="55"/>
      <c r="R97" s="55"/>
      <c r="S97" s="55"/>
      <c r="T97" s="55"/>
      <c r="U97" s="55"/>
      <c r="V97" s="55"/>
      <c r="W97" s="55"/>
      <c r="X97" s="55"/>
      <c r="Y97" s="55"/>
      <c r="Z97" s="55"/>
    </row>
    <row r="98" spans="2:27">
      <c r="B98" s="283"/>
      <c r="C98" s="55"/>
      <c r="D98" s="55" t="s">
        <v>392</v>
      </c>
      <c r="E98" s="55" t="s">
        <v>384</v>
      </c>
      <c r="F98" s="55">
        <v>0.65276263306619364</v>
      </c>
      <c r="G98" s="1">
        <v>0.62677131235269212</v>
      </c>
      <c r="H98" s="55">
        <v>0.62354748169313978</v>
      </c>
      <c r="I98" s="55">
        <v>0.70414027855380978</v>
      </c>
      <c r="J98" s="55">
        <v>0.82206443026501153</v>
      </c>
      <c r="K98" s="55">
        <v>0.6052127494888383</v>
      </c>
      <c r="L98" s="55">
        <v>0.53304823231428844</v>
      </c>
      <c r="M98" s="55">
        <v>0.60403046285887607</v>
      </c>
      <c r="N98" s="55">
        <v>0.56813214038081983</v>
      </c>
      <c r="O98" s="55">
        <v>0.59393142228808504</v>
      </c>
      <c r="P98" s="55">
        <v>0.63961862627541599</v>
      </c>
      <c r="Q98" s="55"/>
      <c r="R98" s="55"/>
      <c r="S98" s="55"/>
      <c r="T98" s="55"/>
      <c r="U98" s="55"/>
      <c r="V98" s="55"/>
      <c r="W98" s="55"/>
      <c r="X98" s="55"/>
      <c r="Y98" s="55"/>
      <c r="Z98" s="55"/>
    </row>
    <row r="99" spans="2:27">
      <c r="B99" s="283"/>
      <c r="C99" s="55"/>
      <c r="D99" s="55" t="s">
        <v>393</v>
      </c>
      <c r="E99" s="55" t="s">
        <v>388</v>
      </c>
      <c r="F99" s="55">
        <v>9.6255284676236013</v>
      </c>
      <c r="G99" s="1">
        <v>10.024685532582192</v>
      </c>
      <c r="H99" s="55">
        <v>10.07651460658399</v>
      </c>
      <c r="I99" s="55">
        <v>8.9232010986280077</v>
      </c>
      <c r="J99" s="55">
        <v>7.6431786559042045</v>
      </c>
      <c r="K99" s="55">
        <v>10.381779485786369</v>
      </c>
      <c r="L99" s="55">
        <v>11.78727350787833</v>
      </c>
      <c r="M99" s="55">
        <v>10.402100048797656</v>
      </c>
      <c r="N99" s="55">
        <v>11.059373094026959</v>
      </c>
      <c r="O99" s="55">
        <v>10.57897439231956</v>
      </c>
      <c r="P99" s="55">
        <v>9.8233307303250488</v>
      </c>
      <c r="Q99" s="55"/>
      <c r="R99" s="55"/>
      <c r="S99" s="55"/>
      <c r="T99" s="55"/>
      <c r="U99" s="55"/>
      <c r="V99" s="55"/>
      <c r="W99" s="55"/>
      <c r="X99" s="55"/>
      <c r="Y99" s="55"/>
      <c r="Z99" s="55"/>
    </row>
    <row r="100" spans="2:27">
      <c r="B100" s="283"/>
      <c r="C100" s="55" t="s">
        <v>394</v>
      </c>
      <c r="D100" s="55" t="s">
        <v>395</v>
      </c>
      <c r="E100" s="55" t="s">
        <v>384</v>
      </c>
      <c r="F100" s="55">
        <v>0.71452193292878585</v>
      </c>
      <c r="G100" s="1">
        <v>0.72438011711662642</v>
      </c>
      <c r="H100" s="55">
        <v>1.2535547569359917</v>
      </c>
      <c r="I100" s="55">
        <v>1.1385918604631449</v>
      </c>
      <c r="J100" s="55">
        <v>1.2646822697445395</v>
      </c>
      <c r="K100" s="55">
        <v>0.92879097528311116</v>
      </c>
      <c r="L100" s="55">
        <v>1.0987067653094216</v>
      </c>
      <c r="M100" s="55">
        <v>1.0366318104894019</v>
      </c>
      <c r="N100" s="55">
        <v>1.0300195391903519</v>
      </c>
      <c r="O100" s="55">
        <v>1.0391027576319321</v>
      </c>
      <c r="P100" s="55">
        <v>0.91300620956946987</v>
      </c>
      <c r="Q100" s="55"/>
      <c r="R100" s="55"/>
      <c r="S100" s="55"/>
      <c r="T100" s="55"/>
      <c r="U100" s="55"/>
      <c r="V100" s="55"/>
      <c r="W100" s="55"/>
      <c r="X100" s="55"/>
      <c r="Y100" s="55"/>
      <c r="Z100" s="55"/>
    </row>
    <row r="101" spans="2:27">
      <c r="B101" s="283"/>
      <c r="C101" s="55"/>
      <c r="D101" s="55" t="s">
        <v>396</v>
      </c>
      <c r="E101" s="55"/>
      <c r="F101" s="55">
        <v>0.15159055837003976</v>
      </c>
      <c r="G101" s="1">
        <v>0.18493539126626099</v>
      </c>
      <c r="H101" s="55">
        <v>0.20060718601528893</v>
      </c>
      <c r="I101" s="55">
        <v>0.20270423647798141</v>
      </c>
      <c r="J101" s="55">
        <v>0.2034993555069157</v>
      </c>
      <c r="K101" s="55">
        <v>0.25141588908449458</v>
      </c>
      <c r="L101" s="55">
        <v>0.22647111129224112</v>
      </c>
      <c r="M101" s="55">
        <v>0.22202189401394098</v>
      </c>
      <c r="N101" s="55">
        <v>0.21710302695420797</v>
      </c>
      <c r="O101" s="55">
        <v>0.21427229647500562</v>
      </c>
      <c r="P101" s="55">
        <v>0.21084076252157694</v>
      </c>
      <c r="Q101" s="55"/>
      <c r="R101" s="55"/>
      <c r="S101" s="55"/>
      <c r="T101" s="55"/>
      <c r="U101" s="55"/>
      <c r="V101" s="55"/>
      <c r="W101" s="55"/>
      <c r="X101" s="55"/>
      <c r="Y101" s="55"/>
      <c r="Z101" s="55"/>
    </row>
    <row r="102" spans="2:27">
      <c r="B102" s="283"/>
      <c r="C102" s="55"/>
      <c r="D102" s="55" t="s">
        <v>395</v>
      </c>
      <c r="E102" s="55" t="s">
        <v>384</v>
      </c>
      <c r="F102" s="55">
        <v>0.70626446982278512</v>
      </c>
      <c r="G102" s="1">
        <v>0.71188505341810548</v>
      </c>
      <c r="H102" s="55">
        <v>1.2280721947135658</v>
      </c>
      <c r="I102" s="55">
        <v>1.1149547021103381</v>
      </c>
      <c r="J102" s="55">
        <v>1.2382188944449084</v>
      </c>
      <c r="K102" s="55">
        <v>0.8989574205057016</v>
      </c>
      <c r="L102" s="55">
        <v>1.070160037215744</v>
      </c>
      <c r="M102" s="55">
        <v>1.0107592224882171</v>
      </c>
      <c r="N102" s="55">
        <v>1.0054522294995805</v>
      </c>
      <c r="O102" s="55">
        <v>1.0149685228812946</v>
      </c>
      <c r="P102" s="55">
        <v>0.89248221406783212</v>
      </c>
      <c r="Q102" s="55"/>
      <c r="R102" s="55"/>
      <c r="S102" s="55"/>
      <c r="T102" s="55"/>
      <c r="U102" s="55"/>
      <c r="V102" s="55"/>
      <c r="W102" s="55"/>
      <c r="X102" s="55"/>
      <c r="Y102" s="55"/>
      <c r="Z102" s="55"/>
    </row>
    <row r="103" spans="2:27">
      <c r="B103" s="283"/>
      <c r="C103" s="55"/>
      <c r="D103" s="55" t="s">
        <v>397</v>
      </c>
      <c r="E103" s="55" t="s">
        <v>388</v>
      </c>
      <c r="F103" s="55">
        <v>8.8963632968201765</v>
      </c>
      <c r="G103" s="1">
        <v>8.8261233706354218</v>
      </c>
      <c r="H103" s="55">
        <v>5.1162996232848261</v>
      </c>
      <c r="I103" s="55">
        <v>5.635372715400047</v>
      </c>
      <c r="J103" s="55">
        <v>5.0743736308403919</v>
      </c>
      <c r="K103" s="55">
        <v>6.9894136961960092</v>
      </c>
      <c r="L103" s="55">
        <v>5.8712576518243669</v>
      </c>
      <c r="M103" s="55">
        <v>6.2163027231273489</v>
      </c>
      <c r="N103" s="55">
        <v>6.2491137050904593</v>
      </c>
      <c r="O103" s="55">
        <v>6.1905223320057923</v>
      </c>
      <c r="P103" s="55">
        <v>7.0401238345597328</v>
      </c>
      <c r="Q103" s="55"/>
      <c r="R103" s="55"/>
      <c r="S103" s="55"/>
      <c r="T103" s="55"/>
      <c r="U103" s="55"/>
      <c r="V103" s="55"/>
      <c r="W103" s="55"/>
      <c r="X103" s="55"/>
      <c r="Y103" s="55"/>
      <c r="Z103" s="55"/>
    </row>
    <row r="104" spans="2:27">
      <c r="B104" s="283"/>
      <c r="C104" s="55" t="s">
        <v>398</v>
      </c>
      <c r="D104" s="55" t="s">
        <v>399</v>
      </c>
      <c r="E104" s="55"/>
      <c r="F104" s="55">
        <v>0.24829176159103347</v>
      </c>
      <c r="G104" s="1">
        <v>0.36269510456588794</v>
      </c>
      <c r="H104" s="55">
        <v>-1.9216585040664196E-2</v>
      </c>
      <c r="I104" s="55">
        <v>-2.7297176747471005E-2</v>
      </c>
      <c r="J104" s="55">
        <v>-4.372860158895997E-2</v>
      </c>
      <c r="K104" s="55">
        <v>-9.0773124665995492E-2</v>
      </c>
      <c r="L104" s="55">
        <v>-8.6694976076733751E-3</v>
      </c>
      <c r="M104" s="55">
        <v>-3.4806930541028493E-2</v>
      </c>
      <c r="N104" s="55">
        <v>-2.1839647168287717E-2</v>
      </c>
      <c r="O104" s="55">
        <v>-1.7593155317140192E-2</v>
      </c>
      <c r="P104" s="55">
        <v>-4.9245769222332134E-2</v>
      </c>
      <c r="Q104" s="55"/>
      <c r="R104" s="55"/>
      <c r="S104" s="55"/>
      <c r="T104" s="55"/>
      <c r="U104" s="55"/>
      <c r="V104" s="55"/>
      <c r="W104" s="55"/>
      <c r="X104" s="55"/>
      <c r="Y104" s="55"/>
      <c r="Z104" s="55"/>
    </row>
    <row r="105" spans="2:27">
      <c r="B105" s="283"/>
      <c r="C105" s="55"/>
      <c r="D105" s="55" t="s">
        <v>400</v>
      </c>
      <c r="E105" s="55" t="s">
        <v>388</v>
      </c>
      <c r="F105" s="55">
        <v>-2.7916640331451772</v>
      </c>
      <c r="G105" s="1">
        <v>-1.9111015611572082</v>
      </c>
      <c r="H105" s="55">
        <v>36.070258013751001</v>
      </c>
      <c r="I105" s="55">
        <v>25.392632614439261</v>
      </c>
      <c r="J105" s="55">
        <v>15.851117012050578</v>
      </c>
      <c r="K105" s="55">
        <v>7.6360396660401078</v>
      </c>
      <c r="L105" s="55">
        <v>79.952404617591739</v>
      </c>
      <c r="M105" s="55">
        <v>19.914056476278528</v>
      </c>
      <c r="N105" s="55">
        <v>31.738021004589779</v>
      </c>
      <c r="O105" s="55">
        <v>39.398684776268887</v>
      </c>
      <c r="P105" s="55">
        <v>14.075263550672991</v>
      </c>
      <c r="Q105" s="55"/>
      <c r="R105" s="55"/>
      <c r="S105" s="55"/>
      <c r="T105" s="55"/>
      <c r="U105" s="55"/>
      <c r="V105" s="55"/>
      <c r="W105" s="55"/>
      <c r="X105" s="55"/>
      <c r="Y105" s="55"/>
      <c r="Z105" s="55"/>
    </row>
    <row r="106" spans="2:27" ht="20.25" thickBot="1">
      <c r="B106" s="284"/>
      <c r="C106" s="57" t="s">
        <v>401</v>
      </c>
      <c r="D106" s="57" t="s">
        <v>402</v>
      </c>
      <c r="E106" s="57"/>
      <c r="F106" s="57">
        <v>30.228339155625207</v>
      </c>
      <c r="G106" s="20">
        <v>36.246940958040639</v>
      </c>
      <c r="H106" s="57">
        <v>36.670209300235157</v>
      </c>
      <c r="I106" s="57">
        <v>30.660436314858401</v>
      </c>
      <c r="J106" s="57">
        <v>28.448149995144675</v>
      </c>
      <c r="K106" s="57">
        <v>33.360693861526748</v>
      </c>
      <c r="L106" s="57">
        <v>44.430982222470632</v>
      </c>
      <c r="M106" s="57">
        <v>39.510875685444965</v>
      </c>
      <c r="N106" s="57">
        <v>40.323482713556857</v>
      </c>
      <c r="O106" s="57">
        <v>39.16291360077927</v>
      </c>
      <c r="P106" s="57">
        <v>33.317151314646928</v>
      </c>
      <c r="Q106" s="57"/>
      <c r="R106" s="57"/>
      <c r="S106" s="57"/>
      <c r="T106" s="57"/>
      <c r="U106" s="57"/>
      <c r="V106" s="57"/>
      <c r="W106" s="57"/>
      <c r="X106" s="57"/>
      <c r="Y106" s="57"/>
      <c r="Z106" s="57"/>
    </row>
    <row r="107" spans="2:27" ht="20.25" thickTop="1">
      <c r="B107" s="26"/>
      <c r="C107" s="3"/>
      <c r="D107" s="3"/>
      <c r="E107" s="3"/>
      <c r="F107" s="3"/>
      <c r="H107" s="3"/>
      <c r="I107" s="52"/>
      <c r="J107" s="52"/>
      <c r="K107" s="52"/>
      <c r="L107" s="52"/>
      <c r="M107" s="52"/>
      <c r="N107" s="52"/>
      <c r="O107" s="52"/>
      <c r="P107" s="52"/>
      <c r="Q107" s="52"/>
      <c r="R107" s="52"/>
      <c r="S107" s="52"/>
      <c r="T107" s="52"/>
      <c r="U107" s="52"/>
      <c r="V107" s="52"/>
      <c r="W107" s="52"/>
      <c r="X107" s="52"/>
      <c r="Y107" s="52"/>
      <c r="Z107" s="52"/>
      <c r="AA107" s="52"/>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全機諸元</vt:lpstr>
      <vt:lpstr>三面図</vt:lpstr>
      <vt:lpstr>飛行経路</vt:lpstr>
      <vt:lpstr>機体重量</vt:lpstr>
      <vt:lpstr>主翼</vt:lpstr>
      <vt:lpstr>水平尾翼</vt:lpstr>
      <vt:lpstr>垂直尾翼</vt:lpstr>
      <vt:lpstr>カウル</vt:lpstr>
      <vt:lpstr>胴接桁</vt:lpstr>
      <vt:lpstr>主桁</vt:lpstr>
      <vt:lpstr>積層構成</vt:lpstr>
      <vt:lpstr>翼型</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森 隼人</cp:lastModifiedBy>
  <dcterms:created xsi:type="dcterms:W3CDTF">2023-05-20T09:09:36Z</dcterms:created>
  <dcterms:modified xsi:type="dcterms:W3CDTF">2023-07-24T20:46:25Z</dcterms:modified>
</cp:coreProperties>
</file>