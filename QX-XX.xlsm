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2.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6.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threadedComments/threadedComment1.xml" ContentType="application/vnd.ms-excel.threadedcomments+xml"/>
  <Override PartName="/xl/drawings/drawing10.xml" ContentType="application/vnd.openxmlformats-officedocument.drawing+xml"/>
  <Override PartName="/xl/comments5.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1" codeName="{C80E003A-6C80-AF87-3323-10F97C11A349}"/>
  <workbookPr codeName="ThisWorkbook" defaultThemeVersion="166925"/>
  <mc:AlternateContent xmlns:mc="http://schemas.openxmlformats.org/markup-compatibility/2006">
    <mc:Choice Requires="x15">
      <x15ac:absPath xmlns:x15ac="http://schemas.microsoft.com/office/spreadsheetml/2010/11/ac" url="/Users/morihayato/GitHub/QX-design/"/>
    </mc:Choice>
  </mc:AlternateContent>
  <xr:revisionPtr revIDLastSave="0" documentId="13_ncr:1_{2FE89AE4-2194-DF4F-B6B7-D169FCEE3308}" xr6:coauthVersionLast="47" xr6:coauthVersionMax="47" xr10:uidLastSave="{00000000-0000-0000-0000-000000000000}"/>
  <bookViews>
    <workbookView xWindow="11560" yWindow="500" windowWidth="17240" windowHeight="17500" tabRatio="777" activeTab="6" xr2:uid="{BFAAB446-3423-2144-9A78-B75F1F696C9D}"/>
  </bookViews>
  <sheets>
    <sheet name="使い方" sheetId="26" r:id="rId1"/>
    <sheet name="全機諸元" sheetId="11" r:id="rId2"/>
    <sheet name="機体重量" sheetId="1" r:id="rId3"/>
    <sheet name="経路解析" sheetId="17" r:id="rId4"/>
    <sheet name="翼型" sheetId="4" r:id="rId5"/>
    <sheet name="積層構成" sheetId="15" r:id="rId6"/>
    <sheet name="主翼（空力）" sheetId="6" r:id="rId7"/>
    <sheet name="主翼（構造）" sheetId="21" r:id="rId8"/>
    <sheet name="胴接" sheetId="24" r:id="rId9"/>
    <sheet name="水平尾翼" sheetId="8" r:id="rId10"/>
    <sheet name="垂直尾翼" sheetId="9" r:id="rId11"/>
    <sheet name="カウル・脚" sheetId="10" r:id="rId12"/>
    <sheet name="パラメータ" sheetId="2" r:id="rId13"/>
    <sheet name="歴代主要諸元" sheetId="5" r:id="rId14"/>
  </sheets>
  <functionGroups builtInGroupCount="19"/>
  <externalReferences>
    <externalReference r:id="rId15"/>
    <externalReference r:id="rId16"/>
  </externalReferenc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G6" i="6" l="1"/>
  <c r="D42" i="15" a="1"/>
  <c r="D42" i="15" s="1"/>
  <c r="D38" i="15"/>
  <c r="D37" i="15"/>
  <c r="D36" i="15"/>
  <c r="D35" i="15"/>
  <c r="C6" i="1" l="1"/>
  <c r="I4" i="11"/>
  <c r="C45" i="6"/>
  <c r="H19" i="6" a="1"/>
  <c r="H19" i="6" s="1"/>
  <c r="D21" i="11"/>
  <c r="G26" i="11"/>
  <c r="D19" i="11"/>
  <c r="BA112" i="6"/>
  <c r="BC112" i="6"/>
  <c r="BE112" i="6"/>
  <c r="BA113" i="6"/>
  <c r="BC113" i="6"/>
  <c r="BE113" i="6"/>
  <c r="BG113" i="6"/>
  <c r="BA114" i="6"/>
  <c r="BC114" i="6"/>
  <c r="BE114" i="6"/>
  <c r="BG114" i="6"/>
  <c r="BA115" i="6"/>
  <c r="BC115" i="6"/>
  <c r="BE115" i="6"/>
  <c r="BG115" i="6"/>
  <c r="BA116" i="6"/>
  <c r="BC116" i="6"/>
  <c r="BE116" i="6"/>
  <c r="BG116" i="6"/>
  <c r="BA117" i="6"/>
  <c r="BC117" i="6"/>
  <c r="BE117" i="6"/>
  <c r="BG117" i="6"/>
  <c r="BA118" i="6"/>
  <c r="BC118" i="6"/>
  <c r="BE118" i="6"/>
  <c r="BG118" i="6"/>
  <c r="BA119" i="6"/>
  <c r="BC119" i="6"/>
  <c r="BE119" i="6"/>
  <c r="BG119" i="6"/>
  <c r="BA120" i="6"/>
  <c r="BC120" i="6"/>
  <c r="BE120" i="6"/>
  <c r="BG120" i="6"/>
  <c r="BA121" i="6"/>
  <c r="BC121" i="6"/>
  <c r="BE121" i="6"/>
  <c r="BG121" i="6"/>
  <c r="BA122" i="6"/>
  <c r="BC122" i="6"/>
  <c r="BE122" i="6"/>
  <c r="BG122" i="6"/>
  <c r="BA123" i="6"/>
  <c r="BC123" i="6"/>
  <c r="BE123" i="6"/>
  <c r="BG123" i="6"/>
  <c r="BA124" i="6"/>
  <c r="BC124" i="6"/>
  <c r="BE124" i="6"/>
  <c r="BG124" i="6"/>
  <c r="BA125" i="6"/>
  <c r="BC125" i="6"/>
  <c r="BE125" i="6"/>
  <c r="BG125" i="6"/>
  <c r="BA126" i="6"/>
  <c r="BC126" i="6"/>
  <c r="BE126" i="6"/>
  <c r="BG126" i="6"/>
  <c r="BA127" i="6"/>
  <c r="BC127" i="6"/>
  <c r="BE127" i="6"/>
  <c r="BG127" i="6"/>
  <c r="BA128" i="6"/>
  <c r="BC128" i="6"/>
  <c r="BE128" i="6"/>
  <c r="BG128" i="6"/>
  <c r="BA129" i="6"/>
  <c r="BC129" i="6"/>
  <c r="BE129" i="6"/>
  <c r="BG129" i="6"/>
  <c r="O16" i="24"/>
  <c r="P16" i="24"/>
  <c r="N16" i="24" s="1"/>
  <c r="X12" i="24" l="1"/>
  <c r="V12" i="24" s="1"/>
  <c r="Y12" i="24"/>
  <c r="W12" i="24" s="1"/>
  <c r="X10" i="24"/>
  <c r="X11" i="24" s="1"/>
  <c r="V10" i="24"/>
  <c r="T11" i="24"/>
  <c r="R11" i="24" s="1"/>
  <c r="U11" i="24"/>
  <c r="S11" i="24" s="1"/>
  <c r="Y11" i="24" l="1"/>
  <c r="W11" i="24" s="1"/>
  <c r="V11" i="24"/>
  <c r="Y10" i="24"/>
  <c r="W10" i="24" s="1"/>
  <c r="G30" i="1" l="1"/>
  <c r="S48" i="11"/>
  <c r="L20" i="6" l="1" a="1"/>
  <c r="L20" i="6" s="1"/>
  <c r="K43" i="21" l="1"/>
  <c r="O43" i="21" s="1"/>
  <c r="K44" i="21" s="1"/>
  <c r="D25" i="17" l="1"/>
  <c r="D24" i="17"/>
  <c r="D23" i="17"/>
  <c r="D22" i="17"/>
  <c r="L26" i="11"/>
  <c r="F26" i="11"/>
  <c r="D75" i="11"/>
  <c r="D17" i="11"/>
  <c r="D41" i="11" l="1"/>
  <c r="M26" i="11" l="1"/>
  <c r="AY45" i="6"/>
  <c r="N23" i="24"/>
  <c r="N22" i="24"/>
  <c r="N21" i="24"/>
  <c r="F95" i="1" l="1"/>
  <c r="D95" i="1"/>
  <c r="E89" i="1"/>
  <c r="F89" i="1" s="1"/>
  <c r="M16" i="24"/>
  <c r="M17" i="24" s="1"/>
  <c r="N17" i="24"/>
  <c r="P17" i="24"/>
  <c r="O17" i="24"/>
  <c r="Q17" i="24"/>
  <c r="L17" i="24"/>
  <c r="E82" i="1"/>
  <c r="E81" i="1"/>
  <c r="E80" i="1"/>
  <c r="E84" i="1"/>
  <c r="E54" i="1"/>
  <c r="F56" i="1"/>
  <c r="F63" i="1"/>
  <c r="F37" i="1"/>
  <c r="G65" i="1"/>
  <c r="Q19" i="24" l="1"/>
  <c r="E36" i="1"/>
  <c r="AU8" i="21" l="1"/>
  <c r="AU9" i="21"/>
  <c r="AU10" i="21"/>
  <c r="AU11" i="21"/>
  <c r="AU12" i="21"/>
  <c r="AU13" i="21"/>
  <c r="AU14" i="21"/>
  <c r="AU15" i="21"/>
  <c r="AU16" i="21"/>
  <c r="AU17" i="21"/>
  <c r="AU18" i="21"/>
  <c r="AU19" i="21"/>
  <c r="AU20" i="21"/>
  <c r="AU21" i="21"/>
  <c r="AU22" i="21"/>
  <c r="AU23" i="21"/>
  <c r="AU24" i="21"/>
  <c r="AU25" i="21"/>
  <c r="AU26" i="21"/>
  <c r="AU27" i="21"/>
  <c r="AU28" i="21"/>
  <c r="AU29" i="21"/>
  <c r="AU30" i="21"/>
  <c r="AU31" i="21"/>
  <c r="AU32" i="21"/>
  <c r="AU33" i="21"/>
  <c r="AU34" i="21"/>
  <c r="AU35" i="21"/>
  <c r="AU36" i="21"/>
  <c r="AU37" i="21"/>
  <c r="AU38" i="21"/>
  <c r="AU39" i="21"/>
  <c r="AU40" i="21"/>
  <c r="AU41" i="21"/>
  <c r="AU42" i="21"/>
  <c r="AU43" i="21"/>
  <c r="AU44" i="21"/>
  <c r="AU45" i="21"/>
  <c r="AU46" i="21"/>
  <c r="AU47" i="21"/>
  <c r="AU48" i="21"/>
  <c r="AU49" i="21"/>
  <c r="AU50" i="21"/>
  <c r="AU51" i="21"/>
  <c r="AU52" i="21"/>
  <c r="AU53" i="21"/>
  <c r="AU54" i="21"/>
  <c r="AU55" i="21"/>
  <c r="AU56" i="21"/>
  <c r="AU57" i="21"/>
  <c r="AU58" i="21"/>
  <c r="AU59" i="21"/>
  <c r="AU60" i="21"/>
  <c r="AU61" i="21"/>
  <c r="AU62" i="21"/>
  <c r="AU63" i="21"/>
  <c r="AU64" i="21"/>
  <c r="AU65" i="21"/>
  <c r="AU66" i="21"/>
  <c r="AU67" i="21"/>
  <c r="AU68" i="21"/>
  <c r="AU7" i="21"/>
  <c r="H8" i="21"/>
  <c r="H7" i="21" s="1"/>
  <c r="H39" i="1" s="1"/>
  <c r="AF7" i="21"/>
  <c r="AS67" i="21"/>
  <c r="AT67" i="21"/>
  <c r="E51" i="6"/>
  <c r="C52" i="6" s="1"/>
  <c r="F51" i="6"/>
  <c r="AD51" i="6"/>
  <c r="AF51" i="6"/>
  <c r="AM51" i="6"/>
  <c r="BE51" i="6"/>
  <c r="H14" i="21"/>
  <c r="BA53" i="6"/>
  <c r="BC53" i="6"/>
  <c r="BE53" i="6"/>
  <c r="BA54" i="6"/>
  <c r="BC54" i="6"/>
  <c r="BE54" i="6"/>
  <c r="BA55" i="6"/>
  <c r="BC55" i="6"/>
  <c r="BE55" i="6"/>
  <c r="BA56" i="6"/>
  <c r="BC56" i="6"/>
  <c r="BE56" i="6"/>
  <c r="BA57" i="6"/>
  <c r="BC57" i="6"/>
  <c r="BE57" i="6"/>
  <c r="BA58" i="6"/>
  <c r="BC58" i="6"/>
  <c r="BE58" i="6"/>
  <c r="BA59" i="6"/>
  <c r="BC59" i="6"/>
  <c r="BE59" i="6"/>
  <c r="BA60" i="6"/>
  <c r="BC60" i="6"/>
  <c r="BE60" i="6"/>
  <c r="BA61" i="6"/>
  <c r="BC61" i="6"/>
  <c r="BE61" i="6"/>
  <c r="BA62" i="6"/>
  <c r="BC62" i="6"/>
  <c r="BE62" i="6"/>
  <c r="BA63" i="6"/>
  <c r="BC63" i="6"/>
  <c r="BE63" i="6"/>
  <c r="BA64" i="6"/>
  <c r="BC64" i="6"/>
  <c r="BE64" i="6"/>
  <c r="BA65" i="6"/>
  <c r="BC65" i="6"/>
  <c r="BE65" i="6"/>
  <c r="BA66" i="6"/>
  <c r="BC66" i="6"/>
  <c r="BE66" i="6"/>
  <c r="BA67" i="6"/>
  <c r="BC67" i="6"/>
  <c r="BE67" i="6"/>
  <c r="BA68" i="6"/>
  <c r="BC68" i="6"/>
  <c r="BE68" i="6"/>
  <c r="BA69" i="6"/>
  <c r="BC69" i="6"/>
  <c r="BE69" i="6"/>
  <c r="BA70" i="6"/>
  <c r="BC70" i="6"/>
  <c r="BE70" i="6"/>
  <c r="BA71" i="6"/>
  <c r="BC71" i="6"/>
  <c r="BE71" i="6"/>
  <c r="BA72" i="6"/>
  <c r="BC72" i="6"/>
  <c r="BE72" i="6"/>
  <c r="BA73" i="6"/>
  <c r="BC73" i="6"/>
  <c r="BE73" i="6"/>
  <c r="BA74" i="6"/>
  <c r="BC74" i="6"/>
  <c r="BE74" i="6"/>
  <c r="BA75" i="6"/>
  <c r="BC75" i="6"/>
  <c r="BE75" i="6"/>
  <c r="BA76" i="6"/>
  <c r="BC76" i="6"/>
  <c r="BE76" i="6"/>
  <c r="BA77" i="6"/>
  <c r="BC77" i="6"/>
  <c r="BE77" i="6"/>
  <c r="BA78" i="6"/>
  <c r="BC78" i="6"/>
  <c r="BE78" i="6"/>
  <c r="BA79" i="6"/>
  <c r="BC79" i="6"/>
  <c r="BE79" i="6"/>
  <c r="BA80" i="6"/>
  <c r="BC80" i="6"/>
  <c r="BE80" i="6"/>
  <c r="BA81" i="6"/>
  <c r="BC81" i="6"/>
  <c r="BE81" i="6"/>
  <c r="BA82" i="6"/>
  <c r="BC82" i="6"/>
  <c r="BE82" i="6"/>
  <c r="BA83" i="6"/>
  <c r="BC83" i="6"/>
  <c r="BE83" i="6"/>
  <c r="BA84" i="6"/>
  <c r="BC84" i="6"/>
  <c r="BE84" i="6"/>
  <c r="BA85" i="6"/>
  <c r="BC85" i="6"/>
  <c r="BE85" i="6"/>
  <c r="BA86" i="6"/>
  <c r="BC86" i="6"/>
  <c r="BE86" i="6"/>
  <c r="BA87" i="6"/>
  <c r="BC87" i="6"/>
  <c r="BE87" i="6"/>
  <c r="BA88" i="6"/>
  <c r="BC88" i="6"/>
  <c r="BE88" i="6"/>
  <c r="BA89" i="6"/>
  <c r="BC89" i="6"/>
  <c r="BE89" i="6"/>
  <c r="BA90" i="6"/>
  <c r="BC90" i="6"/>
  <c r="BE90" i="6"/>
  <c r="BA91" i="6"/>
  <c r="BC91" i="6"/>
  <c r="BE91" i="6"/>
  <c r="BA92" i="6"/>
  <c r="BC92" i="6"/>
  <c r="BE92" i="6"/>
  <c r="BA93" i="6"/>
  <c r="BC93" i="6"/>
  <c r="BE93" i="6"/>
  <c r="BA94" i="6"/>
  <c r="BC94" i="6"/>
  <c r="BE94" i="6"/>
  <c r="BA95" i="6"/>
  <c r="BC95" i="6"/>
  <c r="BE95" i="6"/>
  <c r="BA96" i="6"/>
  <c r="BC96" i="6"/>
  <c r="BE96" i="6"/>
  <c r="BA97" i="6"/>
  <c r="BC97" i="6"/>
  <c r="BE97" i="6"/>
  <c r="BA98" i="6"/>
  <c r="BC98" i="6"/>
  <c r="BE98" i="6"/>
  <c r="BA99" i="6"/>
  <c r="BC99" i="6"/>
  <c r="BE99" i="6"/>
  <c r="BA100" i="6"/>
  <c r="BC100" i="6"/>
  <c r="BE100" i="6"/>
  <c r="BA101" i="6"/>
  <c r="BC101" i="6"/>
  <c r="BE101" i="6"/>
  <c r="BA102" i="6"/>
  <c r="BC102" i="6"/>
  <c r="BE102" i="6"/>
  <c r="BA103" i="6"/>
  <c r="BC103" i="6"/>
  <c r="BE103" i="6"/>
  <c r="BA104" i="6"/>
  <c r="BC104" i="6"/>
  <c r="BE104" i="6"/>
  <c r="BA105" i="6"/>
  <c r="BC105" i="6"/>
  <c r="BE105" i="6"/>
  <c r="BA106" i="6"/>
  <c r="BC106" i="6"/>
  <c r="BE106" i="6"/>
  <c r="BA107" i="6"/>
  <c r="BC107" i="6"/>
  <c r="BE107" i="6"/>
  <c r="BA108" i="6"/>
  <c r="BC108" i="6"/>
  <c r="BE108" i="6"/>
  <c r="BA109" i="6"/>
  <c r="BC109" i="6"/>
  <c r="BE109" i="6"/>
  <c r="BA110" i="6"/>
  <c r="BC110" i="6"/>
  <c r="BE110" i="6"/>
  <c r="BA111" i="6"/>
  <c r="BC111" i="6"/>
  <c r="BE111" i="6"/>
  <c r="BE52" i="6"/>
  <c r="BC52" i="6"/>
  <c r="BA52" i="6"/>
  <c r="AG5" i="6"/>
  <c r="AF8" i="21" l="1"/>
  <c r="C53" i="6"/>
  <c r="H10" i="21"/>
  <c r="H9" i="21" s="1"/>
  <c r="H38" i="1"/>
  <c r="BC51" i="6"/>
  <c r="BA51" i="6"/>
  <c r="AG51" i="6"/>
  <c r="AE51" i="6" s="1"/>
  <c r="H41" i="1" l="1"/>
  <c r="H40" i="1"/>
  <c r="H12" i="21"/>
  <c r="H11" i="21" s="1"/>
  <c r="H46" i="6" s="1"/>
  <c r="AE8" i="21"/>
  <c r="L21" i="6" a="1"/>
  <c r="L21" i="6" s="1"/>
  <c r="L22" i="6" a="1"/>
  <c r="L23" i="6" a="1"/>
  <c r="L23" i="6" s="1"/>
  <c r="L24" i="6" a="1"/>
  <c r="L24" i="6" s="1"/>
  <c r="L25" i="6" a="1"/>
  <c r="L25" i="6" s="1"/>
  <c r="L19" i="6" a="1"/>
  <c r="L19" i="6" s="1"/>
  <c r="J20" i="6" a="1"/>
  <c r="J20" i="6" s="1"/>
  <c r="J21" i="6" a="1"/>
  <c r="J21" i="6" s="1"/>
  <c r="J22" i="6" a="1"/>
  <c r="J22" i="6" s="1"/>
  <c r="J23" i="6" a="1"/>
  <c r="J23" i="6" s="1"/>
  <c r="J24" i="6" a="1"/>
  <c r="J24" i="6" s="1"/>
  <c r="J25" i="6" a="1"/>
  <c r="J25" i="6" s="1"/>
  <c r="J19" i="6" a="1"/>
  <c r="J19" i="6" s="1"/>
  <c r="H25" i="6" a="1"/>
  <c r="H25" i="6" s="1"/>
  <c r="H24" i="6" a="1"/>
  <c r="H24" i="6" s="1"/>
  <c r="D51" i="6"/>
  <c r="AF9" i="21"/>
  <c r="AE9" i="21" s="1"/>
  <c r="G46" i="6"/>
  <c r="F46" i="6"/>
  <c r="H20" i="6" a="1"/>
  <c r="H20" i="6" s="1"/>
  <c r="H21" i="6" a="1"/>
  <c r="H21" i="6" s="1"/>
  <c r="H22" i="6" a="1"/>
  <c r="H22" i="6" s="1"/>
  <c r="H23" i="6" a="1"/>
  <c r="H23" i="6" s="1"/>
  <c r="AS8" i="21"/>
  <c r="AT8" i="21"/>
  <c r="AS9" i="21"/>
  <c r="AT9" i="21"/>
  <c r="AS10" i="21"/>
  <c r="AT10" i="21"/>
  <c r="AS11" i="21"/>
  <c r="AT11" i="21"/>
  <c r="AS12" i="21"/>
  <c r="AT12" i="21"/>
  <c r="AS13" i="21"/>
  <c r="AT13" i="21"/>
  <c r="AS14" i="21"/>
  <c r="AT14" i="21"/>
  <c r="AS15" i="21"/>
  <c r="AT15" i="21"/>
  <c r="AS16" i="21"/>
  <c r="AT16" i="21"/>
  <c r="AS17" i="21"/>
  <c r="AT17" i="21"/>
  <c r="AS18" i="21"/>
  <c r="AT18" i="21"/>
  <c r="AS19" i="21"/>
  <c r="AT19" i="21"/>
  <c r="AS20" i="21"/>
  <c r="AT20" i="21"/>
  <c r="AS21" i="21"/>
  <c r="AT21" i="21"/>
  <c r="AS22" i="21"/>
  <c r="AT22" i="21"/>
  <c r="AS23" i="21"/>
  <c r="AT23" i="21"/>
  <c r="AS24" i="21"/>
  <c r="AT24" i="21"/>
  <c r="AS25" i="21"/>
  <c r="AT25" i="21"/>
  <c r="AS26" i="21"/>
  <c r="AT26" i="21"/>
  <c r="AS27" i="21"/>
  <c r="AT27" i="21"/>
  <c r="AS28" i="21"/>
  <c r="AT28" i="21"/>
  <c r="AS29" i="21"/>
  <c r="AT29" i="21"/>
  <c r="AS30" i="21"/>
  <c r="AT30" i="21"/>
  <c r="AS31" i="21"/>
  <c r="AT31" i="21"/>
  <c r="AS32" i="21"/>
  <c r="AT32" i="21"/>
  <c r="AS33" i="21"/>
  <c r="AT33" i="21"/>
  <c r="AS34" i="21"/>
  <c r="AT34" i="21"/>
  <c r="AS35" i="21"/>
  <c r="AT35" i="21"/>
  <c r="AS36" i="21"/>
  <c r="AT36" i="21"/>
  <c r="AS37" i="21"/>
  <c r="AT37" i="21"/>
  <c r="AS38" i="21"/>
  <c r="AT38" i="21"/>
  <c r="AS39" i="21"/>
  <c r="AT39" i="21"/>
  <c r="AS40" i="21"/>
  <c r="AT40" i="21"/>
  <c r="AS41" i="21"/>
  <c r="AT41" i="21"/>
  <c r="AS42" i="21"/>
  <c r="AT42" i="21"/>
  <c r="AS43" i="21"/>
  <c r="AT43" i="21"/>
  <c r="AS44" i="21"/>
  <c r="AT44" i="21"/>
  <c r="AS45" i="21"/>
  <c r="AT45" i="21"/>
  <c r="AS46" i="21"/>
  <c r="AT46" i="21"/>
  <c r="AS47" i="21"/>
  <c r="AT47" i="21"/>
  <c r="AS48" i="21"/>
  <c r="AT48" i="21"/>
  <c r="AS49" i="21"/>
  <c r="AT49" i="21"/>
  <c r="AS50" i="21"/>
  <c r="AT50" i="21"/>
  <c r="AS51" i="21"/>
  <c r="AT51" i="21"/>
  <c r="AS52" i="21"/>
  <c r="AT52" i="21"/>
  <c r="AS53" i="21"/>
  <c r="AT53" i="21"/>
  <c r="AS54" i="21"/>
  <c r="AT54" i="21"/>
  <c r="AS55" i="21"/>
  <c r="AT55" i="21"/>
  <c r="AS56" i="21"/>
  <c r="AT56" i="21"/>
  <c r="AS57" i="21"/>
  <c r="AT57" i="21"/>
  <c r="AS58" i="21"/>
  <c r="AT58" i="21"/>
  <c r="AS59" i="21"/>
  <c r="AT59" i="21"/>
  <c r="AS60" i="21"/>
  <c r="AT60" i="21"/>
  <c r="AS61" i="21"/>
  <c r="AT61" i="21"/>
  <c r="AS62" i="21"/>
  <c r="AT62" i="21"/>
  <c r="AS63" i="21"/>
  <c r="AT63" i="21"/>
  <c r="AS64" i="21"/>
  <c r="AT64" i="21"/>
  <c r="AS65" i="21"/>
  <c r="AT65" i="21"/>
  <c r="AS66" i="21"/>
  <c r="AT66" i="21"/>
  <c r="AT7" i="21"/>
  <c r="AS7" i="21"/>
  <c r="G51" i="6" l="1"/>
  <c r="BF51" i="6" s="1"/>
  <c r="G52" i="6"/>
  <c r="G53" i="6"/>
  <c r="L22" i="6"/>
  <c r="K51" i="6"/>
  <c r="H43" i="1"/>
  <c r="H42" i="1"/>
  <c r="H13" i="21"/>
  <c r="BA7" i="21"/>
  <c r="BG51" i="6" s="1"/>
  <c r="BA8" i="21"/>
  <c r="BG52" i="6" s="1"/>
  <c r="AL51" i="6"/>
  <c r="BA9" i="21"/>
  <c r="BG53" i="6" s="1"/>
  <c r="AL53" i="6"/>
  <c r="K52" i="6"/>
  <c r="AM52" i="6"/>
  <c r="AK53" i="6" s="1"/>
  <c r="K53" i="6"/>
  <c r="AF53" i="6"/>
  <c r="AD53" i="6"/>
  <c r="AD52" i="6"/>
  <c r="D52" i="6"/>
  <c r="AF52" i="6"/>
  <c r="C54" i="6"/>
  <c r="AM53" i="6"/>
  <c r="AL52" i="6"/>
  <c r="AE7" i="21"/>
  <c r="F52" i="6"/>
  <c r="F53" i="6"/>
  <c r="AF10" i="21" l="1"/>
  <c r="AE10" i="21" s="1"/>
  <c r="G54" i="6"/>
  <c r="F54" i="6"/>
  <c r="BF52" i="6"/>
  <c r="H44" i="1"/>
  <c r="H45" i="1"/>
  <c r="I46" i="6"/>
  <c r="AH51" i="6"/>
  <c r="AI51" i="6" s="1"/>
  <c r="AT52" i="6"/>
  <c r="AY52" i="6" s="1"/>
  <c r="AU52" i="6"/>
  <c r="AU51" i="6"/>
  <c r="AT51" i="6"/>
  <c r="AY51" i="6" s="1"/>
  <c r="AH52" i="6"/>
  <c r="AI52" i="6" s="1"/>
  <c r="AJ53" i="6"/>
  <c r="AJ54" i="6" s="1"/>
  <c r="AK54" i="6"/>
  <c r="AG53" i="6"/>
  <c r="AE53" i="6" s="1"/>
  <c r="AG52" i="6"/>
  <c r="AE52" i="6" s="1"/>
  <c r="AD54" i="6"/>
  <c r="K54" i="6"/>
  <c r="AF54" i="6"/>
  <c r="C55" i="6"/>
  <c r="AL54" i="6"/>
  <c r="AM54" i="6"/>
  <c r="D53" i="6"/>
  <c r="D54" i="6"/>
  <c r="BA10" i="21" l="1"/>
  <c r="BG54" i="6" s="1"/>
  <c r="AF11" i="21"/>
  <c r="BA11" i="21" s="1"/>
  <c r="BG55" i="6" s="1"/>
  <c r="G55" i="6"/>
  <c r="F55" i="6"/>
  <c r="AV128" i="6"/>
  <c r="AZ128" i="6" s="1"/>
  <c r="AV119" i="6"/>
  <c r="AZ119" i="6" s="1"/>
  <c r="AV125" i="6"/>
  <c r="AZ125" i="6" s="1"/>
  <c r="AV126" i="6"/>
  <c r="AZ126" i="6" s="1"/>
  <c r="AV124" i="6"/>
  <c r="AZ124" i="6" s="1"/>
  <c r="AV118" i="6"/>
  <c r="AZ118" i="6" s="1"/>
  <c r="AV117" i="6"/>
  <c r="AZ117" i="6" s="1"/>
  <c r="AV113" i="6"/>
  <c r="AZ113" i="6" s="1"/>
  <c r="AV122" i="6"/>
  <c r="AZ122" i="6" s="1"/>
  <c r="AV127" i="6"/>
  <c r="AZ127" i="6" s="1"/>
  <c r="AV115" i="6"/>
  <c r="AZ115" i="6" s="1"/>
  <c r="AV129" i="6"/>
  <c r="AZ129" i="6" s="1"/>
  <c r="AV120" i="6"/>
  <c r="AZ120" i="6" s="1"/>
  <c r="AV112" i="6"/>
  <c r="AZ112" i="6" s="1"/>
  <c r="AV123" i="6"/>
  <c r="AZ123" i="6" s="1"/>
  <c r="AV116" i="6"/>
  <c r="AZ116" i="6" s="1"/>
  <c r="AV121" i="6"/>
  <c r="AZ121" i="6" s="1"/>
  <c r="AV114" i="6"/>
  <c r="AZ114" i="6" s="1"/>
  <c r="BF53" i="6"/>
  <c r="AU54" i="6"/>
  <c r="AT54" i="6"/>
  <c r="AY54" i="6" s="1"/>
  <c r="AH53" i="6"/>
  <c r="AI53" i="6" s="1"/>
  <c r="AT53" i="6"/>
  <c r="AY53" i="6" s="1"/>
  <c r="AU53" i="6"/>
  <c r="AV63" i="6"/>
  <c r="AZ63" i="6" s="1"/>
  <c r="AV71" i="6"/>
  <c r="AZ71" i="6" s="1"/>
  <c r="AV79" i="6"/>
  <c r="AZ79" i="6" s="1"/>
  <c r="AV87" i="6"/>
  <c r="AZ87" i="6" s="1"/>
  <c r="AV95" i="6"/>
  <c r="AZ95" i="6" s="1"/>
  <c r="AV103" i="6"/>
  <c r="AZ103" i="6" s="1"/>
  <c r="AV111" i="6"/>
  <c r="AZ111" i="6" s="1"/>
  <c r="AV56" i="6"/>
  <c r="AZ56" i="6" s="1"/>
  <c r="BD51" i="6"/>
  <c r="AV64" i="6"/>
  <c r="AZ64" i="6" s="1"/>
  <c r="AV72" i="6"/>
  <c r="AZ72" i="6" s="1"/>
  <c r="AV80" i="6"/>
  <c r="AZ80" i="6" s="1"/>
  <c r="AV88" i="6"/>
  <c r="AZ88" i="6" s="1"/>
  <c r="AV96" i="6"/>
  <c r="AZ96" i="6" s="1"/>
  <c r="AV104" i="6"/>
  <c r="AZ104" i="6" s="1"/>
  <c r="AV57" i="6"/>
  <c r="AZ57" i="6" s="1"/>
  <c r="AV65" i="6"/>
  <c r="AZ65" i="6" s="1"/>
  <c r="AV73" i="6"/>
  <c r="AZ73" i="6" s="1"/>
  <c r="AV81" i="6"/>
  <c r="AZ81" i="6" s="1"/>
  <c r="AV89" i="6"/>
  <c r="AZ89" i="6" s="1"/>
  <c r="AV97" i="6"/>
  <c r="AZ97" i="6" s="1"/>
  <c r="AV105" i="6"/>
  <c r="AZ105" i="6" s="1"/>
  <c r="AV58" i="6"/>
  <c r="AZ58" i="6" s="1"/>
  <c r="AV67" i="6"/>
  <c r="AZ67" i="6" s="1"/>
  <c r="AV91" i="6"/>
  <c r="AZ91" i="6" s="1"/>
  <c r="AV51" i="6"/>
  <c r="AZ51" i="6" s="1"/>
  <c r="AX51" i="6"/>
  <c r="AV66" i="6"/>
  <c r="AZ66" i="6" s="1"/>
  <c r="AV74" i="6"/>
  <c r="AZ74" i="6" s="1"/>
  <c r="AV82" i="6"/>
  <c r="AZ82" i="6" s="1"/>
  <c r="AV90" i="6"/>
  <c r="AZ90" i="6" s="1"/>
  <c r="AV98" i="6"/>
  <c r="AZ98" i="6" s="1"/>
  <c r="AV106" i="6"/>
  <c r="AZ106" i="6" s="1"/>
  <c r="AV59" i="6"/>
  <c r="AZ59" i="6" s="1"/>
  <c r="AW51" i="6"/>
  <c r="AV107" i="6"/>
  <c r="AZ107" i="6" s="1"/>
  <c r="AV60" i="6"/>
  <c r="AZ60" i="6" s="1"/>
  <c r="AV68" i="6"/>
  <c r="AZ68" i="6" s="1"/>
  <c r="AV76" i="6"/>
  <c r="AZ76" i="6" s="1"/>
  <c r="AV84" i="6"/>
  <c r="AZ84" i="6" s="1"/>
  <c r="AV92" i="6"/>
  <c r="AZ92" i="6" s="1"/>
  <c r="AV100" i="6"/>
  <c r="AZ100" i="6" s="1"/>
  <c r="AV108" i="6"/>
  <c r="AZ108" i="6" s="1"/>
  <c r="AV53" i="6"/>
  <c r="AZ53" i="6" s="1"/>
  <c r="AV75" i="6"/>
  <c r="AZ75" i="6" s="1"/>
  <c r="AV52" i="6"/>
  <c r="AZ52" i="6" s="1"/>
  <c r="AV61" i="6"/>
  <c r="AZ61" i="6" s="1"/>
  <c r="AV69" i="6"/>
  <c r="AZ69" i="6" s="1"/>
  <c r="AV77" i="6"/>
  <c r="AZ77" i="6" s="1"/>
  <c r="AV85" i="6"/>
  <c r="AZ85" i="6" s="1"/>
  <c r="AV93" i="6"/>
  <c r="AZ93" i="6" s="1"/>
  <c r="AV101" i="6"/>
  <c r="AZ101" i="6" s="1"/>
  <c r="AV109" i="6"/>
  <c r="AZ109" i="6" s="1"/>
  <c r="AV54" i="6"/>
  <c r="AZ54" i="6" s="1"/>
  <c r="AV83" i="6"/>
  <c r="AZ83" i="6" s="1"/>
  <c r="AV62" i="6"/>
  <c r="AZ62" i="6" s="1"/>
  <c r="AV70" i="6"/>
  <c r="AZ70" i="6" s="1"/>
  <c r="AV78" i="6"/>
  <c r="AZ78" i="6" s="1"/>
  <c r="AV86" i="6"/>
  <c r="AZ86" i="6" s="1"/>
  <c r="AV94" i="6"/>
  <c r="AZ94" i="6" s="1"/>
  <c r="AV102" i="6"/>
  <c r="AZ102" i="6" s="1"/>
  <c r="AV110" i="6"/>
  <c r="AZ110" i="6" s="1"/>
  <c r="AV55" i="6"/>
  <c r="AZ55" i="6" s="1"/>
  <c r="AV99" i="6"/>
  <c r="AZ99" i="6" s="1"/>
  <c r="BD52" i="6"/>
  <c r="AW52" i="6"/>
  <c r="AX52" i="6"/>
  <c r="AJ55" i="6"/>
  <c r="AH54" i="6"/>
  <c r="AI54" i="6" s="1"/>
  <c r="AK55" i="6"/>
  <c r="AF55" i="6"/>
  <c r="AD55" i="6"/>
  <c r="K55" i="6"/>
  <c r="AG54" i="6"/>
  <c r="AE54" i="6" s="1"/>
  <c r="C56" i="6"/>
  <c r="AM55" i="6"/>
  <c r="AL55" i="6"/>
  <c r="D55" i="6"/>
  <c r="AE11" i="21" l="1"/>
  <c r="AF12" i="21"/>
  <c r="BA12" i="21" s="1"/>
  <c r="BG56" i="6" s="1"/>
  <c r="G56" i="6"/>
  <c r="F56" i="6"/>
  <c r="BF54" i="6"/>
  <c r="BB51" i="6"/>
  <c r="BH51" i="6" s="1"/>
  <c r="AX53" i="6"/>
  <c r="AW53" i="6"/>
  <c r="BD53" i="6"/>
  <c r="BB52" i="6"/>
  <c r="BH52" i="6" s="1"/>
  <c r="BI52" i="6" s="1"/>
  <c r="AW54" i="6"/>
  <c r="AX54" i="6"/>
  <c r="BD54" i="6"/>
  <c r="AT55" i="6"/>
  <c r="AU55" i="6"/>
  <c r="AJ56" i="6"/>
  <c r="AG55" i="6"/>
  <c r="AE55" i="6" s="1"/>
  <c r="AK56" i="6"/>
  <c r="AH55" i="6"/>
  <c r="AI55" i="6" s="1"/>
  <c r="AF56" i="6"/>
  <c r="K56" i="6"/>
  <c r="AD56" i="6"/>
  <c r="C57" i="6"/>
  <c r="AM56" i="6"/>
  <c r="AL56" i="6"/>
  <c r="D56" i="6"/>
  <c r="AE12" i="21" l="1"/>
  <c r="AF13" i="21"/>
  <c r="AE13" i="21" s="1"/>
  <c r="G57" i="6"/>
  <c r="F57" i="6"/>
  <c r="BB53" i="6"/>
  <c r="BH53" i="6" s="1"/>
  <c r="BI53" i="6" s="1"/>
  <c r="BB54" i="6"/>
  <c r="BH54" i="6" s="1"/>
  <c r="BI54" i="6" s="1"/>
  <c r="BD55" i="6"/>
  <c r="AW55" i="6"/>
  <c r="AX55" i="6"/>
  <c r="AY55" i="6"/>
  <c r="BF55" i="6"/>
  <c r="AT56" i="6"/>
  <c r="AY56" i="6" s="1"/>
  <c r="AU56" i="6"/>
  <c r="AJ57" i="6"/>
  <c r="AG56" i="6"/>
  <c r="AE56" i="6" s="1"/>
  <c r="AK57" i="6"/>
  <c r="AH56" i="6"/>
  <c r="AI56" i="6" s="1"/>
  <c r="AD57" i="6"/>
  <c r="AF57" i="6"/>
  <c r="K57" i="6"/>
  <c r="C58" i="6"/>
  <c r="AM57" i="6"/>
  <c r="AL57" i="6"/>
  <c r="D57" i="6"/>
  <c r="BA13" i="21" l="1"/>
  <c r="BG57" i="6" s="1"/>
  <c r="AF14" i="21"/>
  <c r="AE14" i="21" s="1"/>
  <c r="G58" i="6"/>
  <c r="BF56" i="6"/>
  <c r="AJ58" i="6"/>
  <c r="BB55" i="6"/>
  <c r="BH55" i="6" s="1"/>
  <c r="BI55" i="6" s="1"/>
  <c r="AT57" i="6"/>
  <c r="AY57" i="6" s="1"/>
  <c r="AU57" i="6"/>
  <c r="BD56" i="6"/>
  <c r="AW56" i="6"/>
  <c r="AX56" i="6"/>
  <c r="AK58" i="6"/>
  <c r="AG57" i="6"/>
  <c r="AE57" i="6" s="1"/>
  <c r="AH57" i="6"/>
  <c r="AI57" i="6" s="1"/>
  <c r="AF58" i="6"/>
  <c r="K58" i="6"/>
  <c r="AD58" i="6"/>
  <c r="C59" i="6"/>
  <c r="AM58" i="6"/>
  <c r="AJ59" i="6" s="1"/>
  <c r="AL58" i="6"/>
  <c r="D58" i="6"/>
  <c r="BA14" i="21" l="1"/>
  <c r="BG58" i="6" s="1"/>
  <c r="AF15" i="21"/>
  <c r="BA15" i="21" s="1"/>
  <c r="BG59" i="6" s="1"/>
  <c r="G59" i="6"/>
  <c r="F59" i="6"/>
  <c r="BF57" i="6"/>
  <c r="BB56" i="6"/>
  <c r="BH56" i="6" s="1"/>
  <c r="BI56" i="6" s="1"/>
  <c r="AX57" i="6"/>
  <c r="BD57" i="6"/>
  <c r="AW57" i="6"/>
  <c r="AU58" i="6"/>
  <c r="AT58" i="6"/>
  <c r="AY58" i="6" s="1"/>
  <c r="AG58" i="6"/>
  <c r="AE58" i="6" s="1"/>
  <c r="AK59" i="6"/>
  <c r="AH58" i="6"/>
  <c r="AI58" i="6" s="1"/>
  <c r="AF59" i="6"/>
  <c r="AD59" i="6"/>
  <c r="K59" i="6"/>
  <c r="C60" i="6"/>
  <c r="AM59" i="6"/>
  <c r="AJ60" i="6" s="1"/>
  <c r="AL59" i="6"/>
  <c r="D59" i="6"/>
  <c r="BB57" i="6" l="1"/>
  <c r="BH57" i="6" s="1"/>
  <c r="BI57" i="6" s="1"/>
  <c r="AE15" i="21"/>
  <c r="AF16" i="21"/>
  <c r="BA16" i="21" s="1"/>
  <c r="BG60" i="6" s="1"/>
  <c r="F60" i="6"/>
  <c r="G60" i="6"/>
  <c r="BF58" i="6"/>
  <c r="AW58" i="6"/>
  <c r="AX58" i="6"/>
  <c r="BD58" i="6"/>
  <c r="AT59" i="6"/>
  <c r="AY59" i="6" s="1"/>
  <c r="AU59" i="6"/>
  <c r="AG59" i="6"/>
  <c r="AE59" i="6" s="1"/>
  <c r="AK60" i="6"/>
  <c r="AH59" i="6"/>
  <c r="AI59" i="6" s="1"/>
  <c r="AD60" i="6"/>
  <c r="K60" i="6"/>
  <c r="AF60" i="6"/>
  <c r="C61" i="6"/>
  <c r="AL60" i="6"/>
  <c r="AM60" i="6"/>
  <c r="AJ61" i="6" s="1"/>
  <c r="AE16" i="21" l="1"/>
  <c r="AF17" i="21"/>
  <c r="AE17" i="21" s="1"/>
  <c r="G61" i="6"/>
  <c r="F61" i="6"/>
  <c r="BF59" i="6"/>
  <c r="BD59" i="6"/>
  <c r="AX59" i="6"/>
  <c r="AW59" i="6"/>
  <c r="BB58" i="6"/>
  <c r="BH58" i="6" s="1"/>
  <c r="BI58" i="6" s="1"/>
  <c r="AK61" i="6"/>
  <c r="AD61" i="6"/>
  <c r="K61" i="6"/>
  <c r="AF61" i="6"/>
  <c r="AG60" i="6"/>
  <c r="AE60" i="6" s="1"/>
  <c r="C62" i="6"/>
  <c r="AL61" i="6"/>
  <c r="AM61" i="6"/>
  <c r="AJ62" i="6" s="1"/>
  <c r="D60" i="6"/>
  <c r="BA17" i="21" l="1"/>
  <c r="BG61" i="6" s="1"/>
  <c r="G62" i="6"/>
  <c r="F62" i="6"/>
  <c r="BF61" i="6"/>
  <c r="BF60" i="6"/>
  <c r="BB59" i="6"/>
  <c r="BH59" i="6" s="1"/>
  <c r="BI59" i="6" s="1"/>
  <c r="AH60" i="6"/>
  <c r="AI60" i="6" s="1"/>
  <c r="AT60" i="6"/>
  <c r="AY60" i="6" s="1"/>
  <c r="AU60" i="6"/>
  <c r="AF18" i="21"/>
  <c r="AK62" i="6"/>
  <c r="AD62" i="6"/>
  <c r="K62" i="6"/>
  <c r="AF62" i="6"/>
  <c r="D62" i="6"/>
  <c r="AG61" i="6"/>
  <c r="AE61" i="6" s="1"/>
  <c r="C63" i="6"/>
  <c r="AL62" i="6"/>
  <c r="AM62" i="6"/>
  <c r="AJ63" i="6" s="1"/>
  <c r="D61" i="6"/>
  <c r="F63" i="6" l="1"/>
  <c r="G63" i="6"/>
  <c r="BF62" i="6"/>
  <c r="AW60" i="6"/>
  <c r="AX60" i="6"/>
  <c r="BD60" i="6"/>
  <c r="AU62" i="6"/>
  <c r="AT62" i="6"/>
  <c r="AY62" i="6" s="1"/>
  <c r="AH61" i="6"/>
  <c r="AI61" i="6" s="1"/>
  <c r="AT61" i="6"/>
  <c r="AY61" i="6" s="1"/>
  <c r="AU61" i="6"/>
  <c r="AF19" i="21"/>
  <c r="AE18" i="21"/>
  <c r="BA18" i="21"/>
  <c r="BG62" i="6" s="1"/>
  <c r="AH62" i="6"/>
  <c r="AI62" i="6" s="1"/>
  <c r="AK63" i="6"/>
  <c r="AD63" i="6"/>
  <c r="K63" i="6"/>
  <c r="AF63" i="6"/>
  <c r="D63" i="6"/>
  <c r="AG62" i="6"/>
  <c r="AE62" i="6" s="1"/>
  <c r="C64" i="6"/>
  <c r="AM63" i="6"/>
  <c r="AJ64" i="6" s="1"/>
  <c r="AL63" i="6"/>
  <c r="AF20" i="21" l="1"/>
  <c r="AE20" i="21" s="1"/>
  <c r="G64" i="6"/>
  <c r="F64" i="6"/>
  <c r="BF63" i="6"/>
  <c r="AT63" i="6"/>
  <c r="AY63" i="6" s="1"/>
  <c r="AU63" i="6"/>
  <c r="BB60" i="6"/>
  <c r="BH60" i="6" s="1"/>
  <c r="BI60" i="6" s="1"/>
  <c r="AW62" i="6"/>
  <c r="AX62" i="6"/>
  <c r="BD62" i="6"/>
  <c r="AX61" i="6"/>
  <c r="BD61" i="6"/>
  <c r="AW61" i="6"/>
  <c r="AE19" i="21"/>
  <c r="BA19" i="21"/>
  <c r="BG63" i="6" s="1"/>
  <c r="AH63" i="6"/>
  <c r="AI63" i="6" s="1"/>
  <c r="AK64" i="6"/>
  <c r="AF64" i="6"/>
  <c r="AD64" i="6"/>
  <c r="K64" i="6"/>
  <c r="D64" i="6"/>
  <c r="AG63" i="6"/>
  <c r="AE63" i="6" s="1"/>
  <c r="C65" i="6"/>
  <c r="AM64" i="6"/>
  <c r="AJ65" i="6" s="1"/>
  <c r="AL64" i="6"/>
  <c r="BA20" i="21" l="1"/>
  <c r="BG64" i="6" s="1"/>
  <c r="F65" i="6"/>
  <c r="G65" i="6"/>
  <c r="BF64" i="6"/>
  <c r="BB62" i="6"/>
  <c r="BH62" i="6" s="1"/>
  <c r="BI62" i="6" s="1"/>
  <c r="BB61" i="6"/>
  <c r="BH61" i="6" s="1"/>
  <c r="BI61" i="6" s="1"/>
  <c r="BD63" i="6"/>
  <c r="AW63" i="6"/>
  <c r="AX63" i="6"/>
  <c r="AT64" i="6"/>
  <c r="AY64" i="6" s="1"/>
  <c r="AU64" i="6"/>
  <c r="AF21" i="21"/>
  <c r="AG64" i="6"/>
  <c r="AE64" i="6" s="1"/>
  <c r="AK65" i="6"/>
  <c r="AH64" i="6"/>
  <c r="AI64" i="6" s="1"/>
  <c r="K65" i="6"/>
  <c r="AF65" i="6"/>
  <c r="AD65" i="6"/>
  <c r="D65" i="6"/>
  <c r="C66" i="6"/>
  <c r="AM65" i="6"/>
  <c r="AJ66" i="6" s="1"/>
  <c r="AL65" i="6"/>
  <c r="AF22" i="21" l="1"/>
  <c r="BA22" i="21" s="1"/>
  <c r="BG66" i="6" s="1"/>
  <c r="F66" i="6"/>
  <c r="G66" i="6"/>
  <c r="BF65" i="6"/>
  <c r="AW64" i="6"/>
  <c r="AX64" i="6"/>
  <c r="BD64" i="6"/>
  <c r="BB63" i="6"/>
  <c r="BH63" i="6" s="1"/>
  <c r="BI63" i="6" s="1"/>
  <c r="AT65" i="6"/>
  <c r="AY65" i="6" s="1"/>
  <c r="AU65" i="6"/>
  <c r="AE21" i="21"/>
  <c r="BA21" i="21"/>
  <c r="BG65" i="6" s="1"/>
  <c r="AH65" i="6"/>
  <c r="AI65" i="6" s="1"/>
  <c r="AK66" i="6"/>
  <c r="AG65" i="6"/>
  <c r="AE65" i="6" s="1"/>
  <c r="AF66" i="6"/>
  <c r="AD66" i="6"/>
  <c r="K66" i="6"/>
  <c r="D66" i="6"/>
  <c r="C67" i="6"/>
  <c r="AM66" i="6"/>
  <c r="AJ67" i="6" s="1"/>
  <c r="AL66" i="6"/>
  <c r="AE22" i="21" l="1"/>
  <c r="F67" i="6"/>
  <c r="G67" i="6"/>
  <c r="BF66" i="6"/>
  <c r="BB64" i="6"/>
  <c r="BH64" i="6" s="1"/>
  <c r="BI64" i="6" s="1"/>
  <c r="AX65" i="6"/>
  <c r="BD65" i="6"/>
  <c r="AW65" i="6"/>
  <c r="BB65" i="6" s="1"/>
  <c r="BH65" i="6" s="1"/>
  <c r="BI65" i="6" s="1"/>
  <c r="AU66" i="6"/>
  <c r="AT66" i="6"/>
  <c r="AY66" i="6" s="1"/>
  <c r="AF23" i="21"/>
  <c r="AH66" i="6"/>
  <c r="AI66" i="6" s="1"/>
  <c r="AG66" i="6"/>
  <c r="AE66" i="6" s="1"/>
  <c r="AK67" i="6"/>
  <c r="D67" i="6"/>
  <c r="AD67" i="6"/>
  <c r="AF67" i="6"/>
  <c r="K67" i="6"/>
  <c r="C68" i="6"/>
  <c r="AM67" i="6"/>
  <c r="AJ68" i="6" s="1"/>
  <c r="AL67" i="6"/>
  <c r="G68" i="6" l="1"/>
  <c r="F68" i="6"/>
  <c r="BF67" i="6"/>
  <c r="AT67" i="6"/>
  <c r="AY67" i="6" s="1"/>
  <c r="AU67" i="6"/>
  <c r="AW66" i="6"/>
  <c r="AX66" i="6"/>
  <c r="BD66" i="6"/>
  <c r="D68" i="6"/>
  <c r="AF24" i="21"/>
  <c r="AE23" i="21"/>
  <c r="BA23" i="21"/>
  <c r="BG67" i="6" s="1"/>
  <c r="AK68" i="6"/>
  <c r="AH67" i="6"/>
  <c r="AI67" i="6" s="1"/>
  <c r="AG67" i="6"/>
  <c r="AE67" i="6" s="1"/>
  <c r="AD68" i="6"/>
  <c r="K68" i="6"/>
  <c r="AF68" i="6"/>
  <c r="C69" i="6"/>
  <c r="AM68" i="6"/>
  <c r="AJ69" i="6" s="1"/>
  <c r="AL68" i="6"/>
  <c r="F69" i="6" l="1"/>
  <c r="G69" i="6"/>
  <c r="BF68" i="6"/>
  <c r="AH68" i="6"/>
  <c r="AI68" i="6" s="1"/>
  <c r="AU68" i="6"/>
  <c r="AT68" i="6"/>
  <c r="AY68" i="6" s="1"/>
  <c r="BB66" i="6"/>
  <c r="BH66" i="6" s="1"/>
  <c r="BI66" i="6" s="1"/>
  <c r="BD67" i="6"/>
  <c r="AW67" i="6"/>
  <c r="AX67" i="6"/>
  <c r="AF25" i="21"/>
  <c r="AE24" i="21"/>
  <c r="BA24" i="21"/>
  <c r="BG68" i="6" s="1"/>
  <c r="AK69" i="6"/>
  <c r="AG68" i="6"/>
  <c r="AE68" i="6" s="1"/>
  <c r="AD69" i="6"/>
  <c r="K69" i="6"/>
  <c r="AF69" i="6"/>
  <c r="D69" i="6"/>
  <c r="C70" i="6"/>
  <c r="AL69" i="6"/>
  <c r="AM69" i="6"/>
  <c r="AJ70" i="6" s="1"/>
  <c r="AF26" i="21" l="1"/>
  <c r="BA26" i="21" s="1"/>
  <c r="BG70" i="6" s="1"/>
  <c r="F70" i="6"/>
  <c r="G70" i="6"/>
  <c r="BF69" i="6"/>
  <c r="BB67" i="6"/>
  <c r="BH67" i="6" s="1"/>
  <c r="BI67" i="6" s="1"/>
  <c r="AT69" i="6"/>
  <c r="AY69" i="6" s="1"/>
  <c r="AU69" i="6"/>
  <c r="AW68" i="6"/>
  <c r="AX68" i="6"/>
  <c r="BD68" i="6"/>
  <c r="AE25" i="21"/>
  <c r="BA25" i="21"/>
  <c r="BG69" i="6" s="1"/>
  <c r="AH69" i="6"/>
  <c r="AI69" i="6" s="1"/>
  <c r="AK70" i="6"/>
  <c r="AG69" i="6"/>
  <c r="AE69" i="6" s="1"/>
  <c r="AF70" i="6"/>
  <c r="AD70" i="6"/>
  <c r="K70" i="6"/>
  <c r="D70" i="6"/>
  <c r="C71" i="6"/>
  <c r="AL70" i="6"/>
  <c r="AM70" i="6"/>
  <c r="AJ71" i="6" s="1"/>
  <c r="AE26" i="21" l="1"/>
  <c r="F71" i="6"/>
  <c r="G71" i="6"/>
  <c r="BF70" i="6"/>
  <c r="AX69" i="6"/>
  <c r="AW69" i="6"/>
  <c r="BD69" i="6"/>
  <c r="BB68" i="6"/>
  <c r="BH68" i="6" s="1"/>
  <c r="BI68" i="6" s="1"/>
  <c r="AU70" i="6"/>
  <c r="AT70" i="6"/>
  <c r="AY70" i="6" s="1"/>
  <c r="D71" i="6"/>
  <c r="AF27" i="21"/>
  <c r="AH70" i="6"/>
  <c r="AI70" i="6" s="1"/>
  <c r="AK71" i="6"/>
  <c r="AG70" i="6"/>
  <c r="AE70" i="6" s="1"/>
  <c r="AF71" i="6"/>
  <c r="AD71" i="6"/>
  <c r="K71" i="6"/>
  <c r="C72" i="6"/>
  <c r="AM71" i="6"/>
  <c r="AJ72" i="6" s="1"/>
  <c r="AL71" i="6"/>
  <c r="G72" i="6" l="1"/>
  <c r="F72" i="6"/>
  <c r="AH71" i="6"/>
  <c r="AI71" i="6" s="1"/>
  <c r="BF71" i="6"/>
  <c r="AW70" i="6"/>
  <c r="AX70" i="6"/>
  <c r="BD70" i="6"/>
  <c r="AT71" i="6"/>
  <c r="AY71" i="6" s="1"/>
  <c r="AU71" i="6"/>
  <c r="BB69" i="6"/>
  <c r="BH69" i="6" s="1"/>
  <c r="BI69" i="6" s="1"/>
  <c r="AF28" i="21"/>
  <c r="AE27" i="21"/>
  <c r="BA27" i="21"/>
  <c r="BG71" i="6" s="1"/>
  <c r="AG71" i="6"/>
  <c r="AE71" i="6" s="1"/>
  <c r="AK72" i="6"/>
  <c r="D72" i="6"/>
  <c r="K72" i="6"/>
  <c r="AD72" i="6"/>
  <c r="AF72" i="6"/>
  <c r="C73" i="6"/>
  <c r="AM72" i="6"/>
  <c r="AJ73" i="6" s="1"/>
  <c r="AL72" i="6"/>
  <c r="G73" i="6" l="1"/>
  <c r="F73" i="6"/>
  <c r="BF72" i="6"/>
  <c r="AT72" i="6"/>
  <c r="AY72" i="6" s="1"/>
  <c r="AU72" i="6"/>
  <c r="BD71" i="6"/>
  <c r="AW71" i="6"/>
  <c r="AX71" i="6"/>
  <c r="BB70" i="6"/>
  <c r="BH70" i="6" s="1"/>
  <c r="BI70" i="6" s="1"/>
  <c r="D73" i="6"/>
  <c r="AF29" i="21"/>
  <c r="AE28" i="21"/>
  <c r="BA28" i="21"/>
  <c r="BG72" i="6" s="1"/>
  <c r="AH72" i="6"/>
  <c r="AI72" i="6" s="1"/>
  <c r="AK73" i="6"/>
  <c r="AD73" i="6"/>
  <c r="K73" i="6"/>
  <c r="AF73" i="6"/>
  <c r="AG72" i="6"/>
  <c r="AE72" i="6" s="1"/>
  <c r="C74" i="6"/>
  <c r="AM73" i="6"/>
  <c r="AJ74" i="6" s="1"/>
  <c r="AL73" i="6"/>
  <c r="G74" i="6" l="1"/>
  <c r="F74" i="6"/>
  <c r="AW72" i="6"/>
  <c r="AX72" i="6"/>
  <c r="BD72" i="6"/>
  <c r="BB71" i="6"/>
  <c r="BH71" i="6" s="1"/>
  <c r="BI71" i="6" s="1"/>
  <c r="AT73" i="6"/>
  <c r="AU73" i="6"/>
  <c r="AH73" i="6"/>
  <c r="AI73" i="6" s="1"/>
  <c r="AF30" i="21"/>
  <c r="AE29" i="21"/>
  <c r="BA29" i="21"/>
  <c r="BG73" i="6" s="1"/>
  <c r="AK74" i="6"/>
  <c r="D74" i="6"/>
  <c r="AF74" i="6"/>
  <c r="AD74" i="6"/>
  <c r="K74" i="6"/>
  <c r="AG73" i="6"/>
  <c r="AE73" i="6" s="1"/>
  <c r="C75" i="6"/>
  <c r="AM74" i="6"/>
  <c r="AJ75" i="6" s="1"/>
  <c r="AL74" i="6"/>
  <c r="G75" i="6" l="1"/>
  <c r="F75" i="6"/>
  <c r="BF74" i="6"/>
  <c r="AF31" i="21"/>
  <c r="AE31" i="21" s="1"/>
  <c r="AY73" i="6"/>
  <c r="BF73" i="6"/>
  <c r="AX73" i="6"/>
  <c r="BD73" i="6"/>
  <c r="AW73" i="6"/>
  <c r="AU74" i="6"/>
  <c r="AT74" i="6"/>
  <c r="AY74" i="6" s="1"/>
  <c r="BB72" i="6"/>
  <c r="BH72" i="6" s="1"/>
  <c r="BI72" i="6" s="1"/>
  <c r="AE30" i="21"/>
  <c r="BA30" i="21"/>
  <c r="BG74" i="6" s="1"/>
  <c r="AK75" i="6"/>
  <c r="AH74" i="6"/>
  <c r="AI74" i="6" s="1"/>
  <c r="AF75" i="6"/>
  <c r="AD75" i="6"/>
  <c r="K75" i="6"/>
  <c r="AG74" i="6"/>
  <c r="AE74" i="6" s="1"/>
  <c r="D75" i="6"/>
  <c r="C76" i="6"/>
  <c r="AM75" i="6"/>
  <c r="AJ76" i="6" s="1"/>
  <c r="AL75" i="6"/>
  <c r="AF32" i="21" l="1"/>
  <c r="AE32" i="21" s="1"/>
  <c r="G76" i="6"/>
  <c r="F76" i="6"/>
  <c r="BF75" i="6"/>
  <c r="BA31" i="21"/>
  <c r="BG75" i="6" s="1"/>
  <c r="BB73" i="6"/>
  <c r="BH73" i="6" s="1"/>
  <c r="BI73" i="6" s="1"/>
  <c r="AW74" i="6"/>
  <c r="AX74" i="6"/>
  <c r="BD74" i="6"/>
  <c r="AT75" i="6"/>
  <c r="AY75" i="6" s="1"/>
  <c r="AU75" i="6"/>
  <c r="AH75" i="6"/>
  <c r="AI75" i="6" s="1"/>
  <c r="AK76" i="6"/>
  <c r="AD76" i="6"/>
  <c r="K76" i="6"/>
  <c r="AF76" i="6"/>
  <c r="D76" i="6"/>
  <c r="AG75" i="6"/>
  <c r="AE75" i="6" s="1"/>
  <c r="C77" i="6"/>
  <c r="AM76" i="6"/>
  <c r="AJ77" i="6" s="1"/>
  <c r="AL76" i="6"/>
  <c r="BA32" i="21" l="1"/>
  <c r="BG76" i="6" s="1"/>
  <c r="AF33" i="21"/>
  <c r="BA33" i="21" s="1"/>
  <c r="BG77" i="6" s="1"/>
  <c r="G77" i="6"/>
  <c r="BF76" i="6"/>
  <c r="BD75" i="6"/>
  <c r="AX75" i="6"/>
  <c r="AW75" i="6"/>
  <c r="AT76" i="6"/>
  <c r="AY76" i="6" s="1"/>
  <c r="AU76" i="6"/>
  <c r="BB74" i="6"/>
  <c r="BH74" i="6" s="1"/>
  <c r="BI74" i="6" s="1"/>
  <c r="AH76" i="6"/>
  <c r="AI76" i="6" s="1"/>
  <c r="AK77" i="6"/>
  <c r="AD77" i="6"/>
  <c r="K77" i="6"/>
  <c r="AF77" i="6"/>
  <c r="AG76" i="6"/>
  <c r="AE76" i="6" s="1"/>
  <c r="D77" i="6"/>
  <c r="C78" i="6"/>
  <c r="AL77" i="6"/>
  <c r="AM77" i="6"/>
  <c r="AJ78" i="6" s="1"/>
  <c r="AE33" i="21" l="1"/>
  <c r="AF34" i="21"/>
  <c r="AE34" i="21" s="1"/>
  <c r="G78" i="6"/>
  <c r="F78" i="6"/>
  <c r="BF77" i="6"/>
  <c r="BB75" i="6"/>
  <c r="BH75" i="6" s="1"/>
  <c r="BI75" i="6" s="1"/>
  <c r="AW76" i="6"/>
  <c r="AX76" i="6"/>
  <c r="BD76" i="6"/>
  <c r="AT77" i="6"/>
  <c r="AY77" i="6" s="1"/>
  <c r="AU77" i="6"/>
  <c r="AH77" i="6"/>
  <c r="AI77" i="6" s="1"/>
  <c r="AG77" i="6"/>
  <c r="AE77" i="6" s="1"/>
  <c r="AK78" i="6"/>
  <c r="AF78" i="6"/>
  <c r="AD78" i="6"/>
  <c r="K78" i="6"/>
  <c r="D78" i="6"/>
  <c r="C79" i="6"/>
  <c r="AL78" i="6"/>
  <c r="AM78" i="6"/>
  <c r="AJ79" i="6" s="1"/>
  <c r="BA34" i="21" l="1"/>
  <c r="BG78" i="6" s="1"/>
  <c r="AF35" i="21"/>
  <c r="AE35" i="21" s="1"/>
  <c r="G79" i="6"/>
  <c r="F79" i="6"/>
  <c r="BF78" i="6"/>
  <c r="AX77" i="6"/>
  <c r="BD77" i="6"/>
  <c r="AW77" i="6"/>
  <c r="BB76" i="6"/>
  <c r="BH76" i="6" s="1"/>
  <c r="BI76" i="6" s="1"/>
  <c r="AU78" i="6"/>
  <c r="AT78" i="6"/>
  <c r="AY78" i="6" s="1"/>
  <c r="AH78" i="6"/>
  <c r="AI78" i="6" s="1"/>
  <c r="AK79" i="6"/>
  <c r="AG78" i="6"/>
  <c r="AE78" i="6" s="1"/>
  <c r="AF79" i="6"/>
  <c r="AD79" i="6"/>
  <c r="K79" i="6"/>
  <c r="D79" i="6"/>
  <c r="C80" i="6"/>
  <c r="AM79" i="6"/>
  <c r="AJ80" i="6" s="1"/>
  <c r="AL79" i="6"/>
  <c r="BA35" i="21" l="1"/>
  <c r="BG79" i="6" s="1"/>
  <c r="AF36" i="21"/>
  <c r="BA36" i="21" s="1"/>
  <c r="BG80" i="6" s="1"/>
  <c r="G80" i="6"/>
  <c r="F80" i="6"/>
  <c r="BB77" i="6"/>
  <c r="BH77" i="6" s="1"/>
  <c r="BI77" i="6" s="1"/>
  <c r="AW78" i="6"/>
  <c r="AX78" i="6"/>
  <c r="BD78" i="6"/>
  <c r="AT79" i="6"/>
  <c r="AY79" i="6" s="1"/>
  <c r="AU79" i="6"/>
  <c r="AH79" i="6"/>
  <c r="AI79" i="6" s="1"/>
  <c r="AG79" i="6"/>
  <c r="AE79" i="6" s="1"/>
  <c r="AK80" i="6"/>
  <c r="K80" i="6"/>
  <c r="AF80" i="6"/>
  <c r="AD80" i="6"/>
  <c r="D80" i="6"/>
  <c r="C81" i="6"/>
  <c r="AM80" i="6"/>
  <c r="AJ81" i="6" s="1"/>
  <c r="AL80" i="6"/>
  <c r="AE36" i="21" l="1"/>
  <c r="AF37" i="21"/>
  <c r="BA37" i="21" s="1"/>
  <c r="BG81" i="6" s="1"/>
  <c r="F81" i="6"/>
  <c r="G81" i="6"/>
  <c r="BF79" i="6"/>
  <c r="BF80" i="6"/>
  <c r="BB78" i="6"/>
  <c r="BH78" i="6" s="1"/>
  <c r="BI78" i="6" s="1"/>
  <c r="BD79" i="6"/>
  <c r="AW79" i="6"/>
  <c r="AX79" i="6"/>
  <c r="AT80" i="6"/>
  <c r="AY80" i="6" s="1"/>
  <c r="AU80" i="6"/>
  <c r="AH80" i="6"/>
  <c r="AI80" i="6" s="1"/>
  <c r="AG80" i="6"/>
  <c r="AE80" i="6" s="1"/>
  <c r="AK81" i="6"/>
  <c r="K81" i="6"/>
  <c r="AF81" i="6"/>
  <c r="AD81" i="6"/>
  <c r="D81" i="6"/>
  <c r="C82" i="6"/>
  <c r="AM81" i="6"/>
  <c r="AJ82" i="6" s="1"/>
  <c r="AL81" i="6"/>
  <c r="AE37" i="21" l="1"/>
  <c r="AF38" i="21"/>
  <c r="AE38" i="21" s="1"/>
  <c r="F82" i="6"/>
  <c r="G82" i="6"/>
  <c r="BF81" i="6"/>
  <c r="BB79" i="6"/>
  <c r="BH79" i="6" s="1"/>
  <c r="BI79" i="6" s="1"/>
  <c r="AW80" i="6"/>
  <c r="AX80" i="6"/>
  <c r="BD80" i="6"/>
  <c r="AT81" i="6"/>
  <c r="AY81" i="6" s="1"/>
  <c r="AU81" i="6"/>
  <c r="AH81" i="6"/>
  <c r="AI81" i="6" s="1"/>
  <c r="AG81" i="6"/>
  <c r="AE81" i="6" s="1"/>
  <c r="AK82" i="6"/>
  <c r="AF82" i="6"/>
  <c r="AD82" i="6"/>
  <c r="K82" i="6"/>
  <c r="D82" i="6"/>
  <c r="C83" i="6"/>
  <c r="AM82" i="6"/>
  <c r="AJ83" i="6" s="1"/>
  <c r="AL82" i="6"/>
  <c r="BA38" i="21" l="1"/>
  <c r="BG82" i="6" s="1"/>
  <c r="AF39" i="21"/>
  <c r="AE39" i="21" s="1"/>
  <c r="F83" i="6"/>
  <c r="G83" i="6"/>
  <c r="BF82" i="6"/>
  <c r="AX81" i="6"/>
  <c r="BD81" i="6"/>
  <c r="AW81" i="6"/>
  <c r="AU82" i="6"/>
  <c r="AT82" i="6"/>
  <c r="AY82" i="6" s="1"/>
  <c r="BB80" i="6"/>
  <c r="BH80" i="6" s="1"/>
  <c r="BI80" i="6" s="1"/>
  <c r="AH82" i="6"/>
  <c r="AI82" i="6" s="1"/>
  <c r="AG82" i="6"/>
  <c r="AE82" i="6" s="1"/>
  <c r="AK83" i="6"/>
  <c r="AF83" i="6"/>
  <c r="AD83" i="6"/>
  <c r="K83" i="6"/>
  <c r="D83" i="6"/>
  <c r="C84" i="6"/>
  <c r="AM83" i="6"/>
  <c r="AJ84" i="6" s="1"/>
  <c r="AL83" i="6"/>
  <c r="BA39" i="21" l="1"/>
  <c r="BG83" i="6" s="1"/>
  <c r="AF40" i="21"/>
  <c r="BA40" i="21" s="1"/>
  <c r="BG84" i="6" s="1"/>
  <c r="G84" i="6"/>
  <c r="F84" i="6"/>
  <c r="BF83" i="6"/>
  <c r="BB81" i="6"/>
  <c r="BH81" i="6" s="1"/>
  <c r="BI81" i="6" s="1"/>
  <c r="AW82" i="6"/>
  <c r="AX82" i="6"/>
  <c r="BD82" i="6"/>
  <c r="AT83" i="6"/>
  <c r="AY83" i="6" s="1"/>
  <c r="AU83" i="6"/>
  <c r="AH83" i="6"/>
  <c r="AI83" i="6" s="1"/>
  <c r="AG83" i="6"/>
  <c r="AE83" i="6" s="1"/>
  <c r="AK84" i="6"/>
  <c r="AD84" i="6"/>
  <c r="K84" i="6"/>
  <c r="AF84" i="6"/>
  <c r="D84" i="6"/>
  <c r="C85" i="6"/>
  <c r="AM84" i="6"/>
  <c r="AL84" i="6"/>
  <c r="AE40" i="21" l="1"/>
  <c r="F85" i="6"/>
  <c r="G85" i="6"/>
  <c r="BF84" i="6"/>
  <c r="AF41" i="21"/>
  <c r="BA41" i="21" s="1"/>
  <c r="BG85" i="6" s="1"/>
  <c r="BD83" i="6"/>
  <c r="AX83" i="6"/>
  <c r="AW83" i="6"/>
  <c r="BB82" i="6"/>
  <c r="BH82" i="6" s="1"/>
  <c r="BI82" i="6" s="1"/>
  <c r="AU84" i="6"/>
  <c r="AT84" i="6"/>
  <c r="AY84" i="6" s="1"/>
  <c r="AK85" i="6"/>
  <c r="AH84" i="6"/>
  <c r="AI84" i="6" s="1"/>
  <c r="AJ85" i="6"/>
  <c r="AD85" i="6"/>
  <c r="K85" i="6"/>
  <c r="AF85" i="6"/>
  <c r="D85" i="6"/>
  <c r="AG84" i="6"/>
  <c r="AE84" i="6" s="1"/>
  <c r="C86" i="6"/>
  <c r="AL85" i="6"/>
  <c r="AM85" i="6"/>
  <c r="AF42" i="21" l="1"/>
  <c r="BA42" i="21" s="1"/>
  <c r="BG86" i="6" s="1"/>
  <c r="G86" i="6"/>
  <c r="F86" i="6"/>
  <c r="BF85" i="6"/>
  <c r="AE41" i="21"/>
  <c r="BB83" i="6"/>
  <c r="BH83" i="6" s="1"/>
  <c r="BI83" i="6" s="1"/>
  <c r="AW84" i="6"/>
  <c r="AX84" i="6"/>
  <c r="BD84" i="6"/>
  <c r="AT85" i="6"/>
  <c r="AY85" i="6" s="1"/>
  <c r="AU85" i="6"/>
  <c r="AH85" i="6"/>
  <c r="AI85" i="6" s="1"/>
  <c r="AJ86" i="6"/>
  <c r="AK86" i="6"/>
  <c r="K86" i="6"/>
  <c r="AF86" i="6"/>
  <c r="AD86" i="6"/>
  <c r="D86" i="6"/>
  <c r="AG85" i="6"/>
  <c r="AE85" i="6" s="1"/>
  <c r="C87" i="6"/>
  <c r="AM86" i="6"/>
  <c r="AL86" i="6"/>
  <c r="AE42" i="21" l="1"/>
  <c r="AF43" i="21"/>
  <c r="AE43" i="21" s="1"/>
  <c r="G87" i="6"/>
  <c r="F87" i="6"/>
  <c r="BF86" i="6"/>
  <c r="BB84" i="6"/>
  <c r="BH84" i="6" s="1"/>
  <c r="BI84" i="6" s="1"/>
  <c r="AX85" i="6"/>
  <c r="AW85" i="6"/>
  <c r="BD85" i="6"/>
  <c r="AU86" i="6"/>
  <c r="AT86" i="6"/>
  <c r="AY86" i="6" s="1"/>
  <c r="AH86" i="6"/>
  <c r="AI86" i="6" s="1"/>
  <c r="AJ87" i="6"/>
  <c r="AK87" i="6"/>
  <c r="AG86" i="6"/>
  <c r="AE86" i="6" s="1"/>
  <c r="AF87" i="6"/>
  <c r="AD87" i="6"/>
  <c r="K87" i="6"/>
  <c r="D87" i="6"/>
  <c r="C88" i="6"/>
  <c r="AM87" i="6"/>
  <c r="AL87" i="6"/>
  <c r="BA43" i="21" l="1"/>
  <c r="BG87" i="6" s="1"/>
  <c r="G88" i="6"/>
  <c r="F88" i="6"/>
  <c r="BF87" i="6"/>
  <c r="AJ88" i="6"/>
  <c r="BB85" i="6"/>
  <c r="BH85" i="6" s="1"/>
  <c r="BI85" i="6" s="1"/>
  <c r="AW86" i="6"/>
  <c r="AX86" i="6"/>
  <c r="BD86" i="6"/>
  <c r="AT87" i="6"/>
  <c r="AY87" i="6" s="1"/>
  <c r="AU87" i="6"/>
  <c r="AF44" i="21"/>
  <c r="AH87" i="6"/>
  <c r="AI87" i="6" s="1"/>
  <c r="AK88" i="6"/>
  <c r="AG87" i="6"/>
  <c r="AE87" i="6" s="1"/>
  <c r="AD88" i="6"/>
  <c r="K88" i="6"/>
  <c r="AF88" i="6"/>
  <c r="D88" i="6"/>
  <c r="C89" i="6"/>
  <c r="AM88" i="6"/>
  <c r="AL88" i="6"/>
  <c r="F89" i="6" l="1"/>
  <c r="G89" i="6"/>
  <c r="BF88" i="6"/>
  <c r="AJ89" i="6"/>
  <c r="BD87" i="6"/>
  <c r="AW87" i="6"/>
  <c r="AX87" i="6"/>
  <c r="BB86" i="6"/>
  <c r="BH86" i="6" s="1"/>
  <c r="BI86" i="6" s="1"/>
  <c r="AT88" i="6"/>
  <c r="AY88" i="6" s="1"/>
  <c r="AU88" i="6"/>
  <c r="AF45" i="21"/>
  <c r="AE44" i="21"/>
  <c r="BA44" i="21"/>
  <c r="BG88" i="6" s="1"/>
  <c r="AK89" i="6"/>
  <c r="AG88" i="6"/>
  <c r="AE88" i="6" s="1"/>
  <c r="AH88" i="6"/>
  <c r="AI88" i="6" s="1"/>
  <c r="K89" i="6"/>
  <c r="AF89" i="6"/>
  <c r="AD89" i="6"/>
  <c r="D89" i="6"/>
  <c r="C90" i="6"/>
  <c r="AM89" i="6"/>
  <c r="AL89" i="6"/>
  <c r="F90" i="6" l="1"/>
  <c r="G90" i="6"/>
  <c r="BF89" i="6"/>
  <c r="AJ90" i="6"/>
  <c r="AF46" i="21"/>
  <c r="BA46" i="21" s="1"/>
  <c r="BG90" i="6" s="1"/>
  <c r="AW88" i="6"/>
  <c r="AX88" i="6"/>
  <c r="BD88" i="6"/>
  <c r="AT89" i="6"/>
  <c r="AY89" i="6" s="1"/>
  <c r="AU89" i="6"/>
  <c r="BB87" i="6"/>
  <c r="BH87" i="6" s="1"/>
  <c r="BI87" i="6" s="1"/>
  <c r="AE45" i="21"/>
  <c r="BA45" i="21"/>
  <c r="BG89" i="6" s="1"/>
  <c r="AH89" i="6"/>
  <c r="AI89" i="6" s="1"/>
  <c r="AK90" i="6"/>
  <c r="AG89" i="6"/>
  <c r="AE89" i="6" s="1"/>
  <c r="AF90" i="6"/>
  <c r="K90" i="6"/>
  <c r="AD90" i="6"/>
  <c r="D90" i="6"/>
  <c r="C91" i="6"/>
  <c r="AM90" i="6"/>
  <c r="AL90" i="6"/>
  <c r="F91" i="6" l="1"/>
  <c r="G91" i="6"/>
  <c r="BF90" i="6"/>
  <c r="AJ91" i="6"/>
  <c r="AE46" i="21"/>
  <c r="AF47" i="21"/>
  <c r="BA47" i="21" s="1"/>
  <c r="BG91" i="6" s="1"/>
  <c r="AX89" i="6"/>
  <c r="BD89" i="6"/>
  <c r="AW89" i="6"/>
  <c r="BB88" i="6"/>
  <c r="BH88" i="6" s="1"/>
  <c r="BI88" i="6" s="1"/>
  <c r="AU90" i="6"/>
  <c r="AT90" i="6"/>
  <c r="AY90" i="6" s="1"/>
  <c r="AG90" i="6"/>
  <c r="AE90" i="6" s="1"/>
  <c r="AK91" i="6"/>
  <c r="AH90" i="6"/>
  <c r="AI90" i="6" s="1"/>
  <c r="AF91" i="6"/>
  <c r="K91" i="6"/>
  <c r="AD91" i="6"/>
  <c r="D91" i="6"/>
  <c r="C92" i="6"/>
  <c r="AM91" i="6"/>
  <c r="AL91" i="6"/>
  <c r="F92" i="6" l="1"/>
  <c r="G92" i="6"/>
  <c r="AJ92" i="6"/>
  <c r="AE47" i="21"/>
  <c r="BB89" i="6"/>
  <c r="BH89" i="6" s="1"/>
  <c r="BI89" i="6" s="1"/>
  <c r="AF48" i="21"/>
  <c r="AE48" i="21" s="1"/>
  <c r="AW90" i="6"/>
  <c r="AX90" i="6"/>
  <c r="BD90" i="6"/>
  <c r="AT91" i="6"/>
  <c r="AU91" i="6"/>
  <c r="AH91" i="6"/>
  <c r="AI91" i="6" s="1"/>
  <c r="AK92" i="6"/>
  <c r="AG91" i="6"/>
  <c r="AE91" i="6" s="1"/>
  <c r="AD92" i="6"/>
  <c r="K92" i="6"/>
  <c r="AF92" i="6"/>
  <c r="D92" i="6"/>
  <c r="C93" i="6"/>
  <c r="AL92" i="6"/>
  <c r="AM92" i="6"/>
  <c r="F93" i="6" l="1"/>
  <c r="G93" i="6"/>
  <c r="AJ93" i="6"/>
  <c r="BA48" i="21"/>
  <c r="BG92" i="6" s="1"/>
  <c r="BD91" i="6"/>
  <c r="AW91" i="6"/>
  <c r="AX91" i="6"/>
  <c r="AT92" i="6"/>
  <c r="AY92" i="6" s="1"/>
  <c r="AU92" i="6"/>
  <c r="BF91" i="6"/>
  <c r="AY91" i="6"/>
  <c r="BB90" i="6"/>
  <c r="BH90" i="6" s="1"/>
  <c r="BI90" i="6" s="1"/>
  <c r="AF49" i="21"/>
  <c r="AK93" i="6"/>
  <c r="AH92" i="6"/>
  <c r="AI92" i="6" s="1"/>
  <c r="AD93" i="6"/>
  <c r="K93" i="6"/>
  <c r="AF93" i="6"/>
  <c r="D93" i="6"/>
  <c r="AG92" i="6"/>
  <c r="AE92" i="6" s="1"/>
  <c r="C94" i="6"/>
  <c r="AL93" i="6"/>
  <c r="AM93" i="6"/>
  <c r="AJ94" i="6" l="1"/>
  <c r="G94" i="6"/>
  <c r="F94" i="6"/>
  <c r="BF93" i="6"/>
  <c r="BF92" i="6"/>
  <c r="AW92" i="6"/>
  <c r="AX92" i="6"/>
  <c r="BD92" i="6"/>
  <c r="BB91" i="6"/>
  <c r="BH91" i="6" s="1"/>
  <c r="BI91" i="6" s="1"/>
  <c r="AT93" i="6"/>
  <c r="AY93" i="6" s="1"/>
  <c r="AU93" i="6"/>
  <c r="D94" i="6"/>
  <c r="AF50" i="21"/>
  <c r="AE49" i="21"/>
  <c r="BA49" i="21"/>
  <c r="BG93" i="6" s="1"/>
  <c r="AH93" i="6"/>
  <c r="AI93" i="6" s="1"/>
  <c r="AK94" i="6"/>
  <c r="AD94" i="6"/>
  <c r="K94" i="6"/>
  <c r="AF94" i="6"/>
  <c r="AG93" i="6"/>
  <c r="AE93" i="6" s="1"/>
  <c r="C95" i="6"/>
  <c r="AL94" i="6"/>
  <c r="AM94" i="6"/>
  <c r="AJ95" i="6" s="1"/>
  <c r="AF51" i="21" l="1"/>
  <c r="BA51" i="21" s="1"/>
  <c r="BG95" i="6" s="1"/>
  <c r="G95" i="6"/>
  <c r="F95" i="6"/>
  <c r="BF94" i="6"/>
  <c r="AH94" i="6"/>
  <c r="AI94" i="6" s="1"/>
  <c r="AX93" i="6"/>
  <c r="BD93" i="6"/>
  <c r="AW93" i="6"/>
  <c r="BB93" i="6" s="1"/>
  <c r="AU94" i="6"/>
  <c r="AT94" i="6"/>
  <c r="AY94" i="6" s="1"/>
  <c r="BB92" i="6"/>
  <c r="BH92" i="6" s="1"/>
  <c r="BI92" i="6" s="1"/>
  <c r="AE50" i="21"/>
  <c r="BA50" i="21"/>
  <c r="BG94" i="6" s="1"/>
  <c r="AK95" i="6"/>
  <c r="AD95" i="6"/>
  <c r="K95" i="6"/>
  <c r="AF95" i="6"/>
  <c r="D95" i="6"/>
  <c r="AG94" i="6"/>
  <c r="AE94" i="6" s="1"/>
  <c r="C96" i="6"/>
  <c r="AM95" i="6"/>
  <c r="AJ96" i="6" s="1"/>
  <c r="AL95" i="6"/>
  <c r="AE51" i="21" l="1"/>
  <c r="AF52" i="21"/>
  <c r="AE52" i="21" s="1"/>
  <c r="G96" i="6"/>
  <c r="BF95" i="6"/>
  <c r="BH93" i="6"/>
  <c r="BI93" i="6" s="1"/>
  <c r="AT95" i="6"/>
  <c r="AY95" i="6" s="1"/>
  <c r="AU95" i="6"/>
  <c r="AW94" i="6"/>
  <c r="AX94" i="6"/>
  <c r="BD94" i="6"/>
  <c r="AK96" i="6"/>
  <c r="AH95" i="6"/>
  <c r="AI95" i="6" s="1"/>
  <c r="AD96" i="6"/>
  <c r="AF96" i="6"/>
  <c r="K96" i="6"/>
  <c r="D96" i="6"/>
  <c r="AG95" i="6"/>
  <c r="AE95" i="6" s="1"/>
  <c r="C97" i="6"/>
  <c r="AM96" i="6"/>
  <c r="AJ97" i="6" s="1"/>
  <c r="AL96" i="6"/>
  <c r="BA52" i="21" l="1"/>
  <c r="BG96" i="6" s="1"/>
  <c r="G97" i="6"/>
  <c r="F97" i="6"/>
  <c r="BB94" i="6"/>
  <c r="BH94" i="6" s="1"/>
  <c r="BI94" i="6" s="1"/>
  <c r="BD95" i="6"/>
  <c r="AW95" i="6"/>
  <c r="AX95" i="6"/>
  <c r="AT96" i="6"/>
  <c r="AU96" i="6"/>
  <c r="AF53" i="21"/>
  <c r="AH96" i="6"/>
  <c r="AI96" i="6" s="1"/>
  <c r="AK97" i="6"/>
  <c r="AD97" i="6"/>
  <c r="K97" i="6"/>
  <c r="AF97" i="6"/>
  <c r="D97" i="6"/>
  <c r="AG96" i="6"/>
  <c r="AE96" i="6" s="1"/>
  <c r="C98" i="6"/>
  <c r="AM97" i="6"/>
  <c r="AJ98" i="6" s="1"/>
  <c r="AL97" i="6"/>
  <c r="G98" i="6" l="1"/>
  <c r="F98" i="6"/>
  <c r="BF97" i="6"/>
  <c r="AF54" i="21"/>
  <c r="AE54" i="21" s="1"/>
  <c r="AY96" i="6"/>
  <c r="BF96" i="6"/>
  <c r="BB95" i="6"/>
  <c r="BH95" i="6" s="1"/>
  <c r="BI95" i="6" s="1"/>
  <c r="AT97" i="6"/>
  <c r="AY97" i="6" s="1"/>
  <c r="AU97" i="6"/>
  <c r="AW96" i="6"/>
  <c r="BD96" i="6"/>
  <c r="AX96" i="6"/>
  <c r="AE53" i="21"/>
  <c r="BA53" i="21"/>
  <c r="BG97" i="6" s="1"/>
  <c r="AH97" i="6"/>
  <c r="AI97" i="6" s="1"/>
  <c r="AK98" i="6"/>
  <c r="AF98" i="6"/>
  <c r="AD98" i="6"/>
  <c r="K98" i="6"/>
  <c r="D98" i="6"/>
  <c r="AG97" i="6"/>
  <c r="AE97" i="6" s="1"/>
  <c r="C99" i="6"/>
  <c r="AM98" i="6"/>
  <c r="AJ99" i="6" s="1"/>
  <c r="AL98" i="6"/>
  <c r="BA54" i="21" l="1"/>
  <c r="BG98" i="6" s="1"/>
  <c r="AF55" i="21"/>
  <c r="AE55" i="21" s="1"/>
  <c r="G99" i="6"/>
  <c r="F99" i="6"/>
  <c r="BF98" i="6"/>
  <c r="BB96" i="6"/>
  <c r="BH96" i="6" s="1"/>
  <c r="BI96" i="6" s="1"/>
  <c r="AX97" i="6"/>
  <c r="BD97" i="6"/>
  <c r="AW97" i="6"/>
  <c r="AU98" i="6"/>
  <c r="AT98" i="6"/>
  <c r="AY98" i="6" s="1"/>
  <c r="AH98" i="6"/>
  <c r="AI98" i="6" s="1"/>
  <c r="AG98" i="6"/>
  <c r="AE98" i="6" s="1"/>
  <c r="AK99" i="6"/>
  <c r="AF99" i="6"/>
  <c r="AD99" i="6"/>
  <c r="K99" i="6"/>
  <c r="D99" i="6"/>
  <c r="C100" i="6"/>
  <c r="AM99" i="6"/>
  <c r="AJ100" i="6" s="1"/>
  <c r="AL99" i="6"/>
  <c r="BA55" i="21" l="1"/>
  <c r="BG99" i="6" s="1"/>
  <c r="G100" i="6"/>
  <c r="F100" i="6"/>
  <c r="BF99" i="6"/>
  <c r="BB97" i="6"/>
  <c r="BH97" i="6" s="1"/>
  <c r="BI97" i="6" s="1"/>
  <c r="AW98" i="6"/>
  <c r="AX98" i="6"/>
  <c r="BD98" i="6"/>
  <c r="AT99" i="6"/>
  <c r="AY99" i="6" s="1"/>
  <c r="AU99" i="6"/>
  <c r="AF56" i="21"/>
  <c r="AG99" i="6"/>
  <c r="AE99" i="6" s="1"/>
  <c r="AH99" i="6"/>
  <c r="AI99" i="6" s="1"/>
  <c r="AK100" i="6"/>
  <c r="AD100" i="6"/>
  <c r="K100" i="6"/>
  <c r="AF100" i="6"/>
  <c r="D100" i="6"/>
  <c r="C101" i="6"/>
  <c r="AL100" i="6"/>
  <c r="AM100" i="6"/>
  <c r="AJ101" i="6" s="1"/>
  <c r="AF57" i="21" l="1"/>
  <c r="AE57" i="21" s="1"/>
  <c r="G101" i="6"/>
  <c r="F101" i="6"/>
  <c r="BF100" i="6"/>
  <c r="AX99" i="6"/>
  <c r="AW99" i="6"/>
  <c r="BD99" i="6"/>
  <c r="BB98" i="6"/>
  <c r="BH98" i="6" s="1"/>
  <c r="BI98" i="6" s="1"/>
  <c r="AT100" i="6"/>
  <c r="AY100" i="6" s="1"/>
  <c r="AU100" i="6"/>
  <c r="AE56" i="21"/>
  <c r="BA56" i="21"/>
  <c r="BG100" i="6" s="1"/>
  <c r="AH100" i="6"/>
  <c r="AI100" i="6" s="1"/>
  <c r="AK101" i="6"/>
  <c r="AD101" i="6"/>
  <c r="K101" i="6"/>
  <c r="AF101" i="6"/>
  <c r="D101" i="6"/>
  <c r="AG100" i="6"/>
  <c r="AE100" i="6" s="1"/>
  <c r="C102" i="6"/>
  <c r="AL101" i="6"/>
  <c r="AM101" i="6"/>
  <c r="AJ102" i="6" s="1"/>
  <c r="BA57" i="21" l="1"/>
  <c r="BG101" i="6" s="1"/>
  <c r="AF58" i="21"/>
  <c r="AE58" i="21" s="1"/>
  <c r="F102" i="6"/>
  <c r="BF101" i="6"/>
  <c r="BB99" i="6"/>
  <c r="BH99" i="6" s="1"/>
  <c r="BI99" i="6" s="1"/>
  <c r="AT101" i="6"/>
  <c r="AY101" i="6" s="1"/>
  <c r="AU101" i="6"/>
  <c r="AW100" i="6"/>
  <c r="BD100" i="6"/>
  <c r="AX100" i="6"/>
  <c r="AH101" i="6"/>
  <c r="AI101" i="6" s="1"/>
  <c r="AK102" i="6"/>
  <c r="AD102" i="6"/>
  <c r="K102" i="6"/>
  <c r="AF102" i="6"/>
  <c r="D102" i="6"/>
  <c r="AG101" i="6"/>
  <c r="AE101" i="6" s="1"/>
  <c r="C103" i="6"/>
  <c r="AL102" i="6"/>
  <c r="AM102" i="6"/>
  <c r="AJ103" i="6" s="1"/>
  <c r="BA58" i="21" l="1"/>
  <c r="BG102" i="6" s="1"/>
  <c r="G103" i="6"/>
  <c r="F103" i="6"/>
  <c r="BB100" i="6"/>
  <c r="BH100" i="6" s="1"/>
  <c r="BI100" i="6" s="1"/>
  <c r="AX101" i="6"/>
  <c r="BD101" i="6"/>
  <c r="AW101" i="6"/>
  <c r="AU102" i="6"/>
  <c r="AT102" i="6"/>
  <c r="AY102" i="6" s="1"/>
  <c r="D103" i="6"/>
  <c r="AF59" i="21"/>
  <c r="AH102" i="6"/>
  <c r="AI102" i="6" s="1"/>
  <c r="AK103" i="6"/>
  <c r="AF103" i="6"/>
  <c r="AD103" i="6"/>
  <c r="K103" i="6"/>
  <c r="AG102" i="6"/>
  <c r="AE102" i="6" s="1"/>
  <c r="C104" i="6"/>
  <c r="AM103" i="6"/>
  <c r="AJ104" i="6" s="1"/>
  <c r="AL103" i="6"/>
  <c r="AF60" i="21" l="1"/>
  <c r="AE60" i="21" s="1"/>
  <c r="F104" i="6"/>
  <c r="G104" i="6"/>
  <c r="BF102" i="6"/>
  <c r="BF103" i="6"/>
  <c r="BB101" i="6"/>
  <c r="BH101" i="6" s="1"/>
  <c r="BI101" i="6" s="1"/>
  <c r="AH103" i="6"/>
  <c r="AI103" i="6" s="1"/>
  <c r="AW102" i="6"/>
  <c r="AX102" i="6"/>
  <c r="BD102" i="6"/>
  <c r="AT103" i="6"/>
  <c r="AY103" i="6" s="1"/>
  <c r="AU103" i="6"/>
  <c r="AE59" i="21"/>
  <c r="BA59" i="21"/>
  <c r="BG103" i="6" s="1"/>
  <c r="AG103" i="6"/>
  <c r="AE103" i="6" s="1"/>
  <c r="AK104" i="6"/>
  <c r="AD104" i="6"/>
  <c r="AF104" i="6"/>
  <c r="K104" i="6"/>
  <c r="D104" i="6"/>
  <c r="C105" i="6"/>
  <c r="AM104" i="6"/>
  <c r="AJ105" i="6" s="1"/>
  <c r="AL104" i="6"/>
  <c r="BA60" i="21" l="1"/>
  <c r="BG104" i="6" s="1"/>
  <c r="AF61" i="21"/>
  <c r="BA61" i="21" s="1"/>
  <c r="BG105" i="6" s="1"/>
  <c r="G105" i="6"/>
  <c r="F105" i="6"/>
  <c r="BF104" i="6"/>
  <c r="AW103" i="6"/>
  <c r="AX103" i="6"/>
  <c r="BD103" i="6"/>
  <c r="BB102" i="6"/>
  <c r="BH102" i="6" s="1"/>
  <c r="BI102" i="6" s="1"/>
  <c r="AU104" i="6"/>
  <c r="AT104" i="6"/>
  <c r="AY104" i="6" s="1"/>
  <c r="AH104" i="6"/>
  <c r="AI104" i="6" s="1"/>
  <c r="AK105" i="6"/>
  <c r="AD105" i="6"/>
  <c r="K105" i="6"/>
  <c r="AF105" i="6"/>
  <c r="D105" i="6"/>
  <c r="AG104" i="6"/>
  <c r="AE104" i="6" s="1"/>
  <c r="C106" i="6"/>
  <c r="AM105" i="6"/>
  <c r="AJ106" i="6" s="1"/>
  <c r="AL105" i="6"/>
  <c r="AE61" i="21" l="1"/>
  <c r="AF62" i="21"/>
  <c r="BA62" i="21" s="1"/>
  <c r="BG106" i="6" s="1"/>
  <c r="G106" i="6"/>
  <c r="F106" i="6"/>
  <c r="BF105" i="6"/>
  <c r="BD104" i="6"/>
  <c r="AW104" i="6"/>
  <c r="AX104" i="6"/>
  <c r="BB103" i="6"/>
  <c r="BH103" i="6" s="1"/>
  <c r="BI103" i="6" s="1"/>
  <c r="AT105" i="6"/>
  <c r="AY105" i="6" s="1"/>
  <c r="AU105" i="6"/>
  <c r="AH105" i="6"/>
  <c r="AI105" i="6" s="1"/>
  <c r="AK106" i="6"/>
  <c r="AF106" i="6"/>
  <c r="K106" i="6"/>
  <c r="AD106" i="6"/>
  <c r="D106" i="6"/>
  <c r="AG105" i="6"/>
  <c r="AE105" i="6" s="1"/>
  <c r="C107" i="6"/>
  <c r="AM106" i="6"/>
  <c r="AJ107" i="6" s="1"/>
  <c r="AL106" i="6"/>
  <c r="AE62" i="21" l="1"/>
  <c r="F107" i="6"/>
  <c r="G107" i="6"/>
  <c r="BF106" i="6"/>
  <c r="AX105" i="6"/>
  <c r="BD105" i="6"/>
  <c r="AW105" i="6"/>
  <c r="BB104" i="6"/>
  <c r="BH104" i="6" s="1"/>
  <c r="BI104" i="6" s="1"/>
  <c r="AU106" i="6"/>
  <c r="AT106" i="6"/>
  <c r="AY106" i="6" s="1"/>
  <c r="AF63" i="21"/>
  <c r="AH106" i="6"/>
  <c r="AI106" i="6" s="1"/>
  <c r="AK107" i="6"/>
  <c r="AF107" i="6"/>
  <c r="AD107" i="6"/>
  <c r="K107" i="6"/>
  <c r="D107" i="6"/>
  <c r="AG106" i="6"/>
  <c r="AE106" i="6" s="1"/>
  <c r="C108" i="6"/>
  <c r="G108" i="6" s="1"/>
  <c r="AM107" i="6"/>
  <c r="AJ108" i="6" s="1"/>
  <c r="AL107" i="6"/>
  <c r="BF107" i="6" l="1"/>
  <c r="AF64" i="21"/>
  <c r="BA64" i="21" s="1"/>
  <c r="BG108" i="6" s="1"/>
  <c r="BB105" i="6"/>
  <c r="BH105" i="6" s="1"/>
  <c r="BI105" i="6" s="1"/>
  <c r="AT107" i="6"/>
  <c r="AY107" i="6" s="1"/>
  <c r="AU107" i="6"/>
  <c r="BD106" i="6"/>
  <c r="AW106" i="6"/>
  <c r="AX106" i="6"/>
  <c r="AE63" i="21"/>
  <c r="BA63" i="21"/>
  <c r="BG107" i="6" s="1"/>
  <c r="AG107" i="6"/>
  <c r="AE107" i="6" s="1"/>
  <c r="AK108" i="6"/>
  <c r="AH107" i="6"/>
  <c r="AI107" i="6" s="1"/>
  <c r="AD108" i="6"/>
  <c r="K108" i="6"/>
  <c r="AF108" i="6"/>
  <c r="D108" i="6"/>
  <c r="C109" i="6"/>
  <c r="AM108" i="6"/>
  <c r="AJ109" i="6" s="1"/>
  <c r="AL108" i="6"/>
  <c r="G109" i="6" l="1"/>
  <c r="F109" i="6"/>
  <c r="BF108" i="6"/>
  <c r="AE64" i="21"/>
  <c r="AF65" i="21"/>
  <c r="AE65" i="21" s="1"/>
  <c r="BB106" i="6"/>
  <c r="BH106" i="6" s="1"/>
  <c r="BI106" i="6" s="1"/>
  <c r="AT108" i="6"/>
  <c r="AY108" i="6" s="1"/>
  <c r="AU108" i="6"/>
  <c r="AX107" i="6"/>
  <c r="AW107" i="6"/>
  <c r="BD107" i="6"/>
  <c r="AH108" i="6"/>
  <c r="AI108" i="6" s="1"/>
  <c r="AK109" i="6"/>
  <c r="AD109" i="6"/>
  <c r="K109" i="6"/>
  <c r="AF109" i="6"/>
  <c r="D109" i="6"/>
  <c r="AG108" i="6"/>
  <c r="AE108" i="6" s="1"/>
  <c r="C110" i="6"/>
  <c r="AL109" i="6"/>
  <c r="AM109" i="6"/>
  <c r="AJ110" i="6" s="1"/>
  <c r="F110" i="6" l="1"/>
  <c r="G110" i="6"/>
  <c r="BF109" i="6"/>
  <c r="BA65" i="21"/>
  <c r="BG109" i="6" s="1"/>
  <c r="BB107" i="6"/>
  <c r="BH107" i="6" s="1"/>
  <c r="BI107" i="6" s="1"/>
  <c r="BD108" i="6"/>
  <c r="AW108" i="6"/>
  <c r="AX108" i="6"/>
  <c r="AT109" i="6"/>
  <c r="AY109" i="6" s="1"/>
  <c r="AU109" i="6"/>
  <c r="AM110" i="6"/>
  <c r="AJ111" i="6" s="1"/>
  <c r="AF66" i="21"/>
  <c r="AH109" i="6"/>
  <c r="AI109" i="6" s="1"/>
  <c r="AK110" i="6"/>
  <c r="AF110" i="6"/>
  <c r="AD110" i="6"/>
  <c r="K110" i="6"/>
  <c r="D110" i="6"/>
  <c r="AG109" i="6"/>
  <c r="AE109" i="6" s="1"/>
  <c r="C111" i="6"/>
  <c r="AL110" i="6"/>
  <c r="C112" i="6" l="1"/>
  <c r="G111" i="6"/>
  <c r="F111" i="6"/>
  <c r="AD112" i="6"/>
  <c r="C113" i="6"/>
  <c r="AF112" i="6"/>
  <c r="AM112" i="6"/>
  <c r="D112" i="6"/>
  <c r="AL112" i="6"/>
  <c r="K112" i="6"/>
  <c r="BF110" i="6"/>
  <c r="AK111" i="6"/>
  <c r="BB108" i="6"/>
  <c r="BH108" i="6" s="1"/>
  <c r="BI108" i="6" s="1"/>
  <c r="AU110" i="6"/>
  <c r="AT110" i="6"/>
  <c r="AY110" i="6" s="1"/>
  <c r="AX109" i="6"/>
  <c r="BD109" i="6"/>
  <c r="AW109" i="6"/>
  <c r="AF67" i="21"/>
  <c r="AE66" i="21"/>
  <c r="BA66" i="21"/>
  <c r="BG110" i="6" s="1"/>
  <c r="AH110" i="6"/>
  <c r="AI110" i="6" s="1"/>
  <c r="AG110" i="6"/>
  <c r="AE110" i="6" s="1"/>
  <c r="AF111" i="6"/>
  <c r="AD111" i="6"/>
  <c r="K111" i="6"/>
  <c r="D111" i="6"/>
  <c r="AM111" i="6"/>
  <c r="AJ112" i="6" s="1"/>
  <c r="AJ113" i="6" s="1"/>
  <c r="AL111" i="6"/>
  <c r="F113" i="6" l="1"/>
  <c r="G113" i="6"/>
  <c r="F112" i="6"/>
  <c r="G112" i="6"/>
  <c r="AH112" i="6"/>
  <c r="AI112" i="6" s="1"/>
  <c r="AT112" i="6"/>
  <c r="AY112" i="6" s="1"/>
  <c r="AU112" i="6"/>
  <c r="C114" i="6"/>
  <c r="AM113" i="6"/>
  <c r="AJ114" i="6" s="1"/>
  <c r="AD113" i="6"/>
  <c r="AF113" i="6"/>
  <c r="D113" i="6"/>
  <c r="K113" i="6"/>
  <c r="AL113" i="6"/>
  <c r="AG112" i="6"/>
  <c r="AE112" i="6" s="1"/>
  <c r="BF112" i="6"/>
  <c r="AK112" i="6"/>
  <c r="AK113" i="6" s="1"/>
  <c r="AK114" i="6" s="1"/>
  <c r="BF111" i="6"/>
  <c r="BB109" i="6"/>
  <c r="BH109" i="6" s="1"/>
  <c r="BI109" i="6" s="1"/>
  <c r="AW110" i="6"/>
  <c r="AX110" i="6"/>
  <c r="BD110" i="6"/>
  <c r="AT111" i="6"/>
  <c r="AY111" i="6" s="1"/>
  <c r="AU111" i="6"/>
  <c r="BA67" i="21"/>
  <c r="BA68" i="21"/>
  <c r="BG112" i="6" s="1"/>
  <c r="AE67" i="21"/>
  <c r="AH111" i="6"/>
  <c r="AI111" i="6" s="1"/>
  <c r="AG111" i="6"/>
  <c r="AE111" i="6" s="1"/>
  <c r="F114" i="6" l="1"/>
  <c r="G114" i="6"/>
  <c r="AH113" i="6"/>
  <c r="AI113" i="6" s="1"/>
  <c r="AT113" i="6"/>
  <c r="AY113" i="6" s="1"/>
  <c r="AU113" i="6"/>
  <c r="AM114" i="6"/>
  <c r="AJ115" i="6" s="1"/>
  <c r="AD114" i="6"/>
  <c r="AF114" i="6"/>
  <c r="C115" i="6"/>
  <c r="D114" i="6"/>
  <c r="K114" i="6"/>
  <c r="AL114" i="6"/>
  <c r="BF113" i="6"/>
  <c r="AG113" i="6"/>
  <c r="AE113" i="6" s="1"/>
  <c r="AW112" i="6"/>
  <c r="BD112" i="6"/>
  <c r="AX112" i="6"/>
  <c r="AW111" i="6"/>
  <c r="BD111" i="6"/>
  <c r="AX111" i="6"/>
  <c r="BB110" i="6"/>
  <c r="BH110" i="6" s="1"/>
  <c r="BI110" i="6" s="1"/>
  <c r="BG111" i="6"/>
  <c r="F30" i="1"/>
  <c r="F39" i="1"/>
  <c r="F40" i="1"/>
  <c r="F42" i="1"/>
  <c r="F44" i="1"/>
  <c r="F45" i="1"/>
  <c r="F46" i="1"/>
  <c r="F47" i="1"/>
  <c r="F48" i="1"/>
  <c r="F50" i="1"/>
  <c r="F51" i="1"/>
  <c r="F59" i="1"/>
  <c r="F52" i="1"/>
  <c r="F57" i="1"/>
  <c r="F58" i="1"/>
  <c r="F60" i="1"/>
  <c r="F83" i="1"/>
  <c r="F61" i="1"/>
  <c r="F62" i="1"/>
  <c r="F64" i="1"/>
  <c r="F66" i="1"/>
  <c r="F67" i="1"/>
  <c r="F68" i="1"/>
  <c r="F69" i="1"/>
  <c r="F70" i="1"/>
  <c r="F54" i="1"/>
  <c r="F71" i="1"/>
  <c r="F72" i="1"/>
  <c r="F73" i="1"/>
  <c r="F74" i="1"/>
  <c r="F75" i="1"/>
  <c r="F79" i="1"/>
  <c r="F88" i="1"/>
  <c r="F90" i="1"/>
  <c r="F80" i="1"/>
  <c r="F81" i="1"/>
  <c r="F82" i="1"/>
  <c r="F84" i="1"/>
  <c r="F86" i="1"/>
  <c r="F87" i="1"/>
  <c r="F76" i="1"/>
  <c r="F85" i="1"/>
  <c r="AK115" i="6" l="1"/>
  <c r="F115" i="6"/>
  <c r="G115" i="6"/>
  <c r="BB112" i="6"/>
  <c r="BH112" i="6" s="1"/>
  <c r="BI112" i="6" s="1"/>
  <c r="AH114" i="6"/>
  <c r="AI114" i="6" s="1"/>
  <c r="BF114" i="6"/>
  <c r="AG114" i="6"/>
  <c r="AE114" i="6" s="1"/>
  <c r="AW113" i="6"/>
  <c r="BD113" i="6"/>
  <c r="AX113" i="6"/>
  <c r="AM115" i="6"/>
  <c r="AJ116" i="6" s="1"/>
  <c r="AD115" i="6"/>
  <c r="AF115" i="6"/>
  <c r="C116" i="6"/>
  <c r="AL115" i="6"/>
  <c r="D115" i="6"/>
  <c r="K115" i="6"/>
  <c r="AT114" i="6"/>
  <c r="AY114" i="6" s="1"/>
  <c r="AU114" i="6"/>
  <c r="E22" i="1"/>
  <c r="E19" i="1"/>
  <c r="E21" i="1"/>
  <c r="C22" i="1"/>
  <c r="G22" i="1"/>
  <c r="H22" i="1"/>
  <c r="F22" i="1"/>
  <c r="G21" i="1"/>
  <c r="C21" i="1"/>
  <c r="H21" i="1"/>
  <c r="F21" i="1"/>
  <c r="F19" i="1"/>
  <c r="H19" i="1"/>
  <c r="G19" i="1"/>
  <c r="C19" i="1"/>
  <c r="BB111" i="6"/>
  <c r="BH111" i="6" s="1"/>
  <c r="BH47" i="6" s="1"/>
  <c r="X11" i="21"/>
  <c r="W13" i="21"/>
  <c r="X13" i="21" s="1"/>
  <c r="W12" i="21"/>
  <c r="L6" i="21"/>
  <c r="P7" i="21"/>
  <c r="T9" i="21"/>
  <c r="S11" i="21"/>
  <c r="T11" i="21" s="1"/>
  <c r="S12" i="21"/>
  <c r="T12" i="21" s="1"/>
  <c r="S10" i="21"/>
  <c r="O10" i="21"/>
  <c r="P10" i="21" s="1"/>
  <c r="O9" i="21"/>
  <c r="P9" i="21" s="1"/>
  <c r="O8" i="21"/>
  <c r="K8" i="21"/>
  <c r="K7" i="21"/>
  <c r="I21" i="21"/>
  <c r="J21" i="21"/>
  <c r="I22" i="21"/>
  <c r="Q7" i="21" s="1"/>
  <c r="J22" i="21"/>
  <c r="I23" i="21"/>
  <c r="J23" i="21"/>
  <c r="I24" i="21"/>
  <c r="J24" i="21"/>
  <c r="I25" i="21"/>
  <c r="J25" i="21"/>
  <c r="I26" i="21"/>
  <c r="Y11" i="21" s="1"/>
  <c r="J26" i="21"/>
  <c r="I27" i="21"/>
  <c r="J27" i="21"/>
  <c r="J20" i="21"/>
  <c r="I20" i="21"/>
  <c r="M6" i="21" s="1"/>
  <c r="V34" i="9"/>
  <c r="W34" i="9" s="1"/>
  <c r="V33" i="9"/>
  <c r="W33" i="9" s="1"/>
  <c r="V32" i="9"/>
  <c r="W32" i="9" s="1"/>
  <c r="V31" i="9"/>
  <c r="W31" i="9" s="1"/>
  <c r="L29" i="9"/>
  <c r="L30" i="9" s="1"/>
  <c r="L31" i="9" s="1"/>
  <c r="P11" i="8"/>
  <c r="O11" i="8"/>
  <c r="W10" i="8"/>
  <c r="P10" i="8"/>
  <c r="O10" i="8"/>
  <c r="P9" i="8"/>
  <c r="O9" i="8"/>
  <c r="W8" i="8"/>
  <c r="P8" i="8"/>
  <c r="O8" i="8"/>
  <c r="W7" i="8"/>
  <c r="P7" i="8"/>
  <c r="O7" i="8"/>
  <c r="P6" i="8"/>
  <c r="O6" i="8"/>
  <c r="W5" i="8"/>
  <c r="W4" i="8"/>
  <c r="Q45" i="24"/>
  <c r="R45" i="24" s="1"/>
  <c r="Q44" i="24"/>
  <c r="R44" i="24" s="1"/>
  <c r="Q43" i="24"/>
  <c r="R43" i="24" s="1"/>
  <c r="Q42" i="24"/>
  <c r="R42" i="24" s="1"/>
  <c r="G40" i="24"/>
  <c r="G41" i="24" s="1"/>
  <c r="G42" i="24" s="1"/>
  <c r="T9" i="24"/>
  <c r="T10" i="24" s="1"/>
  <c r="U8" i="24"/>
  <c r="S8" i="24"/>
  <c r="R8" i="24"/>
  <c r="P7" i="24"/>
  <c r="Q7" i="24" s="1"/>
  <c r="O7" i="24" s="1"/>
  <c r="N7" i="24"/>
  <c r="L7" i="24"/>
  <c r="M7" i="24" s="1"/>
  <c r="K7" i="24" s="1"/>
  <c r="J7" i="24"/>
  <c r="H6" i="24"/>
  <c r="I6" i="24" s="1"/>
  <c r="G6" i="24" s="1"/>
  <c r="F6" i="24"/>
  <c r="H7" i="24" s="1"/>
  <c r="F116" i="6" l="1"/>
  <c r="G116" i="6"/>
  <c r="AH115" i="6"/>
  <c r="AI115" i="6" s="1"/>
  <c r="AG115" i="6"/>
  <c r="AE115" i="6" s="1"/>
  <c r="AK116" i="6"/>
  <c r="AT115" i="6"/>
  <c r="AY115" i="6" s="1"/>
  <c r="AU115" i="6"/>
  <c r="AF116" i="6"/>
  <c r="AM116" i="6"/>
  <c r="AJ117" i="6" s="1"/>
  <c r="C117" i="6"/>
  <c r="AD116" i="6"/>
  <c r="D116" i="6"/>
  <c r="K116" i="6"/>
  <c r="AL116" i="6"/>
  <c r="BB113" i="6"/>
  <c r="BH113" i="6" s="1"/>
  <c r="BI113" i="6" s="1"/>
  <c r="BF115" i="6"/>
  <c r="AW114" i="6"/>
  <c r="AX114" i="6"/>
  <c r="BD114" i="6"/>
  <c r="P8" i="24"/>
  <c r="N8" i="24" s="1"/>
  <c r="P8" i="21"/>
  <c r="R8" i="21" s="1"/>
  <c r="T10" i="21"/>
  <c r="V10" i="21" s="1"/>
  <c r="X12" i="21"/>
  <c r="Z12" i="21" s="1"/>
  <c r="BI111" i="6"/>
  <c r="U11" i="21"/>
  <c r="I11" i="21" s="1"/>
  <c r="Z13" i="21"/>
  <c r="R9" i="21"/>
  <c r="J9" i="21" s="1"/>
  <c r="R10" i="21"/>
  <c r="Y13" i="21"/>
  <c r="R7" i="21"/>
  <c r="Y12" i="21"/>
  <c r="U10" i="21"/>
  <c r="Z11" i="21"/>
  <c r="V12" i="21"/>
  <c r="V11" i="21"/>
  <c r="J11" i="21" s="1"/>
  <c r="Q10" i="21"/>
  <c r="I10" i="21" s="1"/>
  <c r="U9" i="21"/>
  <c r="Q9" i="21"/>
  <c r="I9" i="21" s="1"/>
  <c r="V9" i="21"/>
  <c r="U12" i="21"/>
  <c r="I12" i="21" s="1"/>
  <c r="Q8" i="21"/>
  <c r="N6" i="21"/>
  <c r="L8" i="21"/>
  <c r="N8" i="21" s="1"/>
  <c r="L7" i="21"/>
  <c r="N7" i="21" s="1"/>
  <c r="J7" i="21" s="1"/>
  <c r="M7" i="21"/>
  <c r="I7" i="21" s="1"/>
  <c r="M8" i="21"/>
  <c r="I8" i="21" s="1"/>
  <c r="V35" i="9"/>
  <c r="F7" i="24"/>
  <c r="I7" i="24"/>
  <c r="G7" i="24" s="1"/>
  <c r="C47" i="24" s="1"/>
  <c r="U10" i="24"/>
  <c r="S10" i="24" s="1"/>
  <c r="R10" i="24"/>
  <c r="U9" i="24"/>
  <c r="S9" i="24" s="1"/>
  <c r="Q8" i="24"/>
  <c r="O8" i="24" s="1"/>
  <c r="P9" i="24"/>
  <c r="R9" i="24"/>
  <c r="G117" i="6" l="1"/>
  <c r="F117" i="6"/>
  <c r="AG116" i="6"/>
  <c r="AE116" i="6" s="1"/>
  <c r="AH116" i="6"/>
  <c r="AI116" i="6" s="1"/>
  <c r="AF117" i="6"/>
  <c r="AM117" i="6"/>
  <c r="AJ118" i="6" s="1"/>
  <c r="C118" i="6"/>
  <c r="G118" i="6" s="1"/>
  <c r="AD117" i="6"/>
  <c r="AL117" i="6"/>
  <c r="D117" i="6"/>
  <c r="K117" i="6"/>
  <c r="BB114" i="6"/>
  <c r="BH114" i="6" s="1"/>
  <c r="BI114" i="6" s="1"/>
  <c r="AT116" i="6"/>
  <c r="AY116" i="6" s="1"/>
  <c r="AU116" i="6"/>
  <c r="AK117" i="6"/>
  <c r="AK118" i="6" s="1"/>
  <c r="BF116" i="6"/>
  <c r="AX115" i="6"/>
  <c r="BD115" i="6"/>
  <c r="AW115" i="6"/>
  <c r="V21" i="21"/>
  <c r="X21" i="21"/>
  <c r="AA21" i="21"/>
  <c r="AA20" i="21"/>
  <c r="U20" i="21"/>
  <c r="W21" i="21"/>
  <c r="W20" i="21"/>
  <c r="U21" i="21"/>
  <c r="X20" i="21"/>
  <c r="Z21" i="21"/>
  <c r="Z20" i="21"/>
  <c r="Y21" i="21"/>
  <c r="Y20" i="21"/>
  <c r="V20" i="21"/>
  <c r="AB21" i="21"/>
  <c r="AB20" i="21"/>
  <c r="J12" i="21"/>
  <c r="J10" i="21"/>
  <c r="J8" i="21"/>
  <c r="W35" i="9"/>
  <c r="V36" i="9"/>
  <c r="W36" i="9" s="1"/>
  <c r="C49" i="24"/>
  <c r="Q46" i="24"/>
  <c r="C48" i="24"/>
  <c r="Q9" i="24"/>
  <c r="O9" i="24" s="1"/>
  <c r="N9" i="24"/>
  <c r="BB115" i="6" l="1"/>
  <c r="BH115" i="6" s="1"/>
  <c r="BI115" i="6" s="1"/>
  <c r="AG117" i="6"/>
  <c r="AE117" i="6" s="1"/>
  <c r="AH117" i="6"/>
  <c r="AI117" i="6" s="1"/>
  <c r="AT117" i="6"/>
  <c r="AY117" i="6" s="1"/>
  <c r="AU117" i="6"/>
  <c r="AX116" i="6"/>
  <c r="BD116" i="6"/>
  <c r="AW116" i="6"/>
  <c r="BB116" i="6" s="1"/>
  <c r="BH116" i="6" s="1"/>
  <c r="BI116" i="6" s="1"/>
  <c r="AF118" i="6"/>
  <c r="AM118" i="6"/>
  <c r="AJ119" i="6" s="1"/>
  <c r="AD118" i="6"/>
  <c r="C119" i="6"/>
  <c r="K118" i="6"/>
  <c r="AL118" i="6"/>
  <c r="D118" i="6"/>
  <c r="BF117" i="6"/>
  <c r="Q19" i="6" a="1"/>
  <c r="J96" i="6" s="1"/>
  <c r="O19" i="6" a="1"/>
  <c r="I96" i="6" s="1"/>
  <c r="Q47" i="24"/>
  <c r="R47" i="24" s="1"/>
  <c r="R46" i="24"/>
  <c r="D47" i="24"/>
  <c r="C50" i="24"/>
  <c r="G119" i="6" l="1"/>
  <c r="F119" i="6"/>
  <c r="AG118" i="6"/>
  <c r="AE118" i="6" s="1"/>
  <c r="I117" i="6"/>
  <c r="J117" i="6"/>
  <c r="AU118" i="6"/>
  <c r="AH118" i="6"/>
  <c r="AI118" i="6" s="1"/>
  <c r="AT118" i="6"/>
  <c r="AY118" i="6" s="1"/>
  <c r="BD117" i="6"/>
  <c r="AX117" i="6"/>
  <c r="AW117" i="6"/>
  <c r="I118" i="6"/>
  <c r="BF118" i="6"/>
  <c r="J118" i="6"/>
  <c r="I112" i="6"/>
  <c r="I113" i="6"/>
  <c r="I114" i="6"/>
  <c r="I115" i="6"/>
  <c r="I116" i="6"/>
  <c r="AK119" i="6"/>
  <c r="AK120" i="6" s="1"/>
  <c r="C120" i="6"/>
  <c r="AD119" i="6"/>
  <c r="AF119" i="6"/>
  <c r="AM119" i="6"/>
  <c r="AJ120" i="6" s="1"/>
  <c r="K119" i="6"/>
  <c r="D119" i="6"/>
  <c r="AL119" i="6"/>
  <c r="J112" i="6"/>
  <c r="J113" i="6"/>
  <c r="J114" i="6"/>
  <c r="J115" i="6"/>
  <c r="J116" i="6"/>
  <c r="I73" i="6"/>
  <c r="J73" i="6"/>
  <c r="O19" i="6"/>
  <c r="I54" i="6" s="1"/>
  <c r="I51" i="6"/>
  <c r="I56" i="6"/>
  <c r="I57" i="6"/>
  <c r="I58" i="6"/>
  <c r="I59" i="6"/>
  <c r="I60" i="6"/>
  <c r="I61" i="6"/>
  <c r="I62" i="6"/>
  <c r="I63" i="6"/>
  <c r="I64" i="6"/>
  <c r="I65" i="6"/>
  <c r="I66" i="6"/>
  <c r="I67" i="6"/>
  <c r="I68" i="6"/>
  <c r="I69" i="6"/>
  <c r="I70" i="6"/>
  <c r="I71" i="6"/>
  <c r="I72" i="6"/>
  <c r="I74" i="6"/>
  <c r="I75" i="6"/>
  <c r="I76" i="6"/>
  <c r="I77" i="6"/>
  <c r="I78" i="6"/>
  <c r="I79" i="6"/>
  <c r="I80" i="6"/>
  <c r="I81" i="6"/>
  <c r="I82" i="6"/>
  <c r="I83" i="6"/>
  <c r="I84" i="6"/>
  <c r="I85" i="6"/>
  <c r="I86" i="6"/>
  <c r="I87" i="6"/>
  <c r="I88" i="6"/>
  <c r="I89" i="6"/>
  <c r="I90" i="6"/>
  <c r="I91" i="6"/>
  <c r="I92" i="6"/>
  <c r="I93" i="6"/>
  <c r="I94" i="6"/>
  <c r="I95" i="6"/>
  <c r="I97" i="6"/>
  <c r="I98" i="6"/>
  <c r="I99" i="6"/>
  <c r="I100" i="6"/>
  <c r="I101" i="6"/>
  <c r="I102" i="6"/>
  <c r="I103" i="6"/>
  <c r="I104" i="6"/>
  <c r="I105" i="6"/>
  <c r="I106" i="6"/>
  <c r="I107" i="6"/>
  <c r="I108" i="6"/>
  <c r="I109" i="6"/>
  <c r="I110" i="6"/>
  <c r="I111" i="6"/>
  <c r="Q19" i="6"/>
  <c r="J51" i="6" s="1"/>
  <c r="J52" i="6"/>
  <c r="J54" i="6"/>
  <c r="J56" i="6"/>
  <c r="J57" i="6"/>
  <c r="J58" i="6"/>
  <c r="J59" i="6"/>
  <c r="J61" i="6"/>
  <c r="J60" i="6"/>
  <c r="J62" i="6"/>
  <c r="J63" i="6"/>
  <c r="J64" i="6"/>
  <c r="J65" i="6"/>
  <c r="J66" i="6"/>
  <c r="J67" i="6"/>
  <c r="J68" i="6"/>
  <c r="J69" i="6"/>
  <c r="J70" i="6"/>
  <c r="J71" i="6"/>
  <c r="J72" i="6"/>
  <c r="J74" i="6"/>
  <c r="J75" i="6"/>
  <c r="J76" i="6"/>
  <c r="J77" i="6"/>
  <c r="J78" i="6"/>
  <c r="J79" i="6"/>
  <c r="J80" i="6"/>
  <c r="J81" i="6"/>
  <c r="J82" i="6"/>
  <c r="J83" i="6"/>
  <c r="J84" i="6"/>
  <c r="J85" i="6"/>
  <c r="J86" i="6"/>
  <c r="J87" i="6"/>
  <c r="J88" i="6"/>
  <c r="J89" i="6"/>
  <c r="J90" i="6"/>
  <c r="J91" i="6"/>
  <c r="J92" i="6"/>
  <c r="J93" i="6"/>
  <c r="J94" i="6"/>
  <c r="J95" i="6"/>
  <c r="J97" i="6"/>
  <c r="J98" i="6"/>
  <c r="J99" i="6"/>
  <c r="J100" i="6"/>
  <c r="J101" i="6"/>
  <c r="J102" i="6"/>
  <c r="J103" i="6"/>
  <c r="J104" i="6"/>
  <c r="J105" i="6"/>
  <c r="J106" i="6"/>
  <c r="J107" i="6"/>
  <c r="J108" i="6"/>
  <c r="J109" i="6"/>
  <c r="J110" i="6"/>
  <c r="J111" i="6"/>
  <c r="D48" i="24"/>
  <c r="D49" i="24"/>
  <c r="G120" i="6" l="1"/>
  <c r="F120" i="6"/>
  <c r="BB117" i="6"/>
  <c r="BH117" i="6" s="1"/>
  <c r="BI117" i="6" s="1"/>
  <c r="I53" i="6"/>
  <c r="I52" i="6"/>
  <c r="AT119" i="6"/>
  <c r="AY119" i="6" s="1"/>
  <c r="AU119" i="6"/>
  <c r="AH119" i="6"/>
  <c r="AI119" i="6" s="1"/>
  <c r="AG119" i="6"/>
  <c r="AE119" i="6" s="1"/>
  <c r="I55" i="6"/>
  <c r="J55" i="6"/>
  <c r="AD120" i="6"/>
  <c r="C121" i="6"/>
  <c r="AF120" i="6"/>
  <c r="AM120" i="6"/>
  <c r="AK121" i="6" s="1"/>
  <c r="K120" i="6"/>
  <c r="AL120" i="6"/>
  <c r="D120" i="6"/>
  <c r="AX118" i="6"/>
  <c r="BD118" i="6"/>
  <c r="AW118" i="6"/>
  <c r="I119" i="6"/>
  <c r="J119" i="6"/>
  <c r="BF119" i="6"/>
  <c r="J53" i="6"/>
  <c r="D50" i="24"/>
  <c r="E47" i="24"/>
  <c r="G121" i="6" l="1"/>
  <c r="F121" i="6"/>
  <c r="AG120" i="6"/>
  <c r="AE120" i="6" s="1"/>
  <c r="AH120" i="6"/>
  <c r="AI120" i="6" s="1"/>
  <c r="AT120" i="6"/>
  <c r="AY120" i="6" s="1"/>
  <c r="AU120" i="6"/>
  <c r="AM121" i="6"/>
  <c r="AK122" i="6" s="1"/>
  <c r="C122" i="6"/>
  <c r="AD121" i="6"/>
  <c r="AF121" i="6"/>
  <c r="D121" i="6"/>
  <c r="K121" i="6"/>
  <c r="AL121" i="6"/>
  <c r="AW119" i="6"/>
  <c r="BD119" i="6"/>
  <c r="AX119" i="6"/>
  <c r="AJ121" i="6"/>
  <c r="AJ122" i="6" s="1"/>
  <c r="BF120" i="6"/>
  <c r="J120" i="6"/>
  <c r="I120" i="6"/>
  <c r="BB118" i="6"/>
  <c r="BH118" i="6" s="1"/>
  <c r="BI118" i="6" s="1"/>
  <c r="E48" i="24"/>
  <c r="E49" i="24"/>
  <c r="G122" i="6" l="1"/>
  <c r="F122" i="6"/>
  <c r="AG121" i="6"/>
  <c r="AE121" i="6" s="1"/>
  <c r="AH121" i="6"/>
  <c r="AI121" i="6" s="1"/>
  <c r="AU121" i="6"/>
  <c r="AT121" i="6"/>
  <c r="AY121" i="6" s="1"/>
  <c r="AF122" i="6"/>
  <c r="AM122" i="6"/>
  <c r="AK123" i="6" s="1"/>
  <c r="C123" i="6"/>
  <c r="AD122" i="6"/>
  <c r="AL122" i="6"/>
  <c r="K122" i="6"/>
  <c r="D122" i="6"/>
  <c r="AX120" i="6"/>
  <c r="AW120" i="6"/>
  <c r="BD120" i="6"/>
  <c r="BB119" i="6"/>
  <c r="BH119" i="6" s="1"/>
  <c r="BI119" i="6" s="1"/>
  <c r="BF121" i="6"/>
  <c r="I121" i="6"/>
  <c r="J121" i="6"/>
  <c r="E50" i="24"/>
  <c r="F47" i="24"/>
  <c r="F123" i="6" l="1"/>
  <c r="G123" i="6"/>
  <c r="AG122" i="6"/>
  <c r="AE122" i="6" s="1"/>
  <c r="AT122" i="6"/>
  <c r="AY122" i="6" s="1"/>
  <c r="AH122" i="6"/>
  <c r="AI122" i="6" s="1"/>
  <c r="AU122" i="6"/>
  <c r="BB120" i="6"/>
  <c r="BH120" i="6" s="1"/>
  <c r="BI120" i="6" s="1"/>
  <c r="BF122" i="6"/>
  <c r="J122" i="6"/>
  <c r="I122" i="6"/>
  <c r="AD123" i="6"/>
  <c r="AF123" i="6"/>
  <c r="AM123" i="6"/>
  <c r="AK124" i="6" s="1"/>
  <c r="C124" i="6"/>
  <c r="AL123" i="6"/>
  <c r="D123" i="6"/>
  <c r="K123" i="6"/>
  <c r="BD121" i="6"/>
  <c r="AX121" i="6"/>
  <c r="AW121" i="6"/>
  <c r="AJ123" i="6"/>
  <c r="F49" i="24"/>
  <c r="F48" i="24"/>
  <c r="F124" i="6" l="1"/>
  <c r="G124" i="6"/>
  <c r="BB121" i="6"/>
  <c r="BH121" i="6" s="1"/>
  <c r="BI121" i="6" s="1"/>
  <c r="AD124" i="6"/>
  <c r="AF124" i="6"/>
  <c r="AM124" i="6"/>
  <c r="AK125" i="6" s="1"/>
  <c r="C125" i="6"/>
  <c r="AL124" i="6"/>
  <c r="D124" i="6"/>
  <c r="K124" i="6"/>
  <c r="AT123" i="6"/>
  <c r="AY123" i="6" s="1"/>
  <c r="AH123" i="6"/>
  <c r="AI123" i="6" s="1"/>
  <c r="AU123" i="6"/>
  <c r="AG123" i="6"/>
  <c r="AE123" i="6" s="1"/>
  <c r="J123" i="6"/>
  <c r="I123" i="6"/>
  <c r="BF123" i="6"/>
  <c r="AW122" i="6"/>
  <c r="BD122" i="6"/>
  <c r="AX122" i="6"/>
  <c r="AJ124" i="6"/>
  <c r="F50" i="24"/>
  <c r="G47" i="24"/>
  <c r="G125" i="6" l="1"/>
  <c r="F125" i="6"/>
  <c r="BB122" i="6"/>
  <c r="BH122" i="6" s="1"/>
  <c r="BI122" i="6" s="1"/>
  <c r="BD123" i="6"/>
  <c r="AX123" i="6"/>
  <c r="AW123" i="6"/>
  <c r="BB123" i="6" s="1"/>
  <c r="BH123" i="6" s="1"/>
  <c r="BI123" i="6" s="1"/>
  <c r="AH124" i="6"/>
  <c r="AI124" i="6" s="1"/>
  <c r="AU124" i="6"/>
  <c r="AT124" i="6"/>
  <c r="AY124" i="6" s="1"/>
  <c r="AD125" i="6"/>
  <c r="AM125" i="6"/>
  <c r="AK126" i="6" s="1"/>
  <c r="AF125" i="6"/>
  <c r="C126" i="6"/>
  <c r="AL125" i="6"/>
  <c r="K125" i="6"/>
  <c r="D125" i="6"/>
  <c r="J124" i="6"/>
  <c r="BF124" i="6"/>
  <c r="I124" i="6"/>
  <c r="AJ125" i="6"/>
  <c r="AJ126" i="6" s="1"/>
  <c r="AG124" i="6"/>
  <c r="AE124" i="6" s="1"/>
  <c r="G48" i="24"/>
  <c r="G49" i="24"/>
  <c r="AU125" i="6" l="1"/>
  <c r="AT125" i="6"/>
  <c r="AY125" i="6" s="1"/>
  <c r="AH125" i="6"/>
  <c r="AI125" i="6" s="1"/>
  <c r="I125" i="6"/>
  <c r="BF125" i="6"/>
  <c r="J125" i="6"/>
  <c r="AG125" i="6"/>
  <c r="AE125" i="6" s="1"/>
  <c r="AX124" i="6"/>
  <c r="BD124" i="6"/>
  <c r="AW124" i="6"/>
  <c r="BB124" i="6" s="1"/>
  <c r="BH124" i="6" s="1"/>
  <c r="BI124" i="6" s="1"/>
  <c r="AF126" i="6"/>
  <c r="AD126" i="6"/>
  <c r="AM126" i="6"/>
  <c r="AK127" i="6" s="1"/>
  <c r="C127" i="6"/>
  <c r="F127" i="6" s="1"/>
  <c r="AL126" i="6"/>
  <c r="K126" i="6"/>
  <c r="D126" i="6"/>
  <c r="G50" i="24"/>
  <c r="H47" i="24"/>
  <c r="AG126" i="6" l="1"/>
  <c r="AE126" i="6" s="1"/>
  <c r="J126" i="6"/>
  <c r="I126" i="6"/>
  <c r="AJ127" i="6"/>
  <c r="AF127" i="6"/>
  <c r="AM127" i="6"/>
  <c r="AK128" i="6" s="1"/>
  <c r="C128" i="6"/>
  <c r="AD127" i="6"/>
  <c r="AL127" i="6"/>
  <c r="D127" i="6"/>
  <c r="K127" i="6"/>
  <c r="BD125" i="6"/>
  <c r="AX125" i="6"/>
  <c r="AW125" i="6"/>
  <c r="AU126" i="6"/>
  <c r="AT126" i="6"/>
  <c r="AY126" i="6" s="1"/>
  <c r="AH126" i="6"/>
  <c r="AI126" i="6" s="1"/>
  <c r="H48" i="24"/>
  <c r="H49" i="24"/>
  <c r="BB125" i="6" l="1"/>
  <c r="BH125" i="6" s="1"/>
  <c r="BI125" i="6" s="1"/>
  <c r="F128" i="6"/>
  <c r="G128" i="6"/>
  <c r="BF126" i="6"/>
  <c r="AG127" i="6"/>
  <c r="AE127" i="6" s="1"/>
  <c r="AW126" i="6"/>
  <c r="BD126" i="6"/>
  <c r="AX126" i="6"/>
  <c r="J127" i="6"/>
  <c r="I127" i="6"/>
  <c r="BF127" i="6"/>
  <c r="AH127" i="6"/>
  <c r="AI127" i="6" s="1"/>
  <c r="AT127" i="6"/>
  <c r="AY127" i="6" s="1"/>
  <c r="AU127" i="6"/>
  <c r="AD128" i="6"/>
  <c r="AM128" i="6"/>
  <c r="AK129" i="6" s="1"/>
  <c r="AF128" i="6"/>
  <c r="C129" i="6"/>
  <c r="AL128" i="6"/>
  <c r="D128" i="6"/>
  <c r="K128" i="6"/>
  <c r="AJ128" i="6"/>
  <c r="I47" i="24"/>
  <c r="H50" i="24"/>
  <c r="F129" i="6" l="1"/>
  <c r="G129" i="6"/>
  <c r="AJ129" i="6"/>
  <c r="AT128" i="6"/>
  <c r="AY128" i="6" s="1"/>
  <c r="AU128" i="6"/>
  <c r="AH128" i="6"/>
  <c r="AI128" i="6" s="1"/>
  <c r="D129" i="6"/>
  <c r="AM129" i="6"/>
  <c r="AD129" i="6"/>
  <c r="AF129" i="6"/>
  <c r="AL129" i="6"/>
  <c r="K129" i="6"/>
  <c r="I128" i="6"/>
  <c r="BF128" i="6"/>
  <c r="J128" i="6"/>
  <c r="AX127" i="6"/>
  <c r="BD127" i="6"/>
  <c r="AW127" i="6"/>
  <c r="BB127" i="6" s="1"/>
  <c r="BH127" i="6" s="1"/>
  <c r="BI127" i="6" s="1"/>
  <c r="AG128" i="6"/>
  <c r="AE128" i="6" s="1"/>
  <c r="BB126" i="6"/>
  <c r="BH126" i="6" s="1"/>
  <c r="BI126" i="6" s="1"/>
  <c r="I48" i="24"/>
  <c r="I49" i="24"/>
  <c r="AG129" i="6" l="1"/>
  <c r="AE129" i="6" s="1"/>
  <c r="AT129" i="6"/>
  <c r="AY129" i="6" s="1"/>
  <c r="AH129" i="6"/>
  <c r="AI129" i="6" s="1"/>
  <c r="AU129" i="6"/>
  <c r="AX128" i="6"/>
  <c r="BD128" i="6"/>
  <c r="AW128" i="6"/>
  <c r="BB128" i="6" s="1"/>
  <c r="BH128" i="6" s="1"/>
  <c r="BI128" i="6" s="1"/>
  <c r="BF129" i="6"/>
  <c r="BG47" i="6" s="1"/>
  <c r="BI47" i="6" s="1"/>
  <c r="I129" i="6"/>
  <c r="J129" i="6"/>
  <c r="J47" i="24"/>
  <c r="I50" i="24"/>
  <c r="BD129" i="6" l="1"/>
  <c r="AW129" i="6"/>
  <c r="AX129" i="6"/>
  <c r="V37" i="9"/>
  <c r="J48" i="24"/>
  <c r="J49" i="24"/>
  <c r="BB129" i="6" l="1"/>
  <c r="BH129" i="6" s="1"/>
  <c r="BI129" i="6" s="1"/>
  <c r="W37" i="9"/>
  <c r="V38" i="9"/>
  <c r="W38" i="9" s="1"/>
  <c r="Q48" i="24"/>
  <c r="J50" i="24"/>
  <c r="K47" i="24"/>
  <c r="K48" i="24" l="1"/>
  <c r="K49" i="24"/>
  <c r="K50" i="24" s="1"/>
  <c r="R48" i="24"/>
  <c r="Q49" i="24"/>
  <c r="R49" i="24" s="1"/>
  <c r="C50" i="21" l="1"/>
  <c r="C52" i="21" l="1"/>
  <c r="C51" i="21"/>
  <c r="O45" i="21"/>
  <c r="O46" i="21" l="1"/>
  <c r="P46" i="21" s="1"/>
  <c r="P45" i="21"/>
  <c r="D50" i="21"/>
  <c r="C53" i="21"/>
  <c r="D52" i="21" l="1"/>
  <c r="D51" i="21"/>
  <c r="D53" i="21" l="1"/>
  <c r="E50" i="21"/>
  <c r="E51" i="21" l="1"/>
  <c r="E52" i="21"/>
  <c r="E53" i="21" l="1"/>
  <c r="F50" i="21"/>
  <c r="F51" i="21" l="1"/>
  <c r="F52" i="21"/>
  <c r="F53" i="21" l="1"/>
  <c r="G50" i="21"/>
  <c r="G51" i="21" l="1"/>
  <c r="G52" i="21"/>
  <c r="G53" i="21" l="1"/>
  <c r="H50" i="21"/>
  <c r="H52" i="21" l="1"/>
  <c r="H51" i="21"/>
  <c r="I50" i="21" l="1"/>
  <c r="H53" i="21"/>
  <c r="N75" i="11"/>
  <c r="N86" i="11"/>
  <c r="S73" i="11"/>
  <c r="N73" i="11"/>
  <c r="I89" i="11"/>
  <c r="I82" i="11"/>
  <c r="I81" i="11"/>
  <c r="I80" i="11"/>
  <c r="I79" i="11"/>
  <c r="I78" i="11"/>
  <c r="I74" i="11"/>
  <c r="I73" i="11"/>
  <c r="I77" i="11" s="1"/>
  <c r="G133" i="1"/>
  <c r="E133" i="1"/>
  <c r="D78" i="1" s="1"/>
  <c r="F78" i="1" s="1"/>
  <c r="C133" i="1"/>
  <c r="D65" i="1" s="1"/>
  <c r="F65" i="1" s="1"/>
  <c r="E18" i="1" s="1"/>
  <c r="G114" i="1"/>
  <c r="D55" i="1" s="1"/>
  <c r="F55" i="1" s="1"/>
  <c r="E114" i="1"/>
  <c r="D53" i="1" s="1"/>
  <c r="F53" i="1" s="1"/>
  <c r="C114" i="1"/>
  <c r="D49" i="1" s="1"/>
  <c r="F49" i="1" s="1"/>
  <c r="J95" i="1"/>
  <c r="D43" i="1" s="1"/>
  <c r="F43" i="1" s="1"/>
  <c r="H95" i="1"/>
  <c r="D41" i="1" s="1"/>
  <c r="F41" i="1" s="1"/>
  <c r="D39" i="1"/>
  <c r="D37" i="1"/>
  <c r="E17" i="1" l="1"/>
  <c r="G17" i="1"/>
  <c r="F17" i="1"/>
  <c r="H17" i="1"/>
  <c r="C17" i="1"/>
  <c r="G18" i="1"/>
  <c r="H18" i="1"/>
  <c r="F18" i="1"/>
  <c r="C18" i="1"/>
  <c r="I52" i="21"/>
  <c r="I51" i="21"/>
  <c r="D38" i="1"/>
  <c r="I75" i="11"/>
  <c r="I76" i="11"/>
  <c r="D42" i="1"/>
  <c r="D77" i="1"/>
  <c r="F77" i="1" s="1"/>
  <c r="E20" i="1" s="1"/>
  <c r="D40" i="1"/>
  <c r="D11" i="2"/>
  <c r="D9" i="2"/>
  <c r="D14" i="2" s="1"/>
  <c r="F38" i="1" l="1"/>
  <c r="D36" i="1"/>
  <c r="F20" i="1"/>
  <c r="C20" i="1"/>
  <c r="H20" i="1"/>
  <c r="G20" i="1"/>
  <c r="H16" i="1"/>
  <c r="F16" i="1"/>
  <c r="G16" i="1"/>
  <c r="I36" i="1"/>
  <c r="G36" i="1"/>
  <c r="F36" i="1"/>
  <c r="C7" i="1" s="1"/>
  <c r="D73" i="11" s="1"/>
  <c r="I5" i="11" s="1"/>
  <c r="H36" i="1"/>
  <c r="D4" i="2"/>
  <c r="D6" i="2"/>
  <c r="D7" i="2" s="1"/>
  <c r="J50" i="21"/>
  <c r="I53" i="21"/>
  <c r="BK121" i="6" l="1"/>
  <c r="BK124" i="6"/>
  <c r="BK113" i="6"/>
  <c r="BK116" i="6"/>
  <c r="BK119" i="6"/>
  <c r="BK122" i="6"/>
  <c r="BK128" i="6"/>
  <c r="BK114" i="6"/>
  <c r="BK123" i="6"/>
  <c r="BK115" i="6"/>
  <c r="BK127" i="6"/>
  <c r="BK117" i="6"/>
  <c r="BK120" i="6"/>
  <c r="BK126" i="6"/>
  <c r="BK129" i="6"/>
  <c r="BK112" i="6"/>
  <c r="BK118" i="6"/>
  <c r="BK125" i="6"/>
  <c r="BL122" i="6"/>
  <c r="BL125" i="6"/>
  <c r="BJ114" i="6"/>
  <c r="BL128" i="6"/>
  <c r="BL129" i="6"/>
  <c r="BJ118" i="6"/>
  <c r="BL115" i="6"/>
  <c r="BL124" i="6"/>
  <c r="BJ113" i="6"/>
  <c r="BJ117" i="6"/>
  <c r="BJ129" i="6"/>
  <c r="BL126" i="6"/>
  <c r="BJ115" i="6"/>
  <c r="BJ121" i="6"/>
  <c r="BL118" i="6"/>
  <c r="BJ127" i="6"/>
  <c r="BJ116" i="6"/>
  <c r="BJ119" i="6"/>
  <c r="BL116" i="6"/>
  <c r="BJ125" i="6"/>
  <c r="BJ128" i="6"/>
  <c r="BL114" i="6"/>
  <c r="BJ120" i="6"/>
  <c r="BL120" i="6"/>
  <c r="BL123" i="6"/>
  <c r="BJ112" i="6"/>
  <c r="BL117" i="6"/>
  <c r="BJ123" i="6"/>
  <c r="BJ126" i="6"/>
  <c r="BL112" i="6"/>
  <c r="BJ124" i="6"/>
  <c r="BL121" i="6"/>
  <c r="BL127" i="6"/>
  <c r="BL113" i="6"/>
  <c r="BJ122" i="6"/>
  <c r="BL119" i="6"/>
  <c r="E16" i="1"/>
  <c r="E23" i="1" s="1"/>
  <c r="C16" i="1"/>
  <c r="M16" i="1" a="1"/>
  <c r="M16" i="1" s="1"/>
  <c r="BK75" i="6"/>
  <c r="BK95" i="6"/>
  <c r="BK68" i="6"/>
  <c r="BK83" i="6"/>
  <c r="BK55" i="6"/>
  <c r="BK79" i="6"/>
  <c r="BK104" i="6"/>
  <c r="BK67" i="6"/>
  <c r="BK97" i="6"/>
  <c r="BK77" i="6"/>
  <c r="BK54" i="6"/>
  <c r="BK96" i="6"/>
  <c r="BK100" i="6"/>
  <c r="BK72" i="6"/>
  <c r="BK107" i="6"/>
  <c r="BK65" i="6"/>
  <c r="BK52" i="6"/>
  <c r="BK59" i="6"/>
  <c r="BK58" i="6"/>
  <c r="BK71" i="6"/>
  <c r="BK66" i="6"/>
  <c r="BK69" i="6"/>
  <c r="BK62" i="6"/>
  <c r="BK74" i="6"/>
  <c r="BK70" i="6"/>
  <c r="BK78" i="6"/>
  <c r="BK90" i="6"/>
  <c r="BK99" i="6"/>
  <c r="BK102" i="6"/>
  <c r="BK63" i="6"/>
  <c r="BK98" i="6"/>
  <c r="BK103" i="6"/>
  <c r="BK61" i="6"/>
  <c r="BK94" i="6"/>
  <c r="BK106" i="6"/>
  <c r="BK93" i="6"/>
  <c r="BK101" i="6"/>
  <c r="BK57" i="6"/>
  <c r="BK60" i="6"/>
  <c r="BK109" i="6"/>
  <c r="BK53" i="6"/>
  <c r="BK86" i="6"/>
  <c r="BK64" i="6"/>
  <c r="BK84" i="6"/>
  <c r="BK51" i="6"/>
  <c r="BK87" i="6"/>
  <c r="BK81" i="6"/>
  <c r="BK56" i="6"/>
  <c r="BK89" i="6"/>
  <c r="BK85" i="6"/>
  <c r="BK73" i="6"/>
  <c r="BK80" i="6"/>
  <c r="BK111" i="6"/>
  <c r="BK88" i="6"/>
  <c r="BK108" i="6"/>
  <c r="BK82" i="6"/>
  <c r="BK76" i="6"/>
  <c r="BK110" i="6"/>
  <c r="BK91" i="6"/>
  <c r="BK92" i="6"/>
  <c r="BK105" i="6"/>
  <c r="BJ51" i="6"/>
  <c r="BL58" i="6"/>
  <c r="BL66" i="6"/>
  <c r="BL74" i="6"/>
  <c r="BL82" i="6"/>
  <c r="BL90" i="6"/>
  <c r="BL98" i="6"/>
  <c r="BL106" i="6"/>
  <c r="BL51" i="6"/>
  <c r="BL59" i="6"/>
  <c r="BL67" i="6"/>
  <c r="BL75" i="6"/>
  <c r="BL83" i="6"/>
  <c r="BL91" i="6"/>
  <c r="BL99" i="6"/>
  <c r="BL107" i="6"/>
  <c r="BL52" i="6"/>
  <c r="BL60" i="6"/>
  <c r="BL68" i="6"/>
  <c r="BL76" i="6"/>
  <c r="BL84" i="6"/>
  <c r="BL92" i="6"/>
  <c r="BL100" i="6"/>
  <c r="BL108" i="6"/>
  <c r="BL53" i="6"/>
  <c r="BL61" i="6"/>
  <c r="BL69" i="6"/>
  <c r="BL77" i="6"/>
  <c r="BL85" i="6"/>
  <c r="BL93" i="6"/>
  <c r="BL101" i="6"/>
  <c r="BL109" i="6"/>
  <c r="BL54" i="6"/>
  <c r="BL62" i="6"/>
  <c r="BL70" i="6"/>
  <c r="BL78" i="6"/>
  <c r="BL86" i="6"/>
  <c r="BL94" i="6"/>
  <c r="BL102" i="6"/>
  <c r="BL110" i="6"/>
  <c r="BL55" i="6"/>
  <c r="BL63" i="6"/>
  <c r="BL71" i="6"/>
  <c r="BL79" i="6"/>
  <c r="BL87" i="6"/>
  <c r="BL95" i="6"/>
  <c r="BL103" i="6"/>
  <c r="BL111" i="6"/>
  <c r="BL56" i="6"/>
  <c r="BL64" i="6"/>
  <c r="BL72" i="6"/>
  <c r="BL80" i="6"/>
  <c r="BL88" i="6"/>
  <c r="BL96" i="6"/>
  <c r="BL104" i="6"/>
  <c r="BL57" i="6"/>
  <c r="BL65" i="6"/>
  <c r="BL73" i="6"/>
  <c r="BL81" i="6"/>
  <c r="BL89" i="6"/>
  <c r="BL97" i="6"/>
  <c r="BL105" i="6"/>
  <c r="BJ82" i="6"/>
  <c r="BJ72" i="6"/>
  <c r="BJ105" i="6"/>
  <c r="BJ108" i="6"/>
  <c r="BJ62" i="6"/>
  <c r="BJ95" i="6"/>
  <c r="BJ55" i="6"/>
  <c r="BJ107" i="6"/>
  <c r="BJ70" i="6"/>
  <c r="BJ85" i="6"/>
  <c r="BJ61" i="6"/>
  <c r="BJ102" i="6"/>
  <c r="BJ65" i="6"/>
  <c r="BJ81" i="6"/>
  <c r="BJ100" i="6"/>
  <c r="BJ69" i="6"/>
  <c r="BJ78" i="6"/>
  <c r="BJ77" i="6"/>
  <c r="BJ104" i="6"/>
  <c r="BJ60" i="6"/>
  <c r="BJ53" i="6"/>
  <c r="BJ94" i="6"/>
  <c r="BJ103" i="6"/>
  <c r="BJ92" i="6"/>
  <c r="BJ106" i="6"/>
  <c r="BJ91" i="6"/>
  <c r="BJ67" i="6"/>
  <c r="BJ75" i="6"/>
  <c r="BJ101" i="6"/>
  <c r="BJ110" i="6"/>
  <c r="BJ109" i="6"/>
  <c r="BJ59" i="6"/>
  <c r="BJ90" i="6"/>
  <c r="BJ93" i="6"/>
  <c r="BJ57" i="6"/>
  <c r="BJ68" i="6"/>
  <c r="BJ111" i="6"/>
  <c r="BJ58" i="6"/>
  <c r="BJ76" i="6"/>
  <c r="BJ74" i="6"/>
  <c r="BJ64" i="6"/>
  <c r="BJ97" i="6"/>
  <c r="BJ54" i="6"/>
  <c r="BJ87" i="6"/>
  <c r="BJ80" i="6"/>
  <c r="BJ56" i="6"/>
  <c r="BJ89" i="6"/>
  <c r="BJ88" i="6"/>
  <c r="BJ99" i="6"/>
  <c r="BJ96" i="6"/>
  <c r="BJ98" i="6"/>
  <c r="BJ52" i="6"/>
  <c r="BJ86" i="6"/>
  <c r="BJ84" i="6"/>
  <c r="BJ66" i="6"/>
  <c r="BJ63" i="6"/>
  <c r="BJ83" i="6"/>
  <c r="BJ79" i="6"/>
  <c r="BJ71" i="6"/>
  <c r="BJ73" i="6"/>
  <c r="D7" i="1" a="1"/>
  <c r="D7" i="1" s="1"/>
  <c r="D8" i="1" s="1"/>
  <c r="J52" i="21"/>
  <c r="J51" i="21"/>
  <c r="D6" i="1" l="1"/>
  <c r="F6" i="1"/>
  <c r="E6" i="1"/>
  <c r="O47" i="21"/>
  <c r="K50" i="21"/>
  <c r="J53" i="21"/>
  <c r="I9" i="11" l="1"/>
  <c r="D42" i="11"/>
  <c r="L7" i="1" a="1"/>
  <c r="L7" i="1" s="1"/>
  <c r="L6" i="1" s="1" a="1"/>
  <c r="L6" i="1" s="1"/>
  <c r="J7" i="1" a="1"/>
  <c r="J7" i="1" s="1"/>
  <c r="J6" i="1" s="1" a="1"/>
  <c r="J6" i="1" s="1"/>
  <c r="K7" i="1" a="1"/>
  <c r="K7" i="1" s="1"/>
  <c r="K6" i="1" s="1" a="1"/>
  <c r="K6" i="1" s="1"/>
  <c r="K51" i="21"/>
  <c r="K52" i="21"/>
  <c r="K53" i="21" s="1"/>
  <c r="P47" i="21"/>
  <c r="O48" i="21"/>
  <c r="P48" i="21" s="1"/>
  <c r="BI51" i="6"/>
  <c r="J16" i="1" l="1"/>
  <c r="H7" i="1" s="1" a="1"/>
  <c r="H7" i="1" s="1"/>
  <c r="H6" i="1" s="1" a="1"/>
  <c r="H6" i="1" s="1"/>
  <c r="K16" i="1"/>
  <c r="I7" i="1" s="1" a="1"/>
  <c r="I7" i="1" s="1"/>
  <c r="I6" i="1" s="1" a="1"/>
  <c r="I6" i="1" s="1"/>
  <c r="I16" i="1"/>
  <c r="G7" i="1" s="1" a="1"/>
  <c r="G7" i="1" s="1"/>
  <c r="G6" i="1" s="1" a="1"/>
  <c r="G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沖本和貴</author>
    <author>@mtk_birdman</author>
  </authors>
  <commentList>
    <comment ref="B16" authorId="0" shapeId="0" xr:uid="{A72FAEE2-FC6B-B84A-9869-EDE6E8108D10}">
      <text>
        <r>
          <rPr>
            <b/>
            <sz val="10"/>
            <color rgb="FF000000"/>
            <rFont val="Yu Gothic UI"/>
            <family val="3"/>
            <charset val="128"/>
          </rPr>
          <t>森</t>
        </r>
        <r>
          <rPr>
            <b/>
            <sz val="10"/>
            <color rgb="FF000000"/>
            <rFont val="Yu Gothic UI"/>
            <family val="3"/>
            <charset val="128"/>
          </rPr>
          <t>:</t>
        </r>
        <r>
          <rPr>
            <sz val="10"/>
            <color rgb="FF000000"/>
            <rFont val="Yu Gothic UI"/>
            <family val="3"/>
            <charset val="128"/>
          </rPr>
          <t xml:space="preserve">
</t>
        </r>
        <r>
          <rPr>
            <sz val="10"/>
            <color rgb="FF000000"/>
            <rFont val="Yu Gothic UI"/>
            <family val="3"/>
            <charset val="128"/>
          </rPr>
          <t>服、靴、ヘルメットを含む</t>
        </r>
      </text>
    </comment>
    <comment ref="M73" authorId="1" shapeId="0" xr:uid="{79777349-CE46-48E7-A508-DDB49BE5DD2C}">
      <text>
        <r>
          <rPr>
            <b/>
            <sz val="9"/>
            <color indexed="81"/>
            <rFont val="MS P ゴシック"/>
            <family val="3"/>
            <charset val="128"/>
          </rPr>
          <t>沖本和貴:</t>
        </r>
        <r>
          <rPr>
            <sz val="9"/>
            <color indexed="81"/>
            <rFont val="MS P ゴシック"/>
            <family val="3"/>
            <charset val="128"/>
          </rPr>
          <t xml:space="preserve">
機体cg-水平尾翼ac間距離</t>
        </r>
      </text>
    </comment>
    <comment ref="X74" authorId="1" shapeId="0" xr:uid="{61AB83AB-7264-4FFF-A0E8-3741688620F7}">
      <text>
        <r>
          <rPr>
            <b/>
            <sz val="9"/>
            <color indexed="81"/>
            <rFont val="MS P ゴシック"/>
            <family val="3"/>
            <charset val="128"/>
          </rPr>
          <t>沖本和貴:</t>
        </r>
        <r>
          <rPr>
            <sz val="9"/>
            <color indexed="81"/>
            <rFont val="MS P ゴシック"/>
            <family val="3"/>
            <charset val="128"/>
          </rPr>
          <t xml:space="preserve">
決め打ち．流線形回転体の抗力から．</t>
        </r>
      </text>
    </comment>
    <comment ref="V75" authorId="2" shapeId="0" xr:uid="{B239CC97-A83E-4C57-A710-B240699F9DB1}">
      <text>
        <r>
          <rPr>
            <b/>
            <sz val="9"/>
            <color indexed="81"/>
            <rFont val="MS P ゴシック"/>
            <family val="3"/>
            <charset val="128"/>
          </rPr>
          <t>@mtk_birdman:</t>
        </r>
        <r>
          <rPr>
            <sz val="9"/>
            <color indexed="81"/>
            <rFont val="MS P ゴシック"/>
            <family val="3"/>
            <charset val="128"/>
          </rPr>
          <t xml:space="preserve">
カウルの全長で無次元化されている
飛行機設計論p.285</t>
        </r>
      </text>
    </comment>
    <comment ref="V76" authorId="1" shapeId="0" xr:uid="{BF96945E-B78E-460A-8851-070A5D5BCF5B}">
      <text>
        <r>
          <rPr>
            <b/>
            <sz val="9"/>
            <color rgb="FF000000"/>
            <rFont val="游ゴシック"/>
            <family val="3"/>
            <charset val="128"/>
            <scheme val="minor"/>
          </rPr>
          <t>沖本和貴</t>
        </r>
        <r>
          <rPr>
            <b/>
            <sz val="9"/>
            <color rgb="FF000000"/>
            <rFont val="MS P ゴシック"/>
            <family val="3"/>
            <charset val="128"/>
          </rPr>
          <t>:</t>
        </r>
        <r>
          <rPr>
            <sz val="9"/>
            <color rgb="FF000000"/>
            <rFont val="MS P ゴシック"/>
            <family val="3"/>
            <charset val="128"/>
          </rPr>
          <t xml:space="preserve">
</t>
        </r>
        <r>
          <rPr>
            <sz val="9"/>
            <color rgb="FF000000"/>
            <rFont val="游ゴシック"/>
            <family val="3"/>
            <charset val="128"/>
            <scheme val="minor"/>
          </rPr>
          <t>側面翼型のコード長</t>
        </r>
        <r>
          <rPr>
            <sz val="9"/>
            <color rgb="FF000000"/>
            <rFont val="MS P ゴシック"/>
            <family val="3"/>
            <charset val="128"/>
          </rPr>
          <t xml:space="preserve"> [m]</t>
        </r>
      </text>
    </comment>
    <comment ref="B77" authorId="1" shapeId="0" xr:uid="{025AC85D-9F44-4DF7-A460-3CEE865E7FB8}">
      <text>
        <r>
          <rPr>
            <b/>
            <sz val="9"/>
            <color rgb="FF000000"/>
            <rFont val="MS P ゴシック"/>
            <charset val="128"/>
          </rPr>
          <t>沖本和貴</t>
        </r>
        <r>
          <rPr>
            <b/>
            <sz val="9"/>
            <color rgb="FF000000"/>
            <rFont val="MS P ゴシック"/>
            <charset val="128"/>
          </rPr>
          <t>:</t>
        </r>
        <r>
          <rPr>
            <sz val="9"/>
            <color rgb="FF000000"/>
            <rFont val="MS P ゴシック"/>
            <charset val="128"/>
          </rPr>
          <t xml:space="preserve">
</t>
        </r>
        <r>
          <rPr>
            <sz val="9"/>
            <color rgb="FF000000"/>
            <rFont val="MS P ゴシック"/>
            <charset val="128"/>
          </rPr>
          <t>0</t>
        </r>
        <r>
          <rPr>
            <sz val="9"/>
            <color rgb="FF000000"/>
            <rFont val="MS P ゴシック"/>
            <charset val="128"/>
          </rPr>
          <t>番桁中心からの距離</t>
        </r>
      </text>
    </comment>
    <comment ref="V77" authorId="1" shapeId="0" xr:uid="{FBEB1FAE-7F58-449B-8FE1-A42AEFA106B8}">
      <text>
        <r>
          <rPr>
            <b/>
            <sz val="9"/>
            <color indexed="81"/>
            <rFont val="MS P ゴシック"/>
            <family val="3"/>
            <charset val="128"/>
          </rPr>
          <t>沖本和貴:</t>
        </r>
        <r>
          <rPr>
            <sz val="9"/>
            <color indexed="81"/>
            <rFont val="MS P ゴシック"/>
            <family val="3"/>
            <charset val="128"/>
          </rPr>
          <t xml:space="preserve">
カウルの側面翼型のコードラインと機体軸(x軸)のなす角．頭上げを正</t>
        </r>
      </text>
    </comment>
    <comment ref="X78" authorId="1" shapeId="0" xr:uid="{DF924574-BB0A-4DEC-AE67-C93473411B71}">
      <text>
        <r>
          <rPr>
            <b/>
            <sz val="9"/>
            <color indexed="81"/>
            <rFont val="ＭＳ Ｐゴシック"/>
            <family val="3"/>
            <charset val="128"/>
          </rPr>
          <t>沖本和貴</t>
        </r>
        <r>
          <rPr>
            <b/>
            <sz val="9"/>
            <color indexed="81"/>
            <rFont val="Tahoma"/>
            <family val="2"/>
          </rPr>
          <t>:</t>
        </r>
        <r>
          <rPr>
            <sz val="9"/>
            <color indexed="81"/>
            <rFont val="Tahoma"/>
            <family val="2"/>
          </rPr>
          <t xml:space="preserve">
</t>
        </r>
        <r>
          <rPr>
            <sz val="9"/>
            <color indexed="81"/>
            <rFont val="ＭＳ Ｐゴシック"/>
            <family val="3"/>
            <charset val="128"/>
          </rPr>
          <t>カウルの</t>
        </r>
        <r>
          <rPr>
            <sz val="9"/>
            <color indexed="81"/>
            <rFont val="Tahoma"/>
            <family val="2"/>
          </rPr>
          <t>Fusion360</t>
        </r>
        <r>
          <rPr>
            <sz val="9"/>
            <color indexed="81"/>
            <rFont val="ＭＳ Ｐゴシック"/>
            <family val="3"/>
            <charset val="128"/>
          </rPr>
          <t>のデータより</t>
        </r>
      </text>
    </comment>
    <comment ref="B80" authorId="0" shapeId="0" xr:uid="{7CFE46A6-CE5C-8743-A1B7-9B0F265363AC}">
      <text>
        <r>
          <rPr>
            <b/>
            <sz val="10"/>
            <color rgb="FF000000"/>
            <rFont val="Yu Gothic UI"/>
            <family val="3"/>
            <charset val="128"/>
          </rPr>
          <t>森</t>
        </r>
        <r>
          <rPr>
            <b/>
            <sz val="10"/>
            <color rgb="FF000000"/>
            <rFont val="Yu Gothic UI"/>
            <family val="3"/>
            <charset val="128"/>
          </rPr>
          <t>:</t>
        </r>
        <r>
          <rPr>
            <sz val="10"/>
            <color rgb="FF000000"/>
            <rFont val="Yu Gothic UI"/>
            <family val="3"/>
            <charset val="128"/>
          </rPr>
          <t xml:space="preserve">
</t>
        </r>
        <r>
          <rPr>
            <sz val="10"/>
            <color rgb="FF000000"/>
            <rFont val="Yu Gothic UI"/>
            <family val="3"/>
            <charset val="128"/>
          </rPr>
          <t>平均空力翼弦</t>
        </r>
        <r>
          <rPr>
            <sz val="10"/>
            <color rgb="FF000000"/>
            <rFont val="Yu Gothic UI"/>
            <family val="3"/>
            <charset val="128"/>
          </rPr>
          <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沖本和貴</author>
  </authors>
  <commentList>
    <comment ref="D3" authorId="0" shapeId="0" xr:uid="{CEAAD168-9329-4D84-81B3-65D82F2E851C}">
      <text>
        <r>
          <rPr>
            <b/>
            <sz val="9"/>
            <color rgb="FF000000"/>
            <rFont val="MS P ゴシック"/>
            <charset val="128"/>
          </rPr>
          <t>沖本和貴</t>
        </r>
        <r>
          <rPr>
            <b/>
            <sz val="9"/>
            <color rgb="FF000000"/>
            <rFont val="MS P ゴシック"/>
            <charset val="128"/>
          </rPr>
          <t>:</t>
        </r>
        <r>
          <rPr>
            <sz val="9"/>
            <color rgb="FF000000"/>
            <rFont val="MS P ゴシック"/>
            <charset val="128"/>
          </rPr>
          <t xml:space="preserve">
</t>
        </r>
        <r>
          <rPr>
            <sz val="9"/>
            <color rgb="FF000000"/>
            <rFont val="MS P ゴシック"/>
            <charset val="128"/>
          </rPr>
          <t>0</t>
        </r>
        <r>
          <rPr>
            <sz val="9"/>
            <color rgb="FF000000"/>
            <rFont val="MS P ゴシック"/>
            <charset val="128"/>
          </rPr>
          <t>番桁中心からの距離</t>
        </r>
      </text>
    </comment>
    <comment ref="F13" authorId="0" shapeId="0" xr:uid="{3BF1B8BE-A509-4007-8FA5-EE59E9A6C97F}">
      <text>
        <r>
          <rPr>
            <b/>
            <sz val="9"/>
            <color rgb="FF000000"/>
            <rFont val="MS P ゴシック"/>
            <charset val="128"/>
          </rPr>
          <t>沖本和貴</t>
        </r>
        <r>
          <rPr>
            <b/>
            <sz val="9"/>
            <color rgb="FF000000"/>
            <rFont val="MS P ゴシック"/>
            <charset val="128"/>
          </rPr>
          <t>:</t>
        </r>
        <r>
          <rPr>
            <sz val="9"/>
            <color rgb="FF000000"/>
            <rFont val="MS P ゴシック"/>
            <charset val="128"/>
          </rPr>
          <t xml:space="preserve">
</t>
        </r>
        <r>
          <rPr>
            <sz val="9"/>
            <color rgb="FF000000"/>
            <rFont val="MS P ゴシック"/>
            <charset val="128"/>
          </rPr>
          <t>0</t>
        </r>
        <r>
          <rPr>
            <sz val="9"/>
            <color rgb="FF000000"/>
            <rFont val="MS P ゴシック"/>
            <charset val="128"/>
          </rPr>
          <t>番桁中心からの距離</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沖本和貴</author>
  </authors>
  <commentList>
    <comment ref="B4" authorId="0" shapeId="0" xr:uid="{F358353B-3254-2C4D-8A7D-BD75F2766E10}">
      <text>
        <r>
          <rPr>
            <b/>
            <sz val="9"/>
            <color indexed="81"/>
            <rFont val="MS P ゴシック"/>
            <family val="3"/>
            <charset val="128"/>
          </rPr>
          <t>沖本和貴:</t>
        </r>
        <r>
          <rPr>
            <sz val="9"/>
            <color indexed="81"/>
            <rFont val="MS P ゴシック"/>
            <family val="3"/>
            <charset val="128"/>
          </rPr>
          <t xml:space="preserve">
側面翼型のコード長 [m]</t>
        </r>
      </text>
    </comment>
    <comment ref="B5" authorId="0" shapeId="0" xr:uid="{B02C4217-5892-3948-A1C2-F8DCEEB27B49}">
      <text>
        <r>
          <rPr>
            <b/>
            <sz val="9"/>
            <color indexed="81"/>
            <rFont val="MS P ゴシック"/>
            <family val="3"/>
            <charset val="128"/>
          </rPr>
          <t>沖本和貴:</t>
        </r>
        <r>
          <rPr>
            <sz val="9"/>
            <color indexed="81"/>
            <rFont val="MS P ゴシック"/>
            <family val="3"/>
            <charset val="128"/>
          </rPr>
          <t xml:space="preserve">
桁中心を原点としたカウルの前縁位置</t>
        </r>
      </text>
    </comment>
    <comment ref="B8" authorId="0" shapeId="0" xr:uid="{4CCF7704-6632-8D47-ACC3-0E7CC23FED8B}">
      <text>
        <r>
          <rPr>
            <b/>
            <sz val="9"/>
            <color indexed="81"/>
            <rFont val="MS P ゴシック"/>
            <family val="3"/>
            <charset val="128"/>
          </rPr>
          <t>沖本和貴:</t>
        </r>
        <r>
          <rPr>
            <sz val="9"/>
            <color indexed="81"/>
            <rFont val="MS P ゴシック"/>
            <family val="3"/>
            <charset val="128"/>
          </rPr>
          <t xml:space="preserve">
カウルの側面翼型のコードラインと機体軸(x軸)のなす角．頭上げを正</t>
        </r>
      </text>
    </comment>
    <comment ref="B11" authorId="0" shapeId="0" xr:uid="{A01369A7-3177-CD48-9ABF-D3E4C5A86C66}">
      <text>
        <r>
          <rPr>
            <b/>
            <sz val="9"/>
            <color indexed="81"/>
            <rFont val="MS P ゴシック"/>
            <family val="3"/>
            <charset val="128"/>
          </rPr>
          <t>沖本和貴:</t>
        </r>
        <r>
          <rPr>
            <sz val="9"/>
            <color indexed="81"/>
            <rFont val="MS P ゴシック"/>
            <family val="3"/>
            <charset val="128"/>
          </rPr>
          <t xml:space="preserve">
Fusion360用にフレームをcsvファイルで出力する
0:する．1：しない</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tc={56AF1974-2A8D-4D19-A38E-9635AAAEAA88}</author>
    <author>tc={F7DA2193-EC87-4520-A2A3-6DB832106043}</author>
    <author>tc={4F83213C-4D97-4DE3-89F7-6D9675DC8E5F}</author>
    <author>tc={CBB8C77D-5564-40C1-9C2E-7BB9F1AEC030}</author>
    <author>tc={54239414-FFB0-4BBF-9EA3-266BFBA397AB}</author>
    <author>tc={CD08E915-60DE-4CCD-AEDF-3A4583056AA8}</author>
    <author>tc={483B55B2-992D-4E75-8F5E-524BDB50EC94}</author>
    <author>tc={EFD3CE22-34C3-4E6E-9EF8-1B6B062FFB2F}</author>
    <author>tc={EBB68BDD-C319-4AC2-B134-4DF2CF6C45B6}</author>
  </authors>
  <commentList>
    <comment ref="G53" authorId="0" shapeId="0" xr:uid="{56AF1974-2A8D-4D19-A38E-9635AAAEAA8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単位面積当たり繊維質量</t>
      </text>
    </comment>
    <comment ref="B56" authorId="1" shapeId="0" xr:uid="{F7DA2193-EC87-4520-A2A3-6DB83210604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強度の物性値はMRX350G125Sのもの．
使っている炭素繊維，樹脂はMR380G150Sと同じものなので物性値はほぼ同等
(沖本)</t>
      </text>
    </comment>
    <comment ref="N57" authorId="2" shapeId="0" xr:uid="{4F83213C-4D97-4DE3-89F7-6D9675DC8E5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ベッチの相反定理より</t>
      </text>
    </comment>
    <comment ref="P57" authorId="3" shapeId="0" xr:uid="{CBB8C77D-5564-40C1-9C2E-7BB9F1AEC03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引張×0.9</t>
      </text>
    </comment>
    <comment ref="Q57" authorId="4" shapeId="0" xr:uid="{54239414-FFB0-4BBF-9EA3-266BFBA397A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引張を参考</t>
      </text>
    </comment>
    <comment ref="R57" authorId="5" shapeId="0" xr:uid="{CD08E915-60DE-4CCD-AEDF-3A4583056AA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MR380G150Sを参考</t>
      </text>
    </comment>
    <comment ref="S57" authorId="6" shapeId="0" xr:uid="{483B55B2-992D-4E75-8F5E-524BDB50EC9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引張×1.1</t>
      </text>
    </comment>
    <comment ref="T57" authorId="7" shapeId="0" xr:uid="{EFD3CE22-34C3-4E6E-9EF8-1B6B062FFB2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引張を参考</t>
      </text>
    </comment>
    <comment ref="U57" authorId="8" shapeId="0" xr:uid="{EBB68BDD-C319-4AC2-B134-4DF2CF6C45B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MR380G150Sを参考</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fumiya</author>
    <author>沖本和貴</author>
  </authors>
  <commentList>
    <comment ref="AA4" authorId="0" shapeId="0" xr:uid="{CF4F2A1C-53C3-439F-BB2E-072C522BD773}">
      <text>
        <r>
          <rPr>
            <sz val="9"/>
            <color indexed="81"/>
            <rFont val="宋体"/>
            <charset val="134"/>
          </rPr>
          <t>新宅史哉:
ここから低翼左右非対称機</t>
        </r>
      </text>
    </comment>
    <comment ref="C21" authorId="1" shapeId="0" xr:uid="{7569DFF9-D879-4B3C-BB55-DDB60F679B5C}">
      <text>
        <r>
          <rPr>
            <b/>
            <sz val="9"/>
            <color indexed="81"/>
            <rFont val="MS P ゴシック"/>
            <family val="3"/>
            <charset val="128"/>
          </rPr>
          <t>沖本和貴:</t>
        </r>
        <r>
          <rPr>
            <sz val="9"/>
            <color indexed="81"/>
            <rFont val="MS P ゴシック"/>
            <family val="3"/>
            <charset val="128"/>
          </rPr>
          <t xml:space="preserve">
0番桁中心からの距離</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<sst xmlns="http://schemas.openxmlformats.org/spreadsheetml/2006/main" count="3340" uniqueCount="1486">
  <si>
    <t>名前</t>
    <rPh sb="0" eb="2">
      <t>ナマエ</t>
    </rPh>
    <phoneticPr fontId="3"/>
  </si>
  <si>
    <t>推算</t>
    <rPh sb="0" eb="2">
      <t>スイサn</t>
    </rPh>
    <phoneticPr fontId="3"/>
  </si>
  <si>
    <t>重心位置</t>
    <rPh sb="0" eb="4">
      <t>ジュウシn</t>
    </rPh>
    <phoneticPr fontId="3"/>
  </si>
  <si>
    <t>脚</t>
    <rPh sb="0" eb="1">
      <t xml:space="preserve">アシ </t>
    </rPh>
    <phoneticPr fontId="3"/>
  </si>
  <si>
    <t>合計</t>
    <rPh sb="0" eb="2">
      <t>ゴウケイ</t>
    </rPh>
    <phoneticPr fontId="3"/>
  </si>
  <si>
    <t>m</t>
    <phoneticPr fontId="3"/>
  </si>
  <si>
    <t>kg</t>
    <phoneticPr fontId="3"/>
  </si>
  <si>
    <t>カウル</t>
    <phoneticPr fontId="3"/>
  </si>
  <si>
    <t>脚マウント</t>
    <rPh sb="0" eb="1">
      <t xml:space="preserve">アシ </t>
    </rPh>
    <phoneticPr fontId="3"/>
  </si>
  <si>
    <t>サーボマウント</t>
    <phoneticPr fontId="3"/>
  </si>
  <si>
    <t>さすまた</t>
    <phoneticPr fontId="3"/>
  </si>
  <si>
    <t>桁</t>
    <rPh sb="0" eb="1">
      <t>ケタ</t>
    </rPh>
    <phoneticPr fontId="3"/>
  </si>
  <si>
    <t>リブ</t>
    <phoneticPr fontId="3"/>
  </si>
  <si>
    <t>プランク</t>
    <phoneticPr fontId="3"/>
  </si>
  <si>
    <t>リブ材</t>
    <rPh sb="2" eb="3">
      <t>ザイ</t>
    </rPh>
    <phoneticPr fontId="3"/>
  </si>
  <si>
    <t>後縁材</t>
    <rPh sb="0" eb="3">
      <t>コウエンザイ</t>
    </rPh>
    <phoneticPr fontId="3"/>
  </si>
  <si>
    <t>縦通材</t>
    <rPh sb="0" eb="3">
      <t>ジュウツウザイ</t>
    </rPh>
    <phoneticPr fontId="3"/>
  </si>
  <si>
    <t>接着剤</t>
    <rPh sb="0" eb="3">
      <t>セッチャクザイ</t>
    </rPh>
    <phoneticPr fontId="3"/>
  </si>
  <si>
    <t>ねじり止め</t>
    <rPh sb="3" eb="4">
      <t>ド</t>
    </rPh>
    <phoneticPr fontId="3"/>
  </si>
  <si>
    <t>重量</t>
    <rPh sb="0" eb="2">
      <t>ジュウリョウ</t>
    </rPh>
    <phoneticPr fontId="3"/>
  </si>
  <si>
    <t>x</t>
    <phoneticPr fontId="3"/>
  </si>
  <si>
    <t>M</t>
    <phoneticPr fontId="3"/>
  </si>
  <si>
    <t>y</t>
    <phoneticPr fontId="3"/>
  </si>
  <si>
    <t>z</t>
    <phoneticPr fontId="3"/>
  </si>
  <si>
    <t>慣性モーメント</t>
    <rPh sb="0" eb="2">
      <t>カンセイ</t>
    </rPh>
    <phoneticPr fontId="3"/>
  </si>
  <si>
    <t>Ixx</t>
  </si>
  <si>
    <t>Ixx</t>
    <phoneticPr fontId="3"/>
  </si>
  <si>
    <t>Iyy</t>
  </si>
  <si>
    <t>Iyy</t>
    <phoneticPr fontId="3"/>
  </si>
  <si>
    <t>Izz</t>
  </si>
  <si>
    <t>Izz</t>
    <phoneticPr fontId="3"/>
  </si>
  <si>
    <t>Ixy</t>
  </si>
  <si>
    <t>Ixy</t>
    <phoneticPr fontId="3"/>
  </si>
  <si>
    <t>Iyz</t>
  </si>
  <si>
    <t>Iyz</t>
    <phoneticPr fontId="3"/>
  </si>
  <si>
    <t>Izx</t>
    <phoneticPr fontId="3"/>
  </si>
  <si>
    <t>kg</t>
  </si>
  <si>
    <t>m</t>
  </si>
  <si>
    <t>kg*m^2</t>
    <phoneticPr fontId="3"/>
  </si>
  <si>
    <t>全機</t>
    <rPh sb="0" eb="2">
      <t>ゼンキ</t>
    </rPh>
    <phoneticPr fontId="3"/>
  </si>
  <si>
    <t>主翼</t>
    <rPh sb="0" eb="2">
      <t>シュヨク</t>
    </rPh>
    <phoneticPr fontId="3"/>
  </si>
  <si>
    <t>カウル</t>
  </si>
  <si>
    <t>脚</t>
    <rPh sb="0" eb="1">
      <t>アシ</t>
    </rPh>
    <phoneticPr fontId="3"/>
  </si>
  <si>
    <t>その他</t>
    <rPh sb="2" eb="3">
      <t>タ</t>
    </rPh>
    <phoneticPr fontId="3"/>
  </si>
  <si>
    <t>要素</t>
    <rPh sb="0" eb="2">
      <t>ヨウソ</t>
    </rPh>
    <phoneticPr fontId="3"/>
  </si>
  <si>
    <t>-</t>
  </si>
  <si>
    <t>-</t>
    <phoneticPr fontId="3"/>
  </si>
  <si>
    <t>パイロット</t>
  </si>
  <si>
    <t>パイロット（服、ヘルメット、靴込み）</t>
    <rPh sb="6" eb="7">
      <t>フク</t>
    </rPh>
    <rPh sb="14" eb="15">
      <t>クツ</t>
    </rPh>
    <rPh sb="15" eb="16">
      <t>コ</t>
    </rPh>
    <phoneticPr fontId="3"/>
  </si>
  <si>
    <t>水平尾翼</t>
  </si>
  <si>
    <t>水平尾翼</t>
    <rPh sb="0" eb="2">
      <t>スイヘイ</t>
    </rPh>
    <rPh sb="2" eb="4">
      <t>ビヨク</t>
    </rPh>
    <phoneticPr fontId="3"/>
  </si>
  <si>
    <t>垂直尾翼</t>
    <rPh sb="0" eb="2">
      <t>スイチョク</t>
    </rPh>
    <rPh sb="2" eb="4">
      <t>ビヨク</t>
    </rPh>
    <phoneticPr fontId="3"/>
  </si>
  <si>
    <t>軸受け</t>
    <rPh sb="0" eb="2">
      <t>ジクウ</t>
    </rPh>
    <phoneticPr fontId="3"/>
  </si>
  <si>
    <t>ダイワニャン</t>
    <phoneticPr fontId="3"/>
  </si>
  <si>
    <t>安定板</t>
    <rPh sb="0" eb="3">
      <t>アンテイバン</t>
    </rPh>
    <phoneticPr fontId="3"/>
  </si>
  <si>
    <t>舵面</t>
    <rPh sb="0" eb="2">
      <t>ダメン</t>
    </rPh>
    <phoneticPr fontId="3"/>
  </si>
  <si>
    <t>胴体</t>
    <rPh sb="0" eb="2">
      <t>ドウタイ</t>
    </rPh>
    <phoneticPr fontId="3"/>
  </si>
  <si>
    <t>テールバー</t>
    <phoneticPr fontId="3"/>
  </si>
  <si>
    <t>環境条件</t>
    <rPh sb="0" eb="2">
      <t>カンキョウ</t>
    </rPh>
    <rPh sb="2" eb="4">
      <t>ジョウケン</t>
    </rPh>
    <phoneticPr fontId="3"/>
  </si>
  <si>
    <t>名</t>
    <rPh sb="0" eb="1">
      <t>メイ</t>
    </rPh>
    <phoneticPr fontId="3"/>
  </si>
  <si>
    <t>記号</t>
    <rPh sb="0" eb="2">
      <t>キゴウ</t>
    </rPh>
    <phoneticPr fontId="3"/>
  </si>
  <si>
    <t>値</t>
    <rPh sb="0" eb="1">
      <t>アタイ</t>
    </rPh>
    <phoneticPr fontId="3"/>
  </si>
  <si>
    <t>単位</t>
    <rPh sb="0" eb="2">
      <t>タンイ</t>
    </rPh>
    <phoneticPr fontId="3"/>
  </si>
  <si>
    <t>備考</t>
    <rPh sb="0" eb="2">
      <t>ビコウ</t>
    </rPh>
    <phoneticPr fontId="3"/>
  </si>
  <si>
    <t>空気密度</t>
    <rPh sb="0" eb="2">
      <t>クウキ</t>
    </rPh>
    <rPh sb="2" eb="4">
      <t>ミツド</t>
    </rPh>
    <phoneticPr fontId="3"/>
  </si>
  <si>
    <t>ρ</t>
    <phoneticPr fontId="3"/>
  </si>
  <si>
    <t>kg/m^3</t>
    <phoneticPr fontId="3"/>
  </si>
  <si>
    <t>https://pigeon-poppo.com/standard-atmosphere/</t>
    <phoneticPr fontId="3"/>
  </si>
  <si>
    <t>重力加速度</t>
    <rPh sb="0" eb="2">
      <t>ジュウリョク</t>
    </rPh>
    <rPh sb="2" eb="5">
      <t>カソクド</t>
    </rPh>
    <phoneticPr fontId="3"/>
  </si>
  <si>
    <t>g</t>
    <phoneticPr fontId="3"/>
  </si>
  <si>
    <t>m/s^2</t>
    <phoneticPr fontId="3"/>
  </si>
  <si>
    <t>https://unit.aist.go.jp/riem/lgl-apr/requirement/mass/approval/GravityAria_info2.pdf</t>
    <phoneticPr fontId="3"/>
  </si>
  <si>
    <t>粘性係数</t>
    <rPh sb="0" eb="2">
      <t>ネンセイ</t>
    </rPh>
    <rPh sb="2" eb="4">
      <t>ケイスウ</t>
    </rPh>
    <phoneticPr fontId="3"/>
  </si>
  <si>
    <t>μ</t>
    <phoneticPr fontId="3"/>
  </si>
  <si>
    <t>N・s/m^2</t>
    <phoneticPr fontId="3"/>
  </si>
  <si>
    <t>https://pigeon-poppo.com/standard-atmosphere/</t>
  </si>
  <si>
    <t>動粘性係数</t>
    <rPh sb="0" eb="5">
      <t>ドウネンセイケイスウ</t>
    </rPh>
    <phoneticPr fontId="3"/>
  </si>
  <si>
    <t>ν</t>
    <phoneticPr fontId="3"/>
  </si>
  <si>
    <t>m^2/s</t>
    <phoneticPr fontId="3"/>
  </si>
  <si>
    <t>気温</t>
    <rPh sb="0" eb="2">
      <t>キオン</t>
    </rPh>
    <phoneticPr fontId="3"/>
  </si>
  <si>
    <t>T</t>
    <phoneticPr fontId="3"/>
  </si>
  <si>
    <t>℃</t>
    <phoneticPr fontId="3"/>
  </si>
  <si>
    <t>K</t>
    <phoneticPr fontId="3"/>
  </si>
  <si>
    <t>圧力</t>
    <rPh sb="0" eb="2">
      <t>アツリョク</t>
    </rPh>
    <phoneticPr fontId="3"/>
  </si>
  <si>
    <t>P</t>
    <phoneticPr fontId="3"/>
  </si>
  <si>
    <t>hPa</t>
    <phoneticPr fontId="3"/>
  </si>
  <si>
    <t>Pa</t>
    <phoneticPr fontId="3"/>
  </si>
  <si>
    <t>一般気体定数</t>
    <rPh sb="0" eb="2">
      <t>イッパン</t>
    </rPh>
    <rPh sb="2" eb="4">
      <t>キタイ</t>
    </rPh>
    <rPh sb="4" eb="6">
      <t>テイスウ</t>
    </rPh>
    <phoneticPr fontId="3"/>
  </si>
  <si>
    <t>R</t>
    <phoneticPr fontId="3"/>
  </si>
  <si>
    <t>J/kg・K</t>
    <phoneticPr fontId="3"/>
  </si>
  <si>
    <t>比熱比</t>
    <rPh sb="0" eb="2">
      <t>ヒネツ</t>
    </rPh>
    <rPh sb="2" eb="3">
      <t>ヒ</t>
    </rPh>
    <phoneticPr fontId="3"/>
  </si>
  <si>
    <t>κ</t>
    <phoneticPr fontId="3"/>
  </si>
  <si>
    <t>音速</t>
    <rPh sb="0" eb="2">
      <t>オンソク</t>
    </rPh>
    <phoneticPr fontId="3"/>
  </si>
  <si>
    <t>a</t>
    <phoneticPr fontId="3"/>
  </si>
  <si>
    <t>m/s</t>
    <phoneticPr fontId="3"/>
  </si>
  <si>
    <t>カルマン定数</t>
    <rPh sb="4" eb="6">
      <t>テイスウ</t>
    </rPh>
    <phoneticPr fontId="3"/>
  </si>
  <si>
    <t>k</t>
    <phoneticPr fontId="3"/>
  </si>
  <si>
    <t>接地境界層にて風速の対数分布則を適用</t>
    <rPh sb="0" eb="2">
      <t>セッチ</t>
    </rPh>
    <rPh sb="2" eb="4">
      <t>キョウカイ</t>
    </rPh>
    <rPh sb="4" eb="5">
      <t>ソウ</t>
    </rPh>
    <rPh sb="7" eb="9">
      <t>フウソク</t>
    </rPh>
    <rPh sb="10" eb="12">
      <t>タイスウ</t>
    </rPh>
    <rPh sb="12" eb="14">
      <t>ブンプ</t>
    </rPh>
    <rPh sb="14" eb="15">
      <t>ソク</t>
    </rPh>
    <rPh sb="16" eb="18">
      <t>テキヨウ</t>
    </rPh>
    <phoneticPr fontId="3"/>
  </si>
  <si>
    <t>粗度</t>
    <rPh sb="0" eb="1">
      <t>アラ</t>
    </rPh>
    <rPh sb="1" eb="2">
      <t>ド</t>
    </rPh>
    <phoneticPr fontId="3"/>
  </si>
  <si>
    <t>z0</t>
    <phoneticPr fontId="3"/>
  </si>
  <si>
    <t>プリプレグ</t>
    <phoneticPr fontId="3"/>
  </si>
  <si>
    <t>品番</t>
    <rPh sb="0" eb="2">
      <t>ヒンバン</t>
    </rPh>
    <phoneticPr fontId="3"/>
  </si>
  <si>
    <t>MR380G150S</t>
    <phoneticPr fontId="3"/>
  </si>
  <si>
    <t>HRX350G125S</t>
    <phoneticPr fontId="3"/>
  </si>
  <si>
    <t>Carbon</t>
    <phoneticPr fontId="3"/>
  </si>
  <si>
    <t>MR60H</t>
    <phoneticPr fontId="3"/>
  </si>
  <si>
    <t>M40J相当</t>
    <rPh sb="4" eb="6">
      <t>ソウトウ</t>
    </rPh>
    <phoneticPr fontId="3"/>
  </si>
  <si>
    <t>Resin</t>
    <phoneticPr fontId="3"/>
  </si>
  <si>
    <t>#350</t>
    <phoneticPr fontId="3"/>
  </si>
  <si>
    <t>FAW</t>
    <phoneticPr fontId="3"/>
  </si>
  <si>
    <t>g/m^2</t>
    <phoneticPr fontId="3"/>
  </si>
  <si>
    <t>Resin Content</t>
    <phoneticPr fontId="3"/>
  </si>
  <si>
    <t>Curing Condition</t>
    <phoneticPr fontId="3"/>
  </si>
  <si>
    <t xml:space="preserve"> </t>
    <phoneticPr fontId="3"/>
  </si>
  <si>
    <t>強度</t>
    <rPh sb="0" eb="2">
      <t>キョウド</t>
    </rPh>
    <phoneticPr fontId="3"/>
  </si>
  <si>
    <t>FLt</t>
    <phoneticPr fontId="3"/>
  </si>
  <si>
    <t>GPa</t>
    <phoneticPr fontId="3"/>
  </si>
  <si>
    <t>ヤング率</t>
    <rPh sb="3" eb="4">
      <t>リツ</t>
    </rPh>
    <phoneticPr fontId="3"/>
  </si>
  <si>
    <t>ELt</t>
    <phoneticPr fontId="3"/>
  </si>
  <si>
    <t>ポアソン比</t>
    <rPh sb="4" eb="5">
      <t>ヒ</t>
    </rPh>
    <phoneticPr fontId="3"/>
  </si>
  <si>
    <t>νLt</t>
    <phoneticPr fontId="3"/>
  </si>
  <si>
    <t>FTt</t>
    <phoneticPr fontId="3"/>
  </si>
  <si>
    <t>νTt</t>
    <phoneticPr fontId="3"/>
  </si>
  <si>
    <t>FLc</t>
    <phoneticPr fontId="3"/>
  </si>
  <si>
    <t>νLc</t>
    <phoneticPr fontId="3"/>
  </si>
  <si>
    <t>FTc</t>
    <phoneticPr fontId="3"/>
  </si>
  <si>
    <t>FLT</t>
    <phoneticPr fontId="3"/>
  </si>
  <si>
    <t>せん断</t>
    <rPh sb="2" eb="3">
      <t>ダン</t>
    </rPh>
    <phoneticPr fontId="3"/>
  </si>
  <si>
    <t>GLT</t>
    <phoneticPr fontId="3"/>
  </si>
  <si>
    <t>F1</t>
    <phoneticPr fontId="3"/>
  </si>
  <si>
    <t>層間せん断</t>
    <rPh sb="0" eb="2">
      <t>ソウカン</t>
    </rPh>
    <rPh sb="4" eb="5">
      <t>ダン</t>
    </rPh>
    <phoneticPr fontId="3"/>
  </si>
  <si>
    <t>厚さ</t>
    <rPh sb="0" eb="1">
      <t>アツ</t>
    </rPh>
    <phoneticPr fontId="3"/>
  </si>
  <si>
    <t>t</t>
    <phoneticPr fontId="3"/>
  </si>
  <si>
    <t>mm/ply</t>
    <phoneticPr fontId="3"/>
  </si>
  <si>
    <t>購入先</t>
    <rPh sb="0" eb="3">
      <t>コウニュウサキ</t>
    </rPh>
    <phoneticPr fontId="3"/>
  </si>
  <si>
    <t>密度</t>
    <rPh sb="0" eb="2">
      <t>ミツド</t>
    </rPh>
    <phoneticPr fontId="3"/>
  </si>
  <si>
    <t>CFRP</t>
    <phoneticPr fontId="3"/>
  </si>
  <si>
    <t>50倍発泡</t>
    <rPh sb="2" eb="3">
      <t>バイ</t>
    </rPh>
    <rPh sb="3" eb="5">
      <t>ハッポウ</t>
    </rPh>
    <phoneticPr fontId="3"/>
  </si>
  <si>
    <t>30倍発泡</t>
    <rPh sb="2" eb="3">
      <t>バイ</t>
    </rPh>
    <rPh sb="3" eb="5">
      <t>ハッポウ</t>
    </rPh>
    <phoneticPr fontId="3"/>
  </si>
  <si>
    <t>ヒノキ</t>
    <phoneticPr fontId="3"/>
  </si>
  <si>
    <t>ソプラ</t>
    <phoneticPr fontId="3"/>
  </si>
  <si>
    <t>トーラミ</t>
    <phoneticPr fontId="3"/>
  </si>
  <si>
    <t>アルミ</t>
    <phoneticPr fontId="3"/>
  </si>
  <si>
    <t>ジュラルミン</t>
    <phoneticPr fontId="3"/>
  </si>
  <si>
    <t>引張強度</t>
    <rPh sb="0" eb="2">
      <t>ヒッパリ</t>
    </rPh>
    <rPh sb="2" eb="4">
      <t>キョウド</t>
    </rPh>
    <phoneticPr fontId="3"/>
  </si>
  <si>
    <t>繊維方向・圧縮</t>
    <rPh sb="5" eb="7">
      <t>アッシュク</t>
    </rPh>
    <phoneticPr fontId="3"/>
  </si>
  <si>
    <t>直交方向・引張</t>
    <rPh sb="0" eb="2">
      <t>チョッコウ</t>
    </rPh>
    <phoneticPr fontId="3"/>
  </si>
  <si>
    <t>繊維方向・引張</t>
    <phoneticPr fontId="3"/>
  </si>
  <si>
    <t>直交方向・圧縮</t>
    <rPh sb="0" eb="2">
      <t>チョッコウ</t>
    </rPh>
    <rPh sb="5" eb="7">
      <t>アッシュク</t>
    </rPh>
    <phoneticPr fontId="3"/>
  </si>
  <si>
    <t>νTc</t>
    <phoneticPr fontId="3"/>
  </si>
  <si>
    <t>記号</t>
  </si>
  <si>
    <t>値</t>
  </si>
  <si>
    <t>単位</t>
  </si>
  <si>
    <t>三菱ケミカル：https://www.m-chemical.co.jp/products/field/carbon/index.html
株式会社カナエ：https://www.kanae-kbs.co.jp/chemical/</t>
    <rPh sb="0" eb="2">
      <t>ミツビシ</t>
    </rPh>
    <rPh sb="69" eb="73">
      <t>カブシキガイシャ</t>
    </rPh>
    <phoneticPr fontId="3"/>
  </si>
  <si>
    <t>%</t>
    <phoneticPr fontId="3"/>
  </si>
  <si>
    <t xml:space="preserve">Autoclave Curing for 60 minutes at 80℃ and 90 minutes at 130℃ </t>
  </si>
  <si>
    <t>三菱レーヨン：https://www.m-chemical.co.jp/carbon-fiber/product/prepreg/
スリーホープ：http://www4.tokai.or.jp/three-hope/</t>
    <rPh sb="0" eb="2">
      <t>ミツビシ</t>
    </rPh>
    <phoneticPr fontId="3"/>
  </si>
  <si>
    <t>キャンバー</t>
    <phoneticPr fontId="3"/>
  </si>
  <si>
    <t>位置</t>
    <rPh sb="0" eb="2">
      <t>イチ</t>
    </rPh>
    <phoneticPr fontId="3"/>
  </si>
  <si>
    <t>％</t>
    <phoneticPr fontId="3"/>
  </si>
  <si>
    <t>XCp</t>
    <phoneticPr fontId="3"/>
  </si>
  <si>
    <t>Xtr top</t>
    <phoneticPr fontId="3"/>
  </si>
  <si>
    <t>Cm</t>
  </si>
  <si>
    <t>Cm</t>
    <phoneticPr fontId="3"/>
  </si>
  <si>
    <t>Cmα</t>
  </si>
  <si>
    <t>ピッチングモーメント係数</t>
  </si>
  <si>
    <t>ピッチングモーメント係数</t>
    <rPh sb="10" eb="12">
      <t>ケイスウ</t>
    </rPh>
    <phoneticPr fontId="3"/>
  </si>
  <si>
    <t>Clｍax</t>
    <phoneticPr fontId="3"/>
  </si>
  <si>
    <t>解析値</t>
    <rPh sb="0" eb="2">
      <t>カイセキ</t>
    </rPh>
    <rPh sb="2" eb="3">
      <t>チ</t>
    </rPh>
    <phoneticPr fontId="3"/>
  </si>
  <si>
    <t>幾何値</t>
    <rPh sb="0" eb="2">
      <t>キカ</t>
    </rPh>
    <rPh sb="2" eb="3">
      <t>アタイ</t>
    </rPh>
    <phoneticPr fontId="3"/>
  </si>
  <si>
    <t>解析範囲</t>
    <rPh sb="0" eb="2">
      <t>カイセキ</t>
    </rPh>
    <rPh sb="2" eb="4">
      <t>ハンイ</t>
    </rPh>
    <phoneticPr fontId="3"/>
  </si>
  <si>
    <t>最小</t>
    <rPh sb="0" eb="2">
      <t>サイショウ</t>
    </rPh>
    <phoneticPr fontId="3"/>
  </si>
  <si>
    <t>最大</t>
    <rPh sb="0" eb="2">
      <t>サイダイ</t>
    </rPh>
    <phoneticPr fontId="3"/>
  </si>
  <si>
    <t>Δ</t>
    <phoneticPr fontId="3"/>
  </si>
  <si>
    <t>α</t>
    <phoneticPr fontId="3"/>
  </si>
  <si>
    <t>Re</t>
    <phoneticPr fontId="3"/>
  </si>
  <si>
    <t>α</t>
  </si>
  <si>
    <t>名</t>
    <rPh sb="0" eb="1">
      <t>メイ</t>
    </rPh>
    <phoneticPr fontId="2"/>
  </si>
  <si>
    <t>記号</t>
    <rPh sb="0" eb="2">
      <t>キゴウ</t>
    </rPh>
    <phoneticPr fontId="2"/>
  </si>
  <si>
    <t>単位</t>
    <rPh sb="0" eb="2">
      <t>タンイ</t>
    </rPh>
    <phoneticPr fontId="2"/>
  </si>
  <si>
    <t>年</t>
    <rPh sb="0" eb="1">
      <t>トシ</t>
    </rPh>
    <phoneticPr fontId="3"/>
  </si>
  <si>
    <t>機体名</t>
    <rPh sb="0" eb="2">
      <t>キタイ</t>
    </rPh>
    <rPh sb="2" eb="3">
      <t>メイ</t>
    </rPh>
    <phoneticPr fontId="3"/>
  </si>
  <si>
    <t>QX-23</t>
    <phoneticPr fontId="3"/>
  </si>
  <si>
    <t>QX-22</t>
    <phoneticPr fontId="3"/>
  </si>
  <si>
    <t>QX-21</t>
  </si>
  <si>
    <t>QX-20</t>
  </si>
  <si>
    <t>QX-19</t>
    <phoneticPr fontId="9"/>
  </si>
  <si>
    <t>QX-18</t>
  </si>
  <si>
    <t>QX-17</t>
  </si>
  <si>
    <t>QX-16</t>
  </si>
  <si>
    <t>QX-15</t>
  </si>
  <si>
    <t>QX-14</t>
  </si>
  <si>
    <t>QX-13</t>
  </si>
  <si>
    <t>QX-12</t>
  </si>
  <si>
    <t>QX-11</t>
  </si>
  <si>
    <t>QX-10</t>
  </si>
  <si>
    <t>QX-09</t>
  </si>
  <si>
    <t>QX-08</t>
  </si>
  <si>
    <t>QX-07</t>
  </si>
  <si>
    <t>QX-06</t>
  </si>
  <si>
    <t>QX-05</t>
  </si>
  <si>
    <t>QX-04</t>
  </si>
  <si>
    <t>QX-03</t>
  </si>
  <si>
    <t>川野聖人</t>
    <rPh sb="0" eb="4">
      <t>カワノマサト</t>
    </rPh>
    <phoneticPr fontId="3"/>
  </si>
  <si>
    <t>川野聖人</t>
    <rPh sb="0" eb="2">
      <t>カワノ</t>
    </rPh>
    <rPh sb="2" eb="4">
      <t>マサト</t>
    </rPh>
    <phoneticPr fontId="3"/>
  </si>
  <si>
    <t>菊池正真</t>
    <rPh sb="0" eb="2">
      <t>キクチ</t>
    </rPh>
    <rPh sb="2" eb="4">
      <t>ショウマ</t>
    </rPh>
    <phoneticPr fontId="3"/>
  </si>
  <si>
    <t>大島茜理</t>
    <rPh sb="0" eb="2">
      <t>オオシマ</t>
    </rPh>
    <rPh sb="2" eb="3">
      <t>アカネ</t>
    </rPh>
    <rPh sb="3" eb="4">
      <t>リ</t>
    </rPh>
    <phoneticPr fontId="3"/>
  </si>
  <si>
    <t>永田優希</t>
  </si>
  <si>
    <t>坂口光輝</t>
  </si>
  <si>
    <t>石丸隆宏</t>
  </si>
  <si>
    <t>日下部紘亮</t>
  </si>
  <si>
    <t>柿木基志</t>
  </si>
  <si>
    <t>三浦亮介</t>
  </si>
  <si>
    <t>池田大輔</t>
  </si>
  <si>
    <t>設計責任者</t>
  </si>
  <si>
    <t>森隼人</t>
    <rPh sb="0" eb="3">
      <t>モリハヤト</t>
    </rPh>
    <phoneticPr fontId="3"/>
  </si>
  <si>
    <t>山下湧</t>
    <rPh sb="0" eb="2">
      <t>ヤマシタ</t>
    </rPh>
    <rPh sb="2" eb="3">
      <t>ユウ</t>
    </rPh>
    <phoneticPr fontId="3"/>
  </si>
  <si>
    <t>清水俊太郎</t>
    <rPh sb="0" eb="2">
      <t>シミズ</t>
    </rPh>
    <rPh sb="2" eb="5">
      <t>シュンタロウ</t>
    </rPh>
    <phoneticPr fontId="3"/>
  </si>
  <si>
    <t>沖本和貴</t>
    <rPh sb="0" eb="2">
      <t>オキモト</t>
    </rPh>
    <rPh sb="2" eb="4">
      <t>カズキ</t>
    </rPh>
    <phoneticPr fontId="3"/>
  </si>
  <si>
    <t>(空力) 馬場清希/(構造) 辻大樹</t>
    <rPh sb="1" eb="3">
      <t>クウリキ</t>
    </rPh>
    <rPh sb="5" eb="7">
      <t>ババ</t>
    </rPh>
    <rPh sb="7" eb="8">
      <t>キヨ</t>
    </rPh>
    <rPh sb="8" eb="9">
      <t>キ</t>
    </rPh>
    <phoneticPr fontId="9"/>
  </si>
  <si>
    <t>新宅史哉</t>
  </si>
  <si>
    <t>寺山亮太</t>
  </si>
  <si>
    <t>金澤寿明</t>
  </si>
  <si>
    <t>樋口雄紀</t>
  </si>
  <si>
    <t>岡田拓也</t>
  </si>
  <si>
    <t>重冨貞成</t>
  </si>
  <si>
    <t>國武成仁</t>
  </si>
  <si>
    <t>山田寛</t>
  </si>
  <si>
    <t>白桃拓哉</t>
  </si>
  <si>
    <t>新見征之</t>
  </si>
  <si>
    <t>中村典生</t>
  </si>
  <si>
    <t>三木貴文</t>
  </si>
  <si>
    <t>伊庭周作</t>
  </si>
  <si>
    <t>宮本真吾</t>
  </si>
  <si>
    <t>瀬戸山正幸</t>
  </si>
  <si>
    <t>阿知波哲史</t>
  </si>
  <si>
    <t>代表</t>
  </si>
  <si>
    <t>山下湧</t>
  </si>
  <si>
    <t>馬場清希</t>
    <rPh sb="0" eb="2">
      <t>ババ</t>
    </rPh>
    <rPh sb="2" eb="3">
      <t>キヨシ</t>
    </rPh>
    <rPh sb="3" eb="4">
      <t>キ</t>
    </rPh>
    <phoneticPr fontId="3"/>
  </si>
  <si>
    <t>村上大祐</t>
    <rPh sb="0" eb="2">
      <t>ムラカミ</t>
    </rPh>
    <rPh sb="2" eb="4">
      <t>ダイスケ</t>
    </rPh>
    <phoneticPr fontId="9"/>
  </si>
  <si>
    <t>江口弘人</t>
  </si>
  <si>
    <t>大澤啓介</t>
  </si>
  <si>
    <t>吉松佑樹</t>
  </si>
  <si>
    <t>行武紀昭</t>
  </si>
  <si>
    <t>和田優登</t>
  </si>
  <si>
    <t>後藤浩輝</t>
  </si>
  <si>
    <t>飛距離</t>
    <rPh sb="0" eb="3">
      <t>ヒキョリ</t>
    </rPh>
    <phoneticPr fontId="3"/>
  </si>
  <si>
    <t>大会中止</t>
    <rPh sb="0" eb="2">
      <t>タイカイ</t>
    </rPh>
    <rPh sb="2" eb="4">
      <t>チュウシ</t>
    </rPh>
    <phoneticPr fontId="3"/>
  </si>
  <si>
    <t>リーマンショック</t>
  </si>
  <si>
    <t>順位</t>
    <rPh sb="0" eb="2">
      <t>ジュンイ</t>
    </rPh>
    <phoneticPr fontId="3"/>
  </si>
  <si>
    <t>大会中止</t>
  </si>
  <si>
    <t>elevetor</t>
    <phoneticPr fontId="3"/>
  </si>
  <si>
    <t>エレベータ</t>
    <phoneticPr fontId="9"/>
  </si>
  <si>
    <t>エレベータ</t>
  </si>
  <si>
    <t>ladder</t>
    <phoneticPr fontId="3"/>
  </si>
  <si>
    <t>ラダー</t>
    <phoneticPr fontId="3"/>
  </si>
  <si>
    <t>ラダー</t>
  </si>
  <si>
    <t>ラダー</t>
    <phoneticPr fontId="9"/>
  </si>
  <si>
    <t>基準状態</t>
    <rPh sb="0" eb="2">
      <t>キジュン</t>
    </rPh>
    <rPh sb="2" eb="4">
      <t>ジョウタイ</t>
    </rPh>
    <phoneticPr fontId="3"/>
  </si>
  <si>
    <t>全機迎角</t>
  </si>
  <si>
    <t>deg</t>
  </si>
  <si>
    <t>横滑り角</t>
  </si>
  <si>
    <t>β</t>
  </si>
  <si>
    <t>対気速度</t>
  </si>
  <si>
    <t>V</t>
  </si>
  <si>
    <t>m/s</t>
  </si>
  <si>
    <t>高度</t>
  </si>
  <si>
    <t>hE</t>
  </si>
  <si>
    <t>機体重量</t>
    <rPh sb="0" eb="2">
      <t>キタイ</t>
    </rPh>
    <rPh sb="2" eb="4">
      <t>ジュウリョウ</t>
    </rPh>
    <phoneticPr fontId="2"/>
  </si>
  <si>
    <t>パイロット重量</t>
    <rPh sb="5" eb="7">
      <t>ジュウリョウ</t>
    </rPh>
    <phoneticPr fontId="2"/>
  </si>
  <si>
    <t>全備重量（質量）</t>
    <rPh sb="0" eb="2">
      <t>ゼンビ</t>
    </rPh>
    <rPh sb="2" eb="4">
      <t>ジュウリョウ</t>
    </rPh>
    <rPh sb="5" eb="7">
      <t>シツリョウ</t>
    </rPh>
    <phoneticPr fontId="2"/>
  </si>
  <si>
    <t>全備重量（重量）</t>
    <rPh sb="0" eb="2">
      <t>ゼンビ</t>
    </rPh>
    <rPh sb="2" eb="4">
      <t>ジュウリョウ</t>
    </rPh>
    <rPh sb="5" eb="7">
      <t>ジュウリョウ</t>
    </rPh>
    <phoneticPr fontId="2"/>
  </si>
  <si>
    <t>W</t>
  </si>
  <si>
    <t>N</t>
  </si>
  <si>
    <t>翼面荷重</t>
    <rPh sb="0" eb="1">
      <t>ヨク</t>
    </rPh>
    <rPh sb="1" eb="2">
      <t>メン</t>
    </rPh>
    <rPh sb="2" eb="4">
      <t>カジュウ</t>
    </rPh>
    <phoneticPr fontId="2"/>
  </si>
  <si>
    <t>W/S</t>
  </si>
  <si>
    <t>kg/m^2</t>
  </si>
  <si>
    <t>重心位置</t>
    <rPh sb="0" eb="2">
      <t>ジュウシン</t>
    </rPh>
    <rPh sb="2" eb="4">
      <t>イチ</t>
    </rPh>
    <phoneticPr fontId="3"/>
  </si>
  <si>
    <t>重心位置</t>
    <rPh sb="0" eb="2">
      <t>ジュウシン</t>
    </rPh>
    <rPh sb="2" eb="4">
      <t>イチ</t>
    </rPh>
    <phoneticPr fontId="2"/>
  </si>
  <si>
    <t>Zcg</t>
  </si>
  <si>
    <t>hcg</t>
  </si>
  <si>
    <t>全機空力中心位置</t>
    <rPh sb="0" eb="6">
      <t>ゼンキクウリキチュウシン</t>
    </rPh>
    <rPh sb="6" eb="8">
      <t>イチ</t>
    </rPh>
    <phoneticPr fontId="2"/>
  </si>
  <si>
    <t>hn</t>
  </si>
  <si>
    <t>面積</t>
    <rPh sb="0" eb="2">
      <t>メンセキ</t>
    </rPh>
    <phoneticPr fontId="3"/>
  </si>
  <si>
    <t>主翼</t>
    <rPh sb="0" eb="2">
      <t>シュヨク</t>
    </rPh>
    <phoneticPr fontId="2"/>
  </si>
  <si>
    <t>S</t>
  </si>
  <si>
    <t>m^2</t>
  </si>
  <si>
    <t>水平尾翼</t>
    <rPh sb="0" eb="2">
      <t>スイヘイ</t>
    </rPh>
    <rPh sb="2" eb="4">
      <t>ビヨク</t>
    </rPh>
    <phoneticPr fontId="2"/>
  </si>
  <si>
    <t>St</t>
  </si>
  <si>
    <t>垂直尾翼</t>
    <rPh sb="0" eb="2">
      <t>スイチョク</t>
    </rPh>
    <rPh sb="2" eb="4">
      <t>ビヨク</t>
    </rPh>
    <phoneticPr fontId="2"/>
  </si>
  <si>
    <t>Sf</t>
  </si>
  <si>
    <t>翼幅</t>
  </si>
  <si>
    <t>b</t>
  </si>
  <si>
    <t>アスペクト比</t>
  </si>
  <si>
    <t>AR</t>
  </si>
  <si>
    <t>平均空力翼弦長</t>
  </si>
  <si>
    <t>c_</t>
  </si>
  <si>
    <t>片翼面積重心</t>
  </si>
  <si>
    <t>y_</t>
  </si>
  <si>
    <t>空力中心</t>
  </si>
  <si>
    <t>hac</t>
  </si>
  <si>
    <t>翼効率</t>
  </si>
  <si>
    <t>e</t>
  </si>
  <si>
    <t>二次元揚力傾斜</t>
    <rPh sb="0" eb="1">
      <t>ニ</t>
    </rPh>
    <rPh sb="1" eb="3">
      <t>ジゲン</t>
    </rPh>
    <rPh sb="3" eb="5">
      <t>ヨウリョク</t>
    </rPh>
    <rPh sb="5" eb="7">
      <t>ケイシャ</t>
    </rPh>
    <phoneticPr fontId="3"/>
  </si>
  <si>
    <t>Cla</t>
    <phoneticPr fontId="3"/>
  </si>
  <si>
    <t>平均誘導迎え角</t>
  </si>
  <si>
    <t>αi_</t>
  </si>
  <si>
    <t>桁位置</t>
    <rPh sb="0" eb="1">
      <t>ケタ</t>
    </rPh>
    <rPh sb="1" eb="3">
      <t>イチ</t>
    </rPh>
    <phoneticPr fontId="2"/>
  </si>
  <si>
    <t>翼端たわみ</t>
    <rPh sb="0" eb="2">
      <t>ヨクタン</t>
    </rPh>
    <phoneticPr fontId="3"/>
  </si>
  <si>
    <t>w</t>
    <phoneticPr fontId="3"/>
  </si>
  <si>
    <t>翼端ねじれ角</t>
    <rPh sb="0" eb="1">
      <t>ヨク</t>
    </rPh>
    <rPh sb="1" eb="2">
      <t>タン</t>
    </rPh>
    <rPh sb="5" eb="6">
      <t>カク</t>
    </rPh>
    <phoneticPr fontId="3"/>
  </si>
  <si>
    <t>Φ</t>
    <phoneticPr fontId="3"/>
  </si>
  <si>
    <t>deg</t>
    <phoneticPr fontId="3"/>
  </si>
  <si>
    <t>容積比</t>
    <rPh sb="0" eb="2">
      <t>ヨウセキ</t>
    </rPh>
    <rPh sb="2" eb="3">
      <t>ヒ</t>
    </rPh>
    <phoneticPr fontId="3"/>
  </si>
  <si>
    <t>水平尾翼容積比</t>
    <rPh sb="0" eb="2">
      <t>スイヘイ</t>
    </rPh>
    <rPh sb="2" eb="4">
      <t>ビヨク</t>
    </rPh>
    <rPh sb="4" eb="6">
      <t>ヨウセキ</t>
    </rPh>
    <rPh sb="6" eb="7">
      <t>ヒ</t>
    </rPh>
    <phoneticPr fontId="2"/>
  </si>
  <si>
    <t>VH or VH*</t>
  </si>
  <si>
    <t>VH' or VH*'</t>
  </si>
  <si>
    <t>垂直尾翼容積比</t>
    <rPh sb="0" eb="2">
      <t>スイチョク</t>
    </rPh>
    <rPh sb="2" eb="4">
      <t>ビヨク</t>
    </rPh>
    <rPh sb="4" eb="6">
      <t>ヨウセキ</t>
    </rPh>
    <rPh sb="6" eb="7">
      <t>ヒ</t>
    </rPh>
    <phoneticPr fontId="2"/>
  </si>
  <si>
    <t>VF or VF*</t>
  </si>
  <si>
    <t>∂ε/∂α</t>
  </si>
  <si>
    <t>尾翼形式</t>
    <rPh sb="0" eb="2">
      <t>ビヨク</t>
    </rPh>
    <rPh sb="2" eb="4">
      <t>ケイシキ</t>
    </rPh>
    <phoneticPr fontId="2"/>
  </si>
  <si>
    <t>T-Tail</t>
  </si>
  <si>
    <t>Conventional</t>
  </si>
  <si>
    <t>尾翼配置</t>
    <rPh sb="0" eb="2">
      <t>ビヨク</t>
    </rPh>
    <rPh sb="2" eb="4">
      <t>ハイチ</t>
    </rPh>
    <phoneticPr fontId="3"/>
  </si>
  <si>
    <t>全機cg-水平ac間距離</t>
    <rPh sb="0" eb="2">
      <t>ゼンキ</t>
    </rPh>
    <rPh sb="5" eb="7">
      <t>スイヘイ</t>
    </rPh>
    <rPh sb="9" eb="10">
      <t>カン</t>
    </rPh>
    <rPh sb="10" eb="12">
      <t>キョリ</t>
    </rPh>
    <phoneticPr fontId="2"/>
  </si>
  <si>
    <t>lt</t>
  </si>
  <si>
    <t>全機ac-水平ac間距離</t>
    <rPh sb="0" eb="2">
      <t>ゼンキ</t>
    </rPh>
    <rPh sb="5" eb="7">
      <t>スイヘイ</t>
    </rPh>
    <rPh sb="9" eb="10">
      <t>カン</t>
    </rPh>
    <rPh sb="10" eb="12">
      <t>キョリ</t>
    </rPh>
    <phoneticPr fontId="2"/>
  </si>
  <si>
    <t>lt'</t>
  </si>
  <si>
    <t>全機cg－垂直ac間距離</t>
    <rPh sb="0" eb="2">
      <t>ゼンキ</t>
    </rPh>
    <rPh sb="5" eb="7">
      <t>スイチョク</t>
    </rPh>
    <rPh sb="9" eb="10">
      <t>カン</t>
    </rPh>
    <rPh sb="10" eb="12">
      <t>キョリ</t>
    </rPh>
    <phoneticPr fontId="2"/>
  </si>
  <si>
    <t>lf</t>
  </si>
  <si>
    <t>垂直尾翼下端位置</t>
    <rPh sb="0" eb="2">
      <t>スイチョク</t>
    </rPh>
    <rPh sb="2" eb="4">
      <t>ビヨク</t>
    </rPh>
    <rPh sb="4" eb="6">
      <t>カタン</t>
    </rPh>
    <rPh sb="6" eb="8">
      <t>イチ</t>
    </rPh>
    <phoneticPr fontId="2"/>
  </si>
  <si>
    <t>zf</t>
  </si>
  <si>
    <t>垂直尾翼面積重心</t>
    <rPh sb="0" eb="2">
      <t>スイチョク</t>
    </rPh>
    <rPh sb="2" eb="4">
      <t>ビヨク</t>
    </rPh>
    <rPh sb="4" eb="6">
      <t>メンセキ</t>
    </rPh>
    <rPh sb="6" eb="8">
      <t>ジュウシン</t>
    </rPh>
    <phoneticPr fontId="2"/>
  </si>
  <si>
    <t>取り付け角</t>
    <rPh sb="0" eb="1">
      <t>ト</t>
    </rPh>
    <rPh sb="2" eb="3">
      <t>ツ</t>
    </rPh>
    <rPh sb="4" eb="5">
      <t>カク</t>
    </rPh>
    <phoneticPr fontId="2"/>
  </si>
  <si>
    <t>i</t>
  </si>
  <si>
    <t>空気力</t>
    <rPh sb="0" eb="2">
      <t>クウキ</t>
    </rPh>
    <rPh sb="2" eb="3">
      <t>リョク</t>
    </rPh>
    <phoneticPr fontId="3"/>
  </si>
  <si>
    <t>揚力係数</t>
    <rPh sb="0" eb="2">
      <t>ヨウリョク</t>
    </rPh>
    <rPh sb="2" eb="4">
      <t>ケイスウ</t>
    </rPh>
    <phoneticPr fontId="2"/>
  </si>
  <si>
    <t>CL</t>
  </si>
  <si>
    <t>最大揚力係数</t>
    <rPh sb="0" eb="2">
      <t>サイダイ</t>
    </rPh>
    <rPh sb="2" eb="4">
      <t>ヨウリョク</t>
    </rPh>
    <rPh sb="4" eb="6">
      <t>ケイスウ</t>
    </rPh>
    <phoneticPr fontId="2"/>
  </si>
  <si>
    <t>CL_max</t>
  </si>
  <si>
    <t>CL_wing</t>
  </si>
  <si>
    <t>CL_tail</t>
  </si>
  <si>
    <t>CL_fin</t>
  </si>
  <si>
    <t>揚力傾斜</t>
    <rPh sb="0" eb="2">
      <t>ヨウリョク</t>
    </rPh>
    <rPh sb="2" eb="4">
      <t>ケイシャ</t>
    </rPh>
    <phoneticPr fontId="2"/>
  </si>
  <si>
    <t>CL_alpha</t>
  </si>
  <si>
    <t>1/deg</t>
  </si>
  <si>
    <t>aw</t>
  </si>
  <si>
    <t>at</t>
  </si>
  <si>
    <t>af</t>
  </si>
  <si>
    <t>抗力係数</t>
    <rPh sb="0" eb="2">
      <t>コウリョク</t>
    </rPh>
    <rPh sb="2" eb="4">
      <t>ケイスウ</t>
    </rPh>
    <phoneticPr fontId="2"/>
  </si>
  <si>
    <t>CD</t>
  </si>
  <si>
    <t>CD_wing</t>
  </si>
  <si>
    <t>CD_tail</t>
  </si>
  <si>
    <t>CD_fin</t>
  </si>
  <si>
    <t>CD_cowl</t>
  </si>
  <si>
    <t>胴体</t>
    <rPh sb="0" eb="2">
      <t>ドウタイ</t>
    </rPh>
    <phoneticPr fontId="2"/>
  </si>
  <si>
    <t>CD_body</t>
  </si>
  <si>
    <t>干渉抗力</t>
    <rPh sb="0" eb="2">
      <t>カンショウ</t>
    </rPh>
    <rPh sb="2" eb="4">
      <t>コウリョク</t>
    </rPh>
    <phoneticPr fontId="2"/>
  </si>
  <si>
    <t>CD_Interference</t>
  </si>
  <si>
    <t>揚抗比</t>
    <rPh sb="0" eb="3">
      <t>ヨウコウヒ</t>
    </rPh>
    <phoneticPr fontId="2"/>
  </si>
  <si>
    <t>L/D</t>
  </si>
  <si>
    <t>ピッチングモーメント係数</t>
    <rPh sb="10" eb="12">
      <t>ケイスウ</t>
    </rPh>
    <phoneticPr fontId="2"/>
  </si>
  <si>
    <t>揚力</t>
    <rPh sb="0" eb="2">
      <t>ヨウリョク</t>
    </rPh>
    <phoneticPr fontId="2"/>
  </si>
  <si>
    <t>L</t>
  </si>
  <si>
    <t>kgf</t>
  </si>
  <si>
    <t>抗力</t>
    <rPh sb="0" eb="2">
      <t>コウリョク</t>
    </rPh>
    <phoneticPr fontId="2"/>
  </si>
  <si>
    <t>D</t>
  </si>
  <si>
    <t>余剰揚力</t>
    <rPh sb="0" eb="2">
      <t>ヨジョウ</t>
    </rPh>
    <rPh sb="2" eb="4">
      <t>ヨウリョク</t>
    </rPh>
    <phoneticPr fontId="2"/>
  </si>
  <si>
    <t>ΔL</t>
  </si>
  <si>
    <t>慣性モーメント</t>
    <rPh sb="0" eb="2">
      <t>カンセイ</t>
    </rPh>
    <phoneticPr fontId="2"/>
  </si>
  <si>
    <t>kg・m^2</t>
  </si>
  <si>
    <t>Ixz</t>
  </si>
  <si>
    <t>静安定</t>
    <rPh sb="0" eb="1">
      <t>セイ</t>
    </rPh>
    <rPh sb="1" eb="3">
      <t>アンテイ</t>
    </rPh>
    <phoneticPr fontId="3"/>
  </si>
  <si>
    <t>Clβ</t>
  </si>
  <si>
    <t>Cnβ</t>
  </si>
  <si>
    <t>動安定</t>
    <rPh sb="0" eb="3">
      <t>ドウアンテイ</t>
    </rPh>
    <phoneticPr fontId="3"/>
  </si>
  <si>
    <t>短周期モード</t>
    <rPh sb="0" eb="3">
      <t>タンシュウキ</t>
    </rPh>
    <phoneticPr fontId="2"/>
  </si>
  <si>
    <t>ωsp</t>
  </si>
  <si>
    <t>rad/s</t>
  </si>
  <si>
    <t>ζsp</t>
  </si>
  <si>
    <t>ωdsp</t>
  </si>
  <si>
    <t>Tsp</t>
  </si>
  <si>
    <t>s</t>
  </si>
  <si>
    <t>フゴイドモード</t>
  </si>
  <si>
    <t>ωp</t>
  </si>
  <si>
    <t>ζp</t>
  </si>
  <si>
    <t>ωdp</t>
  </si>
  <si>
    <t>Tp</t>
  </si>
  <si>
    <t>ダッチロールモード</t>
  </si>
  <si>
    <t>ωnd</t>
  </si>
  <si>
    <t>ζnd</t>
  </si>
  <si>
    <t>T</t>
  </si>
  <si>
    <t>スパイラルモード</t>
  </si>
  <si>
    <t xml:space="preserve">1/Ts </t>
  </si>
  <si>
    <t>応答が2倍になる時間</t>
    <rPh sb="0" eb="2">
      <t>オウトウ</t>
    </rPh>
    <rPh sb="4" eb="5">
      <t>バイ</t>
    </rPh>
    <rPh sb="8" eb="10">
      <t>ジカン</t>
    </rPh>
    <phoneticPr fontId="2"/>
  </si>
  <si>
    <t>ロールモード</t>
  </si>
  <si>
    <t>1/TR</t>
  </si>
  <si>
    <t>全周</t>
    <rPh sb="0" eb="2">
      <t>ゼンシュウ</t>
    </rPh>
    <phoneticPr fontId="3"/>
  </si>
  <si>
    <t>m^2</t>
    <phoneticPr fontId="3"/>
  </si>
  <si>
    <t>グラフ</t>
    <phoneticPr fontId="3"/>
  </si>
  <si>
    <t>Va</t>
    <phoneticPr fontId="3"/>
  </si>
  <si>
    <t>失速速度</t>
    <rPh sb="0" eb="2">
      <t>シッソク</t>
    </rPh>
    <rPh sb="2" eb="4">
      <t>ソクド</t>
    </rPh>
    <phoneticPr fontId="3"/>
  </si>
  <si>
    <t>Vs</t>
    <phoneticPr fontId="3"/>
  </si>
  <si>
    <t>Vd</t>
    <phoneticPr fontId="3"/>
  </si>
  <si>
    <t>N</t>
    <phoneticPr fontId="3"/>
  </si>
  <si>
    <t>抗力最小速度</t>
    <rPh sb="0" eb="2">
      <t>コウリョク</t>
    </rPh>
    <rPh sb="2" eb="4">
      <t>サイショウ</t>
    </rPh>
    <rPh sb="4" eb="6">
      <t>ソクド</t>
    </rPh>
    <phoneticPr fontId="3"/>
  </si>
  <si>
    <t>翼面荷重</t>
    <rPh sb="0" eb="1">
      <t>ヨク</t>
    </rPh>
    <rPh sb="1" eb="2">
      <t>メン</t>
    </rPh>
    <rPh sb="2" eb="4">
      <t>カジュウ</t>
    </rPh>
    <phoneticPr fontId="3"/>
  </si>
  <si>
    <t>W/S</t>
    <phoneticPr fontId="3"/>
  </si>
  <si>
    <t>kg/m^2</t>
    <phoneticPr fontId="3"/>
  </si>
  <si>
    <t>y_</t>
    <phoneticPr fontId="3"/>
  </si>
  <si>
    <t>取り付け角</t>
    <rPh sb="0" eb="1">
      <t>ト</t>
    </rPh>
    <rPh sb="2" eb="3">
      <t>ツ</t>
    </rPh>
    <rPh sb="4" eb="5">
      <t>カク</t>
    </rPh>
    <phoneticPr fontId="3"/>
  </si>
  <si>
    <t>Cyp</t>
    <phoneticPr fontId="3"/>
  </si>
  <si>
    <t>1/rad</t>
    <phoneticPr fontId="3"/>
  </si>
  <si>
    <t>Cyr</t>
    <phoneticPr fontId="3"/>
  </si>
  <si>
    <t>揚力係数</t>
    <rPh sb="0" eb="2">
      <t>ヨウリョク</t>
    </rPh>
    <rPh sb="2" eb="4">
      <t>ケイスウ</t>
    </rPh>
    <phoneticPr fontId="3"/>
  </si>
  <si>
    <t>CL</t>
    <phoneticPr fontId="3"/>
  </si>
  <si>
    <t>Cnβ</t>
    <phoneticPr fontId="3"/>
  </si>
  <si>
    <t>1/deg</t>
    <phoneticPr fontId="3"/>
  </si>
  <si>
    <t>kg・m^2</t>
    <phoneticPr fontId="3"/>
  </si>
  <si>
    <t>水平尾翼容積比</t>
    <rPh sb="0" eb="2">
      <t>スイヘイ</t>
    </rPh>
    <rPh sb="2" eb="4">
      <t>ビヨク</t>
    </rPh>
    <rPh sb="4" eb="6">
      <t>ヨウセキ</t>
    </rPh>
    <rPh sb="6" eb="7">
      <t>ヒ</t>
    </rPh>
    <phoneticPr fontId="3"/>
  </si>
  <si>
    <t>VH or VH*</t>
    <phoneticPr fontId="3"/>
  </si>
  <si>
    <t>垂直尾翼容積比</t>
    <rPh sb="0" eb="2">
      <t>スイチョク</t>
    </rPh>
    <rPh sb="2" eb="4">
      <t>ビヨク</t>
    </rPh>
    <rPh sb="4" eb="6">
      <t>ヨウセキ</t>
    </rPh>
    <rPh sb="6" eb="7">
      <t>ヒ</t>
    </rPh>
    <phoneticPr fontId="3"/>
  </si>
  <si>
    <t>VF or VF*</t>
    <phoneticPr fontId="3"/>
  </si>
  <si>
    <t>∂ε/∂α</t>
    <phoneticPr fontId="3"/>
  </si>
  <si>
    <t>水平尾翼効率</t>
    <rPh sb="0" eb="2">
      <t>スイヘイ</t>
    </rPh>
    <rPh sb="2" eb="4">
      <t>ビヨク</t>
    </rPh>
    <rPh sb="4" eb="6">
      <t>コウリツ</t>
    </rPh>
    <phoneticPr fontId="3"/>
  </si>
  <si>
    <t>η</t>
    <phoneticPr fontId="3"/>
  </si>
  <si>
    <t>aw</t>
    <phoneticPr fontId="3"/>
  </si>
  <si>
    <t>Ixz</t>
    <phoneticPr fontId="3"/>
  </si>
  <si>
    <t>サイドウォッシュ</t>
    <phoneticPr fontId="3"/>
  </si>
  <si>
    <t>∂σ/∂β</t>
    <phoneticPr fontId="3"/>
  </si>
  <si>
    <t>運動解析用</t>
    <rPh sb="0" eb="2">
      <t>ウンドウ</t>
    </rPh>
    <rPh sb="2" eb="5">
      <t>カイセキヨウ</t>
    </rPh>
    <phoneticPr fontId="3"/>
  </si>
  <si>
    <t>Ix~</t>
  </si>
  <si>
    <t>kg*m^4</t>
  </si>
  <si>
    <t>尾翼形式</t>
    <rPh sb="0" eb="2">
      <t>ビヨク</t>
    </rPh>
    <rPh sb="2" eb="4">
      <t>ケイシキ</t>
    </rPh>
    <phoneticPr fontId="3"/>
  </si>
  <si>
    <t>Iz~</t>
  </si>
  <si>
    <t>ε</t>
  </si>
  <si>
    <t>抗力係数</t>
    <rPh sb="0" eb="2">
      <t>コウリョク</t>
    </rPh>
    <rPh sb="2" eb="4">
      <t>ケイスウ</t>
    </rPh>
    <phoneticPr fontId="3"/>
  </si>
  <si>
    <t>CD</t>
    <phoneticPr fontId="3"/>
  </si>
  <si>
    <t>Ixz/Ix</t>
    <phoneticPr fontId="3"/>
  </si>
  <si>
    <t>空力微係数</t>
    <rPh sb="0" eb="2">
      <t>クウリキ</t>
    </rPh>
    <rPh sb="2" eb="3">
      <t>ビ</t>
    </rPh>
    <rPh sb="3" eb="5">
      <t>ケイスウ</t>
    </rPh>
    <phoneticPr fontId="3"/>
  </si>
  <si>
    <t>Cyβ</t>
    <phoneticPr fontId="3"/>
  </si>
  <si>
    <t>Ixz/Iz</t>
    <phoneticPr fontId="3"/>
  </si>
  <si>
    <t>Clβ</t>
    <phoneticPr fontId="3"/>
  </si>
  <si>
    <t>Clp</t>
    <phoneticPr fontId="3"/>
  </si>
  <si>
    <t>Cnp</t>
    <phoneticPr fontId="3"/>
  </si>
  <si>
    <t>角速度</t>
    <rPh sb="0" eb="3">
      <t>カクソクド</t>
    </rPh>
    <phoneticPr fontId="3"/>
  </si>
  <si>
    <t>p</t>
    <phoneticPr fontId="3"/>
  </si>
  <si>
    <t>deg/s</t>
    <phoneticPr fontId="3"/>
  </si>
  <si>
    <t>名</t>
  </si>
  <si>
    <t>Clr</t>
    <phoneticPr fontId="3"/>
  </si>
  <si>
    <t>S</t>
    <phoneticPr fontId="3"/>
  </si>
  <si>
    <t>q</t>
    <phoneticPr fontId="3"/>
  </si>
  <si>
    <t>Xcg</t>
    <phoneticPr fontId="3"/>
  </si>
  <si>
    <t>Cnr</t>
    <phoneticPr fontId="3"/>
  </si>
  <si>
    <t>r</t>
    <phoneticPr fontId="3"/>
  </si>
  <si>
    <t>　</t>
    <phoneticPr fontId="3"/>
  </si>
  <si>
    <t>Ycg</t>
    <phoneticPr fontId="3"/>
  </si>
  <si>
    <t>dh</t>
    <phoneticPr fontId="3"/>
  </si>
  <si>
    <t>Zcg</t>
    <phoneticPr fontId="3"/>
  </si>
  <si>
    <t>de</t>
    <phoneticPr fontId="3"/>
  </si>
  <si>
    <t>hcg</t>
    <phoneticPr fontId="3"/>
  </si>
  <si>
    <t>ラダー舵角</t>
    <rPh sb="3" eb="5">
      <t>ダカク</t>
    </rPh>
    <phoneticPr fontId="3"/>
  </si>
  <si>
    <t>dr</t>
    <phoneticPr fontId="3"/>
  </si>
  <si>
    <t>全機空力中心位置</t>
    <rPh sb="0" eb="6">
      <t>ゼンキクウリキチュウシン</t>
    </rPh>
    <rPh sb="6" eb="8">
      <t>イチ</t>
    </rPh>
    <phoneticPr fontId="3"/>
  </si>
  <si>
    <t>hn</t>
    <phoneticPr fontId="3"/>
  </si>
  <si>
    <t>L</t>
    <phoneticPr fontId="3"/>
  </si>
  <si>
    <t>St</t>
    <phoneticPr fontId="3"/>
  </si>
  <si>
    <t>kgf</t>
    <phoneticPr fontId="3"/>
  </si>
  <si>
    <t>Sf</t>
    <phoneticPr fontId="3"/>
  </si>
  <si>
    <t>Sc</t>
    <phoneticPr fontId="3"/>
  </si>
  <si>
    <t>翼幅</t>
    <rPh sb="0" eb="1">
      <t>ヨク</t>
    </rPh>
    <rPh sb="1" eb="2">
      <t>ハバ</t>
    </rPh>
    <phoneticPr fontId="3"/>
  </si>
  <si>
    <t>CD0_cowl</t>
    <phoneticPr fontId="3"/>
  </si>
  <si>
    <t>Sb</t>
    <phoneticPr fontId="3"/>
  </si>
  <si>
    <t>Cm_fuselage</t>
    <phoneticPr fontId="3"/>
  </si>
  <si>
    <t>エレベータ</t>
    <phoneticPr fontId="3"/>
  </si>
  <si>
    <t>Sδe</t>
    <phoneticPr fontId="3"/>
  </si>
  <si>
    <t>プラットホーム</t>
    <phoneticPr fontId="3"/>
  </si>
  <si>
    <t>ローリングモーメント</t>
    <phoneticPr fontId="3"/>
  </si>
  <si>
    <t>N*m</t>
    <phoneticPr fontId="3"/>
  </si>
  <si>
    <t>全長</t>
    <rPh sb="0" eb="2">
      <t>ゼンチョウ</t>
    </rPh>
    <phoneticPr fontId="3"/>
  </si>
  <si>
    <t>l</t>
    <phoneticPr fontId="3"/>
  </si>
  <si>
    <t>Sδr</t>
    <phoneticPr fontId="3"/>
  </si>
  <si>
    <t>ピッチングモーメント</t>
    <phoneticPr fontId="3"/>
  </si>
  <si>
    <t>係数</t>
    <rPh sb="0" eb="2">
      <t>ケイスウ</t>
    </rPh>
    <phoneticPr fontId="3"/>
  </si>
  <si>
    <t>τe</t>
    <phoneticPr fontId="3"/>
  </si>
  <si>
    <t>高度</t>
    <rPh sb="0" eb="2">
      <t>コウド</t>
    </rPh>
    <phoneticPr fontId="3"/>
  </si>
  <si>
    <t>hE_platform</t>
    <phoneticPr fontId="3"/>
  </si>
  <si>
    <t>ヨーイングモーメント</t>
    <phoneticPr fontId="3"/>
  </si>
  <si>
    <t>体積</t>
    <rPh sb="0" eb="2">
      <t>タイセキ</t>
    </rPh>
    <phoneticPr fontId="3"/>
  </si>
  <si>
    <t>m^3</t>
    <phoneticPr fontId="3"/>
  </si>
  <si>
    <t>τt</t>
    <phoneticPr fontId="3"/>
  </si>
  <si>
    <t>傾斜</t>
    <rPh sb="0" eb="2">
      <t>ケイシャ</t>
    </rPh>
    <phoneticPr fontId="3"/>
  </si>
  <si>
    <t>γ_platform</t>
    <phoneticPr fontId="3"/>
  </si>
  <si>
    <t>機体</t>
    <rPh sb="0" eb="2">
      <t>キタイ</t>
    </rPh>
    <phoneticPr fontId="3"/>
  </si>
  <si>
    <t>0番</t>
    <rPh sb="1" eb="2">
      <t>バン</t>
    </rPh>
    <phoneticPr fontId="3"/>
  </si>
  <si>
    <t>1番</t>
    <rPh sb="1" eb="2">
      <t>バン</t>
    </rPh>
    <phoneticPr fontId="3"/>
  </si>
  <si>
    <t>2番</t>
    <rPh sb="1" eb="2">
      <t>バン</t>
    </rPh>
    <phoneticPr fontId="3"/>
  </si>
  <si>
    <t>3番</t>
    <rPh sb="1" eb="2">
      <t>バン</t>
    </rPh>
    <phoneticPr fontId="3"/>
  </si>
  <si>
    <t>垂直安定板</t>
    <rPh sb="0" eb="2">
      <t>スイチョク</t>
    </rPh>
    <rPh sb="2" eb="5">
      <t>アンテイバン</t>
    </rPh>
    <phoneticPr fontId="3"/>
  </si>
  <si>
    <t>発泡</t>
    <rPh sb="0" eb="2">
      <t>ハッポウ</t>
    </rPh>
    <phoneticPr fontId="3"/>
  </si>
  <si>
    <t>バルサ</t>
    <phoneticPr fontId="3"/>
  </si>
  <si>
    <t>0番</t>
  </si>
  <si>
    <t>金具</t>
    <rPh sb="0" eb="2">
      <t>カナグ</t>
    </rPh>
    <phoneticPr fontId="3"/>
  </si>
  <si>
    <t>1番(右)</t>
  </si>
  <si>
    <t>背板</t>
    <rPh sb="0" eb="2">
      <t>セイタ</t>
    </rPh>
    <phoneticPr fontId="3"/>
  </si>
  <si>
    <t>1番(左)</t>
  </si>
  <si>
    <t>サーボ</t>
    <phoneticPr fontId="3"/>
  </si>
  <si>
    <t>2番(右)</t>
  </si>
  <si>
    <t>カウルマウント</t>
    <phoneticPr fontId="3"/>
  </si>
  <si>
    <t>2番(左)</t>
  </si>
  <si>
    <t>3番(右)</t>
  </si>
  <si>
    <t>3番(左)</t>
  </si>
  <si>
    <t>フタサット</t>
    <phoneticPr fontId="3"/>
  </si>
  <si>
    <t>主翼蓋(窓)</t>
    <phoneticPr fontId="3"/>
  </si>
  <si>
    <t>蓋</t>
    <rPh sb="0" eb="1">
      <t>フタ</t>
    </rPh>
    <phoneticPr fontId="3"/>
  </si>
  <si>
    <t>垂直安定板</t>
    <rPh sb="2" eb="5">
      <t>アンテイ</t>
    </rPh>
    <phoneticPr fontId="3"/>
  </si>
  <si>
    <t>舵面</t>
    <rPh sb="0" eb="2">
      <t>ダメn</t>
    </rPh>
    <phoneticPr fontId="3"/>
  </si>
  <si>
    <t>上脚</t>
    <rPh sb="0" eb="2">
      <t>ウエアシ</t>
    </rPh>
    <phoneticPr fontId="3"/>
  </si>
  <si>
    <t>ドーサルフィン</t>
    <phoneticPr fontId="3"/>
  </si>
  <si>
    <t>安定板マウント</t>
    <rPh sb="0" eb="3">
      <t>アンテイバン</t>
    </rPh>
    <phoneticPr fontId="3"/>
  </si>
  <si>
    <t>下脚</t>
    <rPh sb="0" eb="2">
      <t>シタアシ</t>
    </rPh>
    <phoneticPr fontId="3"/>
  </si>
  <si>
    <t>機構</t>
    <rPh sb="0" eb="2">
      <t>キコウ</t>
    </rPh>
    <phoneticPr fontId="3"/>
  </si>
  <si>
    <t>車輪</t>
    <rPh sb="0" eb="2">
      <t>シャリン</t>
    </rPh>
    <phoneticPr fontId="3"/>
  </si>
  <si>
    <t>ボルトナット（ねじり止め用）</t>
    <rPh sb="10" eb="11">
      <t>ド</t>
    </rPh>
    <rPh sb="12" eb="13">
      <t>ヨウ</t>
    </rPh>
    <phoneticPr fontId="3"/>
  </si>
  <si>
    <t>胴体</t>
    <phoneticPr fontId="3"/>
  </si>
  <si>
    <t>足おき</t>
    <rPh sb="0" eb="1">
      <t>アシオキ</t>
    </rPh>
    <phoneticPr fontId="3"/>
  </si>
  <si>
    <t>フィレット</t>
  </si>
  <si>
    <t>脚(右)</t>
    <rPh sb="2" eb="3">
      <t>ミギ</t>
    </rPh>
    <phoneticPr fontId="3"/>
  </si>
  <si>
    <t>脚(左)</t>
    <rPh sb="2" eb="3">
      <t>ヒダリ</t>
    </rPh>
    <phoneticPr fontId="3"/>
  </si>
  <si>
    <t>電装</t>
    <rPh sb="0" eb="2">
      <t>デンソウ</t>
    </rPh>
    <phoneticPr fontId="3"/>
  </si>
  <si>
    <t>電装基盤</t>
    <rPh sb="2" eb="4">
      <t>キバン</t>
    </rPh>
    <phoneticPr fontId="3"/>
  </si>
  <si>
    <t>電装バッテリー</t>
    <rPh sb="0" eb="2">
      <t>デンソウ</t>
    </rPh>
    <phoneticPr fontId="3"/>
  </si>
  <si>
    <t>オンボードカメラ</t>
    <phoneticPr fontId="3"/>
  </si>
  <si>
    <t>項目</t>
    <rPh sb="0" eb="1">
      <t>コウ</t>
    </rPh>
    <rPh sb="1" eb="2">
      <t>モク</t>
    </rPh>
    <phoneticPr fontId="3"/>
  </si>
  <si>
    <t>主翼面積</t>
    <rPh sb="0" eb="4">
      <t>シュヨクメンセキ</t>
    </rPh>
    <phoneticPr fontId="3"/>
  </si>
  <si>
    <t>アスペクト比</t>
    <rPh sb="5" eb="6">
      <t>ヒ</t>
    </rPh>
    <phoneticPr fontId="3"/>
  </si>
  <si>
    <t>平均空力翼弦長</t>
    <rPh sb="0" eb="7">
      <t>ヘイキンクウリキヨクゲンチョウ</t>
    </rPh>
    <phoneticPr fontId="3"/>
  </si>
  <si>
    <t>翼面荷重</t>
    <rPh sb="0" eb="4">
      <t>ヨクメンカジュウ</t>
    </rPh>
    <phoneticPr fontId="3"/>
  </si>
  <si>
    <t>巡航速度</t>
    <rPh sb="0" eb="4">
      <t>ジュンコウソクド</t>
    </rPh>
    <phoneticPr fontId="3"/>
  </si>
  <si>
    <t>機体重量</t>
    <rPh sb="0" eb="4">
      <t>キタイジュウリョウ</t>
    </rPh>
    <phoneticPr fontId="3"/>
  </si>
  <si>
    <t>AR</t>
    <phoneticPr fontId="3"/>
  </si>
  <si>
    <t>c_</t>
    <phoneticPr fontId="3"/>
  </si>
  <si>
    <t>kgf/m^2</t>
    <phoneticPr fontId="3"/>
  </si>
  <si>
    <t>全機重心位置</t>
    <rPh sb="0" eb="2">
      <t>ゼンキ</t>
    </rPh>
    <rPh sb="2" eb="6">
      <t>ジュウシンイチ</t>
    </rPh>
    <phoneticPr fontId="3"/>
  </si>
  <si>
    <t>水平尾翼容積比</t>
    <rPh sb="0" eb="4">
      <t>スイヘイビヨク</t>
    </rPh>
    <rPh sb="4" eb="7">
      <t>ヨウセキヒ</t>
    </rPh>
    <phoneticPr fontId="3"/>
  </si>
  <si>
    <t>垂直尾翼容積比</t>
    <rPh sb="0" eb="4">
      <t>スイチョクビヨク</t>
    </rPh>
    <rPh sb="4" eb="7">
      <t>ヨウセキヒ</t>
    </rPh>
    <phoneticPr fontId="3"/>
  </si>
  <si>
    <t>操縦方法</t>
    <rPh sb="0" eb="4">
      <t>ソウジュウホウホウ</t>
    </rPh>
    <phoneticPr fontId="3"/>
  </si>
  <si>
    <t>項目</t>
    <rPh sb="0" eb="2">
      <t>コウモク</t>
    </rPh>
    <phoneticPr fontId="3"/>
  </si>
  <si>
    <t>制限荷重倍数</t>
    <rPh sb="0" eb="2">
      <t>セイゲン</t>
    </rPh>
    <rPh sb="2" eb="4">
      <t>カジュウ</t>
    </rPh>
    <rPh sb="4" eb="6">
      <t>バイスウ</t>
    </rPh>
    <phoneticPr fontId="2"/>
  </si>
  <si>
    <t>Nmax</t>
    <phoneticPr fontId="3"/>
  </si>
  <si>
    <t>G</t>
    <phoneticPr fontId="3"/>
  </si>
  <si>
    <t>全備重量</t>
    <rPh sb="0" eb="2">
      <t>ゼンビ</t>
    </rPh>
    <rPh sb="2" eb="4">
      <t>ジュウリョウ</t>
    </rPh>
    <phoneticPr fontId="2"/>
  </si>
  <si>
    <t>D_tail</t>
    <phoneticPr fontId="3"/>
  </si>
  <si>
    <t>D_fin</t>
    <phoneticPr fontId="3"/>
  </si>
  <si>
    <t>D_cowl</t>
    <phoneticPr fontId="3"/>
  </si>
  <si>
    <t>D_Interference</t>
    <phoneticPr fontId="3"/>
  </si>
  <si>
    <t>設計値</t>
    <rPh sb="0" eb="3">
      <t>セッケイチ</t>
    </rPh>
    <phoneticPr fontId="3"/>
  </si>
  <si>
    <t>翼面積</t>
    <rPh sb="0" eb="1">
      <t>ヨク</t>
    </rPh>
    <rPh sb="1" eb="3">
      <t>メンセキ</t>
    </rPh>
    <phoneticPr fontId="3"/>
  </si>
  <si>
    <t>b</t>
    <phoneticPr fontId="3"/>
  </si>
  <si>
    <t>平均空力翼弦長</t>
    <rPh sb="0" eb="6">
      <t>ヘイキンクウリキヨクゲン</t>
    </rPh>
    <rPh sb="6" eb="7">
      <t>チョウ</t>
    </rPh>
    <phoneticPr fontId="3"/>
  </si>
  <si>
    <t>cMAC</t>
    <phoneticPr fontId="3"/>
  </si>
  <si>
    <t>片翼面積重心</t>
    <rPh sb="0" eb="2">
      <t>カタヨク</t>
    </rPh>
    <rPh sb="2" eb="4">
      <t>メンセキ</t>
    </rPh>
    <rPh sb="4" eb="6">
      <t>ジュウシン</t>
    </rPh>
    <phoneticPr fontId="3"/>
  </si>
  <si>
    <t>変形考慮</t>
    <rPh sb="0" eb="2">
      <t>ヘンケイ</t>
    </rPh>
    <rPh sb="2" eb="4">
      <t>コウリョ</t>
    </rPh>
    <phoneticPr fontId="3"/>
  </si>
  <si>
    <t>LLT</t>
    <phoneticPr fontId="3"/>
  </si>
  <si>
    <t>空力中心</t>
    <rPh sb="0" eb="2">
      <t>クウリキ</t>
    </rPh>
    <rPh sb="2" eb="4">
      <t>チュウシン</t>
    </rPh>
    <phoneticPr fontId="3"/>
  </si>
  <si>
    <t>hac</t>
    <phoneticPr fontId="3"/>
  </si>
  <si>
    <t>翼効率</t>
    <rPh sb="0" eb="1">
      <t>ヨク</t>
    </rPh>
    <rPh sb="1" eb="3">
      <t>コウリツ</t>
    </rPh>
    <phoneticPr fontId="3"/>
  </si>
  <si>
    <t>e</t>
    <phoneticPr fontId="3"/>
  </si>
  <si>
    <t>主翼二次元揚力傾斜</t>
    <rPh sb="0" eb="2">
      <t>シュヨク</t>
    </rPh>
    <rPh sb="2" eb="3">
      <t>ニ</t>
    </rPh>
    <rPh sb="3" eb="5">
      <t>ジゲン</t>
    </rPh>
    <rPh sb="5" eb="7">
      <t>ヨウリョク</t>
    </rPh>
    <rPh sb="7" eb="9">
      <t>ケイシャ</t>
    </rPh>
    <phoneticPr fontId="3"/>
  </si>
  <si>
    <t>Clα</t>
    <phoneticPr fontId="3"/>
  </si>
  <si>
    <t>主翼三次元揚力傾斜</t>
    <rPh sb="0" eb="2">
      <t>シュヨク</t>
    </rPh>
    <rPh sb="2" eb="3">
      <t>サン</t>
    </rPh>
    <rPh sb="3" eb="5">
      <t>ジゲン</t>
    </rPh>
    <rPh sb="5" eb="7">
      <t>ヨウリョク</t>
    </rPh>
    <rPh sb="7" eb="9">
      <t>ケイシャ</t>
    </rPh>
    <phoneticPr fontId="3"/>
  </si>
  <si>
    <t>平均誘導迎え角</t>
    <rPh sb="0" eb="2">
      <t>ヘイキン</t>
    </rPh>
    <rPh sb="2" eb="4">
      <t>ユウドウ</t>
    </rPh>
    <rPh sb="4" eb="5">
      <t>ムカ</t>
    </rPh>
    <rPh sb="6" eb="7">
      <t>カク</t>
    </rPh>
    <phoneticPr fontId="3"/>
  </si>
  <si>
    <t>ε</t>
    <phoneticPr fontId="3"/>
  </si>
  <si>
    <t>主翼揚力</t>
    <rPh sb="0" eb="2">
      <t>シュヨク</t>
    </rPh>
    <rPh sb="2" eb="4">
      <t>ヨウリョク</t>
    </rPh>
    <phoneticPr fontId="2"/>
  </si>
  <si>
    <t>全備重量</t>
    <rPh sb="0" eb="2">
      <t>ゼンビ</t>
    </rPh>
    <rPh sb="2" eb="4">
      <t>ジュウリョウ</t>
    </rPh>
    <phoneticPr fontId="3"/>
  </si>
  <si>
    <t>主翼誘導抗力</t>
    <rPh sb="0" eb="2">
      <t>シュヨク</t>
    </rPh>
    <rPh sb="2" eb="4">
      <t>ユウドウ</t>
    </rPh>
    <rPh sb="4" eb="6">
      <t>コウリョク</t>
    </rPh>
    <phoneticPr fontId="2"/>
  </si>
  <si>
    <t>主翼有害抗力</t>
    <rPh sb="0" eb="2">
      <t>シュヨク</t>
    </rPh>
    <rPh sb="2" eb="4">
      <t>ユウガイ</t>
    </rPh>
    <rPh sb="4" eb="6">
      <t>コウリョク</t>
    </rPh>
    <phoneticPr fontId="2"/>
  </si>
  <si>
    <t>テーパー比</t>
    <rPh sb="4" eb="5">
      <t>ヒ</t>
    </rPh>
    <phoneticPr fontId="3"/>
  </si>
  <si>
    <t>n</t>
    <phoneticPr fontId="3"/>
  </si>
  <si>
    <t xml:space="preserve">y </t>
    <phoneticPr fontId="3"/>
  </si>
  <si>
    <t>c</t>
    <phoneticPr fontId="3"/>
  </si>
  <si>
    <t>αs</t>
    <phoneticPr fontId="3"/>
  </si>
  <si>
    <t>Γd</t>
    <phoneticPr fontId="3"/>
  </si>
  <si>
    <t>λ</t>
    <phoneticPr fontId="3"/>
  </si>
  <si>
    <t xml:space="preserve">Δy </t>
    <phoneticPr fontId="3"/>
  </si>
  <si>
    <t>積層数</t>
    <rPh sb="0" eb="2">
      <t>セキソウ</t>
    </rPh>
    <rPh sb="2" eb="3">
      <t>スウ</t>
    </rPh>
    <phoneticPr fontId="3"/>
  </si>
  <si>
    <t>オビ</t>
    <phoneticPr fontId="3"/>
  </si>
  <si>
    <t>長軸外径</t>
    <rPh sb="0" eb="2">
      <t>チョウジク</t>
    </rPh>
    <rPh sb="2" eb="4">
      <t>ガイケイ</t>
    </rPh>
    <phoneticPr fontId="3"/>
  </si>
  <si>
    <t>短軸外径</t>
    <rPh sb="0" eb="2">
      <t>タンジク</t>
    </rPh>
    <rPh sb="2" eb="4">
      <t>ガイケイ</t>
    </rPh>
    <phoneticPr fontId="3"/>
  </si>
  <si>
    <t>長軸内径</t>
    <rPh sb="0" eb="2">
      <t>チョウジク</t>
    </rPh>
    <rPh sb="2" eb="4">
      <t>ナイケイ</t>
    </rPh>
    <phoneticPr fontId="3"/>
  </si>
  <si>
    <t>短軸内径</t>
    <rPh sb="0" eb="2">
      <t>タンジク</t>
    </rPh>
    <rPh sb="2" eb="4">
      <t>ナイケイ</t>
    </rPh>
    <phoneticPr fontId="3"/>
  </si>
  <si>
    <t>ply</t>
    <phoneticPr fontId="3"/>
  </si>
  <si>
    <t>長軸mm/スパー位置m</t>
    <rPh sb="0" eb="2">
      <t>チョウジク</t>
    </rPh>
    <rPh sb="8" eb="10">
      <t>イチ</t>
    </rPh>
    <phoneticPr fontId="3"/>
  </si>
  <si>
    <t>1-2接合</t>
  </si>
  <si>
    <t>2-3接合</t>
  </si>
  <si>
    <t>横桁</t>
    <rPh sb="0" eb="2">
      <t>ヨコケタ</t>
    </rPh>
    <phoneticPr fontId="3"/>
  </si>
  <si>
    <t>上桁</t>
    <rPh sb="0" eb="2">
      <t>ウエケタ</t>
    </rPh>
    <phoneticPr fontId="3"/>
  </si>
  <si>
    <t>胴接</t>
    <rPh sb="0" eb="2">
      <t>ドウセツ</t>
    </rPh>
    <phoneticPr fontId="3"/>
  </si>
  <si>
    <t>2*bo</t>
  </si>
  <si>
    <t>2*ao</t>
  </si>
  <si>
    <t>2*bi</t>
  </si>
  <si>
    <t>2*ai</t>
  </si>
  <si>
    <t>ai</t>
  </si>
  <si>
    <t>bo</t>
  </si>
  <si>
    <t>ao</t>
  </si>
  <si>
    <t>bi</t>
  </si>
  <si>
    <t>ply</t>
  </si>
  <si>
    <t>mm</t>
  </si>
  <si>
    <t>胴体太端</t>
    <rPh sb="0" eb="2">
      <t>ドウタイ</t>
    </rPh>
    <rPh sb="2" eb="3">
      <t>フト</t>
    </rPh>
    <rPh sb="3" eb="4">
      <t>ハシ</t>
    </rPh>
    <phoneticPr fontId="3"/>
  </si>
  <si>
    <t>胴接細端</t>
    <rPh sb="0" eb="2">
      <t>ドウセツ</t>
    </rPh>
    <rPh sb="2" eb="3">
      <t>ホソ</t>
    </rPh>
    <rPh sb="3" eb="4">
      <t>ハシ</t>
    </rPh>
    <phoneticPr fontId="3"/>
  </si>
  <si>
    <t>胴体細端</t>
    <rPh sb="0" eb="2">
      <t>ドウタイ</t>
    </rPh>
    <rPh sb="2" eb="3">
      <t>ホソ</t>
    </rPh>
    <rPh sb="3" eb="4">
      <t>ハシ</t>
    </rPh>
    <phoneticPr fontId="3"/>
  </si>
  <si>
    <t>Δy</t>
  </si>
  <si>
    <t>Ex</t>
    <phoneticPr fontId="3"/>
  </si>
  <si>
    <t>Gxy</t>
    <phoneticPr fontId="3"/>
  </si>
  <si>
    <t>νxy</t>
    <phoneticPr fontId="3"/>
  </si>
  <si>
    <t>QX0023</t>
    <phoneticPr fontId="3"/>
  </si>
  <si>
    <t>QX0123</t>
    <phoneticPr fontId="3"/>
  </si>
  <si>
    <t>リブ番号</t>
  </si>
  <si>
    <t>コード長</t>
  </si>
  <si>
    <t>cn</t>
  </si>
  <si>
    <t>尾翼諸元</t>
    <rPh sb="0" eb="4">
      <t>ビヨクス</t>
    </rPh>
    <phoneticPr fontId="3"/>
  </si>
  <si>
    <t>ポーラーカーブ</t>
    <phoneticPr fontId="3"/>
  </si>
  <si>
    <t>機速</t>
    <rPh sb="0" eb="1">
      <t>キ</t>
    </rPh>
    <rPh sb="1" eb="2">
      <t>ソク</t>
    </rPh>
    <phoneticPr fontId="3"/>
  </si>
  <si>
    <t>NACA0009</t>
  </si>
  <si>
    <t>位置</t>
  </si>
  <si>
    <t>翼端</t>
  </si>
  <si>
    <t>0番中央</t>
  </si>
  <si>
    <t>0番細端</t>
  </si>
  <si>
    <t>1番細端</t>
  </si>
  <si>
    <t>2番細端</t>
  </si>
  <si>
    <t>3番細端</t>
  </si>
  <si>
    <t>桁名</t>
  </si>
  <si>
    <t>z桁厚余裕</t>
  </si>
  <si>
    <t>x桁厚余裕</t>
  </si>
  <si>
    <t>翼型名</t>
  </si>
  <si>
    <t>桁中心</t>
  </si>
  <si>
    <t>%</t>
  </si>
  <si>
    <t>y位置</t>
  </si>
  <si>
    <t>QX0023</t>
  </si>
  <si>
    <t>QX0123</t>
  </si>
  <si>
    <t>リブ諸元</t>
  </si>
  <si>
    <t>リブ番号</t>
    <rPh sb="2" eb="4">
      <t>バンゴウ</t>
    </rPh>
    <phoneticPr fontId="2"/>
  </si>
  <si>
    <t>上反角</t>
    <rPh sb="0" eb="3">
      <t>ジョウハンカク</t>
    </rPh>
    <phoneticPr fontId="2"/>
  </si>
  <si>
    <t>前縁位置</t>
    <rPh sb="0" eb="2">
      <t>ゼンエン</t>
    </rPh>
    <rPh sb="2" eb="4">
      <t>イチ</t>
    </rPh>
    <phoneticPr fontId="2"/>
  </si>
  <si>
    <t>後縁位置</t>
    <rPh sb="0" eb="2">
      <t>コウエン</t>
    </rPh>
    <rPh sb="2" eb="4">
      <t>イチ</t>
    </rPh>
    <phoneticPr fontId="2"/>
  </si>
  <si>
    <t>頂点1</t>
  </si>
  <si>
    <t>頂点2</t>
  </si>
  <si>
    <t>頂点3</t>
  </si>
  <si>
    <t>頂点4</t>
  </si>
  <si>
    <t>頂点5</t>
  </si>
  <si>
    <t>n</t>
    <phoneticPr fontId="2"/>
  </si>
  <si>
    <t>-</t>
    <phoneticPr fontId="2"/>
  </si>
  <si>
    <t>m</t>
    <phoneticPr fontId="2"/>
  </si>
  <si>
    <t>リブ間隔（一つ前との距離）</t>
  </si>
  <si>
    <t>翼厚チェック</t>
  </si>
  <si>
    <t>翼厚余裕</t>
  </si>
  <si>
    <t>z桁径</t>
  </si>
  <si>
    <t>x桁径</t>
  </si>
  <si>
    <t>解析値</t>
  </si>
  <si>
    <t>有効迎角</t>
    <rPh sb="0" eb="2">
      <t>ユウコウ</t>
    </rPh>
    <rPh sb="2" eb="4">
      <t>ゲイカク</t>
    </rPh>
    <phoneticPr fontId="2"/>
  </si>
  <si>
    <t>レイノルズ数</t>
    <rPh sb="5" eb="6">
      <t>スウ</t>
    </rPh>
    <phoneticPr fontId="2"/>
  </si>
  <si>
    <t>抗力傾斜</t>
    <rPh sb="0" eb="2">
      <t>コウリョク</t>
    </rPh>
    <rPh sb="2" eb="4">
      <t>ケイシャ</t>
    </rPh>
    <phoneticPr fontId="2"/>
  </si>
  <si>
    <t>楕円循環</t>
    <rPh sb="0" eb="2">
      <t>ダエン</t>
    </rPh>
    <rPh sb="2" eb="4">
      <t>ジュンカン</t>
    </rPh>
    <phoneticPr fontId="2"/>
  </si>
  <si>
    <t>循環</t>
    <rPh sb="0" eb="2">
      <t>ジュンカン</t>
    </rPh>
    <phoneticPr fontId="2"/>
  </si>
  <si>
    <t>吹きおろし</t>
    <rPh sb="0" eb="1">
      <t>フ</t>
    </rPh>
    <phoneticPr fontId="2"/>
  </si>
  <si>
    <t>誘導迎角</t>
    <rPh sb="0" eb="2">
      <t>ユウドウ</t>
    </rPh>
    <rPh sb="2" eb="4">
      <t>ゲイカク</t>
    </rPh>
    <phoneticPr fontId="2"/>
  </si>
  <si>
    <t>最適循環</t>
    <rPh sb="0" eb="2">
      <t>サイテキ</t>
    </rPh>
    <rPh sb="2" eb="4">
      <t>ジュンカン</t>
    </rPh>
    <phoneticPr fontId="2"/>
  </si>
  <si>
    <t>α</t>
    <phoneticPr fontId="2"/>
  </si>
  <si>
    <t>Re</t>
    <phoneticPr fontId="2"/>
  </si>
  <si>
    <t>Cl</t>
    <phoneticPr fontId="2"/>
  </si>
  <si>
    <t>Cdo</t>
    <phoneticPr fontId="2"/>
  </si>
  <si>
    <t>Cm</t>
    <phoneticPr fontId="2"/>
  </si>
  <si>
    <t>Clα</t>
    <phoneticPr fontId="2"/>
  </si>
  <si>
    <t>Cd0α</t>
    <phoneticPr fontId="2"/>
  </si>
  <si>
    <t>Cm_cg</t>
    <phoneticPr fontId="2"/>
  </si>
  <si>
    <t>Γd</t>
    <phoneticPr fontId="2"/>
  </si>
  <si>
    <t>Γc_opt</t>
    <phoneticPr fontId="2"/>
  </si>
  <si>
    <t>Γc</t>
    <phoneticPr fontId="2"/>
  </si>
  <si>
    <t>wi</t>
    <phoneticPr fontId="2"/>
  </si>
  <si>
    <t>αi</t>
    <phoneticPr fontId="2"/>
  </si>
  <si>
    <t>Γ_TR797</t>
    <phoneticPr fontId="2"/>
  </si>
  <si>
    <t>deg</t>
    <phoneticPr fontId="2"/>
  </si>
  <si>
    <t>1/deg</t>
    <phoneticPr fontId="2"/>
  </si>
  <si>
    <t>m^2/s</t>
    <phoneticPr fontId="2"/>
  </si>
  <si>
    <t>m/s</t>
    <phoneticPr fontId="2"/>
  </si>
  <si>
    <t>揚力</t>
  </si>
  <si>
    <t>抗力</t>
  </si>
  <si>
    <t>ピッチングモーメント</t>
  </si>
  <si>
    <t>wi_TR797</t>
  </si>
  <si>
    <t>基準？</t>
  </si>
  <si>
    <t>変形考慮</t>
  </si>
  <si>
    <t>最適吹きおろし</t>
  </si>
  <si>
    <t>0-1</t>
  </si>
  <si>
    <t>1-2</t>
  </si>
  <si>
    <t>2-3</t>
  </si>
  <si>
    <t>主翼二次構造</t>
    <rPh sb="0" eb="2">
      <t>シュヨク</t>
    </rPh>
    <rPh sb="2" eb="4">
      <t>ニジ</t>
    </rPh>
    <rPh sb="4" eb="6">
      <t>コウゾウ</t>
    </rPh>
    <phoneticPr fontId="2"/>
  </si>
  <si>
    <t>m^2</t>
    <phoneticPr fontId="2"/>
  </si>
  <si>
    <t>リブ</t>
    <phoneticPr fontId="2"/>
  </si>
  <si>
    <t>厚さ</t>
    <rPh sb="0" eb="1">
      <t>アツ</t>
    </rPh>
    <phoneticPr fontId="2"/>
  </si>
  <si>
    <t>プランク</t>
    <phoneticPr fontId="2"/>
  </si>
  <si>
    <t>縦通材</t>
    <rPh sb="0" eb="3">
      <t>ジュウツウザイ</t>
    </rPh>
    <phoneticPr fontId="2"/>
  </si>
  <si>
    <t>本数</t>
    <rPh sb="0" eb="2">
      <t>ホンスウ</t>
    </rPh>
    <phoneticPr fontId="2"/>
  </si>
  <si>
    <t>断面積</t>
    <rPh sb="0" eb="3">
      <t>ダンメンセキ</t>
    </rPh>
    <phoneticPr fontId="2"/>
  </si>
  <si>
    <t>リブ材</t>
    <rPh sb="2" eb="3">
      <t>ザイ</t>
    </rPh>
    <phoneticPr fontId="2"/>
  </si>
  <si>
    <t>後縁材</t>
    <rPh sb="0" eb="3">
      <t>コウエンザイ</t>
    </rPh>
    <phoneticPr fontId="2"/>
  </si>
  <si>
    <t>幅</t>
    <rPh sb="0" eb="1">
      <t>ハバ</t>
    </rPh>
    <phoneticPr fontId="2"/>
  </si>
  <si>
    <t>接着剤①</t>
    <rPh sb="0" eb="3">
      <t>セッチャクザイ</t>
    </rPh>
    <phoneticPr fontId="2"/>
  </si>
  <si>
    <t>リブ面積に比例するもの</t>
    <rPh sb="2" eb="4">
      <t>メンセキ</t>
    </rPh>
    <rPh sb="5" eb="7">
      <t>ヒレイ</t>
    </rPh>
    <phoneticPr fontId="2"/>
  </si>
  <si>
    <t>kg</t>
    <phoneticPr fontId="2"/>
  </si>
  <si>
    <t>接着剤②</t>
    <rPh sb="0" eb="3">
      <t>セッチャクザイ</t>
    </rPh>
    <phoneticPr fontId="2"/>
  </si>
  <si>
    <t>コード長に比例するもの</t>
    <rPh sb="3" eb="4">
      <t>チョウ</t>
    </rPh>
    <rPh sb="5" eb="7">
      <t>ヒレイ</t>
    </rPh>
    <phoneticPr fontId="2"/>
  </si>
  <si>
    <t>接着剤③</t>
    <rPh sb="0" eb="3">
      <t>セッチャクザイ</t>
    </rPh>
    <phoneticPr fontId="2"/>
  </si>
  <si>
    <t>スパンに比例するもの</t>
    <rPh sb="4" eb="6">
      <t>ヒレイ</t>
    </rPh>
    <phoneticPr fontId="2"/>
  </si>
  <si>
    <t>バルサチップ</t>
    <phoneticPr fontId="2"/>
  </si>
  <si>
    <t>長さ</t>
    <rPh sb="0" eb="1">
      <t>ナガ</t>
    </rPh>
    <phoneticPr fontId="2"/>
  </si>
  <si>
    <t>端？</t>
  </si>
  <si>
    <t>桁接合位置</t>
  </si>
  <si>
    <t>プランク位置</t>
  </si>
  <si>
    <t>ストリンガー位置</t>
  </si>
  <si>
    <t>プランク長さ</t>
  </si>
  <si>
    <t>腹側リブ材長さ</t>
  </si>
  <si>
    <t>背側リブ材長さ</t>
  </si>
  <si>
    <t>重量推算</t>
  </si>
  <si>
    <t>接着剤</t>
    <rPh sb="0" eb="3">
      <t>セッチャクザイ</t>
    </rPh>
    <phoneticPr fontId="2"/>
  </si>
  <si>
    <t>合計</t>
  </si>
  <si>
    <t>g</t>
  </si>
  <si>
    <t>カーボンリブ</t>
  </si>
  <si>
    <t>ガラスクロス</t>
  </si>
  <si>
    <t>桁穴</t>
  </si>
  <si>
    <t>長さ</t>
  </si>
  <si>
    <t>最大揚力係数</t>
  </si>
  <si>
    <t>Clmax</t>
  </si>
  <si>
    <t>N m</t>
  </si>
  <si>
    <t>誘導抗力係数</t>
  </si>
  <si>
    <t>Cdi</t>
  </si>
  <si>
    <t>桁位置まわりピッチングモーメント</t>
  </si>
  <si>
    <t>スパー詳細</t>
  </si>
  <si>
    <t>重量</t>
  </si>
  <si>
    <t>z軸内径</t>
  </si>
  <si>
    <t>x軸内径</t>
  </si>
  <si>
    <t>z軸外径</t>
  </si>
  <si>
    <t>x軸外径</t>
  </si>
  <si>
    <t>差ししろ</t>
  </si>
  <si>
    <t>楕円率</t>
  </si>
  <si>
    <t>断面二次モーメント</t>
    <rPh sb="0" eb="2">
      <t>ダンメン</t>
    </rPh>
    <rPh sb="2" eb="4">
      <t>ニジ</t>
    </rPh>
    <phoneticPr fontId="2"/>
  </si>
  <si>
    <t>ねじれ定数</t>
    <rPh sb="3" eb="5">
      <t>テイスウ</t>
    </rPh>
    <phoneticPr fontId="2"/>
  </si>
  <si>
    <t>囲まれる面積</t>
    <rPh sb="0" eb="1">
      <t>カコ</t>
    </rPh>
    <rPh sb="4" eb="6">
      <t>メンセキ</t>
    </rPh>
    <phoneticPr fontId="2"/>
  </si>
  <si>
    <t>周長</t>
    <rPh sb="0" eb="1">
      <t>シュウ</t>
    </rPh>
    <rPh sb="1" eb="2">
      <t>チョウ</t>
    </rPh>
    <phoneticPr fontId="2"/>
  </si>
  <si>
    <t>ヤング率</t>
    <rPh sb="3" eb="4">
      <t>リツ</t>
    </rPh>
    <phoneticPr fontId="2"/>
  </si>
  <si>
    <t>横弾性係数</t>
    <rPh sb="0" eb="1">
      <t>ヨコ</t>
    </rPh>
    <rPh sb="1" eb="3">
      <t>ダンセイ</t>
    </rPh>
    <rPh sb="3" eb="5">
      <t>ケイスウ</t>
    </rPh>
    <phoneticPr fontId="2"/>
  </si>
  <si>
    <t>曲げ剛性</t>
    <rPh sb="0" eb="1">
      <t>マ</t>
    </rPh>
    <rPh sb="2" eb="4">
      <t>ゴウセイ</t>
    </rPh>
    <phoneticPr fontId="2"/>
  </si>
  <si>
    <t>ねじれ剛性</t>
    <rPh sb="3" eb="5">
      <t>ゴウセイ</t>
    </rPh>
    <phoneticPr fontId="2"/>
  </si>
  <si>
    <t>Ix</t>
    <phoneticPr fontId="2"/>
  </si>
  <si>
    <t>Iy</t>
    <phoneticPr fontId="2"/>
  </si>
  <si>
    <t>J</t>
    <phoneticPr fontId="2"/>
  </si>
  <si>
    <t>A</t>
    <phoneticPr fontId="2"/>
  </si>
  <si>
    <t>Am</t>
    <phoneticPr fontId="2"/>
  </si>
  <si>
    <t>L</t>
    <phoneticPr fontId="2"/>
  </si>
  <si>
    <t>E</t>
    <phoneticPr fontId="2"/>
  </si>
  <si>
    <t>G</t>
    <phoneticPr fontId="2"/>
  </si>
  <si>
    <t>Eix</t>
    <phoneticPr fontId="2"/>
  </si>
  <si>
    <t>GJ</t>
    <phoneticPr fontId="2"/>
  </si>
  <si>
    <t>mm^4</t>
    <phoneticPr fontId="2"/>
  </si>
  <si>
    <t>mm^2</t>
    <phoneticPr fontId="2"/>
  </si>
  <si>
    <t xml:space="preserve">mm^2 </t>
    <phoneticPr fontId="2"/>
  </si>
  <si>
    <t>mm</t>
    <phoneticPr fontId="2"/>
  </si>
  <si>
    <t>GPa</t>
    <phoneticPr fontId="2"/>
  </si>
  <si>
    <t>N*m^2</t>
    <phoneticPr fontId="2"/>
  </si>
  <si>
    <t>強度計算</t>
    <rPh sb="0" eb="2">
      <t>キョウド</t>
    </rPh>
    <rPh sb="2" eb="4">
      <t>ケイサン</t>
    </rPh>
    <phoneticPr fontId="2"/>
  </si>
  <si>
    <t>破断合力</t>
    <rPh sb="0" eb="2">
      <t>ハダン</t>
    </rPh>
    <rPh sb="2" eb="4">
      <t>ゴウリョク</t>
    </rPh>
    <phoneticPr fontId="2"/>
  </si>
  <si>
    <t>曲げ応力</t>
    <rPh sb="0" eb="1">
      <t>マ</t>
    </rPh>
    <rPh sb="2" eb="4">
      <t>オウリョク</t>
    </rPh>
    <phoneticPr fontId="2"/>
  </si>
  <si>
    <t>最大曲げ応力(圧縮)</t>
    <rPh sb="0" eb="2">
      <t>サイダイ</t>
    </rPh>
    <rPh sb="2" eb="3">
      <t>マ</t>
    </rPh>
    <rPh sb="4" eb="6">
      <t>オウリョク</t>
    </rPh>
    <rPh sb="7" eb="9">
      <t>アッシュク</t>
    </rPh>
    <phoneticPr fontId="2"/>
  </si>
  <si>
    <t>最大合力</t>
    <rPh sb="0" eb="2">
      <t>サイダイ</t>
    </rPh>
    <rPh sb="2" eb="4">
      <t>ゴウリョク</t>
    </rPh>
    <phoneticPr fontId="2"/>
  </si>
  <si>
    <t>比率</t>
    <rPh sb="0" eb="2">
      <t>ヒリツ</t>
    </rPh>
    <phoneticPr fontId="2"/>
  </si>
  <si>
    <t>Nf</t>
    <phoneticPr fontId="2"/>
  </si>
  <si>
    <t>M</t>
    <phoneticPr fontId="2"/>
  </si>
  <si>
    <t>σmax</t>
    <phoneticPr fontId="2"/>
  </si>
  <si>
    <t>Nmax</t>
    <phoneticPr fontId="2"/>
  </si>
  <si>
    <t>Nf/Nmax</t>
    <phoneticPr fontId="2"/>
  </si>
  <si>
    <t>N/mm</t>
    <phoneticPr fontId="2"/>
  </si>
  <si>
    <t>N*mm</t>
    <phoneticPr fontId="2"/>
  </si>
  <si>
    <t>N/mm^2</t>
    <phoneticPr fontId="2"/>
  </si>
  <si>
    <t>たわみ</t>
  </si>
  <si>
    <t>ねじれ</t>
  </si>
  <si>
    <t>カウル</t>
    <phoneticPr fontId="2"/>
  </si>
  <si>
    <t>値</t>
    <rPh sb="0" eb="1">
      <t>アタイ</t>
    </rPh>
    <phoneticPr fontId="2"/>
  </si>
  <si>
    <t>全長</t>
    <rPh sb="0" eb="2">
      <t>ゼンチョウ</t>
    </rPh>
    <phoneticPr fontId="2"/>
  </si>
  <si>
    <t>chord</t>
    <phoneticPr fontId="2"/>
  </si>
  <si>
    <t>X0</t>
    <phoneticPr fontId="2"/>
  </si>
  <si>
    <t>Y0</t>
    <phoneticPr fontId="2"/>
  </si>
  <si>
    <t>Z0</t>
    <phoneticPr fontId="2"/>
  </si>
  <si>
    <t>フレーム数</t>
    <rPh sb="4" eb="5">
      <t>スウ</t>
    </rPh>
    <phoneticPr fontId="2"/>
  </si>
  <si>
    <t>frame</t>
    <phoneticPr fontId="2"/>
  </si>
  <si>
    <t>周方向分割数</t>
    <rPh sb="0" eb="1">
      <t>シュウ</t>
    </rPh>
    <rPh sb="1" eb="3">
      <t>ホウコウ</t>
    </rPh>
    <rPh sb="3" eb="6">
      <t>ブンカツスウ</t>
    </rPh>
    <phoneticPr fontId="2"/>
  </si>
  <si>
    <t>circumferencial_division</t>
    <phoneticPr fontId="2"/>
  </si>
  <si>
    <t>フレーム出力</t>
    <rPh sb="4" eb="6">
      <t>シュツリョク</t>
    </rPh>
    <phoneticPr fontId="2"/>
  </si>
  <si>
    <t>なし</t>
  </si>
  <si>
    <t>データ貼り付け</t>
    <rPh sb="3" eb="4">
      <t>ハ</t>
    </rPh>
    <rPh sb="5" eb="6">
      <t>ツ</t>
    </rPh>
    <phoneticPr fontId="2"/>
  </si>
  <si>
    <t>あり</t>
  </si>
  <si>
    <t>最大断面積</t>
    <rPh sb="0" eb="2">
      <t>サイダイ</t>
    </rPh>
    <rPh sb="2" eb="5">
      <t>ダンメンセキ</t>
    </rPh>
    <phoneticPr fontId="2"/>
  </si>
  <si>
    <t>Sπ</t>
    <phoneticPr fontId="2"/>
  </si>
  <si>
    <t>体積</t>
    <rPh sb="0" eb="2">
      <t>タイセキ</t>
    </rPh>
    <phoneticPr fontId="2"/>
  </si>
  <si>
    <t>Δ</t>
    <phoneticPr fontId="2"/>
  </si>
  <si>
    <t>m^3</t>
    <phoneticPr fontId="2"/>
  </si>
  <si>
    <t>濡れ面積</t>
    <rPh sb="0" eb="1">
      <t>ヌ</t>
    </rPh>
    <rPh sb="2" eb="4">
      <t>メンセキ</t>
    </rPh>
    <phoneticPr fontId="2"/>
  </si>
  <si>
    <t>Swet</t>
    <phoneticPr fontId="2"/>
  </si>
  <si>
    <t>平板摩擦力係数</t>
    <rPh sb="0" eb="2">
      <t>ヘイバン</t>
    </rPh>
    <rPh sb="2" eb="5">
      <t>マサツリョク</t>
    </rPh>
    <rPh sb="5" eb="7">
      <t>ケイスウ</t>
    </rPh>
    <phoneticPr fontId="2"/>
  </si>
  <si>
    <t>Cf</t>
    <phoneticPr fontId="2"/>
  </si>
  <si>
    <t>相当直径</t>
    <rPh sb="0" eb="2">
      <t>ソウトウ</t>
    </rPh>
    <rPh sb="2" eb="4">
      <t>チョッケイ</t>
    </rPh>
    <phoneticPr fontId="2"/>
  </si>
  <si>
    <t>d_</t>
    <phoneticPr fontId="2"/>
  </si>
  <si>
    <t>リブ枚数</t>
  </si>
  <si>
    <t>重心計算補助ツール</t>
    <rPh sb="0" eb="2">
      <t>ジュウシン</t>
    </rPh>
    <rPh sb="2" eb="4">
      <t>ケイサn</t>
    </rPh>
    <rPh sb="4" eb="6">
      <t>ホジョ</t>
    </rPh>
    <phoneticPr fontId="2"/>
  </si>
  <si>
    <t>始点質量</t>
    <rPh sb="0" eb="2">
      <t>シテn</t>
    </rPh>
    <rPh sb="2" eb="4">
      <t>シツリョウ</t>
    </rPh>
    <phoneticPr fontId="2"/>
  </si>
  <si>
    <t>終点質量</t>
    <rPh sb="0" eb="2">
      <t>シュウテn</t>
    </rPh>
    <rPh sb="2" eb="4">
      <t>シツリョウ</t>
    </rPh>
    <phoneticPr fontId="2"/>
  </si>
  <si>
    <t>合計質量</t>
    <rPh sb="0" eb="2">
      <t>ゴウケイ</t>
    </rPh>
    <rPh sb="2" eb="4">
      <t>シツリョウ</t>
    </rPh>
    <phoneticPr fontId="2"/>
  </si>
  <si>
    <t>重心位置</t>
    <rPh sb="0" eb="2">
      <t>ジュウシn</t>
    </rPh>
    <rPh sb="2" eb="4">
      <t>イティ</t>
    </rPh>
    <phoneticPr fontId="2"/>
  </si>
  <si>
    <t>g</t>
    <phoneticPr fontId="2"/>
  </si>
  <si>
    <t>初期間隔</t>
  </si>
  <si>
    <t>余剰揚力</t>
  </si>
  <si>
    <t>揚抗比</t>
  </si>
  <si>
    <t>w</t>
  </si>
  <si>
    <t>φ</t>
  </si>
  <si>
    <t>高さ</t>
  </si>
  <si>
    <t>zn</t>
  </si>
  <si>
    <t>yn</t>
  </si>
  <si>
    <t>Γ</t>
  </si>
  <si>
    <t>取り付け角</t>
  </si>
  <si>
    <t>上反角</t>
  </si>
  <si>
    <t>諸元詳細</t>
  </si>
  <si>
    <t>T字配置</t>
  </si>
  <si>
    <t>M</t>
  </si>
  <si>
    <t>Cl/Cd vs Cl</t>
  </si>
  <si>
    <t>Cl vs alpha</t>
  </si>
  <si>
    <t>Cm vs alpha</t>
  </si>
  <si>
    <t>平面形</t>
  </si>
  <si>
    <t>0番</t>
    <rPh sb="1" eb="2">
      <t>バン</t>
    </rPh>
    <phoneticPr fontId="2"/>
  </si>
  <si>
    <t>1番</t>
    <rPh sb="1" eb="2">
      <t>バン</t>
    </rPh>
    <phoneticPr fontId="2"/>
  </si>
  <si>
    <t>2番</t>
    <rPh sb="1" eb="2">
      <t>バン</t>
    </rPh>
    <phoneticPr fontId="2"/>
  </si>
  <si>
    <t>3番</t>
    <rPh sb="1" eb="2">
      <t>バン</t>
    </rPh>
    <phoneticPr fontId="2"/>
  </si>
  <si>
    <t>位置</t>
    <rPh sb="0" eb="2">
      <t>イチ</t>
    </rPh>
    <phoneticPr fontId="2"/>
  </si>
  <si>
    <t>y</t>
    <phoneticPr fontId="2"/>
  </si>
  <si>
    <t>0-1接合</t>
    <phoneticPr fontId="2"/>
  </si>
  <si>
    <t>剛性計算</t>
  </si>
  <si>
    <t>積層構成</t>
  </si>
  <si>
    <t>一本あたりマンドレル長さ</t>
    <rPh sb="0" eb="2">
      <t>イッポn</t>
    </rPh>
    <rPh sb="10" eb="11">
      <t>ナガサ</t>
    </rPh>
    <phoneticPr fontId="2"/>
  </si>
  <si>
    <t>ほぞ深さ</t>
    <rPh sb="2" eb="3">
      <t>フカサ</t>
    </rPh>
    <phoneticPr fontId="2"/>
  </si>
  <si>
    <t>マンドレル本数</t>
    <rPh sb="5" eb="7">
      <t>ホn</t>
    </rPh>
    <phoneticPr fontId="2"/>
  </si>
  <si>
    <t>本</t>
    <rPh sb="0" eb="1">
      <t>ホn</t>
    </rPh>
    <phoneticPr fontId="2"/>
  </si>
  <si>
    <t>マンドレル-積層端マージン</t>
    <rPh sb="6" eb="8">
      <t>セキソウ</t>
    </rPh>
    <rPh sb="8" eb="9">
      <t xml:space="preserve">ハシ </t>
    </rPh>
    <phoneticPr fontId="2"/>
  </si>
  <si>
    <t>マンドレル番号</t>
    <rPh sb="5" eb="7">
      <t>バンゴウ</t>
    </rPh>
    <phoneticPr fontId="2"/>
  </si>
  <si>
    <t>太-長軸</t>
    <rPh sb="0" eb="1">
      <t xml:space="preserve">フト </t>
    </rPh>
    <rPh sb="2" eb="4">
      <t>チョウジク</t>
    </rPh>
    <phoneticPr fontId="2"/>
  </si>
  <si>
    <t>太-短軸</t>
    <rPh sb="2" eb="4">
      <t>タンジク</t>
    </rPh>
    <phoneticPr fontId="2"/>
  </si>
  <si>
    <t>細-長軸</t>
    <rPh sb="0" eb="1">
      <t xml:space="preserve">ホソ </t>
    </rPh>
    <rPh sb="2" eb="4">
      <t>チョウジク</t>
    </rPh>
    <phoneticPr fontId="2"/>
  </si>
  <si>
    <t>細-短軸</t>
    <rPh sb="0" eb="1">
      <t xml:space="preserve">ホソ </t>
    </rPh>
    <rPh sb="2" eb="4">
      <t>タンジク</t>
    </rPh>
    <phoneticPr fontId="2"/>
  </si>
  <si>
    <t>内径</t>
    <rPh sb="0" eb="2">
      <t>ナイケイ</t>
    </rPh>
    <phoneticPr fontId="2"/>
  </si>
  <si>
    <t>外径</t>
    <rPh sb="0" eb="2">
      <t>ガイケイ</t>
    </rPh>
    <phoneticPr fontId="2"/>
  </si>
  <si>
    <t>総マンドレル長さ</t>
    <rPh sb="0" eb="1">
      <t xml:space="preserve">ソウ </t>
    </rPh>
    <rPh sb="6" eb="7">
      <t>ナガサ</t>
    </rPh>
    <phoneticPr fontId="2"/>
  </si>
  <si>
    <t>設計値</t>
    <rPh sb="0" eb="3">
      <t>セッケイ</t>
    </rPh>
    <phoneticPr fontId="2"/>
  </si>
  <si>
    <t>焼き桁長さ</t>
    <rPh sb="0" eb="1">
      <t>ヤキ</t>
    </rPh>
    <rPh sb="2" eb="4">
      <t>ケタ</t>
    </rPh>
    <phoneticPr fontId="2"/>
  </si>
  <si>
    <t>太-短軸</t>
    <rPh sb="0" eb="1">
      <t>フトガ</t>
    </rPh>
    <rPh sb="2" eb="4">
      <t>タンジク</t>
    </rPh>
    <phoneticPr fontId="2"/>
  </si>
  <si>
    <t>切り落とし量（片側）</t>
    <rPh sb="0" eb="1">
      <t>キリオトセィ</t>
    </rPh>
    <rPh sb="7" eb="9">
      <t>カタガワ</t>
    </rPh>
    <phoneticPr fontId="2"/>
  </si>
  <si>
    <t>細-長軸</t>
    <rPh sb="0" eb="1">
      <t>ホソガワ</t>
    </rPh>
    <rPh sb="2" eb="4">
      <t>チョウジク</t>
    </rPh>
    <phoneticPr fontId="2"/>
  </si>
  <si>
    <t>焼き上がり</t>
    <rPh sb="0" eb="1">
      <t>ヤキ</t>
    </rPh>
    <phoneticPr fontId="2"/>
  </si>
  <si>
    <t>軸方向重ねしろ</t>
    <rPh sb="0" eb="3">
      <t>ジクホウコウ</t>
    </rPh>
    <rPh sb="3" eb="4">
      <t>カサ</t>
    </rPh>
    <phoneticPr fontId="2"/>
  </si>
  <si>
    <t>周方向重ねしろ</t>
    <rPh sb="0" eb="1">
      <t>シュウ</t>
    </rPh>
    <rPh sb="1" eb="3">
      <t>ホウコウ</t>
    </rPh>
    <rPh sb="3" eb="4">
      <t>カサ</t>
    </rPh>
    <phoneticPr fontId="2"/>
  </si>
  <si>
    <t>プリプレグシート幅</t>
    <rPh sb="8" eb="9">
      <t>ハバ</t>
    </rPh>
    <phoneticPr fontId="2"/>
  </si>
  <si>
    <t>焼き後重量</t>
  </si>
  <si>
    <t>始点</t>
  </si>
  <si>
    <t>終点</t>
  </si>
  <si>
    <t>コード長 [m]</t>
    <rPh sb="3" eb="4">
      <t>チョウ</t>
    </rPh>
    <phoneticPr fontId="2"/>
  </si>
  <si>
    <t>c</t>
    <phoneticPr fontId="2"/>
  </si>
  <si>
    <t>cf/c</t>
    <phoneticPr fontId="2"/>
  </si>
  <si>
    <t>z</t>
  </si>
  <si>
    <t>翼根</t>
  </si>
  <si>
    <t>安定板平面形</t>
  </si>
  <si>
    <t>舵面平面形</t>
  </si>
  <si>
    <t>テーパー</t>
  </si>
  <si>
    <t>安定板底面高さ</t>
  </si>
  <si>
    <t>安定板-背板間隙間</t>
  </si>
  <si>
    <t>尾翼位置</t>
  </si>
  <si>
    <t>背板厚さ</t>
  </si>
  <si>
    <t>舵面割合</t>
  </si>
  <si>
    <t>舵面詳細</t>
  </si>
  <si>
    <t>テーパー区間</t>
    <rPh sb="4" eb="6">
      <t>クカn</t>
    </rPh>
    <phoneticPr fontId="3"/>
  </si>
  <si>
    <t>桁区間</t>
    <rPh sb="0" eb="1">
      <t>ケタ</t>
    </rPh>
    <rPh sb="1" eb="3">
      <t>クカn</t>
    </rPh>
    <phoneticPr fontId="3"/>
  </si>
  <si>
    <t>基準</t>
  </si>
  <si>
    <t>1番</t>
  </si>
  <si>
    <t>リブ間隔（一つ前のリブとの距離）</t>
    <phoneticPr fontId="3"/>
  </si>
  <si>
    <t>xLE</t>
    <phoneticPr fontId="1"/>
  </si>
  <si>
    <t>xTE</t>
    <phoneticPr fontId="1"/>
  </si>
  <si>
    <t>幾何値</t>
    <rPh sb="0" eb="3">
      <t xml:space="preserve">キカ </t>
    </rPh>
    <phoneticPr fontId="3"/>
  </si>
  <si>
    <t>リブ面積</t>
    <phoneticPr fontId="3"/>
  </si>
  <si>
    <t>全周長さ</t>
    <rPh sb="0" eb="2">
      <t>ゼンシュウ</t>
    </rPh>
    <rPh sb="2" eb="3">
      <t xml:space="preserve">ナガサ </t>
    </rPh>
    <phoneticPr fontId="3"/>
  </si>
  <si>
    <t>リブ材腹</t>
    <rPh sb="3" eb="4">
      <t xml:space="preserve">ハラ </t>
    </rPh>
    <phoneticPr fontId="3"/>
  </si>
  <si>
    <t>リブ材背</t>
    <rPh sb="3" eb="4">
      <t xml:space="preserve">セ </t>
    </rPh>
    <phoneticPr fontId="3"/>
  </si>
  <si>
    <t>プランク長</t>
    <phoneticPr fontId="3"/>
  </si>
  <si>
    <t>mm</t>
    <phoneticPr fontId="1"/>
  </si>
  <si>
    <t>素材</t>
    <rPh sb="0" eb="2">
      <t>ソザイ</t>
    </rPh>
    <phoneticPr fontId="3"/>
  </si>
  <si>
    <t>スタイロフォーム</t>
  </si>
  <si>
    <t>CFRP</t>
  </si>
  <si>
    <t>バルサ</t>
  </si>
  <si>
    <t>30分エポ</t>
    <phoneticPr fontId="3"/>
  </si>
  <si>
    <t>5分エポ</t>
    <phoneticPr fontId="3"/>
  </si>
  <si>
    <t>スチのり（発泡ボンド）</t>
    <phoneticPr fontId="3"/>
  </si>
  <si>
    <t>高剪断エポキシ</t>
    <rPh sb="0" eb="3">
      <t xml:space="preserve">コウセンダン </t>
    </rPh>
    <phoneticPr fontId="3"/>
  </si>
  <si>
    <t>ウレタンフォーム</t>
    <phoneticPr fontId="3"/>
  </si>
  <si>
    <t>バブルス</t>
    <phoneticPr fontId="3"/>
  </si>
  <si>
    <t>tmax_at</t>
    <phoneticPr fontId="3"/>
  </si>
  <si>
    <t>cmax_at</t>
    <phoneticPr fontId="3"/>
  </si>
  <si>
    <t>翼型名</t>
    <phoneticPr fontId="3"/>
  </si>
  <si>
    <t>翼厚</t>
    <phoneticPr fontId="3"/>
  </si>
  <si>
    <t>後縁角</t>
    <phoneticPr fontId="3"/>
  </si>
  <si>
    <t>Re数</t>
    <phoneticPr fontId="3"/>
  </si>
  <si>
    <t>最大揚力係数</t>
    <phoneticPr fontId="3"/>
  </si>
  <si>
    <t>最大揚抗比</t>
    <phoneticPr fontId="3"/>
  </si>
  <si>
    <t>迎角</t>
    <phoneticPr fontId="3"/>
  </si>
  <si>
    <t>揚力係数</t>
    <phoneticPr fontId="3"/>
  </si>
  <si>
    <t>揚抗比</t>
    <phoneticPr fontId="3"/>
  </si>
  <si>
    <t>ピッチングモーメント係数</t>
    <phoneticPr fontId="3"/>
  </si>
  <si>
    <t>風圧中心</t>
    <phoneticPr fontId="3"/>
  </si>
  <si>
    <t>遷移位置</t>
    <phoneticPr fontId="3"/>
  </si>
  <si>
    <t>外形</t>
    <phoneticPr fontId="3"/>
  </si>
  <si>
    <t>cam</t>
    <phoneticPr fontId="3"/>
  </si>
  <si>
    <t>l/dmax</t>
    <phoneticPr fontId="3"/>
  </si>
  <si>
    <t>Cl</t>
    <phoneticPr fontId="3"/>
  </si>
  <si>
    <t>l/d</t>
    <phoneticPr fontId="3"/>
  </si>
  <si>
    <t>NACA 0009</t>
    <phoneticPr fontId="3"/>
  </si>
  <si>
    <t>NACA 0012</t>
    <phoneticPr fontId="3"/>
  </si>
  <si>
    <t>ETt</t>
    <phoneticPr fontId="3"/>
  </si>
  <si>
    <t>ELc</t>
    <phoneticPr fontId="3"/>
  </si>
  <si>
    <t>ETc</t>
    <phoneticPr fontId="3"/>
  </si>
  <si>
    <t>名前</t>
    <phoneticPr fontId="3"/>
  </si>
  <si>
    <t>積層数</t>
    <phoneticPr fontId="3"/>
  </si>
  <si>
    <t>全周</t>
    <phoneticPr fontId="3"/>
  </si>
  <si>
    <t>相当縦弾性率</t>
    <phoneticPr fontId="3"/>
  </si>
  <si>
    <t>相当横弾性率</t>
    <phoneticPr fontId="3"/>
  </si>
  <si>
    <t>ポアソン比</t>
    <phoneticPr fontId="3"/>
  </si>
  <si>
    <t>最大合力</t>
    <phoneticPr fontId="3"/>
  </si>
  <si>
    <t>0番</t>
    <phoneticPr fontId="3"/>
  </si>
  <si>
    <t>90,0,0,90</t>
    <phoneticPr fontId="3"/>
  </si>
  <si>
    <t>90,0,0,0,90</t>
    <phoneticPr fontId="3"/>
  </si>
  <si>
    <t>90,0,0,60,-60,0オビ,0オビ,0オビ,0オビ,0オビ,0オビ,-60,60,0,0,90</t>
    <phoneticPr fontId="3"/>
  </si>
  <si>
    <t>90,0,0,0,60,-60,-60,60,0,0,0,90,0オビ,0オビ,0オビ,90オビ</t>
    <phoneticPr fontId="3"/>
  </si>
  <si>
    <t>90,45,-45,0,0オビ,0オビ,0オビ,0オビ,0,-45,45,90,90,90</t>
    <phoneticPr fontId="3"/>
  </si>
  <si>
    <t>90,45,-45,0,0オビ,0オビ,0オビ,0オビ,0オビ,0オビ,0オビ,0,-45,45,90,90,90</t>
    <phoneticPr fontId="3"/>
  </si>
  <si>
    <t>90,-45,0,0オビ,0オビ,0,45,90</t>
    <phoneticPr fontId="3"/>
  </si>
  <si>
    <t>90,45,0,0,0,-45,90</t>
    <phoneticPr fontId="3"/>
  </si>
  <si>
    <t>1番</t>
    <phoneticPr fontId="3"/>
  </si>
  <si>
    <t>1番強化積層</t>
    <phoneticPr fontId="3"/>
  </si>
  <si>
    <t>2番</t>
  </si>
  <si>
    <t>2番</t>
    <phoneticPr fontId="3"/>
  </si>
  <si>
    <t>2番強化積層</t>
    <phoneticPr fontId="3"/>
  </si>
  <si>
    <t>3番</t>
  </si>
  <si>
    <t>3番</t>
    <phoneticPr fontId="3"/>
  </si>
  <si>
    <t>上脚</t>
    <phoneticPr fontId="3"/>
  </si>
  <si>
    <t>下脚</t>
    <phoneticPr fontId="3"/>
  </si>
  <si>
    <t>胴接</t>
    <phoneticPr fontId="3"/>
  </si>
  <si>
    <t>横</t>
    <phoneticPr fontId="3"/>
  </si>
  <si>
    <t>T字</t>
    <phoneticPr fontId="3"/>
  </si>
  <si>
    <t>端リブ</t>
    <phoneticPr fontId="3"/>
  </si>
  <si>
    <t>mm</t>
    <phoneticPr fontId="3"/>
  </si>
  <si>
    <t>x軸/z軸</t>
    <rPh sb="1" eb="2">
      <t>ジク</t>
    </rPh>
    <rPh sb="4" eb="5">
      <t>ジク</t>
    </rPh>
    <phoneticPr fontId="3"/>
  </si>
  <si>
    <t>翼端</t>
    <rPh sb="0" eb="2">
      <t>ヨクタン</t>
    </rPh>
    <phoneticPr fontId="3"/>
  </si>
  <si>
    <t>t_z</t>
    <phoneticPr fontId="3"/>
  </si>
  <si>
    <t>t_x</t>
    <phoneticPr fontId="3"/>
  </si>
  <si>
    <t>全周厚さ</t>
    <rPh sb="0" eb="2">
      <t>ゼンシュウ</t>
    </rPh>
    <rPh sb="2" eb="3">
      <t>アツ</t>
    </rPh>
    <phoneticPr fontId="3"/>
  </si>
  <si>
    <t>前縁曲率半径比</t>
    <phoneticPr fontId="3"/>
  </si>
  <si>
    <t>オビ部厚さ</t>
    <rPh sb="2" eb="3">
      <t>ブ</t>
    </rPh>
    <rPh sb="3" eb="4">
      <t>アツ</t>
    </rPh>
    <phoneticPr fontId="3"/>
  </si>
  <si>
    <t>長軸mm/m</t>
    <rPh sb="0" eb="2">
      <t>チョウジク</t>
    </rPh>
    <phoneticPr fontId="3"/>
  </si>
  <si>
    <t>長さ</t>
    <rPh sb="0" eb="1">
      <t>ナガサ</t>
    </rPh>
    <phoneticPr fontId="3"/>
  </si>
  <si>
    <t>y断面二次モーメント</t>
    <phoneticPr fontId="3"/>
  </si>
  <si>
    <t>margin_z</t>
    <phoneticPr fontId="2"/>
  </si>
  <si>
    <t>margin_x</t>
    <phoneticPr fontId="2"/>
  </si>
  <si>
    <t>2*zi</t>
    <phoneticPr fontId="2"/>
  </si>
  <si>
    <t>2*xo</t>
    <phoneticPr fontId="2"/>
  </si>
  <si>
    <t>2*zo</t>
    <phoneticPr fontId="2"/>
  </si>
  <si>
    <t>2*xi</t>
    <phoneticPr fontId="2"/>
  </si>
  <si>
    <t>スパー</t>
    <phoneticPr fontId="3"/>
  </si>
  <si>
    <t>Ix</t>
    <phoneticPr fontId="3"/>
  </si>
  <si>
    <t>Iy</t>
    <phoneticPr fontId="3"/>
  </si>
  <si>
    <t>J</t>
    <phoneticPr fontId="3"/>
  </si>
  <si>
    <t>A</t>
    <phoneticPr fontId="3"/>
  </si>
  <si>
    <t>Am</t>
    <phoneticPr fontId="3"/>
  </si>
  <si>
    <t>E</t>
    <phoneticPr fontId="3"/>
  </si>
  <si>
    <t>Eix</t>
    <phoneticPr fontId="3"/>
  </si>
  <si>
    <t>GJ</t>
    <phoneticPr fontId="3"/>
  </si>
  <si>
    <t>Nf</t>
    <phoneticPr fontId="3"/>
  </si>
  <si>
    <t>σmax</t>
    <phoneticPr fontId="3"/>
  </si>
  <si>
    <t>Nf/Nmax</t>
    <phoneticPr fontId="3"/>
  </si>
  <si>
    <t>mm^4</t>
    <phoneticPr fontId="3"/>
  </si>
  <si>
    <t>mm^2</t>
    <phoneticPr fontId="3"/>
  </si>
  <si>
    <t xml:space="preserve">mm^2 </t>
    <phoneticPr fontId="3"/>
  </si>
  <si>
    <t>N*m^2</t>
    <phoneticPr fontId="3"/>
  </si>
  <si>
    <t>N/mm</t>
    <phoneticPr fontId="3"/>
  </si>
  <si>
    <t>N*mm</t>
    <phoneticPr fontId="3"/>
  </si>
  <si>
    <t>N/mm^2</t>
    <phoneticPr fontId="3"/>
  </si>
  <si>
    <t>名</t>
    <rPh sb="0" eb="1">
      <t>ナ</t>
    </rPh>
    <phoneticPr fontId="3"/>
  </si>
  <si>
    <t>スタイロフォーム</t>
    <phoneticPr fontId="3"/>
  </si>
  <si>
    <t>実測値</t>
    <rPh sb="0" eb="3">
      <t>ジッソク</t>
    </rPh>
    <phoneticPr fontId="3"/>
  </si>
  <si>
    <t>右翼ウイングレット (トリム用重り含む)</t>
    <rPh sb="0" eb="2">
      <t>ウヨク</t>
    </rPh>
    <rPh sb="15" eb="16">
      <t xml:space="preserve">オモリコミ </t>
    </rPh>
    <rPh sb="17" eb="18">
      <t>フクム</t>
    </rPh>
    <phoneticPr fontId="3"/>
  </si>
  <si>
    <t>左翼ウイングレット (トリム用重り含む)</t>
    <rPh sb="0" eb="1">
      <t>ヒダリ</t>
    </rPh>
    <rPh sb="11" eb="12">
      <t>ヒダリ</t>
    </rPh>
    <phoneticPr fontId="3"/>
  </si>
  <si>
    <t>右翼ウイングレット</t>
    <rPh sb="0" eb="2">
      <t>ウヨク</t>
    </rPh>
    <phoneticPr fontId="3"/>
  </si>
  <si>
    <t>左翼ウイングレット</t>
    <rPh sb="0" eb="2">
      <t>サヨク</t>
    </rPh>
    <phoneticPr fontId="3"/>
  </si>
  <si>
    <t>ピトー管</t>
    <rPh sb="3" eb="4">
      <t xml:space="preserve">カン </t>
    </rPh>
    <phoneticPr fontId="3"/>
  </si>
  <si>
    <t>ワイヤー</t>
    <phoneticPr fontId="3"/>
  </si>
  <si>
    <t>蓋</t>
    <rPh sb="0" eb="1">
      <t xml:space="preserve">フタ </t>
    </rPh>
    <phoneticPr fontId="3"/>
  </si>
  <si>
    <t>カウル頭</t>
    <rPh sb="3" eb="4">
      <t>アタマ</t>
    </rPh>
    <phoneticPr fontId="3"/>
  </si>
  <si>
    <t>カウル尻尾</t>
    <rPh sb="3" eb="5">
      <t>シッポ</t>
    </rPh>
    <phoneticPr fontId="3"/>
  </si>
  <si>
    <t>キャノピー</t>
    <phoneticPr fontId="3"/>
  </si>
  <si>
    <t>配線</t>
    <rPh sb="0" eb="2">
      <t>ハイセn</t>
    </rPh>
    <phoneticPr fontId="3"/>
  </si>
  <si>
    <t>ボルトナット・ピン(接合部)</t>
    <rPh sb="10" eb="13">
      <t>セツゴウ</t>
    </rPh>
    <phoneticPr fontId="3"/>
  </si>
  <si>
    <t>乗り込み</t>
    <rPh sb="0" eb="1">
      <t>ノリコミ</t>
    </rPh>
    <phoneticPr fontId="3"/>
  </si>
  <si>
    <t>電装基板マウント</t>
    <rPh sb="0" eb="2">
      <t>デンソウ</t>
    </rPh>
    <rPh sb="2" eb="4">
      <t xml:space="preserve">キバン </t>
    </rPh>
    <phoneticPr fontId="3"/>
  </si>
  <si>
    <t>P保護緩衝材</t>
    <rPh sb="1" eb="3">
      <t>ホゴ</t>
    </rPh>
    <rPh sb="3" eb="6">
      <t>カンショウザイ</t>
    </rPh>
    <phoneticPr fontId="3"/>
  </si>
  <si>
    <t>主翼関係</t>
    <rPh sb="0" eb="1">
      <t>シュヨク</t>
    </rPh>
    <rPh sb="1" eb="2">
      <t>ヨク</t>
    </rPh>
    <rPh sb="2" eb="4">
      <t>カンケイ</t>
    </rPh>
    <phoneticPr fontId="3"/>
  </si>
  <si>
    <t>尾翼関係</t>
    <rPh sb="0" eb="2">
      <t>ビヨク</t>
    </rPh>
    <rPh sb="2" eb="4">
      <t>カンケイ</t>
    </rPh>
    <phoneticPr fontId="3"/>
  </si>
  <si>
    <t>非線形</t>
    <rPh sb="0" eb="3">
      <t>ヒセn</t>
    </rPh>
    <phoneticPr fontId="3"/>
  </si>
  <si>
    <t>30分エポ</t>
  </si>
  <si>
    <t>位置</t>
    <rPh sb="0" eb="2">
      <t xml:space="preserve">イチ </t>
    </rPh>
    <phoneticPr fontId="3"/>
  </si>
  <si>
    <t>開始</t>
    <rPh sb="0" eb="2">
      <t xml:space="preserve">カイシ </t>
    </rPh>
    <phoneticPr fontId="3"/>
  </si>
  <si>
    <t>終了</t>
    <rPh sb="0" eb="2">
      <t>シュウリョウ</t>
    </rPh>
    <phoneticPr fontId="3"/>
  </si>
  <si>
    <t>番号</t>
    <rPh sb="0" eb="2">
      <t>バンゴウ</t>
    </rPh>
    <phoneticPr fontId="3"/>
  </si>
  <si>
    <t>幅</t>
    <rPh sb="0" eb="1">
      <t>ハバ</t>
    </rPh>
    <phoneticPr fontId="3"/>
  </si>
  <si>
    <t>深さ</t>
    <rPh sb="0" eb="1">
      <t xml:space="preserve">フカサ </t>
    </rPh>
    <phoneticPr fontId="3"/>
  </si>
  <si>
    <t>カーボンリブ</t>
    <phoneticPr fontId="2"/>
  </si>
  <si>
    <t>ガラスクロス（エポ、グルーガンを含む）</t>
    <rPh sb="16" eb="17">
      <t>フクム</t>
    </rPh>
    <phoneticPr fontId="2"/>
  </si>
  <si>
    <t>重さ</t>
    <rPh sb="0" eb="1">
      <t>オモサ</t>
    </rPh>
    <phoneticPr fontId="2"/>
  </si>
  <si>
    <t>線密度</t>
    <rPh sb="0" eb="3">
      <t xml:space="preserve">センミツド </t>
    </rPh>
    <phoneticPr fontId="2"/>
  </si>
  <si>
    <t>zi</t>
    <phoneticPr fontId="3"/>
  </si>
  <si>
    <t>xi</t>
    <phoneticPr fontId="3"/>
  </si>
  <si>
    <t>zo</t>
    <phoneticPr fontId="3"/>
  </si>
  <si>
    <t>xo</t>
    <phoneticPr fontId="3"/>
  </si>
  <si>
    <t>z桁直径</t>
    <rPh sb="2" eb="3">
      <t>チョッケイ</t>
    </rPh>
    <phoneticPr fontId="3"/>
  </si>
  <si>
    <t>x桁直径</t>
    <rPh sb="2" eb="3">
      <t>チョッケイ</t>
    </rPh>
    <phoneticPr fontId="3"/>
  </si>
  <si>
    <t>y位置</t>
    <phoneticPr fontId="3"/>
  </si>
  <si>
    <t>リブ番号</t>
    <phoneticPr fontId="3"/>
  </si>
  <si>
    <t>z桁内半径</t>
    <phoneticPr fontId="3"/>
  </si>
  <si>
    <t>x桁内半径</t>
    <phoneticPr fontId="3"/>
  </si>
  <si>
    <t>z桁外半径</t>
    <phoneticPr fontId="3"/>
  </si>
  <si>
    <t>x桁外半径</t>
    <phoneticPr fontId="3"/>
  </si>
  <si>
    <t>x断面二次モーメント</t>
    <phoneticPr fontId="3"/>
  </si>
  <si>
    <t>ねじれ定数</t>
    <phoneticPr fontId="3"/>
  </si>
  <si>
    <t>断面積</t>
    <phoneticPr fontId="3"/>
  </si>
  <si>
    <t>囲まれる面積</t>
    <phoneticPr fontId="3"/>
  </si>
  <si>
    <t>周長</t>
    <phoneticPr fontId="3"/>
  </si>
  <si>
    <t>ヤング率</t>
    <phoneticPr fontId="3"/>
  </si>
  <si>
    <t>横弾性係数</t>
    <phoneticPr fontId="3"/>
  </si>
  <si>
    <t>曲げ剛性</t>
    <phoneticPr fontId="3"/>
  </si>
  <si>
    <t>ねじれ剛性</t>
    <phoneticPr fontId="3"/>
  </si>
  <si>
    <t>翼厚-長軸径</t>
    <phoneticPr fontId="3"/>
  </si>
  <si>
    <t>破断合力</t>
    <phoneticPr fontId="3"/>
  </si>
  <si>
    <t>曲げ応力</t>
    <phoneticPr fontId="3"/>
  </si>
  <si>
    <t>最大曲げ応力(圧縮)</t>
    <phoneticPr fontId="3"/>
  </si>
  <si>
    <t>比率</t>
    <phoneticPr fontId="3"/>
  </si>
  <si>
    <t>重量</t>
    <phoneticPr fontId="3"/>
  </si>
  <si>
    <t>3番端</t>
    <rPh sb="0" eb="2">
      <t>バn</t>
    </rPh>
    <phoneticPr fontId="3"/>
  </si>
  <si>
    <t>y位置</t>
    <rPh sb="1" eb="3">
      <t>イチ</t>
    </rPh>
    <phoneticPr fontId="2"/>
  </si>
  <si>
    <t>yn</t>
    <phoneticPr fontId="1"/>
  </si>
  <si>
    <t>リブ位置</t>
    <phoneticPr fontId="3"/>
  </si>
  <si>
    <t>m/m</t>
    <phoneticPr fontId="3"/>
  </si>
  <si>
    <t>deg/m</t>
    <phoneticPr fontId="3"/>
  </si>
  <si>
    <t>コード長傾き</t>
    <rPh sb="4" eb="5">
      <t>カタム</t>
    </rPh>
    <phoneticPr fontId="3"/>
  </si>
  <si>
    <t>切片</t>
    <rPh sb="0" eb="2">
      <t>セッペン</t>
    </rPh>
    <phoneticPr fontId="3"/>
  </si>
  <si>
    <t>取り付け角傾き</t>
    <rPh sb="0" eb="1">
      <t>トリツケ</t>
    </rPh>
    <rPh sb="5" eb="6">
      <t>カタム</t>
    </rPh>
    <phoneticPr fontId="3"/>
  </si>
  <si>
    <t>桁中心傾き</t>
    <rPh sb="0" eb="3">
      <t>ケタ</t>
    </rPh>
    <rPh sb="3" eb="4">
      <t>カタム</t>
    </rPh>
    <phoneticPr fontId="3"/>
  </si>
  <si>
    <t>頂点6</t>
    <rPh sb="0" eb="2">
      <t>チョウテn</t>
    </rPh>
    <phoneticPr fontId="3"/>
  </si>
  <si>
    <t>翼型1</t>
    <phoneticPr fontId="3"/>
  </si>
  <si>
    <t>翼型1配合率</t>
    <rPh sb="3" eb="6">
      <t>ハイゴウ</t>
    </rPh>
    <phoneticPr fontId="3"/>
  </si>
  <si>
    <t>翼型2</t>
    <phoneticPr fontId="3"/>
  </si>
  <si>
    <t>翼型2配合率</t>
    <rPh sb="3" eb="6">
      <t>ハイゴウ</t>
    </rPh>
    <phoneticPr fontId="3"/>
  </si>
  <si>
    <t>二次構造</t>
    <rPh sb="0" eb="4">
      <t>ニジコウゾウ</t>
    </rPh>
    <phoneticPr fontId="3"/>
  </si>
  <si>
    <t>一次構造</t>
    <rPh sb="0" eb="4">
      <t>イチジコウ</t>
    </rPh>
    <phoneticPr fontId="2"/>
  </si>
  <si>
    <t>主翼重心からの距離の2乗</t>
    <rPh sb="0" eb="2">
      <t>シュヨク</t>
    </rPh>
    <rPh sb="2" eb="4">
      <t>ジュウシン</t>
    </rPh>
    <rPh sb="7" eb="9">
      <t>キョリ</t>
    </rPh>
    <rPh sb="11" eb="12">
      <t>ジョウ</t>
    </rPh>
    <phoneticPr fontId="3"/>
  </si>
  <si>
    <t>y^2+z^2</t>
    <phoneticPr fontId="3"/>
  </si>
  <si>
    <t>z^2+x^2</t>
    <phoneticPr fontId="3"/>
  </si>
  <si>
    <t>x^2+y^2</t>
    <phoneticPr fontId="3"/>
  </si>
  <si>
    <t>後縁材&amp;ピッコロ</t>
    <rPh sb="0" eb="3">
      <t>コウエンザイ</t>
    </rPh>
    <phoneticPr fontId="2"/>
  </si>
  <si>
    <t>接着剤、両面（リブ付け除く）</t>
    <rPh sb="0" eb="3">
      <t>セッチャク</t>
    </rPh>
    <rPh sb="4" eb="6">
      <t>リョウメn</t>
    </rPh>
    <rPh sb="11" eb="12">
      <t>ノゾク</t>
    </rPh>
    <phoneticPr fontId="2"/>
  </si>
  <si>
    <t>接着剤、両面</t>
    <rPh sb="0" eb="3">
      <t>セッチャク</t>
    </rPh>
    <rPh sb="4" eb="6">
      <t>リョウメn</t>
    </rPh>
    <phoneticPr fontId="2"/>
  </si>
  <si>
    <t>薄さ</t>
    <rPh sb="0" eb="1">
      <t xml:space="preserve">ウスサ </t>
    </rPh>
    <phoneticPr fontId="2"/>
  </si>
  <si>
    <t>ガラスクロス(エポ、グルーガン含む）</t>
    <rPh sb="15" eb="16">
      <t>フクム</t>
    </rPh>
    <phoneticPr fontId="3"/>
  </si>
  <si>
    <t>合計 kg</t>
    <rPh sb="0" eb="2">
      <t>ゴウケイ</t>
    </rPh>
    <phoneticPr fontId="3"/>
  </si>
  <si>
    <t>重量合計</t>
    <rPh sb="0" eb="2">
      <t>ジュウリョウ</t>
    </rPh>
    <phoneticPr fontId="3"/>
  </si>
  <si>
    <t>変形後上反角</t>
    <rPh sb="0" eb="3">
      <t>ヘンケイ</t>
    </rPh>
    <rPh sb="3" eb="6">
      <t>ジョウハンカク</t>
    </rPh>
    <phoneticPr fontId="1"/>
  </si>
  <si>
    <t>たわみ</t>
    <phoneticPr fontId="1"/>
  </si>
  <si>
    <t>ねじれ角</t>
    <rPh sb="3" eb="4">
      <t xml:space="preserve">カク </t>
    </rPh>
    <phoneticPr fontId="1"/>
  </si>
  <si>
    <t>Φ</t>
    <phoneticPr fontId="2"/>
  </si>
  <si>
    <t>w</t>
    <phoneticPr fontId="2"/>
  </si>
  <si>
    <t>変形後取り付け角</t>
    <rPh sb="0" eb="3">
      <t>ヘンケイ</t>
    </rPh>
    <rPh sb="3" eb="4">
      <t>ト</t>
    </rPh>
    <rPh sb="5" eb="6">
      <t>ツ</t>
    </rPh>
    <rPh sb="7" eb="8">
      <t>カク</t>
    </rPh>
    <phoneticPr fontId="1"/>
  </si>
  <si>
    <t>変形後y位置</t>
    <rPh sb="0" eb="3">
      <t>ヘンケイ</t>
    </rPh>
    <rPh sb="4" eb="6">
      <t xml:space="preserve">イチ </t>
    </rPh>
    <phoneticPr fontId="1"/>
  </si>
  <si>
    <t>変形後高さ</t>
    <rPh sb="0" eb="3">
      <t>ヘンケイ</t>
    </rPh>
    <rPh sb="3" eb="4">
      <t>タカサ</t>
    </rPh>
    <phoneticPr fontId="1"/>
  </si>
  <si>
    <t>αd</t>
    <phoneticPr fontId="3"/>
  </si>
  <si>
    <t>ynd</t>
    <phoneticPr fontId="2"/>
  </si>
  <si>
    <t>znd</t>
    <phoneticPr fontId="2"/>
  </si>
  <si>
    <t>面積など</t>
    <rPh sb="0" eb="2">
      <t>メンセキ</t>
    </rPh>
    <phoneticPr fontId="3"/>
  </si>
  <si>
    <t>挿ししろ長さ</t>
    <rPh sb="0" eb="1">
      <t>サシシロ</t>
    </rPh>
    <rPh sb="4" eb="5">
      <t>ナガサ</t>
    </rPh>
    <phoneticPr fontId="3"/>
  </si>
  <si>
    <t>接合部</t>
    <rPh sb="0" eb="2">
      <t>セツゴウ</t>
    </rPh>
    <rPh sb="2" eb="3">
      <t>b</t>
    </rPh>
    <phoneticPr fontId="3"/>
  </si>
  <si>
    <t>強化積層数</t>
    <rPh sb="0" eb="2">
      <t>キョウ</t>
    </rPh>
    <rPh sb="4" eb="5">
      <t>スウ</t>
    </rPh>
    <phoneticPr fontId="3"/>
  </si>
  <si>
    <t>詳細</t>
    <rPh sb="0" eb="2">
      <t>ショウサイ</t>
    </rPh>
    <phoneticPr fontId="3"/>
  </si>
  <si>
    <t>番</t>
    <rPh sb="0" eb="1">
      <t>🚐</t>
    </rPh>
    <phoneticPr fontId="3"/>
  </si>
  <si>
    <t>上反</t>
    <rPh sb="0" eb="2">
      <t>ジョウハン</t>
    </rPh>
    <phoneticPr fontId="3"/>
  </si>
  <si>
    <t>たわみ</t>
    <phoneticPr fontId="3"/>
  </si>
  <si>
    <t>ねじれ</t>
    <phoneticPr fontId="3"/>
  </si>
  <si>
    <t>手法</t>
    <rPh sb="0" eb="2">
      <t>シュホウ</t>
    </rPh>
    <phoneticPr fontId="3"/>
  </si>
  <si>
    <t>翼面荷重</t>
    <rPh sb="0" eb="4">
      <t>ヨクメn</t>
    </rPh>
    <phoneticPr fontId="3"/>
  </si>
  <si>
    <t>優先事項</t>
    <rPh sb="0" eb="4">
      <t>ユウセn</t>
    </rPh>
    <phoneticPr fontId="3"/>
  </si>
  <si>
    <t>リンク機構計算</t>
    <rPh sb="5" eb="7">
      <t>ケイサn</t>
    </rPh>
    <phoneticPr fontId="3"/>
  </si>
  <si>
    <t>リブ周長</t>
    <rPh sb="2" eb="4">
      <t>シュウチョウ</t>
    </rPh>
    <phoneticPr fontId="3"/>
  </si>
  <si>
    <t>接着剤1</t>
    <rPh sb="0" eb="3">
      <t>セッチャク</t>
    </rPh>
    <phoneticPr fontId="3"/>
  </si>
  <si>
    <t>カウル胴体</t>
    <rPh sb="3" eb="5">
      <t>ドウタイ</t>
    </rPh>
    <phoneticPr fontId="3"/>
  </si>
  <si>
    <t>予備脚（左）</t>
    <rPh sb="0" eb="3">
      <t>ヨビアセィ</t>
    </rPh>
    <phoneticPr fontId="3"/>
  </si>
  <si>
    <t>予備脚（右）</t>
    <rPh sb="0" eb="3">
      <t>ヨビアセィ</t>
    </rPh>
    <rPh sb="4" eb="5">
      <t>ミギ</t>
    </rPh>
    <phoneticPr fontId="3"/>
  </si>
  <si>
    <t>乗り込み部(ベースバーとスタイロ含む）</t>
    <rPh sb="0" eb="1">
      <t>ノ</t>
    </rPh>
    <rPh sb="2" eb="3">
      <t>コ</t>
    </rPh>
    <rPh sb="4" eb="5">
      <t>ブ</t>
    </rPh>
    <rPh sb="16" eb="17">
      <t>フクム</t>
    </rPh>
    <phoneticPr fontId="3"/>
  </si>
  <si>
    <t>接着剤、ゴリラテープ</t>
    <rPh sb="0" eb="3">
      <t>セッチャク</t>
    </rPh>
    <phoneticPr fontId="3"/>
  </si>
  <si>
    <t>オンボードカメラ台座</t>
    <rPh sb="8" eb="10">
      <t xml:space="preserve">ダイザ </t>
    </rPh>
    <phoneticPr fontId="3"/>
  </si>
  <si>
    <t>ボルトナット（胴接）</t>
    <rPh sb="7" eb="9">
      <t>ドウセテゥ</t>
    </rPh>
    <phoneticPr fontId="3"/>
  </si>
  <si>
    <t>面取り量</t>
    <rPh sb="0" eb="2">
      <t>メント</t>
    </rPh>
    <rPh sb="3" eb="4">
      <t>リョウ</t>
    </rPh>
    <phoneticPr fontId="3"/>
  </si>
  <si>
    <t>ターンバックル</t>
    <phoneticPr fontId="3"/>
  </si>
  <si>
    <t>安定板用フタ、エスレン、かまぼこ</t>
    <rPh sb="0" eb="4">
      <t>アンテイ</t>
    </rPh>
    <phoneticPr fontId="3"/>
  </si>
  <si>
    <t>舵面下パーツ</t>
    <rPh sb="0" eb="2">
      <t>ダメn</t>
    </rPh>
    <rPh sb="2" eb="3">
      <t xml:space="preserve">シタ </t>
    </rPh>
    <phoneticPr fontId="3"/>
  </si>
  <si>
    <t>←翼に両面テープを貼って窓とした</t>
    <rPh sb="1" eb="2">
      <t xml:space="preserve">ヨク </t>
    </rPh>
    <rPh sb="3" eb="5">
      <t>リョウメn</t>
    </rPh>
    <rPh sb="9" eb="10">
      <t>ハッテ</t>
    </rPh>
    <rPh sb="12" eb="13">
      <t>マド</t>
    </rPh>
    <phoneticPr fontId="3"/>
  </si>
  <si>
    <t>クリスタルなど固定用</t>
    <rPh sb="7" eb="10">
      <t>コテイ</t>
    </rPh>
    <phoneticPr fontId="3"/>
  </si>
  <si>
    <t>尾翼</t>
    <rPh sb="0" eb="2">
      <t>スイヘイビヨク</t>
    </rPh>
    <phoneticPr fontId="3"/>
  </si>
  <si>
    <t>ブザー、アンテナ</t>
    <phoneticPr fontId="3"/>
  </si>
  <si>
    <t>パイロット通話用携帯</t>
    <rPh sb="5" eb="8">
      <t>ツウワ</t>
    </rPh>
    <rPh sb="8" eb="10">
      <t>ケイタイ</t>
    </rPh>
    <phoneticPr fontId="3"/>
  </si>
  <si>
    <t>←ロガー＋操舵</t>
    <rPh sb="5" eb="7">
      <t>ソウダ</t>
    </rPh>
    <phoneticPr fontId="3"/>
  </si>
  <si>
    <t>←ロガー+足蓋+尾翼</t>
    <rPh sb="5" eb="7">
      <t>アシフタ</t>
    </rPh>
    <rPh sb="8" eb="10">
      <t>ビヨク</t>
    </rPh>
    <phoneticPr fontId="3"/>
  </si>
  <si>
    <t>胴体-安定板 ボルトナット</t>
    <rPh sb="0" eb="2">
      <t>ドウタイ</t>
    </rPh>
    <rPh sb="3" eb="6">
      <t>アンテイ</t>
    </rPh>
    <phoneticPr fontId="3"/>
  </si>
  <si>
    <t>安定板-水平 ボルトナット</t>
    <rPh sb="0" eb="3">
      <t>アンテイ</t>
    </rPh>
    <rPh sb="4" eb="6">
      <t>スイヘイ</t>
    </rPh>
    <phoneticPr fontId="3"/>
  </si>
  <si>
    <t>安定板-舵面 ピン</t>
    <rPh sb="0" eb="3">
      <t>アンテイ</t>
    </rPh>
    <rPh sb="4" eb="6">
      <t>ダメn</t>
    </rPh>
    <phoneticPr fontId="3"/>
  </si>
  <si>
    <t>胴体配置</t>
    <rPh sb="0" eb="2">
      <t>ドウタイ</t>
    </rPh>
    <rPh sb="2" eb="4">
      <t>ハイティ</t>
    </rPh>
    <phoneticPr fontId="3"/>
  </si>
  <si>
    <t>0番中心から</t>
    <rPh sb="1" eb="2">
      <t>バn</t>
    </rPh>
    <rPh sb="2" eb="4">
      <t>バn</t>
    </rPh>
    <phoneticPr fontId="3"/>
  </si>
  <si>
    <t>胴体太端から</t>
    <rPh sb="0" eb="2">
      <t>ドウタイ</t>
    </rPh>
    <rPh sb="2" eb="3">
      <t xml:space="preserve">フト </t>
    </rPh>
    <rPh sb="3" eb="4">
      <t xml:space="preserve">ハシ </t>
    </rPh>
    <phoneticPr fontId="3"/>
  </si>
  <si>
    <t>安定板開始</t>
    <rPh sb="0" eb="3">
      <t>アンテイ</t>
    </rPh>
    <rPh sb="3" eb="5">
      <t xml:space="preserve">カイシ </t>
    </rPh>
    <phoneticPr fontId="3"/>
  </si>
  <si>
    <t>テールバー終了</t>
    <rPh sb="5" eb="7">
      <t>シュウリョウ</t>
    </rPh>
    <phoneticPr fontId="3"/>
  </si>
  <si>
    <t>尾翼</t>
    <rPh sb="0" eb="2">
      <t>ビヨク</t>
    </rPh>
    <phoneticPr fontId="3"/>
  </si>
  <si>
    <t>P乗り込み部焼き</t>
    <rPh sb="1" eb="2">
      <t>ノリコミ</t>
    </rPh>
    <rPh sb="6" eb="7">
      <t>ヤキ</t>
    </rPh>
    <phoneticPr fontId="3"/>
  </si>
  <si>
    <t>巡航速度</t>
    <rPh sb="0" eb="4">
      <t>ジュn</t>
    </rPh>
    <phoneticPr fontId="3"/>
  </si>
  <si>
    <t>L/D翼max</t>
    <rPh sb="3" eb="4">
      <t xml:space="preserve">ヨク </t>
    </rPh>
    <phoneticPr fontId="3"/>
  </si>
  <si>
    <t>L/D全機max</t>
    <rPh sb="3" eb="5">
      <t>ゼンキ</t>
    </rPh>
    <phoneticPr fontId="3"/>
  </si>
  <si>
    <t>沈下率min</t>
    <rPh sb="0" eb="3">
      <t>チンカ</t>
    </rPh>
    <phoneticPr fontId="3"/>
  </si>
  <si>
    <t>Wplane</t>
    <phoneticPr fontId="3"/>
  </si>
  <si>
    <t>Wpilot</t>
    <phoneticPr fontId="3"/>
  </si>
  <si>
    <t>Lw</t>
    <phoneticPr fontId="3"/>
  </si>
  <si>
    <t>Lt</t>
    <phoneticPr fontId="3"/>
  </si>
  <si>
    <t>Lf</t>
    <phoneticPr fontId="3"/>
  </si>
  <si>
    <t>Di_wing</t>
    <phoneticPr fontId="3"/>
  </si>
  <si>
    <t>Dp_wing</t>
    <phoneticPr fontId="3"/>
  </si>
  <si>
    <t>静安定</t>
    <rPh sb="0" eb="1">
      <t>セイ</t>
    </rPh>
    <rPh sb="1" eb="3">
      <t>アンテイ</t>
    </rPh>
    <phoneticPr fontId="1"/>
  </si>
  <si>
    <t>縦の静安定．負なら安定</t>
    <rPh sb="0" eb="1">
      <t>タテ</t>
    </rPh>
    <rPh sb="2" eb="3">
      <t>セイ</t>
    </rPh>
    <rPh sb="3" eb="5">
      <t>アンテイ</t>
    </rPh>
    <rPh sb="6" eb="7">
      <t>フ</t>
    </rPh>
    <rPh sb="9" eb="11">
      <t>アンテイ</t>
    </rPh>
    <phoneticPr fontId="1"/>
  </si>
  <si>
    <t>上反角効果．負なら安定</t>
    <rPh sb="0" eb="3">
      <t>ジョウハンカク</t>
    </rPh>
    <rPh sb="3" eb="5">
      <t>コウカ</t>
    </rPh>
    <rPh sb="6" eb="7">
      <t>フ</t>
    </rPh>
    <rPh sb="9" eb="11">
      <t>アンテイ</t>
    </rPh>
    <phoneticPr fontId="1"/>
  </si>
  <si>
    <t>方向性安定．</t>
    <rPh sb="0" eb="3">
      <t>ホウコウセイ</t>
    </rPh>
    <rPh sb="3" eb="5">
      <t>アンテイ</t>
    </rPh>
    <phoneticPr fontId="1"/>
  </si>
  <si>
    <t>短周期モード</t>
    <rPh sb="0" eb="3">
      <t>タンシュウキ</t>
    </rPh>
    <phoneticPr fontId="1"/>
  </si>
  <si>
    <t>青本p.41．固有角振動数</t>
    <rPh sb="0" eb="2">
      <t>アオホン</t>
    </rPh>
    <rPh sb="7" eb="9">
      <t>コユウ</t>
    </rPh>
    <rPh sb="9" eb="10">
      <t>カク</t>
    </rPh>
    <rPh sb="10" eb="13">
      <t>シンドウスウ</t>
    </rPh>
    <phoneticPr fontId="1"/>
  </si>
  <si>
    <t>青本p.41．減衰比</t>
    <rPh sb="0" eb="2">
      <t>アオホン</t>
    </rPh>
    <rPh sb="7" eb="9">
      <t>ゲンスイ</t>
    </rPh>
    <rPh sb="9" eb="10">
      <t>ヒ</t>
    </rPh>
    <phoneticPr fontId="1"/>
  </si>
  <si>
    <t>青本p.42．減衰固有角振動数</t>
    <rPh sb="0" eb="2">
      <t>アオホン</t>
    </rPh>
    <rPh sb="7" eb="9">
      <t>ゲンスイ</t>
    </rPh>
    <rPh sb="9" eb="11">
      <t>コユウ</t>
    </rPh>
    <rPh sb="11" eb="12">
      <t>カク</t>
    </rPh>
    <rPh sb="12" eb="15">
      <t>シンドウスウ</t>
    </rPh>
    <phoneticPr fontId="1"/>
  </si>
  <si>
    <t>固有振動数．青本p.104</t>
    <rPh sb="0" eb="2">
      <t>コユウ</t>
    </rPh>
    <rPh sb="2" eb="5">
      <t>シンドウスウ</t>
    </rPh>
    <rPh sb="6" eb="8">
      <t>アオホン</t>
    </rPh>
    <phoneticPr fontId="1"/>
  </si>
  <si>
    <t>減衰率．青本p.104</t>
    <rPh sb="0" eb="2">
      <t>ゲンスイ</t>
    </rPh>
    <rPh sb="2" eb="3">
      <t>リツ</t>
    </rPh>
    <rPh sb="4" eb="6">
      <t>アオホン</t>
    </rPh>
    <phoneticPr fontId="1"/>
  </si>
  <si>
    <t>減衰固有振動数</t>
    <rPh sb="0" eb="2">
      <t>ゲンスイ</t>
    </rPh>
    <rPh sb="2" eb="4">
      <t>コユウ</t>
    </rPh>
    <rPh sb="4" eb="7">
      <t>シンドウスウ</t>
    </rPh>
    <phoneticPr fontId="1"/>
  </si>
  <si>
    <t>青本p.104．正なら安定</t>
    <rPh sb="0" eb="2">
      <t>アオホン</t>
    </rPh>
    <rPh sb="8" eb="9">
      <t>セイ</t>
    </rPh>
    <rPh sb="11" eb="13">
      <t>アンテイ</t>
    </rPh>
    <phoneticPr fontId="1"/>
  </si>
  <si>
    <t>応答が2倍になる時間</t>
    <rPh sb="0" eb="2">
      <t>オウトウ</t>
    </rPh>
    <rPh sb="4" eb="5">
      <t>バイ</t>
    </rPh>
    <rPh sb="8" eb="10">
      <t>ジカン</t>
    </rPh>
    <phoneticPr fontId="1"/>
  </si>
  <si>
    <t>通常の航空機なら20秒以上で可．鳥コン機では…</t>
    <rPh sb="0" eb="2">
      <t>ツウジョウ</t>
    </rPh>
    <rPh sb="3" eb="6">
      <t>コウクウキ</t>
    </rPh>
    <rPh sb="10" eb="13">
      <t>ビョウイジョウ</t>
    </rPh>
    <rPh sb="14" eb="15">
      <t>カ</t>
    </rPh>
    <rPh sb="16" eb="17">
      <t>トリ</t>
    </rPh>
    <rPh sb="19" eb="20">
      <t>キ</t>
    </rPh>
    <phoneticPr fontId="1"/>
  </si>
  <si>
    <t>青本p.104．</t>
    <rPh sb="0" eb="2">
      <t>アオホン</t>
    </rPh>
    <phoneticPr fontId="1"/>
  </si>
  <si>
    <t>時定数：最終地の約63%になる時間．大きければ緩やかな，小さければ素早い応答となる．</t>
  </si>
  <si>
    <t>静安定余裕</t>
    <rPh sb="0" eb="3">
      <t>セイアンテイ</t>
    </rPh>
    <rPh sb="3" eb="5">
      <t>ヨユウ</t>
    </rPh>
    <phoneticPr fontId="3"/>
  </si>
  <si>
    <t>琵琶湖の標高84mを考慮</t>
    <rPh sb="0" eb="3">
      <t>ビワコ</t>
    </rPh>
    <rPh sb="4" eb="6">
      <t>ヒョウコウ</t>
    </rPh>
    <rPh sb="10" eb="12">
      <t>コウリョ</t>
    </rPh>
    <phoneticPr fontId="3"/>
  </si>
  <si>
    <t>主翼コンセプト</t>
    <rPh sb="0" eb="2">
      <t>シュヨク</t>
    </rPh>
    <phoneticPr fontId="3"/>
  </si>
  <si>
    <t>→</t>
    <phoneticPr fontId="3"/>
  </si>
  <si>
    <t>テーパー率</t>
    <rPh sb="4" eb="5">
      <t>リツ</t>
    </rPh>
    <phoneticPr fontId="3"/>
  </si>
  <si>
    <t>垂直尾翼コンセプト</t>
    <rPh sb="0" eb="4">
      <t>スイチョクビヨク</t>
    </rPh>
    <phoneticPr fontId="3"/>
  </si>
  <si>
    <r>
      <t xml:space="preserve">強豪他チームに追いつき、追い越す
</t>
    </r>
    <r>
      <rPr>
        <sz val="12"/>
        <color theme="1"/>
        <rFont val="游ゴシック"/>
        <family val="3"/>
        <charset val="128"/>
      </rPr>
      <t>・容積比0.05と大きめ</t>
    </r>
    <rPh sb="18" eb="20">
      <t>ヨウセキ</t>
    </rPh>
    <rPh sb="20" eb="21">
      <t>ヒ</t>
    </rPh>
    <rPh sb="26" eb="27">
      <t>オオ</t>
    </rPh>
    <phoneticPr fontId="3"/>
  </si>
  <si>
    <t>スパン</t>
    <phoneticPr fontId="3"/>
  </si>
  <si>
    <t>有害抗力係数</t>
    <rPh sb="0" eb="6">
      <t>ユウガイコウリョクケイスウ</t>
    </rPh>
    <phoneticPr fontId="3"/>
  </si>
  <si>
    <t>CD0</t>
    <phoneticPr fontId="3"/>
  </si>
  <si>
    <t>最小沈下率CL</t>
    <rPh sb="0" eb="2">
      <t>サイショウ</t>
    </rPh>
    <rPh sb="2" eb="4">
      <t>チンカ</t>
    </rPh>
    <rPh sb="4" eb="5">
      <t>リツ</t>
    </rPh>
    <phoneticPr fontId="3"/>
  </si>
  <si>
    <t>翼効率</t>
    <rPh sb="0" eb="3">
      <t>ヨクコウリツ</t>
    </rPh>
    <phoneticPr fontId="3"/>
  </si>
  <si>
    <t>Zu=0となるV</t>
    <phoneticPr fontId="3"/>
  </si>
  <si>
    <t>解析条件</t>
    <rPh sb="0" eb="2">
      <t>カイセキ</t>
    </rPh>
    <rPh sb="2" eb="4">
      <t>ジョウケン</t>
    </rPh>
    <phoneticPr fontId="3"/>
  </si>
  <si>
    <t>地面効果</t>
    <rPh sb="0" eb="4">
      <t>ジメンコウカ</t>
    </rPh>
    <phoneticPr fontId="3"/>
  </si>
  <si>
    <t>エスレン2mm</t>
    <phoneticPr fontId="3"/>
  </si>
  <si>
    <t>スタイロ10mm</t>
    <phoneticPr fontId="3"/>
  </si>
  <si>
    <t>下記参照</t>
    <rPh sb="0" eb="2">
      <t>カキ</t>
    </rPh>
    <rPh sb="2" eb="4">
      <t>サンショウ</t>
    </rPh>
    <phoneticPr fontId="3"/>
  </si>
  <si>
    <t>翼根曲げモーメントの制限</t>
    <rPh sb="0" eb="2">
      <t>ヨクコン</t>
    </rPh>
    <rPh sb="2" eb="3">
      <t>マ</t>
    </rPh>
    <rPh sb="10" eb="12">
      <t>セイゲン</t>
    </rPh>
    <phoneticPr fontId="3"/>
  </si>
  <si>
    <t>表面が溶けるため体積密度と異なる</t>
    <rPh sb="0" eb="2">
      <t>ヒョウメン</t>
    </rPh>
    <rPh sb="3" eb="4">
      <t>ト</t>
    </rPh>
    <rPh sb="8" eb="10">
      <t>タイセキ</t>
    </rPh>
    <rPh sb="10" eb="12">
      <t>ミツド</t>
    </rPh>
    <rPh sb="13" eb="14">
      <t>コト</t>
    </rPh>
    <phoneticPr fontId="3"/>
  </si>
  <si>
    <t/>
  </si>
  <si>
    <t>剪断強度</t>
    <rPh sb="0" eb="2">
      <t>センダン</t>
    </rPh>
    <rPh sb="1" eb="2">
      <t>ダン</t>
    </rPh>
    <rPh sb="2" eb="4">
      <t>キョウド</t>
    </rPh>
    <phoneticPr fontId="3"/>
  </si>
  <si>
    <t>LLT</t>
  </si>
  <si>
    <t>TR797</t>
  </si>
  <si>
    <t>"なし"または0~1の値</t>
    <phoneticPr fontId="3"/>
  </si>
  <si>
    <t>dxf</t>
  </si>
  <si>
    <t>svg</t>
  </si>
  <si>
    <t>開始位置</t>
    <rPh sb="0" eb="2">
      <t>カイセィ</t>
    </rPh>
    <rPh sb="2" eb="4">
      <t>イティ</t>
    </rPh>
    <phoneticPr fontId="3"/>
  </si>
  <si>
    <t>0番中心</t>
    <rPh sb="2" eb="4">
      <t>チュウシン</t>
    </rPh>
    <phoneticPr fontId="3"/>
  </si>
  <si>
    <t>0-1</t>
    <phoneticPr fontId="3"/>
  </si>
  <si>
    <t>1-2</t>
    <phoneticPr fontId="3"/>
  </si>
  <si>
    <t>2-3</t>
    <phoneticPr fontId="3"/>
  </si>
  <si>
    <t>強化積層長さ（切り落とし後）</t>
    <rPh sb="0" eb="4">
      <t>キョウカセ</t>
    </rPh>
    <rPh sb="4" eb="5">
      <t>ナガサ</t>
    </rPh>
    <rPh sb="7" eb="8">
      <t>キ</t>
    </rPh>
    <rPh sb="9" eb="10">
      <t>オ</t>
    </rPh>
    <rPh sb="12" eb="13">
      <t>ゴ</t>
    </rPh>
    <phoneticPr fontId="3"/>
  </si>
  <si>
    <t>水平桁</t>
    <rPh sb="2" eb="3">
      <t>ケタ</t>
    </rPh>
    <phoneticPr fontId="3"/>
  </si>
  <si>
    <t>0,90,0</t>
    <phoneticPr fontId="3"/>
  </si>
  <si>
    <t>オビなし厚さ</t>
    <phoneticPr fontId="3"/>
  </si>
  <si>
    <t>オビあり厚さ</t>
    <phoneticPr fontId="3"/>
  </si>
  <si>
    <t>平均曲げ剛性</t>
    <rPh sb="0" eb="2">
      <t>ヘイキン</t>
    </rPh>
    <rPh sb="2" eb="3">
      <t>マ</t>
    </rPh>
    <rPh sb="4" eb="6">
      <t>ゴウセイ</t>
    </rPh>
    <phoneticPr fontId="2"/>
  </si>
  <si>
    <t>平均ねじれ剛性</t>
    <rPh sb="0" eb="2">
      <t>ヘイキン</t>
    </rPh>
    <rPh sb="5" eb="7">
      <t>ゴウセイ</t>
    </rPh>
    <phoneticPr fontId="2"/>
  </si>
  <si>
    <t>N*m^2</t>
  </si>
  <si>
    <t>実測値</t>
    <rPh sb="0" eb="3">
      <t>ジッソクチ</t>
    </rPh>
    <phoneticPr fontId="3"/>
  </si>
  <si>
    <t>太-z軸</t>
    <rPh sb="0" eb="1">
      <t xml:space="preserve">フト </t>
    </rPh>
    <rPh sb="3" eb="4">
      <t>ジク</t>
    </rPh>
    <phoneticPr fontId="2"/>
  </si>
  <si>
    <t>太-x軸</t>
    <rPh sb="0" eb="1">
      <t>フトガ</t>
    </rPh>
    <rPh sb="3" eb="4">
      <t>ジク</t>
    </rPh>
    <phoneticPr fontId="2"/>
  </si>
  <si>
    <t>細-z軸</t>
    <rPh sb="0" eb="1">
      <t>ホソガワ</t>
    </rPh>
    <rPh sb="3" eb="4">
      <t>ジク</t>
    </rPh>
    <phoneticPr fontId="2"/>
  </si>
  <si>
    <t>細-x軸</t>
    <rPh sb="0" eb="1">
      <t xml:space="preserve">ホソ </t>
    </rPh>
    <rPh sb="3" eb="4">
      <t>ジク</t>
    </rPh>
    <phoneticPr fontId="2"/>
  </si>
  <si>
    <t>外径</t>
    <rPh sb="0" eb="2">
      <t>ガイケイ</t>
    </rPh>
    <phoneticPr fontId="3"/>
  </si>
  <si>
    <t>内径</t>
    <rPh sb="0" eb="2">
      <t>ナイケイ</t>
    </rPh>
    <phoneticPr fontId="3"/>
  </si>
  <si>
    <t>プリプレグカット表出力用</t>
    <rPh sb="8" eb="9">
      <t>ヒョウ</t>
    </rPh>
    <rPh sb="9" eb="11">
      <t>シュツリョク</t>
    </rPh>
    <rPh sb="11" eb="12">
      <t>ヨウ</t>
    </rPh>
    <phoneticPr fontId="3"/>
  </si>
  <si>
    <t>焼き上がり寸法</t>
    <rPh sb="0" eb="1">
      <t>ヤキ</t>
    </rPh>
    <rPh sb="5" eb="7">
      <t>スンポウ</t>
    </rPh>
    <phoneticPr fontId="2"/>
  </si>
  <si>
    <t>重量推算</t>
    <rPh sb="0" eb="2">
      <t>ジュウリョウ</t>
    </rPh>
    <rPh sb="2" eb="4">
      <t>スイサン</t>
    </rPh>
    <phoneticPr fontId="3"/>
  </si>
  <si>
    <t>焼き後推算</t>
    <rPh sb="3" eb="5">
      <t>スイサn</t>
    </rPh>
    <phoneticPr fontId="3"/>
  </si>
  <si>
    <t>カット後推算</t>
    <rPh sb="4" eb="6">
      <t>スイサn</t>
    </rPh>
    <phoneticPr fontId="3"/>
  </si>
  <si>
    <t>バブルス後推算</t>
    <rPh sb="4" eb="5">
      <t>ゴ</t>
    </rPh>
    <rPh sb="5" eb="7">
      <t>スイサン</t>
    </rPh>
    <phoneticPr fontId="3"/>
  </si>
  <si>
    <t>マンドレル寸法</t>
    <rPh sb="5" eb="7">
      <t>スンポウ</t>
    </rPh>
    <phoneticPr fontId="3"/>
  </si>
  <si>
    <t>本数</t>
    <rPh sb="0" eb="2">
      <t>ホn</t>
    </rPh>
    <phoneticPr fontId="2"/>
  </si>
  <si>
    <t>1本あたり長さ</t>
    <rPh sb="1" eb="2">
      <t>ポン</t>
    </rPh>
    <rPh sb="5" eb="6">
      <t>ナガサ</t>
    </rPh>
    <phoneticPr fontId="2"/>
  </si>
  <si>
    <t>積層端とのマージン</t>
    <rPh sb="0" eb="2">
      <t>セキソウ</t>
    </rPh>
    <rPh sb="2" eb="3">
      <t xml:space="preserve">ハシ </t>
    </rPh>
    <phoneticPr fontId="2"/>
  </si>
  <si>
    <t>太-x軸</t>
    <rPh sb="3" eb="4">
      <t>ジク</t>
    </rPh>
    <phoneticPr fontId="2"/>
  </si>
  <si>
    <t>細-z軸</t>
    <rPh sb="0" eb="1">
      <t xml:space="preserve">ホソ </t>
    </rPh>
    <rPh sb="3" eb="4">
      <t>ジク</t>
    </rPh>
    <phoneticPr fontId="2"/>
  </si>
  <si>
    <t>最大揚抗比CL</t>
    <rPh sb="0" eb="5">
      <t>サイダイヨウコウヒ</t>
    </rPh>
    <phoneticPr fontId="3"/>
  </si>
  <si>
    <t>沈下率最小速度</t>
    <rPh sb="0" eb="3">
      <t>チンカリツ</t>
    </rPh>
    <rPh sb="3" eb="5">
      <t>サイショウ</t>
    </rPh>
    <rPh sb="5" eb="7">
      <t>ソクド</t>
    </rPh>
    <phoneticPr fontId="3"/>
  </si>
  <si>
    <t>Vc</t>
    <phoneticPr fontId="3"/>
  </si>
  <si>
    <t>重心余裕</t>
    <rPh sb="0" eb="2">
      <t>ジュウシン</t>
    </rPh>
    <rPh sb="2" eb="4">
      <t>ヨユウ</t>
    </rPh>
    <phoneticPr fontId="3"/>
  </si>
  <si>
    <t>揚抗比最大速度</t>
    <rPh sb="0" eb="3">
      <t>ヨウコウヒ</t>
    </rPh>
    <rPh sb="3" eb="5">
      <t>サイダイ</t>
    </rPh>
    <rPh sb="5" eb="7">
      <t>ソクド</t>
    </rPh>
    <phoneticPr fontId="3"/>
  </si>
  <si>
    <t>V_ldmax</t>
    <phoneticPr fontId="3"/>
  </si>
  <si>
    <t>V_sinkmin</t>
    <phoneticPr fontId="3"/>
  </si>
  <si>
    <t>V_dmin</t>
    <phoneticPr fontId="3"/>
  </si>
  <si>
    <t>垂直尾翼抗力</t>
    <rPh sb="0" eb="2">
      <t>スイチョク</t>
    </rPh>
    <rPh sb="2" eb="4">
      <t>ビヨク</t>
    </rPh>
    <rPh sb="4" eb="6">
      <t>コウリョク</t>
    </rPh>
    <phoneticPr fontId="2"/>
  </si>
  <si>
    <t>カウル抗力</t>
    <rPh sb="3" eb="5">
      <t>コウリョク</t>
    </rPh>
    <phoneticPr fontId="3"/>
  </si>
  <si>
    <t>水平誘導抗力</t>
    <rPh sb="0" eb="2">
      <t>スイヘイ</t>
    </rPh>
    <rPh sb="2" eb="4">
      <t>ユウドウ</t>
    </rPh>
    <rPh sb="4" eb="6">
      <t>コウリョク</t>
    </rPh>
    <phoneticPr fontId="2"/>
  </si>
  <si>
    <t>水平有害抗力</t>
    <rPh sb="0" eb="2">
      <t>スイヘイ</t>
    </rPh>
    <rPh sb="2" eb="4">
      <t>ユウガイ</t>
    </rPh>
    <rPh sb="4" eb="6">
      <t>コウリョク</t>
    </rPh>
    <phoneticPr fontId="2"/>
  </si>
  <si>
    <t>水平尾翼揚力</t>
    <rPh sb="0" eb="2">
      <t>スイヘイ</t>
    </rPh>
    <rPh sb="2" eb="4">
      <t>ビヨク</t>
    </rPh>
    <rPh sb="4" eb="6">
      <t>ヨウリョク</t>
    </rPh>
    <phoneticPr fontId="2"/>
  </si>
  <si>
    <t>鉛直揚力</t>
    <rPh sb="0" eb="2">
      <t>エンチョク</t>
    </rPh>
    <rPh sb="2" eb="4">
      <t>ヨウリョク</t>
    </rPh>
    <phoneticPr fontId="3"/>
  </si>
  <si>
    <t>水平横力</t>
    <rPh sb="0" eb="2">
      <t>スイヘイ</t>
    </rPh>
    <rPh sb="2" eb="3">
      <t>ヨコ</t>
    </rPh>
    <rPh sb="3" eb="4">
      <t>リョク</t>
    </rPh>
    <phoneticPr fontId="3"/>
  </si>
  <si>
    <t>設計運動速度（制限荷重倍数となる速度）</t>
    <rPh sb="0" eb="2">
      <t>セッケイ</t>
    </rPh>
    <rPh sb="2" eb="4">
      <t>ウンドウ</t>
    </rPh>
    <rPh sb="4" eb="6">
      <t>ソクド</t>
    </rPh>
    <rPh sb="7" eb="11">
      <t>セイゲンカジュ</t>
    </rPh>
    <rPh sb="11" eb="13">
      <t>バイスウ</t>
    </rPh>
    <rPh sb="16" eb="18">
      <t>ソクド</t>
    </rPh>
    <phoneticPr fontId="3"/>
  </si>
  <si>
    <t>全備重量</t>
    <rPh sb="0" eb="4">
      <t>ゼンビ</t>
    </rPh>
    <phoneticPr fontId="3"/>
  </si>
  <si>
    <t>機体重量</t>
    <rPh sb="0" eb="2">
      <t>キタイ</t>
    </rPh>
    <rPh sb="2" eb="4">
      <t>ゼンビ</t>
    </rPh>
    <phoneticPr fontId="3"/>
  </si>
  <si>
    <t>全機CL</t>
    <rPh sb="0" eb="2">
      <t>ゼンキ</t>
    </rPh>
    <phoneticPr fontId="3"/>
  </si>
  <si>
    <t>主翼面積</t>
    <rPh sb="0" eb="4">
      <t>シュヨク</t>
    </rPh>
    <phoneticPr fontId="3"/>
  </si>
  <si>
    <t>設計コンセプト・概念設計</t>
    <rPh sb="0" eb="2">
      <t>セッケイ</t>
    </rPh>
    <rPh sb="8" eb="12">
      <t>ガイネn</t>
    </rPh>
    <phoneticPr fontId="3"/>
  </si>
  <si>
    <t>Wempty</t>
    <phoneticPr fontId="3"/>
  </si>
  <si>
    <t>Wgross</t>
    <phoneticPr fontId="3"/>
  </si>
  <si>
    <t>設計急降下速度（Zu=0: 引き起こし不可能となる速度）</t>
    <rPh sb="0" eb="2">
      <t>セッケイ</t>
    </rPh>
    <rPh sb="2" eb="5">
      <t>キュウコウカ</t>
    </rPh>
    <rPh sb="5" eb="7">
      <t>ソクド</t>
    </rPh>
    <rPh sb="14" eb="15">
      <t>ヒキオコセィ</t>
    </rPh>
    <rPh sb="19" eb="22">
      <t>フカ</t>
    </rPh>
    <rPh sb="25" eb="27">
      <t>ソクド</t>
    </rPh>
    <phoneticPr fontId="3"/>
  </si>
  <si>
    <t>初期位置エネルギー</t>
    <rPh sb="0" eb="2">
      <t>ショキ</t>
    </rPh>
    <rPh sb="2" eb="4">
      <t>イティ</t>
    </rPh>
    <phoneticPr fontId="3"/>
  </si>
  <si>
    <t>初期運動エネルギー</t>
    <rPh sb="0" eb="1">
      <t>ショキ</t>
    </rPh>
    <rPh sb="2" eb="4">
      <t>ウンドウ</t>
    </rPh>
    <phoneticPr fontId="3"/>
  </si>
  <si>
    <t>着水時位置エネルギー</t>
    <rPh sb="0" eb="3">
      <t>チャクスイ</t>
    </rPh>
    <rPh sb="3" eb="5">
      <t>イティ</t>
    </rPh>
    <phoneticPr fontId="3"/>
  </si>
  <si>
    <t>着水時運動エネルギー</t>
    <rPh sb="0" eb="1">
      <t>チャクスイ</t>
    </rPh>
    <rPh sb="3" eb="5">
      <t>ウンドウ</t>
    </rPh>
    <phoneticPr fontId="3"/>
  </si>
  <si>
    <t>利用可能エネルギー</t>
    <rPh sb="0" eb="4">
      <t>リヨウ</t>
    </rPh>
    <phoneticPr fontId="3"/>
  </si>
  <si>
    <t>たわみエネルギー</t>
    <phoneticPr fontId="3"/>
  </si>
  <si>
    <t>L_ver</t>
    <phoneticPr fontId="3"/>
  </si>
  <si>
    <t>L_hor</t>
    <phoneticPr fontId="3"/>
  </si>
  <si>
    <t>評価関数：パワーの積分=利用可能エネルギー</t>
    <rPh sb="0" eb="4">
      <t>ヒョウ</t>
    </rPh>
    <rPh sb="9" eb="11">
      <t>セキブn</t>
    </rPh>
    <rPh sb="12" eb="16">
      <t>リヨウ</t>
    </rPh>
    <phoneticPr fontId="3"/>
  </si>
  <si>
    <t>入力：（初期条件＋エレベーター、重心移動 の入力履歴）→速度、高度の情報→現時点におけるパワー：準静的を仮定（常に力の釣り合いを保ちながら運動＝加速度なし）</t>
    <rPh sb="0" eb="2">
      <t>ニュウリョク</t>
    </rPh>
    <rPh sb="4" eb="6">
      <t>ショキ</t>
    </rPh>
    <rPh sb="6" eb="8">
      <t xml:space="preserve">ジョウケン </t>
    </rPh>
    <rPh sb="16" eb="20">
      <t>ジュウシンイドウ</t>
    </rPh>
    <rPh sb="22" eb="24">
      <t>ニュウリョク</t>
    </rPh>
    <rPh sb="24" eb="26">
      <t>リレキ</t>
    </rPh>
    <rPh sb="28" eb="30">
      <t>ソクド</t>
    </rPh>
    <rPh sb="31" eb="33">
      <t xml:space="preserve">コウド </t>
    </rPh>
    <rPh sb="34" eb="36">
      <t>ジョウホウ</t>
    </rPh>
    <rPh sb="37" eb="40">
      <t>ゲンジテn</t>
    </rPh>
    <rPh sb="48" eb="51">
      <t>ジュn</t>
    </rPh>
    <rPh sb="52" eb="54">
      <t>カテイ</t>
    </rPh>
    <rPh sb="55" eb="56">
      <t>ツネ</t>
    </rPh>
    <rPh sb="57" eb="58">
      <t>チカラ</t>
    </rPh>
    <rPh sb="59" eb="60">
      <t>ツリアイ</t>
    </rPh>
    <rPh sb="64" eb="65">
      <t>タモティ</t>
    </rPh>
    <rPh sb="69" eb="71">
      <t>ウンドウ</t>
    </rPh>
    <rPh sb="72" eb="75">
      <t>カソク</t>
    </rPh>
    <phoneticPr fontId="3"/>
  </si>
  <si>
    <t>テイクオフ</t>
    <phoneticPr fontId="3"/>
  </si>
  <si>
    <t>プラホからの角度</t>
    <rPh sb="6" eb="8">
      <t>カクド</t>
    </rPh>
    <phoneticPr fontId="3"/>
  </si>
  <si>
    <t>静安定・動安定</t>
    <rPh sb="0" eb="1">
      <t>セイ</t>
    </rPh>
    <rPh sb="1" eb="3">
      <t>アンテイ</t>
    </rPh>
    <rPh sb="4" eb="7">
      <t>ドウアンテイ</t>
    </rPh>
    <phoneticPr fontId="1"/>
  </si>
  <si>
    <t>翼揚抗比</t>
    <rPh sb="0" eb="4">
      <t>ヨクヨウ</t>
    </rPh>
    <phoneticPr fontId="3"/>
  </si>
  <si>
    <t>全機揚抗比</t>
    <rPh sb="0" eb="5">
      <t>ゼンキ</t>
    </rPh>
    <phoneticPr fontId="3"/>
  </si>
  <si>
    <t>全機揚力係数</t>
    <rPh sb="0" eb="1">
      <t>ゼンキ</t>
    </rPh>
    <rPh sb="2" eb="4">
      <t>ヨウリョク</t>
    </rPh>
    <rPh sb="4" eb="6">
      <t>ケイ</t>
    </rPh>
    <phoneticPr fontId="3"/>
  </si>
  <si>
    <t>総パイロット重量</t>
    <rPh sb="0" eb="1">
      <t xml:space="preserve">ソウ </t>
    </rPh>
    <phoneticPr fontId="3"/>
  </si>
  <si>
    <t>パイロット重量</t>
    <rPh sb="5" eb="7">
      <t>ジュウリョウ</t>
    </rPh>
    <phoneticPr fontId="3"/>
  </si>
  <si>
    <t>機体空虚重量</t>
    <rPh sb="0" eb="2">
      <t>キタイ</t>
    </rPh>
    <rPh sb="2" eb="4">
      <t>クウキョ</t>
    </rPh>
    <rPh sb="4" eb="6">
      <t>ジュウリョウ</t>
    </rPh>
    <phoneticPr fontId="3"/>
  </si>
  <si>
    <t>バラスト重量</t>
    <rPh sb="4" eb="6">
      <t>ジュウリョウ</t>
    </rPh>
    <phoneticPr fontId="3"/>
  </si>
  <si>
    <t>Wballast</t>
    <phoneticPr fontId="3"/>
  </si>
  <si>
    <t>エレベータ舵角</t>
    <rPh sb="5" eb="6">
      <t>ダカ</t>
    </rPh>
    <phoneticPr fontId="3"/>
  </si>
  <si>
    <t>重心移動量</t>
    <rPh sb="0" eb="2">
      <t>ジュウシン</t>
    </rPh>
    <rPh sb="2" eb="5">
      <t>イドウ</t>
    </rPh>
    <phoneticPr fontId="3"/>
  </si>
  <si>
    <t>全機迎角</t>
    <phoneticPr fontId="3"/>
  </si>
  <si>
    <t>沈下率</t>
    <rPh sb="0" eb="3">
      <t>チンカ</t>
    </rPh>
    <phoneticPr fontId="3"/>
  </si>
  <si>
    <t>翼端たわみ</t>
    <rPh sb="0" eb="1">
      <t>ヨクタn</t>
    </rPh>
    <phoneticPr fontId="3"/>
  </si>
  <si>
    <t>翼端ねじれ</t>
    <rPh sb="0" eb="1">
      <t>ヨクタn</t>
    </rPh>
    <phoneticPr fontId="3"/>
  </si>
  <si>
    <t>重量・重心・慣性モーメント</t>
    <rPh sb="0" eb="2">
      <t>ジュウリョウ</t>
    </rPh>
    <phoneticPr fontId="3"/>
  </si>
  <si>
    <t>投影翼面積</t>
    <rPh sb="0" eb="2">
      <t>トウエイ</t>
    </rPh>
    <rPh sb="2" eb="3">
      <t>ヨク</t>
    </rPh>
    <rPh sb="3" eb="5">
      <t>メンセキ</t>
    </rPh>
    <phoneticPr fontId="3"/>
  </si>
  <si>
    <t>投影翼幅</t>
    <rPh sb="0" eb="2">
      <t>トウエイ</t>
    </rPh>
    <rPh sb="2" eb="3">
      <t>ヨク</t>
    </rPh>
    <rPh sb="3" eb="4">
      <t>ハバ</t>
    </rPh>
    <phoneticPr fontId="3"/>
  </si>
  <si>
    <t>全機cg-垂直ac間距離</t>
    <rPh sb="0" eb="2">
      <t>ゼンキ</t>
    </rPh>
    <rPh sb="5" eb="7">
      <t>スイチョク</t>
    </rPh>
    <rPh sb="9" eb="10">
      <t>カン</t>
    </rPh>
    <rPh sb="10" eb="12">
      <t>キョリ</t>
    </rPh>
    <phoneticPr fontId="2"/>
  </si>
  <si>
    <t>高さ</t>
    <rPh sb="0" eb="1">
      <t>タカサ</t>
    </rPh>
    <phoneticPr fontId="3"/>
  </si>
  <si>
    <t>角度</t>
    <rPh sb="0" eb="2">
      <t>カクド</t>
    </rPh>
    <phoneticPr fontId="3"/>
  </si>
  <si>
    <t>短縮</t>
    <rPh sb="0" eb="2">
      <t>タンシュク</t>
    </rPh>
    <phoneticPr fontId="3"/>
  </si>
  <si>
    <t>全幅</t>
    <rPh sb="0" eb="2">
      <t>ゼンプク</t>
    </rPh>
    <phoneticPr fontId="3"/>
  </si>
  <si>
    <t>三面図</t>
    <rPh sb="0" eb="3">
      <t>サンメn</t>
    </rPh>
    <phoneticPr fontId="3"/>
  </si>
  <si>
    <t>全機重心</t>
    <rPh sb="0" eb="2">
      <t>ゼンキ</t>
    </rPh>
    <rPh sb="2" eb="4">
      <t>ジュウシンイチ</t>
    </rPh>
    <phoneticPr fontId="3"/>
  </si>
  <si>
    <t>推算誤差</t>
    <rPh sb="0" eb="2">
      <t>スイサn</t>
    </rPh>
    <rPh sb="2" eb="4">
      <t xml:space="preserve">ゴサ </t>
    </rPh>
    <phoneticPr fontId="3"/>
  </si>
  <si>
    <t>各班内訳</t>
    <rPh sb="0" eb="2">
      <t>カクハn</t>
    </rPh>
    <rPh sb="2" eb="4">
      <t>ウチワケ</t>
    </rPh>
    <phoneticPr fontId="3"/>
  </si>
  <si>
    <t>桁番号</t>
    <rPh sb="0" eb="1">
      <t>ケタ</t>
    </rPh>
    <rPh sb="1" eb="3">
      <t>バンゴウ</t>
    </rPh>
    <phoneticPr fontId="3"/>
  </si>
  <si>
    <t>翼端たわみ</t>
    <rPh sb="0" eb="2">
      <t>ヨクタn</t>
    </rPh>
    <phoneticPr fontId="3"/>
  </si>
  <si>
    <t>翼端ねじれ</t>
    <rPh sb="0" eb="2">
      <t>ヨクタn</t>
    </rPh>
    <phoneticPr fontId="3"/>
  </si>
  <si>
    <t>翼根曲げモーメント制限</t>
    <rPh sb="0" eb="1">
      <t>ヨクコn</t>
    </rPh>
    <rPh sb="2" eb="3">
      <t>マゲモ-</t>
    </rPh>
    <rPh sb="9" eb="11">
      <t>セイゲn</t>
    </rPh>
    <phoneticPr fontId="3"/>
  </si>
  <si>
    <t>端リブ</t>
  </si>
  <si>
    <t>ハーフリブ</t>
    <phoneticPr fontId="3"/>
  </si>
  <si>
    <t>full</t>
  </si>
  <si>
    <t>half</t>
  </si>
  <si>
    <t>full</t>
    <phoneticPr fontId="3"/>
  </si>
  <si>
    <t>設計長さ</t>
    <rPh sb="0" eb="2">
      <t>セッケイ</t>
    </rPh>
    <rPh sb="2" eb="3">
      <t>ナガ</t>
    </rPh>
    <phoneticPr fontId="2"/>
  </si>
  <si>
    <t>設計質量</t>
    <rPh sb="0" eb="2">
      <t>セッケイ</t>
    </rPh>
    <rPh sb="2" eb="4">
      <t>シツリョウ</t>
    </rPh>
    <phoneticPr fontId="2"/>
  </si>
  <si>
    <t>片側桁切り落とし量</t>
    <rPh sb="0" eb="2">
      <t>カタガワ</t>
    </rPh>
    <rPh sb="2" eb="3">
      <t>ケタ</t>
    </rPh>
    <rPh sb="3" eb="4">
      <t>キリオトセィ</t>
    </rPh>
    <phoneticPr fontId="2"/>
  </si>
  <si>
    <t>コメント</t>
    <phoneticPr fontId="3"/>
  </si>
  <si>
    <t>切片</t>
    <rPh sb="0" eb="2">
      <t>セッペn</t>
    </rPh>
    <phoneticPr fontId="3"/>
  </si>
  <si>
    <t>傾き</t>
    <rPh sb="0" eb="1">
      <t>カタムキ</t>
    </rPh>
    <phoneticPr fontId="3"/>
  </si>
  <si>
    <t>桁縦径傾き</t>
    <rPh sb="3" eb="4">
      <t>カタムキ</t>
    </rPh>
    <phoneticPr fontId="3"/>
  </si>
  <si>
    <t>桁横径傾き</t>
    <rPh sb="3" eb="4">
      <t>カタムキ</t>
    </rPh>
    <phoneticPr fontId="3"/>
  </si>
  <si>
    <t>安定板解析</t>
    <rPh sb="3" eb="5">
      <t>カイセキ</t>
    </rPh>
    <phoneticPr fontId="3"/>
  </si>
  <si>
    <t>ballast</t>
    <phoneticPr fontId="3"/>
  </si>
  <si>
    <t>揚力</t>
    <rPh sb="0" eb="2">
      <t>ヨウリョク</t>
    </rPh>
    <phoneticPr fontId="3"/>
  </si>
  <si>
    <t>抗力</t>
    <rPh sb="0" eb="2">
      <t>コウリョク</t>
    </rPh>
    <phoneticPr fontId="3"/>
  </si>
  <si>
    <t>モーメント</t>
    <phoneticPr fontId="3"/>
  </si>
  <si>
    <t>胴体桁抗力</t>
    <rPh sb="0" eb="2">
      <t>ドウタイ</t>
    </rPh>
    <rPh sb="2" eb="3">
      <t>ケタ</t>
    </rPh>
    <rPh sb="3" eb="5">
      <t>コウリョク</t>
    </rPh>
    <phoneticPr fontId="2"/>
  </si>
  <si>
    <t>D_bodyspar</t>
    <phoneticPr fontId="3"/>
  </si>
  <si>
    <t>全機空力係数</t>
    <rPh sb="0" eb="2">
      <t>ゼンキ</t>
    </rPh>
    <rPh sb="2" eb="6">
      <t>クウリキケイスウ</t>
    </rPh>
    <phoneticPr fontId="3"/>
  </si>
  <si>
    <t>全機揚力係数</t>
    <phoneticPr fontId="2"/>
  </si>
  <si>
    <t>2/deg</t>
  </si>
  <si>
    <t>全機抗力係数</t>
    <rPh sb="2" eb="4">
      <t>コウリョク</t>
    </rPh>
    <phoneticPr fontId="2"/>
  </si>
  <si>
    <t>全機揚力傾斜</t>
    <rPh sb="0" eb="2">
      <t>ゼンキ</t>
    </rPh>
    <rPh sb="2" eb="4">
      <t>ヨウリョク</t>
    </rPh>
    <rPh sb="4" eb="6">
      <t>ケイシャ</t>
    </rPh>
    <phoneticPr fontId="2"/>
  </si>
  <si>
    <t>u</t>
    <phoneticPr fontId="3"/>
  </si>
  <si>
    <t>gust</t>
    <phoneticPr fontId="3"/>
  </si>
  <si>
    <t>安定微係数</t>
    <rPh sb="0" eb="2">
      <t>アンテイ</t>
    </rPh>
    <rPh sb="2" eb="5">
      <t>ビケイスウ</t>
    </rPh>
    <phoneticPr fontId="3"/>
  </si>
  <si>
    <t>座屈とか</t>
    <rPh sb="0" eb="2">
      <t>ザクツ</t>
    </rPh>
    <phoneticPr fontId="3"/>
  </si>
  <si>
    <t>最大ねじれトルク</t>
    <rPh sb="0" eb="2">
      <t>サイダイ</t>
    </rPh>
    <phoneticPr fontId="3"/>
  </si>
  <si>
    <t>ウィングレット</t>
  </si>
  <si>
    <t>平均レイノルズ数</t>
    <rPh sb="0" eb="2">
      <t>ヘイキン</t>
    </rPh>
    <rPh sb="7" eb="8">
      <t>スウ</t>
    </rPh>
    <phoneticPr fontId="3"/>
  </si>
  <si>
    <t>翼厚余裕</t>
    <rPh sb="0" eb="2">
      <t>ヨクアツ</t>
    </rPh>
    <rPh sb="2" eb="4">
      <t>ヨユウ</t>
    </rPh>
    <phoneticPr fontId="3"/>
  </si>
  <si>
    <t>全機諸元</t>
    <rPh sb="0" eb="4">
      <t>ゼンキショゲン</t>
    </rPh>
    <phoneticPr fontId="3"/>
  </si>
  <si>
    <t>運動解析</t>
    <rPh sb="0" eb="4">
      <t>ウンドウカイセキ</t>
    </rPh>
    <phoneticPr fontId="3"/>
  </si>
  <si>
    <t>水平尾翼</t>
    <rPh sb="0" eb="4">
      <t>スイヘイビヨク</t>
    </rPh>
    <phoneticPr fontId="3"/>
  </si>
  <si>
    <t>垂直尾翼</t>
    <rPh sb="0" eb="4">
      <t>スイチョクビヨク</t>
    </rPh>
    <phoneticPr fontId="3"/>
  </si>
  <si>
    <t>主桁</t>
    <rPh sb="0" eb="2">
      <t>シュケタ</t>
    </rPh>
    <phoneticPr fontId="3"/>
  </si>
  <si>
    <t>胴接桁</t>
    <rPh sb="0" eb="2">
      <t>ドウセツ</t>
    </rPh>
    <rPh sb="2" eb="3">
      <t>ケタ</t>
    </rPh>
    <phoneticPr fontId="3"/>
  </si>
  <si>
    <t>積層構成</t>
    <rPh sb="0" eb="4">
      <t>セキソウコウセイ</t>
    </rPh>
    <phoneticPr fontId="3"/>
  </si>
  <si>
    <t>翼型</t>
    <rPh sb="0" eb="2">
      <t>ヨクガタ</t>
    </rPh>
    <phoneticPr fontId="3"/>
  </si>
  <si>
    <t>パラメータ</t>
    <phoneticPr fontId="3"/>
  </si>
  <si>
    <t>歴代主要諸元</t>
    <rPh sb="0" eb="6">
      <t>レキダイシュヨウショゲン</t>
    </rPh>
    <phoneticPr fontId="3"/>
  </si>
  <si>
    <t>始点位置</t>
    <rPh sb="0" eb="4">
      <t>シテンイチ</t>
    </rPh>
    <phoneticPr fontId="2"/>
  </si>
  <si>
    <t>終点位置</t>
    <rPh sb="0" eb="4">
      <t>シュウテンイチ</t>
    </rPh>
    <phoneticPr fontId="2"/>
  </si>
  <si>
    <t>最大曲げモーメント</t>
    <rPh sb="0" eb="2">
      <t>サイダイ</t>
    </rPh>
    <rPh sb="2" eb="3">
      <t>マ</t>
    </rPh>
    <phoneticPr fontId="3"/>
  </si>
  <si>
    <t>QX-24</t>
    <phoneticPr fontId="3"/>
  </si>
  <si>
    <t>影島航一郎</t>
    <rPh sb="0" eb="2">
      <t>カゲシマ</t>
    </rPh>
    <rPh sb="2" eb="5">
      <t>コウイチロウ</t>
    </rPh>
    <phoneticPr fontId="3"/>
  </si>
  <si>
    <t>（空力）白波瀬莉子/（構造）影島航一郎/（全体）森隼人</t>
    <rPh sb="1" eb="3">
      <t>クウリキ</t>
    </rPh>
    <rPh sb="4" eb="9">
      <t>シラハセリコ</t>
    </rPh>
    <rPh sb="11" eb="13">
      <t>コウゾウ</t>
    </rPh>
    <rPh sb="14" eb="19">
      <t>カゲシマコウイチロウ</t>
    </rPh>
    <phoneticPr fontId="3"/>
  </si>
  <si>
    <t>鈴木佑輔</t>
    <rPh sb="0" eb="2">
      <t>スズキ</t>
    </rPh>
    <rPh sb="2" eb="4">
      <t>ユウスケ</t>
    </rPh>
    <phoneticPr fontId="3"/>
  </si>
  <si>
    <t>コロナウイルス</t>
    <phoneticPr fontId="3"/>
  </si>
  <si>
    <t>エレベーター</t>
    <phoneticPr fontId="3"/>
  </si>
  <si>
    <t>操舵可能性</t>
    <rPh sb="0" eb="2">
      <t>ソウダ</t>
    </rPh>
    <rPh sb="2" eb="4">
      <t>カノウ</t>
    </rPh>
    <rPh sb="4" eb="5">
      <t>セイ</t>
    </rPh>
    <phoneticPr fontId="3"/>
  </si>
  <si>
    <t>全機空力グラフ</t>
  </si>
  <si>
    <t>シート</t>
    <phoneticPr fontId="3"/>
  </si>
  <si>
    <t>使い方</t>
    <rPh sb="0" eb="1">
      <t>ツカ</t>
    </rPh>
    <rPh sb="2" eb="3">
      <t>カタ</t>
    </rPh>
    <phoneticPr fontId="3"/>
  </si>
  <si>
    <t>重心移動距離</t>
    <rPh sb="0" eb="2">
      <t>ジュウシン</t>
    </rPh>
    <rPh sb="2" eb="4">
      <t>イドウ</t>
    </rPh>
    <rPh sb="4" eb="6">
      <t>キョリ</t>
    </rPh>
    <phoneticPr fontId="3"/>
  </si>
  <si>
    <t>エレベータ舵角</t>
    <rPh sb="5" eb="7">
      <t>ダカク</t>
    </rPh>
    <phoneticPr fontId="3"/>
  </si>
  <si>
    <t>失速判定</t>
    <rPh sb="0" eb="4">
      <t>シッソクハンテイ</t>
    </rPh>
    <phoneticPr fontId="3"/>
  </si>
  <si>
    <t>破壊判定</t>
    <rPh sb="0" eb="2">
      <t>ハカイ</t>
    </rPh>
    <rPh sb="2" eb="4">
      <t>ハンテイ</t>
    </rPh>
    <phoneticPr fontId="3"/>
  </si>
  <si>
    <t>CLEAR!</t>
    <phoneticPr fontId="3"/>
  </si>
  <si>
    <t>全機揚力係数</t>
    <rPh sb="0" eb="2">
      <t>ゼンキ</t>
    </rPh>
    <rPh sb="2" eb="6">
      <t>ヨウリョクケイスウ</t>
    </rPh>
    <phoneticPr fontId="3"/>
  </si>
  <si>
    <t>全機抗力係数</t>
    <rPh sb="0" eb="2">
      <t>ゼンキ</t>
    </rPh>
    <rPh sb="2" eb="6">
      <t>コウリョクケイスウ</t>
    </rPh>
    <phoneticPr fontId="3"/>
  </si>
  <si>
    <t>誘導抗力係数</t>
    <rPh sb="0" eb="6">
      <t>ユウドウコウリョクケイスウ</t>
    </rPh>
    <phoneticPr fontId="3"/>
  </si>
  <si>
    <t>有効迎角（ねじれ＆吹きおろしを考慮）</t>
    <rPh sb="0" eb="2">
      <t>ユウコウ</t>
    </rPh>
    <rPh sb="2" eb="4">
      <t>ゲイカク</t>
    </rPh>
    <rPh sb="9" eb="10">
      <t>フ</t>
    </rPh>
    <rPh sb="15" eb="17">
      <t>コウリョ</t>
    </rPh>
    <phoneticPr fontId="2"/>
  </si>
  <si>
    <t>5th</t>
  </si>
  <si>
    <t>改造したい人へ</t>
    <rPh sb="0" eb="2">
      <t>カイゾウ</t>
    </rPh>
    <rPh sb="5" eb="6">
      <t>ヒト</t>
    </rPh>
    <phoneticPr fontId="3"/>
  </si>
  <si>
    <t>3面図用座標</t>
    <rPh sb="1" eb="3">
      <t>メンズ</t>
    </rPh>
    <rPh sb="3" eb="4">
      <t>ヨウ</t>
    </rPh>
    <rPh sb="4" eb="6">
      <t>ザヒョウ</t>
    </rPh>
    <phoneticPr fontId="3"/>
  </si>
  <si>
    <t>横桁始点</t>
    <rPh sb="0" eb="2">
      <t>ヨコケタ</t>
    </rPh>
    <rPh sb="2" eb="4">
      <t>シテン</t>
    </rPh>
    <phoneticPr fontId="3"/>
  </si>
  <si>
    <t>横桁終点</t>
    <rPh sb="0" eb="2">
      <t>ヨコケタ</t>
    </rPh>
    <rPh sb="2" eb="4">
      <t>シュウテン</t>
    </rPh>
    <phoneticPr fontId="3"/>
  </si>
  <si>
    <t>テールバー始点</t>
    <rPh sb="5" eb="7">
      <t>シテン</t>
    </rPh>
    <phoneticPr fontId="3"/>
  </si>
  <si>
    <t>テールバー終点</t>
    <rPh sb="5" eb="7">
      <t>シュウテン</t>
    </rPh>
    <phoneticPr fontId="3"/>
  </si>
  <si>
    <t>suiheiketa</t>
    <phoneticPr fontId="3"/>
  </si>
  <si>
    <t>anteiban終了</t>
    <rPh sb="8" eb="10">
      <t>シュウリョウ</t>
    </rPh>
    <phoneticPr fontId="3"/>
  </si>
  <si>
    <t>QX0024</t>
  </si>
  <si>
    <t>QX0024</t>
    <phoneticPr fontId="3"/>
  </si>
  <si>
    <t>QX0124</t>
    <phoneticPr fontId="3"/>
  </si>
  <si>
    <t>カーボンチップ</t>
    <phoneticPr fontId="3"/>
  </si>
  <si>
    <t>前縁側</t>
    <rPh sb="0" eb="3">
      <t>ゼンエンガワ</t>
    </rPh>
    <phoneticPr fontId="3"/>
  </si>
  <si>
    <t>後縁側</t>
    <rPh sb="0" eb="3">
      <t>コウエンガワ</t>
    </rPh>
    <phoneticPr fontId="3"/>
  </si>
  <si>
    <t>エネルギー・パワー</t>
    <phoneticPr fontId="3"/>
  </si>
  <si>
    <t>↑パイロット重心位置（桁中心に全機重心が来るよう自動計算）</t>
    <rPh sb="6" eb="10">
      <t>ジュウシn</t>
    </rPh>
    <rPh sb="11" eb="14">
      <t>ケタチュウシン</t>
    </rPh>
    <rPh sb="15" eb="17">
      <t>ゼンキ</t>
    </rPh>
    <rPh sb="17" eb="19">
      <t>ジュウシン</t>
    </rPh>
    <rPh sb="20" eb="21">
      <t>ク</t>
    </rPh>
    <rPh sb="24" eb="28">
      <t>ジドウケイサン</t>
    </rPh>
    <phoneticPr fontId="3"/>
  </si>
  <si>
    <t>実測値は必ずこのシートに記入すること。</t>
    <rPh sb="0" eb="3">
      <t>ジッソクチ</t>
    </rPh>
    <rPh sb="4" eb="5">
      <t>カナラ</t>
    </rPh>
    <rPh sb="12" eb="14">
      <t>キニュウ</t>
    </rPh>
    <phoneticPr fontId="3"/>
  </si>
  <si>
    <t>設計の流れ</t>
    <phoneticPr fontId="3"/>
  </si>
  <si>
    <t>ルール</t>
    <phoneticPr fontId="3"/>
  </si>
  <si>
    <t>初期推算</t>
    <rPh sb="0" eb="4">
      <t>ショキスイサン</t>
    </rPh>
    <phoneticPr fontId="3"/>
  </si>
  <si>
    <t>機体名</t>
    <rPh sb="0" eb="3">
      <t>キタイメイ</t>
    </rPh>
    <phoneticPr fontId="3"/>
  </si>
  <si>
    <t>チームカラー</t>
    <phoneticPr fontId="3"/>
  </si>
  <si>
    <t>QX-23 Eclipse</t>
    <phoneticPr fontId="3"/>
  </si>
  <si>
    <t>臙脂色</t>
    <rPh sb="0" eb="2">
      <t>エンジ</t>
    </rPh>
    <rPh sb="2" eb="3">
      <t>イロ</t>
    </rPh>
    <phoneticPr fontId="3"/>
  </si>
  <si>
    <t>全高（脚含む）</t>
    <rPh sb="0" eb="2">
      <t>ゼンコウ</t>
    </rPh>
    <rPh sb="3" eb="4">
      <t>アシ</t>
    </rPh>
    <rPh sb="4" eb="5">
      <t>フク</t>
    </rPh>
    <phoneticPr fontId="3"/>
  </si>
  <si>
    <t>余剰揚力</t>
    <rPh sb="0" eb="2">
      <t>ヨジョウ</t>
    </rPh>
    <rPh sb="2" eb="4">
      <t>ヨウリョク</t>
    </rPh>
    <phoneticPr fontId="3"/>
  </si>
  <si>
    <t>全機ピッチングM</t>
    <rPh sb="0" eb="2">
      <t>ゼンキ</t>
    </rPh>
    <phoneticPr fontId="3"/>
  </si>
  <si>
    <t>簡易空力計算ツール</t>
    <rPh sb="0" eb="2">
      <t>カンイ</t>
    </rPh>
    <rPh sb="2" eb="4">
      <t>クウリキ</t>
    </rPh>
    <rPh sb="4" eb="6">
      <t>ケイサn</t>
    </rPh>
    <phoneticPr fontId="3"/>
  </si>
  <si>
    <t>失速</t>
    <rPh sb="0" eb="2">
      <t>シッソク</t>
    </rPh>
    <phoneticPr fontId="3"/>
  </si>
  <si>
    <t>Zu=0</t>
    <phoneticPr fontId="3"/>
  </si>
  <si>
    <t>強度限界</t>
    <rPh sb="0" eb="4">
      <t>キョウドゲンカイ</t>
    </rPh>
    <phoneticPr fontId="3"/>
  </si>
  <si>
    <t>全ての翼区間で有効迎角が翼型の失速角以下全ての翼区間で桁の安全率が1以上</t>
    <phoneticPr fontId="3"/>
  </si>
  <si>
    <t>バラスト</t>
    <phoneticPr fontId="3"/>
  </si>
  <si>
    <t>エレベーター</t>
  </si>
  <si>
    <t>巡航時出力</t>
    <rPh sb="0" eb="3">
      <t>ジュンコウジ</t>
    </rPh>
    <rPh sb="3" eb="5">
      <t>シュツリョク</t>
    </rPh>
    <phoneticPr fontId="3"/>
  </si>
  <si>
    <t>出力</t>
    <rPh sb="0" eb="2">
      <t>シュツリョク</t>
    </rPh>
    <phoneticPr fontId="3"/>
  </si>
  <si>
    <t>主翼面積（変形前）</t>
    <rPh sb="0" eb="4">
      <t>シュヨクメンセキ</t>
    </rPh>
    <rPh sb="5" eb="8">
      <t>ヘンケイマエ</t>
    </rPh>
    <phoneticPr fontId="3"/>
  </si>
  <si>
    <t>※出力前に巡航状態で条件付き解析しておくこと</t>
    <rPh sb="1" eb="4">
      <t>シュツリョクマエ</t>
    </rPh>
    <rPh sb="5" eb="7">
      <t>ジュンコウ</t>
    </rPh>
    <rPh sb="7" eb="9">
      <t>ジョウタイ</t>
    </rPh>
    <rPh sb="10" eb="12">
      <t>ジョウケン</t>
    </rPh>
    <rPh sb="12" eb="13">
      <t>ツ</t>
    </rPh>
    <rPh sb="14" eb="16">
      <t>カイセキ</t>
    </rPh>
    <phoneticPr fontId="3"/>
  </si>
  <si>
    <t>主翼桁位置</t>
    <rPh sb="0" eb="2">
      <t>シュヨク</t>
    </rPh>
    <rPh sb="2" eb="3">
      <t>ケタ</t>
    </rPh>
    <rPh sb="3" eb="5">
      <t>イチ</t>
    </rPh>
    <phoneticPr fontId="3"/>
  </si>
  <si>
    <t>%MAC</t>
    <phoneticPr fontId="3"/>
  </si>
  <si>
    <t>翼根取り付け角</t>
    <rPh sb="0" eb="2">
      <t>ヨクコン</t>
    </rPh>
    <rPh sb="2" eb="3">
      <t>ト</t>
    </rPh>
    <rPh sb="4" eb="5">
      <t>ツ</t>
    </rPh>
    <rPh sb="6" eb="7">
      <t>カク</t>
    </rPh>
    <phoneticPr fontId="3"/>
  </si>
  <si>
    <t>ねじり下げ</t>
    <rPh sb="3" eb="4">
      <t>サ</t>
    </rPh>
    <phoneticPr fontId="3"/>
  </si>
  <si>
    <t>主翼桁-尾翼桁距離</t>
    <rPh sb="0" eb="2">
      <t>シュヨク</t>
    </rPh>
    <rPh sb="2" eb="3">
      <t>ケタ</t>
    </rPh>
    <rPh sb="4" eb="6">
      <t>ビヨク</t>
    </rPh>
    <rPh sb="6" eb="7">
      <t>ケタ</t>
    </rPh>
    <rPh sb="7" eb="9">
      <t>キョリ</t>
    </rPh>
    <phoneticPr fontId="3"/>
  </si>
  <si>
    <t>全組で実際に測るものを一つのアイテムとする</t>
    <rPh sb="0" eb="2">
      <t>ゼングミ</t>
    </rPh>
    <rPh sb="3" eb="5">
      <t>ジッサイ</t>
    </rPh>
    <rPh sb="6" eb="7">
      <t>ハカル</t>
    </rPh>
    <rPh sb="11" eb="12">
      <t>ヒトテゥ</t>
    </rPh>
    <phoneticPr fontId="3"/>
  </si>
  <si>
    <t>0番中心を基準に機体後方正、右翼側正、上側正</t>
    <rPh sb="1" eb="2">
      <t>バン</t>
    </rPh>
    <rPh sb="2" eb="4">
      <t>チュウシン</t>
    </rPh>
    <rPh sb="5" eb="7">
      <t>キジュン</t>
    </rPh>
    <rPh sb="8" eb="12">
      <t>キタイ</t>
    </rPh>
    <rPh sb="12" eb="13">
      <t xml:space="preserve">セイ </t>
    </rPh>
    <phoneticPr fontId="3"/>
  </si>
  <si>
    <t>推算</t>
    <rPh sb="0" eb="2">
      <t>スイサン</t>
    </rPh>
    <phoneticPr fontId="3"/>
  </si>
  <si>
    <t>実測</t>
    <rPh sb="0" eb="2">
      <t>ジッソク</t>
    </rPh>
    <phoneticPr fontId="3"/>
  </si>
  <si>
    <t>空力</t>
    <rPh sb="0" eb="2">
      <t>クウリキ</t>
    </rPh>
    <phoneticPr fontId="3"/>
  </si>
  <si>
    <t>変形量</t>
    <rPh sb="0" eb="2">
      <t>ヘンケイ</t>
    </rPh>
    <rPh sb="2" eb="3">
      <t>リョウ</t>
    </rPh>
    <phoneticPr fontId="3"/>
  </si>
  <si>
    <t>終了位置</t>
    <rPh sb="0" eb="4">
      <t>シュウリョウイチ</t>
    </rPh>
    <phoneticPr fontId="3"/>
  </si>
  <si>
    <t>環境設定</t>
    <rPh sb="0" eb="4">
      <t>カンキョウセッテイ</t>
    </rPh>
    <phoneticPr fontId="3"/>
  </si>
  <si>
    <t>荷重倍数</t>
    <rPh sb="0" eb="4">
      <t>カジュウバイスウ</t>
    </rPh>
    <phoneticPr fontId="2"/>
  </si>
  <si>
    <t>垂直尾翼揚力</t>
    <rPh sb="0" eb="2">
      <t>スイチョク</t>
    </rPh>
    <rPh sb="2" eb="4">
      <t>ビヨク</t>
    </rPh>
    <rPh sb="4" eb="6">
      <t>ヨウリョク</t>
    </rPh>
    <phoneticPr fontId="3"/>
  </si>
  <si>
    <t>ピッチ角（地表との角度）</t>
    <rPh sb="3" eb="4">
      <t>カク</t>
    </rPh>
    <rPh sb="5" eb="7">
      <t>チヒョウ</t>
    </rPh>
    <rPh sb="9" eb="11">
      <t>カクド</t>
    </rPh>
    <phoneticPr fontId="3"/>
  </si>
  <si>
    <t>ロール角（地表との角度）</t>
    <rPh sb="3" eb="4">
      <t>カク</t>
    </rPh>
    <rPh sb="5" eb="7">
      <t>チヒョウ</t>
    </rPh>
    <rPh sb="9" eb="11">
      <t>カクド</t>
    </rPh>
    <phoneticPr fontId="3"/>
  </si>
  <si>
    <t>主要諸元</t>
    <rPh sb="0" eb="2">
      <t>シュヨウ</t>
    </rPh>
    <rPh sb="2" eb="4">
      <t>ショゲン</t>
    </rPh>
    <phoneticPr fontId="3"/>
  </si>
  <si>
    <t>※主翼に用いる翼型は座標点数を統一すること　迷ったら257点で！（根拠はない）</t>
    <rPh sb="1" eb="3">
      <t>シュヨク</t>
    </rPh>
    <rPh sb="4" eb="5">
      <t>モチ</t>
    </rPh>
    <rPh sb="7" eb="9">
      <t>ヨクガタ</t>
    </rPh>
    <rPh sb="10" eb="14">
      <t>ザヒョウテンスウ</t>
    </rPh>
    <rPh sb="15" eb="17">
      <t>トウイツ</t>
    </rPh>
    <rPh sb="22" eb="23">
      <t>マヨ</t>
    </rPh>
    <rPh sb="29" eb="30">
      <t>テン</t>
    </rPh>
    <rPh sb="33" eb="35">
      <t>コンキョ</t>
    </rPh>
    <phoneticPr fontId="3"/>
  </si>
  <si>
    <t>失速角</t>
    <rPh sb="0" eb="3">
      <t>シッソクカク</t>
    </rPh>
    <phoneticPr fontId="3"/>
  </si>
  <si>
    <t>α_stall vs Re</t>
    <phoneticPr fontId="3"/>
  </si>
  <si>
    <t>xflrのデータから判定しているが、異常値がないか右図の「失速角vsRe数」で確認</t>
  </si>
  <si>
    <t>α_best</t>
    <phoneticPr fontId="3"/>
  </si>
  <si>
    <t>α_stall</t>
    <phoneticPr fontId="3"/>
  </si>
  <si>
    <t>基本設計（計算には不使用　巡航速度のみ主要諸元に使用）</t>
    <rPh sb="0" eb="4">
      <t>キホンセッケイ</t>
    </rPh>
    <rPh sb="5" eb="7">
      <t>ケイサン</t>
    </rPh>
    <rPh sb="9" eb="12">
      <t>フシヨウ</t>
    </rPh>
    <rPh sb="13" eb="17">
      <t>ジュンコウソクド</t>
    </rPh>
    <rPh sb="19" eb="23">
      <t>シュヨウショゲン</t>
    </rPh>
    <rPh sb="24" eb="26">
      <t>シヨウ</t>
    </rPh>
    <phoneticPr fontId="3"/>
  </si>
  <si>
    <t>全組実測値</t>
    <rPh sb="0" eb="2">
      <t>ゼングミ</t>
    </rPh>
    <rPh sb="2" eb="5">
      <t>ジッソクチ</t>
    </rPh>
    <phoneticPr fontId="3"/>
  </si>
  <si>
    <t>※外部シートやプログラムからはこの表のみ参照するので、以降の表はその年に載せる部品に合わせて改変してもかまわない</t>
    <rPh sb="27" eb="29">
      <t>イコウ</t>
    </rPh>
    <rPh sb="30" eb="31">
      <t>ヒョウ</t>
    </rPh>
    <phoneticPr fontId="3"/>
  </si>
  <si>
    <t>身長</t>
    <rPh sb="0" eb="2">
      <t>シンチョウ</t>
    </rPh>
    <phoneticPr fontId="3"/>
  </si>
  <si>
    <t>体重</t>
    <rPh sb="0" eb="2">
      <t>タイジュウ</t>
    </rPh>
    <phoneticPr fontId="3"/>
  </si>
  <si>
    <t>慣性モーメント（各重心まわり）</t>
    <rPh sb="0" eb="2">
      <t>カンセイ</t>
    </rPh>
    <rPh sb="8" eb="9">
      <t>カク</t>
    </rPh>
    <rPh sb="9" eb="11">
      <t>ジュウシン</t>
    </rPh>
    <phoneticPr fontId="3"/>
  </si>
  <si>
    <t>パイロット慣性モーメント簡易計算（人を円柱で近似　ちゃんとやるならFusion360でモデルを作成する https://mtkbirdman.com/weight-estimation#toc3）</t>
    <rPh sb="5" eb="7">
      <t>カンセイ</t>
    </rPh>
    <rPh sb="12" eb="16">
      <t>カンイケイサン</t>
    </rPh>
    <rPh sb="17" eb="18">
      <t>ヒト</t>
    </rPh>
    <rPh sb="19" eb="21">
      <t>エンチュウ</t>
    </rPh>
    <rPh sb="22" eb="24">
      <t>キンジ</t>
    </rPh>
    <rPh sb="47" eb="49">
      <t>サクセイ</t>
    </rPh>
    <phoneticPr fontId="3"/>
  </si>
  <si>
    <t>大型部品内訳（上の表の推算に使用）</t>
    <rPh sb="0" eb="4">
      <t>オオガタブヒン</t>
    </rPh>
    <rPh sb="4" eb="6">
      <t>ウチワケ</t>
    </rPh>
    <rPh sb="7" eb="8">
      <t>ウエ</t>
    </rPh>
    <rPh sb="9" eb="10">
      <t>ヒョウ</t>
    </rPh>
    <rPh sb="11" eb="13">
      <t>スイサン</t>
    </rPh>
    <rPh sb="14" eb="16">
      <t>シヨウ</t>
    </rPh>
    <phoneticPr fontId="3"/>
  </si>
  <si>
    <t>※失速速度から破壊速度までの全速度範囲で定常状態を解析</t>
    <rPh sb="1" eb="5">
      <t>シッソクソクド</t>
    </rPh>
    <rPh sb="7" eb="11">
      <t>ハカイソクド</t>
    </rPh>
    <rPh sb="14" eb="17">
      <t>ゼンソクド</t>
    </rPh>
    <rPh sb="17" eb="19">
      <t>ハンイ</t>
    </rPh>
    <rPh sb="20" eb="24">
      <t>テイジョウジョウタイ</t>
    </rPh>
    <rPh sb="25" eb="27">
      <t>カイセキ</t>
    </rPh>
    <phoneticPr fontId="3"/>
  </si>
  <si>
    <t>極配置</t>
    <rPh sb="0" eb="3">
      <t>キョクハイチ</t>
    </rPh>
    <phoneticPr fontId="3"/>
  </si>
  <si>
    <t>接合部隙間（直径）</t>
    <rPh sb="0" eb="2">
      <t>セツゴウ</t>
    </rPh>
    <rPh sb="2" eb="3">
      <t>ブ</t>
    </rPh>
    <rPh sb="3" eb="5">
      <t>スキマ</t>
    </rPh>
    <rPh sb="6" eb="8">
      <t>チョッケイ</t>
    </rPh>
    <phoneticPr fontId="3"/>
  </si>
  <si>
    <t>主翼（空力）の循環分布に合わ</t>
    <rPh sb="0" eb="2">
      <t>シュヨク</t>
    </rPh>
    <rPh sb="3" eb="5">
      <t>クウリキ</t>
    </rPh>
    <rPh sb="7" eb="11">
      <t>ジュンカンブンプ</t>
    </rPh>
    <rPh sb="12" eb="13">
      <t>ア</t>
    </rPh>
    <phoneticPr fontId="3"/>
  </si>
  <si>
    <t>発進速度</t>
    <rPh sb="0" eb="4">
      <t>ハッシンソクド</t>
    </rPh>
    <phoneticPr fontId="3"/>
  </si>
  <si>
    <t>V_start</t>
    <phoneticPr fontId="3"/>
  </si>
  <si>
    <t>環境条件</t>
    <rPh sb="0" eb="4">
      <t>カンキョウジョウケン</t>
    </rPh>
    <phoneticPr fontId="3"/>
  </si>
  <si>
    <t>積層構成（内から外に向かって）</t>
    <phoneticPr fontId="3"/>
  </si>
  <si>
    <t>90,45,-45,0*4,45,-45,0*4,90</t>
    <phoneticPr fontId="3"/>
  </si>
  <si>
    <t>90,45,-45,0,0オビ*7,0,-45,45,90</t>
    <phoneticPr fontId="3"/>
  </si>
  <si>
    <t>90,45,-45,0,0オビ*4,0,-45,45,90</t>
    <phoneticPr fontId="3"/>
  </si>
  <si>
    <t>90,45,0*4,-45,90</t>
    <phoneticPr fontId="3"/>
  </si>
  <si>
    <t>Length</t>
    <phoneticPr fontId="3"/>
  </si>
  <si>
    <t>翼根側短半軸</t>
    <rPh sb="0" eb="2">
      <t>ヨクコン</t>
    </rPh>
    <rPh sb="2" eb="3">
      <t>ガワ</t>
    </rPh>
    <rPh sb="3" eb="4">
      <t>タン</t>
    </rPh>
    <rPh sb="4" eb="5">
      <t>ハン</t>
    </rPh>
    <rPh sb="5" eb="6">
      <t>ジク</t>
    </rPh>
    <phoneticPr fontId="3"/>
  </si>
  <si>
    <t>ar_in</t>
    <phoneticPr fontId="3"/>
  </si>
  <si>
    <t>翼根側長半軸</t>
    <rPh sb="0" eb="2">
      <t>ヨクコン</t>
    </rPh>
    <rPh sb="2" eb="3">
      <t>ガワ</t>
    </rPh>
    <rPh sb="3" eb="4">
      <t>チョウ</t>
    </rPh>
    <rPh sb="4" eb="5">
      <t>ハン</t>
    </rPh>
    <rPh sb="5" eb="6">
      <t>ジク</t>
    </rPh>
    <phoneticPr fontId="3"/>
  </si>
  <si>
    <t>br_in</t>
    <phoneticPr fontId="3"/>
  </si>
  <si>
    <t>翼端側短半軸</t>
    <rPh sb="0" eb="2">
      <t>ヨクタン</t>
    </rPh>
    <rPh sb="2" eb="3">
      <t>ガワ</t>
    </rPh>
    <rPh sb="3" eb="4">
      <t>タン</t>
    </rPh>
    <rPh sb="4" eb="5">
      <t>ハン</t>
    </rPh>
    <rPh sb="5" eb="6">
      <t>ジク</t>
    </rPh>
    <phoneticPr fontId="3"/>
  </si>
  <si>
    <t>at_in</t>
    <phoneticPr fontId="3"/>
  </si>
  <si>
    <t>翼端側長半軸</t>
    <rPh sb="0" eb="2">
      <t>ヨクタン</t>
    </rPh>
    <rPh sb="2" eb="3">
      <t>ガワ</t>
    </rPh>
    <rPh sb="3" eb="4">
      <t>チョウ</t>
    </rPh>
    <rPh sb="4" eb="5">
      <t>ハン</t>
    </rPh>
    <rPh sb="5" eb="6">
      <t>ジク</t>
    </rPh>
    <phoneticPr fontId="3"/>
  </si>
  <si>
    <t>bt_in</t>
    <phoneticPr fontId="3"/>
  </si>
  <si>
    <t>軸方向重ねしろ</t>
    <rPh sb="0" eb="3">
      <t>ジクホウコウ</t>
    </rPh>
    <rPh sb="3" eb="4">
      <t>カサ</t>
    </rPh>
    <phoneticPr fontId="3"/>
  </si>
  <si>
    <t>overlap_L</t>
    <phoneticPr fontId="3"/>
  </si>
  <si>
    <t>周方向重ねしろ</t>
    <rPh sb="0" eb="1">
      <t>シュウ</t>
    </rPh>
    <rPh sb="1" eb="3">
      <t>ホウコウ</t>
    </rPh>
    <rPh sb="3" eb="4">
      <t>カサ</t>
    </rPh>
    <phoneticPr fontId="3"/>
  </si>
  <si>
    <t>overlap_T</t>
    <phoneticPr fontId="3"/>
  </si>
  <si>
    <t>プリプレグシート幅</t>
    <rPh sb="8" eb="9">
      <t>ハバ</t>
    </rPh>
    <phoneticPr fontId="3"/>
  </si>
  <si>
    <t>sheet_width</t>
    <phoneticPr fontId="3"/>
  </si>
  <si>
    <t>積層角種類数</t>
    <rPh sb="0" eb="2">
      <t>セキソウ</t>
    </rPh>
    <rPh sb="2" eb="3">
      <t>カク</t>
    </rPh>
    <rPh sb="3" eb="6">
      <t>シュルイスウ</t>
    </rPh>
    <phoneticPr fontId="3"/>
  </si>
  <si>
    <t>num_type</t>
    <phoneticPr fontId="3"/>
  </si>
  <si>
    <t>積層名</t>
    <rPh sb="0" eb="3">
      <t>セキソウメイ</t>
    </rPh>
    <phoneticPr fontId="3"/>
  </si>
  <si>
    <t>※桁の接合位置と終了位置には自動的にリブが挿入される</t>
    <rPh sb="1" eb="2">
      <t>ケタ</t>
    </rPh>
    <rPh sb="3" eb="7">
      <t>セツゴウイチ</t>
    </rPh>
    <rPh sb="8" eb="12">
      <t>シュウリョウイチ</t>
    </rPh>
    <rPh sb="14" eb="17">
      <t>ジドウテキ</t>
    </rPh>
    <rPh sb="21" eb="23">
      <t>ソウニュウ</t>
    </rPh>
    <phoneticPr fontId="3"/>
  </si>
  <si>
    <t>バルサチップ長さ</t>
    <rPh sb="6" eb="7">
      <t>ナガ</t>
    </rPh>
    <phoneticPr fontId="3"/>
  </si>
  <si>
    <t>カーボンチップ長さ</t>
    <rPh sb="7" eb="8">
      <t>ナガ</t>
    </rPh>
    <phoneticPr fontId="3"/>
  </si>
  <si>
    <t>後縁材長さ</t>
    <rPh sb="0" eb="3">
      <t>コウエンザイ</t>
    </rPh>
    <rPh sb="3" eb="4">
      <t>ナガ</t>
    </rPh>
    <phoneticPr fontId="3"/>
  </si>
  <si>
    <t>1リブあたりが一定のもの（ガラスクロスなど）</t>
    <rPh sb="7" eb="9">
      <t>イッテイ</t>
    </rPh>
    <phoneticPr fontId="3"/>
  </si>
  <si>
    <t>コード長に比例するもの（プランク、リブ材、カーボンチップなど）</t>
    <rPh sb="3" eb="4">
      <t>チョウ</t>
    </rPh>
    <rPh sb="5" eb="7">
      <t>ヒレイ</t>
    </rPh>
    <rPh sb="19" eb="20">
      <t>ザイ</t>
    </rPh>
    <phoneticPr fontId="3"/>
  </si>
  <si>
    <t>スパンに比例するもの（後縁材など）</t>
    <rPh sb="4" eb="6">
      <t>ヒレイ</t>
    </rPh>
    <rPh sb="11" eb="14">
      <t>コウエンザイ</t>
    </rPh>
    <phoneticPr fontId="3"/>
  </si>
  <si>
    <t>フィルム</t>
    <phoneticPr fontId="3"/>
  </si>
  <si>
    <t>リブ面積に比例するもの（スタイロ、カーボンリブ、バルサチップなど）</t>
    <rPh sb="2" eb="4">
      <t>メンセキ</t>
    </rPh>
    <rPh sb="5" eb="7">
      <t>ヒレイ</t>
    </rPh>
    <phoneticPr fontId="3"/>
  </si>
  <si>
    <t>後縁円弧</t>
    <rPh sb="0" eb="2">
      <t>コウエン</t>
    </rPh>
    <rPh sb="2" eb="4">
      <t>エンコ</t>
    </rPh>
    <phoneticPr fontId="3"/>
  </si>
  <si>
    <t>開始</t>
    <rPh sb="0" eb="2">
      <t>カイシ</t>
    </rPh>
    <phoneticPr fontId="3"/>
  </si>
  <si>
    <t>二次構造材</t>
    <rPh sb="0" eb="2">
      <t>ニジ</t>
    </rPh>
    <rPh sb="2" eb="4">
      <t>コウゾウ</t>
    </rPh>
    <rPh sb="4" eb="5">
      <t>ザイ</t>
    </rPh>
    <phoneticPr fontId="2"/>
  </si>
  <si>
    <r>
      <rPr>
        <b/>
        <sz val="12"/>
        <color theme="1"/>
        <rFont val="游ゴシック"/>
        <family val="3"/>
        <charset val="128"/>
        <scheme val="minor"/>
      </rPr>
      <t>ストリンガー</t>
    </r>
    <r>
      <rPr>
        <sz val="12"/>
        <color theme="1"/>
        <rFont val="游ゴシック"/>
        <family val="2"/>
        <charset val="128"/>
        <scheme val="minor"/>
      </rPr>
      <t>↓コード長%（上面が負、下面が正）</t>
    </r>
    <phoneticPr fontId="3"/>
  </si>
  <si>
    <r>
      <rPr>
        <b/>
        <sz val="12"/>
        <color theme="1"/>
        <rFont val="游ゴシック"/>
        <family val="3"/>
        <charset val="128"/>
        <scheme val="minor"/>
      </rPr>
      <t>開始-終了位置</t>
    </r>
    <r>
      <rPr>
        <sz val="12"/>
        <color theme="1"/>
        <rFont val="游ゴシック"/>
        <family val="2"/>
        <charset val="128"/>
        <scheme val="minor"/>
      </rPr>
      <t>↓コード長%（上面が負、下面が正））</t>
    </r>
    <rPh sb="0" eb="2">
      <t>カイシ</t>
    </rPh>
    <rPh sb="3" eb="5">
      <t>シュウリョウ</t>
    </rPh>
    <rPh sb="5" eb="7">
      <t>イチ</t>
    </rPh>
    <phoneticPr fontId="3"/>
  </si>
  <si>
    <t>諸量</t>
    <rPh sb="0" eb="2">
      <t>ショリョウ</t>
    </rPh>
    <phoneticPr fontId="3"/>
  </si>
  <si>
    <t>型紙桁穴余裕（桁直径＋mm）</t>
    <rPh sb="0" eb="2">
      <t>カタガミ</t>
    </rPh>
    <rPh sb="2" eb="4">
      <t>ケタアナ</t>
    </rPh>
    <rPh sb="4" eb="6">
      <t>ヨユウ</t>
    </rPh>
    <rPh sb="7" eb="8">
      <t>ケタ</t>
    </rPh>
    <rPh sb="8" eb="10">
      <t>チョッケイ</t>
    </rPh>
    <phoneticPr fontId="3"/>
  </si>
  <si>
    <t>ヒノキ</t>
  </si>
  <si>
    <r>
      <rPr>
        <b/>
        <sz val="12"/>
        <color theme="1"/>
        <rFont val="游ゴシック"/>
        <family val="3"/>
        <charset val="128"/>
        <scheme val="minor"/>
      </rPr>
      <t>リブ付け線位置</t>
    </r>
    <r>
      <rPr>
        <sz val="12"/>
        <color theme="1"/>
        <rFont val="游ゴシック"/>
        <family val="2"/>
        <charset val="128"/>
        <scheme val="minor"/>
      </rPr>
      <t>↓[mm]（桁中心基準で前縁側マイナス）</t>
    </r>
    <rPh sb="0" eb="1">
      <t>ヨウ</t>
    </rPh>
    <rPh sb="1" eb="2">
      <t>セン</t>
    </rPh>
    <rPh sb="2" eb="4">
      <t>イチ</t>
    </rPh>
    <rPh sb="9" eb="14">
      <t>ケタチュウシンキジュン</t>
    </rPh>
    <rPh sb="15" eb="18">
      <t>ゼンエンガワ</t>
    </rPh>
    <phoneticPr fontId="3"/>
  </si>
  <si>
    <t>ストリンガー</t>
    <phoneticPr fontId="2"/>
  </si>
  <si>
    <t>チャンネル材位置</t>
    <rPh sb="5" eb="6">
      <t>ザイ</t>
    </rPh>
    <rPh sb="6" eb="8">
      <t>イチ</t>
    </rPh>
    <phoneticPr fontId="3"/>
  </si>
  <si>
    <t>材厚さ</t>
    <rPh sb="0" eb="1">
      <t>ザイ</t>
    </rPh>
    <rPh sb="1" eb="2">
      <t>アツ</t>
    </rPh>
    <phoneticPr fontId="3"/>
  </si>
  <si>
    <t>周長</t>
    <rPh sb="0" eb="2">
      <t>シュウチョウ</t>
    </rPh>
    <phoneticPr fontId="3"/>
  </si>
  <si>
    <t>有害抗力係数</t>
    <rPh sb="0" eb="2">
      <t>ユウガイ</t>
    </rPh>
    <rPh sb="2" eb="4">
      <t>コウリョク</t>
    </rPh>
    <rPh sb="4" eb="6">
      <t>ケイスウ</t>
    </rPh>
    <phoneticPr fontId="2"/>
  </si>
  <si>
    <t>↑プランク等の継ぎ目が来ることに注意</t>
    <rPh sb="5" eb="6">
      <t>トウ</t>
    </rPh>
    <rPh sb="7" eb="8">
      <t>ツ</t>
    </rPh>
    <rPh sb="9" eb="10">
      <t>メ</t>
    </rPh>
    <rPh sb="11" eb="12">
      <t>ク</t>
    </rPh>
    <rPh sb="16" eb="18">
      <t>チュウイ</t>
    </rPh>
    <phoneticPr fontId="3"/>
  </si>
  <si>
    <t>↑すべての翼型の座標点数を合わせること</t>
    <rPh sb="5" eb="7">
      <t>ヨクガタ</t>
    </rPh>
    <rPh sb="8" eb="12">
      <t>ザヒョウテンスウ</t>
    </rPh>
    <rPh sb="13" eb="14">
      <t>ア</t>
    </rPh>
    <phoneticPr fontId="3"/>
  </si>
  <si>
    <t>焼き桁長さ</t>
    <rPh sb="0" eb="1">
      <t>ヤ</t>
    </rPh>
    <rPh sb="2" eb="3">
      <t>ケタ</t>
    </rPh>
    <rPh sb="3" eb="4">
      <t>ナガ</t>
    </rPh>
    <phoneticPr fontId="3"/>
  </si>
  <si>
    <t>※まずpythonの環境構築を行う必要がある。詳細はこのシートの下部に記載
「全機諸元」の左上部分で設計コンセプトと基本設計を固める
→「機体重量」にパイロット重量と慣性モーメントを入力
→「翼型」「積層構成」に使用予定の翼型と積層構成を登録
→「主翼」など水色シートで各部詳細設計
→「機体重量」で異常値や漏れている部品等がないか確認し、あれば修正・追記　結果が基本設計の値とあまりにも違う場合は桁設計や基本設計を見直す
→「全機諸元」の条件付き解析で巡航速度で定常飛行できるか確認　できなければ主翼設計を見直す（定常飛行＝余剰揚力が0~1kgf程度かつ全機ピッチングモーメントが0）
→「全機諸元」の全範囲解析で最適飛行条件や失速条件など、機体の特性を確認
→「経路解析」で無制御時の挙動や最適飛行経路を確認
→「全機諸元」や「経路解析」の解析条件を変えてみたり、シミュレーターに実装したりして詳細な挙動を把握　パイロットの感覚とすり合わせる
→基本設計or詳細設計に戻る（満足いくまで繰り返す）</t>
    <rPh sb="15" eb="16">
      <t>オコナ</t>
    </rPh>
    <rPh sb="17" eb="19">
      <t>ヒツヨウ</t>
    </rPh>
    <rPh sb="23" eb="25">
      <t>ショウサイ</t>
    </rPh>
    <rPh sb="32" eb="34">
      <t>カブ</t>
    </rPh>
    <rPh sb="35" eb="37">
      <t>キサイ</t>
    </rPh>
    <rPh sb="45" eb="47">
      <t>ヒダリウエ</t>
    </rPh>
    <rPh sb="47" eb="49">
      <t>ブブン</t>
    </rPh>
    <rPh sb="58" eb="62">
      <t>キホンセッケイ</t>
    </rPh>
    <rPh sb="137" eb="139">
      <t>ショウサイ</t>
    </rPh>
    <rPh sb="143" eb="147">
      <t>キタイジュウリョウ</t>
    </rPh>
    <rPh sb="149" eb="151">
      <t>イジョウ</t>
    </rPh>
    <rPh sb="151" eb="152">
      <t>アタイ</t>
    </rPh>
    <rPh sb="153" eb="154">
      <t>モ</t>
    </rPh>
    <rPh sb="158" eb="161">
      <t>ブヒントウ</t>
    </rPh>
    <rPh sb="165" eb="167">
      <t>カクニン</t>
    </rPh>
    <rPh sb="172" eb="174">
      <t>シュウセイ</t>
    </rPh>
    <rPh sb="175" eb="177">
      <t>ツイキ</t>
    </rPh>
    <rPh sb="179" eb="181">
      <t>ケッカ</t>
    </rPh>
    <rPh sb="182" eb="186">
      <t>キホンセッケイ</t>
    </rPh>
    <rPh sb="187" eb="188">
      <t>アタイ</t>
    </rPh>
    <rPh sb="194" eb="195">
      <t>チガ</t>
    </rPh>
    <rPh sb="196" eb="198">
      <t>バアイ</t>
    </rPh>
    <rPh sb="199" eb="200">
      <t>ケタ</t>
    </rPh>
    <rPh sb="203" eb="207">
      <t>キホンセッケイ</t>
    </rPh>
    <rPh sb="220" eb="222">
      <t>ジョウケン</t>
    </rPh>
    <rPh sb="222" eb="223">
      <t>ツ</t>
    </rPh>
    <rPh sb="224" eb="226">
      <t>カイセキ</t>
    </rPh>
    <rPh sb="227" eb="231">
      <t>ジュンコウソクド</t>
    </rPh>
    <rPh sb="232" eb="234">
      <t>テイジョウ</t>
    </rPh>
    <rPh sb="234" eb="236">
      <t>ヒコウ</t>
    </rPh>
    <rPh sb="249" eb="251">
      <t>シュヨク</t>
    </rPh>
    <rPh sb="251" eb="253">
      <t>セッケイ</t>
    </rPh>
    <rPh sb="254" eb="256">
      <t>ミナオ</t>
    </rPh>
    <rPh sb="257" eb="261">
      <t>テイジョウヒコウ</t>
    </rPh>
    <rPh sb="276" eb="278">
      <t>ゼンキ</t>
    </rPh>
    <rPh sb="295" eb="299">
      <t>ゼンキショゲン</t>
    </rPh>
    <rPh sb="301" eb="306">
      <t>ゼンハンイカイセキ</t>
    </rPh>
    <rPh sb="309" eb="313">
      <t>ヒコウジョウケン</t>
    </rPh>
    <rPh sb="316" eb="318">
      <t>ジョウケン</t>
    </rPh>
    <rPh sb="322" eb="324">
      <t>キタイ</t>
    </rPh>
    <rPh sb="325" eb="327">
      <t>トクセイ</t>
    </rPh>
    <rPh sb="327" eb="329">
      <t>カクニン</t>
    </rPh>
    <rPh sb="338" eb="341">
      <t>ムセイギョ</t>
    </rPh>
    <rPh sb="341" eb="342">
      <t>ジ</t>
    </rPh>
    <rPh sb="343" eb="345">
      <t>キョドウ</t>
    </rPh>
    <rPh sb="346" eb="348">
      <t>サイテキ</t>
    </rPh>
    <rPh sb="348" eb="352">
      <t>ヒコウケイロ</t>
    </rPh>
    <rPh sb="358" eb="362">
      <t>ゼンキショゲン</t>
    </rPh>
    <rPh sb="371" eb="375">
      <t>カイセキジョウケン</t>
    </rPh>
    <rPh sb="376" eb="377">
      <t>カ</t>
    </rPh>
    <rPh sb="391" eb="393">
      <t>ジッソウ</t>
    </rPh>
    <rPh sb="398" eb="400">
      <t>ショウサイ</t>
    </rPh>
    <rPh sb="401" eb="403">
      <t>キョドウ</t>
    </rPh>
    <rPh sb="404" eb="406">
      <t>ハアク</t>
    </rPh>
    <rPh sb="413" eb="415">
      <t>カンカク</t>
    </rPh>
    <rPh sb="418" eb="419">
      <t>ア</t>
    </rPh>
    <phoneticPr fontId="3"/>
  </si>
  <si>
    <t>・セルの色
橙：入力用セル　基本的にこのセルの値を変えて機体を設計していく　逆に言えば書き換えても安全
水：VBAマクロ実行ボタン
青：python実行ボタン
黄：マクロ結果出力先
・セルの位置を勝手に動かさないこと　動かしたい場合はプログラムを書き換える必要がある
・フォルダ構成を変えると計算ができなくなる可能性がある
・ホームタブの右側にあるアドインボタンを押すと、サイドウィンドウが開いて各種マクロを実行することができる　青のボタンを押すのと処理は変わらないが、pythonをいちいち起動させる手間がないため処理時間が短い</t>
    <rPh sb="4" eb="5">
      <t>イロ</t>
    </rPh>
    <rPh sb="6" eb="7">
      <t>ダイダイ</t>
    </rPh>
    <rPh sb="8" eb="11">
      <t>ニュウリョクヨウ</t>
    </rPh>
    <rPh sb="14" eb="17">
      <t>キホンテキ</t>
    </rPh>
    <rPh sb="23" eb="24">
      <t>アタイ</t>
    </rPh>
    <rPh sb="25" eb="26">
      <t>カ</t>
    </rPh>
    <rPh sb="28" eb="30">
      <t>キタイ</t>
    </rPh>
    <rPh sb="31" eb="33">
      <t>セッケイ</t>
    </rPh>
    <rPh sb="38" eb="39">
      <t>ギャク</t>
    </rPh>
    <rPh sb="40" eb="41">
      <t>イ</t>
    </rPh>
    <rPh sb="43" eb="44">
      <t>カ</t>
    </rPh>
    <rPh sb="45" eb="46">
      <t>カ</t>
    </rPh>
    <rPh sb="49" eb="51">
      <t>アンゼン</t>
    </rPh>
    <rPh sb="52" eb="53">
      <t>ミズ</t>
    </rPh>
    <rPh sb="60" eb="62">
      <t>ジッコウ</t>
    </rPh>
    <rPh sb="66" eb="67">
      <t>アオ</t>
    </rPh>
    <rPh sb="74" eb="76">
      <t>ジッコウ</t>
    </rPh>
    <rPh sb="80" eb="81">
      <t>キ</t>
    </rPh>
    <rPh sb="85" eb="87">
      <t>ケッカ</t>
    </rPh>
    <rPh sb="87" eb="89">
      <t>シュツリョク</t>
    </rPh>
    <rPh sb="89" eb="90">
      <t>サキ</t>
    </rPh>
    <rPh sb="95" eb="97">
      <t>イチ</t>
    </rPh>
    <rPh sb="98" eb="100">
      <t>カッテ</t>
    </rPh>
    <rPh sb="101" eb="102">
      <t>ウゴ</t>
    </rPh>
    <rPh sb="109" eb="110">
      <t>ウゴ</t>
    </rPh>
    <rPh sb="114" eb="116">
      <t>バアイ</t>
    </rPh>
    <rPh sb="123" eb="124">
      <t>カ</t>
    </rPh>
    <rPh sb="125" eb="126">
      <t>カ</t>
    </rPh>
    <rPh sb="128" eb="130">
      <t>ヒツヨウ</t>
    </rPh>
    <rPh sb="139" eb="141">
      <t>コウセイ</t>
    </rPh>
    <rPh sb="142" eb="143">
      <t>カ</t>
    </rPh>
    <rPh sb="146" eb="148">
      <t>ケイサン</t>
    </rPh>
    <rPh sb="155" eb="158">
      <t>カノウセイ</t>
    </rPh>
    <rPh sb="169" eb="171">
      <t>ミギガワ</t>
    </rPh>
    <rPh sb="182" eb="183">
      <t>オ</t>
    </rPh>
    <rPh sb="195" eb="196">
      <t>ヒラ</t>
    </rPh>
    <rPh sb="198" eb="200">
      <t>カクシュ</t>
    </rPh>
    <rPh sb="204" eb="206">
      <t>ジッコウ</t>
    </rPh>
    <rPh sb="215" eb="216">
      <t>アオ</t>
    </rPh>
    <rPh sb="221" eb="222">
      <t>オ</t>
    </rPh>
    <rPh sb="225" eb="227">
      <t>ショリ</t>
    </rPh>
    <rPh sb="228" eb="229">
      <t>カ</t>
    </rPh>
    <rPh sb="246" eb="248">
      <t>キドウ</t>
    </rPh>
    <rPh sb="251" eb="253">
      <t>テマ</t>
    </rPh>
    <phoneticPr fontId="3"/>
  </si>
  <si>
    <t>翼厚余裕（両側）</t>
    <rPh sb="0" eb="2">
      <t>ヨクアツ</t>
    </rPh>
    <rPh sb="2" eb="4">
      <t>ヨユウ</t>
    </rPh>
    <rPh sb="5" eb="7">
      <t>リョウガワ</t>
    </rPh>
    <phoneticPr fontId="3"/>
  </si>
  <si>
    <t>基準リブオフセット線（桁中心基準で前縁側マイナス）</t>
    <rPh sb="0" eb="2">
      <t>キジュン</t>
    </rPh>
    <rPh sb="9" eb="10">
      <t>セン</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</si>
</sst>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76" formatCode="0.000_ ;[Red]\-0.000\ "/>
    <numFmt numFmtId="177" formatCode="0.0.E+00"/>
    <numFmt numFmtId="178" formatCode="0_ ;[Red]\-0\ "/>
    <numFmt numFmtId="179" formatCode="0.00000_ ;[Red]\-0.00000\ "/>
    <numFmt numFmtId="180" formatCode="0.00_ "/>
    <numFmt numFmtId="181" formatCode="0.00_);[Red]\(0.00\)"/>
    <numFmt numFmtId="182" formatCode="0_);[Red]\(0\)"/>
    <numFmt numFmtId="183" formatCode="0.000_);[Red]\(0.000\)"/>
  </numFmts>
  <fonts count="33">
    <font>
      <sz val="12"/>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6"/>
      <name val="游ゴシック"/>
      <family val="2"/>
      <charset val="128"/>
      <scheme val="minor"/>
    </font>
    <font>
      <sz val="12"/>
      <color rgb="FF000000"/>
      <name val="游ゴシック"/>
      <family val="3"/>
      <charset val="128"/>
      <scheme val="minor"/>
    </font>
    <font>
      <u/>
      <sz val="12"/>
      <color theme="10"/>
      <name val="游ゴシック"/>
      <family val="2"/>
      <charset val="128"/>
      <scheme val="minor"/>
    </font>
    <font>
      <sz val="9"/>
      <color indexed="81"/>
      <name val="MS P ゴシック"/>
      <family val="3"/>
      <charset val="128"/>
    </font>
    <font>
      <sz val="11"/>
      <name val="游ゴシック"/>
      <family val="2"/>
      <charset val="128"/>
      <scheme val="minor"/>
    </font>
    <font>
      <sz val="11"/>
      <color theme="1"/>
      <name val="游ゴシック"/>
      <family val="3"/>
      <charset val="128"/>
      <scheme val="minor"/>
    </font>
    <font>
      <sz val="6"/>
      <name val="游ゴシック"/>
      <family val="3"/>
      <charset val="128"/>
      <scheme val="minor"/>
    </font>
    <font>
      <sz val="9"/>
      <color indexed="81"/>
      <name val="宋体"/>
      <charset val="134"/>
    </font>
    <font>
      <b/>
      <sz val="9"/>
      <color indexed="81"/>
      <name val="MS P ゴシック"/>
      <family val="3"/>
      <charset val="128"/>
    </font>
    <font>
      <b/>
      <sz val="9"/>
      <color rgb="FF000000"/>
      <name val="游ゴシック"/>
      <family val="3"/>
      <charset val="128"/>
      <scheme val="minor"/>
    </font>
    <font>
      <b/>
      <sz val="9"/>
      <color rgb="FF000000"/>
      <name val="MS P ゴシック"/>
      <family val="3"/>
      <charset val="128"/>
    </font>
    <font>
      <sz val="9"/>
      <color rgb="FF000000"/>
      <name val="MS P ゴシック"/>
      <family val="3"/>
      <charset val="128"/>
    </font>
    <font>
      <sz val="9"/>
      <color rgb="FF000000"/>
      <name val="游ゴシック"/>
      <family val="3"/>
      <charset val="128"/>
      <scheme val="minor"/>
    </font>
    <font>
      <b/>
      <sz val="9"/>
      <color indexed="81"/>
      <name val="ＭＳ Ｐゴシック"/>
      <family val="3"/>
      <charset val="128"/>
    </font>
    <font>
      <b/>
      <sz val="9"/>
      <color indexed="81"/>
      <name val="Tahoma"/>
      <family val="2"/>
    </font>
    <font>
      <sz val="9"/>
      <color indexed="81"/>
      <name val="Tahoma"/>
      <family val="2"/>
    </font>
    <font>
      <sz val="9"/>
      <color indexed="81"/>
      <name val="ＭＳ Ｐゴシック"/>
      <family val="3"/>
      <charset val="128"/>
    </font>
    <font>
      <b/>
      <u/>
      <sz val="12"/>
      <color theme="1"/>
      <name val="游ゴシック"/>
      <family val="3"/>
      <charset val="128"/>
      <scheme val="minor"/>
    </font>
    <font>
      <sz val="12"/>
      <color theme="1"/>
      <name val="游ゴシック"/>
      <family val="3"/>
      <charset val="128"/>
      <scheme val="minor"/>
    </font>
    <font>
      <sz val="12"/>
      <name val="游ゴシック"/>
      <family val="2"/>
      <charset val="128"/>
      <scheme val="minor"/>
    </font>
    <font>
      <sz val="12"/>
      <name val="游ゴシック"/>
      <family val="3"/>
      <charset val="128"/>
      <scheme val="minor"/>
    </font>
    <font>
      <sz val="9"/>
      <color rgb="FF000000"/>
      <name val="MS P ゴシック"/>
      <charset val="128"/>
    </font>
    <font>
      <b/>
      <sz val="9"/>
      <color rgb="FF000000"/>
      <name val="MS P ゴシック"/>
      <charset val="128"/>
    </font>
    <font>
      <sz val="12"/>
      <color theme="1"/>
      <name val="游ゴシック"/>
      <family val="3"/>
      <charset val="128"/>
    </font>
    <font>
      <sz val="11"/>
      <color theme="1"/>
      <name val="游ゴシック"/>
      <family val="2"/>
      <charset val="128"/>
    </font>
    <font>
      <u/>
      <sz val="12"/>
      <color theme="10"/>
      <name val="游ゴシック"/>
      <family val="3"/>
      <charset val="128"/>
      <scheme val="minor"/>
    </font>
    <font>
      <sz val="12"/>
      <color theme="10"/>
      <name val="游ゴシック"/>
      <family val="3"/>
      <charset val="128"/>
      <scheme val="minor"/>
    </font>
    <font>
      <b/>
      <sz val="12"/>
      <color theme="1"/>
      <name val="游ゴシック"/>
      <family val="3"/>
      <charset val="128"/>
      <scheme val="minor"/>
    </font>
    <font>
      <sz val="10"/>
      <color rgb="FF000000"/>
      <name val="Yu Gothic UI"/>
      <family val="3"/>
      <charset val="128"/>
    </font>
    <font>
      <b/>
      <sz val="10"/>
      <color rgb="FF000000"/>
      <name val="Yu Gothic UI"/>
      <family val="3"/>
      <charset val="128"/>
    </font>
  </fonts>
  <fills count="9">
    <fill>
      <patternFill patternType="none"/>
    </fill>
    <fill>
      <patternFill patternType="gray125"/>
    </fill>
    <fill>
      <patternFill patternType="solid">
        <fgColor theme="5" tint="0.79998168889431442"/>
        <bgColor indexed="64"/>
      </patternFill>
    </fill>
    <fill>
      <patternFill patternType="solid">
        <fgColor theme="2"/>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4" tint="0.79998168889431442"/>
        <bgColor indexed="64"/>
      </patternFill>
    </fill>
  </fills>
  <borders count="7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double">
        <color indexed="64"/>
      </bottom>
      <diagonal/>
    </border>
    <border>
      <left style="thin">
        <color indexed="64"/>
      </left>
      <right/>
      <top/>
      <bottom style="thin">
        <color indexed="64"/>
      </bottom>
      <diagonal/>
    </border>
    <border>
      <left/>
      <right style="thin">
        <color indexed="64"/>
      </right>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top style="thin">
        <color indexed="64"/>
      </top>
      <bottom/>
      <diagonal/>
    </border>
    <border>
      <left style="thin">
        <color indexed="64"/>
      </left>
      <right style="thin">
        <color indexed="64"/>
      </right>
      <top/>
      <bottom style="double">
        <color indexed="64"/>
      </bottom>
      <diagonal/>
    </border>
    <border>
      <left style="double">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double">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style="double">
        <color indexed="64"/>
      </bottom>
      <diagonal/>
    </border>
    <border>
      <left style="double">
        <color indexed="64"/>
      </left>
      <right style="double">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right/>
      <top style="thin">
        <color indexed="64"/>
      </top>
      <bottom style="double">
        <color indexed="64"/>
      </bottom>
      <diagonal/>
    </border>
    <border>
      <left/>
      <right style="thin">
        <color indexed="64"/>
      </right>
      <top style="thin">
        <color indexed="64"/>
      </top>
      <bottom/>
      <diagonal/>
    </border>
    <border>
      <left style="thin">
        <color indexed="64"/>
      </left>
      <right/>
      <top style="double">
        <color indexed="64"/>
      </top>
      <bottom style="thin">
        <color indexed="64"/>
      </bottom>
      <diagonal/>
    </border>
    <border>
      <left style="thin">
        <color indexed="64"/>
      </left>
      <right style="double">
        <color indexed="64"/>
      </right>
      <top style="thin">
        <color indexed="64"/>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style="double">
        <color indexed="64"/>
      </right>
      <top/>
      <bottom style="double">
        <color indexed="64"/>
      </bottom>
      <diagonal/>
    </border>
    <border>
      <left style="double">
        <color indexed="64"/>
      </left>
      <right/>
      <top style="thin">
        <color indexed="64"/>
      </top>
      <bottom style="double">
        <color indexed="64"/>
      </bottom>
      <diagonal/>
    </border>
    <border>
      <left/>
      <right style="thin">
        <color indexed="64"/>
      </right>
      <top/>
      <bottom/>
      <diagonal/>
    </border>
    <border>
      <left/>
      <right/>
      <top/>
      <bottom style="thin">
        <color indexed="64"/>
      </bottom>
      <diagonal/>
    </border>
    <border diagonalDown="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double">
        <color indexed="64"/>
      </right>
      <top style="thin">
        <color indexed="64"/>
      </top>
      <bottom style="double">
        <color indexed="64"/>
      </bottom>
      <diagonal/>
    </border>
    <border>
      <left/>
      <right style="double">
        <color indexed="64"/>
      </right>
      <top style="double">
        <color indexed="64"/>
      </top>
      <bottom style="thin">
        <color indexed="64"/>
      </bottom>
      <diagonal/>
    </border>
    <border>
      <left/>
      <right style="double">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2">
    <xf numFmtId="0" fontId="0" fillId="0" borderId="0">
      <alignment vertical="center"/>
    </xf>
    <xf numFmtId="0" fontId="5" fillId="0" borderId="0" applyNumberFormat="0" applyFill="0" applyBorder="0" applyAlignment="0" applyProtection="0">
      <alignment vertical="center"/>
    </xf>
  </cellStyleXfs>
  <cellXfs count="327">
    <xf numFmtId="0" fontId="0" fillId="0" borderId="0" xfId="0">
      <alignment vertical="center"/>
    </xf>
    <xf numFmtId="176" fontId="0" fillId="0" borderId="1" xfId="0" applyNumberFormat="1" applyBorder="1">
      <alignment vertical="center"/>
    </xf>
    <xf numFmtId="176" fontId="0" fillId="0" borderId="3" xfId="0" applyNumberFormat="1" applyBorder="1">
      <alignment vertical="center"/>
    </xf>
    <xf numFmtId="176" fontId="0" fillId="0" borderId="0" xfId="0" applyNumberFormat="1">
      <alignment vertical="center"/>
    </xf>
    <xf numFmtId="176" fontId="0" fillId="2" borderId="3" xfId="0" applyNumberFormat="1" applyFill="1" applyBorder="1">
      <alignment vertical="center"/>
    </xf>
    <xf numFmtId="176" fontId="0" fillId="2" borderId="6" xfId="0" applyNumberFormat="1" applyFill="1" applyBorder="1">
      <alignment vertical="center"/>
    </xf>
    <xf numFmtId="176" fontId="0" fillId="0" borderId="12" xfId="0" applyNumberFormat="1" applyBorder="1">
      <alignment vertical="center"/>
    </xf>
    <xf numFmtId="176" fontId="0" fillId="0" borderId="7" xfId="0" applyNumberFormat="1" applyBorder="1">
      <alignment vertical="center"/>
    </xf>
    <xf numFmtId="176" fontId="0" fillId="0" borderId="6" xfId="0" applyNumberFormat="1" applyBorder="1">
      <alignment vertical="center"/>
    </xf>
    <xf numFmtId="176" fontId="0" fillId="0" borderId="4" xfId="0" applyNumberFormat="1" applyBorder="1">
      <alignment vertical="center"/>
    </xf>
    <xf numFmtId="176" fontId="0" fillId="3" borderId="1" xfId="0" applyNumberFormat="1" applyFill="1" applyBorder="1">
      <alignment vertical="center"/>
    </xf>
    <xf numFmtId="176" fontId="0" fillId="3" borderId="2" xfId="0" applyNumberFormat="1" applyFill="1" applyBorder="1">
      <alignment vertical="center"/>
    </xf>
    <xf numFmtId="176" fontId="0" fillId="3" borderId="4" xfId="0" applyNumberFormat="1" applyFill="1" applyBorder="1">
      <alignment vertical="center"/>
    </xf>
    <xf numFmtId="176" fontId="0" fillId="3" borderId="8" xfId="0" applyNumberFormat="1" applyFill="1" applyBorder="1">
      <alignment vertical="center"/>
    </xf>
    <xf numFmtId="176" fontId="0" fillId="3" borderId="13" xfId="0" applyNumberFormat="1" applyFill="1" applyBorder="1">
      <alignment vertical="center"/>
    </xf>
    <xf numFmtId="176" fontId="0" fillId="3" borderId="5" xfId="0" applyNumberFormat="1" applyFill="1" applyBorder="1">
      <alignment vertical="center"/>
    </xf>
    <xf numFmtId="176" fontId="0" fillId="3" borderId="9" xfId="0" applyNumberFormat="1" applyFill="1" applyBorder="1">
      <alignment vertical="center"/>
    </xf>
    <xf numFmtId="176" fontId="0" fillId="3" borderId="14" xfId="0" applyNumberFormat="1" applyFill="1" applyBorder="1">
      <alignment vertical="center"/>
    </xf>
    <xf numFmtId="176" fontId="0" fillId="0" borderId="18" xfId="0" applyNumberFormat="1" applyBorder="1">
      <alignment vertical="center"/>
    </xf>
    <xf numFmtId="176" fontId="0" fillId="0" borderId="2" xfId="0" applyNumberFormat="1" applyBorder="1">
      <alignment vertical="center"/>
    </xf>
    <xf numFmtId="176" fontId="0" fillId="0" borderId="17" xfId="0" applyNumberFormat="1" applyBorder="1">
      <alignment vertical="center"/>
    </xf>
    <xf numFmtId="176" fontId="0" fillId="2" borderId="1" xfId="0" applyNumberFormat="1" applyFill="1" applyBorder="1">
      <alignment vertical="center"/>
    </xf>
    <xf numFmtId="176" fontId="0" fillId="0" borderId="13" xfId="0" applyNumberFormat="1" applyBorder="1">
      <alignment vertical="center"/>
    </xf>
    <xf numFmtId="176" fontId="0" fillId="0" borderId="19" xfId="0" applyNumberFormat="1" applyBorder="1">
      <alignment vertical="center"/>
    </xf>
    <xf numFmtId="176" fontId="0" fillId="0" borderId="0" xfId="0" applyNumberFormat="1" applyAlignment="1">
      <alignment horizontal="left" vertical="center"/>
    </xf>
    <xf numFmtId="177" fontId="0" fillId="0" borderId="1" xfId="0" applyNumberFormat="1" applyBorder="1">
      <alignment vertical="center"/>
    </xf>
    <xf numFmtId="178" fontId="0" fillId="2" borderId="1" xfId="0" applyNumberFormat="1" applyFill="1" applyBorder="1">
      <alignment vertical="center"/>
    </xf>
    <xf numFmtId="178" fontId="0" fillId="0" borderId="1" xfId="0" applyNumberFormat="1" applyBorder="1">
      <alignment vertical="center"/>
    </xf>
    <xf numFmtId="0" fontId="0" fillId="0" borderId="19" xfId="0" applyBorder="1">
      <alignment vertical="center"/>
    </xf>
    <xf numFmtId="0" fontId="0" fillId="0" borderId="1" xfId="0" applyBorder="1">
      <alignment vertical="center"/>
    </xf>
    <xf numFmtId="176" fontId="0" fillId="3" borderId="11" xfId="0" applyNumberFormat="1" applyFill="1" applyBorder="1">
      <alignment vertical="center"/>
    </xf>
    <xf numFmtId="0" fontId="0" fillId="3" borderId="1" xfId="0" applyFill="1" applyBorder="1">
      <alignment vertical="center"/>
    </xf>
    <xf numFmtId="0" fontId="0" fillId="3" borderId="2" xfId="0" applyFill="1" applyBorder="1">
      <alignment vertical="center"/>
    </xf>
    <xf numFmtId="0" fontId="0" fillId="3" borderId="4" xfId="0" applyFill="1" applyBorder="1">
      <alignment vertical="center"/>
    </xf>
    <xf numFmtId="0" fontId="0" fillId="3" borderId="5" xfId="0" applyFill="1" applyBorder="1">
      <alignment vertical="center"/>
    </xf>
    <xf numFmtId="0" fontId="0" fillId="3" borderId="8" xfId="0" applyFill="1" applyBorder="1">
      <alignment vertical="center"/>
    </xf>
    <xf numFmtId="0" fontId="0" fillId="3" borderId="9" xfId="0" applyFill="1" applyBorder="1">
      <alignment vertical="center"/>
    </xf>
    <xf numFmtId="176" fontId="0" fillId="3" borderId="21" xfId="0" applyNumberFormat="1" applyFill="1" applyBorder="1">
      <alignment vertical="center"/>
    </xf>
    <xf numFmtId="176" fontId="0" fillId="3" borderId="23" xfId="0" applyNumberFormat="1" applyFill="1" applyBorder="1">
      <alignment vertical="center"/>
    </xf>
    <xf numFmtId="176" fontId="0" fillId="3" borderId="22" xfId="0" applyNumberFormat="1" applyFill="1" applyBorder="1">
      <alignment vertical="center"/>
    </xf>
    <xf numFmtId="176" fontId="0" fillId="3" borderId="20" xfId="0" applyNumberFormat="1" applyFill="1" applyBorder="1">
      <alignment vertical="center"/>
    </xf>
    <xf numFmtId="176" fontId="5" fillId="0" borderId="0" xfId="1" applyNumberFormat="1" applyFill="1" applyBorder="1" applyAlignment="1">
      <alignment horizontal="left" vertical="center"/>
    </xf>
    <xf numFmtId="176" fontId="0" fillId="0" borderId="0" xfId="0" applyNumberFormat="1" applyAlignment="1">
      <alignment horizontal="center" vertical="center"/>
    </xf>
    <xf numFmtId="176" fontId="0" fillId="2" borderId="19" xfId="0" applyNumberFormat="1" applyFill="1" applyBorder="1">
      <alignment vertical="center"/>
    </xf>
    <xf numFmtId="0" fontId="0" fillId="0" borderId="3" xfId="0" applyBorder="1">
      <alignment vertical="center"/>
    </xf>
    <xf numFmtId="176" fontId="8" fillId="0" borderId="0" xfId="0" applyNumberFormat="1" applyFont="1">
      <alignment vertical="center"/>
    </xf>
    <xf numFmtId="178" fontId="8" fillId="0" borderId="0" xfId="0" applyNumberFormat="1" applyFont="1" applyAlignment="1">
      <alignment horizontal="left" vertical="center"/>
    </xf>
    <xf numFmtId="178" fontId="8" fillId="0" borderId="1" xfId="0" applyNumberFormat="1" applyFont="1" applyBorder="1" applyAlignment="1">
      <alignment horizontal="left" vertical="center"/>
    </xf>
    <xf numFmtId="176" fontId="8" fillId="0" borderId="1" xfId="0" applyNumberFormat="1" applyFont="1" applyBorder="1">
      <alignment vertical="center"/>
    </xf>
    <xf numFmtId="178" fontId="8" fillId="0" borderId="1" xfId="0" applyNumberFormat="1" applyFont="1" applyBorder="1">
      <alignment vertical="center"/>
    </xf>
    <xf numFmtId="176" fontId="8" fillId="0" borderId="2" xfId="0" applyNumberFormat="1" applyFont="1" applyBorder="1">
      <alignment vertical="center"/>
    </xf>
    <xf numFmtId="176" fontId="8" fillId="0" borderId="1" xfId="0" applyNumberFormat="1" applyFont="1" applyBorder="1" applyAlignment="1">
      <alignment horizontal="left" vertical="center"/>
    </xf>
    <xf numFmtId="176" fontId="8" fillId="0" borderId="19" xfId="0" applyNumberFormat="1" applyFont="1" applyBorder="1">
      <alignment vertical="center"/>
    </xf>
    <xf numFmtId="176" fontId="8" fillId="0" borderId="19" xfId="0" applyNumberFormat="1" applyFont="1" applyBorder="1" applyAlignment="1">
      <alignment horizontal="right" vertical="center"/>
    </xf>
    <xf numFmtId="176" fontId="8" fillId="0" borderId="1" xfId="0" applyNumberFormat="1" applyFont="1" applyBorder="1" applyAlignment="1">
      <alignment horizontal="right" vertical="center"/>
    </xf>
    <xf numFmtId="176" fontId="8" fillId="0" borderId="2" xfId="0" applyNumberFormat="1" applyFont="1" applyBorder="1" applyAlignment="1">
      <alignment horizontal="right" vertical="center"/>
    </xf>
    <xf numFmtId="176" fontId="8" fillId="0" borderId="3" xfId="0" applyNumberFormat="1" applyFont="1" applyBorder="1">
      <alignment vertical="center"/>
    </xf>
    <xf numFmtId="176" fontId="0" fillId="0" borderId="1" xfId="0" applyNumberFormat="1" applyBorder="1" applyAlignment="1">
      <alignment horizontal="left" vertical="center"/>
    </xf>
    <xf numFmtId="179" fontId="0" fillId="0" borderId="1" xfId="0" applyNumberFormat="1" applyBorder="1">
      <alignment vertical="center"/>
    </xf>
    <xf numFmtId="176" fontId="0" fillId="0" borderId="1" xfId="0" applyNumberFormat="1" applyBorder="1" applyAlignment="1">
      <alignment horizontal="right" vertical="center"/>
    </xf>
    <xf numFmtId="176" fontId="0" fillId="2" borderId="1" xfId="0" applyNumberFormat="1" applyFill="1" applyBorder="1" applyAlignment="1">
      <alignment horizontal="right" vertical="center"/>
    </xf>
    <xf numFmtId="176" fontId="7" fillId="2" borderId="1" xfId="0" applyNumberFormat="1" applyFont="1" applyFill="1" applyBorder="1">
      <alignment vertical="center"/>
    </xf>
    <xf numFmtId="176" fontId="0" fillId="0" borderId="21" xfId="0" applyNumberFormat="1" applyBorder="1">
      <alignment vertical="center"/>
    </xf>
    <xf numFmtId="176" fontId="0" fillId="0" borderId="8" xfId="0" applyNumberFormat="1" applyBorder="1">
      <alignment vertical="center"/>
    </xf>
    <xf numFmtId="176" fontId="0" fillId="2" borderId="32" xfId="0" applyNumberFormat="1" applyFill="1" applyBorder="1">
      <alignment vertical="center"/>
    </xf>
    <xf numFmtId="176" fontId="0" fillId="0" borderId="33" xfId="0" applyNumberFormat="1" applyBorder="1">
      <alignment vertical="center"/>
    </xf>
    <xf numFmtId="176" fontId="0" fillId="2" borderId="21" xfId="0" applyNumberFormat="1" applyFill="1" applyBorder="1">
      <alignment vertical="center"/>
    </xf>
    <xf numFmtId="176" fontId="0" fillId="2" borderId="34" xfId="0" applyNumberFormat="1" applyFill="1" applyBorder="1">
      <alignment vertical="center"/>
    </xf>
    <xf numFmtId="176" fontId="4" fillId="0" borderId="0" xfId="0" applyNumberFormat="1" applyFont="1">
      <alignment vertical="center"/>
    </xf>
    <xf numFmtId="176" fontId="8" fillId="0" borderId="11" xfId="0" applyNumberFormat="1" applyFont="1" applyBorder="1">
      <alignment vertical="center"/>
    </xf>
    <xf numFmtId="176" fontId="8" fillId="0" borderId="17" xfId="0" applyNumberFormat="1" applyFont="1" applyBorder="1">
      <alignment vertical="center"/>
    </xf>
    <xf numFmtId="0" fontId="0" fillId="0" borderId="2" xfId="0" applyBorder="1">
      <alignment vertical="center"/>
    </xf>
    <xf numFmtId="176" fontId="0" fillId="3" borderId="3" xfId="0" applyNumberFormat="1" applyFill="1" applyBorder="1">
      <alignment vertical="center"/>
    </xf>
    <xf numFmtId="176" fontId="8" fillId="2" borderId="11" xfId="0" applyNumberFormat="1" applyFont="1" applyFill="1" applyBorder="1">
      <alignment vertical="center"/>
    </xf>
    <xf numFmtId="176" fontId="8" fillId="2" borderId="3" xfId="0" applyNumberFormat="1" applyFont="1" applyFill="1" applyBorder="1">
      <alignment vertical="center"/>
    </xf>
    <xf numFmtId="176" fontId="0" fillId="0" borderId="3" xfId="0" applyNumberFormat="1" applyBorder="1" applyAlignment="1">
      <alignment horizontal="right" vertical="center"/>
    </xf>
    <xf numFmtId="176" fontId="0" fillId="4" borderId="1" xfId="0" applyNumberFormat="1" applyFill="1" applyBorder="1">
      <alignment vertical="center"/>
    </xf>
    <xf numFmtId="176" fontId="0" fillId="3" borderId="35" xfId="0" applyNumberFormat="1" applyFill="1" applyBorder="1">
      <alignment vertical="center"/>
    </xf>
    <xf numFmtId="176" fontId="0" fillId="3" borderId="36" xfId="0" applyNumberFormat="1" applyFill="1" applyBorder="1">
      <alignment vertical="center"/>
    </xf>
    <xf numFmtId="176" fontId="0" fillId="3" borderId="37" xfId="0" applyNumberFormat="1" applyFill="1" applyBorder="1">
      <alignment vertical="center"/>
    </xf>
    <xf numFmtId="176" fontId="8" fillId="0" borderId="38" xfId="0" applyNumberFormat="1" applyFont="1" applyBorder="1">
      <alignment vertical="center"/>
    </xf>
    <xf numFmtId="176" fontId="8" fillId="0" borderId="39" xfId="0" applyNumberFormat="1" applyFont="1" applyBorder="1">
      <alignment vertical="center"/>
    </xf>
    <xf numFmtId="176" fontId="8" fillId="0" borderId="40" xfId="0" applyNumberFormat="1" applyFont="1" applyBorder="1">
      <alignment vertical="center"/>
    </xf>
    <xf numFmtId="176" fontId="8" fillId="0" borderId="41" xfId="0" applyNumberFormat="1" applyFont="1" applyBorder="1">
      <alignment vertical="center"/>
    </xf>
    <xf numFmtId="176" fontId="8" fillId="0" borderId="42" xfId="0" applyNumberFormat="1" applyFont="1" applyBorder="1">
      <alignment vertical="center"/>
    </xf>
    <xf numFmtId="176" fontId="8" fillId="0" borderId="43" xfId="0" applyNumberFormat="1" applyFont="1" applyBorder="1">
      <alignment vertical="center"/>
    </xf>
    <xf numFmtId="176" fontId="8" fillId="0" borderId="44" xfId="0" applyNumberFormat="1" applyFont="1" applyBorder="1">
      <alignment vertical="center"/>
    </xf>
    <xf numFmtId="176" fontId="8" fillId="0" borderId="45" xfId="0" applyNumberFormat="1" applyFont="1" applyBorder="1">
      <alignment vertical="center"/>
    </xf>
    <xf numFmtId="176" fontId="8" fillId="0" borderId="38" xfId="0" applyNumberFormat="1" applyFont="1" applyBorder="1" applyAlignment="1">
      <alignment horizontal="left" vertical="center"/>
    </xf>
    <xf numFmtId="0" fontId="0" fillId="0" borderId="39" xfId="0" applyBorder="1">
      <alignment vertical="center"/>
    </xf>
    <xf numFmtId="176" fontId="8" fillId="0" borderId="46" xfId="0" applyNumberFormat="1" applyFont="1" applyBorder="1" applyAlignment="1">
      <alignment horizontal="left" vertical="center"/>
    </xf>
    <xf numFmtId="176" fontId="8" fillId="0" borderId="48" xfId="0" applyNumberFormat="1" applyFont="1" applyBorder="1">
      <alignment vertical="center"/>
    </xf>
    <xf numFmtId="176" fontId="8" fillId="0" borderId="49" xfId="0" applyNumberFormat="1" applyFont="1" applyBorder="1" applyAlignment="1">
      <alignment horizontal="left" vertical="center"/>
    </xf>
    <xf numFmtId="0" fontId="0" fillId="0" borderId="47" xfId="0" applyBorder="1">
      <alignment vertical="center"/>
    </xf>
    <xf numFmtId="0" fontId="0" fillId="0" borderId="51" xfId="0" applyBorder="1">
      <alignment vertical="center"/>
    </xf>
    <xf numFmtId="0" fontId="0" fillId="0" borderId="52" xfId="0" applyBorder="1">
      <alignment vertical="center"/>
    </xf>
    <xf numFmtId="176" fontId="0" fillId="5" borderId="1" xfId="0" applyNumberFormat="1" applyFill="1" applyBorder="1">
      <alignment vertical="center"/>
    </xf>
    <xf numFmtId="178" fontId="0" fillId="0" borderId="3" xfId="0" applyNumberFormat="1" applyBorder="1">
      <alignment vertical="center"/>
    </xf>
    <xf numFmtId="0" fontId="0" fillId="3" borderId="13" xfId="0" applyFill="1" applyBorder="1">
      <alignment vertical="center"/>
    </xf>
    <xf numFmtId="0" fontId="0" fillId="3" borderId="14" xfId="0" applyFill="1" applyBorder="1">
      <alignment vertical="center"/>
    </xf>
    <xf numFmtId="0" fontId="0" fillId="0" borderId="13" xfId="0" applyBorder="1">
      <alignment vertical="center"/>
    </xf>
    <xf numFmtId="0" fontId="0" fillId="3" borderId="21" xfId="0" applyFill="1" applyBorder="1">
      <alignment vertical="center"/>
    </xf>
    <xf numFmtId="0" fontId="0" fillId="3" borderId="22" xfId="0" applyFill="1" applyBorder="1">
      <alignment vertical="center"/>
    </xf>
    <xf numFmtId="0" fontId="0" fillId="2" borderId="32" xfId="0" applyFill="1" applyBorder="1">
      <alignment vertical="center"/>
    </xf>
    <xf numFmtId="0" fontId="0" fillId="2" borderId="21" xfId="0" applyFill="1" applyBorder="1">
      <alignment vertical="center"/>
    </xf>
    <xf numFmtId="0" fontId="0" fillId="3" borderId="16" xfId="0" applyFill="1" applyBorder="1">
      <alignment vertical="center"/>
    </xf>
    <xf numFmtId="0" fontId="0" fillId="3" borderId="55" xfId="0" applyFill="1" applyBorder="1">
      <alignment vertical="center"/>
    </xf>
    <xf numFmtId="0" fontId="0" fillId="0" borderId="53" xfId="0" applyBorder="1">
      <alignment vertical="center"/>
    </xf>
    <xf numFmtId="0" fontId="0" fillId="0" borderId="54" xfId="0" applyBorder="1">
      <alignment vertical="center"/>
    </xf>
    <xf numFmtId="0" fontId="0" fillId="0" borderId="16" xfId="0" applyBorder="1">
      <alignment vertical="center"/>
    </xf>
    <xf numFmtId="0" fontId="0" fillId="0" borderId="12" xfId="0" applyBorder="1">
      <alignment vertical="center"/>
    </xf>
    <xf numFmtId="0" fontId="0" fillId="0" borderId="8" xfId="0" applyBorder="1">
      <alignment vertical="center"/>
    </xf>
    <xf numFmtId="0" fontId="0" fillId="3" borderId="8" xfId="0" applyFill="1" applyBorder="1" applyAlignment="1">
      <alignment horizontal="center" vertical="center"/>
    </xf>
    <xf numFmtId="176" fontId="0" fillId="0" borderId="2" xfId="0" applyNumberFormat="1" applyBorder="1" applyAlignment="1">
      <alignment horizontal="left" vertical="center"/>
    </xf>
    <xf numFmtId="176" fontId="0" fillId="0" borderId="17" xfId="0" applyNumberFormat="1" applyBorder="1" applyAlignment="1">
      <alignment horizontal="left" vertical="center"/>
    </xf>
    <xf numFmtId="176" fontId="0" fillId="0" borderId="10" xfId="0" applyNumberFormat="1" applyBorder="1">
      <alignment vertical="center"/>
    </xf>
    <xf numFmtId="176" fontId="0" fillId="0" borderId="56" xfId="0" applyNumberFormat="1" applyBorder="1">
      <alignment vertical="center"/>
    </xf>
    <xf numFmtId="0" fontId="0" fillId="2" borderId="1" xfId="0" applyFill="1" applyBorder="1">
      <alignment vertical="center"/>
    </xf>
    <xf numFmtId="178" fontId="0" fillId="2" borderId="3" xfId="0" applyNumberFormat="1" applyFill="1" applyBorder="1">
      <alignment vertical="center"/>
    </xf>
    <xf numFmtId="176" fontId="0" fillId="3" borderId="1" xfId="0" quotePrefix="1" applyNumberFormat="1" applyFill="1" applyBorder="1">
      <alignment vertical="center"/>
    </xf>
    <xf numFmtId="176" fontId="0" fillId="0" borderId="2" xfId="0" applyNumberFormat="1" applyBorder="1" applyAlignment="1"/>
    <xf numFmtId="0" fontId="0" fillId="2" borderId="3" xfId="0" applyFill="1" applyBorder="1">
      <alignment vertical="center"/>
    </xf>
    <xf numFmtId="180" fontId="0" fillId="0" borderId="1" xfId="0" applyNumberFormat="1" applyBorder="1">
      <alignment vertical="center"/>
    </xf>
    <xf numFmtId="181" fontId="0" fillId="0" borderId="1" xfId="0" applyNumberFormat="1" applyBorder="1">
      <alignment vertical="center"/>
    </xf>
    <xf numFmtId="38" fontId="0" fillId="2" borderId="1" xfId="0" applyNumberFormat="1" applyFill="1" applyBorder="1">
      <alignment vertical="center"/>
    </xf>
    <xf numFmtId="3" fontId="0" fillId="0" borderId="0" xfId="0" applyNumberFormat="1">
      <alignment vertical="center"/>
    </xf>
    <xf numFmtId="3" fontId="0" fillId="3" borderId="13" xfId="0" applyNumberFormat="1" applyFill="1" applyBorder="1">
      <alignment vertical="center"/>
    </xf>
    <xf numFmtId="3" fontId="0" fillId="3" borderId="14" xfId="0" applyNumberFormat="1" applyFill="1" applyBorder="1">
      <alignment vertical="center"/>
    </xf>
    <xf numFmtId="3" fontId="0" fillId="2" borderId="7" xfId="0" applyNumberFormat="1" applyFill="1" applyBorder="1">
      <alignment vertical="center"/>
    </xf>
    <xf numFmtId="3" fontId="0" fillId="2" borderId="13" xfId="0" applyNumberFormat="1" applyFill="1" applyBorder="1">
      <alignment vertical="center"/>
    </xf>
    <xf numFmtId="176" fontId="21" fillId="0" borderId="1" xfId="0" applyNumberFormat="1" applyFont="1" applyBorder="1">
      <alignment vertical="center"/>
    </xf>
    <xf numFmtId="0" fontId="21" fillId="0" borderId="0" xfId="0" applyFont="1">
      <alignment vertical="center"/>
    </xf>
    <xf numFmtId="176" fontId="21" fillId="0" borderId="0" xfId="0" applyNumberFormat="1" applyFont="1">
      <alignment vertical="center"/>
    </xf>
    <xf numFmtId="176" fontId="21" fillId="3" borderId="2" xfId="0" applyNumberFormat="1" applyFont="1" applyFill="1" applyBorder="1">
      <alignment vertical="center"/>
    </xf>
    <xf numFmtId="176" fontId="21" fillId="3" borderId="1" xfId="0" applyNumberFormat="1" applyFont="1" applyFill="1" applyBorder="1">
      <alignment vertical="center"/>
    </xf>
    <xf numFmtId="0" fontId="21" fillId="0" borderId="1" xfId="0" applyFont="1" applyBorder="1">
      <alignment vertical="center"/>
    </xf>
    <xf numFmtId="176" fontId="21" fillId="0" borderId="1" xfId="0" applyNumberFormat="1" applyFont="1" applyBorder="1" applyAlignment="1">
      <alignment horizontal="left" vertical="center"/>
    </xf>
    <xf numFmtId="176" fontId="21" fillId="0" borderId="3" xfId="0" applyNumberFormat="1" applyFont="1" applyBorder="1">
      <alignment vertical="center"/>
    </xf>
    <xf numFmtId="176" fontId="21" fillId="2" borderId="3" xfId="0" applyNumberFormat="1" applyFont="1" applyFill="1" applyBorder="1">
      <alignment vertical="center"/>
    </xf>
    <xf numFmtId="176" fontId="21" fillId="0" borderId="2" xfId="0" applyNumberFormat="1" applyFont="1" applyBorder="1">
      <alignment vertical="center"/>
    </xf>
    <xf numFmtId="176" fontId="21" fillId="0" borderId="2" xfId="0" applyNumberFormat="1" applyFont="1" applyBorder="1" applyAlignment="1">
      <alignment horizontal="left" vertical="center"/>
    </xf>
    <xf numFmtId="176" fontId="21" fillId="2" borderId="1" xfId="0" applyNumberFormat="1" applyFont="1" applyFill="1" applyBorder="1">
      <alignment vertical="center"/>
    </xf>
    <xf numFmtId="176" fontId="21" fillId="3" borderId="3" xfId="0" applyNumberFormat="1" applyFont="1" applyFill="1" applyBorder="1">
      <alignment vertical="center"/>
    </xf>
    <xf numFmtId="178" fontId="21" fillId="0" borderId="3" xfId="0" applyNumberFormat="1" applyFont="1" applyBorder="1">
      <alignment vertical="center"/>
    </xf>
    <xf numFmtId="178" fontId="21" fillId="2" borderId="3" xfId="0" applyNumberFormat="1" applyFont="1" applyFill="1" applyBorder="1">
      <alignment vertical="center"/>
    </xf>
    <xf numFmtId="178" fontId="21" fillId="0" borderId="1" xfId="0" applyNumberFormat="1" applyFont="1" applyBorder="1">
      <alignment vertical="center"/>
    </xf>
    <xf numFmtId="176" fontId="21" fillId="0" borderId="17" xfId="0" applyNumberFormat="1" applyFont="1" applyBorder="1">
      <alignment vertical="center"/>
    </xf>
    <xf numFmtId="176" fontId="21" fillId="0" borderId="0" xfId="0" applyNumberFormat="1" applyFont="1" applyAlignment="1">
      <alignment vertical="center" wrapText="1"/>
    </xf>
    <xf numFmtId="176" fontId="21" fillId="4" borderId="1" xfId="0" applyNumberFormat="1" applyFont="1" applyFill="1" applyBorder="1">
      <alignment vertical="center"/>
    </xf>
    <xf numFmtId="0" fontId="21" fillId="3" borderId="1" xfId="0" applyFont="1" applyFill="1" applyBorder="1">
      <alignment vertical="center"/>
    </xf>
    <xf numFmtId="0" fontId="23" fillId="2" borderId="1" xfId="0" applyFont="1" applyFill="1" applyBorder="1">
      <alignment vertical="center"/>
    </xf>
    <xf numFmtId="0" fontId="23" fillId="0" borderId="1" xfId="0" applyFont="1" applyBorder="1">
      <alignment vertical="center"/>
    </xf>
    <xf numFmtId="176" fontId="21" fillId="3" borderId="4" xfId="0" applyNumberFormat="1" applyFont="1" applyFill="1" applyBorder="1">
      <alignment vertical="center"/>
    </xf>
    <xf numFmtId="176" fontId="21" fillId="3" borderId="13" xfId="0" applyNumberFormat="1" applyFont="1" applyFill="1" applyBorder="1">
      <alignment vertical="center"/>
    </xf>
    <xf numFmtId="176" fontId="21" fillId="0" borderId="4" xfId="0" applyNumberFormat="1" applyFont="1" applyBorder="1">
      <alignment vertical="center"/>
    </xf>
    <xf numFmtId="176" fontId="21" fillId="0" borderId="13" xfId="0" applyNumberFormat="1" applyFont="1" applyBorder="1">
      <alignment vertical="center"/>
    </xf>
    <xf numFmtId="176" fontId="21" fillId="0" borderId="17" xfId="0" applyNumberFormat="1" applyFont="1" applyBorder="1" applyAlignment="1">
      <alignment horizontal="left" vertical="center"/>
    </xf>
    <xf numFmtId="176" fontId="21" fillId="0" borderId="10" xfId="0" applyNumberFormat="1" applyFont="1" applyBorder="1">
      <alignment vertical="center"/>
    </xf>
    <xf numFmtId="176" fontId="21" fillId="0" borderId="56" xfId="0" applyNumberFormat="1" applyFont="1" applyBorder="1">
      <alignment vertical="center"/>
    </xf>
    <xf numFmtId="176" fontId="21" fillId="0" borderId="2" xfId="0" applyNumberFormat="1" applyFont="1" applyBorder="1" applyAlignment="1"/>
    <xf numFmtId="0" fontId="21" fillId="0" borderId="19" xfId="0" applyFont="1" applyBorder="1">
      <alignment vertical="center"/>
    </xf>
    <xf numFmtId="0" fontId="21" fillId="2" borderId="19" xfId="0" applyFont="1" applyFill="1" applyBorder="1">
      <alignment vertical="center"/>
    </xf>
    <xf numFmtId="0" fontId="21" fillId="0" borderId="3" xfId="0" applyFont="1" applyBorder="1">
      <alignment vertical="center"/>
    </xf>
    <xf numFmtId="0" fontId="21" fillId="2" borderId="1" xfId="0" applyFont="1" applyFill="1" applyBorder="1">
      <alignment vertical="center"/>
    </xf>
    <xf numFmtId="176" fontId="0" fillId="0" borderId="58" xfId="0" applyNumberFormat="1" applyBorder="1">
      <alignment vertical="center"/>
    </xf>
    <xf numFmtId="176" fontId="0" fillId="0" borderId="21" xfId="0" applyNumberFormat="1" applyBorder="1" applyAlignment="1">
      <alignment horizontal="left" vertical="center"/>
    </xf>
    <xf numFmtId="176" fontId="0" fillId="0" borderId="4" xfId="0" applyNumberFormat="1" applyBorder="1" applyAlignment="1">
      <alignment horizontal="left" vertical="center"/>
    </xf>
    <xf numFmtId="176" fontId="0" fillId="0" borderId="10" xfId="0" applyNumberFormat="1" applyBorder="1" applyAlignment="1">
      <alignment horizontal="left" vertical="center"/>
    </xf>
    <xf numFmtId="176" fontId="0" fillId="0" borderId="14" xfId="0" applyNumberFormat="1" applyBorder="1" applyAlignment="1"/>
    <xf numFmtId="176" fontId="0" fillId="3" borderId="16" xfId="0" applyNumberFormat="1" applyFill="1" applyBorder="1">
      <alignment vertical="center"/>
    </xf>
    <xf numFmtId="176" fontId="0" fillId="0" borderId="16" xfId="0" applyNumberFormat="1" applyBorder="1">
      <alignment vertical="center"/>
    </xf>
    <xf numFmtId="176" fontId="0" fillId="0" borderId="59" xfId="0" applyNumberFormat="1" applyBorder="1">
      <alignment vertical="center"/>
    </xf>
    <xf numFmtId="176" fontId="0" fillId="0" borderId="5" xfId="0" applyNumberFormat="1" applyBorder="1">
      <alignment vertical="center"/>
    </xf>
    <xf numFmtId="178" fontId="0" fillId="2" borderId="19" xfId="0" applyNumberFormat="1" applyFill="1" applyBorder="1">
      <alignment vertical="center"/>
    </xf>
    <xf numFmtId="178" fontId="0" fillId="2" borderId="11" xfId="0" applyNumberFormat="1" applyFill="1" applyBorder="1">
      <alignment vertical="center"/>
    </xf>
    <xf numFmtId="176" fontId="0" fillId="2" borderId="11" xfId="0" applyNumberFormat="1" applyFill="1" applyBorder="1">
      <alignment vertical="center"/>
    </xf>
    <xf numFmtId="176" fontId="0" fillId="0" borderId="11" xfId="0" applyNumberFormat="1" applyBorder="1">
      <alignment vertical="center"/>
    </xf>
    <xf numFmtId="177" fontId="0" fillId="4" borderId="3" xfId="0" applyNumberFormat="1" applyFill="1" applyBorder="1">
      <alignment vertical="center"/>
    </xf>
    <xf numFmtId="178" fontId="0" fillId="4" borderId="3" xfId="0" applyNumberFormat="1" applyFill="1" applyBorder="1">
      <alignment vertical="center"/>
    </xf>
    <xf numFmtId="176" fontId="0" fillId="4" borderId="3" xfId="0" applyNumberFormat="1" applyFill="1" applyBorder="1">
      <alignment vertical="center"/>
    </xf>
    <xf numFmtId="177" fontId="0" fillId="0" borderId="3" xfId="0" applyNumberFormat="1" applyBorder="1">
      <alignment vertical="center"/>
    </xf>
    <xf numFmtId="177" fontId="0" fillId="4" borderId="1" xfId="0" applyNumberFormat="1" applyFill="1" applyBorder="1">
      <alignment vertical="center"/>
    </xf>
    <xf numFmtId="178" fontId="0" fillId="4" borderId="1" xfId="0" applyNumberFormat="1" applyFill="1" applyBorder="1">
      <alignment vertical="center"/>
    </xf>
    <xf numFmtId="0" fontId="0" fillId="4" borderId="7" xfId="0" applyFill="1" applyBorder="1">
      <alignment vertical="center"/>
    </xf>
    <xf numFmtId="0" fontId="0" fillId="4" borderId="3" xfId="0" applyFill="1" applyBorder="1">
      <alignment vertical="center"/>
    </xf>
    <xf numFmtId="0" fontId="0" fillId="4" borderId="34" xfId="0" applyFill="1" applyBorder="1">
      <alignment vertical="center"/>
    </xf>
    <xf numFmtId="0" fontId="0" fillId="4" borderId="13" xfId="0" applyFill="1" applyBorder="1">
      <alignment vertical="center"/>
    </xf>
    <xf numFmtId="0" fontId="0" fillId="4" borderId="1" xfId="0" applyFill="1" applyBorder="1">
      <alignment vertical="center"/>
    </xf>
    <xf numFmtId="0" fontId="0" fillId="4" borderId="21" xfId="0" applyFill="1" applyBorder="1">
      <alignment vertical="center"/>
    </xf>
    <xf numFmtId="0" fontId="0" fillId="4" borderId="6" xfId="0" applyFill="1" applyBorder="1">
      <alignment vertical="center"/>
    </xf>
    <xf numFmtId="0" fontId="0" fillId="4" borderId="4" xfId="0" applyFill="1" applyBorder="1">
      <alignment vertical="center"/>
    </xf>
    <xf numFmtId="176" fontId="0" fillId="0" borderId="22" xfId="0" applyNumberFormat="1" applyBorder="1" applyAlignment="1">
      <alignment horizontal="left" vertical="center"/>
    </xf>
    <xf numFmtId="182" fontId="0" fillId="0" borderId="0" xfId="0" applyNumberFormat="1">
      <alignment vertical="center"/>
    </xf>
    <xf numFmtId="182" fontId="0" fillId="3" borderId="1" xfId="0" applyNumberFormat="1" applyFill="1" applyBorder="1">
      <alignment vertical="center"/>
    </xf>
    <xf numFmtId="182" fontId="0" fillId="0" borderId="1" xfId="0" applyNumberFormat="1" applyBorder="1">
      <alignment vertical="center"/>
    </xf>
    <xf numFmtId="182" fontId="0" fillId="0" borderId="2" xfId="0" applyNumberFormat="1" applyBorder="1">
      <alignment vertical="center"/>
    </xf>
    <xf numFmtId="182" fontId="0" fillId="0" borderId="3" xfId="0" applyNumberFormat="1" applyBorder="1">
      <alignment vertical="center"/>
    </xf>
    <xf numFmtId="176" fontId="22" fillId="2" borderId="1" xfId="0" applyNumberFormat="1" applyFont="1" applyFill="1" applyBorder="1">
      <alignment vertical="center"/>
    </xf>
    <xf numFmtId="176" fontId="22" fillId="0" borderId="1" xfId="0" applyNumberFormat="1" applyFont="1" applyBorder="1">
      <alignment vertical="center"/>
    </xf>
    <xf numFmtId="176" fontId="0" fillId="0" borderId="54" xfId="0" applyNumberFormat="1" applyBorder="1">
      <alignment vertical="center"/>
    </xf>
    <xf numFmtId="178" fontId="0" fillId="0" borderId="19" xfId="0" applyNumberFormat="1" applyBorder="1">
      <alignment vertical="center"/>
    </xf>
    <xf numFmtId="176" fontId="0" fillId="4" borderId="32" xfId="0" applyNumberFormat="1" applyFill="1" applyBorder="1">
      <alignment vertical="center"/>
    </xf>
    <xf numFmtId="176" fontId="0" fillId="4" borderId="21" xfId="0" applyNumberFormat="1" applyFill="1" applyBorder="1">
      <alignment vertical="center"/>
    </xf>
    <xf numFmtId="176" fontId="0" fillId="4" borderId="57" xfId="0" applyNumberFormat="1" applyFill="1" applyBorder="1">
      <alignment vertical="center"/>
    </xf>
    <xf numFmtId="176" fontId="0" fillId="4" borderId="19" xfId="0" applyNumberFormat="1" applyFill="1" applyBorder="1">
      <alignment vertical="center"/>
    </xf>
    <xf numFmtId="176" fontId="0" fillId="4" borderId="54" xfId="0" applyNumberFormat="1" applyFill="1" applyBorder="1">
      <alignment vertical="center"/>
    </xf>
    <xf numFmtId="176" fontId="0" fillId="4" borderId="4" xfId="0" applyNumberFormat="1" applyFill="1" applyBorder="1">
      <alignment vertical="center"/>
    </xf>
    <xf numFmtId="176" fontId="0" fillId="4" borderId="13" xfId="0" applyNumberFormat="1" applyFill="1" applyBorder="1">
      <alignment vertical="center"/>
    </xf>
    <xf numFmtId="176" fontId="0" fillId="0" borderId="13" xfId="0" applyNumberFormat="1" applyBorder="1" applyAlignment="1">
      <alignment horizontal="left" vertical="center"/>
    </xf>
    <xf numFmtId="176" fontId="0" fillId="0" borderId="56" xfId="0" applyNumberFormat="1" applyBorder="1" applyAlignment="1">
      <alignment horizontal="left" vertical="center"/>
    </xf>
    <xf numFmtId="176" fontId="0" fillId="5" borderId="21" xfId="0" applyNumberFormat="1" applyFill="1" applyBorder="1">
      <alignment vertical="center"/>
    </xf>
    <xf numFmtId="176" fontId="0" fillId="0" borderId="22" xfId="0" applyNumberFormat="1" applyBorder="1">
      <alignment vertical="center"/>
    </xf>
    <xf numFmtId="176" fontId="0" fillId="0" borderId="34" xfId="0" applyNumberFormat="1" applyBorder="1">
      <alignment vertical="center"/>
    </xf>
    <xf numFmtId="176" fontId="0" fillId="2" borderId="13" xfId="0" applyNumberFormat="1" applyFill="1" applyBorder="1">
      <alignment vertical="center"/>
    </xf>
    <xf numFmtId="176" fontId="0" fillId="4" borderId="34" xfId="0" applyNumberFormat="1" applyFill="1" applyBorder="1">
      <alignment vertical="center"/>
    </xf>
    <xf numFmtId="176" fontId="0" fillId="4" borderId="6" xfId="0" applyNumberFormat="1" applyFill="1" applyBorder="1">
      <alignment vertical="center"/>
    </xf>
    <xf numFmtId="176" fontId="0" fillId="4" borderId="7" xfId="0" applyNumberFormat="1" applyFill="1" applyBorder="1">
      <alignment vertical="center"/>
    </xf>
    <xf numFmtId="176" fontId="0" fillId="0" borderId="32" xfId="0" applyNumberFormat="1" applyBorder="1">
      <alignment vertical="center"/>
    </xf>
    <xf numFmtId="176" fontId="0" fillId="0" borderId="9" xfId="0" applyNumberFormat="1" applyBorder="1">
      <alignment vertical="center"/>
    </xf>
    <xf numFmtId="0" fontId="0" fillId="0" borderId="5" xfId="0" applyBorder="1">
      <alignment vertical="center"/>
    </xf>
    <xf numFmtId="176" fontId="0" fillId="0" borderId="61" xfId="0" applyNumberFormat="1" applyBorder="1">
      <alignment vertical="center"/>
    </xf>
    <xf numFmtId="0" fontId="0" fillId="0" borderId="62" xfId="0" applyBorder="1">
      <alignment vertical="center"/>
    </xf>
    <xf numFmtId="176" fontId="0" fillId="0" borderId="63" xfId="0" applyNumberFormat="1" applyBorder="1">
      <alignment vertical="center"/>
    </xf>
    <xf numFmtId="176" fontId="0" fillId="2" borderId="1" xfId="0" applyNumberFormat="1" applyFill="1" applyBorder="1" applyAlignment="1">
      <alignment horizontal="center" vertical="center"/>
    </xf>
    <xf numFmtId="176" fontId="0" fillId="2" borderId="57" xfId="0" applyNumberFormat="1" applyFill="1" applyBorder="1">
      <alignment vertical="center"/>
    </xf>
    <xf numFmtId="176" fontId="27" fillId="0" borderId="0" xfId="0" applyNumberFormat="1" applyFont="1">
      <alignment vertical="center"/>
    </xf>
    <xf numFmtId="176" fontId="27" fillId="0" borderId="1" xfId="0" applyNumberFormat="1" applyFont="1" applyBorder="1">
      <alignment vertical="center"/>
    </xf>
    <xf numFmtId="0" fontId="0" fillId="0" borderId="0" xfId="0" applyAlignment="1">
      <alignment horizontal="center" vertical="center"/>
    </xf>
    <xf numFmtId="176" fontId="22" fillId="0" borderId="1" xfId="1" applyNumberFormat="1" applyFont="1" applyBorder="1">
      <alignment vertical="center"/>
    </xf>
    <xf numFmtId="176" fontId="28" fillId="0" borderId="19" xfId="1" applyNumberFormat="1" applyFont="1" applyBorder="1" applyAlignment="1">
      <alignment vertical="center"/>
    </xf>
    <xf numFmtId="176" fontId="28" fillId="0" borderId="1" xfId="1" applyNumberFormat="1" applyFont="1" applyBorder="1" applyAlignment="1">
      <alignment vertical="center"/>
    </xf>
    <xf numFmtId="176" fontId="29" fillId="0" borderId="1" xfId="1" applyNumberFormat="1" applyFont="1" applyBorder="1" applyAlignment="1">
      <alignment vertical="center"/>
    </xf>
    <xf numFmtId="176" fontId="23" fillId="0" borderId="1" xfId="1" applyNumberFormat="1" applyFont="1" applyBorder="1" applyAlignment="1">
      <alignment vertical="center"/>
    </xf>
    <xf numFmtId="176" fontId="23" fillId="0" borderId="1" xfId="1" applyNumberFormat="1" applyFont="1" applyBorder="1" applyAlignment="1">
      <alignment horizontal="left" vertical="center"/>
    </xf>
    <xf numFmtId="0" fontId="0" fillId="0" borderId="0" xfId="0" quotePrefix="1">
      <alignment vertical="center"/>
    </xf>
    <xf numFmtId="176" fontId="0" fillId="6" borderId="1" xfId="0" applyNumberFormat="1" applyFill="1" applyBorder="1">
      <alignment vertical="center"/>
    </xf>
    <xf numFmtId="176" fontId="30" fillId="0" borderId="0" xfId="0" applyNumberFormat="1" applyFont="1">
      <alignment vertical="center"/>
    </xf>
    <xf numFmtId="56" fontId="0" fillId="0" borderId="1" xfId="0" quotePrefix="1" applyNumberFormat="1" applyBorder="1">
      <alignment vertical="center"/>
    </xf>
    <xf numFmtId="0" fontId="0" fillId="0" borderId="65" xfId="0" applyBorder="1">
      <alignment vertical="center"/>
    </xf>
    <xf numFmtId="176" fontId="0" fillId="0" borderId="15" xfId="0" applyNumberFormat="1" applyBorder="1">
      <alignment vertical="center"/>
    </xf>
    <xf numFmtId="176" fontId="0" fillId="0" borderId="64" xfId="0" applyNumberFormat="1" applyBorder="1">
      <alignment vertical="center"/>
    </xf>
    <xf numFmtId="0" fontId="0" fillId="0" borderId="24" xfId="0" applyBorder="1">
      <alignment vertical="center"/>
    </xf>
    <xf numFmtId="0" fontId="0" fillId="0" borderId="25" xfId="0" applyBorder="1">
      <alignment vertical="center"/>
    </xf>
    <xf numFmtId="0" fontId="0" fillId="0" borderId="26" xfId="0" applyBorder="1">
      <alignment vertical="center"/>
    </xf>
    <xf numFmtId="0" fontId="0" fillId="0" borderId="27" xfId="0" applyBorder="1">
      <alignment vertical="center"/>
    </xf>
    <xf numFmtId="0" fontId="0" fillId="0" borderId="28" xfId="0" applyBorder="1">
      <alignment vertical="center"/>
    </xf>
    <xf numFmtId="0" fontId="0" fillId="0" borderId="29" xfId="0" applyBorder="1">
      <alignment vertical="center"/>
    </xf>
    <xf numFmtId="0" fontId="0" fillId="0" borderId="30" xfId="0" applyBorder="1">
      <alignment vertical="center"/>
    </xf>
    <xf numFmtId="0" fontId="0" fillId="0" borderId="31" xfId="0" applyBorder="1">
      <alignment vertical="center"/>
    </xf>
    <xf numFmtId="0" fontId="0" fillId="0" borderId="38" xfId="0" applyBorder="1">
      <alignment vertical="center"/>
    </xf>
    <xf numFmtId="0" fontId="0" fillId="0" borderId="50" xfId="0" applyBorder="1">
      <alignment vertical="center"/>
    </xf>
    <xf numFmtId="176" fontId="27" fillId="0" borderId="3" xfId="0" applyNumberFormat="1" applyFont="1" applyBorder="1">
      <alignment vertical="center"/>
    </xf>
    <xf numFmtId="176" fontId="27" fillId="0" borderId="2" xfId="0" applyNumberFormat="1" applyFont="1" applyBorder="1">
      <alignment vertical="center"/>
    </xf>
    <xf numFmtId="176" fontId="8" fillId="0" borderId="67" xfId="0" applyNumberFormat="1" applyFont="1" applyBorder="1" applyAlignment="1">
      <alignment horizontal="left" vertical="center"/>
    </xf>
    <xf numFmtId="0" fontId="0" fillId="0" borderId="68" xfId="0" applyBorder="1">
      <alignment vertical="center"/>
    </xf>
    <xf numFmtId="0" fontId="2" fillId="2" borderId="68" xfId="0" applyFont="1" applyFill="1" applyBorder="1">
      <alignment vertical="center"/>
    </xf>
    <xf numFmtId="0" fontId="0" fillId="0" borderId="69" xfId="0" applyBorder="1">
      <alignment vertical="center"/>
    </xf>
    <xf numFmtId="176" fontId="0" fillId="0" borderId="11" xfId="0" applyNumberFormat="1" applyBorder="1" applyAlignment="1">
      <alignment horizontal="left" vertical="center"/>
    </xf>
    <xf numFmtId="176" fontId="0" fillId="2" borderId="11" xfId="0" applyNumberFormat="1" applyFill="1" applyBorder="1" applyAlignment="1">
      <alignment horizontal="right" vertical="center"/>
    </xf>
    <xf numFmtId="0" fontId="0" fillId="0" borderId="11" xfId="0" applyBorder="1" applyAlignment="1">
      <alignment horizontal="right" vertical="center"/>
    </xf>
    <xf numFmtId="0" fontId="0" fillId="0" borderId="66" xfId="0" applyBorder="1" applyAlignment="1">
      <alignment horizontal="right" vertical="center"/>
    </xf>
    <xf numFmtId="176" fontId="0" fillId="0" borderId="70" xfId="0" applyNumberFormat="1" applyBorder="1" applyAlignment="1">
      <alignment horizontal="left" vertical="center"/>
    </xf>
    <xf numFmtId="176" fontId="0" fillId="2" borderId="71" xfId="0" applyNumberFormat="1" applyFill="1" applyBorder="1">
      <alignment vertical="center"/>
    </xf>
    <xf numFmtId="176" fontId="0" fillId="2" borderId="72" xfId="0" applyNumberFormat="1" applyFill="1" applyBorder="1">
      <alignment vertical="center"/>
    </xf>
    <xf numFmtId="178" fontId="0" fillId="0" borderId="0" xfId="0" applyNumberFormat="1">
      <alignment vertical="center"/>
    </xf>
    <xf numFmtId="0" fontId="0" fillId="0" borderId="7" xfId="0" applyBorder="1">
      <alignment vertical="center"/>
    </xf>
    <xf numFmtId="176" fontId="0" fillId="0" borderId="14" xfId="0" applyNumberFormat="1" applyBorder="1">
      <alignment vertical="center"/>
    </xf>
    <xf numFmtId="0" fontId="0" fillId="3" borderId="1" xfId="0" applyFill="1" applyBorder="1" applyAlignment="1">
      <alignment horizontal="center" vertical="center"/>
    </xf>
    <xf numFmtId="176" fontId="8" fillId="0" borderId="66" xfId="0" applyNumberFormat="1" applyFont="1" applyBorder="1">
      <alignment vertical="center"/>
    </xf>
    <xf numFmtId="0" fontId="0" fillId="0" borderId="1" xfId="0" applyBorder="1" applyAlignment="1">
      <alignment vertical="center" wrapText="1"/>
    </xf>
    <xf numFmtId="176" fontId="0" fillId="3" borderId="4" xfId="0" applyNumberFormat="1" applyFill="1" applyBorder="1" applyAlignment="1">
      <alignment horizontal="centerContinuous" vertical="center"/>
    </xf>
    <xf numFmtId="176" fontId="0" fillId="3" borderId="16" xfId="0" applyNumberFormat="1" applyFill="1" applyBorder="1" applyAlignment="1">
      <alignment horizontal="centerContinuous" vertical="center"/>
    </xf>
    <xf numFmtId="176" fontId="0" fillId="3" borderId="13" xfId="0" applyNumberFormat="1" applyFill="1" applyBorder="1" applyAlignment="1">
      <alignment horizontal="centerContinuous" vertical="center"/>
    </xf>
    <xf numFmtId="49" fontId="0" fillId="3" borderId="4" xfId="0" applyNumberFormat="1" applyFill="1" applyBorder="1" applyAlignment="1">
      <alignment horizontal="centerContinuous" vertical="center"/>
    </xf>
    <xf numFmtId="49" fontId="0" fillId="3" borderId="16" xfId="0" applyNumberFormat="1" applyFill="1" applyBorder="1" applyAlignment="1">
      <alignment horizontal="centerContinuous" vertical="center"/>
    </xf>
    <xf numFmtId="49" fontId="0" fillId="3" borderId="13" xfId="0" applyNumberFormat="1" applyFill="1" applyBorder="1" applyAlignment="1">
      <alignment horizontal="centerContinuous" vertical="center"/>
    </xf>
    <xf numFmtId="176" fontId="0" fillId="3" borderId="17" xfId="0" applyNumberFormat="1" applyFill="1" applyBorder="1">
      <alignment vertical="center"/>
    </xf>
    <xf numFmtId="176" fontId="0" fillId="0" borderId="66" xfId="0" applyNumberFormat="1" applyBorder="1">
      <alignment vertical="center"/>
    </xf>
    <xf numFmtId="176" fontId="0" fillId="0" borderId="73" xfId="0" applyNumberFormat="1" applyBorder="1">
      <alignment vertical="center"/>
    </xf>
    <xf numFmtId="176" fontId="0" fillId="0" borderId="74" xfId="0" applyNumberFormat="1" applyBorder="1">
      <alignment vertical="center"/>
    </xf>
    <xf numFmtId="176" fontId="0" fillId="0" borderId="75" xfId="0" applyNumberFormat="1" applyBorder="1">
      <alignment vertical="center"/>
    </xf>
    <xf numFmtId="0" fontId="0" fillId="0" borderId="1" xfId="0" applyBorder="1" applyAlignment="1">
      <alignment horizontal="center" vertical="center"/>
    </xf>
    <xf numFmtId="0" fontId="0" fillId="2" borderId="4" xfId="0" applyFill="1" applyBorder="1" applyAlignment="1">
      <alignment horizontal="centerContinuous" vertical="center"/>
    </xf>
    <xf numFmtId="0" fontId="0" fillId="2" borderId="13" xfId="0" applyFill="1" applyBorder="1" applyAlignment="1">
      <alignment horizontal="centerContinuous" vertical="center"/>
    </xf>
    <xf numFmtId="0" fontId="0" fillId="0" borderId="0" xfId="0" applyAlignment="1">
      <alignment vertical="top" wrapText="1"/>
    </xf>
    <xf numFmtId="0" fontId="0" fillId="0" borderId="64" xfId="0" applyBorder="1">
      <alignment vertical="center"/>
    </xf>
    <xf numFmtId="176" fontId="0" fillId="0" borderId="63" xfId="0" applyNumberFormat="1" applyBorder="1" applyAlignment="1">
      <alignment horizontal="center" vertical="center"/>
    </xf>
    <xf numFmtId="0" fontId="0" fillId="0" borderId="15" xfId="0" applyBorder="1">
      <alignment vertical="center"/>
    </xf>
    <xf numFmtId="0" fontId="0" fillId="7" borderId="1" xfId="0" applyFill="1" applyBorder="1">
      <alignment vertical="center"/>
    </xf>
    <xf numFmtId="176" fontId="0" fillId="2" borderId="4" xfId="0" applyNumberFormat="1" applyFill="1" applyBorder="1">
      <alignment vertical="center"/>
    </xf>
    <xf numFmtId="176" fontId="0" fillId="0" borderId="60" xfId="0" applyNumberFormat="1" applyBorder="1">
      <alignment vertical="center"/>
    </xf>
    <xf numFmtId="176" fontId="8" fillId="0" borderId="40" xfId="0" applyNumberFormat="1" applyFont="1" applyBorder="1" applyAlignment="1">
      <alignment horizontal="left" vertical="center"/>
    </xf>
    <xf numFmtId="183" fontId="0" fillId="2" borderId="1" xfId="0" applyNumberFormat="1" applyFill="1" applyBorder="1">
      <alignment vertical="center"/>
    </xf>
    <xf numFmtId="183" fontId="0" fillId="0" borderId="1" xfId="0" applyNumberFormat="1" applyBorder="1">
      <alignment vertical="center"/>
    </xf>
    <xf numFmtId="183" fontId="0" fillId="0" borderId="51" xfId="0" applyNumberFormat="1" applyBorder="1">
      <alignment vertical="center"/>
    </xf>
    <xf numFmtId="176" fontId="7" fillId="3" borderId="1" xfId="0" applyNumberFormat="1" applyFont="1" applyFill="1" applyBorder="1">
      <alignment vertical="center"/>
    </xf>
    <xf numFmtId="178" fontId="0" fillId="8" borderId="1" xfId="0" applyNumberFormat="1" applyFill="1" applyBorder="1">
      <alignment vertical="center"/>
    </xf>
    <xf numFmtId="176" fontId="0" fillId="0" borderId="3" xfId="0" applyNumberFormat="1" applyBorder="1" applyAlignment="1">
      <alignment horizontal="left" vertical="center"/>
    </xf>
    <xf numFmtId="176" fontId="0" fillId="0" borderId="72" xfId="0" applyNumberFormat="1" applyBorder="1" applyAlignment="1">
      <alignment horizontal="left" vertical="center"/>
    </xf>
    <xf numFmtId="176" fontId="0" fillId="3" borderId="76" xfId="0" applyNumberFormat="1" applyFill="1" applyBorder="1">
      <alignment vertical="center"/>
    </xf>
    <xf numFmtId="176" fontId="0" fillId="3" borderId="74" xfId="0" applyNumberFormat="1" applyFill="1" applyBorder="1">
      <alignment vertical="center"/>
    </xf>
    <xf numFmtId="176" fontId="0" fillId="3" borderId="77" xfId="0" applyNumberFormat="1" applyFill="1" applyBorder="1">
      <alignment vertical="center"/>
    </xf>
    <xf numFmtId="0" fontId="20" fillId="0" borderId="0" xfId="0" applyFont="1" applyAlignment="1">
      <alignment vertical="top"/>
    </xf>
    <xf numFmtId="0" fontId="20" fillId="0" borderId="24" xfId="0" applyFont="1" applyBorder="1" applyAlignment="1">
      <alignment horizontal="left" vertical="top" wrapText="1"/>
    </xf>
    <xf numFmtId="0" fontId="20" fillId="0" borderId="25" xfId="0" applyFont="1" applyBorder="1" applyAlignment="1">
      <alignment horizontal="left" vertical="top" wrapText="1"/>
    </xf>
    <xf numFmtId="0" fontId="20" fillId="0" borderId="26" xfId="0" applyFont="1" applyBorder="1" applyAlignment="1">
      <alignment horizontal="left" vertical="top" wrapText="1"/>
    </xf>
    <xf numFmtId="0" fontId="20" fillId="0" borderId="27" xfId="0" applyFont="1" applyBorder="1" applyAlignment="1">
      <alignment horizontal="left" vertical="top" wrapText="1"/>
    </xf>
    <xf numFmtId="0" fontId="20" fillId="0" borderId="0" xfId="0" applyFont="1" applyAlignment="1">
      <alignment horizontal="left" vertical="top" wrapText="1"/>
    </xf>
    <xf numFmtId="0" fontId="20" fillId="0" borderId="28" xfId="0" applyFont="1" applyBorder="1" applyAlignment="1">
      <alignment horizontal="left" vertical="top" wrapText="1"/>
    </xf>
    <xf numFmtId="0" fontId="20" fillId="0" borderId="29" xfId="0" applyFont="1" applyBorder="1" applyAlignment="1">
      <alignment horizontal="left" vertical="top" wrapText="1"/>
    </xf>
    <xf numFmtId="0" fontId="20" fillId="0" borderId="30" xfId="0" applyFont="1" applyBorder="1" applyAlignment="1">
      <alignment horizontal="left" vertical="top" wrapText="1"/>
    </xf>
    <xf numFmtId="0" fontId="20" fillId="0" borderId="31" xfId="0" applyFont="1" applyBorder="1" applyAlignment="1">
      <alignment horizontal="left" vertical="top" wrapText="1"/>
    </xf>
    <xf numFmtId="176" fontId="22" fillId="0" borderId="4" xfId="1" applyNumberFormat="1" applyFont="1" applyBorder="1" applyAlignment="1">
      <alignment vertical="center"/>
    </xf>
    <xf numFmtId="176" fontId="22" fillId="0" borderId="16" xfId="1" applyNumberFormat="1" applyFont="1" applyBorder="1" applyAlignment="1">
      <alignment vertical="center"/>
    </xf>
    <xf numFmtId="176" fontId="22" fillId="0" borderId="13" xfId="1" applyNumberFormat="1" applyFont="1" applyBorder="1" applyAlignment="1">
      <alignment vertical="center"/>
    </xf>
    <xf numFmtId="176" fontId="0" fillId="3" borderId="5" xfId="0" applyNumberFormat="1" applyFill="1" applyBorder="1">
      <alignment vertical="center"/>
    </xf>
    <xf numFmtId="176" fontId="0" fillId="3" borderId="55" xfId="0" applyNumberFormat="1" applyFill="1" applyBorder="1">
      <alignment vertical="center"/>
    </xf>
    <xf numFmtId="176" fontId="0" fillId="3" borderId="14" xfId="0" applyNumberFormat="1" applyFill="1" applyBorder="1">
      <alignment vertical="center"/>
    </xf>
    <xf numFmtId="176" fontId="22" fillId="0" borderId="57" xfId="1" applyNumberFormat="1" applyFont="1" applyBorder="1" applyAlignment="1">
      <alignment vertical="center"/>
    </xf>
    <xf numFmtId="176" fontId="22" fillId="0" borderId="53" xfId="1" applyNumberFormat="1" applyFont="1" applyBorder="1" applyAlignment="1">
      <alignment vertical="center"/>
    </xf>
    <xf numFmtId="176" fontId="22" fillId="0" borderId="54" xfId="1" applyNumberFormat="1" applyFont="1" applyBorder="1" applyAlignment="1">
      <alignment vertical="center"/>
    </xf>
    <xf numFmtId="176" fontId="8" fillId="0" borderId="1" xfId="0" applyNumberFormat="1" applyFont="1" applyBorder="1" applyAlignment="1">
      <alignment horizontal="left" vertical="center"/>
    </xf>
    <xf numFmtId="176" fontId="8" fillId="0" borderId="2" xfId="0" applyNumberFormat="1" applyFont="1" applyBorder="1" applyAlignment="1">
      <alignment horizontal="left" vertical="center"/>
    </xf>
    <xf numFmtId="176" fontId="8" fillId="0" borderId="19" xfId="0" applyNumberFormat="1" applyFont="1" applyBorder="1" applyAlignment="1">
      <alignment horizontal="left" vertical="center"/>
    </xf>
    <xf numFmtId="176" fontId="8" fillId="0" borderId="3" xfId="0" applyNumberFormat="1" applyFont="1" applyBorder="1" applyAlignment="1">
      <alignment horizontal="left" vertical="center"/>
    </xf>
    <xf numFmtId="178" fontId="8" fillId="0" borderId="1" xfId="0" applyNumberFormat="1" applyFont="1" applyBorder="1" applyAlignment="1">
      <alignment horizontal="center" vertical="center"/>
    </xf>
    <xf numFmtId="176" fontId="8" fillId="0" borderId="1" xfId="0" applyNumberFormat="1" applyFont="1" applyBorder="1" applyAlignment="1">
      <alignment horizontal="center" vertical="center"/>
    </xf>
  </cellXfs>
  <cellStyles count="2">
    <cellStyle name="ハイパーリンク" xfId="1" builtinId="8"/>
    <cellStyle name="標準" xfId="0" builtinId="0"/>
  </cellStyles>
  <dxfs count="5">
    <dxf>
      <fill>
        <patternFill>
          <bgColor rgb="FFFFC7CE"/>
        </patternFill>
      </fill>
    </dxf>
    <dxf>
      <font>
        <color auto="1"/>
      </font>
      <fill>
        <patternFill>
          <bgColor theme="5" tint="0.39994506668294322"/>
        </patternFill>
      </fill>
    </dxf>
    <dxf>
      <font>
        <color rgb="FF9C0006"/>
      </font>
      <fill>
        <patternFill>
          <bgColor rgb="FFFFC7CE"/>
        </patternFill>
      </fill>
    </dxf>
    <dxf>
      <fill>
        <patternFill>
          <bgColor theme="5" tint="0.39994506668294322"/>
        </patternFill>
      </fill>
    </dxf>
    <dxf>
      <fill>
        <patternFill>
          <bgColor theme="5"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抗力</a:t>
            </a:r>
          </a:p>
        </c:rich>
      </c:tx>
      <c:layout>
        <c:manualLayout>
          <c:xMode val="edge"/>
          <c:yMode val="edge"/>
          <c:x val="8.08185352170952E-2"/>
          <c:y val="4.91228070175438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pieChart>
        <c:varyColors val="1"/>
        <c:ser>
          <c:idx val="0"/>
          <c:order val="0"/>
          <c:tx>
            <c:strRef>
              <c:f>全機諸元!$Q$49:$Q$56</c:f>
              <c:strCache>
                <c:ptCount val="8"/>
                <c:pt idx="0">
                  <c:v>主翼誘導抗力</c:v>
                </c:pt>
                <c:pt idx="1">
                  <c:v>主翼有害抗力</c:v>
                </c:pt>
                <c:pt idx="2">
                  <c:v>水平誘導抗力</c:v>
                </c:pt>
                <c:pt idx="3">
                  <c:v>水平有害抗力</c:v>
                </c:pt>
                <c:pt idx="4">
                  <c:v>垂直尾翼抗力</c:v>
                </c:pt>
                <c:pt idx="5">
                  <c:v>カウル抗力</c:v>
                </c:pt>
                <c:pt idx="6">
                  <c:v>胴体桁抗力</c:v>
                </c:pt>
                <c:pt idx="7">
                  <c:v>干渉抗力</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24D-40B8-8252-68698580E26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24D-40B8-8252-68698580E26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24D-40B8-8252-68698580E26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24D-40B8-8252-68698580E26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24D-40B8-8252-68698580E26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24D-40B8-8252-68698580E26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24D-40B8-8252-68698580E26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F24D-40B8-8252-68698580E26B}"/>
              </c:ext>
            </c:extLst>
          </c:dPt>
          <c:val>
            <c:numRef>
              <c:f>全機諸元!$S$49:$S$56</c:f>
              <c:numCache>
                <c:formatCode>General</c:formatCode>
                <c:ptCount val="8"/>
                <c:pt idx="0">
                  <c:v>1</c:v>
                </c:pt>
                <c:pt idx="1">
                  <c:v>1</c:v>
                </c:pt>
                <c:pt idx="2">
                  <c:v>1</c:v>
                </c:pt>
                <c:pt idx="3">
                  <c:v>1</c:v>
                </c:pt>
                <c:pt idx="4">
                  <c:v>1</c:v>
                </c:pt>
                <c:pt idx="5">
                  <c:v>1</c:v>
                </c:pt>
                <c:pt idx="6">
                  <c:v>1</c:v>
                </c:pt>
                <c:pt idx="7">
                  <c:v>1</c:v>
                </c:pt>
              </c:numCache>
            </c:numRef>
          </c:val>
          <c:extLst>
            <c:ext xmlns:c16="http://schemas.microsoft.com/office/drawing/2014/chart" uri="{C3380CC4-5D6E-409C-BE32-E72D297353CC}">
              <c16:uniqueId val="{00000000-5A9A-4AF9-8B33-65450A5EEE31}"/>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循環分布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7.6654533374191314E-2"/>
          <c:y val="0.10781626227854844"/>
          <c:w val="0.80797022910917715"/>
          <c:h val="0.75494544938241315"/>
        </c:manualLayout>
      </c:layout>
      <c:scatterChart>
        <c:scatterStyle val="lineMarker"/>
        <c:varyColors val="0"/>
        <c:ser>
          <c:idx val="2"/>
          <c:order val="0"/>
          <c:tx>
            <c:v>循環</c:v>
          </c:tx>
          <c:spPr>
            <a:ln w="19050" cap="rnd">
              <a:solidFill>
                <a:schemeClr val="accent3"/>
              </a:solidFill>
              <a:round/>
            </a:ln>
            <a:effectLst/>
          </c:spPr>
          <c:marker>
            <c:symbol val="none"/>
          </c:marker>
          <c:x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xVal>
          <c:y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yVal>
          <c:smooth val="0"/>
          <c:extLst>
            <c:ext xmlns:c16="http://schemas.microsoft.com/office/drawing/2014/chart" uri="{C3380CC4-5D6E-409C-BE32-E72D297353CC}">
              <c16:uniqueId val="{00000000-A601-8A40-BDCF-89F60405A3A3}"/>
            </c:ext>
          </c:extLst>
        </c:ser>
        <c:ser>
          <c:idx val="0"/>
          <c:order val="1"/>
          <c:tx>
            <c:v>TR-797</c:v>
          </c:tx>
          <c:spPr>
            <a:ln w="19050" cap="rnd">
              <a:solidFill>
                <a:schemeClr val="accent1"/>
              </a:solidFill>
              <a:round/>
            </a:ln>
            <a:effectLst/>
          </c:spPr>
          <c:marker>
            <c:symbol val="none"/>
          </c:marker>
          <c:x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xVal>
          <c:y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yVal>
          <c:smooth val="0"/>
          <c:extLst>
            <c:ext xmlns:c16="http://schemas.microsoft.com/office/drawing/2014/chart" uri="{C3380CC4-5D6E-409C-BE32-E72D297353CC}">
              <c16:uniqueId val="{00000001-A601-8A40-BDCF-89F60405A3A3}"/>
            </c:ext>
          </c:extLst>
        </c:ser>
        <c:ser>
          <c:idx val="1"/>
          <c:order val="2"/>
          <c:tx>
            <c:v>楕円分布</c:v>
          </c:tx>
          <c:spPr>
            <a:ln w="19050" cap="rnd">
              <a:solidFill>
                <a:schemeClr val="accent2"/>
              </a:solidFill>
              <a:round/>
            </a:ln>
            <a:effectLst/>
          </c:spPr>
          <c:marker>
            <c:symbol val="none"/>
          </c:marker>
          <c:x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xVal>
          <c:y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yVal>
          <c:smooth val="0"/>
          <c:extLst>
            <c:ext xmlns:c16="http://schemas.microsoft.com/office/drawing/2014/chart" uri="{C3380CC4-5D6E-409C-BE32-E72D297353CC}">
              <c16:uniqueId val="{00000002-A601-8A40-BDCF-89F60405A3A3}"/>
            </c:ext>
          </c:extLst>
        </c:ser>
        <c:dLbls>
          <c:showLegendKey val="0"/>
          <c:showVal val="0"/>
          <c:showCatName val="0"/>
          <c:showSerName val="0"/>
          <c:showPercent val="0"/>
          <c:showBubbleSize val="0"/>
        </c:dLbls>
        <c:axId val="282092623"/>
        <c:axId val="70356463"/>
      </c:scatterChart>
      <c:valAx>
        <c:axId val="2820926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70356463"/>
        <c:crosses val="autoZero"/>
        <c:crossBetween val="midCat"/>
        <c:majorUnit val="1"/>
      </c:valAx>
      <c:valAx>
        <c:axId val="7035646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循環</a:t>
                </a:r>
                <a:r>
                  <a:rPr lang="en-US" altLang="ja-JP"/>
                  <a:t>Γc</a:t>
                </a:r>
                <a:r>
                  <a:rPr lang="en-US" altLang="ja-JP" baseline="0"/>
                  <a:t> [m^2]</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82092623"/>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迎角・有効迎角分布</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0.12389667108820784"/>
          <c:y val="0.18365923275891921"/>
          <c:w val="0.82070625198836478"/>
          <c:h val="0.58204813837084468"/>
        </c:manualLayout>
      </c:layout>
      <c:scatterChart>
        <c:scatterStyle val="lineMarker"/>
        <c:varyColors val="0"/>
        <c:ser>
          <c:idx val="1"/>
          <c:order val="0"/>
          <c:tx>
            <c:v>吹きおろし</c:v>
          </c:tx>
          <c:spPr>
            <a:ln w="19050" cap="rnd">
              <a:solidFill>
                <a:schemeClr val="accent5">
                  <a:tint val="77000"/>
                </a:schemeClr>
              </a:solidFill>
              <a:round/>
            </a:ln>
            <a:effectLst/>
          </c:spPr>
          <c:marker>
            <c:symbol val="circle"/>
            <c:size val="5"/>
            <c:spPr>
              <a:solidFill>
                <a:schemeClr val="accent5">
                  <a:tint val="77000"/>
                </a:schemeClr>
              </a:solidFill>
              <a:ln w="9525">
                <a:solidFill>
                  <a:schemeClr val="accent5">
                    <a:tint val="77000"/>
                  </a:schemeClr>
                </a:solidFill>
              </a:ln>
              <a:effectLst/>
            </c:spPr>
          </c:marker>
          <c:x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xVal>
          <c:y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yVal>
          <c:smooth val="0"/>
          <c:extLst>
            <c:ext xmlns:c16="http://schemas.microsoft.com/office/drawing/2014/chart" uri="{C3380CC4-5D6E-409C-BE32-E72D297353CC}">
              <c16:uniqueId val="{00000000-5A50-444F-9B4B-2367D34FF293}"/>
            </c:ext>
          </c:extLst>
        </c:ser>
        <c:ser>
          <c:idx val="0"/>
          <c:order val="1"/>
          <c:tx>
            <c:v>TR797</c:v>
          </c:tx>
          <c:spPr>
            <a:ln w="19050" cap="rnd">
              <a:solidFill>
                <a:schemeClr val="accent5">
                  <a:shade val="76000"/>
                </a:schemeClr>
              </a:solidFill>
              <a:round/>
            </a:ln>
            <a:effectLst/>
          </c:spPr>
          <c:marker>
            <c:symbol val="circle"/>
            <c:size val="5"/>
            <c:spPr>
              <a:solidFill>
                <a:schemeClr val="accent5">
                  <a:shade val="76000"/>
                </a:schemeClr>
              </a:solidFill>
              <a:ln w="9525">
                <a:solidFill>
                  <a:schemeClr val="accent5">
                    <a:shade val="76000"/>
                  </a:schemeClr>
                </a:solidFill>
              </a:ln>
              <a:effectLst/>
            </c:spPr>
          </c:marker>
          <c:x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xVal>
          <c:y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yVal>
          <c:smooth val="0"/>
          <c:extLst>
            <c:ext xmlns:c16="http://schemas.microsoft.com/office/drawing/2014/chart" uri="{C3380CC4-5D6E-409C-BE32-E72D297353CC}">
              <c16:uniqueId val="{00000001-5A50-444F-9B4B-2367D34FF293}"/>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1"/>
      </c:valAx>
      <c:valAx>
        <c:axId val="17206420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z [m]</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t>高さ</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7.0651535681916289E-2"/>
          <c:y val="0.18365923275891921"/>
          <c:w val="0.86650988476891266"/>
          <c:h val="0.70796071842080543"/>
        </c:manualLayout>
      </c:layout>
      <c:scatterChart>
        <c:scatterStyle val="lineMarker"/>
        <c:varyColors val="0"/>
        <c:ser>
          <c:idx val="0"/>
          <c:order val="0"/>
          <c:tx>
            <c:strRef>
              <c:f>'主翼（空力）'!$AK$48</c:f>
              <c:strCache>
                <c:ptCount val="1"/>
                <c:pt idx="0">
                  <c:v>高さ</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'主翼（空力）'!$C$51:$C$120</c:f>
              <c:numCache>
                <c:formatCode>0.000_ ;[Red]\-0.000\ </c:formatCode>
                <c:ptCount val="7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numCache>
            </c:numRef>
          </c:xVal>
          <c:yVal>
            <c:numRef>
              <c:f>'主翼（空力）'!$AK$51:$AK$111</c:f>
              <c:numCache>
                <c:formatCode>0.000_ ;[Red]\-0.000\ </c:formatCode>
                <c:ptCount val="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1.8280401510772121E-2</c:v>
                </c:pt>
                <c:pt idx="47">
                  <c:v>3.6560803021544241E-2</c:v>
                </c:pt>
                <c:pt idx="48">
                  <c:v>5.4841204532316362E-2</c:v>
                </c:pt>
                <c:pt idx="49">
                  <c:v>7.3121606043088483E-2</c:v>
                </c:pt>
                <c:pt idx="50">
                  <c:v>9.1402007553860604E-2</c:v>
                </c:pt>
                <c:pt idx="51">
                  <c:v>0.10968240906463272</c:v>
                </c:pt>
                <c:pt idx="52">
                  <c:v>0.12796281057540485</c:v>
                </c:pt>
                <c:pt idx="53">
                  <c:v>0.14624321208617697</c:v>
                </c:pt>
                <c:pt idx="54">
                  <c:v>0.16452361359694909</c:v>
                </c:pt>
                <c:pt idx="55">
                  <c:v>0.18280401510772121</c:v>
                </c:pt>
                <c:pt idx="56">
                  <c:v>0.20108441661849333</c:v>
                </c:pt>
                <c:pt idx="57">
                  <c:v>0.21936481812926545</c:v>
                </c:pt>
                <c:pt idx="58">
                  <c:v>0.23764521964003757</c:v>
                </c:pt>
                <c:pt idx="59">
                  <c:v>0.25592562115080969</c:v>
                </c:pt>
                <c:pt idx="60">
                  <c:v>0.27420602266158178</c:v>
                </c:pt>
              </c:numCache>
            </c:numRef>
          </c:yVal>
          <c:smooth val="0"/>
          <c:extLst>
            <c:ext xmlns:c16="http://schemas.microsoft.com/office/drawing/2014/chart" uri="{C3380CC4-5D6E-409C-BE32-E72D297353CC}">
              <c16:uniqueId val="{00000000-ADA6-4F26-84ED-2F5C78A93BD8}"/>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[m]</a:t>
                </a:r>
                <a:endParaRPr lang="ja-JP"/>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ja-JP"/>
            </a:p>
          </c:txPr>
        </c:title>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0.5"/>
      </c:valAx>
      <c:valAx>
        <c:axId val="1720642095"/>
        <c:scaling>
          <c:orientation val="minMax"/>
          <c:max val="2.5"/>
          <c:min val="-0.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z [m]</a:t>
                </a:r>
                <a:endParaRPr lang="ja-JP"/>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maj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主翼平面形</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6.668941002134629E-2"/>
          <c:y val="0.20492519685039368"/>
          <c:w val="0.90662306629776335"/>
          <c:h val="0.74014960629921256"/>
        </c:manualLayout>
      </c:layout>
      <c:scatterChart>
        <c:scatterStyle val="lineMarker"/>
        <c:varyColors val="0"/>
        <c:ser>
          <c:idx val="0"/>
          <c:order val="0"/>
          <c:tx>
            <c:strRef>
              <c:f>'主翼（空力）'!$AH$48</c:f>
              <c:strCache>
                <c:ptCount val="1"/>
                <c:pt idx="0">
                  <c:v>前縁位置</c:v>
                </c:pt>
              </c:strCache>
            </c:strRef>
          </c:tx>
          <c:spPr>
            <a:ln w="19050" cap="rnd">
              <a:solidFill>
                <a:schemeClr val="accent1"/>
              </a:solidFill>
              <a:round/>
            </a:ln>
            <a:effectLst/>
          </c:spPr>
          <c:marker>
            <c:symbol val="none"/>
          </c:marker>
          <c:x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xVal>
          <c:yVal>
            <c:numRef>
              <c:f>'主翼（空力）'!$AH$51:$AH$150</c:f>
              <c:numCache>
                <c:formatCode>0.000_ ;[Red]\-0.000\ </c:formatCode>
                <c:ptCount val="100"/>
                <c:pt idx="0">
                  <c:v>0.40500000000000003</c:v>
                </c:pt>
                <c:pt idx="1">
                  <c:v>0.40500000000000003</c:v>
                </c:pt>
                <c:pt idx="2">
                  <c:v>0.40500000000000003</c:v>
                </c:pt>
                <c:pt idx="3">
                  <c:v>0.40500000000000003</c:v>
                </c:pt>
                <c:pt idx="4">
                  <c:v>0.40500000000000003</c:v>
                </c:pt>
                <c:pt idx="5">
                  <c:v>0.40500000000000003</c:v>
                </c:pt>
                <c:pt idx="6">
                  <c:v>0.40500000000000003</c:v>
                </c:pt>
                <c:pt idx="7">
                  <c:v>0.40500000000000003</c:v>
                </c:pt>
                <c:pt idx="8">
                  <c:v>0.40243421052631578</c:v>
                </c:pt>
                <c:pt idx="9">
                  <c:v>0.39986842105263165</c:v>
                </c:pt>
                <c:pt idx="10">
                  <c:v>0.39730263157894735</c:v>
                </c:pt>
                <c:pt idx="11">
                  <c:v>0.39473684210526322</c:v>
                </c:pt>
                <c:pt idx="12">
                  <c:v>0.39217105263157898</c:v>
                </c:pt>
                <c:pt idx="13">
                  <c:v>0.38960526315789479</c:v>
                </c:pt>
                <c:pt idx="14">
                  <c:v>0.38703947368421054</c:v>
                </c:pt>
                <c:pt idx="15">
                  <c:v>0.38447368421052636</c:v>
                </c:pt>
                <c:pt idx="16">
                  <c:v>0.38190789473684211</c:v>
                </c:pt>
                <c:pt idx="17">
                  <c:v>0.37934210526315792</c:v>
                </c:pt>
                <c:pt idx="18">
                  <c:v>0.37677631578947363</c:v>
                </c:pt>
                <c:pt idx="19">
                  <c:v>0.37421052631578955</c:v>
                </c:pt>
                <c:pt idx="20">
                  <c:v>0.37164473684210525</c:v>
                </c:pt>
                <c:pt idx="21">
                  <c:v>0.36907894736842106</c:v>
                </c:pt>
                <c:pt idx="22">
                  <c:v>0.36651315789473687</c:v>
                </c:pt>
                <c:pt idx="23">
                  <c:v>0.36394736842105258</c:v>
                </c:pt>
                <c:pt idx="24">
                  <c:v>0.36138157894736844</c:v>
                </c:pt>
                <c:pt idx="25">
                  <c:v>0.3588157894736842</c:v>
                </c:pt>
                <c:pt idx="26">
                  <c:v>0.35625000000000007</c:v>
                </c:pt>
                <c:pt idx="27">
                  <c:v>0.35262711864406782</c:v>
                </c:pt>
                <c:pt idx="28">
                  <c:v>0.34779661016949154</c:v>
                </c:pt>
                <c:pt idx="29">
                  <c:v>0.34417372881355934</c:v>
                </c:pt>
                <c:pt idx="30">
                  <c:v>0.34055084745762715</c:v>
                </c:pt>
                <c:pt idx="31">
                  <c:v>0.3369279661016949</c:v>
                </c:pt>
                <c:pt idx="32">
                  <c:v>0.33330508474576265</c:v>
                </c:pt>
                <c:pt idx="33">
                  <c:v>0.3296822033898304</c:v>
                </c:pt>
                <c:pt idx="34">
                  <c:v>0.32605932203389831</c:v>
                </c:pt>
                <c:pt idx="35">
                  <c:v>0.32243644067796601</c:v>
                </c:pt>
                <c:pt idx="36">
                  <c:v>0.31881355932203381</c:v>
                </c:pt>
                <c:pt idx="37">
                  <c:v>0.31519067796610156</c:v>
                </c:pt>
                <c:pt idx="38">
                  <c:v>0.31156779661016948</c:v>
                </c:pt>
                <c:pt idx="39">
                  <c:v>0.30794491525423717</c:v>
                </c:pt>
                <c:pt idx="40">
                  <c:v>0.30432203389830498</c:v>
                </c:pt>
                <c:pt idx="41">
                  <c:v>0.30069915254237278</c:v>
                </c:pt>
                <c:pt idx="42">
                  <c:v>0.29707627118644059</c:v>
                </c:pt>
                <c:pt idx="43">
                  <c:v>0.29345338983050834</c:v>
                </c:pt>
                <c:pt idx="44">
                  <c:v>0.28983050847457614</c:v>
                </c:pt>
                <c:pt idx="45">
                  <c:v>0.28499999999999975</c:v>
                </c:pt>
                <c:pt idx="46">
                  <c:v>0.28124999999999978</c:v>
                </c:pt>
                <c:pt idx="47">
                  <c:v>0.27749999999999975</c:v>
                </c:pt>
                <c:pt idx="48">
                  <c:v>0.27374999999999977</c:v>
                </c:pt>
                <c:pt idx="49">
                  <c:v>0.2699999999999998</c:v>
                </c:pt>
                <c:pt idx="50">
                  <c:v>0.26624999999999976</c:v>
                </c:pt>
                <c:pt idx="51">
                  <c:v>0.26249999999999979</c:v>
                </c:pt>
                <c:pt idx="52">
                  <c:v>0.25874999999999976</c:v>
                </c:pt>
                <c:pt idx="53">
                  <c:v>0.25499999999999978</c:v>
                </c:pt>
                <c:pt idx="54">
                  <c:v>0.25124999999999975</c:v>
                </c:pt>
                <c:pt idx="55">
                  <c:v>0.24749999999999975</c:v>
                </c:pt>
                <c:pt idx="56">
                  <c:v>0.24374999999999974</c:v>
                </c:pt>
                <c:pt idx="57">
                  <c:v>0.23999999999999977</c:v>
                </c:pt>
                <c:pt idx="58">
                  <c:v>0.23624999999999977</c:v>
                </c:pt>
                <c:pt idx="59">
                  <c:v>0.23249999999999976</c:v>
                </c:pt>
                <c:pt idx="60">
                  <c:v>0.22874999999999976</c:v>
                </c:pt>
                <c:pt idx="61">
                  <c:v>0.22499999999999978</c:v>
                </c:pt>
                <c:pt idx="62">
                  <c:v>0.22124999999999975</c:v>
                </c:pt>
                <c:pt idx="63">
                  <c:v>0.21749999999999975</c:v>
                </c:pt>
                <c:pt idx="64">
                  <c:v>0.21374999999999975</c:v>
                </c:pt>
                <c:pt idx="65">
                  <c:v>0.20999999999999974</c:v>
                </c:pt>
                <c:pt idx="66">
                  <c:v>0.20624999999999974</c:v>
                </c:pt>
                <c:pt idx="67">
                  <c:v>0.20249999999999965</c:v>
                </c:pt>
                <c:pt idx="68">
                  <c:v>0.1975781249999996</c:v>
                </c:pt>
                <c:pt idx="69">
                  <c:v>0.19265624999999961</c:v>
                </c:pt>
                <c:pt idx="70">
                  <c:v>0.18773437499999959</c:v>
                </c:pt>
                <c:pt idx="71">
                  <c:v>0.1828124999999996</c:v>
                </c:pt>
                <c:pt idx="72">
                  <c:v>0.17789062499999958</c:v>
                </c:pt>
                <c:pt idx="73">
                  <c:v>0.17296874999999953</c:v>
                </c:pt>
                <c:pt idx="74">
                  <c:v>0.16804687499999954</c:v>
                </c:pt>
                <c:pt idx="75">
                  <c:v>0.16312499999999944</c:v>
                </c:pt>
                <c:pt idx="76">
                  <c:v>0.15820312499999944</c:v>
                </c:pt>
                <c:pt idx="77">
                  <c:v>0.1532812499999994</c:v>
                </c:pt>
                <c:pt idx="78">
                  <c:v>0.14999999999999947</c:v>
                </c:pt>
              </c:numCache>
            </c:numRef>
          </c:yVal>
          <c:smooth val="0"/>
          <c:extLst>
            <c:ext xmlns:c16="http://schemas.microsoft.com/office/drawing/2014/chart" uri="{C3380CC4-5D6E-409C-BE32-E72D297353CC}">
              <c16:uniqueId val="{00000000-6747-374A-94B5-4049C31C14AE}"/>
            </c:ext>
          </c:extLst>
        </c:ser>
        <c:ser>
          <c:idx val="3"/>
          <c:order val="1"/>
          <c:tx>
            <c:strRef>
              <c:f>'主翼（空力）'!$AI$48</c:f>
              <c:strCache>
                <c:ptCount val="1"/>
                <c:pt idx="0">
                  <c:v>後縁位置</c:v>
                </c:pt>
              </c:strCache>
            </c:strRef>
          </c:tx>
          <c:spPr>
            <a:ln w="19050" cap="rnd">
              <a:solidFill>
                <a:schemeClr val="accent4"/>
              </a:solidFill>
              <a:round/>
            </a:ln>
            <a:effectLst/>
          </c:spPr>
          <c:marker>
            <c:symbol val="none"/>
          </c:marker>
          <c:x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xVal>
          <c:yVal>
            <c:numRef>
              <c:f>'主翼（空力）'!$AI$51:$AI$150</c:f>
              <c:numCache>
                <c:formatCode>0.000_ ;[Red]\-0.000\ </c:formatCode>
                <c:ptCount val="100"/>
                <c:pt idx="0">
                  <c:v>-0.67500000000000004</c:v>
                </c:pt>
                <c:pt idx="1">
                  <c:v>-0.67500000000000004</c:v>
                </c:pt>
                <c:pt idx="2">
                  <c:v>-0.67500000000000004</c:v>
                </c:pt>
                <c:pt idx="3">
                  <c:v>-0.67500000000000004</c:v>
                </c:pt>
                <c:pt idx="4">
                  <c:v>-0.67500000000000004</c:v>
                </c:pt>
                <c:pt idx="5">
                  <c:v>-0.67500000000000004</c:v>
                </c:pt>
                <c:pt idx="6">
                  <c:v>-0.67500000000000004</c:v>
                </c:pt>
                <c:pt idx="7">
                  <c:v>-0.67500000000000004</c:v>
                </c:pt>
                <c:pt idx="8">
                  <c:v>-0.67072368421052631</c:v>
                </c:pt>
                <c:pt idx="9">
                  <c:v>-0.66644736842105268</c:v>
                </c:pt>
                <c:pt idx="10">
                  <c:v>-0.66217105263157894</c:v>
                </c:pt>
                <c:pt idx="11">
                  <c:v>-0.65789473684210531</c:v>
                </c:pt>
                <c:pt idx="12">
                  <c:v>-0.65361842105263168</c:v>
                </c:pt>
                <c:pt idx="13">
                  <c:v>-0.64934210526315783</c:v>
                </c:pt>
                <c:pt idx="14">
                  <c:v>-0.64506578947368431</c:v>
                </c:pt>
                <c:pt idx="15">
                  <c:v>-0.64078947368421058</c:v>
                </c:pt>
                <c:pt idx="16">
                  <c:v>-0.63651315789473695</c:v>
                </c:pt>
                <c:pt idx="17">
                  <c:v>-0.63223684210526321</c:v>
                </c:pt>
                <c:pt idx="18">
                  <c:v>-0.62796052631578947</c:v>
                </c:pt>
                <c:pt idx="19">
                  <c:v>-0.62368421052631584</c:v>
                </c:pt>
                <c:pt idx="20">
                  <c:v>-0.61940789473684221</c:v>
                </c:pt>
                <c:pt idx="21">
                  <c:v>-0.61513157894736836</c:v>
                </c:pt>
                <c:pt idx="22">
                  <c:v>-0.61085526315789473</c:v>
                </c:pt>
                <c:pt idx="23">
                  <c:v>-0.60657894736842111</c:v>
                </c:pt>
                <c:pt idx="24">
                  <c:v>-0.60230263157894737</c:v>
                </c:pt>
                <c:pt idx="25">
                  <c:v>-0.59802631578947374</c:v>
                </c:pt>
                <c:pt idx="26">
                  <c:v>-0.59375</c:v>
                </c:pt>
                <c:pt idx="27">
                  <c:v>-0.58771186440677969</c:v>
                </c:pt>
                <c:pt idx="28">
                  <c:v>-0.57966101694915251</c:v>
                </c:pt>
                <c:pt idx="29">
                  <c:v>-0.57362288135593231</c:v>
                </c:pt>
                <c:pt idx="30">
                  <c:v>-0.5675847457627119</c:v>
                </c:pt>
                <c:pt idx="31">
                  <c:v>-0.56154661016949148</c:v>
                </c:pt>
                <c:pt idx="32">
                  <c:v>-0.55550847457627128</c:v>
                </c:pt>
                <c:pt idx="33">
                  <c:v>-0.54947033898305087</c:v>
                </c:pt>
                <c:pt idx="34">
                  <c:v>-0.54343220338983045</c:v>
                </c:pt>
                <c:pt idx="35">
                  <c:v>-0.53739406779661003</c:v>
                </c:pt>
                <c:pt idx="36">
                  <c:v>-0.53135593220338984</c:v>
                </c:pt>
                <c:pt idx="37">
                  <c:v>-0.52531779661016942</c:v>
                </c:pt>
                <c:pt idx="38">
                  <c:v>-0.519279661016949</c:v>
                </c:pt>
                <c:pt idx="39">
                  <c:v>-0.5132415254237287</c:v>
                </c:pt>
                <c:pt idx="40">
                  <c:v>-0.50720338983050839</c:v>
                </c:pt>
                <c:pt idx="41">
                  <c:v>-0.50116525423728797</c:v>
                </c:pt>
                <c:pt idx="42">
                  <c:v>-0.49512711864406761</c:v>
                </c:pt>
                <c:pt idx="43">
                  <c:v>-0.4890889830508473</c:v>
                </c:pt>
                <c:pt idx="44">
                  <c:v>-0.48305084745762694</c:v>
                </c:pt>
                <c:pt idx="45">
                  <c:v>-0.4749999999999997</c:v>
                </c:pt>
                <c:pt idx="46">
                  <c:v>-0.46874999999999967</c:v>
                </c:pt>
                <c:pt idx="47">
                  <c:v>-0.46249999999999969</c:v>
                </c:pt>
                <c:pt idx="48">
                  <c:v>-0.45624999999999966</c:v>
                </c:pt>
                <c:pt idx="49">
                  <c:v>-0.44999999999999962</c:v>
                </c:pt>
                <c:pt idx="50">
                  <c:v>-0.44374999999999964</c:v>
                </c:pt>
                <c:pt idx="51">
                  <c:v>-0.43749999999999961</c:v>
                </c:pt>
                <c:pt idx="52">
                  <c:v>-0.43124999999999963</c:v>
                </c:pt>
                <c:pt idx="53">
                  <c:v>-0.4249999999999996</c:v>
                </c:pt>
                <c:pt idx="54">
                  <c:v>-0.41874999999999951</c:v>
                </c:pt>
                <c:pt idx="55">
                  <c:v>-0.41249999999999964</c:v>
                </c:pt>
                <c:pt idx="56">
                  <c:v>-0.40624999999999961</c:v>
                </c:pt>
                <c:pt idx="57">
                  <c:v>-0.39999999999999969</c:v>
                </c:pt>
                <c:pt idx="58">
                  <c:v>-0.39374999999999971</c:v>
                </c:pt>
                <c:pt idx="59">
                  <c:v>-0.38749999999999968</c:v>
                </c:pt>
                <c:pt idx="60">
                  <c:v>-0.38124999999999964</c:v>
                </c:pt>
                <c:pt idx="61">
                  <c:v>-0.37499999999999967</c:v>
                </c:pt>
                <c:pt idx="62">
                  <c:v>-0.36874999999999958</c:v>
                </c:pt>
                <c:pt idx="63">
                  <c:v>-0.36249999999999954</c:v>
                </c:pt>
                <c:pt idx="64">
                  <c:v>-0.35624999999999951</c:v>
                </c:pt>
                <c:pt idx="65">
                  <c:v>-0.34999999999999953</c:v>
                </c:pt>
                <c:pt idx="66">
                  <c:v>-0.34374999999999956</c:v>
                </c:pt>
                <c:pt idx="67">
                  <c:v>-0.33749999999999936</c:v>
                </c:pt>
                <c:pt idx="68">
                  <c:v>-0.32929687499999938</c:v>
                </c:pt>
                <c:pt idx="69">
                  <c:v>-0.32109374999999929</c:v>
                </c:pt>
                <c:pt idx="70">
                  <c:v>-0.31289062499999942</c:v>
                </c:pt>
                <c:pt idx="71">
                  <c:v>-0.30468749999999933</c:v>
                </c:pt>
                <c:pt idx="72">
                  <c:v>-0.2964843749999993</c:v>
                </c:pt>
                <c:pt idx="73">
                  <c:v>-0.28828124999999927</c:v>
                </c:pt>
                <c:pt idx="74">
                  <c:v>-0.28007812499999923</c:v>
                </c:pt>
                <c:pt idx="75">
                  <c:v>-0.27187499999999909</c:v>
                </c:pt>
                <c:pt idx="76">
                  <c:v>-0.263671874999999</c:v>
                </c:pt>
                <c:pt idx="77">
                  <c:v>-0.25546874999999902</c:v>
                </c:pt>
                <c:pt idx="78">
                  <c:v>-0.24999999999999911</c:v>
                </c:pt>
              </c:numCache>
            </c:numRef>
          </c:yVal>
          <c:smooth val="0"/>
          <c:extLst>
            <c:ext xmlns:c16="http://schemas.microsoft.com/office/drawing/2014/chart" uri="{C3380CC4-5D6E-409C-BE32-E72D297353CC}">
              <c16:uniqueId val="{00000001-6747-374A-94B5-4049C31C14AE}"/>
            </c:ext>
          </c:extLst>
        </c:ser>
        <c:dLbls>
          <c:showLegendKey val="0"/>
          <c:showVal val="0"/>
          <c:showCatName val="0"/>
          <c:showSerName val="0"/>
          <c:showPercent val="0"/>
          <c:showBubbleSize val="0"/>
        </c:dLbls>
        <c:axId val="588694912"/>
        <c:axId val="588716544"/>
      </c:scatterChart>
      <c:valAx>
        <c:axId val="588694912"/>
        <c:scaling>
          <c:orientation val="minMax"/>
          <c:max val="14"/>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88716544"/>
        <c:crosses val="autoZero"/>
        <c:crossBetween val="midCat"/>
        <c:majorUnit val="0.5"/>
      </c:valAx>
      <c:valAx>
        <c:axId val="588716544"/>
        <c:scaling>
          <c:orientation val="minMax"/>
          <c:max val="0.4"/>
          <c:min val="-0.70000000000000007"/>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x</a:t>
                </a:r>
                <a:r>
                  <a:rPr lang="en-US" altLang="ja-JP" baseline="0"/>
                  <a:t> [m]</a:t>
                </a:r>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88694912"/>
        <c:crosses val="autoZero"/>
        <c:crossBetween val="midCat"/>
        <c:majorUnit val="0.1"/>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局所</a:t>
            </a:r>
            <a:r>
              <a:rPr lang="en-US" altLang="ja-JP"/>
              <a:t>Cl</a:t>
            </a:r>
            <a:r>
              <a:rPr lang="ja-JP" altLang="en-US"/>
              <a:t>分布</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0.12389667108820784"/>
          <c:y val="0.18365923275891921"/>
          <c:w val="0.82070625198836478"/>
          <c:h val="0.58204813837084468"/>
        </c:manualLayout>
      </c:layout>
      <c:scatterChart>
        <c:scatterStyle val="lineMarker"/>
        <c:varyColors val="0"/>
        <c:ser>
          <c:idx val="1"/>
          <c:order val="0"/>
          <c:tx>
            <c:v>Re数</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xVal>
          <c:y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yVal>
          <c:smooth val="0"/>
          <c:extLst>
            <c:ext xmlns:c16="http://schemas.microsoft.com/office/drawing/2014/chart" uri="{C3380CC4-5D6E-409C-BE32-E72D297353CC}">
              <c16:uniqueId val="{00000000-5C3C-B14A-9B6C-82482586781E}"/>
            </c:ext>
          </c:extLst>
        </c:ser>
        <c:ser>
          <c:idx val="0"/>
          <c:order val="1"/>
          <c:tx>
            <c:v>CL</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xVal>
          <c:y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yVal>
          <c:smooth val="0"/>
          <c:extLst>
            <c:ext xmlns:c16="http://schemas.microsoft.com/office/drawing/2014/chart" uri="{C3380CC4-5D6E-409C-BE32-E72D297353CC}">
              <c16:uniqueId val="{00000001-5C3C-B14A-9B6C-82482586781E}"/>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1"/>
      </c:valAx>
      <c:valAx>
        <c:axId val="17206420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Cl</a:t>
                </a:r>
                <a:r>
                  <a:rPr lang="ja-JP" altLang="en-US"/>
                  <a:t> </a:t>
                </a:r>
                <a:r>
                  <a:rPr lang="en-US" altLang="ja-JP"/>
                  <a:t>[-]</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局所</a:t>
            </a:r>
            <a:r>
              <a:rPr lang="en-US" altLang="ja-JP"/>
              <a:t>Re</a:t>
            </a:r>
            <a:r>
              <a:rPr lang="ja-JP" altLang="en-US"/>
              <a:t>数分布</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0.12389667108820784"/>
          <c:y val="0.18365923275891921"/>
          <c:w val="0.82070625198836478"/>
          <c:h val="0.58204813837084468"/>
        </c:manualLayout>
      </c:layout>
      <c:scatterChart>
        <c:scatterStyle val="lineMarker"/>
        <c:varyColors val="0"/>
        <c:ser>
          <c:idx val="1"/>
          <c:order val="0"/>
          <c:tx>
            <c:v>Re数</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xVal>
          <c:y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yVal>
          <c:smooth val="0"/>
          <c:extLst>
            <c:ext xmlns:c16="http://schemas.microsoft.com/office/drawing/2014/chart" uri="{C3380CC4-5D6E-409C-BE32-E72D297353CC}">
              <c16:uniqueId val="{00000000-6542-4375-8EC1-BFCC25ED4015}"/>
            </c:ext>
          </c:extLst>
        </c:ser>
        <c:ser>
          <c:idx val="0"/>
          <c:order val="1"/>
          <c:tx>
            <c:v>CL</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xVal>
          <c:y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yVal>
          <c:smooth val="0"/>
          <c:extLst>
            <c:ext xmlns:c16="http://schemas.microsoft.com/office/drawing/2014/chart" uri="{C3380CC4-5D6E-409C-BE32-E72D297353CC}">
              <c16:uniqueId val="{00000001-6542-4375-8EC1-BFCC25ED4015}"/>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1"/>
      </c:valAx>
      <c:valAx>
        <c:axId val="17206420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Cl</a:t>
                </a:r>
                <a:r>
                  <a:rPr lang="ja-JP" altLang="en-US"/>
                  <a:t> </a:t>
                </a:r>
                <a:r>
                  <a:rPr lang="en-US" altLang="ja-JP"/>
                  <a:t>[-]</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曲げ</a:t>
            </a:r>
            <a:r>
              <a:rPr lang="en-US" altLang="ja-JP"/>
              <a:t>/</a:t>
            </a:r>
            <a:r>
              <a:rPr lang="ja-JP" altLang="en-US"/>
              <a:t>ねじれ剛性分布　循環分布　強度余裕分布、曲げモーメント分布、たわみ、ねじれ</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strRef>
              <c:f>'主翼（構造）'!$AS$4</c:f>
              <c:strCache>
                <c:ptCount val="1"/>
                <c:pt idx="0">
                  <c:v>曲げ剛性</c:v>
                </c:pt>
              </c:strCache>
            </c:strRef>
          </c:tx>
          <c:spPr>
            <a:ln w="25400" cap="rnd">
              <a:noFill/>
              <a:round/>
            </a:ln>
            <a:effectLst/>
          </c:spPr>
          <c:marker>
            <c:symbol val="circle"/>
            <c:size val="5"/>
            <c:spPr>
              <a:solidFill>
                <a:schemeClr val="accent1"/>
              </a:solidFill>
              <a:ln w="9525">
                <a:solidFill>
                  <a:schemeClr val="accent1"/>
                </a:solidFill>
              </a:ln>
              <a:effectLst/>
            </c:spPr>
          </c:marker>
          <c:xVal>
            <c:numRef>
              <c:f>'主翼（構造）'!$AM$7:$AM$71</c:f>
              <c:numCache>
                <c:formatCode>0.0.E+00</c:formatCode>
                <c:ptCount val="65"/>
                <c:pt idx="0">
                  <c:v>1855128.6642813568</c:v>
                </c:pt>
                <c:pt idx="1">
                  <c:v>1855128.6642813568</c:v>
                </c:pt>
                <c:pt idx="2">
                  <c:v>1855128.6642813568</c:v>
                </c:pt>
                <c:pt idx="3">
                  <c:v>1855128.6642813568</c:v>
                </c:pt>
                <c:pt idx="4">
                  <c:v>7436160.4959747586</c:v>
                </c:pt>
                <c:pt idx="5">
                  <c:v>6309925.0111976657</c:v>
                </c:pt>
                <c:pt idx="6">
                  <c:v>2031706.4797556757</c:v>
                </c:pt>
                <c:pt idx="7">
                  <c:v>1948813.6313182258</c:v>
                </c:pt>
                <c:pt idx="8">
                  <c:v>1868206.6282121004</c:v>
                </c:pt>
                <c:pt idx="9">
                  <c:v>1789853.511313939</c:v>
                </c:pt>
                <c:pt idx="10">
                  <c:v>1713722.3215004622</c:v>
                </c:pt>
                <c:pt idx="11">
                  <c:v>1639781.0996483155</c:v>
                </c:pt>
                <c:pt idx="12">
                  <c:v>1567997.8866341789</c:v>
                </c:pt>
                <c:pt idx="13">
                  <c:v>1498340.7233347527</c:v>
                </c:pt>
                <c:pt idx="14">
                  <c:v>1430777.6506266897</c:v>
                </c:pt>
                <c:pt idx="15">
                  <c:v>1365276.709386691</c:v>
                </c:pt>
                <c:pt idx="16">
                  <c:v>1301805.9404914088</c:v>
                </c:pt>
                <c:pt idx="17">
                  <c:v>1240333.3848175448</c:v>
                </c:pt>
                <c:pt idx="18">
                  <c:v>1180827.0832417463</c:v>
                </c:pt>
                <c:pt idx="19">
                  <c:v>1123255.0766407165</c:v>
                </c:pt>
                <c:pt idx="20">
                  <c:v>1067585.4058910895</c:v>
                </c:pt>
                <c:pt idx="21">
                  <c:v>1027062.3353212699</c:v>
                </c:pt>
                <c:pt idx="22">
                  <c:v>3292205.2906225957</c:v>
                </c:pt>
                <c:pt idx="23">
                  <c:v>3169612.0703123393</c:v>
                </c:pt>
                <c:pt idx="24">
                  <c:v>1008585.2031832144</c:v>
                </c:pt>
                <c:pt idx="25">
                  <c:v>958778.45159491396</c:v>
                </c:pt>
                <c:pt idx="26">
                  <c:v>910639.01197830832</c:v>
                </c:pt>
                <c:pt idx="27">
                  <c:v>864138.49969917501</c:v>
                </c:pt>
                <c:pt idx="28">
                  <c:v>819248.53012333321</c:v>
                </c:pt>
                <c:pt idx="29">
                  <c:v>775940.71861654508</c:v>
                </c:pt>
                <c:pt idx="30">
                  <c:v>734186.68054460501</c:v>
                </c:pt>
                <c:pt idx="31">
                  <c:v>693958.03127332451</c:v>
                </c:pt>
                <c:pt idx="32">
                  <c:v>655226.38616846048</c:v>
                </c:pt>
                <c:pt idx="33">
                  <c:v>617963.36059582047</c:v>
                </c:pt>
                <c:pt idx="34">
                  <c:v>582140.56992117164</c:v>
                </c:pt>
                <c:pt idx="35">
                  <c:v>547729.62951030489</c:v>
                </c:pt>
                <c:pt idx="36">
                  <c:v>514702.15472897846</c:v>
                </c:pt>
                <c:pt idx="37">
                  <c:v>483029.76094297785</c:v>
                </c:pt>
                <c:pt idx="38">
                  <c:v>452684.06351806998</c:v>
                </c:pt>
                <c:pt idx="39">
                  <c:v>423636.67782002658</c:v>
                </c:pt>
                <c:pt idx="40">
                  <c:v>1173587.872951318</c:v>
                </c:pt>
                <c:pt idx="41">
                  <c:v>1082999.2013643503</c:v>
                </c:pt>
                <c:pt idx="42">
                  <c:v>347287.28814223426</c:v>
                </c:pt>
                <c:pt idx="43">
                  <c:v>323321.21220957884</c:v>
                </c:pt>
                <c:pt idx="44">
                  <c:v>300483.89416411839</c:v>
                </c:pt>
                <c:pt idx="45">
                  <c:v>278748.10646056669</c:v>
                </c:pt>
                <c:pt idx="46">
                  <c:v>258086.62155568425</c:v>
                </c:pt>
                <c:pt idx="47">
                  <c:v>238472.21190441577</c:v>
                </c:pt>
                <c:pt idx="48">
                  <c:v>219877.64996291313</c:v>
                </c:pt>
                <c:pt idx="49">
                  <c:v>202275.70818720915</c:v>
                </c:pt>
                <c:pt idx="50">
                  <c:v>185639.15903248076</c:v>
                </c:pt>
                <c:pt idx="51">
                  <c:v>169940.77495503944</c:v>
                </c:pt>
                <c:pt idx="52">
                  <c:v>155153.32841003747</c:v>
                </c:pt>
                <c:pt idx="53">
                  <c:v>141249.59185394619</c:v>
                </c:pt>
                <c:pt idx="54">
                  <c:v>128202.33774211223</c:v>
                </c:pt>
                <c:pt idx="55">
                  <c:v>115984.33853040471</c:v>
                </c:pt>
                <c:pt idx="56">
                  <c:v>104568.36667457869</c:v>
                </c:pt>
                <c:pt idx="57">
                  <c:v>93927.194630422644</c:v>
                </c:pt>
                <c:pt idx="58">
                  <c:v>84033.594853667557</c:v>
                </c:pt>
                <c:pt idx="59">
                  <c:v>74860.339800101676</c:v>
                </c:pt>
                <c:pt idx="60">
                  <c:v>6283.3770723367443</c:v>
                </c:pt>
              </c:numCache>
            </c:numRef>
          </c:xVal>
          <c:yVal>
            <c:numRef>
              <c:f>'主翼（構造）'!$AZ$7:$AZ$71</c:f>
              <c:numCache>
                <c:formatCode>0.000_ ;[Red]\-0.000\ </c:formatCode>
                <c:ptCount val="65"/>
              </c:numCache>
            </c:numRef>
          </c:yVal>
          <c:smooth val="0"/>
          <c:extLst>
            <c:ext xmlns:c16="http://schemas.microsoft.com/office/drawing/2014/chart" uri="{C3380CC4-5D6E-409C-BE32-E72D297353CC}">
              <c16:uniqueId val="{00000000-A920-444D-A4C9-750B0AC53871}"/>
            </c:ext>
          </c:extLst>
        </c:ser>
        <c:ser>
          <c:idx val="1"/>
          <c:order val="1"/>
          <c:tx>
            <c:strRef>
              <c:f>'主翼（構造）'!$AT$4</c:f>
              <c:strCache>
                <c:ptCount val="1"/>
                <c:pt idx="0">
                  <c:v>ねじれ剛性</c:v>
                </c:pt>
              </c:strCache>
            </c:strRef>
          </c:tx>
          <c:spPr>
            <a:ln w="25400" cap="rnd">
              <a:noFill/>
              <a:round/>
            </a:ln>
            <a:effectLst/>
          </c:spPr>
          <c:marker>
            <c:symbol val="circle"/>
            <c:size val="5"/>
            <c:spPr>
              <a:solidFill>
                <a:schemeClr val="accent2"/>
              </a:solidFill>
              <a:ln w="9525">
                <a:solidFill>
                  <a:schemeClr val="accent2"/>
                </a:solidFill>
              </a:ln>
              <a:effectLst/>
            </c:spPr>
          </c:marker>
          <c:xVal>
            <c:strRef>
              <c:f>'主翼（構造）'!$AH$6:$AH$100</c:f>
              <c:strCache>
                <c:ptCount val="62"/>
                <c:pt idx="0">
                  <c:v>mm</c:v>
                </c:pt>
                <c:pt idx="1">
                  <c:v>55.000 </c:v>
                </c:pt>
                <c:pt idx="2">
                  <c:v>55.000 </c:v>
                </c:pt>
                <c:pt idx="3">
                  <c:v>55.000 </c:v>
                </c:pt>
                <c:pt idx="4">
                  <c:v>55.000 </c:v>
                </c:pt>
                <c:pt idx="5">
                  <c:v>55.000 </c:v>
                </c:pt>
                <c:pt idx="6">
                  <c:v>55.000 </c:v>
                </c:pt>
                <c:pt idx="7">
                  <c:v>58.350 </c:v>
                </c:pt>
                <c:pt idx="8">
                  <c:v>57.533 </c:v>
                </c:pt>
                <c:pt idx="9">
                  <c:v>56.717 </c:v>
                </c:pt>
                <c:pt idx="10">
                  <c:v>55.900 </c:v>
                </c:pt>
                <c:pt idx="11">
                  <c:v>55.083 </c:v>
                </c:pt>
                <c:pt idx="12">
                  <c:v>54.266 </c:v>
                </c:pt>
                <c:pt idx="13">
                  <c:v>53.449 </c:v>
                </c:pt>
                <c:pt idx="14">
                  <c:v>52.633 </c:v>
                </c:pt>
                <c:pt idx="15">
                  <c:v>51.816 </c:v>
                </c:pt>
                <c:pt idx="16">
                  <c:v>50.999 </c:v>
                </c:pt>
                <c:pt idx="17">
                  <c:v>50.182 </c:v>
                </c:pt>
                <c:pt idx="18">
                  <c:v>49.365 </c:v>
                </c:pt>
                <c:pt idx="19">
                  <c:v>48.549 </c:v>
                </c:pt>
                <c:pt idx="20">
                  <c:v>47.732 </c:v>
                </c:pt>
                <c:pt idx="21">
                  <c:v>46.915 </c:v>
                </c:pt>
                <c:pt idx="22">
                  <c:v>46.302 </c:v>
                </c:pt>
                <c:pt idx="23">
                  <c:v>45.690 </c:v>
                </c:pt>
                <c:pt idx="24">
                  <c:v>45.077 </c:v>
                </c:pt>
                <c:pt idx="25">
                  <c:v>47.756 </c:v>
                </c:pt>
                <c:pt idx="26">
                  <c:v>46.944 </c:v>
                </c:pt>
                <c:pt idx="27">
                  <c:v>46.132 </c:v>
                </c:pt>
                <c:pt idx="28">
                  <c:v>45.320 </c:v>
                </c:pt>
                <c:pt idx="29">
                  <c:v>44.508 </c:v>
                </c:pt>
                <c:pt idx="30">
                  <c:v>43.696 </c:v>
                </c:pt>
                <c:pt idx="31">
                  <c:v>42.884 </c:v>
                </c:pt>
                <c:pt idx="32">
                  <c:v>42.072 </c:v>
                </c:pt>
                <c:pt idx="33">
                  <c:v>41.260 </c:v>
                </c:pt>
                <c:pt idx="34">
                  <c:v>40.448 </c:v>
                </c:pt>
                <c:pt idx="35">
                  <c:v>39.636 </c:v>
                </c:pt>
                <c:pt idx="36">
                  <c:v>38.824 </c:v>
                </c:pt>
                <c:pt idx="37">
                  <c:v>38.012 </c:v>
                </c:pt>
                <c:pt idx="38">
                  <c:v>37.200 </c:v>
                </c:pt>
                <c:pt idx="39">
                  <c:v>36.388 </c:v>
                </c:pt>
                <c:pt idx="40">
                  <c:v>35.576 </c:v>
                </c:pt>
                <c:pt idx="41">
                  <c:v>34.764 </c:v>
                </c:pt>
                <c:pt idx="42">
                  <c:v>33.952 </c:v>
                </c:pt>
                <c:pt idx="43">
                  <c:v>35.500 </c:v>
                </c:pt>
                <c:pt idx="44">
                  <c:v>34.650 </c:v>
                </c:pt>
                <c:pt idx="45">
                  <c:v>33.800 </c:v>
                </c:pt>
                <c:pt idx="46">
                  <c:v>32.950 </c:v>
                </c:pt>
                <c:pt idx="47">
                  <c:v>32.100 </c:v>
                </c:pt>
                <c:pt idx="48">
                  <c:v>31.250 </c:v>
                </c:pt>
                <c:pt idx="49">
                  <c:v>30.400 </c:v>
                </c:pt>
                <c:pt idx="50">
                  <c:v>29.550 </c:v>
                </c:pt>
                <c:pt idx="51">
                  <c:v>28.700 </c:v>
                </c:pt>
                <c:pt idx="52">
                  <c:v>27.850 </c:v>
                </c:pt>
                <c:pt idx="53">
                  <c:v>27.000 </c:v>
                </c:pt>
                <c:pt idx="54">
                  <c:v>26.150 </c:v>
                </c:pt>
                <c:pt idx="55">
                  <c:v>25.300 </c:v>
                </c:pt>
                <c:pt idx="56">
                  <c:v>24.450 </c:v>
                </c:pt>
                <c:pt idx="57">
                  <c:v>23.600 </c:v>
                </c:pt>
                <c:pt idx="58">
                  <c:v>22.750 </c:v>
                </c:pt>
                <c:pt idx="59">
                  <c:v>21.900 </c:v>
                </c:pt>
                <c:pt idx="60">
                  <c:v>21.050 </c:v>
                </c:pt>
                <c:pt idx="61">
                  <c:v>10.000 </c:v>
                </c:pt>
              </c:strCache>
            </c:strRef>
          </c:xVal>
          <c:yVal>
            <c:numRef>
              <c:f>'主翼（構造）'!$AV$6:$AV$100</c:f>
              <c:numCache>
                <c:formatCode>0_ ;[Red]\-0\ </c:formatCode>
                <c:ptCount val="95"/>
                <c:pt idx="0" formatCode="0.000_ ;[Red]\-0.000\ ">
                  <c:v>0</c:v>
                </c:pt>
              </c:numCache>
            </c:numRef>
          </c:yVal>
          <c:smooth val="0"/>
          <c:extLst>
            <c:ext xmlns:c16="http://schemas.microsoft.com/office/drawing/2014/chart" uri="{C3380CC4-5D6E-409C-BE32-E72D297353CC}">
              <c16:uniqueId val="{00000000-044A-A949-8AC7-5D8278E37CAC}"/>
            </c:ext>
          </c:extLst>
        </c:ser>
        <c:dLbls>
          <c:showLegendKey val="0"/>
          <c:showVal val="0"/>
          <c:showCatName val="0"/>
          <c:showSerName val="0"/>
          <c:showPercent val="0"/>
          <c:showBubbleSize val="0"/>
        </c:dLbls>
        <c:axId val="223344704"/>
        <c:axId val="591863136"/>
      </c:scatterChart>
      <c:valAx>
        <c:axId val="223344704"/>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スパン </a:t>
                </a: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91863136"/>
        <c:crosses val="autoZero"/>
        <c:crossBetween val="midCat"/>
        <c:majorUnit val="1"/>
      </c:valAx>
      <c:valAx>
        <c:axId val="5918631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曲げ剛性 </a:t>
                </a:r>
                <a:r>
                  <a:rPr lang="en-US" altLang="ja-JP" baseline="0"/>
                  <a:t>[N*m^2]</a:t>
                </a:r>
                <a:endParaRPr lang="en-US" altLang="ja-JP"/>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233447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翼厚と桁径</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strRef>
              <c:f>'[2]スパー寸法(sht20)'!$S$43</c:f>
              <c:strCache>
                <c:ptCount val="1"/>
                <c:pt idx="0">
                  <c:v>GJ</c:v>
                </c:pt>
              </c:strCache>
            </c:strRef>
          </c:tx>
          <c:spPr>
            <a:ln w="25400" cap="rnd">
              <a:noFill/>
              <a:round/>
            </a:ln>
            <a:effectLst/>
          </c:spPr>
          <c:marker>
            <c:symbol val="circle"/>
            <c:size val="5"/>
            <c:spPr>
              <a:solidFill>
                <a:schemeClr val="accent1"/>
              </a:solidFill>
              <a:ln w="9525">
                <a:solidFill>
                  <a:schemeClr val="accent1"/>
                </a:solidFill>
              </a:ln>
              <a:effectLst/>
            </c:spPr>
          </c:marker>
          <c:xVal>
            <c:numRef>
              <c:f>'[2]スパー寸法(sht20)'!$E$45:$E$107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'[2]スパー寸法(sht20)'!$S$45:$S$107</c:f>
              <c:numCache>
                <c:formatCode>General</c:formatCode>
                <c:ptCount val="63"/>
                <c:pt idx="0">
                  <c:v>39886.577468579999</c:v>
                </c:pt>
                <c:pt idx="1">
                  <c:v>39886.577468579999</c:v>
                </c:pt>
                <c:pt idx="2">
                  <c:v>39886.577468579999</c:v>
                </c:pt>
                <c:pt idx="3">
                  <c:v>39886.577468579999</c:v>
                </c:pt>
                <c:pt idx="4">
                  <c:v>39886.577468579999</c:v>
                </c:pt>
                <c:pt idx="5">
                  <c:v>39886.577468579999</c:v>
                </c:pt>
                <c:pt idx="6">
                  <c:v>39886.577468579999</c:v>
                </c:pt>
                <c:pt idx="7">
                  <c:v>109050.18707732446</c:v>
                </c:pt>
                <c:pt idx="8">
                  <c:v>92534.111291366906</c:v>
                </c:pt>
                <c:pt idx="9">
                  <c:v>26465.605508546225</c:v>
                </c:pt>
                <c:pt idx="10">
                  <c:v>25385.818911375416</c:v>
                </c:pt>
                <c:pt idx="11">
                  <c:v>24335.808407058183</c:v>
                </c:pt>
                <c:pt idx="12">
                  <c:v>23315.157686664203</c:v>
                </c:pt>
                <c:pt idx="13">
                  <c:v>22323.450441264253</c:v>
                </c:pt>
                <c:pt idx="14">
                  <c:v>21360.270361928131</c:v>
                </c:pt>
                <c:pt idx="15">
                  <c:v>20425.201139726043</c:v>
                </c:pt>
                <c:pt idx="16">
                  <c:v>19517.826465728493</c:v>
                </c:pt>
                <c:pt idx="17">
                  <c:v>18637.730031005369</c:v>
                </c:pt>
                <c:pt idx="18">
                  <c:v>17784.49552662719</c:v>
                </c:pt>
                <c:pt idx="19">
                  <c:v>16957.706643663827</c:v>
                </c:pt>
                <c:pt idx="20">
                  <c:v>16156.947073185775</c:v>
                </c:pt>
                <c:pt idx="21">
                  <c:v>15381.800506262862</c:v>
                </c:pt>
                <c:pt idx="22">
                  <c:v>14631.850633965598</c:v>
                </c:pt>
                <c:pt idx="23">
                  <c:v>13906.68114736365</c:v>
                </c:pt>
                <c:pt idx="24">
                  <c:v>13205.875737527811</c:v>
                </c:pt>
                <c:pt idx="25">
                  <c:v>45438.127640728606</c:v>
                </c:pt>
                <c:pt idx="26">
                  <c:v>15414.073763045697</c:v>
                </c:pt>
                <c:pt idx="27">
                  <c:v>14652.883790739243</c:v>
                </c:pt>
                <c:pt idx="28">
                  <c:v>13917.175125948072</c:v>
                </c:pt>
                <c:pt idx="29">
                  <c:v>13206.513970075668</c:v>
                </c:pt>
                <c:pt idx="30">
                  <c:v>12520.466524526146</c:v>
                </c:pt>
                <c:pt idx="31">
                  <c:v>11858.598990702674</c:v>
                </c:pt>
                <c:pt idx="32">
                  <c:v>11220.477570008994</c:v>
                </c:pt>
                <c:pt idx="33">
                  <c:v>10605.668463849037</c:v>
                </c:pt>
                <c:pt idx="34">
                  <c:v>10013.737873625985</c:v>
                </c:pt>
                <c:pt idx="35">
                  <c:v>9444.2520007437342</c:v>
                </c:pt>
                <c:pt idx="36">
                  <c:v>8896.777046605539</c:v>
                </c:pt>
                <c:pt idx="37">
                  <c:v>8370.8792126150893</c:v>
                </c:pt>
                <c:pt idx="38">
                  <c:v>7866.124700175541</c:v>
                </c:pt>
                <c:pt idx="39">
                  <c:v>7382.079710690432</c:v>
                </c:pt>
                <c:pt idx="40">
                  <c:v>6918.3104455630883</c:v>
                </c:pt>
                <c:pt idx="41">
                  <c:v>6474.383106196844</c:v>
                </c:pt>
                <c:pt idx="42">
                  <c:v>17619.350926818279</c:v>
                </c:pt>
                <c:pt idx="43">
                  <c:v>16276.463865549023</c:v>
                </c:pt>
                <c:pt idx="44">
                  <c:v>5369.852736781555</c:v>
                </c:pt>
                <c:pt idx="45">
                  <c:v>5000.8359593857849</c:v>
                </c:pt>
                <c:pt idx="46">
                  <c:v>4649.1242975446103</c:v>
                </c:pt>
                <c:pt idx="47">
                  <c:v>4314.3021730397259</c:v>
                </c:pt>
                <c:pt idx="48">
                  <c:v>3995.954007652766</c:v>
                </c:pt>
                <c:pt idx="49">
                  <c:v>3693.6642231653177</c:v>
                </c:pt>
                <c:pt idx="50">
                  <c:v>3407.0172413589221</c:v>
                </c:pt>
                <c:pt idx="51">
                  <c:v>3135.5974840148019</c:v>
                </c:pt>
                <c:pt idx="52">
                  <c:v>2878.9893729142104</c:v>
                </c:pt>
                <c:pt idx="53">
                  <c:v>2636.7773298381157</c:v>
                </c:pt>
                <c:pt idx="54">
                  <c:v>2408.545776567295</c:v>
                </c:pt>
                <c:pt idx="55">
                  <c:v>2193.8791348823111</c:v>
                </c:pt>
                <c:pt idx="56">
                  <c:v>1992.3618265635157</c:v>
                </c:pt>
                <c:pt idx="57">
                  <c:v>1803.5782733908536</c:v>
                </c:pt>
                <c:pt idx="58">
                  <c:v>1627.1128971439553</c:v>
                </c:pt>
                <c:pt idx="59">
                  <c:v>1462.550119602005</c:v>
                </c:pt>
                <c:pt idx="60">
                  <c:v>1309.4743625436779</c:v>
                </c:pt>
                <c:pt idx="61">
                  <c:v>1167.4700477470926</c:v>
                </c:pt>
                <c:pt idx="62">
                  <c:v>1036.1215969896225</c:v>
                </c:pt>
              </c:numCache>
            </c:numRef>
          </c:yVal>
          <c:smooth val="0"/>
          <c:extLst>
            <c:ext xmlns:c16="http://schemas.microsoft.com/office/drawing/2014/chart" uri="{C3380CC4-5D6E-409C-BE32-E72D297353CC}">
              <c16:uniqueId val="{00000000-B52B-E74C-A478-796C8FB65D93}"/>
            </c:ext>
          </c:extLst>
        </c:ser>
        <c:dLbls>
          <c:showLegendKey val="0"/>
          <c:showVal val="0"/>
          <c:showCatName val="0"/>
          <c:showSerName val="0"/>
          <c:showPercent val="0"/>
          <c:showBubbleSize val="0"/>
        </c:dLbls>
        <c:axId val="223344704"/>
        <c:axId val="591863136"/>
      </c:scatterChart>
      <c:valAx>
        <c:axId val="223344704"/>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スパン </a:t>
                </a: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91863136"/>
        <c:crosses val="autoZero"/>
        <c:crossBetween val="midCat"/>
        <c:majorUnit val="1"/>
      </c:valAx>
      <c:valAx>
        <c:axId val="5918631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ねじれ剛性 </a:t>
                </a:r>
                <a:r>
                  <a:rPr lang="en-US" altLang="ja-JP" baseline="0"/>
                  <a:t>[N*m^2]</a:t>
                </a:r>
                <a:endParaRPr lang="en-US" altLang="ja-JP"/>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233447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8">
  <a:schemeClr val="accent5"/>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5.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s>
</file>

<file path=xl/drawings/_rels/drawing6.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1</xdr:col>
      <xdr:colOff>1</xdr:colOff>
      <xdr:row>46</xdr:row>
      <xdr:rowOff>0</xdr:rowOff>
    </xdr:from>
    <xdr:to>
      <xdr:col>2</xdr:col>
      <xdr:colOff>0</xdr:colOff>
      <xdr:row>47</xdr:row>
      <xdr:rowOff>0</xdr:rowOff>
    </xdr:to>
    <xdr:sp macro="" textlink="">
      <xdr:nvSpPr>
        <xdr:cNvPr id="3" name="正方形/長方形 1">
          <a:extLst>
            <a:ext uri="{FF2B5EF4-FFF2-40B4-BE49-F238E27FC236}">
              <a16:creationId xmlns:a16="http://schemas.microsoft.com/office/drawing/2014/main" id="{3D6C1B83-FEEB-4942-8A18-624821996123}"/>
            </a:ext>
          </a:extLst>
        </xdr:cNvPr>
        <xdr:cNvSpPr/>
      </xdr:nvSpPr>
      <xdr:spPr>
        <a:xfrm>
          <a:off x="750795" y="6723529"/>
          <a:ext cx="1299881" cy="246530"/>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vert="horz" tIns="0" bIns="0" rtlCol="0" anchor="ctr"/>
        <a:lstStyle/>
        <a:p>
          <a:pPr algn="ctr"/>
          <a:r>
            <a:rPr kumimoji="1" lang="ja-JP" altLang="en-US" sz="1100">
              <a:solidFill>
                <a:sysClr val="windowText" lastClr="000000"/>
              </a:solidFill>
            </a:rPr>
            <a:t>条件付き解析</a:t>
          </a:r>
        </a:p>
      </xdr:txBody>
    </xdr:sp>
    <xdr:clientData/>
  </xdr:twoCellAnchor>
  <xdr:twoCellAnchor>
    <xdr:from>
      <xdr:col>1</xdr:col>
      <xdr:colOff>0</xdr:colOff>
      <xdr:row>2</xdr:row>
      <xdr:rowOff>1</xdr:rowOff>
    </xdr:from>
    <xdr:to>
      <xdr:col>5</xdr:col>
      <xdr:colOff>0</xdr:colOff>
      <xdr:row>10</xdr:row>
      <xdr:rowOff>1</xdr:rowOff>
    </xdr:to>
    <xdr:sp macro="" textlink="">
      <xdr:nvSpPr>
        <xdr:cNvPr id="5" name="テキスト ボックス 4">
          <a:extLst>
            <a:ext uri="{FF2B5EF4-FFF2-40B4-BE49-F238E27FC236}">
              <a16:creationId xmlns:a16="http://schemas.microsoft.com/office/drawing/2014/main" id="{959602C8-A481-3A14-7A77-85B8A68F1570}"/>
            </a:ext>
          </a:extLst>
        </xdr:cNvPr>
        <xdr:cNvSpPr txBox="1"/>
      </xdr:nvSpPr>
      <xdr:spPr>
        <a:xfrm>
          <a:off x="0" y="1750220"/>
          <a:ext cx="3381375" cy="2000250"/>
        </a:xfrm>
        <a:prstGeom prst="rect">
          <a:avLst/>
        </a:prstGeom>
        <a:solidFill>
          <a:schemeClr val="accent2">
            <a:lumMod val="20000"/>
            <a:lumOff val="80000"/>
          </a:schemeClr>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kumimoji="1" lang="ja-JP" altLang="en-US" sz="1100" b="1" u="sng"/>
            <a:t>九大らしい美しい機体で優勝</a:t>
          </a:r>
        </a:p>
        <a:p>
          <a:r>
            <a:rPr kumimoji="1" lang="ja-JP" altLang="en-US" sz="1100"/>
            <a:t>・低翼高胴</a:t>
          </a:r>
          <a:r>
            <a:rPr kumimoji="1" lang="en-US" altLang="ja-JP" sz="1100"/>
            <a:t>T</a:t>
          </a:r>
          <a:r>
            <a:rPr kumimoji="1" lang="ja-JP" altLang="en-US" sz="1100"/>
            <a:t>字尾翼で</a:t>
          </a:r>
          <a:r>
            <a:rPr kumimoji="1" lang="en-US" altLang="ja-JP" sz="1100"/>
            <a:t>400m</a:t>
          </a:r>
          <a:r>
            <a:rPr kumimoji="1" lang="ja-JP" altLang="en-US" sz="1100"/>
            <a:t>を狙う</a:t>
          </a:r>
        </a:p>
        <a:p>
          <a:r>
            <a:rPr kumimoji="1" lang="ja-JP" altLang="en-US" sz="1100"/>
            <a:t>・高剛性高速棒飛び機（ゆるいダイブ）</a:t>
          </a:r>
        </a:p>
        <a:p>
          <a:r>
            <a:rPr kumimoji="1" lang="ja-JP" altLang="en-US" sz="1100"/>
            <a:t>・短いテールで操作性</a:t>
          </a:r>
          <a:r>
            <a:rPr kumimoji="1" lang="en-US" altLang="ja-JP" sz="1100"/>
            <a:t>up&amp;</a:t>
          </a:r>
          <a:r>
            <a:rPr kumimoji="1" lang="ja-JP" altLang="en-US" sz="1100"/>
            <a:t>テールヘビー解消</a:t>
          </a:r>
        </a:p>
        <a:p>
          <a:r>
            <a:rPr kumimoji="1" lang="ja-JP" altLang="en-US" sz="1100"/>
            <a:t>・外注桁と自作桁によるハイブリッド構造</a:t>
          </a:r>
        </a:p>
        <a:p>
          <a:r>
            <a:rPr kumimoji="1" lang="ja-JP" altLang="en-US" sz="1100"/>
            <a:t>・高揚力翼型による安心フライト</a:t>
          </a:r>
        </a:p>
        <a:p>
          <a:r>
            <a:rPr kumimoji="1" lang="ja-JP" altLang="en-US" sz="1100"/>
            <a:t>・ハングに加え、シミュレーター練習を導入</a:t>
          </a:r>
        </a:p>
        <a:p>
          <a:r>
            <a:rPr kumimoji="1" lang="ja-JP" altLang="en-US" sz="1100"/>
            <a:t>・重心操作性向上のため足おきを採用</a:t>
          </a:r>
        </a:p>
      </xdr:txBody>
    </xdr:sp>
    <xdr:clientData/>
  </xdr:twoCellAnchor>
  <xdr:twoCellAnchor>
    <xdr:from>
      <xdr:col>16</xdr:col>
      <xdr:colOff>0</xdr:colOff>
      <xdr:row>58</xdr:row>
      <xdr:rowOff>0</xdr:rowOff>
    </xdr:from>
    <xdr:to>
      <xdr:col>20</xdr:col>
      <xdr:colOff>0</xdr:colOff>
      <xdr:row>69</xdr:row>
      <xdr:rowOff>0</xdr:rowOff>
    </xdr:to>
    <xdr:graphicFrame macro="">
      <xdr:nvGraphicFramePr>
        <xdr:cNvPr id="6" name="グラフ 5">
          <a:extLst>
            <a:ext uri="{FF2B5EF4-FFF2-40B4-BE49-F238E27FC236}">
              <a16:creationId xmlns:a16="http://schemas.microsoft.com/office/drawing/2014/main" id="{A1C49E0A-9574-26A9-5F91-1F9EF2E03E9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1275382</xdr:colOff>
      <xdr:row>69</xdr:row>
      <xdr:rowOff>226017</xdr:rowOff>
    </xdr:from>
    <xdr:to>
      <xdr:col>31</xdr:col>
      <xdr:colOff>0</xdr:colOff>
      <xdr:row>71</xdr:row>
      <xdr:rowOff>0</xdr:rowOff>
    </xdr:to>
    <xdr:sp macro="" textlink="">
      <xdr:nvSpPr>
        <xdr:cNvPr id="9" name="正方形/長方形 1">
          <a:extLst>
            <a:ext uri="{FF2B5EF4-FFF2-40B4-BE49-F238E27FC236}">
              <a16:creationId xmlns:a16="http://schemas.microsoft.com/office/drawing/2014/main" id="{1453BA16-4AA9-4524-A19D-7D16109C8C10}"/>
            </a:ext>
          </a:extLst>
        </xdr:cNvPr>
        <xdr:cNvSpPr/>
      </xdr:nvSpPr>
      <xdr:spPr>
        <a:xfrm>
          <a:off x="2034153" y="15853475"/>
          <a:ext cx="1436822" cy="258305"/>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rtlCol="0" anchor="ctr"/>
        <a:lstStyle/>
        <a:p>
          <a:pPr algn="ctr"/>
          <a:r>
            <a:rPr kumimoji="1" lang="ja-JP" altLang="en-US" sz="1100">
              <a:solidFill>
                <a:sysClr val="windowText" lastClr="000000"/>
              </a:solidFill>
            </a:rPr>
            <a:t>シミュ出力</a:t>
          </a:r>
        </a:p>
      </xdr:txBody>
    </xdr:sp>
    <xdr:clientData/>
  </xdr:twoCellAnchor>
  <xdr:oneCellAnchor>
    <xdr:from>
      <xdr:col>1</xdr:col>
      <xdr:colOff>0</xdr:colOff>
      <xdr:row>58</xdr:row>
      <xdr:rowOff>0</xdr:rowOff>
    </xdr:from>
    <xdr:ext cx="3456214" cy="979714"/>
    <xdr:sp macro="" textlink="">
      <xdr:nvSpPr>
        <xdr:cNvPr id="2" name="テキスト ボックス 1">
          <a:extLst>
            <a:ext uri="{FF2B5EF4-FFF2-40B4-BE49-F238E27FC236}">
              <a16:creationId xmlns:a16="http://schemas.microsoft.com/office/drawing/2014/main" id="{22DFFF48-D596-AD25-68A7-3BAA4DF67CAF}"/>
            </a:ext>
          </a:extLst>
        </xdr:cNvPr>
        <xdr:cNvSpPr txBox="1"/>
      </xdr:nvSpPr>
      <xdr:spPr>
        <a:xfrm>
          <a:off x="748393" y="9633857"/>
          <a:ext cx="3456214" cy="979714"/>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wrap="square" tIns="0" bIns="0" rtlCol="0" anchor="t">
          <a:noAutofit/>
        </a:bodyPr>
        <a:lstStyle/>
        <a:p>
          <a:r>
            <a:rPr kumimoji="1" lang="en-US" altLang="ja-JP" sz="1000"/>
            <a:t>※</a:t>
          </a:r>
          <a:r>
            <a:rPr kumimoji="1" lang="ja-JP" altLang="en-US" sz="1000"/>
            <a:t>全機迎角と対気速度のどちらか一方、かつ重心位置とエレベーター舵角のどちらか一方を空欄にして解析すると、釣り合い飛行となるよう調整する。</a:t>
          </a:r>
          <a:endParaRPr kumimoji="1" lang="en-US" altLang="ja-JP" sz="1000"/>
        </a:p>
        <a:p>
          <a:r>
            <a:rPr kumimoji="1" lang="ja-JP" altLang="en-US" sz="1000"/>
            <a:t>釣り合い飛行：自重</a:t>
          </a:r>
          <a:r>
            <a:rPr kumimoji="1" lang="en-US" altLang="ja-JP" sz="1000"/>
            <a:t>=</a:t>
          </a:r>
          <a:r>
            <a:rPr kumimoji="1" lang="ja-JP" altLang="en-US" sz="1000"/>
            <a:t>鉛直揚力、ピッチングモーメント</a:t>
          </a:r>
          <a:r>
            <a:rPr kumimoji="1" lang="en-US" altLang="ja-JP" sz="1000"/>
            <a:t>=0</a:t>
          </a:r>
          <a:endParaRPr kumimoji="1" lang="ja-JP" altLang="en-US" sz="1000"/>
        </a:p>
      </xdr:txBody>
    </xdr:sp>
    <xdr:clientData/>
  </xdr:oneCellAnchor>
  <xdr:twoCellAnchor>
    <xdr:from>
      <xdr:col>12</xdr:col>
      <xdr:colOff>0</xdr:colOff>
      <xdr:row>1</xdr:row>
      <xdr:rowOff>1</xdr:rowOff>
    </xdr:from>
    <xdr:to>
      <xdr:col>14</xdr:col>
      <xdr:colOff>0</xdr:colOff>
      <xdr:row>2</xdr:row>
      <xdr:rowOff>1</xdr:rowOff>
    </xdr:to>
    <xdr:sp macro="" textlink="">
      <xdr:nvSpPr>
        <xdr:cNvPr id="7" name="正方形/長方形 1">
          <a:extLst>
            <a:ext uri="{FF2B5EF4-FFF2-40B4-BE49-F238E27FC236}">
              <a16:creationId xmlns:a16="http://schemas.microsoft.com/office/drawing/2014/main" id="{725EC5F7-EA6E-442E-91A8-AF7EAFA5A4A5}"/>
            </a:ext>
          </a:extLst>
        </xdr:cNvPr>
        <xdr:cNvSpPr/>
      </xdr:nvSpPr>
      <xdr:spPr>
        <a:xfrm>
          <a:off x="6204857" y="244930"/>
          <a:ext cx="1333500" cy="244928"/>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vert="horz" tIns="0" bIns="0" rtlCol="0" anchor="ctr"/>
        <a:lstStyle/>
        <a:p>
          <a:pPr algn="ctr"/>
          <a:r>
            <a:rPr kumimoji="1" lang="en-US" altLang="ja-JP" sz="1100">
              <a:solidFill>
                <a:sysClr val="windowText" lastClr="000000"/>
              </a:solidFill>
            </a:rPr>
            <a:t>dxf</a:t>
          </a:r>
          <a:r>
            <a:rPr kumimoji="1" lang="ja-JP" altLang="en-US" sz="1100">
              <a:solidFill>
                <a:sysClr val="windowText" lastClr="000000"/>
              </a:solidFill>
            </a:rPr>
            <a:t>ファイル出力</a:t>
          </a:r>
          <a:endParaRPr kumimoji="1" lang="en-US" altLang="ja-JP" sz="1100">
            <a:solidFill>
              <a:sysClr val="windowText" lastClr="000000"/>
            </a:solidFill>
          </a:endParaRPr>
        </a:p>
      </xdr:txBody>
    </xdr:sp>
    <xdr:clientData/>
  </xdr:twoCellAnchor>
  <xdr:twoCellAnchor>
    <xdr:from>
      <xdr:col>1</xdr:col>
      <xdr:colOff>0</xdr:colOff>
      <xdr:row>28</xdr:row>
      <xdr:rowOff>0</xdr:rowOff>
    </xdr:from>
    <xdr:to>
      <xdr:col>2</xdr:col>
      <xdr:colOff>0</xdr:colOff>
      <xdr:row>29</xdr:row>
      <xdr:rowOff>0</xdr:rowOff>
    </xdr:to>
    <xdr:sp macro="" textlink="">
      <xdr:nvSpPr>
        <xdr:cNvPr id="11" name="正方形/長方形 1">
          <a:extLst>
            <a:ext uri="{FF2B5EF4-FFF2-40B4-BE49-F238E27FC236}">
              <a16:creationId xmlns:a16="http://schemas.microsoft.com/office/drawing/2014/main" id="{669555E2-D2E1-4829-ADCF-007F2DE7E1A8}"/>
            </a:ext>
          </a:extLst>
        </xdr:cNvPr>
        <xdr:cNvSpPr/>
      </xdr:nvSpPr>
      <xdr:spPr>
        <a:xfrm>
          <a:off x="8871857" y="6667500"/>
          <a:ext cx="1333500" cy="244929"/>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vert="horz" tIns="0" bIns="0" rtlCol="0" anchor="ctr"/>
        <a:lstStyle/>
        <a:p>
          <a:pPr algn="ctr"/>
          <a:r>
            <a:rPr kumimoji="1" lang="ja-JP" altLang="en-US" sz="1100">
              <a:solidFill>
                <a:sysClr val="windowText" lastClr="000000"/>
              </a:solidFill>
            </a:rPr>
            <a:t>全範囲解析</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12</xdr:row>
      <xdr:rowOff>1</xdr:rowOff>
    </xdr:from>
    <xdr:to>
      <xdr:col>3</xdr:col>
      <xdr:colOff>0</xdr:colOff>
      <xdr:row>13</xdr:row>
      <xdr:rowOff>0</xdr:rowOff>
    </xdr:to>
    <xdr:sp macro="" textlink="">
      <xdr:nvSpPr>
        <xdr:cNvPr id="2" name="正方形/長方形 1">
          <a:extLst>
            <a:ext uri="{FF2B5EF4-FFF2-40B4-BE49-F238E27FC236}">
              <a16:creationId xmlns:a16="http://schemas.microsoft.com/office/drawing/2014/main" id="{BF8E563B-CB61-4D13-A04E-7C9683CAD3BB}"/>
            </a:ext>
          </a:extLst>
        </xdr:cNvPr>
        <xdr:cNvSpPr/>
      </xdr:nvSpPr>
      <xdr:spPr>
        <a:xfrm>
          <a:off x="748393" y="1714501"/>
          <a:ext cx="1496786" cy="244928"/>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rtlCol="0" anchor="ctr"/>
        <a:lstStyle/>
        <a:p>
          <a:pPr algn="ctr"/>
          <a:r>
            <a:rPr kumimoji="1" lang="ja-JP" altLang="en-US" sz="1100">
              <a:solidFill>
                <a:sysClr val="windowText" lastClr="000000"/>
              </a:solidFill>
            </a:rPr>
            <a:t>無制御</a:t>
          </a:r>
        </a:p>
      </xdr:txBody>
    </xdr:sp>
    <xdr:clientData/>
  </xdr:twoCellAnchor>
  <xdr:twoCellAnchor>
    <xdr:from>
      <xdr:col>1</xdr:col>
      <xdr:colOff>0</xdr:colOff>
      <xdr:row>14</xdr:row>
      <xdr:rowOff>0</xdr:rowOff>
    </xdr:from>
    <xdr:to>
      <xdr:col>3</xdr:col>
      <xdr:colOff>0</xdr:colOff>
      <xdr:row>15</xdr:row>
      <xdr:rowOff>-1</xdr:rowOff>
    </xdr:to>
    <xdr:sp macro="" textlink="">
      <xdr:nvSpPr>
        <xdr:cNvPr id="3" name="正方形/長方形 2">
          <a:extLst>
            <a:ext uri="{FF2B5EF4-FFF2-40B4-BE49-F238E27FC236}">
              <a16:creationId xmlns:a16="http://schemas.microsoft.com/office/drawing/2014/main" id="{A5FCE298-95AB-43BE-9223-082B0F9D8F2E}"/>
            </a:ext>
          </a:extLst>
        </xdr:cNvPr>
        <xdr:cNvSpPr/>
      </xdr:nvSpPr>
      <xdr:spPr>
        <a:xfrm>
          <a:off x="748393" y="2204357"/>
          <a:ext cx="1496786" cy="244928"/>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rtlCol="0" anchor="ctr"/>
        <a:lstStyle/>
        <a:p>
          <a:pPr algn="ctr"/>
          <a:r>
            <a:rPr kumimoji="1" lang="ja-JP" altLang="en-US" sz="1100">
              <a:solidFill>
                <a:sysClr val="windowText" lastClr="000000"/>
              </a:solidFill>
            </a:rPr>
            <a:t>飛行経路最適化</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0</xdr:colOff>
      <xdr:row>2</xdr:row>
      <xdr:rowOff>0</xdr:rowOff>
    </xdr:from>
    <xdr:to>
      <xdr:col>14</xdr:col>
      <xdr:colOff>0</xdr:colOff>
      <xdr:row>2</xdr:row>
      <xdr:rowOff>240476</xdr:rowOff>
    </xdr:to>
    <xdr:sp macro="[0]!ImportAirfoil" textlink="">
      <xdr:nvSpPr>
        <xdr:cNvPr id="2" name="正方形/長方形 5">
          <a:extLst>
            <a:ext uri="{FF2B5EF4-FFF2-40B4-BE49-F238E27FC236}">
              <a16:creationId xmlns:a16="http://schemas.microsoft.com/office/drawing/2014/main" id="{2F7FC070-978E-4B0F-B11C-053F35CCDE7B}"/>
            </a:ext>
          </a:extLst>
        </xdr:cNvPr>
        <xdr:cNvSpPr/>
      </xdr:nvSpPr>
      <xdr:spPr>
        <a:xfrm>
          <a:off x="9252857" y="0"/>
          <a:ext cx="1496786" cy="240476"/>
        </a:xfrm>
        <a:prstGeom prst="rect">
          <a:avLst/>
        </a:prstGeom>
        <a:solidFill>
          <a:schemeClr val="accent5">
            <a:lumMod val="20000"/>
            <a:lumOff val="8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翼型読み込み</a:t>
          </a:r>
          <a:endParaRPr kumimoji="1" lang="en-US" altLang="ja-JP" sz="1100">
            <a:solidFill>
              <a:sysClr val="windowText" lastClr="000000"/>
            </a:solidFill>
          </a:endParaRPr>
        </a:p>
      </xdr:txBody>
    </xdr:sp>
    <xdr:clientData/>
  </xdr:twoCellAnchor>
  <xdr:twoCellAnchor editAs="oneCell">
    <xdr:from>
      <xdr:col>19</xdr:col>
      <xdr:colOff>127000</xdr:colOff>
      <xdr:row>13</xdr:row>
      <xdr:rowOff>86750</xdr:rowOff>
    </xdr:from>
    <xdr:to>
      <xdr:col>19</xdr:col>
      <xdr:colOff>7391400</xdr:colOff>
      <xdr:row>13</xdr:row>
      <xdr:rowOff>1331350</xdr:rowOff>
    </xdr:to>
    <xdr:pic>
      <xdr:nvPicPr>
        <xdr:cNvPr id="200" name="QX0023">
          <a:extLst>
            <a:ext uri="{FF2B5EF4-FFF2-40B4-BE49-F238E27FC236}">
              <a16:creationId xmlns:a16="http://schemas.microsoft.com/office/drawing/2014/main" id="{3F5B45C9-CB66-9201-E768-465E5DF19F9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117320" y="3398910"/>
          <a:ext cx="7264400" cy="1244600"/>
        </a:xfrm>
        <a:prstGeom prst="rect">
          <a:avLst/>
        </a:prstGeom>
      </xdr:spPr>
    </xdr:pic>
    <xdr:clientData/>
  </xdr:twoCellAnchor>
  <xdr:twoCellAnchor editAs="oneCell">
    <xdr:from>
      <xdr:col>19</xdr:col>
      <xdr:colOff>127000</xdr:colOff>
      <xdr:row>14</xdr:row>
      <xdr:rowOff>123045</xdr:rowOff>
    </xdr:from>
    <xdr:to>
      <xdr:col>19</xdr:col>
      <xdr:colOff>7391400</xdr:colOff>
      <xdr:row>14</xdr:row>
      <xdr:rowOff>1266045</xdr:rowOff>
    </xdr:to>
    <xdr:pic>
      <xdr:nvPicPr>
        <xdr:cNvPr id="202" name="QX0123">
          <a:extLst>
            <a:ext uri="{FF2B5EF4-FFF2-40B4-BE49-F238E27FC236}">
              <a16:creationId xmlns:a16="http://schemas.microsoft.com/office/drawing/2014/main" id="{8615297D-EE4F-D2EC-6B00-21B44FD5F193}"/>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4117320" y="4806805"/>
          <a:ext cx="7264400" cy="1143000"/>
        </a:xfrm>
        <a:prstGeom prst="rect">
          <a:avLst/>
        </a:prstGeom>
      </xdr:spPr>
    </xdr:pic>
    <xdr:clientData/>
  </xdr:twoCellAnchor>
  <xdr:twoCellAnchor editAs="oneCell">
    <xdr:from>
      <xdr:col>19</xdr:col>
      <xdr:colOff>127000</xdr:colOff>
      <xdr:row>15</xdr:row>
      <xdr:rowOff>302785</xdr:rowOff>
    </xdr:from>
    <xdr:to>
      <xdr:col>19</xdr:col>
      <xdr:colOff>7391400</xdr:colOff>
      <xdr:row>15</xdr:row>
      <xdr:rowOff>1115585</xdr:rowOff>
    </xdr:to>
    <xdr:pic>
      <xdr:nvPicPr>
        <xdr:cNvPr id="204" name="NACA 0009">
          <a:extLst>
            <a:ext uri="{FF2B5EF4-FFF2-40B4-BE49-F238E27FC236}">
              <a16:creationId xmlns:a16="http://schemas.microsoft.com/office/drawing/2014/main" id="{8D1D9F2E-4802-359D-1D57-944361DB9EDD}"/>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4117320" y="6358145"/>
          <a:ext cx="7264400" cy="812800"/>
        </a:xfrm>
        <a:prstGeom prst="rect">
          <a:avLst/>
        </a:prstGeom>
      </xdr:spPr>
    </xdr:pic>
    <xdr:clientData/>
  </xdr:twoCellAnchor>
  <xdr:twoCellAnchor editAs="oneCell">
    <xdr:from>
      <xdr:col>19</xdr:col>
      <xdr:colOff>127000</xdr:colOff>
      <xdr:row>16</xdr:row>
      <xdr:rowOff>175113</xdr:rowOff>
    </xdr:from>
    <xdr:to>
      <xdr:col>19</xdr:col>
      <xdr:colOff>7391400</xdr:colOff>
      <xdr:row>16</xdr:row>
      <xdr:rowOff>1203813</xdr:rowOff>
    </xdr:to>
    <xdr:pic>
      <xdr:nvPicPr>
        <xdr:cNvPr id="206" name="NACA 0012">
          <a:extLst>
            <a:ext uri="{FF2B5EF4-FFF2-40B4-BE49-F238E27FC236}">
              <a16:creationId xmlns:a16="http://schemas.microsoft.com/office/drawing/2014/main" id="{57952519-A2F6-6392-DEB9-5C82796A31A2}"/>
            </a:ext>
          </a:extLst>
        </xdr:cNvPr>
        <xdr:cNvPicPr>
          <a:picLocks/>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4117320" y="7602073"/>
          <a:ext cx="7264400" cy="1028700"/>
        </a:xfrm>
        <a:prstGeom prst="rect">
          <a:avLst/>
        </a:prstGeom>
      </xdr:spPr>
    </xdr:pic>
    <xdr:clientData/>
  </xdr:twoCellAnchor>
  <xdr:oneCellAnchor>
    <xdr:from>
      <xdr:col>1</xdr:col>
      <xdr:colOff>1</xdr:colOff>
      <xdr:row>1</xdr:row>
      <xdr:rowOff>0</xdr:rowOff>
    </xdr:from>
    <xdr:ext cx="7756070" cy="1863587"/>
    <xdr:sp macro="" textlink="">
      <xdr:nvSpPr>
        <xdr:cNvPr id="3" name="テキスト ボックス 2">
          <a:extLst>
            <a:ext uri="{FF2B5EF4-FFF2-40B4-BE49-F238E27FC236}">
              <a16:creationId xmlns:a16="http://schemas.microsoft.com/office/drawing/2014/main" id="{7FB950CF-92E9-B94B-41B5-7A06FE9C9FAA}"/>
            </a:ext>
          </a:extLst>
        </xdr:cNvPr>
        <xdr:cNvSpPr txBox="1"/>
      </xdr:nvSpPr>
      <xdr:spPr>
        <a:xfrm>
          <a:off x="748394" y="244929"/>
          <a:ext cx="7756070" cy="1863587"/>
        </a:xfrm>
        <a:prstGeom prst="rect">
          <a:avLst/>
        </a:prstGeom>
        <a:solidFill>
          <a:schemeClr val="accent2">
            <a:lumMod val="20000"/>
            <a:lumOff val="80000"/>
          </a:schemeClr>
        </a:solidFill>
        <a:ln w="28575"/>
      </xdr:spPr>
      <xdr:style>
        <a:lnRef idx="2">
          <a:schemeClr val="dk1"/>
        </a:lnRef>
        <a:fillRef idx="1">
          <a:schemeClr val="lt1"/>
        </a:fillRef>
        <a:effectRef idx="0">
          <a:schemeClr val="dk1"/>
        </a:effectRef>
        <a:fontRef idx="minor">
          <a:schemeClr val="dk1"/>
        </a:fontRef>
      </xdr:style>
      <xdr:txBody>
        <a:bodyPr vertOverflow="clip" horzOverflow="clip" wrap="square" tIns="0" bIns="0" rtlCol="0" anchor="t">
          <a:noAutofit/>
        </a:bodyPr>
        <a:lstStyle/>
        <a:p>
          <a:r>
            <a:rPr kumimoji="1" lang="en-US" altLang="ja-JP" sz="1200" b="0"/>
            <a:t>1. CLmax		</a:t>
          </a:r>
          <a:r>
            <a:rPr kumimoji="1" lang="ja-JP" altLang="en-US" sz="1200" b="0"/>
            <a:t>：フレアの伸びやダイブの難易度を改善</a:t>
          </a:r>
          <a:r>
            <a:rPr kumimoji="1" lang="ja-JP" altLang="en-US" sz="1200" b="0" baseline="0"/>
            <a:t>　</a:t>
          </a:r>
          <a:r>
            <a:rPr kumimoji="1" lang="ja-JP" altLang="en-US" sz="1200" b="0"/>
            <a:t>去年の反省を生かして</a:t>
          </a:r>
        </a:p>
        <a:p>
          <a:r>
            <a:rPr kumimoji="1" lang="en-US" altLang="ja-JP" sz="1200" b="0"/>
            <a:t>2. </a:t>
          </a:r>
          <a:r>
            <a:rPr kumimoji="1" lang="ja-JP" altLang="en-US" sz="1200" b="0"/>
            <a:t>巡航</a:t>
          </a:r>
          <a:r>
            <a:rPr kumimoji="1" lang="en-US" altLang="ja-JP" sz="1200" b="0"/>
            <a:t>CL</a:t>
          </a:r>
          <a:r>
            <a:rPr kumimoji="1" lang="ja-JP" altLang="en-US" sz="1200" b="0"/>
            <a:t>での</a:t>
          </a:r>
          <a:r>
            <a:rPr kumimoji="1" lang="en-US" altLang="ja-JP" sz="1200" b="0"/>
            <a:t>L/D	</a:t>
          </a:r>
          <a:r>
            <a:rPr kumimoji="1" lang="ja-JP" altLang="en-US" sz="1200" b="0"/>
            <a:t>：性能は譲れない</a:t>
          </a:r>
        </a:p>
        <a:p>
          <a:r>
            <a:rPr kumimoji="1" lang="en-US" altLang="ja-JP" sz="1200" b="0"/>
            <a:t>3. </a:t>
          </a:r>
          <a:r>
            <a:rPr kumimoji="1" lang="ja-JP" altLang="en-US" sz="1200" b="0"/>
            <a:t>失速特性</a:t>
          </a:r>
          <a:r>
            <a:rPr kumimoji="1" lang="en-US" altLang="ja-JP" sz="1200" b="0"/>
            <a:t>		</a:t>
          </a:r>
          <a:r>
            <a:rPr kumimoji="1" lang="ja-JP" altLang="en-US" sz="1200" b="0"/>
            <a:t>：急な失速がないようにしたい</a:t>
          </a:r>
        </a:p>
        <a:p>
          <a:r>
            <a:rPr kumimoji="1" lang="en-US" altLang="ja-JP" sz="1200" b="0"/>
            <a:t>4. </a:t>
          </a:r>
          <a:r>
            <a:rPr kumimoji="1" lang="ja-JP" altLang="en-US" sz="1200" b="0"/>
            <a:t>巡航</a:t>
          </a:r>
          <a:r>
            <a:rPr kumimoji="1" lang="en-US" altLang="ja-JP" sz="1200" b="0"/>
            <a:t>CL</a:t>
          </a:r>
          <a:r>
            <a:rPr kumimoji="1" lang="ja-JP" altLang="en-US" sz="1200" b="0"/>
            <a:t>以外での</a:t>
          </a:r>
          <a:r>
            <a:rPr kumimoji="1" lang="en-US" altLang="ja-JP" sz="1200" b="0"/>
            <a:t>L/D	</a:t>
          </a:r>
          <a:r>
            <a:rPr kumimoji="1" lang="ja-JP" altLang="en-US" sz="1200" b="0"/>
            <a:t>：</a:t>
          </a:r>
          <a:r>
            <a:rPr kumimoji="1" lang="en-US" altLang="ja-JP" sz="1200" b="0"/>
            <a:t>L/D</a:t>
          </a:r>
          <a:r>
            <a:rPr kumimoji="1" lang="ja-JP" altLang="en-US" sz="1200" b="0"/>
            <a:t>は大きいほうがいい</a:t>
          </a:r>
        </a:p>
        <a:p>
          <a:r>
            <a:rPr kumimoji="1" lang="en-US" altLang="ja-JP" sz="1200" b="0"/>
            <a:t>5. </a:t>
          </a:r>
          <a:r>
            <a:rPr kumimoji="1" lang="ja-JP" altLang="en-US" sz="1200" b="0"/>
            <a:t>製作性</a:t>
          </a:r>
          <a:r>
            <a:rPr kumimoji="1" lang="en-US" altLang="ja-JP" sz="1200" b="0"/>
            <a:t>		</a:t>
          </a:r>
          <a:r>
            <a:rPr kumimoji="1" lang="ja-JP" altLang="en-US" sz="1200" b="0"/>
            <a:t>：「後縁が細すぎない」「下面の反りはほどほど」を意識</a:t>
          </a:r>
        </a:p>
        <a:p>
          <a:r>
            <a:rPr kumimoji="1" lang="en-US" altLang="ja-JP" sz="1200" b="0"/>
            <a:t>6. </a:t>
          </a:r>
          <a:r>
            <a:rPr kumimoji="1" lang="ja-JP" altLang="en-US" sz="1200" b="0"/>
            <a:t>翼厚</a:t>
          </a:r>
          <a:r>
            <a:rPr kumimoji="1" lang="en-US" altLang="ja-JP" sz="1200" b="0"/>
            <a:t>		</a:t>
          </a:r>
          <a:r>
            <a:rPr kumimoji="1" lang="ja-JP" altLang="en-US" sz="1200" b="0"/>
            <a:t>：無いと作れないが、そんなに余裕は残していない　</a:t>
          </a:r>
          <a:r>
            <a:rPr kumimoji="1" lang="en-US" altLang="ja-JP" sz="1200" b="0"/>
            <a:t>14%</a:t>
          </a:r>
          <a:r>
            <a:rPr kumimoji="1" lang="ja-JP" altLang="en-US" sz="1200" b="0"/>
            <a:t>以上は確保</a:t>
          </a:r>
        </a:p>
        <a:p>
          <a:r>
            <a:rPr kumimoji="1" lang="en-US" altLang="ja-JP" sz="1200" b="0"/>
            <a:t>7. Cm</a:t>
          </a:r>
          <a:r>
            <a:rPr kumimoji="1" lang="ja-JP" altLang="en-US" sz="1200" b="0"/>
            <a:t>が小さい</a:t>
          </a:r>
          <a:r>
            <a:rPr kumimoji="1" lang="en-US" altLang="ja-JP" sz="1200" b="0"/>
            <a:t>	</a:t>
          </a:r>
          <a:r>
            <a:rPr kumimoji="1" lang="ja-JP" altLang="en-US" sz="1200" b="0"/>
            <a:t>：真円桁でねじりに強くなったので、</a:t>
          </a:r>
          <a:r>
            <a:rPr kumimoji="1" lang="en-US" altLang="ja-JP" sz="1200" b="0"/>
            <a:t>Cm</a:t>
          </a:r>
          <a:r>
            <a:rPr kumimoji="1" lang="ja-JP" altLang="en-US" sz="1200" b="0"/>
            <a:t>はある程度大きくても許容</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246529</xdr:rowOff>
    </xdr:from>
    <xdr:to>
      <xdr:col>3</xdr:col>
      <xdr:colOff>0</xdr:colOff>
      <xdr:row>2</xdr:row>
      <xdr:rowOff>246528</xdr:rowOff>
    </xdr:to>
    <xdr:sp macro="[0]!CalcLaminate" textlink="">
      <xdr:nvSpPr>
        <xdr:cNvPr id="2" name="正方形/長方形 4">
          <a:extLst>
            <a:ext uri="{FF2B5EF4-FFF2-40B4-BE49-F238E27FC236}">
              <a16:creationId xmlns:a16="http://schemas.microsoft.com/office/drawing/2014/main" id="{16295390-D2A9-4446-B29D-94F98F18E69E}"/>
            </a:ext>
          </a:extLst>
        </xdr:cNvPr>
        <xdr:cNvSpPr/>
      </xdr:nvSpPr>
      <xdr:spPr>
        <a:xfrm>
          <a:off x="739588" y="493058"/>
          <a:ext cx="1479177" cy="246529"/>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読み込み</a:t>
          </a:r>
          <a:endParaRPr kumimoji="1" lang="en-US" altLang="ja-JP" sz="1100"/>
        </a:p>
      </xdr:txBody>
    </xdr:sp>
    <xdr:clientData/>
  </xdr:twoCellAnchor>
  <xdr:twoCellAnchor>
    <xdr:from>
      <xdr:col>2</xdr:col>
      <xdr:colOff>1</xdr:colOff>
      <xdr:row>31</xdr:row>
      <xdr:rowOff>0</xdr:rowOff>
    </xdr:from>
    <xdr:to>
      <xdr:col>5</xdr:col>
      <xdr:colOff>1</xdr:colOff>
      <xdr:row>32</xdr:row>
      <xdr:rowOff>0</xdr:rowOff>
    </xdr:to>
    <xdr:sp macro="[1]!プリプレグカットシート出力" textlink="">
      <xdr:nvSpPr>
        <xdr:cNvPr id="3" name="正方形/長方形 2">
          <a:extLst>
            <a:ext uri="{FF2B5EF4-FFF2-40B4-BE49-F238E27FC236}">
              <a16:creationId xmlns:a16="http://schemas.microsoft.com/office/drawing/2014/main" id="{9E1A48E0-6E4D-4777-916A-F1D6F2457D57}"/>
            </a:ext>
          </a:extLst>
        </xdr:cNvPr>
        <xdr:cNvSpPr/>
      </xdr:nvSpPr>
      <xdr:spPr>
        <a:xfrm>
          <a:off x="1496787" y="7620000"/>
          <a:ext cx="2694214" cy="244929"/>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プリプレグカットシート出力</a:t>
          </a:r>
        </a:p>
      </xdr:txBody>
    </xdr:sp>
    <xdr:clientData/>
  </xdr:twoCellAnchor>
  <xdr:twoCellAnchor>
    <xdr:from>
      <xdr:col>2</xdr:col>
      <xdr:colOff>0</xdr:colOff>
      <xdr:row>44</xdr:row>
      <xdr:rowOff>0</xdr:rowOff>
    </xdr:from>
    <xdr:to>
      <xdr:col>3</xdr:col>
      <xdr:colOff>0</xdr:colOff>
      <xdr:row>45</xdr:row>
      <xdr:rowOff>0</xdr:rowOff>
    </xdr:to>
    <xdr:sp macro="" textlink="">
      <xdr:nvSpPr>
        <xdr:cNvPr id="4" name="正方形/長方形 3">
          <a:extLst>
            <a:ext uri="{FF2B5EF4-FFF2-40B4-BE49-F238E27FC236}">
              <a16:creationId xmlns:a16="http://schemas.microsoft.com/office/drawing/2014/main" id="{ED85DA7B-2271-4FF0-809C-4ABBE7793250}"/>
            </a:ext>
          </a:extLst>
        </xdr:cNvPr>
        <xdr:cNvSpPr/>
      </xdr:nvSpPr>
      <xdr:spPr>
        <a:xfrm>
          <a:off x="1496786" y="10804071"/>
          <a:ext cx="1197428" cy="244929"/>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rtlCol="0" anchor="ctr"/>
        <a:lstStyle/>
        <a:p>
          <a:pPr algn="ctr"/>
          <a:r>
            <a:rPr kumimoji="1" lang="ja-JP" altLang="en-US" sz="1100">
              <a:solidFill>
                <a:sysClr val="windowText" lastClr="000000"/>
              </a:solidFill>
            </a:rPr>
            <a:t>詳細計算</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17</xdr:col>
      <xdr:colOff>1</xdr:colOff>
      <xdr:row>15</xdr:row>
      <xdr:rowOff>0</xdr:rowOff>
    </xdr:from>
    <xdr:to>
      <xdr:col>23</xdr:col>
      <xdr:colOff>1</xdr:colOff>
      <xdr:row>20</xdr:row>
      <xdr:rowOff>217715</xdr:rowOff>
    </xdr:to>
    <xdr:graphicFrame macro="">
      <xdr:nvGraphicFramePr>
        <xdr:cNvPr id="101" name="グラフ 25">
          <a:extLst>
            <a:ext uri="{FF2B5EF4-FFF2-40B4-BE49-F238E27FC236}">
              <a16:creationId xmlns:a16="http://schemas.microsoft.com/office/drawing/2014/main" id="{99FF61F8-1A49-B94E-9DFF-F55CB93D96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35</xdr:row>
      <xdr:rowOff>244927</xdr:rowOff>
    </xdr:from>
    <xdr:to>
      <xdr:col>22</xdr:col>
      <xdr:colOff>-1</xdr:colOff>
      <xdr:row>40</xdr:row>
      <xdr:rowOff>244927</xdr:rowOff>
    </xdr:to>
    <xdr:graphicFrame macro="">
      <xdr:nvGraphicFramePr>
        <xdr:cNvPr id="110" name="グラフ 16">
          <a:extLst>
            <a:ext uri="{FF2B5EF4-FFF2-40B4-BE49-F238E27FC236}">
              <a16:creationId xmlns:a16="http://schemas.microsoft.com/office/drawing/2014/main" id="{526DF997-9018-E747-9BD2-31E3FA375D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0</xdr:colOff>
      <xdr:row>15</xdr:row>
      <xdr:rowOff>0</xdr:rowOff>
    </xdr:from>
    <xdr:to>
      <xdr:col>17</xdr:col>
      <xdr:colOff>0</xdr:colOff>
      <xdr:row>20</xdr:row>
      <xdr:rowOff>217714</xdr:rowOff>
    </xdr:to>
    <xdr:graphicFrame macro="">
      <xdr:nvGraphicFramePr>
        <xdr:cNvPr id="100" name="グラフ 23">
          <a:extLst>
            <a:ext uri="{FF2B5EF4-FFF2-40B4-BE49-F238E27FC236}">
              <a16:creationId xmlns:a16="http://schemas.microsoft.com/office/drawing/2014/main" id="{2DF7371B-54CB-5B48-8A56-6475A670CE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42</xdr:row>
      <xdr:rowOff>0</xdr:rowOff>
    </xdr:from>
    <xdr:to>
      <xdr:col>3</xdr:col>
      <xdr:colOff>0</xdr:colOff>
      <xdr:row>43</xdr:row>
      <xdr:rowOff>0</xdr:rowOff>
    </xdr:to>
    <xdr:sp macro="" textlink="">
      <xdr:nvSpPr>
        <xdr:cNvPr id="26" name="正方形/長方形 1">
          <a:extLst>
            <a:ext uri="{FF2B5EF4-FFF2-40B4-BE49-F238E27FC236}">
              <a16:creationId xmlns:a16="http://schemas.microsoft.com/office/drawing/2014/main" id="{0ED41663-A441-9643-AAEC-4C291A558F8D}"/>
            </a:ext>
          </a:extLst>
        </xdr:cNvPr>
        <xdr:cNvSpPr/>
      </xdr:nvSpPr>
      <xdr:spPr>
        <a:xfrm>
          <a:off x="778933" y="8805333"/>
          <a:ext cx="1557867" cy="25400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Initialize</a:t>
          </a:r>
        </a:p>
      </xdr:txBody>
    </xdr:sp>
    <xdr:clientData/>
  </xdr:twoCellAnchor>
  <xdr:twoCellAnchor>
    <xdr:from>
      <xdr:col>6</xdr:col>
      <xdr:colOff>0</xdr:colOff>
      <xdr:row>20</xdr:row>
      <xdr:rowOff>217714</xdr:rowOff>
    </xdr:from>
    <xdr:to>
      <xdr:col>23</xdr:col>
      <xdr:colOff>0</xdr:colOff>
      <xdr:row>26</xdr:row>
      <xdr:rowOff>-1</xdr:rowOff>
    </xdr:to>
    <xdr:graphicFrame macro="">
      <xdr:nvGraphicFramePr>
        <xdr:cNvPr id="106" name="グラフ 24">
          <a:extLst>
            <a:ext uri="{FF2B5EF4-FFF2-40B4-BE49-F238E27FC236}">
              <a16:creationId xmlns:a16="http://schemas.microsoft.com/office/drawing/2014/main" id="{2311E428-BF89-B746-B90B-F83039FD1B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xdr:colOff>
      <xdr:row>26</xdr:row>
      <xdr:rowOff>0</xdr:rowOff>
    </xdr:from>
    <xdr:to>
      <xdr:col>22</xdr:col>
      <xdr:colOff>0</xdr:colOff>
      <xdr:row>31</xdr:row>
      <xdr:rowOff>0</xdr:rowOff>
    </xdr:to>
    <xdr:graphicFrame macro="">
      <xdr:nvGraphicFramePr>
        <xdr:cNvPr id="108" name="グラフ 14">
          <a:extLst>
            <a:ext uri="{FF2B5EF4-FFF2-40B4-BE49-F238E27FC236}">
              <a16:creationId xmlns:a16="http://schemas.microsoft.com/office/drawing/2014/main" id="{A21F1D7C-876E-3E46-9606-1801F3B6C7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26</xdr:col>
      <xdr:colOff>5158</xdr:colOff>
      <xdr:row>25</xdr:row>
      <xdr:rowOff>0</xdr:rowOff>
    </xdr:from>
    <xdr:to>
      <xdr:col>29</xdr:col>
      <xdr:colOff>0</xdr:colOff>
      <xdr:row>26</xdr:row>
      <xdr:rowOff>0</xdr:rowOff>
    </xdr:to>
    <xdr:sp macro="[0]!FoilDepict" textlink="">
      <xdr:nvSpPr>
        <xdr:cNvPr id="2" name="正方形/長方形 1">
          <a:extLst>
            <a:ext uri="{FF2B5EF4-FFF2-40B4-BE49-F238E27FC236}">
              <a16:creationId xmlns:a16="http://schemas.microsoft.com/office/drawing/2014/main" id="{037D5614-D1C1-D840-87D5-3AB54FB5E773}"/>
            </a:ext>
          </a:extLst>
        </xdr:cNvPr>
        <xdr:cNvSpPr/>
      </xdr:nvSpPr>
      <xdr:spPr>
        <a:xfrm>
          <a:off x="15245158" y="6745941"/>
          <a:ext cx="2280842" cy="24653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型紙出力（紙）</a:t>
          </a:r>
          <a:endParaRPr kumimoji="1" lang="en-US" altLang="ja-JP" sz="1100">
            <a:solidFill>
              <a:sysClr val="windowText" lastClr="000000"/>
            </a:solidFill>
          </a:endParaRPr>
        </a:p>
      </xdr:txBody>
    </xdr:sp>
    <xdr:clientData/>
  </xdr:twoCellAnchor>
  <xdr:twoCellAnchor>
    <xdr:from>
      <xdr:col>26</xdr:col>
      <xdr:colOff>0</xdr:colOff>
      <xdr:row>14</xdr:row>
      <xdr:rowOff>0</xdr:rowOff>
    </xdr:from>
    <xdr:to>
      <xdr:col>28</xdr:col>
      <xdr:colOff>0</xdr:colOff>
      <xdr:row>15</xdr:row>
      <xdr:rowOff>0</xdr:rowOff>
    </xdr:to>
    <xdr:sp macro="" textlink="">
      <xdr:nvSpPr>
        <xdr:cNvPr id="4" name="正方形/長方形 3">
          <a:extLst>
            <a:ext uri="{FF2B5EF4-FFF2-40B4-BE49-F238E27FC236}">
              <a16:creationId xmlns:a16="http://schemas.microsoft.com/office/drawing/2014/main" id="{79BAB526-BE0E-4642-875F-66153EBF9811}"/>
            </a:ext>
          </a:extLst>
        </xdr:cNvPr>
        <xdr:cNvSpPr/>
      </xdr:nvSpPr>
      <xdr:spPr>
        <a:xfrm>
          <a:off x="17424400" y="3860800"/>
          <a:ext cx="1549400" cy="25400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型紙プレビュー</a:t>
          </a:r>
          <a:endParaRPr kumimoji="1" lang="en-US" altLang="ja-JP" sz="1100">
            <a:solidFill>
              <a:sysClr val="windowText" lastClr="000000"/>
            </a:solidFill>
          </a:endParaRPr>
        </a:p>
      </xdr:txBody>
    </xdr:sp>
    <xdr:clientData/>
  </xdr:twoCellAnchor>
  <xdr:twoCellAnchor>
    <xdr:from>
      <xdr:col>26</xdr:col>
      <xdr:colOff>0</xdr:colOff>
      <xdr:row>26</xdr:row>
      <xdr:rowOff>245804</xdr:rowOff>
    </xdr:from>
    <xdr:to>
      <xdr:col>29</xdr:col>
      <xdr:colOff>0</xdr:colOff>
      <xdr:row>27</xdr:row>
      <xdr:rowOff>246528</xdr:rowOff>
    </xdr:to>
    <xdr:sp macro="" textlink="">
      <xdr:nvSpPr>
        <xdr:cNvPr id="8" name="正方形/長方形 7">
          <a:extLst>
            <a:ext uri="{FF2B5EF4-FFF2-40B4-BE49-F238E27FC236}">
              <a16:creationId xmlns:a16="http://schemas.microsoft.com/office/drawing/2014/main" id="{EA934FF5-43AE-4F1E-B445-09F047225FBE}"/>
            </a:ext>
          </a:extLst>
        </xdr:cNvPr>
        <xdr:cNvSpPr/>
      </xdr:nvSpPr>
      <xdr:spPr>
        <a:xfrm>
          <a:off x="15240000" y="7238275"/>
          <a:ext cx="2286000" cy="247253"/>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リブ付け用治具出力</a:t>
          </a:r>
          <a:endParaRPr kumimoji="1" lang="en-US" altLang="ja-JP" sz="1100">
            <a:solidFill>
              <a:sysClr val="windowText" lastClr="000000"/>
            </a:solidFill>
          </a:endParaRPr>
        </a:p>
      </xdr:txBody>
    </xdr:sp>
    <xdr:clientData/>
  </xdr:twoCellAnchor>
  <xdr:twoCellAnchor>
    <xdr:from>
      <xdr:col>26</xdr:col>
      <xdr:colOff>0</xdr:colOff>
      <xdr:row>28</xdr:row>
      <xdr:rowOff>0</xdr:rowOff>
    </xdr:from>
    <xdr:to>
      <xdr:col>29</xdr:col>
      <xdr:colOff>0</xdr:colOff>
      <xdr:row>29</xdr:row>
      <xdr:rowOff>0</xdr:rowOff>
    </xdr:to>
    <xdr:sp macro="" textlink="">
      <xdr:nvSpPr>
        <xdr:cNvPr id="9" name="正方形/長方形 8">
          <a:extLst>
            <a:ext uri="{FF2B5EF4-FFF2-40B4-BE49-F238E27FC236}">
              <a16:creationId xmlns:a16="http://schemas.microsoft.com/office/drawing/2014/main" id="{1808D3F5-0AF1-4A7A-B091-F98324733DA2}"/>
            </a:ext>
          </a:extLst>
        </xdr:cNvPr>
        <xdr:cNvSpPr/>
      </xdr:nvSpPr>
      <xdr:spPr>
        <a:xfrm>
          <a:off x="15240000" y="7485529"/>
          <a:ext cx="2286000" cy="24653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バルサチップ出力</a:t>
          </a:r>
          <a:endParaRPr kumimoji="1" lang="en-US" altLang="ja-JP" sz="1100">
            <a:solidFill>
              <a:sysClr val="windowText" lastClr="000000"/>
            </a:solidFill>
          </a:endParaRPr>
        </a:p>
      </xdr:txBody>
    </xdr:sp>
    <xdr:clientData/>
  </xdr:twoCellAnchor>
  <xdr:twoCellAnchor>
    <xdr:from>
      <xdr:col>26</xdr:col>
      <xdr:colOff>0</xdr:colOff>
      <xdr:row>26</xdr:row>
      <xdr:rowOff>5074</xdr:rowOff>
    </xdr:from>
    <xdr:to>
      <xdr:col>29</xdr:col>
      <xdr:colOff>0</xdr:colOff>
      <xdr:row>27</xdr:row>
      <xdr:rowOff>1</xdr:rowOff>
    </xdr:to>
    <xdr:sp macro="" textlink="">
      <xdr:nvSpPr>
        <xdr:cNvPr id="5" name="正方形/長方形 4">
          <a:extLst>
            <a:ext uri="{FF2B5EF4-FFF2-40B4-BE49-F238E27FC236}">
              <a16:creationId xmlns:a16="http://schemas.microsoft.com/office/drawing/2014/main" id="{66E0EF44-B00F-194D-8DFB-A1C6424BC88B}"/>
            </a:ext>
          </a:extLst>
        </xdr:cNvPr>
        <xdr:cNvSpPr/>
      </xdr:nvSpPr>
      <xdr:spPr>
        <a:xfrm>
          <a:off x="15240000" y="6997545"/>
          <a:ext cx="2286000" cy="241456"/>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型紙出力（レーザー）</a:t>
          </a:r>
          <a:endParaRPr kumimoji="1" lang="en-US" altLang="ja-JP" sz="1100">
            <a:solidFill>
              <a:sysClr val="windowText" lastClr="000000"/>
            </a:solidFill>
          </a:endParaRPr>
        </a:p>
      </xdr:txBody>
    </xdr:sp>
    <xdr:clientData/>
  </xdr:twoCellAnchor>
  <xdr:twoCellAnchor>
    <xdr:from>
      <xdr:col>6</xdr:col>
      <xdr:colOff>1</xdr:colOff>
      <xdr:row>30</xdr:row>
      <xdr:rowOff>244927</xdr:rowOff>
    </xdr:from>
    <xdr:to>
      <xdr:col>22</xdr:col>
      <xdr:colOff>0</xdr:colOff>
      <xdr:row>35</xdr:row>
      <xdr:rowOff>244926</xdr:rowOff>
    </xdr:to>
    <xdr:graphicFrame macro="">
      <xdr:nvGraphicFramePr>
        <xdr:cNvPr id="6" name="グラフ 14">
          <a:extLst>
            <a:ext uri="{FF2B5EF4-FFF2-40B4-BE49-F238E27FC236}">
              <a16:creationId xmlns:a16="http://schemas.microsoft.com/office/drawing/2014/main" id="{5197CD41-6A91-423A-BC61-E34C80AEB8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1</xdr:col>
      <xdr:colOff>0</xdr:colOff>
      <xdr:row>2</xdr:row>
      <xdr:rowOff>0</xdr:rowOff>
    </xdr:from>
    <xdr:ext cx="3102429" cy="2735036"/>
    <xdr:sp macro="" textlink="">
      <xdr:nvSpPr>
        <xdr:cNvPr id="7" name="テキスト ボックス 6">
          <a:extLst>
            <a:ext uri="{FF2B5EF4-FFF2-40B4-BE49-F238E27FC236}">
              <a16:creationId xmlns:a16="http://schemas.microsoft.com/office/drawing/2014/main" id="{74CA093C-A0A4-3692-AFFB-F2BD2191D84C}"/>
            </a:ext>
          </a:extLst>
        </xdr:cNvPr>
        <xdr:cNvSpPr txBox="1"/>
      </xdr:nvSpPr>
      <xdr:spPr>
        <a:xfrm>
          <a:off x="762000" y="489857"/>
          <a:ext cx="3102429" cy="2735036"/>
        </a:xfrm>
        <a:prstGeom prst="rect">
          <a:avLst/>
        </a:prstGeom>
        <a:solidFill>
          <a:schemeClr val="accent2">
            <a:lumMod val="20000"/>
            <a:lumOff val="80000"/>
          </a:schemeClr>
        </a:solidFill>
        <a:ln w="28575"/>
      </xdr:spPr>
      <xdr:style>
        <a:lnRef idx="2">
          <a:schemeClr val="dk1"/>
        </a:lnRef>
        <a:fillRef idx="1">
          <a:schemeClr val="lt1"/>
        </a:fillRef>
        <a:effectRef idx="0">
          <a:schemeClr val="dk1"/>
        </a:effectRef>
        <a:fontRef idx="minor">
          <a:schemeClr val="dk1"/>
        </a:fontRef>
      </xdr:style>
      <xdr:txBody>
        <a:bodyPr vertOverflow="clip" horzOverflow="clip" wrap="none" rtlCol="0" anchor="t">
          <a:noAutofit/>
        </a:bodyPr>
        <a:lstStyle/>
        <a:p>
          <a:r>
            <a:rPr kumimoji="1" lang="ja-JP" altLang="en-US" sz="1200"/>
            <a:t>主翼コンセプトをここに書く</a:t>
          </a:r>
          <a:endParaRPr kumimoji="1" lang="en-US" altLang="ja-JP" sz="1200"/>
        </a:p>
        <a:p>
          <a:endParaRPr kumimoji="1" lang="ja-JP" altLang="en-US" sz="1200"/>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4</xdr:col>
      <xdr:colOff>0</xdr:colOff>
      <xdr:row>47</xdr:row>
      <xdr:rowOff>0</xdr:rowOff>
    </xdr:from>
    <xdr:to>
      <xdr:col>6</xdr:col>
      <xdr:colOff>0</xdr:colOff>
      <xdr:row>48</xdr:row>
      <xdr:rowOff>0</xdr:rowOff>
    </xdr:to>
    <xdr:sp macro="" textlink="">
      <xdr:nvSpPr>
        <xdr:cNvPr id="13" name="正方形/長方形 4">
          <a:extLst>
            <a:ext uri="{FF2B5EF4-FFF2-40B4-BE49-F238E27FC236}">
              <a16:creationId xmlns:a16="http://schemas.microsoft.com/office/drawing/2014/main" id="{CD98549D-2AF4-FC42-9845-60F1E21ECB7E}"/>
            </a:ext>
          </a:extLst>
        </xdr:cNvPr>
        <xdr:cNvSpPr/>
      </xdr:nvSpPr>
      <xdr:spPr>
        <a:xfrm>
          <a:off x="4109861" y="14428611"/>
          <a:ext cx="2063750" cy="255764"/>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プリプレグカット表出力</a:t>
          </a:r>
        </a:p>
      </xdr:txBody>
    </xdr:sp>
    <xdr:clientData/>
  </xdr:twoCellAnchor>
  <xdr:twoCellAnchor>
    <xdr:from>
      <xdr:col>1</xdr:col>
      <xdr:colOff>0</xdr:colOff>
      <xdr:row>28</xdr:row>
      <xdr:rowOff>0</xdr:rowOff>
    </xdr:from>
    <xdr:to>
      <xdr:col>26</xdr:col>
      <xdr:colOff>0</xdr:colOff>
      <xdr:row>40</xdr:row>
      <xdr:rowOff>0</xdr:rowOff>
    </xdr:to>
    <xdr:graphicFrame macro="">
      <xdr:nvGraphicFramePr>
        <xdr:cNvPr id="14" name="グラフ 13">
          <a:extLst>
            <a:ext uri="{FF2B5EF4-FFF2-40B4-BE49-F238E27FC236}">
              <a16:creationId xmlns:a16="http://schemas.microsoft.com/office/drawing/2014/main" id="{75876233-7C40-844A-9A4A-CC83BEEAF4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47</xdr:row>
      <xdr:rowOff>0</xdr:rowOff>
    </xdr:from>
    <xdr:to>
      <xdr:col>4</xdr:col>
      <xdr:colOff>0</xdr:colOff>
      <xdr:row>48</xdr:row>
      <xdr:rowOff>0</xdr:rowOff>
    </xdr:to>
    <xdr:sp macro="" textlink="">
      <xdr:nvSpPr>
        <xdr:cNvPr id="16" name="正方形/長方形 4">
          <a:extLst>
            <a:ext uri="{FF2B5EF4-FFF2-40B4-BE49-F238E27FC236}">
              <a16:creationId xmlns:a16="http://schemas.microsoft.com/office/drawing/2014/main" id="{01FC33CA-4DA1-8649-BEA6-9B08D919BF4C}"/>
            </a:ext>
          </a:extLst>
        </xdr:cNvPr>
        <xdr:cNvSpPr/>
      </xdr:nvSpPr>
      <xdr:spPr>
        <a:xfrm>
          <a:off x="492672" y="11079655"/>
          <a:ext cx="1970690" cy="251811"/>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en-US" altLang="ja-JP" sz="1100"/>
            <a:t>NC</a:t>
          </a:r>
          <a:r>
            <a:rPr kumimoji="1" lang="ja-JP" altLang="en-US" sz="1100"/>
            <a:t>熱線</a:t>
          </a:r>
          <a:r>
            <a:rPr kumimoji="1" lang="en-US" altLang="ja-JP" sz="1100"/>
            <a:t>Gcode</a:t>
          </a:r>
          <a:r>
            <a:rPr kumimoji="1" lang="ja-JP" altLang="en-US" sz="1100"/>
            <a:t>出力</a:t>
          </a:r>
        </a:p>
      </xdr:txBody>
    </xdr:sp>
    <xdr:clientData/>
  </xdr:twoCellAnchor>
  <xdr:twoCellAnchor>
    <xdr:from>
      <xdr:col>21</xdr:col>
      <xdr:colOff>153517</xdr:colOff>
      <xdr:row>28</xdr:row>
      <xdr:rowOff>195385</xdr:rowOff>
    </xdr:from>
    <xdr:to>
      <xdr:col>29</xdr:col>
      <xdr:colOff>153517</xdr:colOff>
      <xdr:row>40</xdr:row>
      <xdr:rowOff>55825</xdr:rowOff>
    </xdr:to>
    <xdr:graphicFrame macro="">
      <xdr:nvGraphicFramePr>
        <xdr:cNvPr id="4" name="グラフ 3">
          <a:extLst>
            <a:ext uri="{FF2B5EF4-FFF2-40B4-BE49-F238E27FC236}">
              <a16:creationId xmlns:a16="http://schemas.microsoft.com/office/drawing/2014/main" id="{14C4BD20-7D0A-8747-ACCE-E8BDAECF80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1032932</xdr:colOff>
      <xdr:row>16</xdr:row>
      <xdr:rowOff>0</xdr:rowOff>
    </xdr:from>
    <xdr:to>
      <xdr:col>3</xdr:col>
      <xdr:colOff>1032932</xdr:colOff>
      <xdr:row>17</xdr:row>
      <xdr:rowOff>0</xdr:rowOff>
    </xdr:to>
    <xdr:sp macro="" textlink="">
      <xdr:nvSpPr>
        <xdr:cNvPr id="5" name="正方形/長方形 4">
          <a:extLst>
            <a:ext uri="{FF2B5EF4-FFF2-40B4-BE49-F238E27FC236}">
              <a16:creationId xmlns:a16="http://schemas.microsoft.com/office/drawing/2014/main" id="{80FDE440-B2AF-C543-BBD3-6AFC8900D093}"/>
            </a:ext>
          </a:extLst>
        </xdr:cNvPr>
        <xdr:cNvSpPr/>
      </xdr:nvSpPr>
      <xdr:spPr>
        <a:xfrm>
          <a:off x="1032932" y="8077200"/>
          <a:ext cx="3081867" cy="25400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最適循環分布</a:t>
          </a:r>
          <a:r>
            <a:rPr kumimoji="1" lang="en-US" altLang="ja-JP" sz="1100"/>
            <a:t>&amp;</a:t>
          </a:r>
          <a:r>
            <a:rPr kumimoji="1" lang="ja-JP" altLang="en-US" sz="1100"/>
            <a:t>剛性分布</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0</xdr:colOff>
      <xdr:row>39</xdr:row>
      <xdr:rowOff>0</xdr:rowOff>
    </xdr:from>
    <xdr:to>
      <xdr:col>11</xdr:col>
      <xdr:colOff>429054</xdr:colOff>
      <xdr:row>40</xdr:row>
      <xdr:rowOff>0</xdr:rowOff>
    </xdr:to>
    <xdr:sp macro="" textlink="">
      <xdr:nvSpPr>
        <xdr:cNvPr id="2" name="正方形/長方形 4">
          <a:extLst>
            <a:ext uri="{FF2B5EF4-FFF2-40B4-BE49-F238E27FC236}">
              <a16:creationId xmlns:a16="http://schemas.microsoft.com/office/drawing/2014/main" id="{644D47C2-FC0C-BE4A-88A8-6CF5490FA9E1}"/>
            </a:ext>
          </a:extLst>
        </xdr:cNvPr>
        <xdr:cNvSpPr/>
      </xdr:nvSpPr>
      <xdr:spPr>
        <a:xfrm>
          <a:off x="7429500" y="7950200"/>
          <a:ext cx="2080054" cy="20320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プリプレグカット表出力</a:t>
          </a:r>
        </a:p>
      </xdr:txBody>
    </xdr:sp>
    <xdr:clientData/>
  </xdr:twoCellAnchor>
  <xdr:twoCellAnchor>
    <xdr:from>
      <xdr:col>1</xdr:col>
      <xdr:colOff>0</xdr:colOff>
      <xdr:row>44</xdr:row>
      <xdr:rowOff>0</xdr:rowOff>
    </xdr:from>
    <xdr:to>
      <xdr:col>3</xdr:col>
      <xdr:colOff>429055</xdr:colOff>
      <xdr:row>45</xdr:row>
      <xdr:rowOff>1</xdr:rowOff>
    </xdr:to>
    <xdr:sp macro="" textlink="">
      <xdr:nvSpPr>
        <xdr:cNvPr id="9" name="正方形/長方形 4">
          <a:extLst>
            <a:ext uri="{FF2B5EF4-FFF2-40B4-BE49-F238E27FC236}">
              <a16:creationId xmlns:a16="http://schemas.microsoft.com/office/drawing/2014/main" id="{F1A5DA8B-5F70-4A41-BAEB-4CA268E55853}"/>
            </a:ext>
          </a:extLst>
        </xdr:cNvPr>
        <xdr:cNvSpPr/>
      </xdr:nvSpPr>
      <xdr:spPr>
        <a:xfrm>
          <a:off x="821765" y="9203765"/>
          <a:ext cx="2072584" cy="209177"/>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en-US" altLang="ja-JP" sz="1100"/>
            <a:t>NC</a:t>
          </a:r>
          <a:r>
            <a:rPr kumimoji="1" lang="ja-JP" altLang="en-US" sz="1100"/>
            <a:t>熱線</a:t>
          </a:r>
          <a:r>
            <a:rPr kumimoji="1" lang="en-US" altLang="ja-JP" sz="1100"/>
            <a:t>Gcode</a:t>
          </a:r>
          <a:r>
            <a:rPr kumimoji="1" lang="ja-JP" altLang="en-US" sz="1100"/>
            <a:t>出力</a:t>
          </a:r>
        </a:p>
      </xdr:txBody>
    </xdr:sp>
    <xdr:clientData/>
  </xdr:twoCellAnchor>
  <xdr:twoCellAnchor>
    <xdr:from>
      <xdr:col>1</xdr:col>
      <xdr:colOff>0</xdr:colOff>
      <xdr:row>1</xdr:row>
      <xdr:rowOff>1</xdr:rowOff>
    </xdr:from>
    <xdr:to>
      <xdr:col>2</xdr:col>
      <xdr:colOff>0</xdr:colOff>
      <xdr:row>2</xdr:row>
      <xdr:rowOff>1</xdr:rowOff>
    </xdr:to>
    <xdr:sp macro="" textlink="">
      <xdr:nvSpPr>
        <xdr:cNvPr id="10" name="正方形/長方形 4">
          <a:extLst>
            <a:ext uri="{FF2B5EF4-FFF2-40B4-BE49-F238E27FC236}">
              <a16:creationId xmlns:a16="http://schemas.microsoft.com/office/drawing/2014/main" id="{4B9FEDB9-2869-1147-AB23-5DEA814DCDBD}"/>
            </a:ext>
          </a:extLst>
        </xdr:cNvPr>
        <xdr:cNvSpPr/>
      </xdr:nvSpPr>
      <xdr:spPr>
        <a:xfrm>
          <a:off x="986118" y="246530"/>
          <a:ext cx="986117" cy="24653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計算</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35</xdr:row>
      <xdr:rowOff>0</xdr:rowOff>
    </xdr:from>
    <xdr:to>
      <xdr:col>3</xdr:col>
      <xdr:colOff>12699</xdr:colOff>
      <xdr:row>36</xdr:row>
      <xdr:rowOff>12700</xdr:rowOff>
    </xdr:to>
    <xdr:sp macro="" textlink="">
      <xdr:nvSpPr>
        <xdr:cNvPr id="5" name="正方形/長方形 1">
          <a:extLst>
            <a:ext uri="{FF2B5EF4-FFF2-40B4-BE49-F238E27FC236}">
              <a16:creationId xmlns:a16="http://schemas.microsoft.com/office/drawing/2014/main" id="{27BA1FA2-D106-B345-91FF-E7AAA645612B}"/>
            </a:ext>
          </a:extLst>
        </xdr:cNvPr>
        <xdr:cNvSpPr/>
      </xdr:nvSpPr>
      <xdr:spPr>
        <a:xfrm>
          <a:off x="660400" y="7239000"/>
          <a:ext cx="1333499" cy="21590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Initialize</a:t>
          </a:r>
        </a:p>
      </xdr:txBody>
    </xdr:sp>
    <xdr:clientData/>
  </xdr:twoCellAnchor>
  <xdr:twoCellAnchor>
    <xdr:from>
      <xdr:col>1</xdr:col>
      <xdr:colOff>0</xdr:colOff>
      <xdr:row>1</xdr:row>
      <xdr:rowOff>0</xdr:rowOff>
    </xdr:from>
    <xdr:to>
      <xdr:col>3</xdr:col>
      <xdr:colOff>3175</xdr:colOff>
      <xdr:row>2</xdr:row>
      <xdr:rowOff>6350</xdr:rowOff>
    </xdr:to>
    <xdr:sp macro="" textlink="">
      <xdr:nvSpPr>
        <xdr:cNvPr id="8" name="正方形/長方形 1">
          <a:extLst>
            <a:ext uri="{FF2B5EF4-FFF2-40B4-BE49-F238E27FC236}">
              <a16:creationId xmlns:a16="http://schemas.microsoft.com/office/drawing/2014/main" id="{5B6B92AF-7C44-894F-BCB1-9B31DDA9F395}"/>
            </a:ext>
          </a:extLst>
        </xdr:cNvPr>
        <xdr:cNvSpPr/>
      </xdr:nvSpPr>
      <xdr:spPr>
        <a:xfrm>
          <a:off x="660400" y="203200"/>
          <a:ext cx="1323975" cy="20955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200">
              <a:solidFill>
                <a:sysClr val="windowText" lastClr="000000"/>
              </a:solidFill>
            </a:rPr>
            <a:t>Analyze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237256</xdr:colOff>
      <xdr:row>12</xdr:row>
      <xdr:rowOff>229584</xdr:rowOff>
    </xdr:from>
    <xdr:to>
      <xdr:col>1</xdr:col>
      <xdr:colOff>231322</xdr:colOff>
      <xdr:row>13</xdr:row>
      <xdr:rowOff>217714</xdr:rowOff>
    </xdr:to>
    <xdr:sp macro="" textlink="">
      <xdr:nvSpPr>
        <xdr:cNvPr id="37" name="正方形/長方形 1">
          <a:extLst>
            <a:ext uri="{FF2B5EF4-FFF2-40B4-BE49-F238E27FC236}">
              <a16:creationId xmlns:a16="http://schemas.microsoft.com/office/drawing/2014/main" id="{9B3E01D6-7E3D-1CF5-C91E-1FD921BA97A8}"/>
            </a:ext>
          </a:extLst>
        </xdr:cNvPr>
        <xdr:cNvSpPr/>
      </xdr:nvSpPr>
      <xdr:spPr>
        <a:xfrm>
          <a:off x="237256" y="3195941"/>
          <a:ext cx="742459" cy="233059"/>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Analyze</a:t>
          </a:r>
        </a:p>
      </xdr:txBody>
    </xdr:sp>
    <xdr:clientData/>
  </xdr:twoCellAnchor>
  <xdr:twoCellAnchor>
    <xdr:from>
      <xdr:col>14</xdr:col>
      <xdr:colOff>0</xdr:colOff>
      <xdr:row>28</xdr:row>
      <xdr:rowOff>0</xdr:rowOff>
    </xdr:from>
    <xdr:to>
      <xdr:col>16</xdr:col>
      <xdr:colOff>429054</xdr:colOff>
      <xdr:row>29</xdr:row>
      <xdr:rowOff>0</xdr:rowOff>
    </xdr:to>
    <xdr:sp macro="" textlink="">
      <xdr:nvSpPr>
        <xdr:cNvPr id="2" name="正方形/長方形 4">
          <a:extLst>
            <a:ext uri="{FF2B5EF4-FFF2-40B4-BE49-F238E27FC236}">
              <a16:creationId xmlns:a16="http://schemas.microsoft.com/office/drawing/2014/main" id="{872FFCF5-E5F3-D74E-BD75-A05566F34153}"/>
            </a:ext>
          </a:extLst>
        </xdr:cNvPr>
        <xdr:cNvSpPr/>
      </xdr:nvSpPr>
      <xdr:spPr>
        <a:xfrm>
          <a:off x="7429500" y="7950200"/>
          <a:ext cx="2080054" cy="20320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プリプレグカット表出力</a:t>
          </a:r>
        </a:p>
      </xdr:txBody>
    </xdr:sp>
    <xdr:clientData/>
  </xdr:twoCellAnchor>
  <xdr:twoCellAnchor>
    <xdr:from>
      <xdr:col>6</xdr:col>
      <xdr:colOff>0</xdr:colOff>
      <xdr:row>33</xdr:row>
      <xdr:rowOff>0</xdr:rowOff>
    </xdr:from>
    <xdr:to>
      <xdr:col>9</xdr:col>
      <xdr:colOff>95698</xdr:colOff>
      <xdr:row>34</xdr:row>
      <xdr:rowOff>5498</xdr:rowOff>
    </xdr:to>
    <xdr:sp macro="" textlink="">
      <xdr:nvSpPr>
        <xdr:cNvPr id="6" name="正方形/長方形 4">
          <a:extLst>
            <a:ext uri="{FF2B5EF4-FFF2-40B4-BE49-F238E27FC236}">
              <a16:creationId xmlns:a16="http://schemas.microsoft.com/office/drawing/2014/main" id="{249E05A8-29F8-6642-A218-10B907D18548}"/>
            </a:ext>
          </a:extLst>
        </xdr:cNvPr>
        <xdr:cNvSpPr/>
      </xdr:nvSpPr>
      <xdr:spPr>
        <a:xfrm>
          <a:off x="4490357" y="8137071"/>
          <a:ext cx="2340877" cy="250427"/>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en-US" altLang="ja-JP" sz="1100"/>
            <a:t>NC</a:t>
          </a:r>
          <a:r>
            <a:rPr kumimoji="1" lang="ja-JP" altLang="en-US" sz="1100"/>
            <a:t>熱線</a:t>
          </a:r>
          <a:r>
            <a:rPr kumimoji="1" lang="en-US" altLang="ja-JP" sz="1100"/>
            <a:t>Gcode</a:t>
          </a:r>
          <a:r>
            <a:rPr kumimoji="1" lang="ja-JP" altLang="en-US" sz="1100"/>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5</xdr:col>
      <xdr:colOff>0</xdr:colOff>
      <xdr:row>0</xdr:row>
      <xdr:rowOff>248477</xdr:rowOff>
    </xdr:from>
    <xdr:to>
      <xdr:col>6</xdr:col>
      <xdr:colOff>0</xdr:colOff>
      <xdr:row>2</xdr:row>
      <xdr:rowOff>-1</xdr:rowOff>
    </xdr:to>
    <xdr:sp macro="[0]!AddColumn" textlink="">
      <xdr:nvSpPr>
        <xdr:cNvPr id="2" name="正方形/長方形 1">
          <a:extLst>
            <a:ext uri="{FF2B5EF4-FFF2-40B4-BE49-F238E27FC236}">
              <a16:creationId xmlns:a16="http://schemas.microsoft.com/office/drawing/2014/main" id="{AF41A4E7-FD5C-4875-A4F3-3FA35E0556FD}"/>
            </a:ext>
          </a:extLst>
        </xdr:cNvPr>
        <xdr:cNvSpPr/>
      </xdr:nvSpPr>
      <xdr:spPr>
        <a:xfrm>
          <a:off x="3727174" y="248477"/>
          <a:ext cx="745435" cy="248479"/>
        </a:xfrm>
        <a:prstGeom prst="rect">
          <a:avLst/>
        </a:prstGeom>
        <a:solidFill>
          <a:schemeClr val="accent1">
            <a:lumMod val="20000"/>
            <a:lumOff val="80000"/>
          </a:schemeClr>
        </a:solidFill>
        <a:ln w="31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aseline="0">
              <a:solidFill>
                <a:sysClr val="windowText" lastClr="000000"/>
              </a:solidFill>
            </a:rPr>
            <a:t>列追加</a:t>
          </a:r>
          <a:endParaRPr kumimoji="1" lang="en-US" altLang="ja-JP" sz="1100" baseline="0">
            <a:solidFill>
              <a:sysClr val="windowText" lastClr="000000"/>
            </a:solidFill>
          </a:endParaRP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qu365-my.sharepoint.com/personal/mori_hayato_889_s_kyushu-u_ac_jp/Documents/AircraftDesign/QX-24/QX-24_20240119.xlsm" TargetMode="External"/><Relationship Id="rId1" Type="http://schemas.openxmlformats.org/officeDocument/2006/relationships/externalLinkPath" Target="https://qu365-my.sharepoint.com/personal/mori_hayato_889_s_kyushu-u_ac_jp/Documents/AircraftDesign/QX-24/QX-24_20240119.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qu365-my.sharepoint.com/personal/mori_hayato_889_s_kyushu-u_ac_jp/Documents/AircraftDesign/QX-23/QX-23_ver2023022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2番桁マンドレル設計"/>
      <sheetName val="胴体マンドレル設計"/>
      <sheetName val="胴体桁重量推算校正"/>
      <sheetName val="胴体積層構成(sht26)"/>
      <sheetName val="各種パラメータ(sht0)"/>
      <sheetName val="主翼(sht1)"/>
      <sheetName val="たわみ・ねじり(sht2)"/>
      <sheetName val="水平尾翼(sht3)"/>
      <sheetName val="垂直尾翼(sht4)"/>
      <sheetName val="カウル(sht18)"/>
      <sheetName val="全機計算(sht8)"/>
      <sheetName val="機体重量(sht30)"/>
      <sheetName val="全機解析(sht9)"/>
      <sheetName val="スパー寸法(sht20)"/>
      <sheetName val="胴体構造計算(sht17)"/>
      <sheetName val="三面図"/>
      <sheetName val="0番積層構成(sht21)"/>
      <sheetName val="Sheet1"/>
      <sheetName val="1番積層構成(sht22)"/>
      <sheetName val="2番積層構成(sht23)"/>
      <sheetName val="3番積層構成(sht23) (2)"/>
      <sheetName val="水平尾翼積層構成(sht24)"/>
      <sheetName val="垂直尾翼積層構成(sht25)"/>
      <sheetName val="胴接積層構成(sht27)"/>
      <sheetName val="主翼翼型1解析(sht10)"/>
      <sheetName val="主翼翼型2解析(sht11)"/>
      <sheetName val="水平翼型解析(sht12)"/>
      <sheetName val="垂直翼型解析(sht13)"/>
      <sheetName val="歴代主要諸元"/>
      <sheetName val="概念設計"/>
      <sheetName val="垂直尾翼(sht4)_通常"/>
      <sheetName val="QX-24_20240119"/>
    </sheetNames>
    <definedNames>
      <definedName name="プリプレグカットシート出力"/>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各種パラメータ(sht0)"/>
      <sheetName val="主翼(sht1)"/>
      <sheetName val="たわみ・ねじり(sht2)"/>
      <sheetName val="水平尾翼(sht3)"/>
      <sheetName val="垂直尾翼(sht4)"/>
      <sheetName val="カウル(sht18)"/>
      <sheetName val="全機計算(sht8)"/>
      <sheetName val="機体重量(sht30)"/>
      <sheetName val="全機解析(sht9)"/>
      <sheetName val="スパー寸法(sht20)"/>
      <sheetName val="胴体構造計算(sht17)"/>
      <sheetName val="三面図"/>
      <sheetName val="0番積層構成(sht21)"/>
      <sheetName val="1番積層構成(sht22)"/>
      <sheetName val="2番積層構成(sht23)"/>
      <sheetName val="3番積層構成(sht23) (2)"/>
      <sheetName val="水平尾翼積層構成(sht24)"/>
      <sheetName val="垂直尾翼積層構成(sht25)"/>
      <sheetName val="胴体積層構成(sht26)"/>
      <sheetName val="胴接積層構成(sht27)"/>
      <sheetName val="主翼翼型1解析(sht10)"/>
      <sheetName val="主翼翼型2解析(sht11)"/>
      <sheetName val="水平翼型解析(sht12)"/>
      <sheetName val="垂直翼型解析(sht13)"/>
      <sheetName val="歴代主要諸元"/>
      <sheetName val="概念設計"/>
      <sheetName val="垂直尾翼(sht4)_通常"/>
    </sheetNames>
    <sheetDataSet>
      <sheetData sheetId="0"/>
      <sheetData sheetId="1">
        <row r="41">
          <cell r="G41" t="str">
            <v>0G</v>
          </cell>
        </row>
      </sheetData>
      <sheetData sheetId="2"/>
      <sheetData sheetId="3"/>
      <sheetData sheetId="4">
        <row r="42">
          <cell r="L42" t="str">
            <v>原点</v>
          </cell>
        </row>
      </sheetData>
      <sheetData sheetId="5"/>
      <sheetData sheetId="6"/>
      <sheetData sheetId="7"/>
      <sheetData sheetId="8"/>
      <sheetData sheetId="9">
        <row r="43">
          <cell r="S43" t="str">
            <v>GJ</v>
          </cell>
        </row>
        <row r="45">
          <cell r="E45">
            <v>0</v>
          </cell>
          <cell r="S45">
            <v>39886.577468579999</v>
          </cell>
        </row>
        <row r="46">
          <cell r="E46">
            <v>0.2</v>
          </cell>
          <cell r="S46">
            <v>39886.577468579999</v>
          </cell>
        </row>
        <row r="47">
          <cell r="E47">
            <v>0.4</v>
          </cell>
          <cell r="S47">
            <v>39886.577468579999</v>
          </cell>
        </row>
        <row r="48">
          <cell r="E48">
            <v>0.60000000000000009</v>
          </cell>
          <cell r="S48">
            <v>39886.577468579999</v>
          </cell>
        </row>
        <row r="49">
          <cell r="E49">
            <v>0.8</v>
          </cell>
          <cell r="S49">
            <v>39886.577468579999</v>
          </cell>
        </row>
        <row r="50">
          <cell r="E50">
            <v>1</v>
          </cell>
          <cell r="S50">
            <v>39886.577468579999</v>
          </cell>
        </row>
        <row r="51">
          <cell r="E51">
            <v>1.2000000000000002</v>
          </cell>
          <cell r="S51">
            <v>39886.577468579999</v>
          </cell>
        </row>
        <row r="52">
          <cell r="E52">
            <v>1.4000000000000001</v>
          </cell>
          <cell r="S52">
            <v>109050.18707732446</v>
          </cell>
        </row>
        <row r="53">
          <cell r="E53">
            <v>1.6</v>
          </cell>
          <cell r="S53">
            <v>92534.111291366906</v>
          </cell>
        </row>
        <row r="54">
          <cell r="E54">
            <v>1.8</v>
          </cell>
          <cell r="S54">
            <v>26465.605508546225</v>
          </cell>
        </row>
        <row r="55">
          <cell r="E55">
            <v>2</v>
          </cell>
          <cell r="S55">
            <v>25385.818911375416</v>
          </cell>
        </row>
        <row r="56">
          <cell r="E56">
            <v>2.2000000000000002</v>
          </cell>
          <cell r="S56">
            <v>24335.808407058183</v>
          </cell>
        </row>
        <row r="57">
          <cell r="E57">
            <v>2.4000000000000004</v>
          </cell>
          <cell r="S57">
            <v>23315.157686664203</v>
          </cell>
        </row>
        <row r="58">
          <cell r="E58">
            <v>2.6</v>
          </cell>
          <cell r="S58">
            <v>22323.450441264253</v>
          </cell>
        </row>
        <row r="59">
          <cell r="E59">
            <v>2.8000000000000003</v>
          </cell>
          <cell r="S59">
            <v>21360.270361928131</v>
          </cell>
        </row>
        <row r="60">
          <cell r="E60">
            <v>3</v>
          </cell>
          <cell r="S60">
            <v>20425.201139726043</v>
          </cell>
        </row>
        <row r="61">
          <cell r="E61">
            <v>3.2</v>
          </cell>
          <cell r="S61">
            <v>19517.826465728493</v>
          </cell>
        </row>
        <row r="62">
          <cell r="E62">
            <v>3.4000000000000004</v>
          </cell>
          <cell r="S62">
            <v>18637.730031005369</v>
          </cell>
        </row>
        <row r="63">
          <cell r="E63">
            <v>3.6</v>
          </cell>
          <cell r="S63">
            <v>17784.49552662719</v>
          </cell>
        </row>
        <row r="64">
          <cell r="E64">
            <v>3.8000000000000003</v>
          </cell>
          <cell r="S64">
            <v>16957.706643663827</v>
          </cell>
        </row>
        <row r="65">
          <cell r="E65">
            <v>4</v>
          </cell>
          <cell r="S65">
            <v>16156.947073185775</v>
          </cell>
        </row>
        <row r="66">
          <cell r="E66">
            <v>4.2</v>
          </cell>
          <cell r="S66">
            <v>15381.800506262862</v>
          </cell>
        </row>
        <row r="67">
          <cell r="E67">
            <v>4.4000000000000004</v>
          </cell>
          <cell r="S67">
            <v>14631.850633965598</v>
          </cell>
        </row>
        <row r="68">
          <cell r="E68">
            <v>4.6000000000000005</v>
          </cell>
          <cell r="S68">
            <v>13906.68114736365</v>
          </cell>
        </row>
        <row r="69">
          <cell r="E69">
            <v>4.8000000000000007</v>
          </cell>
          <cell r="S69">
            <v>13205.875737527811</v>
          </cell>
        </row>
        <row r="70">
          <cell r="E70">
            <v>5</v>
          </cell>
          <cell r="S70">
            <v>45438.127640728606</v>
          </cell>
        </row>
        <row r="71">
          <cell r="E71">
            <v>5.2</v>
          </cell>
          <cell r="S71">
            <v>15414.073763045697</v>
          </cell>
        </row>
        <row r="72">
          <cell r="E72">
            <v>5.4</v>
          </cell>
          <cell r="S72">
            <v>14652.883790739243</v>
          </cell>
        </row>
        <row r="73">
          <cell r="E73">
            <v>5.6000000000000005</v>
          </cell>
          <cell r="S73">
            <v>13917.175125948072</v>
          </cell>
        </row>
        <row r="74">
          <cell r="E74">
            <v>5.8000000000000007</v>
          </cell>
          <cell r="S74">
            <v>13206.513970075668</v>
          </cell>
        </row>
        <row r="75">
          <cell r="E75">
            <v>6</v>
          </cell>
          <cell r="S75">
            <v>12520.466524526146</v>
          </cell>
        </row>
        <row r="76">
          <cell r="E76">
            <v>6.2</v>
          </cell>
          <cell r="S76">
            <v>11858.598990702674</v>
          </cell>
        </row>
        <row r="77">
          <cell r="E77">
            <v>6.4</v>
          </cell>
          <cell r="S77">
            <v>11220.477570008994</v>
          </cell>
        </row>
        <row r="78">
          <cell r="E78">
            <v>6.6000000000000005</v>
          </cell>
          <cell r="S78">
            <v>10605.668463849037</v>
          </cell>
        </row>
        <row r="79">
          <cell r="E79">
            <v>6.8000000000000007</v>
          </cell>
          <cell r="S79">
            <v>10013.737873625985</v>
          </cell>
        </row>
        <row r="80">
          <cell r="E80">
            <v>7</v>
          </cell>
          <cell r="S80">
            <v>9444.2520007437342</v>
          </cell>
        </row>
        <row r="81">
          <cell r="E81">
            <v>7.2</v>
          </cell>
          <cell r="S81">
            <v>8896.777046605539</v>
          </cell>
        </row>
        <row r="82">
          <cell r="E82">
            <v>7.4</v>
          </cell>
          <cell r="S82">
            <v>8370.8792126150893</v>
          </cell>
        </row>
        <row r="83">
          <cell r="E83">
            <v>7.6000000000000005</v>
          </cell>
          <cell r="S83">
            <v>7866.124700175541</v>
          </cell>
        </row>
        <row r="84">
          <cell r="E84">
            <v>7.8000000000000007</v>
          </cell>
          <cell r="S84">
            <v>7382.079710690432</v>
          </cell>
        </row>
        <row r="85">
          <cell r="E85">
            <v>8</v>
          </cell>
          <cell r="S85">
            <v>6918.3104455630883</v>
          </cell>
        </row>
        <row r="86">
          <cell r="E86">
            <v>8.2000000000000011</v>
          </cell>
          <cell r="S86">
            <v>6474.383106196844</v>
          </cell>
        </row>
        <row r="87">
          <cell r="E87">
            <v>8.4</v>
          </cell>
          <cell r="S87">
            <v>17619.350926818279</v>
          </cell>
        </row>
        <row r="88">
          <cell r="E88">
            <v>8.6</v>
          </cell>
          <cell r="S88">
            <v>16276.463865549023</v>
          </cell>
        </row>
        <row r="89">
          <cell r="E89">
            <v>8.8000000000000007</v>
          </cell>
          <cell r="S89">
            <v>5369.852736781555</v>
          </cell>
        </row>
        <row r="90">
          <cell r="E90">
            <v>9</v>
          </cell>
          <cell r="S90">
            <v>5000.8359593857849</v>
          </cell>
        </row>
        <row r="91">
          <cell r="E91">
            <v>9.2000000000000011</v>
          </cell>
          <cell r="S91">
            <v>4649.1242975446103</v>
          </cell>
        </row>
        <row r="92">
          <cell r="E92">
            <v>9.4</v>
          </cell>
          <cell r="S92">
            <v>4314.3021730397259</v>
          </cell>
        </row>
        <row r="93">
          <cell r="E93">
            <v>9.6000000000000014</v>
          </cell>
          <cell r="S93">
            <v>3995.954007652766</v>
          </cell>
        </row>
        <row r="94">
          <cell r="E94">
            <v>9.8000000000000007</v>
          </cell>
          <cell r="S94">
            <v>3693.6642231653177</v>
          </cell>
        </row>
        <row r="95">
          <cell r="E95">
            <v>10</v>
          </cell>
          <cell r="S95">
            <v>3407.0172413589221</v>
          </cell>
        </row>
        <row r="96">
          <cell r="E96">
            <v>10.200000000000001</v>
          </cell>
          <cell r="S96">
            <v>3135.5974840148019</v>
          </cell>
        </row>
        <row r="97">
          <cell r="E97">
            <v>10.4</v>
          </cell>
          <cell r="S97">
            <v>2878.9893729142104</v>
          </cell>
        </row>
        <row r="98">
          <cell r="E98">
            <v>10.600000000000001</v>
          </cell>
          <cell r="S98">
            <v>2636.7773298381157</v>
          </cell>
        </row>
        <row r="99">
          <cell r="E99">
            <v>10.8</v>
          </cell>
          <cell r="S99">
            <v>2408.545776567295</v>
          </cell>
        </row>
        <row r="100">
          <cell r="E100">
            <v>11</v>
          </cell>
          <cell r="S100">
            <v>2193.8791348823111</v>
          </cell>
        </row>
        <row r="101">
          <cell r="E101">
            <v>11.200000000000001</v>
          </cell>
          <cell r="S101">
            <v>1992.3618265635157</v>
          </cell>
        </row>
        <row r="102">
          <cell r="E102">
            <v>11.4</v>
          </cell>
          <cell r="S102">
            <v>1803.5782733908536</v>
          </cell>
        </row>
        <row r="103">
          <cell r="E103">
            <v>11.600000000000001</v>
          </cell>
          <cell r="S103">
            <v>1627.1128971439553</v>
          </cell>
        </row>
        <row r="104">
          <cell r="E104">
            <v>11.8</v>
          </cell>
          <cell r="S104">
            <v>1462.550119602005</v>
          </cell>
        </row>
        <row r="105">
          <cell r="E105">
            <v>12</v>
          </cell>
          <cell r="S105">
            <v>1309.4743625436779</v>
          </cell>
        </row>
        <row r="106">
          <cell r="E106">
            <v>12.200000000000001</v>
          </cell>
          <cell r="S106">
            <v>1167.4700477470926</v>
          </cell>
        </row>
        <row r="107">
          <cell r="E107">
            <v>12.4</v>
          </cell>
          <cell r="S107">
            <v>1036.1215969896225</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persons/person.xml><?xml version="1.0" encoding="utf-8"?>
<personList xmlns="http://schemas.microsoft.com/office/spreadsheetml/2018/threadedcomments" xmlns:x="http://schemas.openxmlformats.org/spreadsheetml/2006/main">
  <person displayName="mori hayato" id="{E38F0312-9FA1-4749-A831-39FD60499E44}" userId="mori hayato" providerId="None"/>
</personList>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53" dT="2023-05-22T10:31:10.69" personId="{E38F0312-9FA1-4749-A831-39FD60499E44}" id="{56AF1974-2A8D-4D19-A38E-9635AAAEAA88}">
    <text>単位面積当たり繊維質量</text>
  </threadedComment>
  <threadedComment ref="B56" dT="2023-05-22T10:37:51.01" personId="{E38F0312-9FA1-4749-A831-39FD60499E44}" id="{F7DA2193-EC87-4520-A2A3-6DB832106043}">
    <text>強度の物性値はMRX350G125Sのもの．
使っている炭素繊維，樹脂はMR380G150Sと同じものなので物性値はほぼ同等
(沖本)</text>
  </threadedComment>
  <threadedComment ref="N57" dT="2023-05-22T10:35:04.12" personId="{E38F0312-9FA1-4749-A831-39FD60499E44}" id="{4F83213C-4D97-4DE3-89F7-6D9675DC8E5F}">
    <text>ベッチの相反定理より</text>
  </threadedComment>
  <threadedComment ref="P57" dT="2023-05-22T10:35:28.88" personId="{E38F0312-9FA1-4749-A831-39FD60499E44}" id="{CBB8C77D-5564-40C1-9C2E-7BB9F1AEC030}">
    <text>引張×0.9</text>
  </threadedComment>
  <threadedComment ref="Q57" dT="2023-05-22T10:35:54.25" personId="{E38F0312-9FA1-4749-A831-39FD60499E44}" id="{54239414-FFB0-4BBF-9EA3-266BFBA397AB}">
    <text>引張を参考</text>
  </threadedComment>
  <threadedComment ref="R57" dT="2023-05-22T10:36:36.97" personId="{E38F0312-9FA1-4749-A831-39FD60499E44}" id="{CD08E915-60DE-4CCD-AEDF-3A4583056AA8}">
    <text>MR380G150Sを参考</text>
  </threadedComment>
  <threadedComment ref="S57" dT="2023-05-22T10:38:40.85" personId="{E38F0312-9FA1-4749-A831-39FD60499E44}" id="{483B55B2-992D-4E75-8F5E-524BDB50EC94}">
    <text>引張×1.1</text>
  </threadedComment>
  <threadedComment ref="T57" dT="2023-05-22T10:39:00.97" personId="{E38F0312-9FA1-4749-A831-39FD60499E44}" id="{EFD3CE22-34C3-4E6E-9EF8-1B6B062FFB2F}">
    <text>引張を参考</text>
  </threadedComment>
  <threadedComment ref="U57" dT="2023-05-22T10:39:23.09" personId="{E38F0312-9FA1-4749-A831-39FD60499E44}" id="{EBB68BDD-C319-4AC2-B134-4DF2CF6C45B6}">
    <text>MR380G150Sを参考</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DAE733E2-B226-491D-85C3-01C266EC181A}">
  <we:reference id="7e3a7789-d385-477b-911d-c0b3cb2875c6" version="1.0.0.0" store="developer" storeType="Registry"/>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hyperlink" Target="https://unit.aist.go.jp/riem/lgl-apr/requirement/mass/approval/GravityAria_info2.pdf" TargetMode="External"/><Relationship Id="rId1" Type="http://schemas.openxmlformats.org/officeDocument/2006/relationships/hyperlink" Target="https://pigeon-poppo.com/standard-atmosphere/" TargetMode="External"/><Relationship Id="rId5" Type="http://schemas.microsoft.com/office/2017/10/relationships/threadedComment" Target="../threadedComments/threadedComment1.xml"/><Relationship Id="rId4" Type="http://schemas.openxmlformats.org/officeDocument/2006/relationships/comments" Target="../comments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0.xml"/><Relationship Id="rId1" Type="http://schemas.openxmlformats.org/officeDocument/2006/relationships/printerSettings" Target="../printerSettings/printerSettings3.bin"/><Relationship Id="rId4"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85C7D6-45D8-43EB-8A72-AED4F3FDBBD1}">
  <sheetPr codeName="Sheet12"/>
  <dimension ref="B2:C21"/>
  <sheetViews>
    <sheetView zoomScale="85" zoomScaleNormal="85" workbookViewId="0">
      <selection activeCell="G5" sqref="G5"/>
    </sheetView>
  </sheetViews>
  <sheetFormatPr baseColWidth="10" defaultColWidth="8.7109375" defaultRowHeight="20"/>
  <cols>
    <col min="1" max="1" width="3.42578125" customWidth="1"/>
    <col min="2" max="2" width="13.7109375" style="227" customWidth="1"/>
    <col min="3" max="3" width="128.42578125" customWidth="1"/>
  </cols>
  <sheetData>
    <row r="2" spans="2:3" ht="252">
      <c r="B2" s="281" t="s">
        <v>1373</v>
      </c>
      <c r="C2" s="269" t="s">
        <v>1482</v>
      </c>
    </row>
    <row r="3" spans="2:3" ht="189">
      <c r="B3" s="281" t="s">
        <v>1374</v>
      </c>
      <c r="C3" s="269" t="s">
        <v>1483</v>
      </c>
    </row>
    <row r="4" spans="2:3">
      <c r="B4" s="267" t="s">
        <v>1344</v>
      </c>
      <c r="C4" s="267" t="s">
        <v>1345</v>
      </c>
    </row>
    <row r="5" spans="2:3">
      <c r="B5" s="281" t="s">
        <v>1323</v>
      </c>
      <c r="C5" s="29" t="s">
        <v>1387</v>
      </c>
    </row>
    <row r="6" spans="2:3">
      <c r="B6" s="281" t="s">
        <v>539</v>
      </c>
      <c r="C6" s="29" t="s">
        <v>1372</v>
      </c>
    </row>
    <row r="7" spans="2:3">
      <c r="B7" s="281" t="s">
        <v>1324</v>
      </c>
      <c r="C7" s="29"/>
    </row>
    <row r="8" spans="2:3">
      <c r="B8" s="281" t="s">
        <v>40</v>
      </c>
      <c r="C8" s="29"/>
    </row>
    <row r="9" spans="2:3">
      <c r="B9" s="281" t="s">
        <v>1325</v>
      </c>
      <c r="C9" s="29"/>
    </row>
    <row r="10" spans="2:3">
      <c r="B10" s="281" t="s">
        <v>1326</v>
      </c>
      <c r="C10" s="29"/>
    </row>
    <row r="11" spans="2:3">
      <c r="B11" s="281" t="s">
        <v>7</v>
      </c>
      <c r="C11" s="29"/>
    </row>
    <row r="12" spans="2:3">
      <c r="B12" s="281" t="s">
        <v>42</v>
      </c>
      <c r="C12" s="29"/>
    </row>
    <row r="13" spans="2:3">
      <c r="B13" s="281" t="s">
        <v>1327</v>
      </c>
      <c r="C13" s="29" t="s">
        <v>1429</v>
      </c>
    </row>
    <row r="14" spans="2:3">
      <c r="B14" s="281" t="s">
        <v>1328</v>
      </c>
      <c r="C14" s="29"/>
    </row>
    <row r="15" spans="2:3">
      <c r="B15" s="281" t="s">
        <v>1329</v>
      </c>
      <c r="C15" s="29"/>
    </row>
    <row r="16" spans="2:3">
      <c r="B16" s="281" t="s">
        <v>1330</v>
      </c>
      <c r="C16" s="29" t="s">
        <v>1415</v>
      </c>
    </row>
    <row r="17" spans="2:3">
      <c r="B17" s="281" t="s">
        <v>1331</v>
      </c>
      <c r="C17" s="29"/>
    </row>
    <row r="18" spans="2:3">
      <c r="B18" s="281" t="s">
        <v>1332</v>
      </c>
      <c r="C18" s="29"/>
    </row>
    <row r="19" spans="2:3">
      <c r="B19" s="281"/>
      <c r="C19" s="29"/>
    </row>
    <row r="20" spans="2:3">
      <c r="B20" s="281" t="s">
        <v>1406</v>
      </c>
      <c r="C20" s="29"/>
    </row>
    <row r="21" spans="2:3">
      <c r="B21" s="281" t="s">
        <v>1356</v>
      </c>
      <c r="C21" s="29"/>
    </row>
  </sheetData>
  <phoneticPr fontId="3"/>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656A0E-BD38-4BBB-B9D1-9129104A924E}">
  <sheetPr codeName="Sheet1">
    <tabColor theme="3" tint="0.59999389629810485"/>
  </sheetPr>
  <dimension ref="A1:AC106"/>
  <sheetViews>
    <sheetView zoomScale="70" zoomScaleNormal="70" workbookViewId="0">
      <selection activeCell="J62" sqref="J62"/>
    </sheetView>
  </sheetViews>
  <sheetFormatPr baseColWidth="10" defaultColWidth="7.7109375" defaultRowHeight="20"/>
  <cols>
    <col min="1" max="1" width="8.7109375" customWidth="1"/>
    <col min="2" max="2" width="15.140625" customWidth="1"/>
    <col min="3" max="3" width="8.7109375" bestFit="1" customWidth="1"/>
    <col min="4" max="4" width="8" customWidth="1"/>
    <col min="5" max="5" width="8.5703125" bestFit="1" customWidth="1"/>
    <col min="6" max="6" width="7.85546875" bestFit="1" customWidth="1"/>
    <col min="7" max="7" width="15.28515625" customWidth="1"/>
    <col min="8" max="8" width="7.85546875" customWidth="1"/>
    <col min="9" max="9" width="7.7109375" customWidth="1"/>
    <col min="10" max="10" width="7.85546875" bestFit="1" customWidth="1"/>
    <col min="11" max="11" width="7.7109375" customWidth="1"/>
    <col min="12" max="12" width="15.5703125" customWidth="1"/>
    <col min="13" max="13" width="7.85546875" bestFit="1" customWidth="1"/>
    <col min="14" max="14" width="8" customWidth="1"/>
    <col min="15" max="16" width="7.85546875" bestFit="1" customWidth="1"/>
    <col min="17" max="17" width="15.42578125" customWidth="1"/>
    <col min="18" max="18" width="7.85546875" bestFit="1" customWidth="1"/>
    <col min="19" max="19" width="8.28515625" bestFit="1" customWidth="1"/>
    <col min="20" max="20" width="7.85546875" bestFit="1" customWidth="1"/>
    <col min="22" max="22" width="15.28515625" customWidth="1"/>
    <col min="24" max="25" width="7.7109375" customWidth="1"/>
    <col min="26" max="26" width="6.42578125" customWidth="1"/>
    <col min="27" max="27" width="13" customWidth="1"/>
    <col min="28" max="28" width="15.140625" customWidth="1"/>
    <col min="29" max="29" width="7.7109375" customWidth="1"/>
    <col min="30" max="32" width="7.85546875" bestFit="1" customWidth="1"/>
    <col min="34" max="34" width="8.42578125" customWidth="1"/>
    <col min="35" max="35" width="7.7109375" customWidth="1"/>
    <col min="39" max="39" width="7.7109375" customWidth="1"/>
  </cols>
  <sheetData>
    <row r="1" spans="2:15">
      <c r="F1" s="3"/>
    </row>
    <row r="2" spans="2:15" ht="21" thickBot="1">
      <c r="B2" t="s">
        <v>1243</v>
      </c>
      <c r="G2" t="s">
        <v>1411</v>
      </c>
      <c r="L2" t="s">
        <v>1282</v>
      </c>
      <c r="O2" t="s">
        <v>1393</v>
      </c>
    </row>
    <row r="3" spans="2:15" ht="19.5" customHeight="1">
      <c r="G3" s="77" t="s">
        <v>533</v>
      </c>
      <c r="H3" s="78" t="s">
        <v>60</v>
      </c>
      <c r="I3" s="78" t="s">
        <v>61</v>
      </c>
      <c r="J3" s="79" t="s">
        <v>62</v>
      </c>
      <c r="L3" s="29" t="s">
        <v>1376</v>
      </c>
      <c r="M3" s="282" t="s">
        <v>1378</v>
      </c>
      <c r="N3" s="283"/>
    </row>
    <row r="4" spans="2:15">
      <c r="G4" s="80" t="s">
        <v>538</v>
      </c>
      <c r="H4" s="48" t="s">
        <v>1225</v>
      </c>
      <c r="I4" s="48">
        <f>D14</f>
        <v>10.5</v>
      </c>
      <c r="J4" s="81" t="s">
        <v>94</v>
      </c>
      <c r="L4" s="29" t="s">
        <v>1377</v>
      </c>
      <c r="M4" s="282" t="s">
        <v>1379</v>
      </c>
      <c r="N4" s="283"/>
    </row>
    <row r="5" spans="2:15">
      <c r="G5" s="80" t="s">
        <v>539</v>
      </c>
      <c r="H5" s="48" t="s">
        <v>1141</v>
      </c>
      <c r="I5" s="48">
        <f>D73+D74</f>
        <v>49.341030000000003</v>
      </c>
      <c r="J5" s="81" t="s">
        <v>6</v>
      </c>
      <c r="L5" s="29" t="s">
        <v>1380</v>
      </c>
      <c r="M5" s="29"/>
      <c r="N5" s="29" t="s">
        <v>5</v>
      </c>
    </row>
    <row r="6" spans="2:15">
      <c r="G6" s="80" t="s">
        <v>551</v>
      </c>
      <c r="H6" s="48" t="s">
        <v>1245</v>
      </c>
      <c r="I6" s="48"/>
      <c r="J6" s="81" t="s">
        <v>6</v>
      </c>
      <c r="L6" s="29" t="s">
        <v>1281</v>
      </c>
      <c r="M6" s="29"/>
      <c r="N6" s="29" t="s">
        <v>5</v>
      </c>
    </row>
    <row r="7" spans="2:15" ht="21" thickBot="1">
      <c r="G7" s="82" t="s">
        <v>548</v>
      </c>
      <c r="H7" s="69" t="s">
        <v>549</v>
      </c>
      <c r="I7" s="73">
        <v>3</v>
      </c>
      <c r="J7" s="83" t="s">
        <v>550</v>
      </c>
      <c r="L7" s="29" t="s">
        <v>479</v>
      </c>
      <c r="M7" s="29"/>
      <c r="N7" s="29" t="s">
        <v>5</v>
      </c>
    </row>
    <row r="8" spans="2:15" ht="21" thickTop="1">
      <c r="G8" s="84" t="s">
        <v>1392</v>
      </c>
      <c r="H8" s="52" t="s">
        <v>450</v>
      </c>
      <c r="I8" s="52">
        <v>17.649999999999999</v>
      </c>
      <c r="J8" s="85" t="s">
        <v>398</v>
      </c>
    </row>
    <row r="9" spans="2:15">
      <c r="G9" s="80" t="s">
        <v>537</v>
      </c>
      <c r="H9" s="48" t="s">
        <v>407</v>
      </c>
      <c r="I9" s="48">
        <f>I6/I8</f>
        <v>0</v>
      </c>
      <c r="J9" s="81" t="s">
        <v>542</v>
      </c>
    </row>
    <row r="10" spans="2:15">
      <c r="G10" s="80" t="s">
        <v>1171</v>
      </c>
      <c r="H10" s="48" t="s">
        <v>558</v>
      </c>
      <c r="I10" s="48"/>
      <c r="J10" s="81" t="s">
        <v>5</v>
      </c>
    </row>
    <row r="11" spans="2:15">
      <c r="G11" s="80" t="s">
        <v>535</v>
      </c>
      <c r="H11" s="48" t="s">
        <v>540</v>
      </c>
      <c r="I11" s="48"/>
      <c r="J11" s="81" t="s">
        <v>46</v>
      </c>
    </row>
    <row r="12" spans="2:15" ht="21" thickBot="1">
      <c r="B12" t="s">
        <v>1418</v>
      </c>
      <c r="G12" s="86" t="s">
        <v>536</v>
      </c>
      <c r="H12" s="70" t="s">
        <v>541</v>
      </c>
      <c r="I12" s="70"/>
      <c r="J12" s="87" t="s">
        <v>5</v>
      </c>
    </row>
    <row r="13" spans="2:15">
      <c r="B13" s="77" t="s">
        <v>533</v>
      </c>
      <c r="C13" s="78" t="s">
        <v>60</v>
      </c>
      <c r="D13" s="78" t="s">
        <v>61</v>
      </c>
      <c r="E13" s="79" t="s">
        <v>62</v>
      </c>
      <c r="G13" s="86" t="s">
        <v>1396</v>
      </c>
      <c r="H13" s="70"/>
      <c r="I13" s="70"/>
      <c r="J13" s="87" t="s">
        <v>312</v>
      </c>
    </row>
    <row r="14" spans="2:15">
      <c r="B14" s="249" t="s">
        <v>1137</v>
      </c>
      <c r="C14" s="29" t="s">
        <v>1225</v>
      </c>
      <c r="D14" s="292">
        <v>10.5</v>
      </c>
      <c r="E14" s="89" t="s">
        <v>94</v>
      </c>
      <c r="G14" s="86" t="s">
        <v>1397</v>
      </c>
      <c r="H14" s="70"/>
      <c r="I14" s="70"/>
      <c r="J14" s="87" t="s">
        <v>312</v>
      </c>
    </row>
    <row r="15" spans="2:15">
      <c r="B15" s="249" t="s">
        <v>1240</v>
      </c>
      <c r="C15" s="29" t="s">
        <v>1244</v>
      </c>
      <c r="D15" s="292">
        <v>50</v>
      </c>
      <c r="E15" s="89" t="s">
        <v>6</v>
      </c>
      <c r="G15" s="88" t="s">
        <v>543</v>
      </c>
      <c r="H15" s="48" t="s">
        <v>460</v>
      </c>
      <c r="I15" s="48"/>
      <c r="J15" s="81" t="s">
        <v>1395</v>
      </c>
    </row>
    <row r="16" spans="2:15" ht="21" thickBot="1">
      <c r="B16" s="249" t="s">
        <v>1263</v>
      </c>
      <c r="C16" s="29" t="s">
        <v>1142</v>
      </c>
      <c r="D16" s="292">
        <v>60</v>
      </c>
      <c r="E16" s="89" t="s">
        <v>6</v>
      </c>
      <c r="G16" s="291" t="s">
        <v>1394</v>
      </c>
      <c r="H16" s="69"/>
      <c r="I16" s="69"/>
      <c r="J16" s="83" t="s">
        <v>1395</v>
      </c>
    </row>
    <row r="17" spans="1:26" ht="19.5" customHeight="1" thickTop="1">
      <c r="B17" s="249" t="s">
        <v>1239</v>
      </c>
      <c r="C17" s="29" t="s">
        <v>1245</v>
      </c>
      <c r="D17" s="293">
        <f>D15+D16</f>
        <v>110</v>
      </c>
      <c r="E17" s="89" t="s">
        <v>6</v>
      </c>
      <c r="G17" s="92" t="s">
        <v>433</v>
      </c>
      <c r="H17" s="56"/>
      <c r="I17" s="74" t="s">
        <v>829</v>
      </c>
      <c r="J17" s="91"/>
    </row>
    <row r="18" spans="1:26">
      <c r="B18" s="249" t="s">
        <v>1242</v>
      </c>
      <c r="C18" s="29" t="s">
        <v>450</v>
      </c>
      <c r="D18" s="292">
        <v>17.3</v>
      </c>
      <c r="E18" s="89" t="s">
        <v>398</v>
      </c>
      <c r="G18" s="88" t="s">
        <v>1398</v>
      </c>
      <c r="H18" s="29"/>
      <c r="I18" s="29"/>
      <c r="J18" s="89"/>
    </row>
    <row r="19" spans="1:26">
      <c r="B19" s="249" t="s">
        <v>1104</v>
      </c>
      <c r="C19" s="29" t="s">
        <v>407</v>
      </c>
      <c r="D19" s="293">
        <f>D17/D18</f>
        <v>6.3583815028901736</v>
      </c>
      <c r="E19" s="89" t="s">
        <v>542</v>
      </c>
      <c r="G19" s="88" t="s">
        <v>544</v>
      </c>
      <c r="H19" s="29"/>
      <c r="I19" s="29"/>
      <c r="J19" s="89"/>
    </row>
    <row r="20" spans="1:26" ht="21" thickBot="1">
      <c r="B20" s="249" t="s">
        <v>1171</v>
      </c>
      <c r="C20" s="29" t="s">
        <v>558</v>
      </c>
      <c r="D20" s="292">
        <v>25</v>
      </c>
      <c r="E20" s="89" t="s">
        <v>5</v>
      </c>
      <c r="G20" s="90" t="s">
        <v>545</v>
      </c>
      <c r="H20" s="71"/>
      <c r="I20" s="71"/>
      <c r="J20" s="93"/>
    </row>
    <row r="21" spans="1:26" ht="22" thickTop="1" thickBot="1">
      <c r="B21" s="250" t="s">
        <v>1262</v>
      </c>
      <c r="C21" s="94" t="s">
        <v>415</v>
      </c>
      <c r="D21" s="294">
        <f>2*D17*パラメータ!$D$5/(パラメータ!$D$4*D14^2*D18)</f>
        <v>0.98023368781626496</v>
      </c>
      <c r="E21" s="95" t="s">
        <v>46</v>
      </c>
      <c r="G21" s="253" t="s">
        <v>546</v>
      </c>
      <c r="H21" s="254"/>
      <c r="I21" s="255" t="s">
        <v>1389</v>
      </c>
      <c r="J21" s="256"/>
    </row>
    <row r="23" spans="1:26">
      <c r="B23" t="s">
        <v>1383</v>
      </c>
    </row>
    <row r="24" spans="1:26">
      <c r="B24" s="10" t="s">
        <v>574</v>
      </c>
      <c r="C24" s="12" t="s">
        <v>622</v>
      </c>
      <c r="D24" s="10" t="s">
        <v>1242</v>
      </c>
      <c r="E24" s="227" t="s">
        <v>1167</v>
      </c>
      <c r="F24" s="10" t="s">
        <v>1104</v>
      </c>
      <c r="G24" s="10" t="s">
        <v>1241</v>
      </c>
      <c r="H24" s="12" t="s">
        <v>1171</v>
      </c>
      <c r="I24" s="10" t="s">
        <v>1172</v>
      </c>
      <c r="J24" s="10" t="s">
        <v>1175</v>
      </c>
      <c r="K24" s="227" t="s">
        <v>1167</v>
      </c>
      <c r="L24" s="10" t="s">
        <v>1223</v>
      </c>
      <c r="M24" s="10" t="s">
        <v>1174</v>
      </c>
    </row>
    <row r="25" spans="1:26" ht="21" thickBot="1">
      <c r="B25" s="11" t="s">
        <v>6</v>
      </c>
      <c r="C25" s="15" t="s">
        <v>94</v>
      </c>
      <c r="D25" s="11" t="s">
        <v>398</v>
      </c>
      <c r="F25" s="11" t="s">
        <v>542</v>
      </c>
      <c r="G25" s="11" t="s">
        <v>415</v>
      </c>
      <c r="H25" s="15" t="s">
        <v>5</v>
      </c>
      <c r="I25" s="11" t="s">
        <v>1173</v>
      </c>
      <c r="J25" s="11" t="s">
        <v>567</v>
      </c>
      <c r="L25" s="11" t="s">
        <v>415</v>
      </c>
      <c r="M25" s="11" t="s">
        <v>415</v>
      </c>
    </row>
    <row r="26" spans="1:26" ht="21" thickTop="1">
      <c r="B26" s="4">
        <v>110</v>
      </c>
      <c r="C26" s="5">
        <v>9</v>
      </c>
      <c r="D26" s="4">
        <v>20</v>
      </c>
      <c r="F26" s="8">
        <f>B26/D26</f>
        <v>5.5</v>
      </c>
      <c r="G26" s="2">
        <f>2*B26*パラメータ!$D$5/(パラメータ!$D$4*C26^2*D26)</f>
        <v>1.1540890238358996</v>
      </c>
      <c r="H26" s="5">
        <v>25</v>
      </c>
      <c r="I26" s="4">
        <v>0.01</v>
      </c>
      <c r="J26" s="4">
        <v>0.97</v>
      </c>
      <c r="L26" s="2">
        <f>SQRT(PI()*J26*H26^2*I26/D26)</f>
        <v>0.97585617440246075</v>
      </c>
      <c r="M26" s="2">
        <f>L26*SQRT(3)</f>
        <v>1.6902324749448572</v>
      </c>
    </row>
    <row r="27" spans="1:26">
      <c r="A27" s="285"/>
      <c r="B27" s="285"/>
      <c r="C27" s="285"/>
      <c r="D27" s="285"/>
      <c r="E27" s="285"/>
      <c r="F27" s="285"/>
      <c r="G27" s="285"/>
      <c r="H27" s="285"/>
      <c r="I27" s="285"/>
      <c r="J27" s="285"/>
      <c r="K27" s="285"/>
      <c r="L27" s="285"/>
      <c r="M27" s="285"/>
      <c r="N27" s="285"/>
      <c r="O27" s="285"/>
      <c r="P27" s="285"/>
      <c r="Q27" s="285"/>
      <c r="R27" s="285"/>
      <c r="S27" s="285"/>
      <c r="T27" s="285"/>
      <c r="U27" s="285"/>
      <c r="V27" s="285"/>
      <c r="W27" s="285"/>
      <c r="X27" s="285"/>
      <c r="Y27" s="285"/>
      <c r="Z27" s="285"/>
    </row>
    <row r="29" spans="1:26">
      <c r="C29" t="s">
        <v>1426</v>
      </c>
      <c r="L29" t="s">
        <v>621</v>
      </c>
      <c r="S29" t="s">
        <v>1427</v>
      </c>
    </row>
    <row r="31" spans="1:26">
      <c r="B31" s="22" t="s">
        <v>1298</v>
      </c>
      <c r="C31" s="22" t="s">
        <v>263</v>
      </c>
      <c r="D31" s="1" t="s">
        <v>1270</v>
      </c>
      <c r="E31" s="1" t="s">
        <v>1269</v>
      </c>
      <c r="F31" s="1" t="s">
        <v>1268</v>
      </c>
      <c r="G31" s="222" t="s">
        <v>1391</v>
      </c>
    </row>
    <row r="32" spans="1:26" ht="21" thickBot="1">
      <c r="B32" s="266" t="s">
        <v>264</v>
      </c>
      <c r="C32" s="266" t="s">
        <v>264</v>
      </c>
      <c r="D32" s="19" t="s">
        <v>176</v>
      </c>
      <c r="E32" s="19" t="s">
        <v>457</v>
      </c>
      <c r="F32" s="19" t="s">
        <v>459</v>
      </c>
    </row>
    <row r="33" spans="1:26" ht="21" thickTop="1">
      <c r="B33" s="265" t="s">
        <v>1384</v>
      </c>
      <c r="C33" s="265">
        <v>12.5</v>
      </c>
      <c r="D33" s="44">
        <v>-0.35</v>
      </c>
      <c r="E33" s="2">
        <v>0</v>
      </c>
      <c r="F33" s="44">
        <v>-2.2000000000000002</v>
      </c>
    </row>
    <row r="34" spans="1:26">
      <c r="B34" s="100" t="s">
        <v>1138</v>
      </c>
      <c r="C34" s="100">
        <v>11.75</v>
      </c>
      <c r="D34" s="29">
        <v>0.4</v>
      </c>
      <c r="E34" s="29"/>
      <c r="F34" s="29">
        <v>-2.7</v>
      </c>
    </row>
    <row r="35" spans="1:26">
      <c r="B35" s="100" t="s">
        <v>1139</v>
      </c>
      <c r="C35" s="100">
        <v>10.25</v>
      </c>
      <c r="D35" s="29">
        <v>2.5449999999999999</v>
      </c>
      <c r="E35" s="29"/>
      <c r="F35" s="29">
        <v>-4.43</v>
      </c>
    </row>
    <row r="36" spans="1:26">
      <c r="B36" s="100" t="s">
        <v>1140</v>
      </c>
      <c r="C36" s="100">
        <v>9.75</v>
      </c>
      <c r="D36" s="29">
        <v>3.6</v>
      </c>
      <c r="E36" s="29"/>
      <c r="F36" s="29">
        <v>-5.4</v>
      </c>
    </row>
    <row r="37" spans="1:26">
      <c r="B37" s="100" t="s">
        <v>1385</v>
      </c>
      <c r="C37" s="100">
        <v>11.5</v>
      </c>
      <c r="D37" s="29">
        <v>0.7</v>
      </c>
      <c r="E37" s="29"/>
      <c r="F37" s="29">
        <v>-2.9249999999999998</v>
      </c>
    </row>
    <row r="38" spans="1:26">
      <c r="B38" s="100" t="s">
        <v>1386</v>
      </c>
      <c r="C38" s="100">
        <v>11.25</v>
      </c>
      <c r="D38" s="29">
        <v>1.0149999999999999</v>
      </c>
      <c r="E38" s="29"/>
      <c r="F38" s="29">
        <v>-3.17</v>
      </c>
    </row>
    <row r="39" spans="1:26">
      <c r="B39" s="1" t="s">
        <v>401</v>
      </c>
      <c r="C39" s="1" t="s">
        <v>402</v>
      </c>
      <c r="D39" s="1"/>
      <c r="E39" s="1" t="s">
        <v>94</v>
      </c>
    </row>
    <row r="40" spans="1:26">
      <c r="B40" s="1" t="s">
        <v>1246</v>
      </c>
      <c r="C40" s="1" t="s">
        <v>403</v>
      </c>
      <c r="D40" s="1" t="s">
        <v>1176</v>
      </c>
      <c r="E40" s="1" t="s">
        <v>94</v>
      </c>
    </row>
    <row r="41" spans="1:26">
      <c r="B41" s="1" t="s">
        <v>1238</v>
      </c>
      <c r="C41" s="1" t="s">
        <v>400</v>
      </c>
      <c r="D41" s="1">
        <f>D39*SQRT(I7)</f>
        <v>0</v>
      </c>
      <c r="E41" s="1" t="s">
        <v>94</v>
      </c>
    </row>
    <row r="42" spans="1:26">
      <c r="B42" s="1" t="s">
        <v>1227</v>
      </c>
      <c r="C42" s="1" t="s">
        <v>1228</v>
      </c>
      <c r="D42" s="1">
        <f>I6</f>
        <v>0</v>
      </c>
      <c r="E42" s="1" t="s">
        <v>94</v>
      </c>
    </row>
    <row r="43" spans="1:26">
      <c r="B43" s="1" t="s">
        <v>1224</v>
      </c>
      <c r="C43" s="1" t="s">
        <v>1229</v>
      </c>
      <c r="D43" s="1"/>
      <c r="E43" s="1" t="s">
        <v>94</v>
      </c>
    </row>
    <row r="44" spans="1:26">
      <c r="B44" s="1" t="s">
        <v>405</v>
      </c>
      <c r="C44" s="1" t="s">
        <v>1230</v>
      </c>
      <c r="D44" s="1"/>
      <c r="E44" s="1" t="s">
        <v>94</v>
      </c>
      <c r="M44" s="277"/>
    </row>
    <row r="45" spans="1:26">
      <c r="A45" s="285"/>
      <c r="B45" s="285"/>
      <c r="C45" s="285"/>
      <c r="D45" s="285"/>
      <c r="E45" s="285"/>
      <c r="F45" s="285"/>
      <c r="G45" s="285"/>
      <c r="H45" s="285"/>
      <c r="I45" s="285"/>
      <c r="J45" s="285"/>
      <c r="K45" s="285"/>
      <c r="L45" s="285"/>
      <c r="M45" s="285"/>
      <c r="N45" s="285"/>
      <c r="O45" s="285"/>
      <c r="P45" s="285"/>
      <c r="Q45" s="285"/>
      <c r="R45" s="285"/>
      <c r="S45" s="285"/>
      <c r="T45" s="285"/>
      <c r="U45" s="285"/>
      <c r="V45" s="285"/>
      <c r="W45" s="285"/>
      <c r="X45" s="285"/>
      <c r="Y45" s="285"/>
      <c r="Z45" s="285"/>
    </row>
    <row r="47" spans="1:26">
      <c r="L47" s="45" t="s">
        <v>1310</v>
      </c>
      <c r="Q47" t="s">
        <v>1306</v>
      </c>
      <c r="V47" s="225" t="s">
        <v>1259</v>
      </c>
      <c r="W47" s="225"/>
      <c r="X47" s="225" t="s">
        <v>1163</v>
      </c>
      <c r="Y47" s="225"/>
    </row>
    <row r="48" spans="1:26" ht="21" thickBot="1">
      <c r="B48" s="1" t="s">
        <v>259</v>
      </c>
      <c r="C48" s="1" t="s">
        <v>176</v>
      </c>
      <c r="D48" s="21">
        <v>0</v>
      </c>
      <c r="E48" s="1" t="s">
        <v>260</v>
      </c>
      <c r="F48" s="286" t="s">
        <v>1167</v>
      </c>
      <c r="G48" s="29" t="s">
        <v>1348</v>
      </c>
      <c r="H48" s="288" t="s">
        <v>1350</v>
      </c>
      <c r="L48" s="48" t="s">
        <v>1311</v>
      </c>
      <c r="M48" s="48" t="s">
        <v>337</v>
      </c>
      <c r="N48" s="29"/>
      <c r="O48" s="29" t="s">
        <v>46</v>
      </c>
      <c r="Q48" s="50" t="s">
        <v>365</v>
      </c>
      <c r="R48" s="50" t="s">
        <v>366</v>
      </c>
      <c r="S48" s="71">
        <f>SUM(S49:S56)</f>
        <v>8</v>
      </c>
      <c r="T48" s="71" t="s">
        <v>404</v>
      </c>
      <c r="V48" s="1" t="s">
        <v>1148</v>
      </c>
      <c r="W48" s="226" t="s">
        <v>164</v>
      </c>
      <c r="X48" s="226">
        <v>-2.1259525859102582E-2</v>
      </c>
      <c r="Y48" s="226" t="s">
        <v>345</v>
      </c>
      <c r="Z48" s="225" t="s">
        <v>1149</v>
      </c>
    </row>
    <row r="49" spans="1:26" ht="21" thickTop="1">
      <c r="B49" s="1" t="s">
        <v>261</v>
      </c>
      <c r="C49" s="1" t="s">
        <v>262</v>
      </c>
      <c r="D49" s="21">
        <v>0</v>
      </c>
      <c r="E49" s="1" t="s">
        <v>260</v>
      </c>
      <c r="G49" s="29" t="s">
        <v>1349</v>
      </c>
      <c r="H49" s="288" t="s">
        <v>1350</v>
      </c>
      <c r="I49" s="287"/>
      <c r="L49" s="48" t="s">
        <v>1314</v>
      </c>
      <c r="M49" s="48" t="s">
        <v>344</v>
      </c>
      <c r="N49" s="29"/>
      <c r="O49" s="29" t="s">
        <v>417</v>
      </c>
      <c r="Q49" s="56" t="s">
        <v>575</v>
      </c>
      <c r="R49" s="56" t="s">
        <v>1146</v>
      </c>
      <c r="S49" s="44">
        <v>1</v>
      </c>
      <c r="T49" s="44" t="s">
        <v>404</v>
      </c>
      <c r="V49" s="29"/>
      <c r="W49" s="226" t="s">
        <v>373</v>
      </c>
      <c r="X49" s="226">
        <v>-3.5348031907810407E-3</v>
      </c>
      <c r="Y49" s="226" t="s">
        <v>345</v>
      </c>
      <c r="Z49" s="225" t="s">
        <v>1150</v>
      </c>
    </row>
    <row r="50" spans="1:26" ht="21" thickBot="1">
      <c r="B50" s="1" t="s">
        <v>263</v>
      </c>
      <c r="C50" s="1" t="s">
        <v>264</v>
      </c>
      <c r="D50" s="21">
        <v>9.25</v>
      </c>
      <c r="E50" s="1" t="s">
        <v>265</v>
      </c>
      <c r="L50" s="48" t="s">
        <v>1313</v>
      </c>
      <c r="M50" s="48" t="s">
        <v>344</v>
      </c>
      <c r="N50" s="29"/>
      <c r="O50" s="29" t="s">
        <v>1312</v>
      </c>
      <c r="Q50" s="48" t="s">
        <v>576</v>
      </c>
      <c r="R50" s="48" t="s">
        <v>1147</v>
      </c>
      <c r="S50" s="29">
        <v>1</v>
      </c>
      <c r="T50" s="29" t="s">
        <v>404</v>
      </c>
      <c r="V50" s="71"/>
      <c r="W50" s="252" t="s">
        <v>374</v>
      </c>
      <c r="X50" s="252">
        <v>-7.2687868614908593E-4</v>
      </c>
      <c r="Y50" s="252" t="s">
        <v>345</v>
      </c>
      <c r="Z50" s="225" t="s">
        <v>1151</v>
      </c>
    </row>
    <row r="51" spans="1:26" ht="21" thickTop="1">
      <c r="B51" s="1" t="s">
        <v>266</v>
      </c>
      <c r="C51" s="1" t="s">
        <v>267</v>
      </c>
      <c r="D51" s="21">
        <v>3</v>
      </c>
      <c r="E51" s="1" t="s">
        <v>37</v>
      </c>
      <c r="G51" s="29" t="s">
        <v>1381</v>
      </c>
      <c r="H51" s="29"/>
      <c r="I51" s="29"/>
      <c r="J51" s="29"/>
      <c r="Q51" s="48" t="s">
        <v>1233</v>
      </c>
      <c r="R51" s="48" t="s">
        <v>552</v>
      </c>
      <c r="S51" s="29">
        <v>1</v>
      </c>
      <c r="T51" s="29" t="s">
        <v>404</v>
      </c>
      <c r="V51" s="251" t="s">
        <v>1152</v>
      </c>
      <c r="W51" s="251" t="s">
        <v>377</v>
      </c>
      <c r="X51" s="251">
        <v>7.8428070041118145</v>
      </c>
      <c r="Y51" s="251" t="s">
        <v>378</v>
      </c>
      <c r="Z51" s="225" t="s">
        <v>1153</v>
      </c>
    </row>
    <row r="52" spans="1:26">
      <c r="B52" s="1" t="s">
        <v>445</v>
      </c>
      <c r="C52" s="1" t="s">
        <v>446</v>
      </c>
      <c r="D52" s="21">
        <v>0</v>
      </c>
      <c r="E52" s="1" t="s">
        <v>447</v>
      </c>
      <c r="G52" s="29" t="s">
        <v>1382</v>
      </c>
      <c r="H52" s="29"/>
      <c r="I52" s="29"/>
      <c r="J52" s="29"/>
      <c r="L52" s="3" t="s">
        <v>1305</v>
      </c>
      <c r="Q52" s="48" t="s">
        <v>1234</v>
      </c>
      <c r="R52" s="48" t="s">
        <v>552</v>
      </c>
      <c r="S52" s="29">
        <v>1</v>
      </c>
      <c r="T52" s="29" t="s">
        <v>404</v>
      </c>
      <c r="V52" s="226"/>
      <c r="W52" s="226" t="s">
        <v>379</v>
      </c>
      <c r="X52" s="226">
        <v>0.87670856015748988</v>
      </c>
      <c r="Y52" s="226" t="s">
        <v>45</v>
      </c>
      <c r="Z52" s="225" t="s">
        <v>1154</v>
      </c>
    </row>
    <row r="53" spans="1:26">
      <c r="B53" s="1"/>
      <c r="C53" s="1" t="s">
        <v>451</v>
      </c>
      <c r="D53" s="21">
        <v>0</v>
      </c>
      <c r="E53" s="1" t="s">
        <v>447</v>
      </c>
      <c r="G53" s="29" t="s">
        <v>1261</v>
      </c>
      <c r="H53" s="29"/>
      <c r="I53" s="29"/>
      <c r="J53" s="29"/>
      <c r="L53" s="48" t="s">
        <v>573</v>
      </c>
      <c r="M53" s="48" t="s">
        <v>1143</v>
      </c>
      <c r="N53" s="29"/>
      <c r="O53" s="29" t="s">
        <v>404</v>
      </c>
      <c r="Q53" s="48" t="s">
        <v>1231</v>
      </c>
      <c r="R53" s="48" t="s">
        <v>553</v>
      </c>
      <c r="S53" s="29">
        <v>1</v>
      </c>
      <c r="T53" s="29" t="s">
        <v>404</v>
      </c>
      <c r="V53" s="226"/>
      <c r="W53" s="226" t="s">
        <v>380</v>
      </c>
      <c r="X53" s="226">
        <v>3.7725621894990891</v>
      </c>
      <c r="Y53" s="226" t="s">
        <v>378</v>
      </c>
      <c r="Z53" s="225" t="s">
        <v>1155</v>
      </c>
    </row>
    <row r="54" spans="1:26">
      <c r="B54" s="1"/>
      <c r="C54" s="1" t="s">
        <v>454</v>
      </c>
      <c r="D54" s="21">
        <v>0</v>
      </c>
      <c r="E54" s="1" t="s">
        <v>447</v>
      </c>
      <c r="G54" s="29" t="s">
        <v>1260</v>
      </c>
      <c r="H54" s="29"/>
      <c r="I54" s="29"/>
      <c r="J54" s="29"/>
      <c r="L54" s="48" t="s">
        <v>1235</v>
      </c>
      <c r="M54" s="48" t="s">
        <v>1144</v>
      </c>
      <c r="N54" s="29"/>
      <c r="O54" s="29" t="s">
        <v>404</v>
      </c>
      <c r="Q54" s="48" t="s">
        <v>1232</v>
      </c>
      <c r="R54" s="48" t="s">
        <v>554</v>
      </c>
      <c r="S54" s="29">
        <v>1</v>
      </c>
      <c r="T54" s="29" t="s">
        <v>404</v>
      </c>
      <c r="V54" s="226"/>
      <c r="W54" s="226" t="s">
        <v>381</v>
      </c>
      <c r="X54" s="226">
        <v>1.6654954886280751</v>
      </c>
      <c r="Y54" s="226" t="s">
        <v>382</v>
      </c>
      <c r="Z54" s="225"/>
    </row>
    <row r="55" spans="1:26">
      <c r="B55" s="1" t="s">
        <v>1346</v>
      </c>
      <c r="C55" s="1" t="s">
        <v>457</v>
      </c>
      <c r="D55" s="21">
        <v>0</v>
      </c>
      <c r="E55" s="1" t="s">
        <v>46</v>
      </c>
      <c r="G55" s="29" t="s">
        <v>1271</v>
      </c>
      <c r="H55" s="29"/>
      <c r="I55" s="29"/>
      <c r="J55" s="29"/>
      <c r="L55" s="48" t="s">
        <v>1408</v>
      </c>
      <c r="M55" s="48" t="s">
        <v>1145</v>
      </c>
      <c r="N55" s="29"/>
      <c r="O55" s="29" t="s">
        <v>404</v>
      </c>
      <c r="Q55" s="48" t="s">
        <v>1308</v>
      </c>
      <c r="R55" s="48" t="s">
        <v>1309</v>
      </c>
      <c r="S55" s="29">
        <v>1</v>
      </c>
      <c r="T55" s="29" t="s">
        <v>404</v>
      </c>
      <c r="V55" s="226" t="s">
        <v>383</v>
      </c>
      <c r="W55" s="226" t="s">
        <v>384</v>
      </c>
      <c r="X55" s="226">
        <v>0.75105852973804899</v>
      </c>
      <c r="Y55" s="226" t="s">
        <v>378</v>
      </c>
      <c r="Z55" s="225" t="s">
        <v>1153</v>
      </c>
    </row>
    <row r="56" spans="1:26">
      <c r="B56" s="1" t="s">
        <v>1347</v>
      </c>
      <c r="C56" s="1" t="s">
        <v>459</v>
      </c>
      <c r="D56" s="21">
        <v>0</v>
      </c>
      <c r="E56" s="1" t="s">
        <v>312</v>
      </c>
      <c r="G56" s="29" t="s">
        <v>1272</v>
      </c>
      <c r="H56" s="29"/>
      <c r="I56" s="29"/>
      <c r="J56" s="29"/>
      <c r="L56" s="45" t="s">
        <v>1409</v>
      </c>
      <c r="Q56" s="48" t="s">
        <v>357</v>
      </c>
      <c r="R56" s="48" t="s">
        <v>555</v>
      </c>
      <c r="S56" s="29">
        <v>1</v>
      </c>
      <c r="T56" s="29" t="s">
        <v>404</v>
      </c>
      <c r="V56" s="226"/>
      <c r="W56" s="226" t="s">
        <v>385</v>
      </c>
      <c r="X56" s="226">
        <v>3.9152561550565471E-2</v>
      </c>
      <c r="Y56" s="226" t="s">
        <v>45</v>
      </c>
      <c r="Z56" s="225" t="s">
        <v>1154</v>
      </c>
    </row>
    <row r="57" spans="1:26">
      <c r="B57" s="1" t="s">
        <v>461</v>
      </c>
      <c r="C57" s="1" t="s">
        <v>462</v>
      </c>
      <c r="D57" s="21">
        <v>0</v>
      </c>
      <c r="E57" s="1" t="s">
        <v>312</v>
      </c>
      <c r="G57" s="29" t="s">
        <v>1273</v>
      </c>
      <c r="H57" s="29"/>
      <c r="I57" s="29"/>
      <c r="J57" s="29"/>
      <c r="L57" s="45" t="s">
        <v>1410</v>
      </c>
      <c r="Q57" s="268" t="s">
        <v>1172</v>
      </c>
      <c r="V57" s="226"/>
      <c r="W57" s="226" t="s">
        <v>386</v>
      </c>
      <c r="X57" s="226">
        <v>0.75048265148332072</v>
      </c>
      <c r="Y57" s="226" t="s">
        <v>378</v>
      </c>
      <c r="Z57" s="225" t="s">
        <v>1155</v>
      </c>
    </row>
    <row r="58" spans="1:26">
      <c r="A58" t="s">
        <v>1167</v>
      </c>
      <c r="B58" s="1" t="s">
        <v>1388</v>
      </c>
      <c r="C58" s="1" t="s">
        <v>1304</v>
      </c>
      <c r="D58" s="21">
        <v>0</v>
      </c>
      <c r="E58" s="1" t="s">
        <v>6</v>
      </c>
      <c r="G58" s="29" t="s">
        <v>1351</v>
      </c>
      <c r="H58" s="29"/>
      <c r="I58" s="29"/>
      <c r="J58" s="29"/>
      <c r="L58" s="48" t="s">
        <v>1236</v>
      </c>
      <c r="M58" s="29" t="s">
        <v>1253</v>
      </c>
      <c r="N58" s="29"/>
      <c r="O58" s="29" t="s">
        <v>467</v>
      </c>
      <c r="Q58" s="268" t="s">
        <v>1353</v>
      </c>
      <c r="V58" s="226"/>
      <c r="W58" s="226" t="s">
        <v>387</v>
      </c>
      <c r="X58" s="226">
        <v>8.3721926079982527</v>
      </c>
      <c r="Y58" s="226" t="s">
        <v>382</v>
      </c>
      <c r="Z58" s="225"/>
    </row>
    <row r="59" spans="1:26">
      <c r="G59" s="29" t="s">
        <v>1352</v>
      </c>
      <c r="H59" s="29"/>
      <c r="I59" s="29"/>
      <c r="J59" s="29"/>
      <c r="L59" s="48" t="s">
        <v>1237</v>
      </c>
      <c r="M59" s="29" t="s">
        <v>1254</v>
      </c>
      <c r="N59" s="29"/>
      <c r="O59" s="29" t="s">
        <v>467</v>
      </c>
      <c r="V59" s="226" t="s">
        <v>388</v>
      </c>
      <c r="W59" s="226" t="s">
        <v>389</v>
      </c>
      <c r="X59" s="226">
        <v>0.65785677532253051</v>
      </c>
      <c r="Y59" s="226" t="s">
        <v>378</v>
      </c>
      <c r="Z59" s="225" t="s">
        <v>1156</v>
      </c>
    </row>
    <row r="60" spans="1:26">
      <c r="L60" s="48" t="s">
        <v>367</v>
      </c>
      <c r="M60" s="48" t="s">
        <v>368</v>
      </c>
      <c r="N60" s="29"/>
      <c r="O60" s="29" t="s">
        <v>467</v>
      </c>
      <c r="V60" s="226"/>
      <c r="W60" s="226" t="s">
        <v>390</v>
      </c>
      <c r="X60" s="226">
        <v>-0.27746935749900542</v>
      </c>
      <c r="Y60" s="226"/>
      <c r="Z60" s="225" t="s">
        <v>1157</v>
      </c>
    </row>
    <row r="61" spans="1:26">
      <c r="L61" s="48" t="s">
        <v>1407</v>
      </c>
      <c r="M61" s="48" t="s">
        <v>550</v>
      </c>
      <c r="N61" s="29"/>
      <c r="O61" s="29" t="s">
        <v>46</v>
      </c>
      <c r="V61" s="226"/>
      <c r="W61" s="226" t="s">
        <v>389</v>
      </c>
      <c r="X61" s="226">
        <v>0.63202569194856273</v>
      </c>
      <c r="Y61" s="226" t="s">
        <v>378</v>
      </c>
      <c r="Z61" s="225" t="s">
        <v>1158</v>
      </c>
    </row>
    <row r="62" spans="1:26">
      <c r="V62" s="226"/>
      <c r="W62" s="226" t="s">
        <v>391</v>
      </c>
      <c r="X62" s="226">
        <v>9.9413447700334014</v>
      </c>
      <c r="Y62" s="226" t="s">
        <v>382</v>
      </c>
      <c r="Z62" s="225"/>
    </row>
    <row r="63" spans="1:26">
      <c r="L63" s="45" t="s">
        <v>1307</v>
      </c>
      <c r="V63" s="226" t="s">
        <v>392</v>
      </c>
      <c r="W63" s="226" t="s">
        <v>393</v>
      </c>
      <c r="X63" s="226">
        <v>0.68430302609252724</v>
      </c>
      <c r="Y63" s="226"/>
      <c r="Z63" s="225" t="s">
        <v>1159</v>
      </c>
    </row>
    <row r="64" spans="1:26">
      <c r="L64" s="1" t="s">
        <v>477</v>
      </c>
      <c r="M64" s="1" t="s">
        <v>465</v>
      </c>
      <c r="N64" s="1"/>
      <c r="O64" s="1" t="s">
        <v>478</v>
      </c>
      <c r="V64" s="226"/>
      <c r="W64" s="226" t="s">
        <v>1160</v>
      </c>
      <c r="X64" s="226">
        <v>-1.0129243246488613</v>
      </c>
      <c r="Y64" s="226" t="s">
        <v>382</v>
      </c>
      <c r="Z64" s="225" t="s">
        <v>1161</v>
      </c>
    </row>
    <row r="65" spans="2:29">
      <c r="L65" s="1" t="s">
        <v>482</v>
      </c>
      <c r="M65" s="1" t="s">
        <v>21</v>
      </c>
      <c r="N65" s="1"/>
      <c r="O65" s="1" t="s">
        <v>478</v>
      </c>
      <c r="P65" s="45"/>
      <c r="V65" s="226" t="s">
        <v>395</v>
      </c>
      <c r="W65" s="226" t="s">
        <v>396</v>
      </c>
      <c r="X65" s="226">
        <v>25.886284975450245</v>
      </c>
      <c r="Y65" s="226"/>
      <c r="Z65" s="225" t="s">
        <v>1162</v>
      </c>
    </row>
    <row r="66" spans="2:29">
      <c r="L66" s="1" t="s">
        <v>487</v>
      </c>
      <c r="M66" s="1" t="s">
        <v>404</v>
      </c>
      <c r="N66" s="1"/>
      <c r="O66" s="1" t="s">
        <v>478</v>
      </c>
      <c r="P66" s="45"/>
    </row>
    <row r="71" spans="2:29">
      <c r="B71" s="3" t="s">
        <v>1274</v>
      </c>
      <c r="C71" s="3"/>
      <c r="D71" s="3"/>
      <c r="E71" s="3"/>
      <c r="G71" s="3" t="s">
        <v>40</v>
      </c>
      <c r="H71" s="3"/>
      <c r="I71" s="3"/>
      <c r="J71" s="3"/>
      <c r="L71" s="45" t="s">
        <v>50</v>
      </c>
      <c r="Q71" s="45" t="s">
        <v>51</v>
      </c>
      <c r="V71" s="45" t="s">
        <v>7</v>
      </c>
      <c r="AA71" t="s">
        <v>42</v>
      </c>
      <c r="AC71" t="s">
        <v>1317</v>
      </c>
    </row>
    <row r="72" spans="2:29">
      <c r="B72" s="10" t="s">
        <v>547</v>
      </c>
      <c r="C72" s="10" t="s">
        <v>60</v>
      </c>
      <c r="D72" s="10" t="s">
        <v>61</v>
      </c>
      <c r="E72" s="10" t="s">
        <v>62</v>
      </c>
      <c r="G72" s="10" t="s">
        <v>59</v>
      </c>
      <c r="H72" s="10" t="s">
        <v>60</v>
      </c>
      <c r="I72" s="10" t="s">
        <v>61</v>
      </c>
      <c r="J72" s="10" t="s">
        <v>62</v>
      </c>
      <c r="L72" s="10" t="s">
        <v>547</v>
      </c>
      <c r="M72" s="10" t="s">
        <v>60</v>
      </c>
      <c r="N72" s="10" t="s">
        <v>61</v>
      </c>
      <c r="O72" s="10" t="s">
        <v>62</v>
      </c>
      <c r="Q72" s="10" t="s">
        <v>547</v>
      </c>
      <c r="R72" s="10" t="s">
        <v>60</v>
      </c>
      <c r="S72" s="10" t="s">
        <v>61</v>
      </c>
      <c r="T72" s="10" t="s">
        <v>62</v>
      </c>
      <c r="V72" s="10" t="s">
        <v>547</v>
      </c>
      <c r="W72" s="10" t="s">
        <v>60</v>
      </c>
      <c r="X72" s="10" t="s">
        <v>61</v>
      </c>
      <c r="Y72" s="10" t="s">
        <v>62</v>
      </c>
      <c r="AA72" t="s">
        <v>1278</v>
      </c>
    </row>
    <row r="73" spans="2:29">
      <c r="B73" s="57" t="s">
        <v>1265</v>
      </c>
      <c r="C73" s="1" t="s">
        <v>1244</v>
      </c>
      <c r="D73" s="1">
        <f>機体重量!C7</f>
        <v>49.341030000000003</v>
      </c>
      <c r="E73" s="1" t="s">
        <v>6</v>
      </c>
      <c r="G73" s="1" t="s">
        <v>557</v>
      </c>
      <c r="H73" s="1" t="s">
        <v>450</v>
      </c>
      <c r="I73" s="1" t="e">
        <f>#REF!*2</f>
        <v>#REF!</v>
      </c>
      <c r="J73" s="1" t="s">
        <v>398</v>
      </c>
      <c r="L73" s="1" t="s">
        <v>419</v>
      </c>
      <c r="M73" s="1" t="s">
        <v>420</v>
      </c>
      <c r="N73" s="1" t="e">
        <f>(S84*#REF!)/(N85*S79)</f>
        <v>#REF!</v>
      </c>
      <c r="O73" s="1" t="s">
        <v>46</v>
      </c>
      <c r="Q73" s="1" t="s">
        <v>421</v>
      </c>
      <c r="R73" s="1" t="s">
        <v>422</v>
      </c>
      <c r="S73" s="58" t="e">
        <f>(S76*#REF!)/(S71*N85)</f>
        <v>#REF!</v>
      </c>
      <c r="T73" s="1" t="s">
        <v>46</v>
      </c>
      <c r="V73" s="29" t="s">
        <v>283</v>
      </c>
      <c r="W73" s="29" t="s">
        <v>469</v>
      </c>
      <c r="X73" s="29"/>
      <c r="Y73" s="29" t="s">
        <v>398</v>
      </c>
      <c r="AA73" s="239" t="s">
        <v>1279</v>
      </c>
    </row>
    <row r="74" spans="2:29">
      <c r="B74" s="57" t="s">
        <v>1266</v>
      </c>
      <c r="C74" s="1" t="s">
        <v>1267</v>
      </c>
      <c r="D74" s="1">
        <v>0</v>
      </c>
      <c r="E74" s="1" t="s">
        <v>6</v>
      </c>
      <c r="G74" s="1" t="s">
        <v>470</v>
      </c>
      <c r="H74" s="1" t="s">
        <v>558</v>
      </c>
      <c r="I74" s="1" t="e">
        <f>#REF!*2</f>
        <v>#REF!</v>
      </c>
      <c r="J74" s="1" t="s">
        <v>5</v>
      </c>
      <c r="L74" s="1" t="s">
        <v>50</v>
      </c>
      <c r="M74" s="1" t="s">
        <v>466</v>
      </c>
      <c r="N74" s="59">
        <v>0</v>
      </c>
      <c r="O74" s="1">
        <v>0</v>
      </c>
      <c r="Q74" s="1" t="s">
        <v>51</v>
      </c>
      <c r="R74" s="1" t="s">
        <v>468</v>
      </c>
      <c r="S74" s="59">
        <v>0</v>
      </c>
      <c r="T74" s="1">
        <v>0</v>
      </c>
      <c r="V74" s="1" t="s">
        <v>436</v>
      </c>
      <c r="W74" s="1" t="s">
        <v>471</v>
      </c>
      <c r="X74" s="21">
        <v>0.2</v>
      </c>
      <c r="Y74" s="1" t="s">
        <v>46</v>
      </c>
      <c r="AA74" s="239" t="s">
        <v>1280</v>
      </c>
    </row>
    <row r="75" spans="2:29">
      <c r="B75" s="57" t="s">
        <v>1264</v>
      </c>
      <c r="C75" s="1" t="s">
        <v>1142</v>
      </c>
      <c r="D75" s="1">
        <f>D16</f>
        <v>60</v>
      </c>
      <c r="E75" s="1" t="s">
        <v>6</v>
      </c>
      <c r="G75" s="1" t="s">
        <v>535</v>
      </c>
      <c r="H75" s="1" t="s">
        <v>540</v>
      </c>
      <c r="I75" s="1" t="e">
        <f>(I74*I74)/I73</f>
        <v>#REF!</v>
      </c>
      <c r="J75" s="1" t="s">
        <v>46</v>
      </c>
      <c r="L75" s="57" t="s">
        <v>474</v>
      </c>
      <c r="M75" s="57" t="s">
        <v>475</v>
      </c>
      <c r="N75" s="59">
        <f>N74</f>
        <v>0</v>
      </c>
      <c r="O75" s="1" t="s">
        <v>398</v>
      </c>
      <c r="Q75" s="57" t="s">
        <v>255</v>
      </c>
      <c r="R75" s="57" t="s">
        <v>481</v>
      </c>
      <c r="S75" s="59">
        <v>0</v>
      </c>
      <c r="T75" s="1" t="s">
        <v>398</v>
      </c>
      <c r="V75" s="1" t="s">
        <v>166</v>
      </c>
      <c r="W75" s="1" t="s">
        <v>473</v>
      </c>
      <c r="X75" s="1"/>
      <c r="Y75" s="1" t="s">
        <v>46</v>
      </c>
    </row>
    <row r="76" spans="2:29">
      <c r="B76" s="57" t="s">
        <v>574</v>
      </c>
      <c r="C76" s="1" t="s">
        <v>1245</v>
      </c>
      <c r="D76" s="1"/>
      <c r="E76" s="1" t="s">
        <v>404</v>
      </c>
      <c r="G76" s="1" t="s">
        <v>559</v>
      </c>
      <c r="H76" s="1" t="s">
        <v>560</v>
      </c>
      <c r="I76" s="1" t="e">
        <f>(2/I73)*#REF!</f>
        <v>#REF!</v>
      </c>
      <c r="J76" s="1" t="s">
        <v>5</v>
      </c>
      <c r="L76" s="48" t="s">
        <v>333</v>
      </c>
      <c r="M76" s="48" t="s">
        <v>334</v>
      </c>
      <c r="N76" s="48"/>
      <c r="O76" s="48"/>
      <c r="Q76" s="48" t="s">
        <v>1277</v>
      </c>
      <c r="R76" s="48" t="s">
        <v>329</v>
      </c>
      <c r="S76" s="48"/>
      <c r="T76" s="48"/>
      <c r="V76" s="1" t="s">
        <v>479</v>
      </c>
      <c r="W76" s="1" t="s">
        <v>480</v>
      </c>
      <c r="X76" s="1"/>
      <c r="Y76" s="1" t="s">
        <v>5</v>
      </c>
    </row>
    <row r="77" spans="2:29" ht="21" thickBot="1">
      <c r="B77" s="1" t="s">
        <v>277</v>
      </c>
      <c r="C77" s="1" t="s">
        <v>452</v>
      </c>
      <c r="D77" s="1"/>
      <c r="E77" s="1" t="s">
        <v>5</v>
      </c>
      <c r="G77" s="19" t="s">
        <v>561</v>
      </c>
      <c r="H77" s="19" t="s">
        <v>409</v>
      </c>
      <c r="I77" s="19" t="e">
        <f>(2*#REF!)/I73</f>
        <v>#REF!</v>
      </c>
      <c r="J77" s="19" t="s">
        <v>5</v>
      </c>
      <c r="L77" s="48" t="s">
        <v>324</v>
      </c>
      <c r="M77" s="48" t="s">
        <v>325</v>
      </c>
      <c r="N77" s="48"/>
      <c r="O77" s="48"/>
      <c r="Q77" s="48" t="s">
        <v>330</v>
      </c>
      <c r="R77" s="48" t="s">
        <v>331</v>
      </c>
      <c r="S77" s="48"/>
      <c r="T77" s="48"/>
      <c r="V77" s="1" t="s">
        <v>410</v>
      </c>
      <c r="W77" s="1" t="s">
        <v>174</v>
      </c>
      <c r="X77" s="1"/>
      <c r="Y77" s="1" t="s">
        <v>312</v>
      </c>
    </row>
    <row r="78" spans="2:29" ht="21" thickTop="1">
      <c r="B78" s="1" t="s">
        <v>455</v>
      </c>
      <c r="C78" s="1" t="s">
        <v>456</v>
      </c>
      <c r="D78" s="1"/>
      <c r="E78" s="1" t="s">
        <v>5</v>
      </c>
      <c r="G78" s="2" t="s">
        <v>1275</v>
      </c>
      <c r="H78" s="1" t="s">
        <v>450</v>
      </c>
      <c r="I78" s="1">
        <f>BV6</f>
        <v>0</v>
      </c>
      <c r="J78" s="23" t="s">
        <v>398</v>
      </c>
      <c r="L78" s="56" t="s">
        <v>291</v>
      </c>
      <c r="M78" s="56" t="s">
        <v>292</v>
      </c>
      <c r="N78" s="56"/>
      <c r="O78" s="56"/>
      <c r="Q78" s="48" t="s">
        <v>332</v>
      </c>
      <c r="R78" s="48" t="s">
        <v>298</v>
      </c>
      <c r="S78" s="48"/>
      <c r="T78" s="48"/>
      <c r="V78" s="1" t="s">
        <v>488</v>
      </c>
      <c r="W78" s="1" t="s">
        <v>173</v>
      </c>
      <c r="X78" s="61">
        <v>0.51759999999999995</v>
      </c>
      <c r="Y78" s="1" t="s">
        <v>489</v>
      </c>
    </row>
    <row r="79" spans="2:29">
      <c r="B79" s="1"/>
      <c r="C79" s="1" t="s">
        <v>458</v>
      </c>
      <c r="D79" s="1"/>
      <c r="E79" s="1" t="s">
        <v>5</v>
      </c>
      <c r="G79" s="1" t="s">
        <v>1276</v>
      </c>
      <c r="H79" s="1" t="s">
        <v>558</v>
      </c>
      <c r="I79" s="1">
        <f>BV7</f>
        <v>0</v>
      </c>
      <c r="J79" s="1" t="s">
        <v>5</v>
      </c>
      <c r="L79" s="48" t="s">
        <v>293</v>
      </c>
      <c r="M79" s="48" t="s">
        <v>294</v>
      </c>
      <c r="N79" s="48"/>
      <c r="O79" s="48"/>
      <c r="Q79" s="48" t="s">
        <v>291</v>
      </c>
      <c r="R79" s="48" t="s">
        <v>292</v>
      </c>
      <c r="S79" s="48"/>
      <c r="T79" s="48"/>
      <c r="V79" s="57" t="s">
        <v>56</v>
      </c>
      <c r="W79" s="57" t="s">
        <v>472</v>
      </c>
      <c r="X79" s="59">
        <v>0</v>
      </c>
      <c r="Y79" s="1" t="s">
        <v>398</v>
      </c>
    </row>
    <row r="80" spans="2:29">
      <c r="B80" s="1" t="s">
        <v>277</v>
      </c>
      <c r="C80" s="1" t="s">
        <v>460</v>
      </c>
      <c r="D80" s="1"/>
      <c r="E80" s="1" t="s">
        <v>46</v>
      </c>
      <c r="G80" s="1" t="s">
        <v>535</v>
      </c>
      <c r="H80" s="1" t="s">
        <v>540</v>
      </c>
      <c r="I80" s="1">
        <f>BV8</f>
        <v>0</v>
      </c>
      <c r="J80" s="1" t="s">
        <v>46</v>
      </c>
      <c r="L80" s="48" t="s">
        <v>295</v>
      </c>
      <c r="M80" s="48" t="s">
        <v>296</v>
      </c>
      <c r="N80" s="48"/>
      <c r="O80" s="48"/>
      <c r="Q80" s="48" t="s">
        <v>293</v>
      </c>
      <c r="R80" s="48" t="s">
        <v>294</v>
      </c>
      <c r="S80" s="48"/>
      <c r="T80" s="48"/>
    </row>
    <row r="81" spans="2:20">
      <c r="B81" s="1" t="s">
        <v>463</v>
      </c>
      <c r="C81" s="1" t="s">
        <v>464</v>
      </c>
      <c r="D81" s="1"/>
      <c r="E81" s="1" t="s">
        <v>46</v>
      </c>
      <c r="G81" s="1" t="s">
        <v>559</v>
      </c>
      <c r="H81" s="1" t="s">
        <v>541</v>
      </c>
      <c r="I81" s="1">
        <f>BV9</f>
        <v>0</v>
      </c>
      <c r="J81" s="1" t="s">
        <v>5</v>
      </c>
      <c r="L81" s="48" t="s">
        <v>297</v>
      </c>
      <c r="M81" s="48" t="s">
        <v>298</v>
      </c>
      <c r="N81" s="48"/>
      <c r="O81" s="48"/>
      <c r="Q81" s="48" t="s">
        <v>295</v>
      </c>
      <c r="R81" s="48" t="s">
        <v>296</v>
      </c>
      <c r="S81" s="48"/>
      <c r="T81" s="48"/>
    </row>
    <row r="82" spans="2:20" ht="21" thickBot="1">
      <c r="B82" s="1" t="s">
        <v>1164</v>
      </c>
      <c r="C82" s="1" t="s">
        <v>460</v>
      </c>
      <c r="D82" s="1"/>
      <c r="E82" s="1" t="s">
        <v>46</v>
      </c>
      <c r="G82" s="19" t="s">
        <v>561</v>
      </c>
      <c r="H82" s="19" t="s">
        <v>409</v>
      </c>
      <c r="I82" s="19">
        <f>BV10</f>
        <v>0</v>
      </c>
      <c r="J82" s="19" t="s">
        <v>5</v>
      </c>
      <c r="L82" s="48" t="s">
        <v>299</v>
      </c>
      <c r="M82" s="48" t="s">
        <v>300</v>
      </c>
      <c r="N82" s="48"/>
      <c r="O82" s="48"/>
      <c r="Q82" s="48" t="s">
        <v>297</v>
      </c>
      <c r="R82" s="48" t="s">
        <v>298</v>
      </c>
      <c r="S82" s="48"/>
      <c r="T82" s="48"/>
    </row>
    <row r="83" spans="2:20" ht="21" thickTop="1">
      <c r="B83" s="1" t="s">
        <v>1226</v>
      </c>
      <c r="C83" s="1" t="s">
        <v>460</v>
      </c>
      <c r="D83" s="1"/>
      <c r="E83" s="1" t="s">
        <v>5</v>
      </c>
      <c r="G83" s="1" t="s">
        <v>406</v>
      </c>
      <c r="H83" s="1" t="s">
        <v>407</v>
      </c>
      <c r="I83" s="1"/>
      <c r="J83" s="1" t="s">
        <v>408</v>
      </c>
      <c r="L83" s="48" t="s">
        <v>301</v>
      </c>
      <c r="M83" s="48" t="s">
        <v>302</v>
      </c>
      <c r="N83" s="48"/>
      <c r="O83" s="48"/>
      <c r="Q83" s="1" t="s">
        <v>428</v>
      </c>
      <c r="R83" s="1" t="s">
        <v>429</v>
      </c>
      <c r="S83" s="21">
        <v>0</v>
      </c>
      <c r="T83" s="1" t="s">
        <v>46</v>
      </c>
    </row>
    <row r="84" spans="2:20" ht="21" thickBot="1">
      <c r="B84" s="57" t="s">
        <v>24</v>
      </c>
      <c r="C84" s="1" t="s">
        <v>26</v>
      </c>
      <c r="D84" s="27"/>
      <c r="E84" s="1" t="s">
        <v>418</v>
      </c>
      <c r="G84" s="1" t="s">
        <v>299</v>
      </c>
      <c r="H84" s="1" t="s">
        <v>300</v>
      </c>
      <c r="I84" s="21">
        <v>0.25</v>
      </c>
      <c r="J84" s="1" t="s">
        <v>45</v>
      </c>
      <c r="L84" s="48" t="s">
        <v>307</v>
      </c>
      <c r="M84" s="48" t="s">
        <v>45</v>
      </c>
      <c r="N84" s="48"/>
      <c r="O84" s="48"/>
      <c r="Q84" s="257"/>
      <c r="R84" s="257" t="s">
        <v>490</v>
      </c>
      <c r="S84" s="258">
        <v>0.8</v>
      </c>
      <c r="T84" s="176" t="s">
        <v>46</v>
      </c>
    </row>
    <row r="85" spans="2:20" ht="21" thickTop="1">
      <c r="B85" s="57"/>
      <c r="C85" s="1" t="s">
        <v>28</v>
      </c>
      <c r="D85" s="27"/>
      <c r="E85" s="1" t="s">
        <v>418</v>
      </c>
      <c r="G85" s="1" t="s">
        <v>301</v>
      </c>
      <c r="H85" s="1" t="s">
        <v>302</v>
      </c>
      <c r="I85" s="1"/>
      <c r="J85" s="1" t="s">
        <v>45</v>
      </c>
      <c r="L85" s="57" t="s">
        <v>483</v>
      </c>
      <c r="M85" s="57" t="s">
        <v>484</v>
      </c>
      <c r="N85" s="60">
        <v>1</v>
      </c>
      <c r="O85" s="1" t="s">
        <v>46</v>
      </c>
      <c r="Q85" s="2"/>
      <c r="R85" s="8" t="s">
        <v>440</v>
      </c>
      <c r="S85" s="75">
        <v>0</v>
      </c>
      <c r="T85" s="7" t="s">
        <v>417</v>
      </c>
    </row>
    <row r="86" spans="2:20">
      <c r="B86" s="57"/>
      <c r="C86" s="1" t="s">
        <v>30</v>
      </c>
      <c r="D86" s="27"/>
      <c r="E86" s="1" t="s">
        <v>418</v>
      </c>
      <c r="G86" s="1" t="s">
        <v>165</v>
      </c>
      <c r="H86" s="1" t="s">
        <v>162</v>
      </c>
      <c r="I86" s="1"/>
      <c r="J86" s="1" t="s">
        <v>45</v>
      </c>
      <c r="L86" s="1" t="s">
        <v>46</v>
      </c>
      <c r="M86" s="1" t="s">
        <v>423</v>
      </c>
      <c r="N86" s="1" t="e">
        <f>IF(#REF!="Conventional",(2*N52*(180/PI()))/(PI()*S72),0)</f>
        <v>#REF!</v>
      </c>
      <c r="O86" s="1" t="s">
        <v>46</v>
      </c>
      <c r="Q86" s="1"/>
      <c r="R86" s="9" t="s">
        <v>411</v>
      </c>
      <c r="S86" s="59">
        <v>0</v>
      </c>
      <c r="T86" s="22" t="s">
        <v>412</v>
      </c>
    </row>
    <row r="87" spans="2:20">
      <c r="B87" s="57"/>
      <c r="C87" s="1" t="s">
        <v>32</v>
      </c>
      <c r="D87" s="27"/>
      <c r="E87" s="1" t="s">
        <v>418</v>
      </c>
      <c r="G87" s="1" t="s">
        <v>305</v>
      </c>
      <c r="H87" s="1" t="s">
        <v>435</v>
      </c>
      <c r="I87" s="1"/>
      <c r="J87" s="1" t="s">
        <v>260</v>
      </c>
      <c r="L87" s="1" t="s">
        <v>424</v>
      </c>
      <c r="M87" s="1" t="s">
        <v>425</v>
      </c>
      <c r="N87" s="21">
        <v>1</v>
      </c>
      <c r="O87" s="1" t="s">
        <v>46</v>
      </c>
      <c r="Q87" s="1"/>
      <c r="R87" s="9" t="s">
        <v>413</v>
      </c>
      <c r="S87" s="59">
        <v>0</v>
      </c>
      <c r="T87" s="22" t="s">
        <v>412</v>
      </c>
    </row>
    <row r="88" spans="2:20">
      <c r="B88" s="57"/>
      <c r="C88" s="1" t="s">
        <v>34</v>
      </c>
      <c r="D88" s="27"/>
      <c r="E88" s="1" t="s">
        <v>418</v>
      </c>
      <c r="G88" s="48" t="s">
        <v>303</v>
      </c>
      <c r="H88" s="48" t="s">
        <v>304</v>
      </c>
      <c r="I88" s="1"/>
      <c r="J88" s="1" t="s">
        <v>260</v>
      </c>
    </row>
    <row r="89" spans="2:20">
      <c r="B89" s="57"/>
      <c r="C89" s="1" t="s">
        <v>427</v>
      </c>
      <c r="D89" s="27"/>
      <c r="E89" s="1" t="s">
        <v>418</v>
      </c>
      <c r="G89" s="1" t="s">
        <v>570</v>
      </c>
      <c r="H89" s="1" t="s">
        <v>426</v>
      </c>
      <c r="I89" s="1">
        <f>BV13</f>
        <v>0</v>
      </c>
      <c r="J89" s="1" t="s">
        <v>417</v>
      </c>
    </row>
    <row r="90" spans="2:20">
      <c r="G90" s="48" t="s">
        <v>305</v>
      </c>
      <c r="H90" s="48" t="s">
        <v>306</v>
      </c>
      <c r="I90" s="1"/>
      <c r="J90" s="1" t="s">
        <v>260</v>
      </c>
    </row>
    <row r="91" spans="2:20">
      <c r="G91" s="48" t="s">
        <v>307</v>
      </c>
      <c r="H91" s="48" t="s">
        <v>45</v>
      </c>
      <c r="I91" s="1"/>
      <c r="J91" s="1" t="s">
        <v>260</v>
      </c>
    </row>
    <row r="92" spans="2:20">
      <c r="G92" s="48" t="s">
        <v>308</v>
      </c>
      <c r="H92" s="48" t="s">
        <v>309</v>
      </c>
      <c r="I92" s="1"/>
      <c r="J92" s="1" t="s">
        <v>260</v>
      </c>
    </row>
    <row r="93" spans="2:20" ht="21" thickBot="1">
      <c r="G93" s="50" t="s">
        <v>310</v>
      </c>
      <c r="H93" s="50" t="s">
        <v>311</v>
      </c>
      <c r="I93" s="19"/>
      <c r="J93" s="19" t="s">
        <v>260</v>
      </c>
    </row>
    <row r="94" spans="2:20" ht="21" thickTop="1">
      <c r="G94" s="2" t="s">
        <v>439</v>
      </c>
      <c r="H94" s="2" t="s">
        <v>440</v>
      </c>
      <c r="I94" s="2"/>
      <c r="J94" s="2" t="s">
        <v>417</v>
      </c>
    </row>
    <row r="95" spans="2:20">
      <c r="G95" s="1"/>
      <c r="H95" s="1" t="s">
        <v>442</v>
      </c>
      <c r="I95" s="59"/>
      <c r="J95" s="1" t="s">
        <v>417</v>
      </c>
    </row>
    <row r="96" spans="2:20">
      <c r="G96" s="1" t="s">
        <v>46</v>
      </c>
      <c r="H96" s="1" t="s">
        <v>443</v>
      </c>
      <c r="I96" s="59"/>
      <c r="J96" s="1" t="s">
        <v>412</v>
      </c>
    </row>
    <row r="97" spans="2:10">
      <c r="G97" s="1" t="s">
        <v>46</v>
      </c>
      <c r="H97" s="1" t="s">
        <v>444</v>
      </c>
      <c r="I97" s="59"/>
      <c r="J97" s="1" t="s">
        <v>412</v>
      </c>
    </row>
    <row r="98" spans="2:10">
      <c r="G98" s="1" t="s">
        <v>46</v>
      </c>
      <c r="H98" s="1" t="s">
        <v>449</v>
      </c>
      <c r="I98" s="59"/>
      <c r="J98" s="1" t="s">
        <v>412</v>
      </c>
    </row>
    <row r="99" spans="2:10">
      <c r="G99" s="1" t="s">
        <v>46</v>
      </c>
      <c r="H99" s="1" t="s">
        <v>453</v>
      </c>
      <c r="I99" s="59"/>
      <c r="J99" s="1" t="s">
        <v>412</v>
      </c>
    </row>
    <row r="100" spans="2:10">
      <c r="G100" s="1" t="s">
        <v>46</v>
      </c>
      <c r="H100" s="1" t="s">
        <v>411</v>
      </c>
      <c r="I100" s="1"/>
      <c r="J100" s="1" t="s">
        <v>412</v>
      </c>
    </row>
    <row r="101" spans="2:10">
      <c r="G101" s="1" t="s">
        <v>46</v>
      </c>
      <c r="H101" s="1" t="s">
        <v>413</v>
      </c>
      <c r="I101" s="1"/>
      <c r="J101" s="1" t="s">
        <v>412</v>
      </c>
    </row>
    <row r="102" spans="2:10">
      <c r="G102" s="1" t="s">
        <v>46</v>
      </c>
      <c r="H102" s="1" t="s">
        <v>416</v>
      </c>
      <c r="I102" s="1"/>
      <c r="J102" s="1" t="s">
        <v>417</v>
      </c>
    </row>
    <row r="103" spans="2:10">
      <c r="G103" s="29"/>
      <c r="H103" s="29"/>
      <c r="I103" s="29"/>
      <c r="J103" s="29"/>
    </row>
    <row r="106" spans="2:10">
      <c r="B106" t="s">
        <v>1357</v>
      </c>
    </row>
  </sheetData>
  <phoneticPr fontId="3"/>
  <dataValidations xWindow="1380" yWindow="334" count="3">
    <dataValidation type="list" allowBlank="1" showInputMessage="1" showErrorMessage="1" sqref="I17" xr:uid="{B86DEAC5-5A58-4146-BDAD-BEDB642EB61A}">
      <formula1>"T字配置,通常配置"</formula1>
    </dataValidation>
    <dataValidation type="list" allowBlank="1" showInputMessage="1" showErrorMessage="1" sqref="I21" xr:uid="{39CC11C2-6BA9-944A-A6C5-71F57DF82B14}">
      <formula1>"重心移動,エレベーター,ハイブリッド"</formula1>
    </dataValidation>
    <dataValidation allowBlank="1" showErrorMessage="1" sqref="D56" xr:uid="{30B2C070-FDE8-4017-A0F2-89D791F60EFD}"/>
  </dataValidations>
  <pageMargins left="0.7" right="0.7" top="0.75" bottom="0.75" header="0.3" footer="0.3"/>
  <pageSetup paperSize="9" orientation="portrait" horizontalDpi="0" verticalDpi="0"/>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B9DC3A-09D2-6841-9351-8CE45766212B}">
  <sheetPr codeName="Sheet3">
    <tabColor theme="3" tint="0.59999389629810485"/>
  </sheetPr>
  <dimension ref="A2:AS148"/>
  <sheetViews>
    <sheetView zoomScale="70" zoomScaleNormal="70" workbookViewId="0">
      <selection activeCell="N107" sqref="N107"/>
    </sheetView>
  </sheetViews>
  <sheetFormatPr baseColWidth="10" defaultColWidth="9.28515625" defaultRowHeight="20"/>
  <cols>
    <col min="1" max="2" width="9.28515625" style="3"/>
    <col min="3" max="14" width="9.42578125" style="3" bestFit="1" customWidth="1"/>
    <col min="15" max="15" width="9.42578125" style="3" customWidth="1"/>
    <col min="16" max="16" width="9.5703125" style="3" bestFit="1" customWidth="1"/>
    <col min="17" max="17" width="9.5703125" style="3" customWidth="1"/>
    <col min="18" max="19" width="9.42578125" style="3" customWidth="1"/>
    <col min="20" max="20" width="9.28515625" style="3" customWidth="1"/>
    <col min="21" max="21" width="9.7109375" style="3" bestFit="1" customWidth="1"/>
    <col min="22" max="24" width="9.28515625" style="3"/>
    <col min="25" max="25" width="9.5703125" style="3" bestFit="1" customWidth="1"/>
    <col min="26" max="27" width="9.28515625" style="3"/>
    <col min="28" max="28" width="9.42578125" style="3" bestFit="1" customWidth="1"/>
    <col min="29" max="29" width="9.28515625" style="3"/>
    <col min="30" max="30" width="9.42578125" style="3" bestFit="1" customWidth="1"/>
    <col min="31" max="31" width="9.28515625" style="3"/>
    <col min="32" max="32" width="9.42578125" style="3" bestFit="1" customWidth="1"/>
    <col min="33" max="33" width="9.28515625" style="3"/>
    <col min="34" max="34" width="9.42578125" style="3" bestFit="1" customWidth="1"/>
    <col min="35" max="16384" width="9.28515625" style="3"/>
  </cols>
  <sheetData>
    <row r="2" spans="1:25">
      <c r="B2" s="236" t="s">
        <v>1283</v>
      </c>
      <c r="C2" s="3" t="s">
        <v>1420</v>
      </c>
    </row>
    <row r="3" spans="1:25">
      <c r="B3" s="10" t="s">
        <v>0</v>
      </c>
      <c r="C3" s="10" t="s">
        <v>19</v>
      </c>
      <c r="D3" s="270" t="s">
        <v>277</v>
      </c>
      <c r="E3" s="271"/>
      <c r="F3" s="272"/>
      <c r="G3" s="270" t="s">
        <v>1423</v>
      </c>
      <c r="H3" s="271"/>
      <c r="I3" s="271"/>
      <c r="J3" s="271"/>
      <c r="K3" s="271"/>
      <c r="L3" s="272"/>
      <c r="O3" s="3" t="s">
        <v>1424</v>
      </c>
    </row>
    <row r="4" spans="1:25">
      <c r="B4" s="10" t="s">
        <v>60</v>
      </c>
      <c r="C4" s="10" t="s">
        <v>21</v>
      </c>
      <c r="D4" s="10" t="s">
        <v>452</v>
      </c>
      <c r="E4" s="10" t="s">
        <v>456</v>
      </c>
      <c r="F4" s="10" t="s">
        <v>458</v>
      </c>
      <c r="G4" s="10" t="s">
        <v>26</v>
      </c>
      <c r="H4" s="10" t="s">
        <v>28</v>
      </c>
      <c r="I4" s="10" t="s">
        <v>30</v>
      </c>
      <c r="J4" s="10" t="s">
        <v>32</v>
      </c>
      <c r="K4" s="10" t="s">
        <v>34</v>
      </c>
      <c r="L4" s="10" t="s">
        <v>35</v>
      </c>
      <c r="O4" s="3" t="s">
        <v>1421</v>
      </c>
    </row>
    <row r="5" spans="1:25" ht="21" thickBot="1">
      <c r="B5" s="276" t="s">
        <v>62</v>
      </c>
      <c r="C5" s="276" t="s">
        <v>6</v>
      </c>
      <c r="D5" s="276" t="s">
        <v>5</v>
      </c>
      <c r="E5" s="276" t="s">
        <v>5</v>
      </c>
      <c r="F5" s="276" t="s">
        <v>5</v>
      </c>
      <c r="G5" s="276" t="s">
        <v>38</v>
      </c>
      <c r="H5" s="276" t="s">
        <v>38</v>
      </c>
      <c r="I5" s="276" t="s">
        <v>38</v>
      </c>
      <c r="J5" s="276" t="s">
        <v>38</v>
      </c>
      <c r="K5" s="276" t="s">
        <v>38</v>
      </c>
      <c r="L5" s="276" t="s">
        <v>38</v>
      </c>
      <c r="O5" s="3" t="s">
        <v>1422</v>
      </c>
    </row>
    <row r="6" spans="1:25" ht="21" thickBot="1">
      <c r="B6" s="278" t="s">
        <v>39</v>
      </c>
      <c r="C6" s="279">
        <f>SUM(C7:C8)</f>
        <v>109.34103</v>
      </c>
      <c r="D6" s="279">
        <f>SUMPRODUCT($C$7:$C$8,D7:D8)/SUM($C$7:$C$8)</f>
        <v>-1.6246022553475584E-17</v>
      </c>
      <c r="E6" s="279">
        <f>SUMPRODUCT($C$7:$C$8,E7:E8)/SUM($C$7:$C$8)</f>
        <v>-3.8116615510207269E-3</v>
      </c>
      <c r="F6" s="279">
        <f>SUMPRODUCT($C$7:$C$8,F7:F8)/SUM($C$7:$C$8)</f>
        <v>0.14843543727363825</v>
      </c>
      <c r="G6" s="279" t="e" cm="1">
        <f t="array" ref="G6">SUM(G7:G8)+SUMPRODUCT($C$7:$C$8,POWER(E7:E8-E$6,2)+POWER(F7:F8-F$6,2))</f>
        <v>#REF!</v>
      </c>
      <c r="H6" s="279" t="e" cm="1">
        <f t="array" ref="H6">SUM(H7:H8)+SUMPRODUCT($C$7:$C$8,POWER(D7:D8-D$6,2)+POWER(F7:F8-F$6,2))</f>
        <v>#REF!</v>
      </c>
      <c r="I6" s="279" t="e" cm="1">
        <f t="array" ref="I6">SUM(I7:I8)+SUMPRODUCT($C$7:$C$8,POWER(D7:D8-D$6,2)+POWER(E7:E8-E$6,2))</f>
        <v>#REF!</v>
      </c>
      <c r="J6" s="279" cm="1">
        <f t="array" ref="J6">SUM(J7:J8)+SUMPRODUCT($C7:$C8,(D7:D8-D$6)*(E7:E8-E$6))</f>
        <v>-5.8092098142302387E-2</v>
      </c>
      <c r="K6" s="279" t="e" cm="1">
        <f t="array" ref="K6">SUM(K7:K8)+SUMPRODUCT($C$7:$C$8,(E7:E8-E$6)*(F7:F8-F$6))</f>
        <v>#VALUE!</v>
      </c>
      <c r="L6" s="280" cm="1">
        <f t="array" ref="L6">SUM(L7:L8)+SUMPRODUCT($C$7:$C$8,(F7:F8-F$6)*(D7:D8-D$6))</f>
        <v>5.0077012366259606</v>
      </c>
      <c r="O6" s="3" t="s">
        <v>135</v>
      </c>
    </row>
    <row r="7" spans="1:25" ht="21" thickBot="1">
      <c r="B7" s="277" t="s">
        <v>493</v>
      </c>
      <c r="C7" s="277">
        <f>F36</f>
        <v>49.341030000000003</v>
      </c>
      <c r="D7" s="277" cm="1">
        <f t="array" ref="D7:F7">G36:I36</f>
        <v>0.23651605975797427</v>
      </c>
      <c r="E7" s="277">
        <v>-8.4467430047569705E-3</v>
      </c>
      <c r="F7" s="277">
        <v>8.5731562555544524E-2</v>
      </c>
      <c r="G7" s="277" t="e" cm="1">
        <f t="array" ref="G7">SUM(I16:I22)+SUMPRODUCT($C16:$C22,POWER(G16:G22-$E$6,2)+POWER(H16:H22-$F$6,2))</f>
        <v>#REF!</v>
      </c>
      <c r="H7" s="277" t="e" cm="1">
        <f t="array" ref="H7">SUM(J16:J20)+SUMPRODUCT($C16:$C20,POWER(F16:F20-$D$6,2)+POWER(H16:H20-$F$6,2))</f>
        <v>#REF!</v>
      </c>
      <c r="I7" s="277" t="e" cm="1">
        <f t="array" ref="I7">SUM(K16:K20)+SUMPRODUCT($C16:$C20,POWER(F16:F20-$D$6,2)+POWER(G16:G20-$E$6,2))</f>
        <v>#REF!</v>
      </c>
      <c r="J7" s="277" cm="1">
        <f t="array" ref="J7">SUM(L16:L20)+SUMPRODUCT($C16:$C20,(F16:F20-$D$6)*(G16:G20-$E$6))</f>
        <v>4.0480936599089232E-2</v>
      </c>
      <c r="K7" s="277" t="e" cm="1">
        <f t="array" ref="K7">SUM(M16:M20)+SUMPRODUCT($C16:$C20,(G16:G20-$E$6)*(H16:H20-$F$6))</f>
        <v>#VALUE!</v>
      </c>
      <c r="L7" s="277" cm="1">
        <f t="array" ref="L7">SUM(N16:N20)+SUMPRODUCT($C16:$C20,(F16:F20-$D$6)*(H16:H20-$F$6))</f>
        <v>5.185207731107135</v>
      </c>
    </row>
    <row r="8" spans="1:25" ht="21" thickBot="1">
      <c r="B8" s="1" t="s">
        <v>48</v>
      </c>
      <c r="C8" s="289">
        <v>60</v>
      </c>
      <c r="D8" s="290">
        <f>-(C7/C8)*D7</f>
        <v>-0.19449910000000004</v>
      </c>
      <c r="E8" s="22">
        <v>0</v>
      </c>
      <c r="F8" s="1">
        <v>0.2</v>
      </c>
      <c r="G8" s="21">
        <v>1.3360000000000001</v>
      </c>
      <c r="H8" s="21">
        <v>9.8309999999999995</v>
      </c>
      <c r="I8" s="21">
        <v>10.130000000000001</v>
      </c>
      <c r="J8" s="21">
        <v>0</v>
      </c>
      <c r="K8" s="21">
        <v>0</v>
      </c>
      <c r="L8" s="21">
        <v>1.1559999999999999</v>
      </c>
      <c r="O8" s="3" t="s">
        <v>1167</v>
      </c>
    </row>
    <row r="9" spans="1:25">
      <c r="D9" s="3" t="s">
        <v>1371</v>
      </c>
    </row>
    <row r="10" spans="1:25">
      <c r="A10" s="240"/>
      <c r="B10" s="240"/>
      <c r="C10" s="240"/>
      <c r="D10" s="240"/>
      <c r="E10" s="240"/>
      <c r="F10" s="240"/>
      <c r="G10" s="240"/>
      <c r="H10" s="240"/>
      <c r="I10" s="240"/>
      <c r="J10" s="240"/>
      <c r="K10" s="240"/>
      <c r="L10" s="240"/>
      <c r="M10" s="240"/>
      <c r="N10" s="240"/>
      <c r="O10" s="240"/>
      <c r="P10" s="240"/>
      <c r="Q10" s="240"/>
      <c r="R10" s="240"/>
      <c r="S10" s="240"/>
      <c r="T10" s="240"/>
      <c r="U10" s="240"/>
      <c r="V10" s="240"/>
      <c r="W10" s="240"/>
      <c r="X10" s="240"/>
      <c r="Y10" s="240"/>
    </row>
    <row r="12" spans="1:25">
      <c r="B12" s="236" t="s">
        <v>1285</v>
      </c>
    </row>
    <row r="13" spans="1:25">
      <c r="B13" s="10" t="s">
        <v>448</v>
      </c>
      <c r="C13" s="10" t="s">
        <v>19</v>
      </c>
      <c r="D13" s="3" t="s">
        <v>1375</v>
      </c>
      <c r="E13" s="10" t="s">
        <v>1284</v>
      </c>
      <c r="F13" s="273" t="s">
        <v>277</v>
      </c>
      <c r="G13" s="274"/>
      <c r="H13" s="275"/>
      <c r="I13" s="270" t="s">
        <v>24</v>
      </c>
      <c r="J13" s="271"/>
      <c r="K13" s="271"/>
      <c r="L13" s="271"/>
      <c r="M13" s="271"/>
      <c r="N13" s="272"/>
    </row>
    <row r="14" spans="1:25">
      <c r="B14" s="10" t="s">
        <v>150</v>
      </c>
      <c r="C14" s="10" t="s">
        <v>21</v>
      </c>
      <c r="E14" s="10" t="s">
        <v>983</v>
      </c>
      <c r="F14" s="10" t="s">
        <v>452</v>
      </c>
      <c r="G14" s="10" t="s">
        <v>456</v>
      </c>
      <c r="H14" s="10" t="s">
        <v>458</v>
      </c>
      <c r="I14" s="10" t="s">
        <v>26</v>
      </c>
      <c r="J14" s="10" t="s">
        <v>28</v>
      </c>
      <c r="K14" s="10" t="s">
        <v>30</v>
      </c>
      <c r="L14" s="10" t="s">
        <v>32</v>
      </c>
      <c r="M14" s="10" t="s">
        <v>34</v>
      </c>
      <c r="N14" s="10" t="s">
        <v>427</v>
      </c>
    </row>
    <row r="15" spans="1:25" ht="21" thickBot="1">
      <c r="B15" s="11" t="s">
        <v>152</v>
      </c>
      <c r="C15" s="11" t="s">
        <v>6</v>
      </c>
      <c r="E15" s="11" t="s">
        <v>6</v>
      </c>
      <c r="F15" s="11" t="s">
        <v>5</v>
      </c>
      <c r="G15" s="11" t="s">
        <v>5</v>
      </c>
      <c r="H15" s="11" t="s">
        <v>5</v>
      </c>
      <c r="I15" s="11" t="s">
        <v>38</v>
      </c>
      <c r="J15" s="11" t="s">
        <v>38</v>
      </c>
      <c r="K15" s="11" t="s">
        <v>38</v>
      </c>
      <c r="L15" s="11" t="s">
        <v>418</v>
      </c>
      <c r="M15" s="11" t="s">
        <v>418</v>
      </c>
      <c r="N15" s="11" t="s">
        <v>418</v>
      </c>
    </row>
    <row r="16" spans="1:25" ht="21" thickTop="1">
      <c r="B16" s="2" t="s">
        <v>40</v>
      </c>
      <c r="C16" s="2">
        <f>SUM(F37:F47)</f>
        <v>32.812000000000005</v>
      </c>
      <c r="E16" s="2">
        <f>SUM(F37:F47)-SUM(D37:D47)</f>
        <v>0.88739424337087058</v>
      </c>
      <c r="F16" s="2">
        <f>SUMPRODUCT($F$37:$F$47,G37:G47)/SUM($F$37:$F$47)</f>
        <v>1.2443252468609044E-2</v>
      </c>
      <c r="G16" s="2">
        <f>SUMPRODUCT($F$37:$F$47,H37:H47)/SUM($F$37:$F$47)</f>
        <v>-1.2702212605144578E-2</v>
      </c>
      <c r="H16" s="2">
        <f>SUMPRODUCT($F$37:$F$47,I37:I47)/SUM($F$37:$F$47)</f>
        <v>1.9701816408630987E-2</v>
      </c>
      <c r="I16" s="1" t="e">
        <f>SUMPRODUCT('主翼（空力）'!$BH$117:$BH$150,'主翼（空力）'!BI51:BI150)*2</f>
        <v>#REF!</v>
      </c>
      <c r="J16" s="1" t="e">
        <f>SUMPRODUCT('主翼（空力）'!$BH$117:$BH$150,'主翼（空力）'!BJ51:BJ150)*2</f>
        <v>#REF!</v>
      </c>
      <c r="K16" s="1" t="e">
        <f>SUMPRODUCT('主翼（空力）'!$BH$117:$BH$150,'主翼（空力）'!BK51:BK150)*2</f>
        <v>#REF!</v>
      </c>
      <c r="L16" s="2">
        <v>0</v>
      </c>
      <c r="M16" s="2" t="e" cm="1">
        <f t="array" ref="M16">SUMPRODUCT('主翼（空力）'!R125:R150,('主翼（空力）'!Z51:Z150-機体重量!$G$16)*('主翼（空力）'!Y51:Y150-機体重量!$H$16))</f>
        <v>#VALUE!</v>
      </c>
      <c r="N16" s="2">
        <v>0</v>
      </c>
    </row>
    <row r="17" spans="1:25">
      <c r="B17" s="1" t="s">
        <v>1135</v>
      </c>
      <c r="C17" s="1">
        <f>SUM(F49:F63)</f>
        <v>2.5494400000000002</v>
      </c>
      <c r="E17" s="1">
        <f>SUM(F49:F63)-SUM(D49:D63)</f>
        <v>0.32444000000000006</v>
      </c>
      <c r="F17" s="1">
        <f>SUMPRODUCT($F$49:$F$63,G49:G63)/SUM($F$49:$F$63)</f>
        <v>3.2467059432659711</v>
      </c>
      <c r="G17" s="1">
        <f>SUMPRODUCT($F$49:$F$63,H49:H63)/SUM($F$49:$F$63)</f>
        <v>5.4914020333877722E-6</v>
      </c>
      <c r="H17" s="1">
        <f>SUMPRODUCT($F$49:$F$63,I49:I63)/SUM($F$49:$F$63)</f>
        <v>0.41327067905108567</v>
      </c>
      <c r="J17" s="1">
        <v>4.2714103151758623E-8</v>
      </c>
      <c r="K17" s="1">
        <v>1.6148927593375719</v>
      </c>
      <c r="L17" s="1">
        <v>0</v>
      </c>
      <c r="M17" s="1">
        <v>0</v>
      </c>
      <c r="N17" s="1">
        <v>0</v>
      </c>
    </row>
    <row r="18" spans="1:25">
      <c r="B18" s="1" t="s">
        <v>56</v>
      </c>
      <c r="C18" s="1">
        <f>SUM(F65:F67)</f>
        <v>2.7089999999999996</v>
      </c>
      <c r="E18" s="1">
        <f>SUM(F65:F67)-SUM(D65:D67)</f>
        <v>1.3239999999999996</v>
      </c>
      <c r="F18" s="1">
        <f>SUMPRODUCT($F$65:$F$67,G65:G67)/SUM($F$65:$F$67)</f>
        <v>1.8238002953119237</v>
      </c>
      <c r="G18" s="1">
        <f>SUMPRODUCT($F$65:$F$67,H65:H67)/SUM($F$65:$F$67)</f>
        <v>0</v>
      </c>
      <c r="H18" s="1">
        <f>SUMPRODUCT($F$65:$F$67,I65:I67)/SUM($F$65:$F$67)</f>
        <v>0.32000000000000006</v>
      </c>
      <c r="I18" s="1">
        <v>0.16954833279692161</v>
      </c>
      <c r="J18" s="1">
        <v>4.8610744233556025</v>
      </c>
      <c r="K18" s="1">
        <v>4.6915260905586802</v>
      </c>
      <c r="L18" s="1">
        <v>0</v>
      </c>
      <c r="M18" s="1">
        <v>0</v>
      </c>
      <c r="N18" s="1">
        <v>0.7464691440225939</v>
      </c>
    </row>
    <row r="19" spans="1:25">
      <c r="B19" s="1" t="s">
        <v>7</v>
      </c>
      <c r="C19" s="1">
        <f>SUM(F69:F75)</f>
        <v>7.2450000000000001</v>
      </c>
      <c r="E19" s="1">
        <f>SUM(F69:F75)-SUM(D69:D75)</f>
        <v>2.7450000000000001</v>
      </c>
      <c r="F19" s="1">
        <f>SUMPRODUCT($F$69:$F$75,G69:G75)/SUM($F$69:$F$75)</f>
        <v>-0.22874810213940647</v>
      </c>
      <c r="G19" s="1">
        <f>SUMPRODUCT($F$69:$F$75,H69:H75)/SUM($F$69:$F$75)</f>
        <v>0</v>
      </c>
      <c r="H19" s="1">
        <f>SUMPRODUCT($F$69:$F$75,I69:I75)/SUM($F$69:$F$75)</f>
        <v>0.17341614906832298</v>
      </c>
      <c r="I19" s="1">
        <v>0.16954833279692161</v>
      </c>
      <c r="J19" s="1">
        <v>4.8610744233556025</v>
      </c>
      <c r="K19" s="1">
        <v>4.6915260905586802</v>
      </c>
      <c r="L19" s="1">
        <v>0</v>
      </c>
      <c r="M19" s="1">
        <v>0</v>
      </c>
      <c r="N19" s="1">
        <v>0.7464691440225939</v>
      </c>
    </row>
    <row r="20" spans="1:25">
      <c r="B20" s="1" t="s">
        <v>42</v>
      </c>
      <c r="C20" s="1">
        <f>SUM(F77:F78)</f>
        <v>1.464</v>
      </c>
      <c r="E20" s="1">
        <f>SUM(F77:F78)-SUM(D77:D78)</f>
        <v>-3.6000000000000032E-2</v>
      </c>
      <c r="F20" s="1">
        <f>SUMPRODUCT($F$77:$F$78,G77:G78)/SUM($F$77:$F$78)</f>
        <v>0</v>
      </c>
      <c r="G20" s="1">
        <f>SUMPRODUCT($F$77:$F$78,H77:H78)/SUM($F$77:$F$78)</f>
        <v>0</v>
      </c>
      <c r="H20" s="1">
        <f>SUMPRODUCT($F$77:$F$78,I77:I78)/SUM($F$77:$F$78)</f>
        <v>0</v>
      </c>
      <c r="I20" s="1">
        <v>0.16954833279692161</v>
      </c>
      <c r="J20" s="1">
        <v>4.8610744233556025</v>
      </c>
      <c r="K20" s="1">
        <v>4.6915260905586802</v>
      </c>
      <c r="L20" s="1">
        <v>0</v>
      </c>
      <c r="M20" s="1">
        <v>0</v>
      </c>
      <c r="N20" s="1">
        <v>0.7464691440225939</v>
      </c>
    </row>
    <row r="21" spans="1:25">
      <c r="B21" s="1" t="s">
        <v>529</v>
      </c>
      <c r="C21" s="1">
        <f>SUM(F80:F84)</f>
        <v>0.82059000000000004</v>
      </c>
      <c r="E21" s="1">
        <f>SUM(F80:F84)-SUM(D80:D84)</f>
        <v>-0.27940999999999983</v>
      </c>
      <c r="F21" s="1">
        <f>SUMPRODUCT($F$80:$F$84,G80:G84)/SUM($F$80:$F$84)</f>
        <v>0.92187450492937995</v>
      </c>
      <c r="G21" s="1">
        <f>SUMPRODUCT($F$80:$F$84,H80:H84)/SUM($F$80:$F$84)</f>
        <v>0</v>
      </c>
      <c r="H21" s="1">
        <f>SUMPRODUCT($F$80:$F$84,I80:I84)/SUM($F$80:$F$84)</f>
        <v>0.49566628888970132</v>
      </c>
      <c r="I21" s="1">
        <v>0.16954833279692161</v>
      </c>
      <c r="J21" s="1">
        <v>4.8610744233556025</v>
      </c>
      <c r="K21" s="1">
        <v>4.6915260905586802</v>
      </c>
      <c r="L21" s="1">
        <v>0</v>
      </c>
      <c r="M21" s="1">
        <v>0</v>
      </c>
      <c r="N21" s="1">
        <v>0.7464691440225939</v>
      </c>
    </row>
    <row r="22" spans="1:25">
      <c r="B22" s="1" t="s">
        <v>1011</v>
      </c>
      <c r="C22" s="1">
        <f>SUM(F86:F89)</f>
        <v>1.7409999999999999</v>
      </c>
      <c r="E22" s="1">
        <f>SUM(F86:F89)-SUM(D86:D89)</f>
        <v>-0.25900000000000012</v>
      </c>
      <c r="F22" s="1">
        <f>SUMPRODUCT($F$86:$F$89,G86:G89)/SUM($F$86:$F$89)</f>
        <v>-0.60626076967260201</v>
      </c>
      <c r="G22" s="1">
        <f>SUMPRODUCT($F$86:$F$89,H86:H89)/SUM($F$86:$F$89)</f>
        <v>0</v>
      </c>
      <c r="H22" s="1">
        <f>SUMPRODUCT($F$86:$F$89,I86:I89)/SUM($F$86:$F$89)</f>
        <v>0</v>
      </c>
      <c r="I22" s="1">
        <v>0.16954833279692161</v>
      </c>
      <c r="J22" s="1">
        <v>4.8610744233556025</v>
      </c>
      <c r="K22" s="1">
        <v>4.6915260905586802</v>
      </c>
      <c r="L22" s="1">
        <v>0</v>
      </c>
      <c r="M22" s="1">
        <v>0</v>
      </c>
      <c r="N22" s="1">
        <v>0.7464691440225939</v>
      </c>
    </row>
    <row r="23" spans="1:25">
      <c r="E23" s="3">
        <f>SUM(E16:E22)</f>
        <v>4.7064242433708712</v>
      </c>
    </row>
    <row r="24" spans="1:25">
      <c r="A24" s="240"/>
      <c r="B24" s="240"/>
      <c r="C24" s="240"/>
      <c r="D24" s="240"/>
      <c r="E24" s="240"/>
      <c r="F24" s="240"/>
      <c r="G24" s="240"/>
      <c r="H24" s="240"/>
      <c r="I24" s="240"/>
      <c r="J24" s="240"/>
      <c r="K24" s="240"/>
      <c r="L24" s="240"/>
      <c r="M24" s="240"/>
      <c r="N24" s="240"/>
      <c r="O24" s="240"/>
      <c r="P24" s="240"/>
      <c r="Q24" s="240"/>
      <c r="R24" s="240"/>
      <c r="S24" s="240"/>
      <c r="T24" s="240"/>
      <c r="U24" s="240"/>
      <c r="V24" s="240"/>
      <c r="W24" s="240"/>
      <c r="X24" s="240"/>
      <c r="Y24" s="240"/>
    </row>
    <row r="26" spans="1:25">
      <c r="B26" s="236" t="s">
        <v>1419</v>
      </c>
    </row>
    <row r="27" spans="1:25">
      <c r="B27" s="3" t="s">
        <v>811</v>
      </c>
    </row>
    <row r="28" spans="1:25">
      <c r="B28" s="10" t="s">
        <v>812</v>
      </c>
      <c r="C28" s="12" t="s">
        <v>813</v>
      </c>
      <c r="D28" s="10" t="s">
        <v>1333</v>
      </c>
      <c r="E28" s="10" t="s">
        <v>1334</v>
      </c>
      <c r="F28" s="13" t="s">
        <v>814</v>
      </c>
      <c r="G28" s="14" t="s">
        <v>815</v>
      </c>
    </row>
    <row r="29" spans="1:25" ht="21" thickBot="1">
      <c r="B29" s="11" t="s">
        <v>816</v>
      </c>
      <c r="C29" s="15" t="s">
        <v>816</v>
      </c>
      <c r="D29" s="11" t="s">
        <v>652</v>
      </c>
      <c r="E29" s="11" t="s">
        <v>652</v>
      </c>
      <c r="F29" s="16" t="s">
        <v>708</v>
      </c>
      <c r="G29" s="17" t="s">
        <v>652</v>
      </c>
    </row>
    <row r="30" spans="1:25" ht="21" thickTop="1">
      <c r="B30" s="4">
        <v>0</v>
      </c>
      <c r="C30" s="5">
        <v>2000</v>
      </c>
      <c r="D30" s="4">
        <v>0</v>
      </c>
      <c r="E30" s="4">
        <v>0.32</v>
      </c>
      <c r="F30" s="6">
        <f>(B30+C30)/1000</f>
        <v>2</v>
      </c>
      <c r="G30" s="7">
        <f>(B30*D30+C30*E30)/(B30+C30)</f>
        <v>0.32</v>
      </c>
    </row>
    <row r="32" spans="1:25">
      <c r="B32" s="3" t="s">
        <v>1399</v>
      </c>
      <c r="G32" s="3" t="s">
        <v>1400</v>
      </c>
    </row>
    <row r="33" spans="2:10">
      <c r="B33" s="10" t="s">
        <v>0</v>
      </c>
      <c r="C33" s="10" t="s">
        <v>44</v>
      </c>
      <c r="D33" s="10" t="s">
        <v>1</v>
      </c>
      <c r="E33" s="10" t="s">
        <v>998</v>
      </c>
      <c r="F33" s="10" t="s">
        <v>19</v>
      </c>
      <c r="G33" s="10" t="s">
        <v>2</v>
      </c>
      <c r="H33" s="10"/>
      <c r="I33" s="10"/>
    </row>
    <row r="34" spans="2:10">
      <c r="B34" s="10" t="s">
        <v>46</v>
      </c>
      <c r="C34" s="10" t="s">
        <v>46</v>
      </c>
      <c r="D34" s="10" t="s">
        <v>46</v>
      </c>
      <c r="E34" s="10" t="s">
        <v>46</v>
      </c>
      <c r="F34" s="10" t="s">
        <v>46</v>
      </c>
      <c r="G34" s="10" t="s">
        <v>20</v>
      </c>
      <c r="H34" s="10" t="s">
        <v>22</v>
      </c>
      <c r="I34" s="10" t="s">
        <v>23</v>
      </c>
    </row>
    <row r="35" spans="2:10" ht="21" thickBot="1">
      <c r="B35" s="11" t="s">
        <v>46</v>
      </c>
      <c r="C35" s="11" t="s">
        <v>46</v>
      </c>
      <c r="D35" s="11" t="s">
        <v>36</v>
      </c>
      <c r="E35" s="15" t="s">
        <v>36</v>
      </c>
      <c r="F35" s="11" t="s">
        <v>36</v>
      </c>
      <c r="G35" s="11" t="s">
        <v>5</v>
      </c>
      <c r="H35" s="11" t="s">
        <v>5</v>
      </c>
      <c r="I35" s="11" t="s">
        <v>5</v>
      </c>
    </row>
    <row r="36" spans="2:10" ht="22" thickTop="1" thickBot="1">
      <c r="B36" s="18"/>
      <c r="C36" s="18" t="s">
        <v>4</v>
      </c>
      <c r="D36" s="18">
        <f>SUM(D37:D90)</f>
        <v>44.634605756629142</v>
      </c>
      <c r="E36" s="18">
        <f>SUM(E37:E90)</f>
        <v>49.341030000000003</v>
      </c>
      <c r="F36" s="18">
        <f>SUM(F37:F90)</f>
        <v>49.341030000000003</v>
      </c>
      <c r="G36" s="18">
        <f>SUMPRODUCT($F$37:$F$90,G37:G90)/SUM($F$37:$F$90)</f>
        <v>0.23651605975797427</v>
      </c>
      <c r="H36" s="18">
        <f>SUMPRODUCT($F$37:$F$90,H37:H90)/SUM($F$37:$F$90)</f>
        <v>-8.4467430047569705E-3</v>
      </c>
      <c r="I36" s="18">
        <f>SUMPRODUCT($F$37:$F$90,I37:I90)/SUM($F$37:$F$90)</f>
        <v>8.5731562555544524E-2</v>
      </c>
    </row>
    <row r="37" spans="2:10" ht="21" thickTop="1">
      <c r="B37" s="2" t="s">
        <v>40</v>
      </c>
      <c r="C37" s="2" t="s">
        <v>501</v>
      </c>
      <c r="D37" s="2">
        <f>D95</f>
        <v>7.7866057566291387</v>
      </c>
      <c r="E37" s="4">
        <v>8.5060000000000002</v>
      </c>
      <c r="F37" s="2">
        <f>IF(E37="",D37,E37)</f>
        <v>8.5060000000000002</v>
      </c>
      <c r="G37" s="4">
        <v>4.8000000000000001E-2</v>
      </c>
      <c r="H37" s="4">
        <v>0</v>
      </c>
      <c r="I37" s="4">
        <v>7.5999999999999998E-2</v>
      </c>
    </row>
    <row r="38" spans="2:10">
      <c r="B38" s="1"/>
      <c r="C38" s="1" t="s">
        <v>503</v>
      </c>
      <c r="D38" s="1">
        <f>F95</f>
        <v>5.117</v>
      </c>
      <c r="E38" s="21">
        <v>5.3289999999999997</v>
      </c>
      <c r="F38" s="2">
        <f t="shared" ref="F38:F52" si="0">IF(E38="",D38,E38)</f>
        <v>5.3289999999999997</v>
      </c>
      <c r="G38" s="21">
        <v>0</v>
      </c>
      <c r="H38" s="21">
        <f>'主翼（構造）'!H7+1.932</f>
        <v>3.3319999999999999</v>
      </c>
      <c r="I38" s="21">
        <v>0</v>
      </c>
    </row>
    <row r="39" spans="2:10">
      <c r="B39" s="1"/>
      <c r="C39" s="1" t="s">
        <v>505</v>
      </c>
      <c r="D39" s="1">
        <f>F95</f>
        <v>5.117</v>
      </c>
      <c r="E39" s="21">
        <v>5.319</v>
      </c>
      <c r="F39" s="2">
        <f t="shared" si="0"/>
        <v>5.319</v>
      </c>
      <c r="G39" s="21">
        <v>0</v>
      </c>
      <c r="H39" s="21">
        <f>-('主翼（構造）'!H7+1.957)</f>
        <v>-3.3570000000000002</v>
      </c>
      <c r="I39" s="21">
        <v>0</v>
      </c>
    </row>
    <row r="40" spans="2:10">
      <c r="B40" s="1"/>
      <c r="C40" s="1" t="s">
        <v>507</v>
      </c>
      <c r="D40" s="1">
        <f>H95</f>
        <v>3.9830000000000001</v>
      </c>
      <c r="E40" s="21">
        <v>4.01</v>
      </c>
      <c r="F40" s="2">
        <f t="shared" si="0"/>
        <v>4.01</v>
      </c>
      <c r="G40" s="21">
        <v>0</v>
      </c>
      <c r="H40" s="21">
        <f>'主翼（構造）'!H9+1.943</f>
        <v>6.843</v>
      </c>
      <c r="I40" s="21">
        <v>0</v>
      </c>
    </row>
    <row r="41" spans="2:10">
      <c r="B41" s="1"/>
      <c r="C41" s="1" t="s">
        <v>509</v>
      </c>
      <c r="D41" s="1">
        <f>H95</f>
        <v>3.9830000000000001</v>
      </c>
      <c r="E41" s="21">
        <v>3.9820000000000002</v>
      </c>
      <c r="F41" s="2">
        <f t="shared" si="0"/>
        <v>3.9820000000000002</v>
      </c>
      <c r="G41" s="21">
        <v>0</v>
      </c>
      <c r="H41" s="21">
        <f>-('主翼（構造）'!H9+1.966)</f>
        <v>-6.8659999999999997</v>
      </c>
      <c r="I41" s="21">
        <v>0</v>
      </c>
    </row>
    <row r="42" spans="2:10">
      <c r="B42" s="1"/>
      <c r="C42" s="1" t="s">
        <v>510</v>
      </c>
      <c r="D42" s="1">
        <f>J95</f>
        <v>2.7690000000000001</v>
      </c>
      <c r="E42" s="21">
        <v>2.552</v>
      </c>
      <c r="F42" s="2">
        <f t="shared" si="0"/>
        <v>2.552</v>
      </c>
      <c r="G42" s="21">
        <v>0</v>
      </c>
      <c r="H42" s="21">
        <f>'主翼（構造）'!H11+1.82</f>
        <v>10.219999999999999</v>
      </c>
      <c r="I42" s="21">
        <v>0</v>
      </c>
    </row>
    <row r="43" spans="2:10">
      <c r="B43" s="1"/>
      <c r="C43" s="1" t="s">
        <v>511</v>
      </c>
      <c r="D43" s="1">
        <f>J95</f>
        <v>2.7690000000000001</v>
      </c>
      <c r="E43" s="21">
        <v>2.5819999999999999</v>
      </c>
      <c r="F43" s="2">
        <f t="shared" si="0"/>
        <v>2.5819999999999999</v>
      </c>
      <c r="G43" s="21">
        <v>0</v>
      </c>
      <c r="H43" s="21">
        <f>-('主翼（構造）'!H11+1.834)</f>
        <v>-10.233999999999998</v>
      </c>
      <c r="I43" s="21">
        <v>0</v>
      </c>
    </row>
    <row r="44" spans="2:10">
      <c r="B44" s="1"/>
      <c r="C44" s="1" t="s">
        <v>999</v>
      </c>
      <c r="D44" s="21">
        <v>0.15</v>
      </c>
      <c r="E44" s="21">
        <v>0.216</v>
      </c>
      <c r="F44" s="2">
        <f t="shared" si="0"/>
        <v>0.216</v>
      </c>
      <c r="G44" s="21">
        <v>0</v>
      </c>
      <c r="H44" s="21">
        <f>'主翼（構造）'!H13+0.2</f>
        <v>12.399999999999999</v>
      </c>
      <c r="I44" s="21">
        <v>0</v>
      </c>
    </row>
    <row r="45" spans="2:10">
      <c r="B45" s="1"/>
      <c r="C45" s="1" t="s">
        <v>1000</v>
      </c>
      <c r="D45" s="21">
        <v>0.15</v>
      </c>
      <c r="E45" s="21">
        <v>0.222</v>
      </c>
      <c r="F45" s="2">
        <f t="shared" si="0"/>
        <v>0.222</v>
      </c>
      <c r="G45" s="21">
        <v>0</v>
      </c>
      <c r="H45" s="21">
        <f>-('主翼（構造）'!H13+0.2)</f>
        <v>-12.399999999999999</v>
      </c>
      <c r="I45" s="21">
        <v>0</v>
      </c>
    </row>
    <row r="46" spans="2:10">
      <c r="B46" s="1"/>
      <c r="C46" s="1" t="s">
        <v>1010</v>
      </c>
      <c r="D46" s="21">
        <v>0.1</v>
      </c>
      <c r="E46" s="21">
        <v>9.4E-2</v>
      </c>
      <c r="F46" s="2">
        <f t="shared" si="0"/>
        <v>9.4E-2</v>
      </c>
      <c r="G46" s="21">
        <v>0</v>
      </c>
      <c r="H46" s="21">
        <v>0</v>
      </c>
      <c r="I46" s="21">
        <v>0</v>
      </c>
      <c r="J46"/>
    </row>
    <row r="47" spans="2:10">
      <c r="B47" s="1"/>
      <c r="C47" s="1" t="s">
        <v>513</v>
      </c>
      <c r="D47" s="21"/>
      <c r="E47" s="21"/>
      <c r="F47" s="2">
        <f t="shared" si="0"/>
        <v>0</v>
      </c>
      <c r="G47" s="21"/>
      <c r="H47" s="21"/>
      <c r="I47" s="21"/>
      <c r="J47" s="3" t="s">
        <v>1120</v>
      </c>
    </row>
    <row r="48" spans="2:10">
      <c r="B48" s="1"/>
      <c r="C48" s="1"/>
      <c r="D48" s="21"/>
      <c r="E48" s="21"/>
      <c r="F48" s="2">
        <f t="shared" si="0"/>
        <v>0</v>
      </c>
      <c r="G48" s="21"/>
      <c r="H48" s="21"/>
      <c r="I48" s="21"/>
    </row>
    <row r="49" spans="2:41">
      <c r="B49" s="1" t="s">
        <v>1122</v>
      </c>
      <c r="C49" s="1" t="s">
        <v>49</v>
      </c>
      <c r="D49" s="1">
        <f>C114</f>
        <v>1.1759999999999999</v>
      </c>
      <c r="E49" s="21">
        <v>1.1679999999999999</v>
      </c>
      <c r="F49" s="2">
        <f t="shared" si="0"/>
        <v>1.1679999999999999</v>
      </c>
      <c r="G49" s="21">
        <v>3.2</v>
      </c>
      <c r="H49" s="21">
        <v>0</v>
      </c>
      <c r="I49" s="21">
        <v>0</v>
      </c>
    </row>
    <row r="50" spans="2:41">
      <c r="B50" s="1"/>
      <c r="C50" s="1" t="s">
        <v>1001</v>
      </c>
      <c r="D50" s="21">
        <v>0.05</v>
      </c>
      <c r="E50" s="21">
        <v>2.0369999999999999E-2</v>
      </c>
      <c r="F50" s="2">
        <f t="shared" si="0"/>
        <v>2.0369999999999999E-2</v>
      </c>
      <c r="G50" s="21">
        <v>3.2</v>
      </c>
      <c r="H50" s="21">
        <v>1.4</v>
      </c>
      <c r="I50" s="21">
        <v>1.27</v>
      </c>
    </row>
    <row r="51" spans="2:41">
      <c r="B51" s="1"/>
      <c r="C51" s="1" t="s">
        <v>1002</v>
      </c>
      <c r="D51" s="21">
        <v>0.05</v>
      </c>
      <c r="E51" s="21">
        <v>2.036E-2</v>
      </c>
      <c r="F51" s="2">
        <f t="shared" si="0"/>
        <v>2.036E-2</v>
      </c>
      <c r="G51" s="21">
        <v>3.2</v>
      </c>
      <c r="H51" s="21">
        <v>-1.4</v>
      </c>
      <c r="I51" s="21">
        <v>1.27</v>
      </c>
    </row>
    <row r="52" spans="2:41">
      <c r="B52" s="1"/>
      <c r="C52" s="1" t="s">
        <v>512</v>
      </c>
      <c r="D52" s="21"/>
      <c r="E52" s="21">
        <v>3.6429999999999997E-2</v>
      </c>
      <c r="F52" s="2">
        <f t="shared" si="0"/>
        <v>3.6429999999999997E-2</v>
      </c>
      <c r="G52" s="21">
        <v>3.2</v>
      </c>
      <c r="H52" s="21">
        <v>0</v>
      </c>
      <c r="I52" s="21">
        <v>1.27</v>
      </c>
    </row>
    <row r="53" spans="2:41">
      <c r="B53" s="1"/>
      <c r="C53" s="1" t="s">
        <v>515</v>
      </c>
      <c r="D53" s="1">
        <f>E114</f>
        <v>0.69700000000000006</v>
      </c>
      <c r="E53" s="21">
        <v>0.69</v>
      </c>
      <c r="F53" s="2">
        <f>IF(E53="",D53,E53)</f>
        <v>0.69</v>
      </c>
      <c r="G53" s="21">
        <v>3.2</v>
      </c>
      <c r="H53" s="21">
        <v>0</v>
      </c>
      <c r="I53" s="21">
        <v>0.77</v>
      </c>
    </row>
    <row r="54" spans="2:41">
      <c r="B54" s="1"/>
      <c r="C54" s="1" t="s">
        <v>1118</v>
      </c>
      <c r="D54" s="21"/>
      <c r="E54" s="21">
        <f>0.0027+0.00151+0.02405</f>
        <v>2.826E-2</v>
      </c>
      <c r="F54" s="2">
        <f>IF(E54="",D54,E54)</f>
        <v>2.826E-2</v>
      </c>
      <c r="G54" s="21">
        <v>3.2</v>
      </c>
      <c r="H54" s="21">
        <v>0</v>
      </c>
      <c r="I54" s="21">
        <v>0.37</v>
      </c>
    </row>
    <row r="55" spans="2:41">
      <c r="B55" s="1"/>
      <c r="C55" s="1" t="s">
        <v>516</v>
      </c>
      <c r="D55" s="1">
        <f>G114</f>
        <v>0.252</v>
      </c>
      <c r="E55" s="21">
        <v>0.39600000000000002</v>
      </c>
      <c r="F55" s="2">
        <f>IF(E55="",D55,E55)</f>
        <v>0.39600000000000002</v>
      </c>
      <c r="G55" s="21">
        <v>3.5</v>
      </c>
      <c r="H55" s="21">
        <v>0</v>
      </c>
      <c r="I55" s="21">
        <v>0.77</v>
      </c>
    </row>
    <row r="56" spans="2:41">
      <c r="B56" s="1"/>
      <c r="C56" s="1" t="s">
        <v>1119</v>
      </c>
      <c r="D56" s="1"/>
      <c r="E56" s="21">
        <v>4.2799999999999998E-2</v>
      </c>
      <c r="F56" s="2">
        <f>IF(E56="",D56,E56)</f>
        <v>4.2799999999999998E-2</v>
      </c>
      <c r="G56" s="21">
        <v>3.5</v>
      </c>
      <c r="H56" s="21">
        <v>0</v>
      </c>
      <c r="I56" s="21">
        <v>0.37</v>
      </c>
    </row>
    <row r="57" spans="2:41">
      <c r="B57" s="1"/>
      <c r="C57" s="1" t="s">
        <v>518</v>
      </c>
      <c r="D57" s="21"/>
      <c r="E57" s="21">
        <v>9.8600000000000007E-3</v>
      </c>
      <c r="F57" s="2">
        <f t="shared" ref="F57:F62" si="1">IF(E57="",D57,E57)</f>
        <v>9.8600000000000007E-3</v>
      </c>
      <c r="G57" s="21">
        <v>3</v>
      </c>
      <c r="H57" s="21">
        <v>0</v>
      </c>
      <c r="I57" s="21">
        <v>0.37</v>
      </c>
    </row>
    <row r="58" spans="2:41">
      <c r="B58" s="1"/>
      <c r="C58" s="1" t="s">
        <v>1127</v>
      </c>
      <c r="D58" s="21"/>
      <c r="E58" s="21">
        <v>2.5309999999999999E-2</v>
      </c>
      <c r="F58" s="2">
        <f t="shared" si="1"/>
        <v>2.5309999999999999E-2</v>
      </c>
      <c r="G58" s="21">
        <v>3.2</v>
      </c>
      <c r="H58" s="21">
        <v>0</v>
      </c>
      <c r="I58" s="21">
        <v>0.37</v>
      </c>
    </row>
    <row r="59" spans="2:41">
      <c r="B59" s="1"/>
      <c r="C59" s="1" t="s">
        <v>1128</v>
      </c>
      <c r="D59" s="21"/>
      <c r="E59" s="21">
        <v>0.03</v>
      </c>
      <c r="F59" s="2">
        <f t="shared" si="1"/>
        <v>0.03</v>
      </c>
      <c r="G59" s="21">
        <v>3.2</v>
      </c>
      <c r="H59" s="21">
        <v>0</v>
      </c>
      <c r="I59" s="21">
        <v>1.27</v>
      </c>
      <c r="AO59" s="68"/>
    </row>
    <row r="60" spans="2:41">
      <c r="B60" s="1"/>
      <c r="C60" s="1" t="s">
        <v>1129</v>
      </c>
      <c r="D60" s="21"/>
      <c r="E60" s="21">
        <v>2.9080000000000002E-2</v>
      </c>
      <c r="F60" s="2">
        <f t="shared" si="1"/>
        <v>2.9080000000000002E-2</v>
      </c>
      <c r="G60" s="21">
        <v>3.2</v>
      </c>
      <c r="H60" s="21">
        <v>0</v>
      </c>
      <c r="I60" s="21">
        <v>0.77</v>
      </c>
      <c r="AO60" s="68"/>
    </row>
    <row r="61" spans="2:41">
      <c r="B61" s="1"/>
      <c r="C61" s="1" t="s">
        <v>1117</v>
      </c>
      <c r="D61" s="21"/>
      <c r="E61" s="21">
        <v>2.07E-2</v>
      </c>
      <c r="F61" s="2">
        <f t="shared" si="1"/>
        <v>2.07E-2</v>
      </c>
      <c r="G61" s="21">
        <v>3</v>
      </c>
      <c r="H61" s="21">
        <v>0</v>
      </c>
      <c r="I61" s="21">
        <v>0.37</v>
      </c>
      <c r="AO61" s="68"/>
    </row>
    <row r="62" spans="2:41">
      <c r="B62" s="1"/>
      <c r="C62" s="1" t="s">
        <v>1004</v>
      </c>
      <c r="D62" s="21"/>
      <c r="E62" s="21">
        <v>1.227E-2</v>
      </c>
      <c r="F62" s="2">
        <f t="shared" si="1"/>
        <v>1.227E-2</v>
      </c>
      <c r="G62" s="21">
        <v>3</v>
      </c>
      <c r="H62" s="21">
        <v>0</v>
      </c>
      <c r="I62" s="21">
        <v>0.37</v>
      </c>
      <c r="AO62" s="68"/>
    </row>
    <row r="63" spans="2:41">
      <c r="B63" s="1"/>
      <c r="C63" s="1" t="s">
        <v>1121</v>
      </c>
      <c r="D63" s="21"/>
      <c r="E63" s="21">
        <v>0.02</v>
      </c>
      <c r="F63" s="2">
        <f>IF(E63="",D63,E63)</f>
        <v>0.02</v>
      </c>
      <c r="G63" s="21">
        <v>3</v>
      </c>
      <c r="H63" s="21">
        <v>0</v>
      </c>
      <c r="I63" s="21">
        <v>0.37</v>
      </c>
      <c r="AO63" s="68"/>
    </row>
    <row r="64" spans="2:41">
      <c r="B64" s="1"/>
      <c r="C64" s="1"/>
      <c r="D64" s="21"/>
      <c r="E64" s="21"/>
      <c r="F64" s="2">
        <f t="shared" ref="F64:F90" si="2">IF(E64="",D64,E64)</f>
        <v>0</v>
      </c>
      <c r="G64" s="21"/>
      <c r="H64" s="21"/>
      <c r="I64" s="21"/>
      <c r="AO64" s="68"/>
    </row>
    <row r="65" spans="2:45">
      <c r="B65" s="1" t="s">
        <v>56</v>
      </c>
      <c r="C65" s="1" t="s">
        <v>524</v>
      </c>
      <c r="D65" s="1">
        <f>C133</f>
        <v>1.385</v>
      </c>
      <c r="E65" s="21">
        <v>2.161</v>
      </c>
      <c r="F65" s="2">
        <f t="shared" si="2"/>
        <v>2.161</v>
      </c>
      <c r="G65" s="21">
        <f>胴接!C8+1.645</f>
        <v>2.0950000000000002</v>
      </c>
      <c r="H65" s="21">
        <v>0</v>
      </c>
      <c r="I65" s="21">
        <v>0.32</v>
      </c>
      <c r="AO65" s="68"/>
    </row>
    <row r="66" spans="2:45">
      <c r="B66" s="1"/>
      <c r="C66" s="1" t="s">
        <v>525</v>
      </c>
      <c r="D66" s="21"/>
      <c r="E66" s="21">
        <v>0.53800000000000003</v>
      </c>
      <c r="F66" s="2">
        <f t="shared" si="2"/>
        <v>0.53800000000000003</v>
      </c>
      <c r="G66" s="21">
        <v>0.76</v>
      </c>
      <c r="H66" s="21">
        <v>0</v>
      </c>
      <c r="I66" s="21">
        <v>0.32</v>
      </c>
      <c r="AO66" s="68"/>
    </row>
    <row r="67" spans="2:45">
      <c r="B67" s="1"/>
      <c r="C67" s="1" t="s">
        <v>1115</v>
      </c>
      <c r="D67" s="21"/>
      <c r="E67" s="21">
        <v>0.01</v>
      </c>
      <c r="F67" s="2">
        <f t="shared" si="2"/>
        <v>0.01</v>
      </c>
      <c r="G67" s="21">
        <v>0.45</v>
      </c>
      <c r="H67" s="21">
        <v>0</v>
      </c>
      <c r="I67" s="21">
        <v>0.32</v>
      </c>
      <c r="AO67" s="68"/>
    </row>
    <row r="68" spans="2:45">
      <c r="B68" s="1"/>
      <c r="C68" s="1"/>
      <c r="D68" s="21"/>
      <c r="E68" s="21"/>
      <c r="F68" s="2">
        <f t="shared" si="2"/>
        <v>0</v>
      </c>
      <c r="G68" s="21"/>
      <c r="H68" s="21"/>
      <c r="I68" s="21"/>
      <c r="AO68" s="68"/>
    </row>
    <row r="69" spans="2:45">
      <c r="B69" s="1" t="s">
        <v>41</v>
      </c>
      <c r="C69" s="1" t="s">
        <v>1008</v>
      </c>
      <c r="D69" s="21">
        <v>1</v>
      </c>
      <c r="E69" s="21">
        <v>1.1659999999999999</v>
      </c>
      <c r="F69" s="2">
        <f t="shared" si="2"/>
        <v>1.1659999999999999</v>
      </c>
      <c r="G69" s="21">
        <v>-1.33</v>
      </c>
      <c r="H69" s="21">
        <v>0</v>
      </c>
      <c r="I69" s="21">
        <v>0.3</v>
      </c>
      <c r="AM69" s="68"/>
      <c r="AN69" s="68"/>
      <c r="AO69" s="68"/>
      <c r="AP69" s="68"/>
      <c r="AQ69" s="68"/>
      <c r="AR69" s="68"/>
      <c r="AS69" s="68"/>
    </row>
    <row r="70" spans="2:45">
      <c r="B70" s="1"/>
      <c r="C70" s="1" t="s">
        <v>1006</v>
      </c>
      <c r="D70" s="21"/>
      <c r="E70" s="21">
        <v>0.77400000000000002</v>
      </c>
      <c r="F70" s="2">
        <f t="shared" si="2"/>
        <v>0.77400000000000002</v>
      </c>
      <c r="G70" s="21">
        <v>-0.6</v>
      </c>
      <c r="H70" s="21">
        <v>0</v>
      </c>
      <c r="I70" s="21">
        <v>0.3</v>
      </c>
      <c r="AM70" s="68"/>
      <c r="AN70" s="68"/>
      <c r="AO70" s="68"/>
      <c r="AP70" s="68"/>
      <c r="AQ70" s="68"/>
      <c r="AR70" s="68"/>
      <c r="AS70" s="68"/>
    </row>
    <row r="71" spans="2:45">
      <c r="B71" s="1"/>
      <c r="C71" s="1" t="s">
        <v>1109</v>
      </c>
      <c r="D71" s="21">
        <v>1.5</v>
      </c>
      <c r="E71" s="21">
        <v>1.706</v>
      </c>
      <c r="F71" s="2">
        <f t="shared" si="2"/>
        <v>1.706</v>
      </c>
      <c r="G71" s="21">
        <v>0.3</v>
      </c>
      <c r="H71" s="21">
        <v>0</v>
      </c>
      <c r="I71" s="21">
        <v>0.3</v>
      </c>
      <c r="AM71" s="68"/>
      <c r="AN71" s="68"/>
      <c r="AO71" s="68"/>
      <c r="AP71" s="68"/>
      <c r="AQ71" s="68"/>
      <c r="AR71" s="68"/>
      <c r="AS71" s="68"/>
    </row>
    <row r="72" spans="2:45">
      <c r="B72" s="1"/>
      <c r="C72" s="1" t="s">
        <v>1007</v>
      </c>
      <c r="D72" s="21"/>
      <c r="E72" s="21">
        <v>0.76600000000000001</v>
      </c>
      <c r="F72" s="2">
        <f t="shared" si="2"/>
        <v>0.76600000000000001</v>
      </c>
      <c r="G72" s="21">
        <v>1</v>
      </c>
      <c r="H72" s="21">
        <v>0</v>
      </c>
      <c r="I72" s="21">
        <v>0.3</v>
      </c>
      <c r="AM72" s="68"/>
      <c r="AN72" s="68"/>
      <c r="AO72" s="68"/>
      <c r="AP72" s="68"/>
      <c r="AQ72" s="68"/>
      <c r="AR72" s="68"/>
      <c r="AS72" s="68"/>
    </row>
    <row r="73" spans="2:45">
      <c r="B73" s="1"/>
      <c r="C73" s="1" t="s">
        <v>1005</v>
      </c>
      <c r="D73" s="21">
        <v>1</v>
      </c>
      <c r="E73" s="21">
        <v>1.1200000000000001</v>
      </c>
      <c r="F73" s="2">
        <f t="shared" si="2"/>
        <v>1.1200000000000001</v>
      </c>
      <c r="G73" s="21">
        <v>-0.4</v>
      </c>
      <c r="H73" s="21">
        <v>0</v>
      </c>
      <c r="I73" s="21">
        <v>-0.06</v>
      </c>
      <c r="AM73" s="68"/>
      <c r="AN73" s="68"/>
      <c r="AO73" s="68"/>
      <c r="AP73" s="68"/>
      <c r="AQ73" s="68"/>
      <c r="AR73" s="68"/>
      <c r="AS73" s="68"/>
    </row>
    <row r="74" spans="2:45">
      <c r="B74" s="1"/>
      <c r="C74" s="1" t="s">
        <v>526</v>
      </c>
      <c r="D74" s="21">
        <v>1</v>
      </c>
      <c r="E74" s="21">
        <v>1.573</v>
      </c>
      <c r="F74" s="2">
        <f t="shared" si="2"/>
        <v>1.573</v>
      </c>
      <c r="G74" s="21">
        <v>-0.3</v>
      </c>
      <c r="H74" s="21">
        <v>0</v>
      </c>
      <c r="I74" s="21">
        <v>0</v>
      </c>
      <c r="AM74" s="68"/>
      <c r="AN74" s="68"/>
      <c r="AO74" s="68"/>
      <c r="AP74" s="68"/>
      <c r="AQ74" s="68"/>
      <c r="AR74" s="68"/>
      <c r="AS74" s="68"/>
    </row>
    <row r="75" spans="2:45">
      <c r="B75" s="1"/>
      <c r="C75" s="1" t="s">
        <v>1113</v>
      </c>
      <c r="D75" s="21"/>
      <c r="E75" s="21">
        <v>0.14000000000000001</v>
      </c>
      <c r="F75" s="2">
        <f t="shared" si="2"/>
        <v>0.14000000000000001</v>
      </c>
      <c r="G75" s="21">
        <v>0</v>
      </c>
      <c r="H75" s="21">
        <v>0</v>
      </c>
      <c r="I75" s="21">
        <v>0</v>
      </c>
      <c r="AM75" s="68"/>
      <c r="AN75" s="68"/>
      <c r="AO75" s="68"/>
      <c r="AP75" s="68"/>
      <c r="AQ75" s="68"/>
      <c r="AR75" s="68"/>
      <c r="AS75" s="68"/>
    </row>
    <row r="76" spans="2:45">
      <c r="B76" s="1"/>
      <c r="C76" s="1"/>
      <c r="D76" s="21"/>
      <c r="E76" s="21"/>
      <c r="F76" s="2">
        <f t="shared" si="2"/>
        <v>0</v>
      </c>
      <c r="G76" s="21"/>
      <c r="H76" s="21"/>
      <c r="I76" s="21"/>
      <c r="AM76" s="68"/>
      <c r="AN76" s="68"/>
      <c r="AO76" s="68"/>
      <c r="AP76" s="68"/>
      <c r="AQ76" s="68"/>
      <c r="AR76" s="68"/>
      <c r="AS76" s="68"/>
    </row>
    <row r="77" spans="2:45">
      <c r="B77" s="1" t="s">
        <v>42</v>
      </c>
      <c r="C77" s="1" t="s">
        <v>527</v>
      </c>
      <c r="D77" s="1">
        <f>E133</f>
        <v>0.75</v>
      </c>
      <c r="E77" s="21">
        <v>0.73199999999999998</v>
      </c>
      <c r="F77" s="2">
        <f t="shared" si="2"/>
        <v>0.73199999999999998</v>
      </c>
      <c r="G77" s="21">
        <v>0</v>
      </c>
      <c r="H77" s="21">
        <v>-0.5</v>
      </c>
      <c r="I77" s="21">
        <v>0</v>
      </c>
      <c r="J77" t="s">
        <v>1110</v>
      </c>
      <c r="K77"/>
      <c r="L77">
        <v>730</v>
      </c>
      <c r="AM77" s="68"/>
      <c r="AN77" s="68"/>
      <c r="AO77" s="68"/>
      <c r="AP77" s="68"/>
      <c r="AQ77" s="68"/>
      <c r="AR77" s="68"/>
      <c r="AS77" s="68"/>
    </row>
    <row r="78" spans="2:45">
      <c r="B78" s="1"/>
      <c r="C78" s="1" t="s">
        <v>528</v>
      </c>
      <c r="D78" s="1">
        <f>E133</f>
        <v>0.75</v>
      </c>
      <c r="E78" s="21">
        <v>0.73199999999999998</v>
      </c>
      <c r="F78" s="2">
        <f t="shared" si="2"/>
        <v>0.73199999999999998</v>
      </c>
      <c r="G78" s="21">
        <v>0</v>
      </c>
      <c r="H78" s="21">
        <v>0.5</v>
      </c>
      <c r="I78" s="21">
        <v>0</v>
      </c>
      <c r="J78" t="s">
        <v>1111</v>
      </c>
      <c r="K78"/>
      <c r="L78">
        <v>730</v>
      </c>
      <c r="AM78" s="68"/>
      <c r="AN78" s="68"/>
      <c r="AO78" s="68"/>
      <c r="AP78" s="68"/>
      <c r="AQ78" s="68"/>
      <c r="AR78" s="68"/>
      <c r="AS78" s="68"/>
    </row>
    <row r="79" spans="2:45">
      <c r="B79" s="1"/>
      <c r="C79" s="1"/>
      <c r="D79" s="21"/>
      <c r="E79" s="21"/>
      <c r="F79" s="2">
        <f t="shared" si="2"/>
        <v>0</v>
      </c>
      <c r="G79" s="21"/>
      <c r="H79" s="21"/>
      <c r="I79" s="21"/>
      <c r="AM79" s="68"/>
      <c r="AN79" s="68"/>
      <c r="AO79" s="68"/>
      <c r="AP79" s="68"/>
      <c r="AQ79" s="68"/>
      <c r="AR79" s="68"/>
      <c r="AS79" s="68"/>
    </row>
    <row r="80" spans="2:45">
      <c r="B80" s="1" t="s">
        <v>529</v>
      </c>
      <c r="C80" s="1" t="s">
        <v>530</v>
      </c>
      <c r="D80" s="21">
        <v>0.2</v>
      </c>
      <c r="E80" s="21">
        <f>0.09825+0.12141</f>
        <v>0.21966000000000002</v>
      </c>
      <c r="F80" s="2">
        <f t="shared" si="2"/>
        <v>0.21966000000000002</v>
      </c>
      <c r="G80" s="21">
        <v>0.25</v>
      </c>
      <c r="H80" s="21">
        <v>0</v>
      </c>
      <c r="I80" s="21">
        <v>0.32</v>
      </c>
      <c r="J80" s="3" t="s">
        <v>1125</v>
      </c>
      <c r="AM80" s="68"/>
      <c r="AN80" s="68"/>
      <c r="AO80" s="68"/>
      <c r="AP80" s="68"/>
      <c r="AQ80" s="68"/>
      <c r="AR80" s="68"/>
      <c r="AS80" s="68"/>
    </row>
    <row r="81" spans="1:45">
      <c r="B81" s="1"/>
      <c r="C81" s="1" t="s">
        <v>531</v>
      </c>
      <c r="D81" s="21">
        <v>0.5</v>
      </c>
      <c r="E81" s="21">
        <f>0.03075+0.21551</f>
        <v>0.24626000000000001</v>
      </c>
      <c r="F81" s="2">
        <f t="shared" si="2"/>
        <v>0.24626000000000001</v>
      </c>
      <c r="G81" s="21">
        <v>0.25</v>
      </c>
      <c r="H81" s="21">
        <v>0</v>
      </c>
      <c r="I81" s="21">
        <v>0.32</v>
      </c>
      <c r="J81" s="3" t="s">
        <v>1125</v>
      </c>
      <c r="AM81" s="68"/>
      <c r="AN81" s="68"/>
      <c r="AO81" s="68"/>
      <c r="AP81" s="68"/>
      <c r="AQ81" s="68"/>
      <c r="AR81" s="68"/>
      <c r="AS81" s="68"/>
    </row>
    <row r="82" spans="1:45">
      <c r="B82" s="1"/>
      <c r="C82" s="1" t="s">
        <v>1009</v>
      </c>
      <c r="D82" s="21">
        <v>0.2</v>
      </c>
      <c r="E82" s="21">
        <f>0.00929+0.02011+0.08804</f>
        <v>0.11743999999999999</v>
      </c>
      <c r="F82" s="2">
        <f t="shared" si="2"/>
        <v>0.11743999999999999</v>
      </c>
      <c r="G82" s="21">
        <v>1</v>
      </c>
      <c r="H82" s="21">
        <v>0</v>
      </c>
      <c r="I82" s="21">
        <v>0.32</v>
      </c>
      <c r="J82" s="3" t="s">
        <v>1126</v>
      </c>
      <c r="AM82" s="68"/>
      <c r="AN82" s="68"/>
      <c r="AO82" s="68"/>
      <c r="AP82" s="68"/>
      <c r="AQ82" s="68"/>
      <c r="AR82" s="68"/>
      <c r="AS82" s="68"/>
    </row>
    <row r="83" spans="1:45">
      <c r="B83" s="1"/>
      <c r="C83" s="1" t="s">
        <v>1003</v>
      </c>
      <c r="D83" s="21">
        <v>0.2</v>
      </c>
      <c r="E83" s="21">
        <v>0.155</v>
      </c>
      <c r="F83" s="2">
        <f t="shared" si="2"/>
        <v>0.155</v>
      </c>
      <c r="G83" s="21">
        <v>3</v>
      </c>
      <c r="H83" s="21">
        <v>0</v>
      </c>
      <c r="I83" s="21">
        <v>1.25</v>
      </c>
      <c r="AM83" s="68"/>
      <c r="AN83" s="68"/>
      <c r="AO83" s="68"/>
      <c r="AP83" s="68"/>
      <c r="AQ83" s="68"/>
      <c r="AR83" s="68"/>
      <c r="AS83" s="68"/>
    </row>
    <row r="84" spans="1:45">
      <c r="B84" s="1"/>
      <c r="C84" s="1" t="s">
        <v>1123</v>
      </c>
      <c r="D84" s="21"/>
      <c r="E84" s="21">
        <f>0.01887+0.06336</f>
        <v>8.2229999999999998E-2</v>
      </c>
      <c r="F84" s="2">
        <f t="shared" si="2"/>
        <v>8.2229999999999998E-2</v>
      </c>
      <c r="G84" s="21">
        <v>0.7</v>
      </c>
      <c r="H84" s="21">
        <v>0</v>
      </c>
      <c r="I84" s="21">
        <v>0.32</v>
      </c>
      <c r="AM84" s="68"/>
      <c r="AN84" s="68"/>
      <c r="AO84" s="68"/>
      <c r="AP84" s="68"/>
      <c r="AQ84" s="68"/>
      <c r="AR84" s="68"/>
      <c r="AS84" s="68"/>
    </row>
    <row r="85" spans="1:45">
      <c r="B85" s="1"/>
      <c r="C85" s="1"/>
      <c r="D85" s="21"/>
      <c r="E85" s="21"/>
      <c r="F85" s="2">
        <f t="shared" si="2"/>
        <v>0</v>
      </c>
      <c r="G85" s="21"/>
      <c r="H85" s="21"/>
      <c r="I85" s="21"/>
      <c r="AM85" s="68"/>
      <c r="AN85" s="68"/>
      <c r="AO85" s="68"/>
      <c r="AP85" s="68"/>
      <c r="AQ85" s="68"/>
      <c r="AR85" s="68"/>
      <c r="AS85" s="68"/>
    </row>
    <row r="86" spans="1:45">
      <c r="B86" s="1" t="s">
        <v>1011</v>
      </c>
      <c r="C86" s="1" t="s">
        <v>1112</v>
      </c>
      <c r="D86" s="21">
        <v>1.5</v>
      </c>
      <c r="E86" s="21">
        <v>1.27</v>
      </c>
      <c r="F86" s="2">
        <f t="shared" si="2"/>
        <v>1.27</v>
      </c>
      <c r="G86" s="21">
        <v>-0.5</v>
      </c>
      <c r="H86" s="21">
        <v>0</v>
      </c>
      <c r="I86" s="21">
        <v>0</v>
      </c>
      <c r="AM86" s="68"/>
      <c r="AN86" s="68"/>
      <c r="AO86" s="68"/>
      <c r="AP86" s="68"/>
      <c r="AQ86" s="68"/>
      <c r="AR86" s="68"/>
      <c r="AS86" s="68"/>
    </row>
    <row r="87" spans="1:45">
      <c r="B87" s="1"/>
      <c r="C87" s="1" t="s">
        <v>532</v>
      </c>
      <c r="D87" s="21">
        <v>0.5</v>
      </c>
      <c r="E87" s="21">
        <v>0.23</v>
      </c>
      <c r="F87" s="2">
        <f t="shared" si="2"/>
        <v>0.23</v>
      </c>
      <c r="G87" s="21">
        <v>-1.5</v>
      </c>
      <c r="H87" s="21">
        <v>0</v>
      </c>
      <c r="I87" s="21">
        <v>0</v>
      </c>
      <c r="AM87" s="68"/>
      <c r="AN87" s="68"/>
      <c r="AO87" s="68"/>
      <c r="AP87" s="68"/>
      <c r="AQ87" s="68"/>
      <c r="AR87" s="68"/>
      <c r="AS87" s="68"/>
    </row>
    <row r="88" spans="1:45">
      <c r="B88" s="1"/>
      <c r="C88" s="1" t="s">
        <v>1114</v>
      </c>
      <c r="D88" s="21"/>
      <c r="E88" s="21">
        <v>2.1000000000000001E-2</v>
      </c>
      <c r="F88" s="2">
        <f t="shared" si="2"/>
        <v>2.1000000000000001E-2</v>
      </c>
      <c r="G88" s="21">
        <v>-1.5</v>
      </c>
      <c r="H88" s="21">
        <v>0</v>
      </c>
      <c r="I88" s="21">
        <v>0</v>
      </c>
      <c r="AM88" s="68"/>
      <c r="AN88" s="68"/>
      <c r="AO88" s="68"/>
      <c r="AP88" s="68"/>
      <c r="AQ88" s="68"/>
      <c r="AR88" s="68"/>
      <c r="AS88" s="68"/>
    </row>
    <row r="89" spans="1:45">
      <c r="B89" s="1"/>
      <c r="C89" s="1" t="s">
        <v>1124</v>
      </c>
      <c r="D89" s="21"/>
      <c r="E89" s="21">
        <f>0.17+0.05</f>
        <v>0.22000000000000003</v>
      </c>
      <c r="F89" s="2">
        <f t="shared" si="2"/>
        <v>0.22000000000000003</v>
      </c>
      <c r="G89" s="21">
        <v>-0.2</v>
      </c>
      <c r="H89" s="21">
        <v>0</v>
      </c>
      <c r="I89" s="21">
        <v>0</v>
      </c>
      <c r="AM89" s="68"/>
      <c r="AN89" s="68"/>
      <c r="AO89" s="68"/>
      <c r="AP89" s="68"/>
      <c r="AQ89" s="68"/>
      <c r="AR89" s="68"/>
      <c r="AS89" s="68"/>
    </row>
    <row r="90" spans="1:45">
      <c r="B90" s="1"/>
      <c r="C90" s="1"/>
      <c r="D90" s="21"/>
      <c r="E90" s="21"/>
      <c r="F90" s="2">
        <f t="shared" si="2"/>
        <v>0</v>
      </c>
      <c r="G90" s="21"/>
      <c r="H90" s="21"/>
      <c r="I90" s="21"/>
    </row>
    <row r="91" spans="1:45">
      <c r="A91" s="240"/>
      <c r="B91" s="285"/>
      <c r="C91" s="240"/>
      <c r="D91" s="240"/>
      <c r="E91" s="240"/>
      <c r="F91" s="285"/>
      <c r="G91" s="285"/>
      <c r="H91" s="240"/>
      <c r="I91" s="240"/>
      <c r="J91" s="240"/>
      <c r="K91" s="240"/>
      <c r="L91" s="240"/>
      <c r="M91" s="240"/>
      <c r="N91" s="240"/>
      <c r="O91" s="240"/>
      <c r="P91" s="240"/>
      <c r="Q91" s="240"/>
      <c r="R91" s="240"/>
      <c r="S91" s="240"/>
      <c r="T91" s="240"/>
      <c r="U91" s="240"/>
      <c r="V91" s="240"/>
      <c r="W91" s="240"/>
      <c r="X91" s="240"/>
      <c r="Y91" s="240"/>
    </row>
    <row r="93" spans="1:45">
      <c r="B93" s="236" t="s">
        <v>1425</v>
      </c>
    </row>
    <row r="94" spans="1:45">
      <c r="B94" s="3" t="s">
        <v>1014</v>
      </c>
    </row>
    <row r="95" spans="1:45">
      <c r="B95" s="1" t="s">
        <v>494</v>
      </c>
      <c r="C95" s="1"/>
      <c r="D95" s="62">
        <f>SUM(D97:D111)</f>
        <v>7.7866057566291387</v>
      </c>
      <c r="E95" s="63" t="s">
        <v>495</v>
      </c>
      <c r="F95" s="62">
        <f>SUM(F97:F111)</f>
        <v>5.117</v>
      </c>
      <c r="G95" s="63" t="s">
        <v>496</v>
      </c>
      <c r="H95" s="62">
        <f>SUM(H97:H111)</f>
        <v>3.9830000000000001</v>
      </c>
      <c r="I95" s="63" t="s">
        <v>497</v>
      </c>
      <c r="J95" s="62">
        <f>SUM(J97:J111)</f>
        <v>2.7690000000000001</v>
      </c>
    </row>
    <row r="96" spans="1:45" ht="21" thickBot="1">
      <c r="B96" s="10" t="s">
        <v>44</v>
      </c>
      <c r="C96" s="10" t="s">
        <v>1401</v>
      </c>
      <c r="D96" s="37" t="s">
        <v>1402</v>
      </c>
      <c r="E96" s="13" t="s">
        <v>44</v>
      </c>
      <c r="F96" s="37" t="s">
        <v>19</v>
      </c>
      <c r="G96" s="13" t="s">
        <v>44</v>
      </c>
      <c r="H96" s="37" t="s">
        <v>19</v>
      </c>
      <c r="I96" s="13" t="s">
        <v>44</v>
      </c>
      <c r="J96" s="37" t="s">
        <v>19</v>
      </c>
    </row>
    <row r="97" spans="2:21" ht="21" thickTop="1">
      <c r="B97" s="23" t="s">
        <v>11</v>
      </c>
      <c r="C97" s="23"/>
      <c r="D97" s="64">
        <v>3.2229999999999999</v>
      </c>
      <c r="E97" s="65" t="s">
        <v>11</v>
      </c>
      <c r="F97" s="64">
        <v>3.2959999999999998</v>
      </c>
      <c r="G97" s="65" t="s">
        <v>11</v>
      </c>
      <c r="H97" s="64">
        <v>2.4809999999999999</v>
      </c>
      <c r="I97" s="65" t="s">
        <v>11</v>
      </c>
      <c r="J97" s="64">
        <v>1.526</v>
      </c>
    </row>
    <row r="98" spans="2:21">
      <c r="B98" s="1" t="s">
        <v>10</v>
      </c>
      <c r="C98" s="1"/>
      <c r="D98" s="66">
        <v>1.7</v>
      </c>
      <c r="E98" s="6" t="s">
        <v>12</v>
      </c>
      <c r="F98" s="67">
        <v>0.25800000000000001</v>
      </c>
      <c r="G98" s="6" t="s">
        <v>12</v>
      </c>
      <c r="H98" s="67">
        <v>0.16400000000000001</v>
      </c>
      <c r="I98" s="6" t="s">
        <v>12</v>
      </c>
      <c r="J98" s="67">
        <v>0.106</v>
      </c>
    </row>
    <row r="99" spans="2:21">
      <c r="B99" s="1" t="s">
        <v>8</v>
      </c>
      <c r="C99" s="1"/>
      <c r="D99" s="66">
        <v>0.3</v>
      </c>
      <c r="E99" s="63" t="s">
        <v>13</v>
      </c>
      <c r="F99" s="66">
        <v>0.47499999999999998</v>
      </c>
      <c r="G99" s="63" t="s">
        <v>13</v>
      </c>
      <c r="H99" s="66">
        <v>0.36699999999999999</v>
      </c>
      <c r="I99" s="63" t="s">
        <v>13</v>
      </c>
      <c r="J99" s="66">
        <v>0.32</v>
      </c>
    </row>
    <row r="100" spans="2:21">
      <c r="B100" s="1" t="s">
        <v>1136</v>
      </c>
      <c r="C100" s="1"/>
      <c r="D100" s="66">
        <v>1</v>
      </c>
      <c r="E100" s="63" t="s">
        <v>14</v>
      </c>
      <c r="F100" s="66">
        <v>0.123</v>
      </c>
      <c r="G100" s="63" t="s">
        <v>14</v>
      </c>
      <c r="H100" s="66">
        <v>9.5000000000000001E-2</v>
      </c>
      <c r="I100" s="63" t="s">
        <v>14</v>
      </c>
      <c r="J100" s="66">
        <v>8.5999999999999993E-2</v>
      </c>
    </row>
    <row r="101" spans="2:21">
      <c r="B101" s="1" t="s">
        <v>9</v>
      </c>
      <c r="C101" s="1"/>
      <c r="D101" s="66"/>
      <c r="E101" s="63" t="s">
        <v>15</v>
      </c>
      <c r="F101" s="66">
        <v>0.108</v>
      </c>
      <c r="G101" s="63" t="s">
        <v>15</v>
      </c>
      <c r="H101" s="66">
        <v>0.10199999999999999</v>
      </c>
      <c r="I101" s="63" t="s">
        <v>15</v>
      </c>
      <c r="J101" s="66">
        <v>0.125</v>
      </c>
      <c r="U101" s="68"/>
    </row>
    <row r="102" spans="2:21">
      <c r="B102" s="1" t="s">
        <v>508</v>
      </c>
      <c r="C102" s="1"/>
      <c r="D102" s="66"/>
      <c r="E102" s="63" t="s">
        <v>16</v>
      </c>
      <c r="F102" s="66">
        <v>0.23</v>
      </c>
      <c r="G102" s="63" t="s">
        <v>16</v>
      </c>
      <c r="H102" s="66">
        <v>0.217</v>
      </c>
      <c r="I102" s="63" t="s">
        <v>16</v>
      </c>
      <c r="J102" s="66">
        <v>0.255</v>
      </c>
      <c r="U102" s="68"/>
    </row>
    <row r="103" spans="2:21">
      <c r="B103" s="2" t="s">
        <v>12</v>
      </c>
      <c r="C103" s="2"/>
      <c r="D103" s="67">
        <v>0.23</v>
      </c>
      <c r="E103" s="63" t="s">
        <v>17</v>
      </c>
      <c r="F103" s="66">
        <v>0.32700000000000001</v>
      </c>
      <c r="G103" s="63" t="s">
        <v>17</v>
      </c>
      <c r="H103" s="66">
        <v>0.25700000000000001</v>
      </c>
      <c r="I103" s="63" t="s">
        <v>17</v>
      </c>
      <c r="J103" s="66">
        <v>0.251</v>
      </c>
    </row>
    <row r="104" spans="2:21">
      <c r="B104" s="1" t="s">
        <v>13</v>
      </c>
      <c r="C104" s="1"/>
      <c r="D104" s="66">
        <v>0.39606880111426901</v>
      </c>
      <c r="E104" s="63" t="s">
        <v>18</v>
      </c>
      <c r="F104" s="66">
        <v>0.3</v>
      </c>
      <c r="G104" s="63" t="s">
        <v>18</v>
      </c>
      <c r="H104" s="66">
        <v>0.3</v>
      </c>
      <c r="I104" s="63" t="s">
        <v>18</v>
      </c>
      <c r="J104" s="66">
        <v>0.1</v>
      </c>
    </row>
    <row r="105" spans="2:21">
      <c r="B105" s="1" t="s">
        <v>14</v>
      </c>
      <c r="C105" s="1"/>
      <c r="D105" s="66">
        <v>0.10257245551487038</v>
      </c>
      <c r="E105" s="1"/>
      <c r="F105" s="66"/>
      <c r="G105" s="1"/>
      <c r="H105" s="66"/>
      <c r="I105" s="1"/>
      <c r="J105" s="66"/>
    </row>
    <row r="106" spans="2:21">
      <c r="B106" s="1" t="s">
        <v>15</v>
      </c>
      <c r="C106" s="1"/>
      <c r="D106" s="66">
        <v>8.3999999999999991E-2</v>
      </c>
      <c r="E106" s="1"/>
      <c r="F106" s="66"/>
      <c r="G106" s="1"/>
      <c r="H106" s="66"/>
      <c r="I106" s="1"/>
      <c r="J106" s="66"/>
    </row>
    <row r="107" spans="2:21">
      <c r="B107" s="1" t="s">
        <v>16</v>
      </c>
      <c r="C107" s="1"/>
      <c r="D107" s="66">
        <v>0.17850000000000002</v>
      </c>
      <c r="E107" s="1"/>
      <c r="F107" s="66"/>
      <c r="G107" s="1"/>
      <c r="H107" s="66"/>
      <c r="I107" s="1"/>
      <c r="J107" s="66"/>
    </row>
    <row r="108" spans="2:21">
      <c r="B108" s="1" t="s">
        <v>17</v>
      </c>
      <c r="C108" s="1"/>
      <c r="D108" s="66">
        <v>0.2724645</v>
      </c>
      <c r="E108" s="1"/>
      <c r="F108" s="66"/>
      <c r="G108" s="1"/>
      <c r="H108" s="66"/>
      <c r="I108" s="1"/>
      <c r="J108" s="66"/>
    </row>
    <row r="109" spans="2:21">
      <c r="B109" s="1" t="s">
        <v>18</v>
      </c>
      <c r="C109" s="1"/>
      <c r="D109" s="66">
        <v>0.3</v>
      </c>
      <c r="E109" s="1"/>
      <c r="F109" s="66"/>
      <c r="G109" s="1"/>
      <c r="H109" s="66"/>
      <c r="I109" s="1"/>
      <c r="J109" s="66"/>
    </row>
    <row r="110" spans="2:21">
      <c r="B110" s="1" t="s">
        <v>1013</v>
      </c>
      <c r="C110" s="1"/>
      <c r="D110" s="66"/>
      <c r="E110" s="1"/>
      <c r="F110" s="66"/>
      <c r="G110" s="1"/>
      <c r="H110" s="66"/>
      <c r="I110" s="1"/>
      <c r="J110" s="66"/>
    </row>
    <row r="111" spans="2:21">
      <c r="B111" s="1" t="s">
        <v>1012</v>
      </c>
      <c r="C111" s="1"/>
      <c r="D111" s="66"/>
      <c r="E111" s="1"/>
      <c r="F111" s="66"/>
      <c r="G111" s="1"/>
      <c r="H111" s="66"/>
      <c r="I111" s="1"/>
      <c r="J111" s="66"/>
    </row>
    <row r="113" spans="2:7">
      <c r="B113" s="3" t="s">
        <v>1015</v>
      </c>
    </row>
    <row r="114" spans="2:7">
      <c r="B114" s="1" t="s">
        <v>50</v>
      </c>
      <c r="C114" s="62">
        <f>SUM(C116:C130)</f>
        <v>1.1759999999999999</v>
      </c>
      <c r="D114" s="63" t="s">
        <v>498</v>
      </c>
      <c r="E114" s="62">
        <f>SUM(E116:E130)</f>
        <v>0.69700000000000006</v>
      </c>
      <c r="F114" s="63" t="s">
        <v>55</v>
      </c>
      <c r="G114" s="62">
        <f>SUM(G116:G130)</f>
        <v>0.252</v>
      </c>
    </row>
    <row r="115" spans="2:7" ht="21" thickBot="1">
      <c r="B115" s="10" t="s">
        <v>44</v>
      </c>
      <c r="C115" s="37" t="s">
        <v>19</v>
      </c>
      <c r="D115" s="13" t="s">
        <v>44</v>
      </c>
      <c r="E115" s="37" t="s">
        <v>19</v>
      </c>
      <c r="F115" s="13" t="s">
        <v>44</v>
      </c>
      <c r="G115" s="37" t="s">
        <v>19</v>
      </c>
    </row>
    <row r="116" spans="2:7" ht="21" thickTop="1">
      <c r="B116" s="23" t="s">
        <v>11</v>
      </c>
      <c r="C116" s="64">
        <v>0.41099999999999998</v>
      </c>
      <c r="D116" s="65" t="s">
        <v>54</v>
      </c>
      <c r="E116" s="64">
        <v>0.51700000000000002</v>
      </c>
      <c r="F116" s="65" t="s">
        <v>499</v>
      </c>
      <c r="G116" s="64">
        <v>9.0999999999999998E-2</v>
      </c>
    </row>
    <row r="117" spans="2:7">
      <c r="B117" s="2" t="s">
        <v>12</v>
      </c>
      <c r="C117" s="67">
        <v>6.5000000000000002E-2</v>
      </c>
      <c r="D117" s="63" t="s">
        <v>500</v>
      </c>
      <c r="E117" s="67">
        <v>0.18</v>
      </c>
      <c r="F117" s="6" t="s">
        <v>15</v>
      </c>
      <c r="G117" s="67"/>
    </row>
    <row r="118" spans="2:7">
      <c r="B118" s="1" t="s">
        <v>13</v>
      </c>
      <c r="C118" s="66">
        <v>0.112</v>
      </c>
      <c r="D118" s="3" t="s">
        <v>502</v>
      </c>
      <c r="E118" s="66"/>
      <c r="F118" s="63" t="s">
        <v>13</v>
      </c>
      <c r="G118" s="66"/>
    </row>
    <row r="119" spans="2:7">
      <c r="B119" s="1" t="s">
        <v>14</v>
      </c>
      <c r="C119" s="66">
        <v>4.0000000000000001E-3</v>
      </c>
      <c r="D119" s="63"/>
      <c r="E119" s="66"/>
      <c r="F119" s="63" t="s">
        <v>504</v>
      </c>
      <c r="G119" s="66">
        <v>0.161</v>
      </c>
    </row>
    <row r="120" spans="2:7">
      <c r="B120" s="1" t="s">
        <v>15</v>
      </c>
      <c r="C120" s="66">
        <v>0.126</v>
      </c>
      <c r="D120" s="63"/>
      <c r="E120" s="66"/>
      <c r="F120" s="63"/>
      <c r="G120" s="66"/>
    </row>
    <row r="121" spans="2:7">
      <c r="B121" s="1" t="s">
        <v>16</v>
      </c>
      <c r="C121" s="66">
        <v>7.0999999999999994E-2</v>
      </c>
      <c r="D121" s="63"/>
      <c r="E121" s="66"/>
      <c r="F121" s="63"/>
      <c r="G121" s="66"/>
    </row>
    <row r="122" spans="2:7">
      <c r="B122" s="1" t="s">
        <v>17</v>
      </c>
      <c r="C122" s="66">
        <v>0.187</v>
      </c>
      <c r="D122" s="63"/>
      <c r="E122" s="66"/>
      <c r="F122" s="63"/>
      <c r="G122" s="66"/>
    </row>
    <row r="123" spans="2:7">
      <c r="B123" s="1" t="s">
        <v>52</v>
      </c>
      <c r="C123" s="66"/>
      <c r="D123" s="63"/>
      <c r="E123" s="66"/>
      <c r="F123" s="63"/>
      <c r="G123" s="66"/>
    </row>
    <row r="124" spans="2:7">
      <c r="B124" s="1" t="s">
        <v>53</v>
      </c>
      <c r="C124" s="66"/>
      <c r="D124" s="63"/>
      <c r="E124" s="66"/>
      <c r="F124" s="63"/>
      <c r="G124" s="66"/>
    </row>
    <row r="125" spans="2:7">
      <c r="B125" s="1" t="s">
        <v>506</v>
      </c>
      <c r="C125" s="66"/>
      <c r="D125" s="1"/>
      <c r="E125" s="66"/>
      <c r="F125" s="1"/>
      <c r="G125" s="66"/>
    </row>
    <row r="126" spans="2:7">
      <c r="B126" s="1" t="s">
        <v>512</v>
      </c>
      <c r="C126" s="66"/>
      <c r="D126" s="1"/>
      <c r="E126" s="66"/>
      <c r="F126" s="1"/>
      <c r="G126" s="66"/>
    </row>
    <row r="127" spans="2:7">
      <c r="B127" s="1"/>
      <c r="C127" s="66">
        <v>0.2</v>
      </c>
      <c r="D127" s="1"/>
      <c r="E127" s="66"/>
      <c r="F127" s="1"/>
      <c r="G127" s="66"/>
    </row>
    <row r="128" spans="2:7">
      <c r="B128" s="1"/>
      <c r="C128" s="66"/>
      <c r="D128" s="1"/>
      <c r="E128" s="66"/>
      <c r="F128" s="1"/>
      <c r="G128" s="66"/>
    </row>
    <row r="129" spans="2:9">
      <c r="B129" s="1"/>
      <c r="C129" s="66"/>
      <c r="D129" s="1"/>
      <c r="E129" s="66"/>
      <c r="F129" s="1"/>
      <c r="G129" s="66"/>
    </row>
    <row r="130" spans="2:9">
      <c r="B130" s="1"/>
      <c r="C130" s="66"/>
      <c r="D130" s="1"/>
      <c r="E130" s="66"/>
      <c r="F130" s="1"/>
      <c r="G130" s="66"/>
    </row>
    <row r="132" spans="2:9">
      <c r="B132" s="3" t="s">
        <v>43</v>
      </c>
    </row>
    <row r="133" spans="2:9">
      <c r="B133" s="1" t="s">
        <v>56</v>
      </c>
      <c r="C133" s="62">
        <f>SUM(C135:C148)</f>
        <v>1.385</v>
      </c>
      <c r="D133" s="1" t="s">
        <v>3</v>
      </c>
      <c r="E133" s="62">
        <f>SUM(E135:E148)</f>
        <v>0.75</v>
      </c>
      <c r="F133" s="1" t="s">
        <v>514</v>
      </c>
      <c r="G133" s="62">
        <f>SUM(G135:G148)</f>
        <v>0</v>
      </c>
      <c r="H133"/>
      <c r="I133"/>
    </row>
    <row r="134" spans="2:9" ht="21" thickBot="1">
      <c r="B134" s="10" t="s">
        <v>44</v>
      </c>
      <c r="C134" s="37" t="s">
        <v>19</v>
      </c>
      <c r="D134" s="10" t="s">
        <v>44</v>
      </c>
      <c r="E134" s="37" t="s">
        <v>19</v>
      </c>
      <c r="F134" s="10" t="s">
        <v>44</v>
      </c>
      <c r="G134" s="37" t="s">
        <v>19</v>
      </c>
      <c r="H134"/>
      <c r="I134"/>
    </row>
    <row r="135" spans="2:9" ht="21" thickTop="1">
      <c r="B135" s="23" t="s">
        <v>11</v>
      </c>
      <c r="C135" s="64">
        <v>1.385</v>
      </c>
      <c r="D135" s="23" t="s">
        <v>517</v>
      </c>
      <c r="E135" s="64"/>
      <c r="F135" s="23"/>
      <c r="G135" s="64"/>
      <c r="H135"/>
      <c r="I135"/>
    </row>
    <row r="136" spans="2:9">
      <c r="B136" s="1" t="s">
        <v>519</v>
      </c>
      <c r="C136" s="66"/>
      <c r="D136" s="1" t="s">
        <v>520</v>
      </c>
      <c r="E136" s="66"/>
      <c r="F136" s="1"/>
      <c r="G136" s="66"/>
      <c r="H136"/>
      <c r="I136"/>
    </row>
    <row r="137" spans="2:9">
      <c r="B137" s="1" t="s">
        <v>9</v>
      </c>
      <c r="C137" s="66"/>
      <c r="D137" s="1" t="s">
        <v>521</v>
      </c>
      <c r="E137" s="66"/>
      <c r="F137" s="1"/>
      <c r="G137" s="66"/>
      <c r="H137"/>
      <c r="I137"/>
    </row>
    <row r="138" spans="2:9">
      <c r="B138" s="1" t="s">
        <v>18</v>
      </c>
      <c r="C138" s="66"/>
      <c r="D138" s="1" t="s">
        <v>522</v>
      </c>
      <c r="E138" s="66"/>
      <c r="F138" s="1"/>
      <c r="G138" s="66"/>
      <c r="H138"/>
      <c r="I138"/>
    </row>
    <row r="139" spans="2:9">
      <c r="B139" s="1" t="s">
        <v>523</v>
      </c>
      <c r="C139" s="66"/>
      <c r="D139" s="1"/>
      <c r="E139" s="66"/>
      <c r="F139" s="1"/>
      <c r="G139" s="66"/>
      <c r="H139"/>
      <c r="I139"/>
    </row>
    <row r="140" spans="2:9">
      <c r="B140" s="1" t="s">
        <v>518</v>
      </c>
      <c r="C140" s="66"/>
      <c r="D140" s="2"/>
      <c r="E140" s="67">
        <v>0.75</v>
      </c>
      <c r="F140" s="2"/>
      <c r="G140" s="67"/>
      <c r="H140"/>
      <c r="I140"/>
    </row>
    <row r="141" spans="2:9">
      <c r="B141" s="1"/>
      <c r="C141" s="66"/>
      <c r="D141" s="1"/>
      <c r="E141" s="66"/>
      <c r="F141" s="1"/>
      <c r="G141" s="66"/>
      <c r="H141"/>
      <c r="I141"/>
    </row>
    <row r="142" spans="2:9">
      <c r="B142" s="1" t="s">
        <v>57</v>
      </c>
      <c r="C142" s="66"/>
      <c r="D142" s="1"/>
      <c r="E142" s="66"/>
      <c r="F142" s="1"/>
      <c r="G142" s="66"/>
      <c r="H142"/>
      <c r="I142"/>
    </row>
    <row r="143" spans="2:9">
      <c r="B143" s="1"/>
      <c r="C143" s="66"/>
      <c r="D143" s="1"/>
      <c r="E143" s="66"/>
      <c r="F143" s="1"/>
      <c r="G143" s="66"/>
      <c r="H143"/>
      <c r="I143"/>
    </row>
    <row r="144" spans="2:9">
      <c r="B144" s="1"/>
      <c r="C144" s="66"/>
      <c r="D144" s="1"/>
      <c r="E144" s="66"/>
      <c r="F144" s="1"/>
      <c r="G144" s="66"/>
      <c r="H144"/>
      <c r="I144"/>
    </row>
    <row r="145" spans="2:9">
      <c r="B145" s="1"/>
      <c r="C145" s="66"/>
      <c r="D145" s="1"/>
      <c r="E145" s="66"/>
      <c r="F145" s="1"/>
      <c r="G145" s="66"/>
      <c r="H145"/>
      <c r="I145"/>
    </row>
    <row r="146" spans="2:9">
      <c r="B146" s="1"/>
      <c r="C146" s="66"/>
      <c r="D146" s="1"/>
      <c r="E146" s="66"/>
      <c r="F146" s="1"/>
      <c r="G146" s="66"/>
      <c r="H146"/>
      <c r="I146"/>
    </row>
    <row r="147" spans="2:9">
      <c r="B147" s="1"/>
      <c r="C147" s="66"/>
      <c r="D147" s="1"/>
      <c r="E147" s="66"/>
      <c r="F147" s="1"/>
      <c r="G147" s="66"/>
      <c r="H147"/>
      <c r="I147"/>
    </row>
    <row r="148" spans="2:9">
      <c r="B148" s="1"/>
      <c r="C148" s="66"/>
      <c r="D148" s="1"/>
      <c r="E148" s="66"/>
      <c r="F148" s="1"/>
      <c r="G148" s="66"/>
      <c r="H148"/>
      <c r="I148"/>
    </row>
  </sheetData>
  <phoneticPr fontId="3"/>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29FC2D-35CD-4055-9FEA-645327EF6461}">
  <sheetPr codeName="Sheet18">
    <tabColor theme="3" tint="0.59999389629810485"/>
  </sheetPr>
  <dimension ref="B4:Q30"/>
  <sheetViews>
    <sheetView zoomScale="70" zoomScaleNormal="70" workbookViewId="0">
      <selection activeCell="F35" sqref="F35"/>
    </sheetView>
  </sheetViews>
  <sheetFormatPr baseColWidth="10" defaultColWidth="8.7109375" defaultRowHeight="20"/>
  <sheetData>
    <row r="4" spans="2:6">
      <c r="D4" s="3"/>
      <c r="E4" s="10" t="s">
        <v>1315</v>
      </c>
      <c r="F4" s="10" t="s">
        <v>309</v>
      </c>
    </row>
    <row r="5" spans="2:6">
      <c r="B5" t="s">
        <v>1432</v>
      </c>
      <c r="D5" s="1" t="s">
        <v>1316</v>
      </c>
      <c r="E5" s="21">
        <v>2</v>
      </c>
      <c r="F5" s="21">
        <v>0</v>
      </c>
    </row>
    <row r="19" spans="2:17">
      <c r="B19" t="s">
        <v>1256</v>
      </c>
    </row>
    <row r="20" spans="2:17">
      <c r="B20" t="s">
        <v>1255</v>
      </c>
    </row>
    <row r="22" spans="2:17">
      <c r="B22" s="1" t="s">
        <v>430</v>
      </c>
      <c r="C22" s="1" t="s">
        <v>431</v>
      </c>
      <c r="D22" s="27" t="e">
        <f>全機諸元!D84*(1-(全機諸元!D89*全機諸元!D89)/(全機諸元!D84*全機諸元!D86))</f>
        <v>#DIV/0!</v>
      </c>
      <c r="E22" s="1" t="s">
        <v>432</v>
      </c>
      <c r="G22" s="3" t="s">
        <v>476</v>
      </c>
      <c r="H22" s="3"/>
      <c r="I22" s="3"/>
      <c r="J22" s="3"/>
      <c r="N22" s="3" t="s">
        <v>1370</v>
      </c>
    </row>
    <row r="23" spans="2:17">
      <c r="B23" s="1"/>
      <c r="C23" s="1" t="s">
        <v>434</v>
      </c>
      <c r="D23" s="27" t="e">
        <f>全機諸元!D86*(1-(全機諸元!D89*全機諸元!D89)/(全機諸元!D84*全機諸元!D86))</f>
        <v>#DIV/0!</v>
      </c>
      <c r="E23" s="1" t="s">
        <v>432</v>
      </c>
      <c r="G23" s="10" t="s">
        <v>547</v>
      </c>
      <c r="H23" s="10" t="s">
        <v>60</v>
      </c>
      <c r="I23" s="10" t="s">
        <v>61</v>
      </c>
      <c r="J23" s="10" t="s">
        <v>62</v>
      </c>
      <c r="N23" s="1" t="s">
        <v>1247</v>
      </c>
      <c r="O23" s="29"/>
      <c r="P23" s="29"/>
      <c r="Q23" s="29"/>
    </row>
    <row r="24" spans="2:17">
      <c r="B24" s="1"/>
      <c r="C24" s="1" t="s">
        <v>438</v>
      </c>
      <c r="D24" s="1" t="e">
        <f>全機諸元!D89/全機諸元!D84</f>
        <v>#DIV/0!</v>
      </c>
      <c r="E24" s="1" t="s">
        <v>46</v>
      </c>
      <c r="G24" s="1" t="s">
        <v>485</v>
      </c>
      <c r="H24" s="1" t="s">
        <v>486</v>
      </c>
      <c r="I24" s="21">
        <v>10.5</v>
      </c>
      <c r="J24" s="1" t="s">
        <v>5</v>
      </c>
      <c r="N24" s="1" t="s">
        <v>1248</v>
      </c>
      <c r="O24" s="29"/>
      <c r="P24" s="29"/>
      <c r="Q24" s="29"/>
    </row>
    <row r="25" spans="2:17">
      <c r="B25" s="1"/>
      <c r="C25" s="1" t="s">
        <v>441</v>
      </c>
      <c r="D25" s="1" t="e">
        <f>全機諸元!D89/全機諸元!D86</f>
        <v>#DIV/0!</v>
      </c>
      <c r="E25" s="1" t="s">
        <v>46</v>
      </c>
      <c r="G25" s="1" t="s">
        <v>491</v>
      </c>
      <c r="H25" s="1" t="s">
        <v>492</v>
      </c>
      <c r="I25" s="21">
        <v>-3.5</v>
      </c>
      <c r="J25" s="1" t="s">
        <v>312</v>
      </c>
      <c r="N25" s="1" t="s">
        <v>1252</v>
      </c>
      <c r="O25" s="29"/>
      <c r="P25" s="29"/>
      <c r="Q25" s="29"/>
    </row>
    <row r="26" spans="2:17">
      <c r="G26" s="1" t="s">
        <v>1430</v>
      </c>
      <c r="H26" s="1" t="s">
        <v>1431</v>
      </c>
      <c r="I26" s="21">
        <v>6</v>
      </c>
      <c r="J26" s="1" t="s">
        <v>94</v>
      </c>
      <c r="N26" s="1" t="s">
        <v>1249</v>
      </c>
      <c r="O26" s="29"/>
      <c r="P26" s="29"/>
      <c r="Q26" s="29"/>
    </row>
    <row r="27" spans="2:17">
      <c r="G27" s="3" t="s">
        <v>1257</v>
      </c>
      <c r="N27" s="1" t="s">
        <v>1250</v>
      </c>
      <c r="O27" s="29"/>
      <c r="P27" s="29"/>
      <c r="Q27" s="29"/>
    </row>
    <row r="28" spans="2:17">
      <c r="G28" s="3" t="s">
        <v>1258</v>
      </c>
      <c r="N28" s="1" t="s">
        <v>1251</v>
      </c>
      <c r="O28" s="29"/>
      <c r="P28" s="29"/>
      <c r="Q28" s="29"/>
    </row>
    <row r="29" spans="2:17">
      <c r="N29" s="1" t="s">
        <v>1390</v>
      </c>
      <c r="O29" s="29"/>
      <c r="P29" s="29"/>
      <c r="Q29" s="29"/>
    </row>
    <row r="30" spans="2:17">
      <c r="B30" t="s">
        <v>1343</v>
      </c>
    </row>
  </sheetData>
  <phoneticPr fontId="3"/>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101DC4-11F8-45BC-834C-D99798EA58B3}">
  <sheetPr codeName="Sheet11">
    <tabColor theme="7" tint="0.59999389629810485"/>
  </sheetPr>
  <dimension ref="B1:AA22"/>
  <sheetViews>
    <sheetView zoomScale="70" zoomScaleNormal="70" workbookViewId="0">
      <selection activeCell="T7" sqref="T7"/>
    </sheetView>
  </sheetViews>
  <sheetFormatPr baseColWidth="10" defaultColWidth="8.7109375" defaultRowHeight="20"/>
  <cols>
    <col min="2" max="2" width="10.85546875" customWidth="1"/>
    <col min="3" max="3" width="8.7109375" customWidth="1"/>
    <col min="4" max="4" width="9.7109375" customWidth="1"/>
    <col min="5" max="5" width="8.7109375" bestFit="1" customWidth="1"/>
    <col min="9" max="9" width="8.7109375" style="125"/>
    <col min="17" max="18" width="8.7109375" customWidth="1"/>
    <col min="19" max="19" width="8.85546875" customWidth="1"/>
    <col min="20" max="20" width="86.7109375" customWidth="1"/>
    <col min="21" max="22" width="26.7109375" customWidth="1"/>
  </cols>
  <sheetData>
    <row r="1" spans="2:27">
      <c r="B1" t="s">
        <v>1105</v>
      </c>
    </row>
    <row r="2" spans="2:27" ht="20" customHeight="1">
      <c r="G2" s="284"/>
      <c r="H2" s="284"/>
      <c r="I2" s="284"/>
      <c r="J2" s="284"/>
      <c r="K2" s="284"/>
      <c r="L2" s="284"/>
    </row>
    <row r="3" spans="2:27">
      <c r="G3" s="284"/>
      <c r="H3" s="284"/>
      <c r="I3" s="284"/>
      <c r="J3" s="284"/>
      <c r="K3" s="284"/>
      <c r="L3" s="284"/>
    </row>
    <row r="4" spans="2:27">
      <c r="G4" s="284"/>
      <c r="H4" s="284"/>
      <c r="I4" s="284"/>
      <c r="J4" s="284"/>
      <c r="K4" s="284"/>
      <c r="L4" s="284"/>
      <c r="M4" s="10" t="s">
        <v>170</v>
      </c>
      <c r="N4" s="10" t="s">
        <v>171</v>
      </c>
      <c r="O4" s="10" t="s">
        <v>172</v>
      </c>
      <c r="P4" s="10" t="s">
        <v>173</v>
      </c>
    </row>
    <row r="5" spans="2:27">
      <c r="G5" s="284"/>
      <c r="H5" s="284"/>
      <c r="I5" s="284"/>
      <c r="J5" s="284"/>
      <c r="K5" s="284"/>
      <c r="L5" s="284"/>
      <c r="M5" s="1" t="s">
        <v>174</v>
      </c>
      <c r="N5" s="21">
        <v>-10</v>
      </c>
      <c r="O5" s="21">
        <v>20</v>
      </c>
      <c r="P5" s="21">
        <v>0.1</v>
      </c>
      <c r="R5" s="3"/>
    </row>
    <row r="6" spans="2:27">
      <c r="G6" s="284"/>
      <c r="H6" s="284"/>
      <c r="I6" s="284"/>
      <c r="J6" s="284"/>
      <c r="K6" s="284"/>
      <c r="L6" s="284"/>
      <c r="M6" s="1" t="s">
        <v>175</v>
      </c>
      <c r="N6" s="124">
        <v>100000</v>
      </c>
      <c r="O6" s="124">
        <v>1000000</v>
      </c>
      <c r="P6" s="124">
        <v>20000</v>
      </c>
    </row>
    <row r="7" spans="2:27">
      <c r="G7" s="284"/>
      <c r="H7" s="284"/>
      <c r="I7" s="284"/>
      <c r="J7" s="284"/>
      <c r="K7" s="284"/>
      <c r="L7" s="284"/>
      <c r="M7" s="3" t="s">
        <v>1412</v>
      </c>
    </row>
    <row r="8" spans="2:27">
      <c r="G8" s="284"/>
      <c r="H8" s="284"/>
      <c r="I8" s="284"/>
      <c r="J8" s="284"/>
      <c r="K8" s="284"/>
      <c r="L8" s="284"/>
    </row>
    <row r="10" spans="2:27">
      <c r="C10" t="s">
        <v>169</v>
      </c>
      <c r="I10" s="125" t="s">
        <v>168</v>
      </c>
      <c r="T10" t="s">
        <v>399</v>
      </c>
    </row>
    <row r="11" spans="2:27">
      <c r="B11" s="33" t="s">
        <v>909</v>
      </c>
      <c r="C11" s="35" t="s">
        <v>910</v>
      </c>
      <c r="D11" s="31" t="s">
        <v>907</v>
      </c>
      <c r="E11" s="31" t="s">
        <v>157</v>
      </c>
      <c r="F11" s="31" t="s">
        <v>908</v>
      </c>
      <c r="G11" s="31" t="s">
        <v>966</v>
      </c>
      <c r="H11" s="101" t="s">
        <v>911</v>
      </c>
      <c r="I11" s="126" t="s">
        <v>912</v>
      </c>
      <c r="J11" s="31" t="s">
        <v>913</v>
      </c>
      <c r="K11" s="98" t="s">
        <v>914</v>
      </c>
      <c r="L11" s="98" t="s">
        <v>923</v>
      </c>
      <c r="M11" s="98" t="s">
        <v>1413</v>
      </c>
      <c r="N11" s="31" t="s">
        <v>915</v>
      </c>
      <c r="O11" s="31" t="s">
        <v>916</v>
      </c>
      <c r="P11" s="98" t="s">
        <v>917</v>
      </c>
      <c r="Q11" s="31" t="s">
        <v>918</v>
      </c>
      <c r="R11" s="31" t="s">
        <v>919</v>
      </c>
      <c r="S11" s="33" t="s">
        <v>920</v>
      </c>
      <c r="T11" s="112" t="s">
        <v>921</v>
      </c>
      <c r="U11" s="31" t="s">
        <v>832</v>
      </c>
      <c r="V11" s="105" t="s">
        <v>831</v>
      </c>
      <c r="W11" s="105" t="s">
        <v>833</v>
      </c>
      <c r="X11" s="105" t="s">
        <v>1414</v>
      </c>
      <c r="Y11" s="105"/>
      <c r="Z11" s="105"/>
      <c r="AA11" s="98"/>
    </row>
    <row r="12" spans="2:27">
      <c r="B12" s="33"/>
      <c r="C12" s="35" t="s">
        <v>132</v>
      </c>
      <c r="D12" s="31" t="s">
        <v>46</v>
      </c>
      <c r="E12" s="31" t="s">
        <v>922</v>
      </c>
      <c r="F12" s="31" t="s">
        <v>46</v>
      </c>
      <c r="G12" s="31" t="s">
        <v>46</v>
      </c>
      <c r="H12" s="101" t="s">
        <v>46</v>
      </c>
      <c r="I12" s="126" t="s">
        <v>175</v>
      </c>
      <c r="J12" s="31" t="s">
        <v>167</v>
      </c>
      <c r="K12" s="98" t="s">
        <v>923</v>
      </c>
      <c r="L12" s="98" t="s">
        <v>1416</v>
      </c>
      <c r="M12" s="98" t="s">
        <v>1417</v>
      </c>
      <c r="N12" s="31" t="s">
        <v>174</v>
      </c>
      <c r="O12" s="31" t="s">
        <v>924</v>
      </c>
      <c r="P12" s="98" t="s">
        <v>925</v>
      </c>
      <c r="Q12" s="31" t="s">
        <v>163</v>
      </c>
      <c r="R12" s="31" t="s">
        <v>160</v>
      </c>
      <c r="S12" s="33" t="s">
        <v>161</v>
      </c>
      <c r="T12" s="35"/>
      <c r="U12" s="31"/>
      <c r="V12" s="105"/>
      <c r="W12" s="105"/>
      <c r="X12" s="105"/>
      <c r="Y12" s="105"/>
      <c r="Z12" s="105"/>
      <c r="AA12" s="98"/>
    </row>
    <row r="13" spans="2:27" ht="19" customHeight="1" thickBot="1">
      <c r="B13" s="34"/>
      <c r="C13" s="36" t="s">
        <v>154</v>
      </c>
      <c r="D13" s="32" t="s">
        <v>154</v>
      </c>
      <c r="E13" s="32" t="s">
        <v>154</v>
      </c>
      <c r="F13" s="32" t="s">
        <v>154</v>
      </c>
      <c r="G13" s="32" t="s">
        <v>5</v>
      </c>
      <c r="H13" s="102" t="s">
        <v>312</v>
      </c>
      <c r="I13" s="127" t="s">
        <v>46</v>
      </c>
      <c r="J13" s="32" t="s">
        <v>46</v>
      </c>
      <c r="K13" s="99" t="s">
        <v>46</v>
      </c>
      <c r="L13" s="99" t="s">
        <v>312</v>
      </c>
      <c r="M13" s="99" t="s">
        <v>312</v>
      </c>
      <c r="N13" s="32" t="s">
        <v>312</v>
      </c>
      <c r="O13" s="32" t="s">
        <v>46</v>
      </c>
      <c r="P13" s="99" t="s">
        <v>46</v>
      </c>
      <c r="Q13" s="32" t="s">
        <v>46</v>
      </c>
      <c r="R13" s="32" t="s">
        <v>154</v>
      </c>
      <c r="S13" s="34" t="s">
        <v>159</v>
      </c>
      <c r="T13" s="36"/>
      <c r="U13" s="32"/>
      <c r="V13" s="106"/>
      <c r="W13" s="106"/>
      <c r="X13" s="106"/>
      <c r="Y13" s="106"/>
      <c r="Z13" s="106"/>
      <c r="AA13" s="99"/>
    </row>
    <row r="14" spans="2:27" ht="108" customHeight="1" thickTop="1">
      <c r="B14" s="103" t="s">
        <v>615</v>
      </c>
      <c r="C14" s="183">
        <v>14.080387494903704</v>
      </c>
      <c r="D14" s="184">
        <v>32.9</v>
      </c>
      <c r="E14" s="184">
        <v>5.0922297489936863</v>
      </c>
      <c r="F14" s="184">
        <v>47.300000000000004</v>
      </c>
      <c r="G14" s="184">
        <v>1</v>
      </c>
      <c r="H14" s="185">
        <v>0.1</v>
      </c>
      <c r="I14" s="128">
        <v>700000</v>
      </c>
      <c r="J14" s="184">
        <v>1.6730999999999978</v>
      </c>
      <c r="K14" s="183">
        <v>145.07371007370918</v>
      </c>
      <c r="L14" s="183">
        <v>4.9999999999997868</v>
      </c>
      <c r="M14" s="183">
        <v>4.9999999999997868</v>
      </c>
      <c r="N14" s="121">
        <v>4</v>
      </c>
      <c r="O14" s="184">
        <v>1.0752999999999999</v>
      </c>
      <c r="P14" s="184">
        <v>142.80212483399734</v>
      </c>
      <c r="Q14" s="184">
        <v>-0.13850000000000001</v>
      </c>
      <c r="R14" s="184">
        <v>37.19</v>
      </c>
      <c r="S14" s="189">
        <v>59.96</v>
      </c>
      <c r="T14" s="110"/>
      <c r="U14" s="44"/>
      <c r="V14" s="107"/>
      <c r="W14" s="107"/>
      <c r="X14" s="107"/>
      <c r="Y14" s="107"/>
      <c r="Z14" s="107"/>
      <c r="AA14" s="108"/>
    </row>
    <row r="15" spans="2:27" ht="108" customHeight="1">
      <c r="B15" s="104" t="s">
        <v>616</v>
      </c>
      <c r="C15" s="186">
        <v>13.227287992011144</v>
      </c>
      <c r="D15" s="187">
        <v>30.8</v>
      </c>
      <c r="E15" s="187">
        <v>3.5061503119141224</v>
      </c>
      <c r="F15" s="187">
        <v>44</v>
      </c>
      <c r="G15" s="187">
        <v>1</v>
      </c>
      <c r="H15" s="188">
        <v>0.1</v>
      </c>
      <c r="I15" s="128">
        <v>400000</v>
      </c>
      <c r="J15" s="187">
        <v>1.5118999999999982</v>
      </c>
      <c r="K15" s="186">
        <v>100.1873048907385</v>
      </c>
      <c r="L15" s="186">
        <v>5.0999999999997847</v>
      </c>
      <c r="M15" s="186">
        <v>5.0999999999997847</v>
      </c>
      <c r="N15" s="117">
        <v>5</v>
      </c>
      <c r="O15" s="187">
        <v>0.95250000000000001</v>
      </c>
      <c r="P15" s="187">
        <v>100.05252100840336</v>
      </c>
      <c r="Q15" s="187">
        <v>-8.0600000000000005E-2</v>
      </c>
      <c r="R15" s="187">
        <v>32.72</v>
      </c>
      <c r="S15" s="190">
        <v>50.23</v>
      </c>
      <c r="T15" s="111"/>
      <c r="U15" s="29"/>
      <c r="V15" s="109"/>
      <c r="W15" s="109"/>
      <c r="X15" s="109"/>
      <c r="Y15" s="109"/>
      <c r="Z15" s="109"/>
      <c r="AA15" s="100"/>
    </row>
    <row r="16" spans="2:27" ht="108" customHeight="1">
      <c r="B16" s="104" t="s">
        <v>926</v>
      </c>
      <c r="C16" s="186">
        <v>9.0025847148535583</v>
      </c>
      <c r="D16" s="187">
        <v>30</v>
      </c>
      <c r="E16" s="187">
        <v>1.0408340855860843E-15</v>
      </c>
      <c r="F16" s="187">
        <v>39</v>
      </c>
      <c r="G16" s="187">
        <v>1</v>
      </c>
      <c r="H16" s="188">
        <v>0.1</v>
      </c>
      <c r="I16" s="128">
        <v>600000</v>
      </c>
      <c r="J16" s="187">
        <v>1.0999999999999988</v>
      </c>
      <c r="K16" s="186">
        <v>56.968085106382674</v>
      </c>
      <c r="L16" s="186">
        <v>5.6999999999997719</v>
      </c>
      <c r="M16" s="186">
        <v>5.6999999999997719</v>
      </c>
      <c r="N16" s="121">
        <v>10</v>
      </c>
      <c r="O16" s="187">
        <v>1.0246999999999999</v>
      </c>
      <c r="P16" s="187">
        <v>41.46904087414002</v>
      </c>
      <c r="Q16" s="187">
        <v>1.21E-2</v>
      </c>
      <c r="R16" s="187">
        <v>22.91</v>
      </c>
      <c r="S16" s="190">
        <v>1.4000000000000001</v>
      </c>
      <c r="T16" s="111"/>
      <c r="U16" s="29"/>
      <c r="V16" s="109"/>
      <c r="W16" s="109"/>
      <c r="X16" s="109"/>
      <c r="Y16" s="109"/>
      <c r="Z16" s="109"/>
      <c r="AA16" s="100"/>
    </row>
    <row r="17" spans="2:27" ht="108" customHeight="1">
      <c r="B17" s="104" t="s">
        <v>927</v>
      </c>
      <c r="C17" s="186">
        <v>12.003448079787852</v>
      </c>
      <c r="D17" s="187">
        <v>30</v>
      </c>
      <c r="E17" s="187">
        <v>1.3877787807814457E-15</v>
      </c>
      <c r="F17" s="187">
        <v>42.4</v>
      </c>
      <c r="G17" s="187">
        <v>1</v>
      </c>
      <c r="H17" s="188">
        <v>0.1</v>
      </c>
      <c r="I17" s="128">
        <v>600000</v>
      </c>
      <c r="J17" s="187">
        <v>1.2681999999999991</v>
      </c>
      <c r="K17" s="186">
        <v>64.995773457311657</v>
      </c>
      <c r="L17" s="186">
        <v>6.4999999999997549</v>
      </c>
      <c r="M17" s="186">
        <v>6.4999999999997549</v>
      </c>
      <c r="N17" s="117">
        <v>10</v>
      </c>
      <c r="O17" s="187">
        <v>1.052</v>
      </c>
      <c r="P17" s="187">
        <v>57.865786578657861</v>
      </c>
      <c r="Q17" s="187">
        <v>9.7000000000000003E-3</v>
      </c>
      <c r="R17" s="187">
        <v>22.97</v>
      </c>
      <c r="S17" s="190">
        <v>3.0700000000000003</v>
      </c>
      <c r="T17" s="111"/>
      <c r="U17" s="29"/>
      <c r="V17" s="109"/>
      <c r="W17" s="109"/>
      <c r="X17" s="109"/>
      <c r="Y17" s="109"/>
      <c r="Z17" s="109"/>
      <c r="AA17" s="100"/>
    </row>
    <row r="18" spans="2:27" ht="108" customHeight="1">
      <c r="B18" s="104"/>
      <c r="C18" s="186"/>
      <c r="D18" s="187"/>
      <c r="E18" s="187"/>
      <c r="F18" s="187"/>
      <c r="G18" s="187"/>
      <c r="H18" s="188"/>
      <c r="I18" s="129"/>
      <c r="J18" s="187"/>
      <c r="K18" s="186"/>
      <c r="L18" s="186"/>
      <c r="M18" s="186"/>
      <c r="N18" s="117"/>
      <c r="O18" s="187"/>
      <c r="P18" s="187"/>
      <c r="Q18" s="187"/>
      <c r="R18" s="187"/>
      <c r="S18" s="190"/>
      <c r="T18" s="111"/>
      <c r="U18" s="29"/>
      <c r="V18" s="109"/>
      <c r="W18" s="109"/>
      <c r="X18" s="109"/>
      <c r="Y18" s="109"/>
      <c r="Z18" s="109"/>
      <c r="AA18" s="100"/>
    </row>
    <row r="19" spans="2:27" ht="108" customHeight="1"/>
    <row r="20" spans="2:27" ht="108" customHeight="1"/>
    <row r="21" spans="2:27" ht="108" customHeight="1"/>
    <row r="22" spans="2:27" ht="108" customHeight="1"/>
  </sheetData>
  <phoneticPr fontId="3"/>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E5A5D-27D7-4393-9A3D-92A21E8E513E}">
  <sheetPr codeName="Sheet10">
    <tabColor theme="7" tint="0.59999389629810485"/>
  </sheetPr>
  <dimension ref="B4:M45"/>
  <sheetViews>
    <sheetView topLeftCell="A12" zoomScale="70" zoomScaleNormal="70" workbookViewId="0">
      <selection activeCell="E48" sqref="E48"/>
    </sheetView>
  </sheetViews>
  <sheetFormatPr baseColWidth="10" defaultColWidth="8.7109375" defaultRowHeight="20"/>
  <cols>
    <col min="3" max="3" width="14" customWidth="1"/>
    <col min="5" max="5" width="8.7109375" customWidth="1"/>
    <col min="6" max="6" width="8.85546875" customWidth="1"/>
    <col min="7" max="7" width="74.85546875" customWidth="1"/>
    <col min="8" max="8" width="12.28515625" customWidth="1"/>
    <col min="9" max="9" width="11.5703125" customWidth="1"/>
    <col min="10" max="13" width="12.28515625" customWidth="1"/>
  </cols>
  <sheetData>
    <row r="4" spans="2:13">
      <c r="B4" s="31" t="s">
        <v>931</v>
      </c>
      <c r="C4" s="31" t="s">
        <v>100</v>
      </c>
      <c r="D4" s="31" t="s">
        <v>932</v>
      </c>
      <c r="E4" s="31" t="s">
        <v>933</v>
      </c>
      <c r="F4" s="31" t="s">
        <v>586</v>
      </c>
      <c r="G4" s="31" t="s">
        <v>1433</v>
      </c>
      <c r="H4" s="31" t="s">
        <v>1200</v>
      </c>
      <c r="I4" s="31" t="s">
        <v>1199</v>
      </c>
      <c r="J4" s="31" t="s">
        <v>934</v>
      </c>
      <c r="K4" s="31" t="s">
        <v>935</v>
      </c>
      <c r="L4" s="31" t="s">
        <v>936</v>
      </c>
      <c r="M4" s="31" t="s">
        <v>937</v>
      </c>
    </row>
    <row r="5" spans="2:13">
      <c r="B5" s="29" t="s">
        <v>46</v>
      </c>
      <c r="C5" s="29" t="s">
        <v>46</v>
      </c>
      <c r="D5" s="29" t="s">
        <v>578</v>
      </c>
      <c r="E5" s="29" t="s">
        <v>46</v>
      </c>
      <c r="F5" s="29" t="s">
        <v>46</v>
      </c>
      <c r="G5" s="29" t="s">
        <v>46</v>
      </c>
      <c r="H5" s="29" t="s">
        <v>132</v>
      </c>
      <c r="I5" s="29" t="s">
        <v>132</v>
      </c>
      <c r="J5" s="29" t="s">
        <v>612</v>
      </c>
      <c r="K5" s="29" t="s">
        <v>613</v>
      </c>
      <c r="L5" s="29" t="s">
        <v>614</v>
      </c>
      <c r="M5" s="29"/>
    </row>
    <row r="6" spans="2:13" ht="21" thickBot="1">
      <c r="B6" s="71" t="s">
        <v>46</v>
      </c>
      <c r="C6" s="71" t="s">
        <v>46</v>
      </c>
      <c r="D6" s="71" t="s">
        <v>46</v>
      </c>
      <c r="E6" s="71" t="s">
        <v>46</v>
      </c>
      <c r="F6" s="71" t="s">
        <v>46</v>
      </c>
      <c r="G6" s="71" t="s">
        <v>46</v>
      </c>
      <c r="H6" s="71" t="s">
        <v>960</v>
      </c>
      <c r="I6" s="71" t="s">
        <v>960</v>
      </c>
      <c r="J6" s="71" t="s">
        <v>116</v>
      </c>
      <c r="K6" s="71" t="s">
        <v>116</v>
      </c>
      <c r="L6" s="71" t="s">
        <v>46</v>
      </c>
      <c r="M6" s="71"/>
    </row>
    <row r="7" spans="2:13" ht="21" thickTop="1">
      <c r="B7" s="121" t="s">
        <v>938</v>
      </c>
      <c r="C7" s="117" t="s">
        <v>103</v>
      </c>
      <c r="D7" s="184">
        <v>15</v>
      </c>
      <c r="E7" s="184">
        <v>15</v>
      </c>
      <c r="F7" s="184">
        <v>0</v>
      </c>
      <c r="G7" s="121" t="s">
        <v>1434</v>
      </c>
      <c r="H7" s="179">
        <v>1.6950000000000001</v>
      </c>
      <c r="I7" s="179">
        <v>1.6950000000000001</v>
      </c>
      <c r="J7" s="179">
        <v>128.54669117765229</v>
      </c>
      <c r="K7" s="179">
        <v>16.301557051223895</v>
      </c>
      <c r="L7" s="179">
        <v>0.3102623243021736</v>
      </c>
      <c r="M7" s="179"/>
    </row>
    <row r="8" spans="2:13">
      <c r="B8" s="117" t="s">
        <v>947</v>
      </c>
      <c r="C8" s="117" t="s">
        <v>102</v>
      </c>
      <c r="D8" s="187">
        <v>15</v>
      </c>
      <c r="E8" s="187">
        <v>8</v>
      </c>
      <c r="F8" s="187">
        <v>7</v>
      </c>
      <c r="G8" s="117" t="s">
        <v>1435</v>
      </c>
      <c r="H8" s="76">
        <v>2.2050000000000001</v>
      </c>
      <c r="I8" s="76">
        <v>1.1759999999999999</v>
      </c>
      <c r="J8" s="76">
        <v>98.144577856034871</v>
      </c>
      <c r="K8" s="76">
        <v>13.020628525382756</v>
      </c>
      <c r="L8" s="76">
        <v>0.32222199749785485</v>
      </c>
      <c r="M8" s="76"/>
    </row>
    <row r="9" spans="2:13">
      <c r="B9" s="117" t="s">
        <v>950</v>
      </c>
      <c r="C9" s="117" t="s">
        <v>102</v>
      </c>
      <c r="D9" s="187">
        <v>15</v>
      </c>
      <c r="E9" s="187">
        <v>8</v>
      </c>
      <c r="F9" s="187">
        <v>4</v>
      </c>
      <c r="G9" s="117" t="s">
        <v>1436</v>
      </c>
      <c r="H9" s="76">
        <v>2.2050000000000001</v>
      </c>
      <c r="I9" s="76">
        <v>1.764</v>
      </c>
      <c r="J9" s="76">
        <v>88.708836278420023</v>
      </c>
      <c r="K9" s="76">
        <v>11.959378110631844</v>
      </c>
      <c r="L9" s="76">
        <v>0.21741313156667993</v>
      </c>
      <c r="M9" s="76"/>
    </row>
    <row r="10" spans="2:13">
      <c r="B10" s="117" t="s">
        <v>953</v>
      </c>
      <c r="C10" s="117" t="s">
        <v>102</v>
      </c>
      <c r="D10" s="187">
        <v>8</v>
      </c>
      <c r="E10" s="187">
        <v>8</v>
      </c>
      <c r="F10" s="187">
        <v>0</v>
      </c>
      <c r="G10" s="117" t="s">
        <v>1437</v>
      </c>
      <c r="H10" s="76">
        <v>1.7639999999999998</v>
      </c>
      <c r="I10" s="76">
        <v>1.1759999999999999</v>
      </c>
      <c r="J10" s="76">
        <v>85.903385282820111</v>
      </c>
      <c r="K10" s="76">
        <v>15.275785656728447</v>
      </c>
      <c r="L10" s="76">
        <v>0.32217766505946849</v>
      </c>
      <c r="M10" s="76"/>
    </row>
    <row r="11" spans="2:13">
      <c r="B11" s="117" t="s">
        <v>1197</v>
      </c>
      <c r="C11" s="117" t="s">
        <v>102</v>
      </c>
      <c r="D11" s="187">
        <v>5</v>
      </c>
      <c r="E11" s="187">
        <v>5</v>
      </c>
      <c r="F11" s="187">
        <v>0</v>
      </c>
      <c r="G11" s="117" t="s">
        <v>940</v>
      </c>
      <c r="H11" s="76">
        <v>2.0579999999999998</v>
      </c>
      <c r="I11" s="76">
        <v>1.47</v>
      </c>
      <c r="J11" s="76">
        <v>76.171783392281426</v>
      </c>
      <c r="K11" s="76">
        <v>13.664959134338668</v>
      </c>
      <c r="L11" s="76">
        <v>0.2138972933390928</v>
      </c>
      <c r="M11" s="76"/>
    </row>
    <row r="12" spans="2:13">
      <c r="B12" s="117" t="s">
        <v>54</v>
      </c>
      <c r="C12" s="117" t="s">
        <v>102</v>
      </c>
      <c r="D12" s="187">
        <v>4</v>
      </c>
      <c r="E12" s="187">
        <v>4</v>
      </c>
      <c r="F12" s="187">
        <v>0</v>
      </c>
      <c r="G12" s="117" t="s">
        <v>939</v>
      </c>
      <c r="H12" s="76">
        <v>1.1759999999999999</v>
      </c>
      <c r="I12" s="76">
        <v>1.1759999999999999</v>
      </c>
      <c r="J12" s="76">
        <v>85.052339273528418</v>
      </c>
      <c r="K12" s="76">
        <v>12.456839242546334</v>
      </c>
      <c r="L12" s="76">
        <v>0.21626661808150291</v>
      </c>
      <c r="M12" s="76"/>
    </row>
    <row r="13" spans="2:13">
      <c r="B13" s="117" t="s">
        <v>524</v>
      </c>
      <c r="C13" s="117" t="s">
        <v>102</v>
      </c>
      <c r="D13" s="187">
        <v>8</v>
      </c>
      <c r="E13" s="187">
        <v>6</v>
      </c>
      <c r="F13" s="187">
        <v>2</v>
      </c>
      <c r="G13" s="117" t="s">
        <v>945</v>
      </c>
      <c r="H13" s="76">
        <v>0.73499999999999999</v>
      </c>
      <c r="I13" s="76">
        <v>0.73499999999999999</v>
      </c>
      <c r="J13" s="76">
        <v>92.370558215228073</v>
      </c>
      <c r="K13" s="76">
        <v>3.9999999999999996</v>
      </c>
      <c r="L13" s="76">
        <v>4.5751633986928116E-2</v>
      </c>
      <c r="M13" s="76"/>
    </row>
    <row r="14" spans="2:13">
      <c r="B14" s="117" t="s">
        <v>956</v>
      </c>
      <c r="C14" s="117" t="s">
        <v>102</v>
      </c>
      <c r="D14" s="187">
        <v>7</v>
      </c>
      <c r="E14" s="187">
        <v>7</v>
      </c>
      <c r="F14" s="187">
        <v>0</v>
      </c>
      <c r="G14" s="117" t="s">
        <v>946</v>
      </c>
      <c r="H14" s="76">
        <v>0.58799999999999997</v>
      </c>
      <c r="I14" s="76">
        <v>0.58799999999999997</v>
      </c>
      <c r="J14" s="76">
        <v>78.504487918393622</v>
      </c>
      <c r="K14" s="76">
        <v>3.9999999999999996</v>
      </c>
      <c r="L14" s="76">
        <v>3.766816143497758E-2</v>
      </c>
      <c r="M14" s="76"/>
    </row>
    <row r="15" spans="2:13">
      <c r="B15" s="117" t="s">
        <v>957</v>
      </c>
      <c r="C15" s="117" t="s">
        <v>102</v>
      </c>
      <c r="D15" s="187">
        <v>7</v>
      </c>
      <c r="E15" s="187">
        <v>7</v>
      </c>
      <c r="F15" s="187">
        <v>0</v>
      </c>
      <c r="G15" s="117" t="s">
        <v>946</v>
      </c>
      <c r="H15" s="76">
        <v>2.3519999999999999</v>
      </c>
      <c r="I15" s="76">
        <v>1.47</v>
      </c>
      <c r="J15" s="76">
        <v>96.444703565710427</v>
      </c>
      <c r="K15" s="76">
        <v>10.342629431909753</v>
      </c>
      <c r="L15" s="76">
        <v>0.2012550987364857</v>
      </c>
      <c r="M15" s="76"/>
    </row>
    <row r="16" spans="2:13">
      <c r="B16" s="117" t="s">
        <v>958</v>
      </c>
      <c r="C16" s="117" t="s">
        <v>102</v>
      </c>
      <c r="D16" s="187">
        <v>7</v>
      </c>
      <c r="E16" s="187">
        <v>7</v>
      </c>
      <c r="F16" s="187">
        <v>0</v>
      </c>
      <c r="G16" s="117" t="s">
        <v>946</v>
      </c>
      <c r="H16" s="76">
        <v>2.3519999999999999</v>
      </c>
      <c r="I16" s="76">
        <v>1.7639999999999998</v>
      </c>
      <c r="J16" s="76">
        <v>88.05948027706377</v>
      </c>
      <c r="K16" s="76">
        <v>10.342629431909753</v>
      </c>
      <c r="L16" s="76">
        <v>0.16943724529910401</v>
      </c>
      <c r="M16" s="76"/>
    </row>
    <row r="17" spans="2:13">
      <c r="B17" s="117" t="s">
        <v>959</v>
      </c>
      <c r="C17" s="117" t="s">
        <v>102</v>
      </c>
      <c r="D17" s="187">
        <v>3</v>
      </c>
      <c r="E17" s="187">
        <v>3</v>
      </c>
      <c r="F17" s="187">
        <v>0</v>
      </c>
      <c r="G17" s="117" t="s">
        <v>1198</v>
      </c>
      <c r="H17" s="76">
        <v>1.1759999999999999</v>
      </c>
      <c r="I17" s="76">
        <v>0.8819999999999999</v>
      </c>
      <c r="J17" s="76">
        <v>85.052339273528418</v>
      </c>
      <c r="K17" s="76">
        <v>12.456839242546334</v>
      </c>
      <c r="L17" s="76">
        <v>0.21626661808150291</v>
      </c>
      <c r="M17" s="76"/>
    </row>
    <row r="18" spans="2:13">
      <c r="B18" s="117" t="s">
        <v>954</v>
      </c>
      <c r="C18" s="117" t="s">
        <v>102</v>
      </c>
      <c r="D18" s="187">
        <v>16</v>
      </c>
      <c r="E18" s="187">
        <v>10</v>
      </c>
      <c r="F18" s="187">
        <v>6</v>
      </c>
      <c r="G18" s="117" t="s">
        <v>941</v>
      </c>
      <c r="H18" s="76">
        <v>1.0289999999999999</v>
      </c>
      <c r="I18" s="76">
        <v>1.0289999999999999</v>
      </c>
      <c r="J18" s="76">
        <v>76.171783392281398</v>
      </c>
      <c r="K18" s="76">
        <v>13.664959134338668</v>
      </c>
      <c r="L18" s="76">
        <v>0.21389729333909271</v>
      </c>
      <c r="M18" s="76"/>
    </row>
    <row r="19" spans="2:13">
      <c r="B19" s="117" t="s">
        <v>955</v>
      </c>
      <c r="C19" s="117" t="s">
        <v>102</v>
      </c>
      <c r="D19" s="187">
        <v>16</v>
      </c>
      <c r="E19" s="187">
        <v>12</v>
      </c>
      <c r="F19" s="187">
        <v>4</v>
      </c>
      <c r="G19" s="117" t="s">
        <v>942</v>
      </c>
      <c r="H19" s="76">
        <v>1.0289999999999999</v>
      </c>
      <c r="I19" s="76">
        <v>1.0289999999999999</v>
      </c>
      <c r="J19" s="76">
        <v>76.171783392281398</v>
      </c>
      <c r="K19" s="76">
        <v>13.664959134338668</v>
      </c>
      <c r="L19" s="76">
        <v>0.21389729333909271</v>
      </c>
      <c r="M19" s="76"/>
    </row>
    <row r="20" spans="2:13">
      <c r="B20" s="117" t="s">
        <v>951</v>
      </c>
      <c r="C20" s="117" t="s">
        <v>102</v>
      </c>
      <c r="D20" s="187">
        <v>14</v>
      </c>
      <c r="E20" s="187">
        <v>10</v>
      </c>
      <c r="F20" s="187">
        <v>4</v>
      </c>
      <c r="G20" s="117" t="s">
        <v>943</v>
      </c>
      <c r="H20" s="76">
        <v>1.0289999999999999</v>
      </c>
      <c r="I20" s="76">
        <v>1.0289999999999999</v>
      </c>
      <c r="J20" s="76">
        <v>76.171783392281398</v>
      </c>
      <c r="K20" s="76">
        <v>13.664959134338668</v>
      </c>
      <c r="L20" s="76">
        <v>0.21389729333909271</v>
      </c>
      <c r="M20" s="76"/>
    </row>
    <row r="21" spans="2:13">
      <c r="B21" s="117" t="s">
        <v>948</v>
      </c>
      <c r="C21" s="117" t="s">
        <v>102</v>
      </c>
      <c r="D21" s="187">
        <v>17</v>
      </c>
      <c r="E21" s="187">
        <v>10</v>
      </c>
      <c r="F21" s="187">
        <v>7</v>
      </c>
      <c r="G21" s="117" t="s">
        <v>944</v>
      </c>
      <c r="H21" s="76">
        <v>0.73499999999999999</v>
      </c>
      <c r="I21" s="76">
        <v>0.73499999999999999</v>
      </c>
      <c r="J21" s="76">
        <v>120.04870179798367</v>
      </c>
      <c r="K21" s="76">
        <v>3.9999999999999996</v>
      </c>
      <c r="L21" s="76">
        <v>8.0152671755725172E-2</v>
      </c>
      <c r="M21" s="76"/>
    </row>
    <row r="22" spans="2:13">
      <c r="B22" s="117"/>
      <c r="C22" s="117"/>
      <c r="D22" s="187"/>
      <c r="E22" s="187"/>
      <c r="F22" s="187"/>
      <c r="G22" s="117"/>
      <c r="H22" s="76"/>
      <c r="I22" s="76"/>
      <c r="J22" s="76"/>
      <c r="K22" s="76"/>
      <c r="L22" s="76"/>
      <c r="M22" s="76"/>
    </row>
    <row r="23" spans="2:13">
      <c r="B23" s="117"/>
      <c r="C23" s="117"/>
      <c r="D23" s="187"/>
      <c r="E23" s="187"/>
      <c r="F23" s="187"/>
      <c r="G23" s="117"/>
      <c r="H23" s="76"/>
      <c r="I23" s="76"/>
      <c r="J23" s="76"/>
      <c r="K23" s="76"/>
      <c r="L23" s="76"/>
      <c r="M23" s="76"/>
    </row>
    <row r="24" spans="2:13">
      <c r="B24" s="117"/>
      <c r="C24" s="117"/>
      <c r="D24" s="187"/>
      <c r="E24" s="187"/>
      <c r="F24" s="187"/>
      <c r="G24" s="117"/>
      <c r="H24" s="76"/>
      <c r="I24" s="76"/>
      <c r="J24" s="76"/>
      <c r="K24" s="76"/>
      <c r="L24" s="76"/>
      <c r="M24" s="76"/>
    </row>
    <row r="25" spans="2:13">
      <c r="B25" s="117"/>
      <c r="C25" s="117"/>
      <c r="D25" s="187"/>
      <c r="E25" s="187"/>
      <c r="F25" s="187"/>
      <c r="G25" s="117"/>
      <c r="H25" s="76"/>
      <c r="I25" s="76"/>
      <c r="J25" s="76"/>
      <c r="K25" s="76"/>
      <c r="L25" s="76"/>
      <c r="M25" s="76"/>
    </row>
    <row r="26" spans="2:13">
      <c r="B26" s="117"/>
      <c r="C26" s="117"/>
      <c r="D26" s="187"/>
      <c r="E26" s="187"/>
      <c r="F26" s="187"/>
      <c r="G26" s="117"/>
      <c r="H26" s="76"/>
      <c r="I26" s="76"/>
      <c r="J26" s="76"/>
      <c r="K26" s="76"/>
      <c r="L26" s="76"/>
      <c r="M26" s="76"/>
    </row>
    <row r="27" spans="2:13">
      <c r="B27" s="117"/>
      <c r="C27" s="117"/>
      <c r="D27" s="187"/>
      <c r="E27" s="187"/>
      <c r="F27" s="187"/>
      <c r="G27" s="117"/>
      <c r="H27" s="76"/>
      <c r="I27" s="76"/>
      <c r="J27" s="76"/>
      <c r="K27" s="76"/>
      <c r="L27" s="76"/>
      <c r="M27" s="76"/>
    </row>
    <row r="28" spans="2:13">
      <c r="B28" s="117"/>
      <c r="C28" s="117"/>
      <c r="D28" s="187"/>
      <c r="E28" s="187"/>
      <c r="F28" s="187"/>
      <c r="G28" s="117"/>
      <c r="H28" s="76"/>
      <c r="I28" s="76"/>
      <c r="J28" s="76"/>
      <c r="K28" s="76"/>
      <c r="L28" s="76"/>
      <c r="M28" s="76"/>
    </row>
    <row r="29" spans="2:13">
      <c r="B29" s="117"/>
      <c r="C29" s="117"/>
      <c r="D29" s="187"/>
      <c r="E29" s="187"/>
      <c r="F29" s="187"/>
      <c r="G29" s="117"/>
      <c r="H29" s="76"/>
      <c r="I29" s="76"/>
      <c r="J29" s="76"/>
      <c r="K29" s="76"/>
      <c r="L29" s="76"/>
      <c r="M29" s="76"/>
    </row>
    <row r="31" spans="2:13">
      <c r="B31" s="3" t="s">
        <v>1455</v>
      </c>
    </row>
    <row r="32" spans="2:13">
      <c r="B32" s="117" t="s">
        <v>495</v>
      </c>
    </row>
    <row r="33" spans="2:5">
      <c r="B33" s="295" t="s">
        <v>996</v>
      </c>
      <c r="C33" s="295" t="s">
        <v>60</v>
      </c>
      <c r="D33" s="295" t="s">
        <v>61</v>
      </c>
      <c r="E33" s="295" t="s">
        <v>62</v>
      </c>
    </row>
    <row r="34" spans="2:5">
      <c r="B34" s="1" t="s">
        <v>1481</v>
      </c>
      <c r="C34" s="1" t="s">
        <v>1438</v>
      </c>
      <c r="D34" s="26">
        <v>5040</v>
      </c>
      <c r="E34" s="1" t="s">
        <v>960</v>
      </c>
    </row>
    <row r="35" spans="2:5">
      <c r="B35" s="1" t="s">
        <v>1439</v>
      </c>
      <c r="C35" s="1" t="s">
        <v>1440</v>
      </c>
      <c r="D35" s="21">
        <f>94.352/2</f>
        <v>47.176000000000002</v>
      </c>
      <c r="E35" s="1" t="s">
        <v>960</v>
      </c>
    </row>
    <row r="36" spans="2:5">
      <c r="B36" s="1" t="s">
        <v>1441</v>
      </c>
      <c r="C36" s="1" t="s">
        <v>1442</v>
      </c>
      <c r="D36" s="21">
        <f>117.94/2</f>
        <v>58.97</v>
      </c>
      <c r="E36" s="1" t="s">
        <v>960</v>
      </c>
    </row>
    <row r="37" spans="2:5">
      <c r="B37" s="1" t="s">
        <v>1443</v>
      </c>
      <c r="C37" s="1" t="s">
        <v>1444</v>
      </c>
      <c r="D37" s="21">
        <f>60.752/2</f>
        <v>30.376000000000001</v>
      </c>
      <c r="E37" s="1" t="s">
        <v>960</v>
      </c>
    </row>
    <row r="38" spans="2:5">
      <c r="B38" s="1" t="s">
        <v>1445</v>
      </c>
      <c r="C38" s="1" t="s">
        <v>1446</v>
      </c>
      <c r="D38" s="21">
        <f>75.94/2</f>
        <v>37.97</v>
      </c>
      <c r="E38" s="1" t="s">
        <v>960</v>
      </c>
    </row>
    <row r="39" spans="2:5">
      <c r="B39" s="1" t="s">
        <v>1447</v>
      </c>
      <c r="C39" s="1" t="s">
        <v>1448</v>
      </c>
      <c r="D39" s="21">
        <v>10</v>
      </c>
      <c r="E39" s="1" t="s">
        <v>960</v>
      </c>
    </row>
    <row r="40" spans="2:5">
      <c r="B40" s="1" t="s">
        <v>1449</v>
      </c>
      <c r="C40" s="1" t="s">
        <v>1450</v>
      </c>
      <c r="D40" s="21">
        <v>10</v>
      </c>
      <c r="E40" s="1" t="s">
        <v>960</v>
      </c>
    </row>
    <row r="41" spans="2:5">
      <c r="B41" s="1" t="s">
        <v>1451</v>
      </c>
      <c r="C41" s="1" t="s">
        <v>1452</v>
      </c>
      <c r="D41" s="26">
        <v>1000</v>
      </c>
      <c r="E41" s="1" t="s">
        <v>960</v>
      </c>
    </row>
    <row r="42" spans="2:5">
      <c r="B42" s="1" t="s">
        <v>1453</v>
      </c>
      <c r="C42" s="1" t="s">
        <v>1454</v>
      </c>
      <c r="D42" s="296" t="e" cm="1">
        <f t="array" ref="D42">SUMPRODUCT(1/COUNTIF(#REF!,#REF!))</f>
        <v>#REF!</v>
      </c>
      <c r="E42" s="1" t="s">
        <v>46</v>
      </c>
    </row>
    <row r="44" spans="2:5">
      <c r="B44" s="3" t="s">
        <v>1455</v>
      </c>
    </row>
    <row r="45" spans="2:5">
      <c r="B45" s="117" t="s">
        <v>495</v>
      </c>
    </row>
  </sheetData>
  <phoneticPr fontId="3"/>
  <pageMargins left="0.7" right="0.7" top="0.75" bottom="0.75" header="0.3" footer="0.3"/>
  <pageSetup paperSize="9" orientation="portrait" horizontalDpi="0" verticalDpi="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1C41DF-A064-4FDE-A9D6-E1E9E5E1ECA6}">
  <sheetPr codeName="Sheet4">
    <tabColor theme="8" tint="0.59999389629810485"/>
  </sheetPr>
  <dimension ref="B2:BL250"/>
  <sheetViews>
    <sheetView tabSelected="1" topLeftCell="AI1" zoomScale="119" zoomScaleNormal="70" workbookViewId="0">
      <selection activeCell="AJ13" sqref="AJ13"/>
    </sheetView>
  </sheetViews>
  <sheetFormatPr baseColWidth="10" defaultColWidth="8.85546875" defaultRowHeight="20"/>
  <cols>
    <col min="1" max="3" width="8.85546875" style="3"/>
    <col min="4" max="4" width="9.5703125" style="3" bestFit="1" customWidth="1"/>
    <col min="5" max="21" width="8.85546875" style="3"/>
    <col min="22" max="22" width="8.85546875" style="3" customWidth="1"/>
    <col min="23" max="28" width="8.85546875" style="3"/>
    <col min="29" max="29" width="10.140625" style="3" customWidth="1"/>
    <col min="30" max="32" width="9.28515625" style="3" bestFit="1" customWidth="1"/>
    <col min="33" max="33" width="8.7109375" style="3" customWidth="1"/>
    <col min="34" max="34" width="9" style="3" bestFit="1" customWidth="1"/>
    <col min="35" max="35" width="8.85546875" style="3"/>
    <col min="36" max="36" width="24.28515625" style="3" customWidth="1"/>
    <col min="37" max="37" width="9" style="3" bestFit="1" customWidth="1"/>
    <col min="38" max="38" width="8.85546875" style="3"/>
    <col min="39" max="39" width="9.42578125" style="3" customWidth="1"/>
    <col min="40" max="40" width="8.85546875" style="3"/>
    <col min="41" max="43" width="9.28515625" style="3" bestFit="1" customWidth="1"/>
    <col min="44" max="16384" width="8.85546875" style="3"/>
  </cols>
  <sheetData>
    <row r="2" spans="2:43">
      <c r="B2" t="s">
        <v>1166</v>
      </c>
      <c r="C2"/>
      <c r="D2"/>
      <c r="E2"/>
      <c r="G2" s="3" t="s">
        <v>834</v>
      </c>
      <c r="Q2" s="3" t="s">
        <v>1467</v>
      </c>
      <c r="AA2" s="132" t="s">
        <v>1468</v>
      </c>
      <c r="AF2" s="236" t="s">
        <v>1476</v>
      </c>
      <c r="AJ2" s="236" t="s">
        <v>1465</v>
      </c>
      <c r="AN2" s="132" t="s">
        <v>1473</v>
      </c>
    </row>
    <row r="3" spans="2:43" ht="20.25" customHeight="1">
      <c r="B3" s="302"/>
      <c r="C3" s="302"/>
      <c r="D3" s="302"/>
      <c r="E3" s="302"/>
      <c r="G3" s="10" t="s">
        <v>448</v>
      </c>
      <c r="H3" s="10" t="s">
        <v>637</v>
      </c>
      <c r="I3" s="10" t="s">
        <v>618</v>
      </c>
      <c r="J3" s="10" t="s">
        <v>826</v>
      </c>
      <c r="K3" s="10" t="s">
        <v>827</v>
      </c>
      <c r="L3" s="10" t="s">
        <v>635</v>
      </c>
      <c r="M3" s="10" t="s">
        <v>634</v>
      </c>
      <c r="N3" s="10" t="s">
        <v>1322</v>
      </c>
      <c r="P3"/>
      <c r="Q3" s="10" t="s">
        <v>448</v>
      </c>
      <c r="R3" s="10" t="s">
        <v>897</v>
      </c>
      <c r="S3" s="10" t="s">
        <v>135</v>
      </c>
      <c r="T3" s="10" t="s">
        <v>152</v>
      </c>
      <c r="U3" s="10" t="s">
        <v>1213</v>
      </c>
      <c r="AA3" s="10" t="s">
        <v>1021</v>
      </c>
      <c r="AB3" s="10" t="s">
        <v>1018</v>
      </c>
      <c r="AC3" s="10" t="s">
        <v>1022</v>
      </c>
      <c r="AD3" s="10" t="s">
        <v>1023</v>
      </c>
      <c r="AF3" s="10" t="s">
        <v>59</v>
      </c>
      <c r="AG3" s="10" t="s">
        <v>61</v>
      </c>
      <c r="AH3" s="10" t="s">
        <v>62</v>
      </c>
      <c r="AJ3" s="10" t="s">
        <v>59</v>
      </c>
      <c r="AK3" s="10" t="s">
        <v>61</v>
      </c>
      <c r="AL3" s="10" t="s">
        <v>62</v>
      </c>
      <c r="AN3" s="10" t="s">
        <v>59</v>
      </c>
      <c r="AO3" s="10" t="s">
        <v>495</v>
      </c>
      <c r="AP3" s="10" t="s">
        <v>496</v>
      </c>
      <c r="AQ3" s="10" t="s">
        <v>497</v>
      </c>
    </row>
    <row r="4" spans="2:43">
      <c r="B4" s="302"/>
      <c r="C4" s="302"/>
      <c r="D4" s="302"/>
      <c r="E4" s="302"/>
      <c r="G4" s="1" t="s">
        <v>150</v>
      </c>
      <c r="H4" s="1" t="s">
        <v>579</v>
      </c>
      <c r="I4" s="1" t="s">
        <v>580</v>
      </c>
      <c r="J4" s="57" t="s">
        <v>581</v>
      </c>
      <c r="K4" s="57" t="s">
        <v>582</v>
      </c>
      <c r="L4" s="1" t="s">
        <v>45</v>
      </c>
      <c r="M4" s="57" t="s">
        <v>46</v>
      </c>
      <c r="N4" s="57" t="s">
        <v>46</v>
      </c>
      <c r="P4"/>
      <c r="Q4" s="1" t="s">
        <v>697</v>
      </c>
      <c r="R4" s="21" t="s">
        <v>898</v>
      </c>
      <c r="S4" s="1"/>
      <c r="T4" s="1"/>
      <c r="U4" s="1"/>
      <c r="AA4" s="97">
        <v>1</v>
      </c>
      <c r="AB4" s="4">
        <v>-0.65</v>
      </c>
      <c r="AC4" s="4">
        <v>4</v>
      </c>
      <c r="AD4" s="4">
        <v>4</v>
      </c>
      <c r="AF4" s="1" t="s">
        <v>697</v>
      </c>
      <c r="AG4" s="21">
        <v>7</v>
      </c>
      <c r="AH4" s="1" t="s">
        <v>896</v>
      </c>
      <c r="AJ4" s="1" t="s">
        <v>1457</v>
      </c>
      <c r="AK4" s="21">
        <v>80</v>
      </c>
      <c r="AL4" s="1" t="s">
        <v>896</v>
      </c>
      <c r="AN4" s="1" t="s">
        <v>1368</v>
      </c>
      <c r="AO4" s="21">
        <v>-150</v>
      </c>
      <c r="AP4" s="21">
        <v>-150</v>
      </c>
      <c r="AQ4" s="21">
        <v>-150</v>
      </c>
    </row>
    <row r="5" spans="2:43" ht="21" thickBot="1">
      <c r="B5" s="302"/>
      <c r="C5" s="302"/>
      <c r="D5" s="302"/>
      <c r="E5" s="302"/>
      <c r="G5" s="19" t="s">
        <v>152</v>
      </c>
      <c r="H5" s="19" t="s">
        <v>5</v>
      </c>
      <c r="I5" s="19" t="s">
        <v>5</v>
      </c>
      <c r="J5" s="113" t="s">
        <v>312</v>
      </c>
      <c r="K5" s="113" t="s">
        <v>312</v>
      </c>
      <c r="L5" s="19" t="s">
        <v>46</v>
      </c>
      <c r="M5" s="113" t="s">
        <v>46</v>
      </c>
      <c r="N5" s="113" t="s">
        <v>960</v>
      </c>
      <c r="P5"/>
      <c r="Q5" s="1" t="s">
        <v>699</v>
      </c>
      <c r="R5" s="21"/>
      <c r="S5" s="1"/>
      <c r="T5" s="1"/>
      <c r="U5" s="1"/>
      <c r="AA5" s="27">
        <v>2</v>
      </c>
      <c r="AB5" s="21">
        <v>-0.27</v>
      </c>
      <c r="AC5" s="21">
        <v>4</v>
      </c>
      <c r="AD5" s="21">
        <v>4</v>
      </c>
      <c r="AF5" s="1" t="s">
        <v>703</v>
      </c>
      <c r="AG5" s="21">
        <f>0.45</f>
        <v>0.45</v>
      </c>
      <c r="AH5" s="2" t="s">
        <v>896</v>
      </c>
      <c r="AJ5" s="1" t="s">
        <v>1458</v>
      </c>
      <c r="AK5" s="21">
        <v>40</v>
      </c>
      <c r="AL5" s="2" t="s">
        <v>896</v>
      </c>
      <c r="AN5" s="1" t="s">
        <v>1369</v>
      </c>
      <c r="AO5" s="21">
        <v>100</v>
      </c>
      <c r="AP5" s="21">
        <v>100</v>
      </c>
      <c r="AQ5" s="21">
        <v>100</v>
      </c>
    </row>
    <row r="6" spans="2:43" ht="21" thickTop="1">
      <c r="B6" s="302"/>
      <c r="C6" s="302"/>
      <c r="D6" s="302"/>
      <c r="E6" s="302"/>
      <c r="G6" s="72" t="s">
        <v>626</v>
      </c>
      <c r="H6" s="4">
        <v>0</v>
      </c>
      <c r="I6" s="4">
        <v>1.08</v>
      </c>
      <c r="J6" s="4">
        <v>4.4000000000000004</v>
      </c>
      <c r="K6" s="4">
        <v>0</v>
      </c>
      <c r="L6" s="4">
        <v>0.375</v>
      </c>
      <c r="M6" s="4" t="s">
        <v>1365</v>
      </c>
      <c r="N6" s="2"/>
      <c r="P6"/>
      <c r="Q6" s="1" t="s">
        <v>703</v>
      </c>
      <c r="R6" s="21" t="s">
        <v>899</v>
      </c>
      <c r="S6" s="1"/>
      <c r="T6" s="29"/>
      <c r="U6" s="1"/>
      <c r="W6"/>
      <c r="AA6" s="97">
        <v>3</v>
      </c>
      <c r="AB6" s="21">
        <v>-0.1</v>
      </c>
      <c r="AC6" s="21">
        <v>4</v>
      </c>
      <c r="AD6" s="21">
        <v>4</v>
      </c>
      <c r="AF6" s="1" t="s">
        <v>704</v>
      </c>
      <c r="AG6" s="21">
        <f>0.45</f>
        <v>0.45</v>
      </c>
      <c r="AH6" s="2" t="s">
        <v>896</v>
      </c>
      <c r="AJ6" s="1" t="s">
        <v>1459</v>
      </c>
      <c r="AK6" s="21">
        <v>20</v>
      </c>
      <c r="AL6" s="2" t="s">
        <v>896</v>
      </c>
      <c r="AN6" s="236" t="s">
        <v>1475</v>
      </c>
    </row>
    <row r="7" spans="2:43">
      <c r="B7" s="302"/>
      <c r="C7" s="302"/>
      <c r="D7" s="302"/>
      <c r="E7" s="302"/>
      <c r="G7" s="10" t="s">
        <v>645</v>
      </c>
      <c r="H7" s="21">
        <v>1.7</v>
      </c>
      <c r="I7" s="21">
        <v>1.08</v>
      </c>
      <c r="J7" s="21">
        <v>4.4000000000000004</v>
      </c>
      <c r="K7" s="21">
        <v>0</v>
      </c>
      <c r="L7" s="4">
        <v>0.375</v>
      </c>
      <c r="M7" s="4" t="s">
        <v>1365</v>
      </c>
      <c r="N7" s="1"/>
      <c r="P7"/>
      <c r="Q7" s="1" t="s">
        <v>713</v>
      </c>
      <c r="R7" s="21" t="s">
        <v>900</v>
      </c>
      <c r="S7" s="29"/>
      <c r="T7" s="29"/>
      <c r="U7" s="1"/>
      <c r="W7"/>
      <c r="AA7" s="27">
        <v>4</v>
      </c>
      <c r="AB7" s="21">
        <v>-1.4999999999999999E-2</v>
      </c>
      <c r="AC7" s="21">
        <v>2</v>
      </c>
      <c r="AD7" s="21">
        <v>4</v>
      </c>
      <c r="AF7" s="1" t="s">
        <v>699</v>
      </c>
      <c r="AG7" s="21">
        <v>1.5</v>
      </c>
      <c r="AH7" s="1" t="s">
        <v>896</v>
      </c>
      <c r="AN7" s="1" t="s">
        <v>1368</v>
      </c>
      <c r="AO7" s="21">
        <v>-150</v>
      </c>
      <c r="AP7" s="21">
        <v>-150</v>
      </c>
      <c r="AQ7" s="21">
        <v>-150</v>
      </c>
    </row>
    <row r="8" spans="2:43">
      <c r="B8" s="302"/>
      <c r="C8" s="302"/>
      <c r="D8" s="302"/>
      <c r="E8" s="302"/>
      <c r="G8" s="10" t="s">
        <v>646</v>
      </c>
      <c r="H8" s="21">
        <v>4.55</v>
      </c>
      <c r="I8" s="21">
        <v>0.95</v>
      </c>
      <c r="J8" s="4">
        <v>4.4000000000000004</v>
      </c>
      <c r="K8" s="21">
        <v>0</v>
      </c>
      <c r="L8" s="4">
        <v>0.375</v>
      </c>
      <c r="M8" s="4" t="s">
        <v>1364</v>
      </c>
      <c r="N8" s="1"/>
      <c r="P8"/>
      <c r="Q8" s="1" t="s">
        <v>704</v>
      </c>
      <c r="R8" s="21" t="s">
        <v>899</v>
      </c>
      <c r="S8" s="29"/>
      <c r="T8" s="29"/>
      <c r="U8" s="1"/>
      <c r="W8"/>
      <c r="AA8" s="97">
        <v>5</v>
      </c>
      <c r="AB8" s="21">
        <v>0.01</v>
      </c>
      <c r="AC8" s="21">
        <v>2</v>
      </c>
      <c r="AD8" s="21">
        <v>4</v>
      </c>
      <c r="AN8" s="1" t="s">
        <v>1369</v>
      </c>
      <c r="AO8" s="21">
        <v>100</v>
      </c>
      <c r="AP8" s="21">
        <v>100</v>
      </c>
      <c r="AQ8" s="21">
        <v>100</v>
      </c>
    </row>
    <row r="9" spans="2:43">
      <c r="B9" s="302"/>
      <c r="C9" s="302"/>
      <c r="D9" s="302"/>
      <c r="E9" s="302"/>
      <c r="G9" s="10" t="s">
        <v>647</v>
      </c>
      <c r="H9" s="21">
        <v>7.5</v>
      </c>
      <c r="I9" s="21">
        <v>0.76</v>
      </c>
      <c r="J9" s="21">
        <v>4.4000000000000004</v>
      </c>
      <c r="K9" s="21">
        <v>7</v>
      </c>
      <c r="L9" s="4">
        <v>0.375</v>
      </c>
      <c r="M9" s="4" t="s">
        <v>1364</v>
      </c>
      <c r="N9" s="1"/>
      <c r="P9"/>
      <c r="Q9" s="1" t="s">
        <v>1463</v>
      </c>
      <c r="R9" s="21"/>
      <c r="S9" s="29"/>
      <c r="T9" s="29"/>
      <c r="U9" s="1"/>
      <c r="W9"/>
      <c r="AA9" s="27">
        <v>6</v>
      </c>
      <c r="AB9" s="21">
        <v>0.15</v>
      </c>
      <c r="AC9" s="21">
        <v>4</v>
      </c>
      <c r="AD9" s="21">
        <v>4</v>
      </c>
      <c r="AF9" s="132" t="s">
        <v>1469</v>
      </c>
      <c r="AJ9" s="236" t="s">
        <v>1470</v>
      </c>
    </row>
    <row r="10" spans="2:43">
      <c r="B10" s="302"/>
      <c r="C10" s="302"/>
      <c r="D10" s="302"/>
      <c r="E10" s="302"/>
      <c r="G10" s="10" t="s">
        <v>648</v>
      </c>
      <c r="H10" s="21">
        <v>9.3000000000000007</v>
      </c>
      <c r="I10" s="21">
        <v>0.64</v>
      </c>
      <c r="J10" s="4">
        <v>4.4000000000000004</v>
      </c>
      <c r="K10" s="21">
        <v>7</v>
      </c>
      <c r="L10" s="4">
        <v>0.375</v>
      </c>
      <c r="M10" s="4" t="s">
        <v>1364</v>
      </c>
      <c r="N10" s="1"/>
      <c r="P10" s="1" t="s">
        <v>1460</v>
      </c>
      <c r="Q10" s="1" t="s">
        <v>1367</v>
      </c>
      <c r="R10" s="21"/>
      <c r="S10" s="29"/>
      <c r="T10" s="29"/>
      <c r="U10" s="29"/>
      <c r="AA10" s="27">
        <v>7</v>
      </c>
      <c r="AB10" s="21"/>
      <c r="AC10" s="21"/>
      <c r="AD10" s="21"/>
      <c r="AF10" s="10" t="s">
        <v>59</v>
      </c>
      <c r="AG10" s="10" t="s">
        <v>1466</v>
      </c>
      <c r="AH10" s="10" t="s">
        <v>1020</v>
      </c>
      <c r="AJ10" s="10" t="s">
        <v>59</v>
      </c>
      <c r="AK10" s="10" t="s">
        <v>61</v>
      </c>
      <c r="AL10" s="10" t="s">
        <v>62</v>
      </c>
    </row>
    <row r="11" spans="2:43">
      <c r="B11" s="302"/>
      <c r="C11" s="302"/>
      <c r="D11" s="302"/>
      <c r="E11" s="302"/>
      <c r="G11" s="10" t="s">
        <v>649</v>
      </c>
      <c r="H11" s="21">
        <v>10.8</v>
      </c>
      <c r="I11" s="21">
        <v>0.54</v>
      </c>
      <c r="J11" s="21">
        <v>4.4000000000000004</v>
      </c>
      <c r="K11" s="21">
        <v>7</v>
      </c>
      <c r="L11" s="4">
        <v>0.375</v>
      </c>
      <c r="M11" s="21" t="s">
        <v>1366</v>
      </c>
      <c r="N11" s="1"/>
      <c r="P11" s="1" t="s">
        <v>1464</v>
      </c>
      <c r="Q11" s="1" t="s">
        <v>1025</v>
      </c>
      <c r="R11" s="4" t="s">
        <v>1017</v>
      </c>
      <c r="S11" s="1" t="s">
        <v>1026</v>
      </c>
      <c r="T11" s="1"/>
      <c r="U11" s="1"/>
      <c r="AA11" s="27">
        <v>8</v>
      </c>
      <c r="AB11" s="21"/>
      <c r="AC11" s="21"/>
      <c r="AD11" s="21"/>
      <c r="AF11" s="1" t="s">
        <v>13</v>
      </c>
      <c r="AG11" s="21">
        <v>-0.75</v>
      </c>
      <c r="AH11" s="21">
        <v>0.2</v>
      </c>
      <c r="AJ11" s="1" t="s">
        <v>1485</v>
      </c>
      <c r="AK11" s="21">
        <v>-80</v>
      </c>
      <c r="AL11" s="1" t="s">
        <v>896</v>
      </c>
    </row>
    <row r="12" spans="2:43">
      <c r="B12" s="302"/>
      <c r="C12" s="302"/>
      <c r="D12" s="302"/>
      <c r="E12" s="302"/>
      <c r="G12" s="10" t="s">
        <v>1065</v>
      </c>
      <c r="H12" s="21">
        <v>12</v>
      </c>
      <c r="I12" s="21">
        <v>0.435</v>
      </c>
      <c r="J12" s="21">
        <v>2.2250000000000001</v>
      </c>
      <c r="K12" s="21">
        <v>7</v>
      </c>
      <c r="L12" s="4">
        <v>0.375</v>
      </c>
      <c r="M12" s="21" t="s">
        <v>1366</v>
      </c>
      <c r="N12" s="1"/>
      <c r="P12" s="1" t="s">
        <v>1461</v>
      </c>
      <c r="Q12" s="1" t="s">
        <v>1078</v>
      </c>
      <c r="R12" s="4" t="s">
        <v>901</v>
      </c>
      <c r="S12" s="1" t="s">
        <v>1027</v>
      </c>
      <c r="T12" s="1"/>
      <c r="U12" s="1"/>
      <c r="AA12" s="27">
        <v>9</v>
      </c>
      <c r="AB12" s="21"/>
      <c r="AC12" s="21"/>
      <c r="AD12" s="21"/>
      <c r="AF12" s="1" t="s">
        <v>1291</v>
      </c>
      <c r="AG12" s="21">
        <v>-0.75</v>
      </c>
      <c r="AH12" s="21">
        <v>0.4</v>
      </c>
      <c r="AJ12" s="1" t="s">
        <v>1471</v>
      </c>
      <c r="AK12" s="21">
        <v>2</v>
      </c>
      <c r="AL12" s="2" t="s">
        <v>896</v>
      </c>
    </row>
    <row r="13" spans="2:43">
      <c r="B13" s="302"/>
      <c r="C13" s="302"/>
      <c r="D13" s="302"/>
      <c r="E13" s="302"/>
      <c r="G13" s="10" t="s">
        <v>625</v>
      </c>
      <c r="H13" s="21">
        <v>12.4</v>
      </c>
      <c r="I13" s="21">
        <v>0.4</v>
      </c>
      <c r="J13" s="21">
        <v>1.5</v>
      </c>
      <c r="K13" s="21"/>
      <c r="L13" s="4">
        <v>0.375</v>
      </c>
      <c r="M13" s="21" t="s">
        <v>1366</v>
      </c>
      <c r="N13" s="1"/>
      <c r="P13" s="1" t="s">
        <v>1462</v>
      </c>
      <c r="Q13" s="1" t="s">
        <v>1024</v>
      </c>
      <c r="R13" s="4" t="s">
        <v>136</v>
      </c>
      <c r="S13" s="1" t="s">
        <v>1079</v>
      </c>
      <c r="T13" s="1"/>
      <c r="U13" s="1"/>
    </row>
    <row r="14" spans="2:43">
      <c r="H14" s="3" t="s">
        <v>1479</v>
      </c>
      <c r="M14" s="3" t="s">
        <v>1480</v>
      </c>
      <c r="Q14" s="1" t="s">
        <v>1474</v>
      </c>
      <c r="R14" s="4" t="s">
        <v>1472</v>
      </c>
      <c r="S14" s="1" t="s">
        <v>1079</v>
      </c>
      <c r="T14" s="1"/>
      <c r="U14" s="1"/>
    </row>
    <row r="15" spans="2:43">
      <c r="B15" s="1" t="s">
        <v>1319</v>
      </c>
      <c r="C15" s="1"/>
      <c r="D15" s="1"/>
      <c r="E15" s="1"/>
      <c r="AC15" s="26">
        <v>1</v>
      </c>
      <c r="AD15" s="1" t="s">
        <v>1099</v>
      </c>
    </row>
    <row r="16" spans="2:43">
      <c r="B16" s="1" t="s">
        <v>1335</v>
      </c>
      <c r="C16" s="1"/>
      <c r="D16" s="1"/>
      <c r="E16" s="1"/>
      <c r="H16" s="10" t="s">
        <v>1061</v>
      </c>
      <c r="I16" s="10" t="s">
        <v>1062</v>
      </c>
      <c r="J16" s="10" t="s">
        <v>1063</v>
      </c>
      <c r="K16" s="10" t="s">
        <v>1062</v>
      </c>
      <c r="L16" s="10" t="s">
        <v>1064</v>
      </c>
      <c r="M16" s="10" t="s">
        <v>1062</v>
      </c>
      <c r="O16" s="10" t="s">
        <v>1301</v>
      </c>
      <c r="P16" s="10" t="s">
        <v>1062</v>
      </c>
      <c r="Q16" s="10" t="s">
        <v>1302</v>
      </c>
      <c r="R16" s="10" t="s">
        <v>1062</v>
      </c>
      <c r="AA16" s="115"/>
      <c r="AB16" s="171"/>
      <c r="AC16" s="171"/>
      <c r="AD16" s="171"/>
      <c r="AE16" s="171"/>
      <c r="AF16" s="171"/>
      <c r="AG16" s="171"/>
      <c r="AH16" s="171"/>
      <c r="AI16" s="171"/>
      <c r="AJ16" s="171"/>
      <c r="AK16" s="171"/>
      <c r="AL16" s="171"/>
      <c r="AM16" s="116"/>
    </row>
    <row r="17" spans="2:39">
      <c r="B17" s="1" t="s">
        <v>1252</v>
      </c>
      <c r="C17" s="1"/>
      <c r="D17" s="1"/>
      <c r="E17" s="1"/>
      <c r="H17" s="1" t="s">
        <v>46</v>
      </c>
      <c r="I17" s="1" t="s">
        <v>46</v>
      </c>
      <c r="J17" s="1" t="s">
        <v>46</v>
      </c>
      <c r="K17" s="1" t="s">
        <v>46</v>
      </c>
      <c r="L17" s="1" t="s">
        <v>46</v>
      </c>
      <c r="M17" s="1" t="s">
        <v>46</v>
      </c>
      <c r="O17" s="1" t="s">
        <v>46</v>
      </c>
      <c r="P17" s="1" t="s">
        <v>46</v>
      </c>
      <c r="Q17" s="1" t="s">
        <v>46</v>
      </c>
      <c r="R17" s="1" t="s">
        <v>46</v>
      </c>
      <c r="AA17" s="239"/>
      <c r="AM17" s="222"/>
    </row>
    <row r="18" spans="2:39" ht="21" thickBot="1">
      <c r="B18" s="1"/>
      <c r="C18" s="1"/>
      <c r="D18" s="1"/>
      <c r="E18" s="1"/>
      <c r="H18" s="19" t="s">
        <v>1059</v>
      </c>
      <c r="I18" s="19" t="s">
        <v>5</v>
      </c>
      <c r="J18" s="19" t="s">
        <v>1060</v>
      </c>
      <c r="K18" s="19" t="s">
        <v>312</v>
      </c>
      <c r="L18" s="19" t="s">
        <v>46</v>
      </c>
      <c r="M18" s="19" t="s">
        <v>5</v>
      </c>
      <c r="O18" s="19" t="s">
        <v>960</v>
      </c>
      <c r="P18" s="19" t="s">
        <v>960</v>
      </c>
      <c r="Q18" s="19" t="s">
        <v>960</v>
      </c>
      <c r="R18" s="19" t="s">
        <v>960</v>
      </c>
      <c r="AA18" s="239"/>
      <c r="AM18" s="222"/>
    </row>
    <row r="19" spans="2:39" ht="21" thickTop="1">
      <c r="B19" s="1"/>
      <c r="C19" s="1"/>
      <c r="D19" s="1"/>
      <c r="E19" s="1"/>
      <c r="H19" s="1" cm="1">
        <f t="array" ref="H19:I19">LINEST(I6:I7,H6:H7,TRUE,FALSE)</f>
        <v>0</v>
      </c>
      <c r="I19" s="2">
        <v>1.08</v>
      </c>
      <c r="J19" s="1" cm="1">
        <f t="array" ref="J19:K19">LINEST(J6:J7,H6:H7,TRUE,FALSE)</f>
        <v>0</v>
      </c>
      <c r="K19" s="2">
        <v>4.4000000000000004</v>
      </c>
      <c r="L19" s="1" cm="1">
        <f t="array" ref="L19:M19">LINEST(L6:L7,H6:H7,TRUE,FALSE)</f>
        <v>0</v>
      </c>
      <c r="M19" s="2">
        <v>0.375</v>
      </c>
      <c r="N19" s="264">
        <v>0</v>
      </c>
      <c r="O19" s="2" cm="1">
        <f t="array" ref="O19:P22">TRANSPOSE('主翼（構造）'!U20:X21)</f>
        <v>0</v>
      </c>
      <c r="P19" s="2">
        <v>113.39</v>
      </c>
      <c r="Q19" s="2" cm="1">
        <f t="array" ref="Q19:R22">TRANSPOSE('主翼（構造）'!Y20:AB21)</f>
        <v>0</v>
      </c>
      <c r="R19" s="2">
        <v>113.39</v>
      </c>
      <c r="AA19" s="239"/>
      <c r="AM19" s="222"/>
    </row>
    <row r="20" spans="2:39">
      <c r="B20" s="1"/>
      <c r="C20" s="1"/>
      <c r="D20" s="1"/>
      <c r="E20" s="1"/>
      <c r="H20" s="1" cm="1">
        <f t="array" ref="H20:I20">LINEST(I7:I8,H7:H8,TRUE,FALSE)</f>
        <v>-4.561403508771935E-2</v>
      </c>
      <c r="I20" s="1">
        <v>1.157543859649123</v>
      </c>
      <c r="J20" s="1" cm="1">
        <f t="array" ref="J20:K20">LINEST(J7:J8,H7:H8,TRUE,FALSE)</f>
        <v>0</v>
      </c>
      <c r="K20" s="1">
        <v>4.4000000000000004</v>
      </c>
      <c r="L20" s="1" cm="1">
        <f t="array" ref="L20:M20">LINEST(L7:L8,H7:H8,TRUE,FALSE)</f>
        <v>0</v>
      </c>
      <c r="M20" s="1">
        <v>0.375</v>
      </c>
      <c r="N20" s="264">
        <v>1</v>
      </c>
      <c r="O20" s="1">
        <v>-8.0000000000000018</v>
      </c>
      <c r="P20" s="1">
        <v>133.10999999999999</v>
      </c>
      <c r="Q20" s="1">
        <v>-8.1679999999999975</v>
      </c>
      <c r="R20" s="1">
        <v>133.75469999999999</v>
      </c>
      <c r="AA20" s="239"/>
      <c r="AM20" s="222"/>
    </row>
    <row r="21" spans="2:39">
      <c r="B21" s="1"/>
      <c r="C21" s="1"/>
      <c r="D21" s="1"/>
      <c r="E21" s="1"/>
      <c r="H21" s="1" cm="1">
        <f t="array" ref="H21:I21">LINEST(I8:I9,H8:H9,TRUE,FALSE)</f>
        <v>-6.4406779661016947E-2</v>
      </c>
      <c r="I21" s="1">
        <v>1.2430508474576272</v>
      </c>
      <c r="J21" s="1" cm="1">
        <f t="array" ref="J21:K21">LINEST(J8:J9,H8:H9,TRUE,FALSE)</f>
        <v>0</v>
      </c>
      <c r="K21" s="1">
        <v>4.4000000000000004</v>
      </c>
      <c r="L21" s="1" cm="1">
        <f t="array" ref="L21:M21">LINEST(L8:L9,H8:H9,TRUE,FALSE)</f>
        <v>0</v>
      </c>
      <c r="M21" s="1">
        <v>0.375</v>
      </c>
      <c r="N21" s="264">
        <v>2</v>
      </c>
      <c r="O21" s="1">
        <v>-9.3421000000000021</v>
      </c>
      <c r="P21" s="1">
        <v>149.18629000000001</v>
      </c>
      <c r="Q21" s="1">
        <v>-9.2117578536842135</v>
      </c>
      <c r="R21" s="1">
        <v>147.67568082502635</v>
      </c>
      <c r="AA21" s="239"/>
      <c r="AM21" s="222"/>
    </row>
    <row r="22" spans="2:39">
      <c r="B22" s="1"/>
      <c r="C22" s="1"/>
      <c r="D22" s="1"/>
      <c r="E22" s="1"/>
      <c r="H22" s="1" cm="1">
        <f t="array" ref="H22:I22">LINEST(I9:I10,H9:H10,TRUE,FALSE)</f>
        <v>-6.6666666666666652E-2</v>
      </c>
      <c r="I22" s="1">
        <v>1.2599999999999998</v>
      </c>
      <c r="J22" s="1" cm="1">
        <f t="array" ref="J22:K22">LINEST(J9:J10,H9:H10,TRUE,FALSE)</f>
        <v>0</v>
      </c>
      <c r="K22" s="1">
        <v>4.4000000000000004</v>
      </c>
      <c r="L22" s="1" cm="1">
        <f t="array" ref="L22:M22">LINEST(L9:L10,H9:H10,TRUE,FALSE)</f>
        <v>0</v>
      </c>
      <c r="M22" s="1">
        <v>0.375</v>
      </c>
      <c r="N22" s="264">
        <v>3</v>
      </c>
      <c r="O22" s="1">
        <v>-8.5</v>
      </c>
      <c r="P22" s="1">
        <v>149.32799999999997</v>
      </c>
      <c r="Q22" s="1">
        <v>-8.5</v>
      </c>
      <c r="R22" s="1">
        <v>148.15199999999999</v>
      </c>
      <c r="AA22" s="239"/>
      <c r="AM22" s="222"/>
    </row>
    <row r="23" spans="2:39">
      <c r="B23" s="1"/>
      <c r="C23" s="1"/>
      <c r="D23" s="1"/>
      <c r="E23" s="1"/>
      <c r="H23" s="1" cm="1">
        <f t="array" ref="H23:I23">LINEST(I10:I11,H10:H11,TRUE,FALSE)</f>
        <v>-6.666666666666668E-2</v>
      </c>
      <c r="I23" s="1">
        <v>1.2600000000000002</v>
      </c>
      <c r="J23" s="1" cm="1">
        <f t="array" ref="J23:K23">LINEST(J10:J11,H10:H11,TRUE,FALSE)</f>
        <v>0</v>
      </c>
      <c r="K23" s="1">
        <v>4.4000000000000004</v>
      </c>
      <c r="L23" s="1" cm="1">
        <f t="array" ref="L23:M23">LINEST(L10:L11,H10:H11,TRUE,FALSE)</f>
        <v>0</v>
      </c>
      <c r="M23" s="1">
        <v>0.375</v>
      </c>
      <c r="O23" s="1"/>
      <c r="P23" s="1"/>
      <c r="Q23" s="1"/>
      <c r="R23" s="1"/>
      <c r="AA23" s="239"/>
      <c r="AM23" s="222"/>
    </row>
    <row r="24" spans="2:39">
      <c r="B24" s="1"/>
      <c r="C24" s="1"/>
      <c r="D24" s="1"/>
      <c r="E24" s="1"/>
      <c r="H24" s="1" cm="1">
        <f t="array" ref="H24:I24">LINEST(I11:I12,H11:H12,TRUE,FALSE)</f>
        <v>-8.7500000000000092E-2</v>
      </c>
      <c r="I24" s="1">
        <v>1.4850000000000012</v>
      </c>
      <c r="J24" s="1" cm="1">
        <f t="array" ref="J24:K24">LINEST(J11:J12,H11:H12,TRUE,FALSE)</f>
        <v>-1.8125000000000013</v>
      </c>
      <c r="K24" s="1">
        <v>23.975000000000016</v>
      </c>
      <c r="L24" s="1" cm="1">
        <f t="array" ref="L24:M24">LINEST(L11:L12,H11:H12,TRUE,FALSE)</f>
        <v>0</v>
      </c>
      <c r="M24" s="1">
        <v>0.375</v>
      </c>
      <c r="O24" s="1"/>
      <c r="P24" s="1"/>
      <c r="Q24" s="1"/>
      <c r="R24" s="1"/>
      <c r="AA24" s="239"/>
      <c r="AM24" s="222"/>
    </row>
    <row r="25" spans="2:39">
      <c r="B25" s="1"/>
      <c r="C25" s="1"/>
      <c r="D25" s="1"/>
      <c r="E25" s="1"/>
      <c r="H25" s="1" cm="1">
        <f t="array" ref="H25:I25">LINEST(I12:I13,H12:H13,TRUE,FALSE)</f>
        <v>-8.749999999999987E-2</v>
      </c>
      <c r="I25" s="1">
        <v>1.4849999999999983</v>
      </c>
      <c r="J25" s="1" cm="1">
        <f t="array" ref="J25:K25">LINEST(J12:J13,H12:H13,TRUE,FALSE)</f>
        <v>-1.8124999999999982</v>
      </c>
      <c r="K25" s="1">
        <v>23.974999999999977</v>
      </c>
      <c r="L25" s="1" cm="1">
        <f t="array" ref="L25:M25">LINEST(L12:L13,H12:H13,TRUE,FALSE)</f>
        <v>0</v>
      </c>
      <c r="M25" s="1">
        <v>0.375</v>
      </c>
      <c r="O25" s="1"/>
      <c r="P25" s="1"/>
      <c r="Q25" s="1"/>
      <c r="R25" s="1"/>
      <c r="AA25" s="8"/>
      <c r="AB25" s="240"/>
      <c r="AC25" s="240"/>
      <c r="AD25" s="240"/>
      <c r="AE25" s="240"/>
      <c r="AF25" s="240"/>
      <c r="AG25" s="240"/>
      <c r="AH25" s="240"/>
      <c r="AI25" s="240"/>
      <c r="AJ25" s="240"/>
      <c r="AK25" s="240"/>
      <c r="AL25" s="240"/>
      <c r="AM25" s="7"/>
    </row>
    <row r="26" spans="2:39">
      <c r="B26" s="1"/>
      <c r="C26" s="1"/>
      <c r="D26" s="1"/>
      <c r="E26" s="1"/>
      <c r="AD26" s="235" t="s">
        <v>1189</v>
      </c>
      <c r="AK26" s="3" t="s">
        <v>1484</v>
      </c>
    </row>
    <row r="27" spans="2:39">
      <c r="B27" s="1"/>
      <c r="C27" s="1"/>
      <c r="D27" s="1"/>
      <c r="E27" s="1"/>
      <c r="AD27" s="235" t="s">
        <v>1190</v>
      </c>
      <c r="AK27" s="3" t="s">
        <v>1477</v>
      </c>
    </row>
    <row r="28" spans="2:39">
      <c r="B28" s="1"/>
      <c r="C28" s="1"/>
      <c r="D28" s="1"/>
      <c r="E28" s="1"/>
      <c r="AD28" s="235" t="s">
        <v>1189</v>
      </c>
      <c r="AK28" s="3" t="s">
        <v>283</v>
      </c>
    </row>
    <row r="29" spans="2:39">
      <c r="B29" s="1"/>
      <c r="C29" s="1"/>
      <c r="D29" s="1"/>
      <c r="E29" s="1"/>
      <c r="W29" s="236"/>
      <c r="AD29" s="235" t="s">
        <v>1190</v>
      </c>
    </row>
    <row r="30" spans="2:39">
      <c r="B30" s="1"/>
      <c r="C30" s="1"/>
      <c r="D30" s="1"/>
      <c r="E30" s="1"/>
      <c r="Y30" s="236"/>
    </row>
    <row r="31" spans="2:39">
      <c r="B31" s="1"/>
      <c r="C31" s="1"/>
      <c r="D31" s="1"/>
      <c r="E31" s="1"/>
    </row>
    <row r="32" spans="2:39">
      <c r="B32" s="1"/>
      <c r="C32" s="1"/>
      <c r="D32" s="1"/>
      <c r="E32" s="1"/>
    </row>
    <row r="33" spans="2:64">
      <c r="B33" s="1" t="s">
        <v>1321</v>
      </c>
      <c r="C33" s="1"/>
      <c r="D33" s="1"/>
      <c r="E33" s="1"/>
    </row>
    <row r="34" spans="2:64">
      <c r="B34" s="1"/>
      <c r="C34" s="1"/>
      <c r="D34" s="1"/>
      <c r="E34" s="1"/>
    </row>
    <row r="35" spans="2:64">
      <c r="B35" s="1"/>
      <c r="C35" s="1"/>
      <c r="D35" s="1"/>
      <c r="E35" s="1"/>
    </row>
    <row r="36" spans="2:64">
      <c r="B36" s="1"/>
      <c r="C36" s="1"/>
      <c r="D36" s="1"/>
      <c r="E36" s="1"/>
    </row>
    <row r="37" spans="2:64">
      <c r="B37" s="1"/>
      <c r="C37" s="1"/>
      <c r="D37" s="1"/>
      <c r="E37" s="1"/>
    </row>
    <row r="43" spans="2:64">
      <c r="D43" s="3" t="s">
        <v>1456</v>
      </c>
    </row>
    <row r="44" spans="2:64">
      <c r="B44" s="10" t="s">
        <v>1191</v>
      </c>
      <c r="C44" s="197">
        <v>0.8</v>
      </c>
      <c r="D44" s="198" t="s">
        <v>5</v>
      </c>
      <c r="F44" s="3" t="s">
        <v>716</v>
      </c>
      <c r="AY44" s="3" t="s">
        <v>891</v>
      </c>
      <c r="AZ44" s="3" t="s">
        <v>1107</v>
      </c>
    </row>
    <row r="45" spans="2:64">
      <c r="B45" s="10" t="s">
        <v>1405</v>
      </c>
      <c r="C45" s="197">
        <f>H13</f>
        <v>12.4</v>
      </c>
      <c r="D45" s="198" t="s">
        <v>5</v>
      </c>
      <c r="F45" s="119" t="s">
        <v>692</v>
      </c>
      <c r="G45" s="119" t="s">
        <v>693</v>
      </c>
      <c r="H45" s="119" t="s">
        <v>694</v>
      </c>
      <c r="I45" s="119" t="s">
        <v>1055</v>
      </c>
      <c r="AY45" s="3">
        <f>0.095</f>
        <v>9.5000000000000001E-2</v>
      </c>
      <c r="AZ45" s="3">
        <v>2.0499999999999998</v>
      </c>
    </row>
    <row r="46" spans="2:64">
      <c r="B46" s="10" t="s">
        <v>817</v>
      </c>
      <c r="C46" s="197">
        <v>0.15</v>
      </c>
      <c r="D46" s="198" t="s">
        <v>37</v>
      </c>
      <c r="F46" s="1">
        <f>'主翼（構造）'!H7</f>
        <v>1.4</v>
      </c>
      <c r="G46" s="1">
        <f>'主翼（構造）'!H9</f>
        <v>4.8999999999999995</v>
      </c>
      <c r="H46" s="1">
        <f>'主翼（構造）'!H11</f>
        <v>8.3999999999999986</v>
      </c>
      <c r="I46" s="1">
        <f>'主翼（構造）'!H13</f>
        <v>12.2</v>
      </c>
      <c r="BG46" s="3" t="s">
        <v>1081</v>
      </c>
    </row>
    <row r="47" spans="2:64" ht="21" thickBot="1">
      <c r="I47" s="3" t="s">
        <v>728</v>
      </c>
      <c r="M47" s="3" t="s">
        <v>1403</v>
      </c>
      <c r="AD47" s="3" t="s">
        <v>890</v>
      </c>
      <c r="AN47" s="3" t="s">
        <v>1404</v>
      </c>
      <c r="AT47" s="3" t="s">
        <v>1094</v>
      </c>
      <c r="AY47" s="3" t="s">
        <v>722</v>
      </c>
      <c r="BC47" s="3" t="s">
        <v>1108</v>
      </c>
      <c r="BD47" s="3">
        <v>2</v>
      </c>
      <c r="BE47" s="3">
        <v>3</v>
      </c>
      <c r="BG47" s="1">
        <f>SUM(BF117:BF150)/1000</f>
        <v>0</v>
      </c>
      <c r="BH47" s="1">
        <f>SUM(BG117:BG150)/1000</f>
        <v>0</v>
      </c>
      <c r="BI47" s="1">
        <f>BG47+BH47</f>
        <v>0</v>
      </c>
      <c r="BJ47" s="3" t="s">
        <v>24</v>
      </c>
    </row>
    <row r="48" spans="2:64" ht="21" thickBot="1">
      <c r="B48" s="10" t="s">
        <v>641</v>
      </c>
      <c r="C48" s="12" t="s">
        <v>1058</v>
      </c>
      <c r="D48" s="12" t="s">
        <v>618</v>
      </c>
      <c r="E48" s="299" t="s">
        <v>887</v>
      </c>
      <c r="F48" s="300" t="s">
        <v>883</v>
      </c>
      <c r="G48" s="300" t="s">
        <v>884</v>
      </c>
      <c r="H48" s="301" t="s">
        <v>1291</v>
      </c>
      <c r="I48" s="169" t="s">
        <v>1032</v>
      </c>
      <c r="J48" s="12" t="s">
        <v>1033</v>
      </c>
      <c r="K48" s="10" t="s">
        <v>635</v>
      </c>
      <c r="L48" s="37" t="s">
        <v>655</v>
      </c>
      <c r="M48" s="12" t="s">
        <v>1354</v>
      </c>
      <c r="N48" s="10" t="s">
        <v>660</v>
      </c>
      <c r="O48" s="14" t="s">
        <v>685</v>
      </c>
      <c r="P48" s="10" t="s">
        <v>686</v>
      </c>
      <c r="Q48" s="10" t="s">
        <v>687</v>
      </c>
      <c r="R48" s="10" t="s">
        <v>730</v>
      </c>
      <c r="S48" s="10" t="s">
        <v>336</v>
      </c>
      <c r="T48" s="10" t="s">
        <v>1478</v>
      </c>
      <c r="U48" s="10" t="s">
        <v>733</v>
      </c>
      <c r="V48" s="10" t="s">
        <v>361</v>
      </c>
      <c r="W48" s="10" t="s">
        <v>735</v>
      </c>
      <c r="X48" s="10" t="s">
        <v>343</v>
      </c>
      <c r="Y48" s="10" t="s">
        <v>661</v>
      </c>
      <c r="Z48" s="10" t="s">
        <v>663</v>
      </c>
      <c r="AA48" s="10" t="s">
        <v>662</v>
      </c>
      <c r="AB48" s="10" t="s">
        <v>666</v>
      </c>
      <c r="AC48" s="37" t="s">
        <v>664</v>
      </c>
      <c r="AD48" s="13" t="s">
        <v>1066</v>
      </c>
      <c r="AE48" s="14" t="s">
        <v>1067</v>
      </c>
      <c r="AF48" s="14" t="s">
        <v>1068</v>
      </c>
      <c r="AG48" s="14" t="s">
        <v>1069</v>
      </c>
      <c r="AH48" s="10" t="s">
        <v>643</v>
      </c>
      <c r="AI48" s="10" t="s">
        <v>644</v>
      </c>
      <c r="AJ48" s="10" t="s">
        <v>1056</v>
      </c>
      <c r="AK48" s="10" t="s">
        <v>822</v>
      </c>
      <c r="AL48" s="14" t="s">
        <v>333</v>
      </c>
      <c r="AM48" s="10" t="s">
        <v>642</v>
      </c>
      <c r="AN48" s="12" t="s">
        <v>1088</v>
      </c>
      <c r="AO48" s="10" t="s">
        <v>1083</v>
      </c>
      <c r="AP48" s="10" t="s">
        <v>1089</v>
      </c>
      <c r="AQ48" s="10" t="s">
        <v>1090</v>
      </c>
      <c r="AR48" s="10" t="s">
        <v>1084</v>
      </c>
      <c r="AS48" s="10" t="s">
        <v>1085</v>
      </c>
      <c r="AT48" s="10" t="s">
        <v>891</v>
      </c>
      <c r="AU48" s="10" t="s">
        <v>892</v>
      </c>
      <c r="AV48" s="169" t="s">
        <v>895</v>
      </c>
      <c r="AW48" s="12" t="s">
        <v>893</v>
      </c>
      <c r="AX48" s="37" t="s">
        <v>894</v>
      </c>
      <c r="AY48" s="14" t="s">
        <v>697</v>
      </c>
      <c r="AZ48" s="10" t="s">
        <v>699</v>
      </c>
      <c r="BA48" s="10" t="s">
        <v>700</v>
      </c>
      <c r="BB48" s="10" t="s">
        <v>703</v>
      </c>
      <c r="BC48" s="10" t="s">
        <v>1076</v>
      </c>
      <c r="BD48" s="10" t="s">
        <v>1077</v>
      </c>
      <c r="BE48" s="10" t="s">
        <v>1080</v>
      </c>
      <c r="BF48" s="12" t="s">
        <v>726</v>
      </c>
      <c r="BG48" s="10" t="s">
        <v>1071</v>
      </c>
      <c r="BH48" s="10" t="s">
        <v>1070</v>
      </c>
      <c r="BI48" s="10" t="s">
        <v>1082</v>
      </c>
      <c r="BJ48" s="96" t="s">
        <v>1072</v>
      </c>
      <c r="BK48" s="96"/>
      <c r="BL48" s="210"/>
    </row>
    <row r="49" spans="2:64">
      <c r="B49" s="1" t="s">
        <v>650</v>
      </c>
      <c r="C49" s="9" t="s">
        <v>22</v>
      </c>
      <c r="D49" s="1" t="s">
        <v>619</v>
      </c>
      <c r="E49" s="8" t="s">
        <v>611</v>
      </c>
      <c r="F49" s="297" t="s">
        <v>651</v>
      </c>
      <c r="G49" s="297" t="s">
        <v>651</v>
      </c>
      <c r="H49" s="298" t="s">
        <v>651</v>
      </c>
      <c r="I49" s="9" t="s">
        <v>651</v>
      </c>
      <c r="J49" s="9" t="s">
        <v>651</v>
      </c>
      <c r="K49" s="1" t="s">
        <v>651</v>
      </c>
      <c r="L49" s="62" t="s">
        <v>651</v>
      </c>
      <c r="M49" s="166" t="s">
        <v>667</v>
      </c>
      <c r="N49" s="57" t="s">
        <v>668</v>
      </c>
      <c r="O49" s="208" t="s">
        <v>363</v>
      </c>
      <c r="P49" s="57" t="s">
        <v>366</v>
      </c>
      <c r="Q49" s="57" t="s">
        <v>830</v>
      </c>
      <c r="R49" s="57" t="s">
        <v>731</v>
      </c>
      <c r="S49" s="57" t="s">
        <v>669</v>
      </c>
      <c r="T49" s="57" t="s">
        <v>670</v>
      </c>
      <c r="U49" s="57" t="s">
        <v>734</v>
      </c>
      <c r="V49" s="57" t="s">
        <v>671</v>
      </c>
      <c r="W49" s="57" t="s">
        <v>674</v>
      </c>
      <c r="X49" s="57" t="s">
        <v>672</v>
      </c>
      <c r="Y49" s="57" t="s">
        <v>673</v>
      </c>
      <c r="Z49" s="57" t="s">
        <v>677</v>
      </c>
      <c r="AA49" s="57" t="s">
        <v>676</v>
      </c>
      <c r="AB49" s="57" t="s">
        <v>680</v>
      </c>
      <c r="AC49" s="165" t="s">
        <v>678</v>
      </c>
      <c r="AD49" s="63" t="s">
        <v>651</v>
      </c>
      <c r="AE49" s="22" t="s">
        <v>651</v>
      </c>
      <c r="AF49" s="22" t="s">
        <v>651</v>
      </c>
      <c r="AG49" s="22" t="s">
        <v>651</v>
      </c>
      <c r="AH49" s="1" t="s">
        <v>888</v>
      </c>
      <c r="AI49" s="1" t="s">
        <v>889</v>
      </c>
      <c r="AJ49" s="1" t="s">
        <v>1057</v>
      </c>
      <c r="AK49" s="1" t="s">
        <v>823</v>
      </c>
      <c r="AL49" s="22" t="s">
        <v>667</v>
      </c>
      <c r="AM49" s="1" t="s">
        <v>825</v>
      </c>
      <c r="AN49" s="166" t="s">
        <v>1091</v>
      </c>
      <c r="AO49" s="57" t="s">
        <v>675</v>
      </c>
      <c r="AP49" s="57" t="s">
        <v>1092</v>
      </c>
      <c r="AQ49" s="57" t="s">
        <v>1093</v>
      </c>
      <c r="AR49" s="57" t="s">
        <v>1087</v>
      </c>
      <c r="AS49" s="57" t="s">
        <v>1086</v>
      </c>
      <c r="AT49" s="57"/>
      <c r="AU49" s="57"/>
      <c r="AV49" s="170" t="s">
        <v>651</v>
      </c>
      <c r="AW49" s="9" t="s">
        <v>651</v>
      </c>
      <c r="AX49" s="62" t="s">
        <v>651</v>
      </c>
      <c r="AY49" s="22" t="s">
        <v>45</v>
      </c>
      <c r="AZ49" s="1" t="s">
        <v>45</v>
      </c>
      <c r="BA49" s="1" t="s">
        <v>45</v>
      </c>
      <c r="BB49" s="1" t="s">
        <v>45</v>
      </c>
      <c r="BC49" s="1" t="s">
        <v>45</v>
      </c>
      <c r="BD49" s="1" t="s">
        <v>45</v>
      </c>
      <c r="BE49" s="1" t="s">
        <v>45</v>
      </c>
      <c r="BF49" s="9" t="s">
        <v>45</v>
      </c>
      <c r="BG49" s="1" t="s">
        <v>45</v>
      </c>
      <c r="BH49" s="57" t="s">
        <v>45</v>
      </c>
      <c r="BI49" s="57" t="s">
        <v>45</v>
      </c>
      <c r="BJ49" s="1" t="s">
        <v>1073</v>
      </c>
      <c r="BK49" s="1" t="s">
        <v>1074</v>
      </c>
      <c r="BL49" s="62" t="s">
        <v>1075</v>
      </c>
    </row>
    <row r="50" spans="2:64" ht="21" thickBot="1">
      <c r="B50" s="20" t="s">
        <v>651</v>
      </c>
      <c r="C50" s="115" t="s">
        <v>652</v>
      </c>
      <c r="D50" s="20" t="s">
        <v>765</v>
      </c>
      <c r="E50" s="115" t="s">
        <v>652</v>
      </c>
      <c r="F50" s="114" t="s">
        <v>651</v>
      </c>
      <c r="G50" s="113" t="s">
        <v>651</v>
      </c>
      <c r="H50" s="261" t="s">
        <v>651</v>
      </c>
      <c r="I50" s="115" t="s">
        <v>607</v>
      </c>
      <c r="J50" s="115" t="s">
        <v>607</v>
      </c>
      <c r="K50" s="19" t="s">
        <v>154</v>
      </c>
      <c r="L50" s="164" t="s">
        <v>607</v>
      </c>
      <c r="M50" s="167" t="s">
        <v>681</v>
      </c>
      <c r="N50" s="114" t="s">
        <v>651</v>
      </c>
      <c r="O50" s="209" t="s">
        <v>273</v>
      </c>
      <c r="P50" s="114" t="s">
        <v>273</v>
      </c>
      <c r="Q50" s="114" t="s">
        <v>732</v>
      </c>
      <c r="R50" s="114" t="s">
        <v>651</v>
      </c>
      <c r="S50" s="114" t="s">
        <v>651</v>
      </c>
      <c r="T50" s="114" t="s">
        <v>651</v>
      </c>
      <c r="U50" s="114" t="s">
        <v>651</v>
      </c>
      <c r="V50" s="114" t="s">
        <v>651</v>
      </c>
      <c r="W50" s="114" t="s">
        <v>651</v>
      </c>
      <c r="X50" s="114" t="s">
        <v>682</v>
      </c>
      <c r="Y50" s="114" t="s">
        <v>682</v>
      </c>
      <c r="Z50" s="114" t="s">
        <v>683</v>
      </c>
      <c r="AA50" s="114" t="s">
        <v>683</v>
      </c>
      <c r="AB50" s="114" t="s">
        <v>683</v>
      </c>
      <c r="AC50" s="191" t="s">
        <v>684</v>
      </c>
      <c r="AD50" s="218" t="s">
        <v>45</v>
      </c>
      <c r="AE50" s="116" t="s">
        <v>45</v>
      </c>
      <c r="AF50" s="116" t="s">
        <v>45</v>
      </c>
      <c r="AG50" s="116" t="s">
        <v>45</v>
      </c>
      <c r="AH50" s="19" t="s">
        <v>652</v>
      </c>
      <c r="AI50" s="19" t="s">
        <v>652</v>
      </c>
      <c r="AJ50" s="19" t="s">
        <v>652</v>
      </c>
      <c r="AK50" s="19" t="s">
        <v>652</v>
      </c>
      <c r="AL50" s="116" t="s">
        <v>260</v>
      </c>
      <c r="AM50" s="19" t="s">
        <v>260</v>
      </c>
      <c r="AN50" s="167" t="s">
        <v>681</v>
      </c>
      <c r="AO50" s="114" t="s">
        <v>681</v>
      </c>
      <c r="AP50" s="114" t="s">
        <v>652</v>
      </c>
      <c r="AQ50" s="114" t="s">
        <v>652</v>
      </c>
      <c r="AR50" s="114" t="s">
        <v>652</v>
      </c>
      <c r="AS50" s="114" t="s">
        <v>681</v>
      </c>
      <c r="AT50" s="114" t="s">
        <v>398</v>
      </c>
      <c r="AU50" s="114" t="s">
        <v>5</v>
      </c>
      <c r="AV50" s="171" t="s">
        <v>652</v>
      </c>
      <c r="AW50" s="115" t="s">
        <v>652</v>
      </c>
      <c r="AX50" s="164" t="s">
        <v>652</v>
      </c>
      <c r="AY50" s="168" t="s">
        <v>725</v>
      </c>
      <c r="AZ50" s="120" t="s">
        <v>725</v>
      </c>
      <c r="BA50" s="120" t="s">
        <v>725</v>
      </c>
      <c r="BB50" s="19" t="s">
        <v>725</v>
      </c>
      <c r="BC50" s="19" t="s">
        <v>725</v>
      </c>
      <c r="BD50" s="19" t="s">
        <v>725</v>
      </c>
      <c r="BE50" s="19" t="s">
        <v>725</v>
      </c>
      <c r="BF50" s="172" t="s">
        <v>725</v>
      </c>
      <c r="BG50" s="120" t="s">
        <v>725</v>
      </c>
      <c r="BH50" s="114" t="s">
        <v>725</v>
      </c>
      <c r="BI50" s="113" t="s">
        <v>6</v>
      </c>
      <c r="BJ50" s="19" t="s">
        <v>398</v>
      </c>
      <c r="BK50" s="19" t="s">
        <v>398</v>
      </c>
      <c r="BL50" s="211" t="s">
        <v>398</v>
      </c>
    </row>
    <row r="51" spans="2:64" ht="21" thickTop="1">
      <c r="B51" s="200">
        <v>0</v>
      </c>
      <c r="C51" s="23">
        <v>0</v>
      </c>
      <c r="D51" s="23">
        <f t="shared" ref="D51:D82" si="0">IF($C51&lt;$H$7,$H$19*$C51+$I$19,IF($C51&lt;$H$8,$H$20*$C51+$I$20,IF($C51&lt;$H$9,$H$21*$C51+$I$21,IF($C51&lt;$H$10,$H$22*$C51+$I$22,IF($C51&lt;$H$11,$H$23*$C51+$I$23,IF($C51&lt;$H$12,$H$24*$C51+$I$24,$H$25*$C51+$I$25))))))*10^3</f>
        <v>1080</v>
      </c>
      <c r="E51" s="43">
        <f>C44</f>
        <v>0.8</v>
      </c>
      <c r="F51" s="43" t="str">
        <f t="shared" ref="F51:F57" si="1">IF(C51&lt;$H$7,"flat",IF(C51&lt;$H$8,"1st",IF(C51&lt;$H$9,"2nd",IF(C51&lt;$H$10,"3rd",IF(C51&lt;$H$11,"4th",IF(C51&lt;$H$12,"5th","6th"))))))</f>
        <v>flat</v>
      </c>
      <c r="G51" s="43" t="str">
        <f t="shared" ref="G51:G82" si="2">IF(OR(C51=$F$46,C51=$G$46,C51=$H$46),"端リブ",IF(C51&lt;$F$46,"0番",IF(C51&lt;$G$46,"1番",IF(C51&lt;$H$46,"2番",IF(C51&lt;$I$46,"3番","ウィングレット")))))</f>
        <v>0番</v>
      </c>
      <c r="H51" s="262" t="s">
        <v>1294</v>
      </c>
      <c r="I51" s="65">
        <f t="shared" ref="I51:I82" si="3">IF(G51="0番",$P$19+$O$19*C51,IF(G51="1番",$P$20+$O$20*C51,IF(G51="2番",$P$21+$O$21*C51,IF(G51="3番",$P$22+$O$22*C51))))</f>
        <v>113.39</v>
      </c>
      <c r="J51" s="23">
        <f t="shared" ref="J51:J82" si="4">IF(G51="0番",$R$19+$Q$19*C51,IF(G51="1番",$R$20+$Q$20*C51,IF(G51="2番",$R$21+$Q$21*C51,IF(G51="3番",$R$22+$Q$22*C51))))</f>
        <v>113.39</v>
      </c>
      <c r="K51" s="23">
        <f t="shared" ref="K51:K82" si="5">IF($C51&lt;$H$7,$L$19*$C51+$M$19,IF($C51&lt;$H$8,$L$20*$C51+$M$20,IF($C51&lt;$H$9,$L$21*$C51+$M$21,IF($C51&lt;$H$10,$L$22*$C51+$M$23,IF($C51&lt;$H$11,$L$23*$C51+$M$22,IF($C51&lt;$H$12,$L$24*$C51+$M$24,$L$25*$C51+$M$25))))))</f>
        <v>0.375</v>
      </c>
      <c r="L51" s="201"/>
      <c r="M51" s="203"/>
      <c r="N51" s="204"/>
      <c r="O51" s="205"/>
      <c r="P51" s="204"/>
      <c r="Q51" s="204"/>
      <c r="R51" s="204"/>
      <c r="S51" s="204"/>
      <c r="T51" s="204"/>
      <c r="U51" s="204"/>
      <c r="V51" s="204"/>
      <c r="W51" s="204"/>
      <c r="X51" s="204"/>
      <c r="Y51" s="204"/>
      <c r="Z51" s="204"/>
      <c r="AA51" s="204"/>
      <c r="AB51" s="204"/>
      <c r="AC51" s="204"/>
      <c r="AD51" s="65" t="str">
        <f t="shared" ref="AD51:AD82" si="6">IF($C51&lt;$H$7,$M$6,IF($C51&lt;$H$8,$M$7,IF($C51&lt;$H$9,$M$8,IF($C51&lt;$H$10,$M$9,IF($C51&lt;$H$11,$M$10,IF($C51&lt;$H$12,$M$11,$M$12))))))</f>
        <v>QX0024</v>
      </c>
      <c r="AE51" s="23">
        <f>100-AG51</f>
        <v>100</v>
      </c>
      <c r="AF51" s="23" t="str">
        <f t="shared" ref="AF51:AF82" si="7">IF($C51&lt;$H$7,$M$7,IF($C51&lt;$H$8,$M$8,IF($C51&lt;$H$9,$M$9,IF($C51&lt;$H$10,$M$10,IF($C51&lt;$H$11,$M$11,IF($C51&lt;$H$12,$M$12,$M$13))))))</f>
        <v>QX0024</v>
      </c>
      <c r="AG51" s="23">
        <f t="shared" ref="AG51:AG82" si="8">IF(AD51=AF51,0,IF($C51&lt;$H$7,($C51-$H$6)/($H$7-$H$6),IF($C51&lt;$H$8,($C51-$H$7)/($H$8-$H$7),IF($C51&lt;$H$9,($C51-$H$8)/($H$9-$H$8),IF($C51&lt;$H$10,($C51-$H$9)/($H$10-$H$9),IF($C51&lt;$H$11,($C51-$H$10)/($H$11-$H$10),IF($C51&lt;$H$12,($C51-$H$11)/($H$12-$H$11),($C51-$H$12)/($H$13-$H$12))))))))*100</f>
        <v>0</v>
      </c>
      <c r="AH51" s="23">
        <f t="shared" ref="AH51:AH82" si="9">D51*K51/1000</f>
        <v>0.40500000000000003</v>
      </c>
      <c r="AI51" s="23">
        <f t="shared" ref="AI51:AI82" si="10">AH51-D51/1000</f>
        <v>-0.67500000000000004</v>
      </c>
      <c r="AJ51" s="23">
        <v>0</v>
      </c>
      <c r="AK51" s="23">
        <v>0</v>
      </c>
      <c r="AL51" s="23">
        <f t="shared" ref="AL51:AL82" si="11">IF($C51&lt;$H$7,$J$19*$C51+$K$19,IF($C51&lt;$H$8,$J$20*$C51+$K$20,IF($C51&lt;$H$9,$J$21*$C51+$K$21,IF($C51&lt;$H$10,$J$22*$C51+$K$22,IF($C51&lt;$H$11,$J$23*$C51+$K$23,IF($C51&lt;$H$12,$J$24*$C51+$K$24,$J$25*$C51+$K$25))))))</f>
        <v>4.4000000000000004</v>
      </c>
      <c r="AM51" s="199">
        <f t="shared" ref="AM51:AM82" si="12">IF($C51&lt;$H$7,$K$6,IF($C51&lt;$H$8,$K$7,IF($C51&lt;$H$9,$K$8,IF($C51&lt;$H$10,$K$9,IF($C51&lt;$H$11,$K$10,IF($C51&lt;$H$12,$K$11,$K$12))))))</f>
        <v>0</v>
      </c>
      <c r="AN51" s="203"/>
      <c r="AO51" s="204"/>
      <c r="AP51" s="204">
        <v>0</v>
      </c>
      <c r="AQ51" s="204">
        <v>0</v>
      </c>
      <c r="AR51" s="204"/>
      <c r="AS51" s="204"/>
      <c r="AT51" s="204">
        <f t="shared" ref="AT51:AT82" si="13">$AY$45*(D51/10^3)^2</f>
        <v>0.11080800000000002</v>
      </c>
      <c r="AU51" s="204">
        <f t="shared" ref="AU51:AU82" si="14">D51*$AZ$45/10^3</f>
        <v>2.214</v>
      </c>
      <c r="AV51" s="204">
        <f t="shared" ref="AV51:AV82" si="15">$AU$51*0.85/2</f>
        <v>0.94094999999999995</v>
      </c>
      <c r="AW51" s="204">
        <f>AU51*0.75/2</f>
        <v>0.83024999999999993</v>
      </c>
      <c r="AX51" s="201">
        <f>AU51*0.4/2</f>
        <v>0.44280000000000003</v>
      </c>
      <c r="AY51" s="65">
        <f>AT51*$AG$4*パラメータ!$D$23</f>
        <v>25.596648000000005</v>
      </c>
      <c r="AZ51" s="23">
        <f>AV51*$AG$7*E51*パラメータ!$D$28</f>
        <v>95.976900000000001</v>
      </c>
      <c r="BA51" s="23">
        <f>SUMPRODUCT($AC$4:$AC$10,$AD$4:$AD$10)*E51*パラメータ!$D$26*10^-3</f>
        <v>32.64</v>
      </c>
      <c r="BB51" s="23">
        <f>(AW51+AX51)*$AG$5*$AG$4*パラメータ!$D$21*10^-3</f>
        <v>6.0151612500000002</v>
      </c>
      <c r="BC51" s="23" t="e">
        <f>(#REF!*#REF!*パラメータ!$D$21+0.5*#REF!^2*SIN(RADIANS($T$10))*パラメータ!$D$24)*E51*10^-3</f>
        <v>#REF!</v>
      </c>
      <c r="BD51" s="23">
        <f t="shared" ref="BD51:BD82" si="16">AU51*($T$12)</f>
        <v>0</v>
      </c>
      <c r="BE51" s="23">
        <f t="shared" ref="BE51:BE82" si="17">$T$11</f>
        <v>0</v>
      </c>
      <c r="BF51" s="1">
        <f>IF(G51="端リブ",AT51*$T$13*パラメータ!$D$21*2,0)</f>
        <v>0</v>
      </c>
      <c r="BG51" s="23" t="e">
        <f>'主翼（構造）'!BA7*1000</f>
        <v>#REF!</v>
      </c>
      <c r="BH51" s="23" t="e">
        <f>SUM(AY51:BF51)</f>
        <v>#REF!</v>
      </c>
      <c r="BI51" s="23" t="e">
        <f>(BG51+BH51)/1000</f>
        <v>#REF!</v>
      </c>
      <c r="BJ51" s="23">
        <f>(AP51-機体重量!$G$16)^2+(AQ51-機体重量!$H$16)^2</f>
        <v>5.4950777486569501E-4</v>
      </c>
      <c r="BK51" s="23">
        <f>(AQ51-機体重量!$H$16)^2</f>
        <v>3.8816156979940122E-4</v>
      </c>
      <c r="BL51" s="217">
        <f>(AP51-機体重量!$G$16)^2</f>
        <v>1.6134620506629379E-4</v>
      </c>
    </row>
    <row r="52" spans="2:64">
      <c r="B52" s="97">
        <v>1</v>
      </c>
      <c r="C52" s="1">
        <f t="shared" ref="C52:C83" si="18">C51+E51</f>
        <v>0.8</v>
      </c>
      <c r="D52" s="2">
        <f t="shared" si="0"/>
        <v>1080</v>
      </c>
      <c r="E52" s="4">
        <v>0.15</v>
      </c>
      <c r="F52" s="4" t="str">
        <f t="shared" si="1"/>
        <v>flat</v>
      </c>
      <c r="G52" s="4" t="str">
        <f t="shared" si="2"/>
        <v>0番</v>
      </c>
      <c r="H52" s="263" t="s">
        <v>1294</v>
      </c>
      <c r="I52" s="63">
        <f t="shared" si="3"/>
        <v>113.39</v>
      </c>
      <c r="J52" s="1">
        <f t="shared" si="4"/>
        <v>113.39</v>
      </c>
      <c r="K52" s="1">
        <f t="shared" si="5"/>
        <v>0.375</v>
      </c>
      <c r="L52" s="214"/>
      <c r="M52" s="215"/>
      <c r="N52" s="179"/>
      <c r="O52" s="216"/>
      <c r="P52" s="179"/>
      <c r="Q52" s="179"/>
      <c r="R52" s="179"/>
      <c r="S52" s="179"/>
      <c r="T52" s="179"/>
      <c r="U52" s="179"/>
      <c r="V52" s="179"/>
      <c r="W52" s="179"/>
      <c r="X52" s="179"/>
      <c r="Y52" s="179"/>
      <c r="Z52" s="179"/>
      <c r="AA52" s="179"/>
      <c r="AB52" s="179"/>
      <c r="AC52" s="179"/>
      <c r="AD52" s="6" t="str">
        <f t="shared" si="6"/>
        <v>QX0024</v>
      </c>
      <c r="AE52" s="2">
        <f>100-AG52</f>
        <v>100</v>
      </c>
      <c r="AF52" s="2" t="str">
        <f t="shared" si="7"/>
        <v>QX0024</v>
      </c>
      <c r="AG52" s="2">
        <f t="shared" si="8"/>
        <v>0</v>
      </c>
      <c r="AH52" s="2">
        <f t="shared" si="9"/>
        <v>0.40500000000000003</v>
      </c>
      <c r="AI52" s="2">
        <f t="shared" si="10"/>
        <v>-0.67500000000000004</v>
      </c>
      <c r="AJ52" s="2">
        <v>0</v>
      </c>
      <c r="AK52" s="2">
        <v>0</v>
      </c>
      <c r="AL52" s="2">
        <f t="shared" si="11"/>
        <v>4.4000000000000004</v>
      </c>
      <c r="AM52" s="7">
        <f t="shared" si="12"/>
        <v>0</v>
      </c>
      <c r="AN52" s="215"/>
      <c r="AO52" s="179"/>
      <c r="AP52" s="179"/>
      <c r="AQ52" s="179"/>
      <c r="AR52" s="179"/>
      <c r="AS52" s="179"/>
      <c r="AT52" s="76">
        <f t="shared" si="13"/>
        <v>0.11080800000000002</v>
      </c>
      <c r="AU52" s="76">
        <f t="shared" si="14"/>
        <v>2.214</v>
      </c>
      <c r="AV52" s="76">
        <f t="shared" si="15"/>
        <v>0.94094999999999995</v>
      </c>
      <c r="AW52" s="76">
        <f t="shared" ref="AW52:AW111" si="19">AU52*0.75/2</f>
        <v>0.83024999999999993</v>
      </c>
      <c r="AX52" s="202">
        <f t="shared" ref="AX52:AX111" si="20">AU52*0.4/2</f>
        <v>0.44280000000000003</v>
      </c>
      <c r="AY52" s="6">
        <f>AT52*$AG$4*パラメータ!$D$23</f>
        <v>25.596648000000005</v>
      </c>
      <c r="AZ52" s="2">
        <f>AV52*$AG$7*E52*パラメータ!$D$28</f>
        <v>17.995668749999997</v>
      </c>
      <c r="BA52" s="2">
        <f>SUMPRODUCT($AC$4:$AC$10,$AD$4:$AD$10)*E52*パラメータ!$D$26*10^-3</f>
        <v>6.12</v>
      </c>
      <c r="BB52" s="2">
        <f>(AW52+AX52)*$AG$5*$AG$4*パラメータ!$D$21*10^-3</f>
        <v>6.0151612500000002</v>
      </c>
      <c r="BC52" s="2" t="e">
        <f>(#REF!*#REF!*パラメータ!$D$21+0.5*#REF!^2*SIN(RADIANS($T$10))*パラメータ!$D$24)*E52*10^-3</f>
        <v>#REF!</v>
      </c>
      <c r="BD52" s="2">
        <f t="shared" si="16"/>
        <v>0</v>
      </c>
      <c r="BE52" s="2">
        <f t="shared" si="17"/>
        <v>0</v>
      </c>
      <c r="BF52" s="1">
        <f>IF(G52="端リブ",AT52*$T$13*パラメータ!$D$21*2,0)</f>
        <v>0</v>
      </c>
      <c r="BG52" s="1" t="e">
        <f>'主翼（構造）'!BA8*1000</f>
        <v>#REF!</v>
      </c>
      <c r="BH52" s="2" t="e">
        <f>SUM(AY52:BF52)</f>
        <v>#REF!</v>
      </c>
      <c r="BI52" s="2" t="e">
        <f>(BG52+BH52)/1000</f>
        <v>#REF!</v>
      </c>
      <c r="BJ52" s="2">
        <f>(AP52-機体重量!$G$16)^2+(AQ52-機体重量!$H$16)^2</f>
        <v>5.4950777486569501E-4</v>
      </c>
      <c r="BK52" s="2">
        <f>(AQ52-機体重量!$H$16)^2</f>
        <v>3.8816156979940122E-4</v>
      </c>
      <c r="BL52" s="212">
        <f>(AP52-機体重量!$G$16)^2</f>
        <v>1.6134620506629379E-4</v>
      </c>
    </row>
    <row r="53" spans="2:64">
      <c r="B53" s="27">
        <v>2</v>
      </c>
      <c r="C53" s="1">
        <f t="shared" si="18"/>
        <v>0.95000000000000007</v>
      </c>
      <c r="D53" s="1">
        <f t="shared" si="0"/>
        <v>1080</v>
      </c>
      <c r="E53" s="4">
        <v>0.15</v>
      </c>
      <c r="F53" s="21" t="str">
        <f t="shared" si="1"/>
        <v>flat</v>
      </c>
      <c r="G53" s="4" t="str">
        <f t="shared" si="2"/>
        <v>0番</v>
      </c>
      <c r="H53" s="263" t="s">
        <v>1292</v>
      </c>
      <c r="I53" s="63">
        <f t="shared" si="3"/>
        <v>113.39</v>
      </c>
      <c r="J53" s="1">
        <f t="shared" si="4"/>
        <v>113.39</v>
      </c>
      <c r="K53" s="22">
        <f t="shared" si="5"/>
        <v>0.375</v>
      </c>
      <c r="L53" s="202"/>
      <c r="M53" s="206"/>
      <c r="N53" s="76"/>
      <c r="O53" s="207"/>
      <c r="P53" s="76"/>
      <c r="Q53" s="76"/>
      <c r="R53" s="76"/>
      <c r="S53" s="76"/>
      <c r="T53" s="76"/>
      <c r="U53" s="76"/>
      <c r="V53" s="76"/>
      <c r="W53" s="76"/>
      <c r="X53" s="76"/>
      <c r="Y53" s="76"/>
      <c r="Z53" s="76"/>
      <c r="AA53" s="76"/>
      <c r="AB53" s="76"/>
      <c r="AC53" s="76"/>
      <c r="AD53" s="63" t="str">
        <f t="shared" si="6"/>
        <v>QX0024</v>
      </c>
      <c r="AE53" s="1">
        <f t="shared" ref="AE53:AE111" si="21">100-AG53</f>
        <v>100</v>
      </c>
      <c r="AF53" s="1" t="str">
        <f t="shared" si="7"/>
        <v>QX0024</v>
      </c>
      <c r="AG53" s="1">
        <f t="shared" si="8"/>
        <v>0</v>
      </c>
      <c r="AH53" s="1">
        <f t="shared" si="9"/>
        <v>0.40500000000000003</v>
      </c>
      <c r="AI53" s="1">
        <f t="shared" si="10"/>
        <v>-0.67500000000000004</v>
      </c>
      <c r="AJ53" s="1">
        <f t="shared" ref="AJ53:AJ84" si="22">AJ52+E52*COS(RADIANS(AM52))</f>
        <v>0.15</v>
      </c>
      <c r="AK53" s="1">
        <f t="shared" ref="AK53:AK84" si="23">AK52+E52*SIN(RADIANS(AM52))</f>
        <v>0</v>
      </c>
      <c r="AL53" s="1">
        <f t="shared" si="11"/>
        <v>4.4000000000000004</v>
      </c>
      <c r="AM53" s="7">
        <f t="shared" si="12"/>
        <v>0</v>
      </c>
      <c r="AN53" s="206"/>
      <c r="AO53" s="76"/>
      <c r="AP53" s="76"/>
      <c r="AQ53" s="76"/>
      <c r="AR53" s="76"/>
      <c r="AS53" s="76"/>
      <c r="AT53" s="76">
        <f t="shared" si="13"/>
        <v>0.11080800000000002</v>
      </c>
      <c r="AU53" s="76">
        <f t="shared" si="14"/>
        <v>2.214</v>
      </c>
      <c r="AV53" s="76">
        <f t="shared" si="15"/>
        <v>0.94094999999999995</v>
      </c>
      <c r="AW53" s="76">
        <f t="shared" si="19"/>
        <v>0.83024999999999993</v>
      </c>
      <c r="AX53" s="202">
        <f t="shared" si="20"/>
        <v>0.44280000000000003</v>
      </c>
      <c r="AY53" s="63">
        <f>AT53*$AG$4*パラメータ!$D$23</f>
        <v>25.596648000000005</v>
      </c>
      <c r="AZ53" s="1">
        <f>AV53*$AG$7*E53*パラメータ!$D$28</f>
        <v>17.995668749999997</v>
      </c>
      <c r="BA53" s="1">
        <f>SUMPRODUCT($AC$4:$AC$10,$AD$4:$AD$10)*E53*パラメータ!$D$26*10^-3</f>
        <v>6.12</v>
      </c>
      <c r="BB53" s="1">
        <f>(AW53+AX53)*$AG$5*$AG$4*パラメータ!$D$21*10^-3</f>
        <v>6.0151612500000002</v>
      </c>
      <c r="BC53" s="1" t="e">
        <f>(#REF!*#REF!*パラメータ!$D$21+0.5*#REF!^2*SIN(RADIANS($T$10))*パラメータ!$D$24)*E53*10^-3</f>
        <v>#REF!</v>
      </c>
      <c r="BD53" s="1">
        <f t="shared" si="16"/>
        <v>0</v>
      </c>
      <c r="BE53" s="1">
        <f t="shared" si="17"/>
        <v>0</v>
      </c>
      <c r="BF53" s="1">
        <f>IF(G53="端リブ",AT53*$T$13*パラメータ!$D$21*2,0)</f>
        <v>0</v>
      </c>
      <c r="BG53" s="1" t="e">
        <f>'主翼（構造）'!BA9*1000</f>
        <v>#REF!</v>
      </c>
      <c r="BH53" s="1" t="e">
        <f t="shared" ref="BH53:BH111" si="24">SUM(AY53:BF53)</f>
        <v>#REF!</v>
      </c>
      <c r="BI53" s="1" t="e">
        <f t="shared" ref="BI53:BI111" si="25">(BG53+BH53)/1000</f>
        <v>#REF!</v>
      </c>
      <c r="BJ53" s="2">
        <f>(AP53-機体重量!$G$16)^2+(AQ53-機体重量!$H$16)^2</f>
        <v>5.4950777486569501E-4</v>
      </c>
      <c r="BK53" s="2">
        <f>(AQ53-機体重量!$H$16)^2</f>
        <v>3.8816156979940122E-4</v>
      </c>
      <c r="BL53" s="212">
        <f>(AP53-機体重量!$G$16)^2</f>
        <v>1.6134620506629379E-4</v>
      </c>
    </row>
    <row r="54" spans="2:64">
      <c r="B54" s="97">
        <v>3</v>
      </c>
      <c r="C54" s="1">
        <f t="shared" si="18"/>
        <v>1.1000000000000001</v>
      </c>
      <c r="D54" s="1">
        <f t="shared" si="0"/>
        <v>1080</v>
      </c>
      <c r="E54" s="4">
        <v>0.15</v>
      </c>
      <c r="F54" s="21" t="str">
        <f t="shared" si="1"/>
        <v>flat</v>
      </c>
      <c r="G54" s="4" t="str">
        <f t="shared" si="2"/>
        <v>0番</v>
      </c>
      <c r="H54" s="263" t="s">
        <v>1292</v>
      </c>
      <c r="I54" s="63">
        <f t="shared" si="3"/>
        <v>113.39</v>
      </c>
      <c r="J54" s="1">
        <f t="shared" si="4"/>
        <v>113.39</v>
      </c>
      <c r="K54" s="1">
        <f t="shared" si="5"/>
        <v>0.375</v>
      </c>
      <c r="L54" s="202"/>
      <c r="M54" s="206"/>
      <c r="N54" s="76"/>
      <c r="O54" s="207"/>
      <c r="P54" s="76"/>
      <c r="Q54" s="76"/>
      <c r="R54" s="76"/>
      <c r="S54" s="76"/>
      <c r="T54" s="76"/>
      <c r="U54" s="76"/>
      <c r="V54" s="76"/>
      <c r="W54" s="76"/>
      <c r="X54" s="76"/>
      <c r="Y54" s="76"/>
      <c r="Z54" s="76"/>
      <c r="AA54" s="76"/>
      <c r="AB54" s="76"/>
      <c r="AC54" s="76"/>
      <c r="AD54" s="63" t="str">
        <f t="shared" si="6"/>
        <v>QX0024</v>
      </c>
      <c r="AE54" s="1">
        <f t="shared" si="21"/>
        <v>100</v>
      </c>
      <c r="AF54" s="1" t="str">
        <f t="shared" si="7"/>
        <v>QX0024</v>
      </c>
      <c r="AG54" s="1">
        <f t="shared" si="8"/>
        <v>0</v>
      </c>
      <c r="AH54" s="1">
        <f t="shared" si="9"/>
        <v>0.40500000000000003</v>
      </c>
      <c r="AI54" s="1">
        <f t="shared" si="10"/>
        <v>-0.67500000000000004</v>
      </c>
      <c r="AJ54" s="1">
        <f t="shared" si="22"/>
        <v>0.3</v>
      </c>
      <c r="AK54" s="1">
        <f t="shared" si="23"/>
        <v>0</v>
      </c>
      <c r="AL54" s="1">
        <f t="shared" si="11"/>
        <v>4.4000000000000004</v>
      </c>
      <c r="AM54" s="7">
        <f t="shared" si="12"/>
        <v>0</v>
      </c>
      <c r="AN54" s="206"/>
      <c r="AO54" s="76"/>
      <c r="AP54" s="76"/>
      <c r="AQ54" s="76"/>
      <c r="AR54" s="76"/>
      <c r="AS54" s="76"/>
      <c r="AT54" s="76">
        <f t="shared" si="13"/>
        <v>0.11080800000000002</v>
      </c>
      <c r="AU54" s="76">
        <f t="shared" si="14"/>
        <v>2.214</v>
      </c>
      <c r="AV54" s="76">
        <f t="shared" si="15"/>
        <v>0.94094999999999995</v>
      </c>
      <c r="AW54" s="76">
        <f t="shared" si="19"/>
        <v>0.83024999999999993</v>
      </c>
      <c r="AX54" s="202">
        <f t="shared" si="20"/>
        <v>0.44280000000000003</v>
      </c>
      <c r="AY54" s="63">
        <f>AT54*$AG$4*パラメータ!$D$23</f>
        <v>25.596648000000005</v>
      </c>
      <c r="AZ54" s="1">
        <f>AV54*$AG$7*E54*パラメータ!$D$28</f>
        <v>17.995668749999997</v>
      </c>
      <c r="BA54" s="1">
        <f>SUMPRODUCT($AC$4:$AC$10,$AD$4:$AD$10)*E54*パラメータ!$D$26*10^-3</f>
        <v>6.12</v>
      </c>
      <c r="BB54" s="1">
        <f>(AW54+AX54)*$AG$5*$AG$4*パラメータ!$D$21*10^-3</f>
        <v>6.0151612500000002</v>
      </c>
      <c r="BC54" s="1" t="e">
        <f>(#REF!*#REF!*パラメータ!$D$21+0.5*#REF!^2*SIN(RADIANS($T$10))*パラメータ!$D$24)*E54*10^-3</f>
        <v>#REF!</v>
      </c>
      <c r="BD54" s="1">
        <f t="shared" si="16"/>
        <v>0</v>
      </c>
      <c r="BE54" s="1">
        <f t="shared" si="17"/>
        <v>0</v>
      </c>
      <c r="BF54" s="1">
        <f>IF(G54="端リブ",AT54*$T$13*パラメータ!$D$21*2,0)</f>
        <v>0</v>
      </c>
      <c r="BG54" s="1" t="e">
        <f>'主翼（構造）'!BA10*1000</f>
        <v>#REF!</v>
      </c>
      <c r="BH54" s="1" t="e">
        <f t="shared" si="24"/>
        <v>#REF!</v>
      </c>
      <c r="BI54" s="1" t="e">
        <f t="shared" si="25"/>
        <v>#REF!</v>
      </c>
      <c r="BJ54" s="2">
        <f>(AP54-機体重量!$G$16)^2+(AQ54-機体重量!$H$16)^2</f>
        <v>5.4950777486569501E-4</v>
      </c>
      <c r="BK54" s="2">
        <f>(AQ54-機体重量!$H$16)^2</f>
        <v>3.8816156979940122E-4</v>
      </c>
      <c r="BL54" s="212">
        <f>(AP54-機体重量!$G$16)^2</f>
        <v>1.6134620506629379E-4</v>
      </c>
    </row>
    <row r="55" spans="2:64">
      <c r="B55" s="27">
        <v>4</v>
      </c>
      <c r="C55" s="1">
        <f t="shared" si="18"/>
        <v>1.25</v>
      </c>
      <c r="D55" s="1">
        <f t="shared" si="0"/>
        <v>1080</v>
      </c>
      <c r="E55" s="4">
        <v>0.15</v>
      </c>
      <c r="F55" s="21" t="str">
        <f t="shared" si="1"/>
        <v>flat</v>
      </c>
      <c r="G55" s="4" t="str">
        <f t="shared" si="2"/>
        <v>0番</v>
      </c>
      <c r="H55" s="263" t="s">
        <v>1292</v>
      </c>
      <c r="I55" s="63">
        <f t="shared" si="3"/>
        <v>113.39</v>
      </c>
      <c r="J55" s="1">
        <f t="shared" si="4"/>
        <v>113.39</v>
      </c>
      <c r="K55" s="1">
        <f t="shared" si="5"/>
        <v>0.375</v>
      </c>
      <c r="L55" s="202"/>
      <c r="M55" s="206"/>
      <c r="N55" s="76"/>
      <c r="O55" s="207"/>
      <c r="P55" s="76"/>
      <c r="Q55" s="76"/>
      <c r="R55" s="76"/>
      <c r="S55" s="76"/>
      <c r="T55" s="76"/>
      <c r="U55" s="76"/>
      <c r="V55" s="76"/>
      <c r="W55" s="76"/>
      <c r="X55" s="76"/>
      <c r="Y55" s="76"/>
      <c r="Z55" s="76"/>
      <c r="AA55" s="76"/>
      <c r="AB55" s="76"/>
      <c r="AC55" s="76"/>
      <c r="AD55" s="63" t="str">
        <f t="shared" si="6"/>
        <v>QX0024</v>
      </c>
      <c r="AE55" s="1">
        <f t="shared" si="21"/>
        <v>100</v>
      </c>
      <c r="AF55" s="1" t="str">
        <f t="shared" si="7"/>
        <v>QX0024</v>
      </c>
      <c r="AG55" s="1">
        <f t="shared" si="8"/>
        <v>0</v>
      </c>
      <c r="AH55" s="1">
        <f t="shared" si="9"/>
        <v>0.40500000000000003</v>
      </c>
      <c r="AI55" s="1">
        <f t="shared" si="10"/>
        <v>-0.67500000000000004</v>
      </c>
      <c r="AJ55" s="1">
        <f t="shared" si="22"/>
        <v>0.44999999999999996</v>
      </c>
      <c r="AK55" s="1">
        <f t="shared" si="23"/>
        <v>0</v>
      </c>
      <c r="AL55" s="1">
        <f t="shared" si="11"/>
        <v>4.4000000000000004</v>
      </c>
      <c r="AM55" s="7">
        <f t="shared" si="12"/>
        <v>0</v>
      </c>
      <c r="AN55" s="206"/>
      <c r="AO55" s="76"/>
      <c r="AP55" s="76"/>
      <c r="AQ55" s="76"/>
      <c r="AR55" s="76"/>
      <c r="AS55" s="76"/>
      <c r="AT55" s="76">
        <f t="shared" si="13"/>
        <v>0.11080800000000002</v>
      </c>
      <c r="AU55" s="76">
        <f t="shared" si="14"/>
        <v>2.214</v>
      </c>
      <c r="AV55" s="76">
        <f t="shared" si="15"/>
        <v>0.94094999999999995</v>
      </c>
      <c r="AW55" s="76">
        <f t="shared" si="19"/>
        <v>0.83024999999999993</v>
      </c>
      <c r="AX55" s="202">
        <f t="shared" si="20"/>
        <v>0.44280000000000003</v>
      </c>
      <c r="AY55" s="63">
        <f>AT55*$AG$4*パラメータ!$D$23</f>
        <v>25.596648000000005</v>
      </c>
      <c r="AZ55" s="1">
        <f>AV55*$AG$7*E55*パラメータ!$D$28</f>
        <v>17.995668749999997</v>
      </c>
      <c r="BA55" s="1">
        <f>SUMPRODUCT($AC$4:$AC$10,$AD$4:$AD$10)*E55*パラメータ!$D$26*10^-3</f>
        <v>6.12</v>
      </c>
      <c r="BB55" s="1">
        <f>(AW55+AX55)*$AG$5*$AG$4*パラメータ!$D$21*10^-3</f>
        <v>6.0151612500000002</v>
      </c>
      <c r="BC55" s="1" t="e">
        <f>(#REF!*#REF!*パラメータ!$D$21+0.5*#REF!^2*SIN(RADIANS($T$10))*パラメータ!$D$24)*E55*10^-3</f>
        <v>#REF!</v>
      </c>
      <c r="BD55" s="1">
        <f t="shared" si="16"/>
        <v>0</v>
      </c>
      <c r="BE55" s="1">
        <f t="shared" si="17"/>
        <v>0</v>
      </c>
      <c r="BF55" s="1">
        <f>IF(G55="端リブ",AT55*$T$13*パラメータ!$D$21*2,0)</f>
        <v>0</v>
      </c>
      <c r="BG55" s="1" t="e">
        <f>'主翼（構造）'!BA11*1000</f>
        <v>#REF!</v>
      </c>
      <c r="BH55" s="1" t="e">
        <f t="shared" si="24"/>
        <v>#REF!</v>
      </c>
      <c r="BI55" s="1" t="e">
        <f t="shared" si="25"/>
        <v>#REF!</v>
      </c>
      <c r="BJ55" s="2">
        <f>(AP55-機体重量!$G$16)^2+(AQ55-機体重量!$H$16)^2</f>
        <v>5.4950777486569501E-4</v>
      </c>
      <c r="BK55" s="2">
        <f>(AQ55-機体重量!$H$16)^2</f>
        <v>3.8816156979940122E-4</v>
      </c>
      <c r="BL55" s="212">
        <f>(AP55-機体重量!$G$16)^2</f>
        <v>1.6134620506629379E-4</v>
      </c>
    </row>
    <row r="56" spans="2:64">
      <c r="B56" s="97">
        <v>5</v>
      </c>
      <c r="C56" s="1">
        <f t="shared" si="18"/>
        <v>1.4</v>
      </c>
      <c r="D56" s="1">
        <f t="shared" si="0"/>
        <v>1080</v>
      </c>
      <c r="E56" s="4">
        <v>0.15</v>
      </c>
      <c r="F56" s="21" t="str">
        <f t="shared" si="1"/>
        <v>flat</v>
      </c>
      <c r="G56" s="4" t="str">
        <f t="shared" si="2"/>
        <v>端リブ</v>
      </c>
      <c r="H56" s="263" t="s">
        <v>1292</v>
      </c>
      <c r="I56" s="63" t="b">
        <f t="shared" si="3"/>
        <v>0</v>
      </c>
      <c r="J56" s="1" t="b">
        <f t="shared" si="4"/>
        <v>0</v>
      </c>
      <c r="K56" s="1">
        <f t="shared" si="5"/>
        <v>0.375</v>
      </c>
      <c r="L56" s="202"/>
      <c r="M56" s="206"/>
      <c r="N56" s="76"/>
      <c r="O56" s="207"/>
      <c r="P56" s="76"/>
      <c r="Q56" s="76"/>
      <c r="R56" s="76"/>
      <c r="S56" s="76"/>
      <c r="T56" s="76"/>
      <c r="U56" s="76"/>
      <c r="V56" s="76"/>
      <c r="W56" s="76"/>
      <c r="X56" s="76"/>
      <c r="Y56" s="76"/>
      <c r="Z56" s="76"/>
      <c r="AA56" s="76"/>
      <c r="AB56" s="76"/>
      <c r="AC56" s="76"/>
      <c r="AD56" s="63" t="str">
        <f t="shared" si="6"/>
        <v>QX0024</v>
      </c>
      <c r="AE56" s="1">
        <f t="shared" si="21"/>
        <v>100</v>
      </c>
      <c r="AF56" s="1" t="str">
        <f t="shared" si="7"/>
        <v>QX0024</v>
      </c>
      <c r="AG56" s="1">
        <f t="shared" si="8"/>
        <v>0</v>
      </c>
      <c r="AH56" s="1">
        <f t="shared" si="9"/>
        <v>0.40500000000000003</v>
      </c>
      <c r="AI56" s="1">
        <f t="shared" si="10"/>
        <v>-0.67500000000000004</v>
      </c>
      <c r="AJ56" s="1">
        <f t="shared" si="22"/>
        <v>0.6</v>
      </c>
      <c r="AK56" s="1">
        <f t="shared" si="23"/>
        <v>0</v>
      </c>
      <c r="AL56" s="1">
        <f t="shared" si="11"/>
        <v>4.4000000000000004</v>
      </c>
      <c r="AM56" s="7">
        <f t="shared" si="12"/>
        <v>0</v>
      </c>
      <c r="AN56" s="206"/>
      <c r="AO56" s="76"/>
      <c r="AP56" s="76"/>
      <c r="AQ56" s="76"/>
      <c r="AR56" s="76"/>
      <c r="AS56" s="76"/>
      <c r="AT56" s="76">
        <f t="shared" si="13"/>
        <v>0.11080800000000002</v>
      </c>
      <c r="AU56" s="76">
        <f t="shared" si="14"/>
        <v>2.214</v>
      </c>
      <c r="AV56" s="76">
        <f t="shared" si="15"/>
        <v>0.94094999999999995</v>
      </c>
      <c r="AW56" s="76">
        <f t="shared" si="19"/>
        <v>0.83024999999999993</v>
      </c>
      <c r="AX56" s="202">
        <f t="shared" si="20"/>
        <v>0.44280000000000003</v>
      </c>
      <c r="AY56" s="63">
        <f>AT56*$AG$4*パラメータ!$D$23</f>
        <v>25.596648000000005</v>
      </c>
      <c r="AZ56" s="1">
        <f>AV56*$AG$7*E56*パラメータ!$D$28</f>
        <v>17.995668749999997</v>
      </c>
      <c r="BA56" s="1">
        <f>SUMPRODUCT($AC$4:$AC$10,$AD$4:$AD$10)*E56*パラメータ!$D$26*10^-3</f>
        <v>6.12</v>
      </c>
      <c r="BB56" s="1">
        <f>(AW56+AX56)*$AG$5*$AG$4*パラメータ!$D$21*10^-3</f>
        <v>6.0151612500000002</v>
      </c>
      <c r="BC56" s="1" t="e">
        <f>(#REF!*#REF!*パラメータ!$D$21+0.5*#REF!^2*SIN(RADIANS($T$10))*パラメータ!$D$24)*E56*10^-3</f>
        <v>#REF!</v>
      </c>
      <c r="BD56" s="1">
        <f t="shared" si="16"/>
        <v>0</v>
      </c>
      <c r="BE56" s="1">
        <f t="shared" si="17"/>
        <v>0</v>
      </c>
      <c r="BF56" s="1">
        <f>IF(G56="端リブ",AT56*$T$13*パラメータ!$D$21*2,0)</f>
        <v>0</v>
      </c>
      <c r="BG56" s="1" t="e">
        <f>'主翼（構造）'!BA12*1000</f>
        <v>#REF!</v>
      </c>
      <c r="BH56" s="1" t="e">
        <f t="shared" si="24"/>
        <v>#REF!</v>
      </c>
      <c r="BI56" s="1" t="e">
        <f t="shared" si="25"/>
        <v>#REF!</v>
      </c>
      <c r="BJ56" s="2">
        <f>(AP56-機体重量!$G$16)^2+(AQ56-機体重量!$H$16)^2</f>
        <v>5.4950777486569501E-4</v>
      </c>
      <c r="BK56" s="2">
        <f>(AQ56-機体重量!$H$16)^2</f>
        <v>3.8816156979940122E-4</v>
      </c>
      <c r="BL56" s="212">
        <f>(AP56-機体重量!$G$16)^2</f>
        <v>1.6134620506629379E-4</v>
      </c>
    </row>
    <row r="57" spans="2:64">
      <c r="B57" s="27">
        <v>6</v>
      </c>
      <c r="C57" s="1">
        <f t="shared" si="18"/>
        <v>1.5499999999999998</v>
      </c>
      <c r="D57" s="1">
        <f t="shared" si="0"/>
        <v>1080</v>
      </c>
      <c r="E57" s="4">
        <v>0.15</v>
      </c>
      <c r="F57" s="21" t="str">
        <f t="shared" si="1"/>
        <v>flat</v>
      </c>
      <c r="G57" s="4" t="str">
        <f t="shared" si="2"/>
        <v>1番</v>
      </c>
      <c r="H57" s="263" t="s">
        <v>1292</v>
      </c>
      <c r="I57" s="63">
        <f t="shared" si="3"/>
        <v>120.70999999999998</v>
      </c>
      <c r="J57" s="1">
        <f t="shared" si="4"/>
        <v>121.09429999999999</v>
      </c>
      <c r="K57" s="1">
        <f t="shared" si="5"/>
        <v>0.375</v>
      </c>
      <c r="L57" s="202"/>
      <c r="M57" s="206"/>
      <c r="N57" s="76"/>
      <c r="O57" s="207"/>
      <c r="P57" s="76"/>
      <c r="Q57" s="76"/>
      <c r="R57" s="76"/>
      <c r="S57" s="76"/>
      <c r="T57" s="76"/>
      <c r="U57" s="76"/>
      <c r="V57" s="76"/>
      <c r="W57" s="76"/>
      <c r="X57" s="76"/>
      <c r="Y57" s="76"/>
      <c r="Z57" s="76"/>
      <c r="AA57" s="76"/>
      <c r="AB57" s="76"/>
      <c r="AC57" s="76"/>
      <c r="AD57" s="63" t="str">
        <f t="shared" si="6"/>
        <v>QX0024</v>
      </c>
      <c r="AE57" s="1">
        <f t="shared" si="21"/>
        <v>100</v>
      </c>
      <c r="AF57" s="1" t="str">
        <f t="shared" si="7"/>
        <v>QX0024</v>
      </c>
      <c r="AG57" s="1">
        <f t="shared" si="8"/>
        <v>0</v>
      </c>
      <c r="AH57" s="1">
        <f t="shared" si="9"/>
        <v>0.40500000000000003</v>
      </c>
      <c r="AI57" s="1">
        <f t="shared" si="10"/>
        <v>-0.67500000000000004</v>
      </c>
      <c r="AJ57" s="1">
        <f t="shared" si="22"/>
        <v>0.75</v>
      </c>
      <c r="AK57" s="1">
        <f t="shared" si="23"/>
        <v>0</v>
      </c>
      <c r="AL57" s="1">
        <f t="shared" si="11"/>
        <v>4.4000000000000004</v>
      </c>
      <c r="AM57" s="7">
        <f t="shared" si="12"/>
        <v>0</v>
      </c>
      <c r="AN57" s="206"/>
      <c r="AO57" s="76"/>
      <c r="AP57" s="76"/>
      <c r="AQ57" s="76"/>
      <c r="AR57" s="76"/>
      <c r="AS57" s="76"/>
      <c r="AT57" s="76">
        <f t="shared" si="13"/>
        <v>0.11080800000000002</v>
      </c>
      <c r="AU57" s="76">
        <f t="shared" si="14"/>
        <v>2.214</v>
      </c>
      <c r="AV57" s="76">
        <f t="shared" si="15"/>
        <v>0.94094999999999995</v>
      </c>
      <c r="AW57" s="76">
        <f t="shared" si="19"/>
        <v>0.83024999999999993</v>
      </c>
      <c r="AX57" s="202">
        <f t="shared" si="20"/>
        <v>0.44280000000000003</v>
      </c>
      <c r="AY57" s="63">
        <f>AT57*$AG$4*パラメータ!$D$23</f>
        <v>25.596648000000005</v>
      </c>
      <c r="AZ57" s="1">
        <f>AV57*$AG$7*E57*パラメータ!$D$28</f>
        <v>17.995668749999997</v>
      </c>
      <c r="BA57" s="1">
        <f>SUMPRODUCT($AC$4:$AC$10,$AD$4:$AD$10)*E57*パラメータ!$D$26*10^-3</f>
        <v>6.12</v>
      </c>
      <c r="BB57" s="1">
        <f>(AW57+AX57)*$AG$5*$AG$4*パラメータ!$D$21*10^-3</f>
        <v>6.0151612500000002</v>
      </c>
      <c r="BC57" s="1" t="e">
        <f>(#REF!*#REF!*パラメータ!$D$21+0.5*#REF!^2*SIN(RADIANS($T$10))*パラメータ!$D$24)*E57*10^-3</f>
        <v>#REF!</v>
      </c>
      <c r="BD57" s="1">
        <f t="shared" si="16"/>
        <v>0</v>
      </c>
      <c r="BE57" s="1">
        <f t="shared" si="17"/>
        <v>0</v>
      </c>
      <c r="BF57" s="1">
        <f>IF(G57="端リブ",AT57*$T$13*パラメータ!$D$21*2,0)</f>
        <v>0</v>
      </c>
      <c r="BG57" s="1" t="e">
        <f>'主翼（構造）'!BA13*1000</f>
        <v>#REF!</v>
      </c>
      <c r="BH57" s="1" t="e">
        <f t="shared" si="24"/>
        <v>#REF!</v>
      </c>
      <c r="BI57" s="1" t="e">
        <f t="shared" si="25"/>
        <v>#REF!</v>
      </c>
      <c r="BJ57" s="2">
        <f>(AP57-機体重量!$G$16)^2+(AQ57-機体重量!$H$16)^2</f>
        <v>5.4950777486569501E-4</v>
      </c>
      <c r="BK57" s="2">
        <f>(AQ57-機体重量!$H$16)^2</f>
        <v>3.8816156979940122E-4</v>
      </c>
      <c r="BL57" s="212">
        <f>(AP57-機体重量!$G$16)^2</f>
        <v>1.6134620506629379E-4</v>
      </c>
    </row>
    <row r="58" spans="2:64">
      <c r="B58" s="97">
        <v>7</v>
      </c>
      <c r="C58" s="1">
        <f t="shared" si="18"/>
        <v>1.6999999999999997</v>
      </c>
      <c r="D58" s="1">
        <f t="shared" si="0"/>
        <v>1080</v>
      </c>
      <c r="E58" s="4">
        <v>0.15</v>
      </c>
      <c r="F58" s="21" t="s">
        <v>885</v>
      </c>
      <c r="G58" s="4" t="str">
        <f t="shared" si="2"/>
        <v>1番</v>
      </c>
      <c r="H58" s="263" t="s">
        <v>1292</v>
      </c>
      <c r="I58" s="63">
        <f t="shared" si="3"/>
        <v>119.50999999999999</v>
      </c>
      <c r="J58" s="1">
        <f t="shared" si="4"/>
        <v>119.86909999999999</v>
      </c>
      <c r="K58" s="1">
        <f t="shared" si="5"/>
        <v>0.375</v>
      </c>
      <c r="L58" s="202"/>
      <c r="M58" s="206"/>
      <c r="N58" s="76"/>
      <c r="O58" s="207"/>
      <c r="P58" s="76"/>
      <c r="Q58" s="76"/>
      <c r="R58" s="76"/>
      <c r="S58" s="76"/>
      <c r="T58" s="76"/>
      <c r="U58" s="76"/>
      <c r="V58" s="76"/>
      <c r="W58" s="76"/>
      <c r="X58" s="76"/>
      <c r="Y58" s="76"/>
      <c r="Z58" s="76"/>
      <c r="AA58" s="76"/>
      <c r="AB58" s="76"/>
      <c r="AC58" s="76"/>
      <c r="AD58" s="63" t="str">
        <f t="shared" si="6"/>
        <v>QX0024</v>
      </c>
      <c r="AE58" s="1">
        <f t="shared" si="21"/>
        <v>100</v>
      </c>
      <c r="AF58" s="1" t="str">
        <f t="shared" si="7"/>
        <v>QX0024</v>
      </c>
      <c r="AG58" s="1">
        <f t="shared" si="8"/>
        <v>0</v>
      </c>
      <c r="AH58" s="1">
        <f t="shared" si="9"/>
        <v>0.40500000000000003</v>
      </c>
      <c r="AI58" s="1">
        <f t="shared" si="10"/>
        <v>-0.67500000000000004</v>
      </c>
      <c r="AJ58" s="1">
        <f t="shared" si="22"/>
        <v>0.9</v>
      </c>
      <c r="AK58" s="1">
        <f t="shared" si="23"/>
        <v>0</v>
      </c>
      <c r="AL58" s="1">
        <f t="shared" si="11"/>
        <v>4.4000000000000004</v>
      </c>
      <c r="AM58" s="7">
        <f t="shared" si="12"/>
        <v>0</v>
      </c>
      <c r="AN58" s="206"/>
      <c r="AO58" s="76"/>
      <c r="AP58" s="76"/>
      <c r="AQ58" s="76"/>
      <c r="AR58" s="76"/>
      <c r="AS58" s="76"/>
      <c r="AT58" s="76">
        <f t="shared" si="13"/>
        <v>0.11080800000000002</v>
      </c>
      <c r="AU58" s="76">
        <f t="shared" si="14"/>
        <v>2.214</v>
      </c>
      <c r="AV58" s="76">
        <f t="shared" si="15"/>
        <v>0.94094999999999995</v>
      </c>
      <c r="AW58" s="76">
        <f t="shared" si="19"/>
        <v>0.83024999999999993</v>
      </c>
      <c r="AX58" s="202">
        <f t="shared" si="20"/>
        <v>0.44280000000000003</v>
      </c>
      <c r="AY58" s="63">
        <f>AT58*$AG$4*パラメータ!$D$23</f>
        <v>25.596648000000005</v>
      </c>
      <c r="AZ58" s="1">
        <f>AV58*$AG$7*E58*パラメータ!$D$28</f>
        <v>17.995668749999997</v>
      </c>
      <c r="BA58" s="1">
        <f>SUMPRODUCT($AC$4:$AC$10,$AD$4:$AD$10)*E58*パラメータ!$D$26*10^-3</f>
        <v>6.12</v>
      </c>
      <c r="BB58" s="1">
        <f>(AW58+AX58)*$AG$5*$AG$4*パラメータ!$D$21*10^-3</f>
        <v>6.0151612500000002</v>
      </c>
      <c r="BC58" s="1" t="e">
        <f>(#REF!*#REF!*パラメータ!$D$21+0.5*#REF!^2*SIN(RADIANS($T$10))*パラメータ!$D$24)*E58*10^-3</f>
        <v>#REF!</v>
      </c>
      <c r="BD58" s="1">
        <f t="shared" si="16"/>
        <v>0</v>
      </c>
      <c r="BE58" s="1">
        <f t="shared" si="17"/>
        <v>0</v>
      </c>
      <c r="BF58" s="1">
        <f>IF(G58="端リブ",AT58*$T$13*パラメータ!$D$21*2,0)</f>
        <v>0</v>
      </c>
      <c r="BG58" s="1" t="e">
        <f>'主翼（構造）'!BA14*1000</f>
        <v>#REF!</v>
      </c>
      <c r="BH58" s="1" t="e">
        <f t="shared" si="24"/>
        <v>#REF!</v>
      </c>
      <c r="BI58" s="1" t="e">
        <f t="shared" si="25"/>
        <v>#REF!</v>
      </c>
      <c r="BJ58" s="2">
        <f>(AP58-機体重量!$G$16)^2+(AQ58-機体重量!$H$16)^2</f>
        <v>5.4950777486569501E-4</v>
      </c>
      <c r="BK58" s="2">
        <f>(AQ58-機体重量!$H$16)^2</f>
        <v>3.8816156979940122E-4</v>
      </c>
      <c r="BL58" s="212">
        <f>(AP58-機体重量!$G$16)^2</f>
        <v>1.6134620506629379E-4</v>
      </c>
    </row>
    <row r="59" spans="2:64">
      <c r="B59" s="27">
        <v>8</v>
      </c>
      <c r="C59" s="1">
        <f t="shared" si="18"/>
        <v>1.8499999999999996</v>
      </c>
      <c r="D59" s="1">
        <f t="shared" si="0"/>
        <v>1073.1578947368421</v>
      </c>
      <c r="E59" s="4">
        <v>0.15</v>
      </c>
      <c r="F59" s="21" t="str">
        <f t="shared" ref="F59:F76" si="26">IF(C59&lt;$H$7,"flat",IF(C59&lt;$H$8,"1st",IF(C59&lt;$H$9,"2nd",IF(C59&lt;$H$10,"3rd",IF(C59&lt;$H$11,"4th",IF(C59&lt;$H$12,"5th","6th"))))))</f>
        <v>1st</v>
      </c>
      <c r="G59" s="4" t="str">
        <f t="shared" si="2"/>
        <v>1番</v>
      </c>
      <c r="H59" s="263" t="s">
        <v>1292</v>
      </c>
      <c r="I59" s="63">
        <f t="shared" si="3"/>
        <v>118.30999999999999</v>
      </c>
      <c r="J59" s="1">
        <f t="shared" si="4"/>
        <v>118.64389999999999</v>
      </c>
      <c r="K59" s="1">
        <f t="shared" si="5"/>
        <v>0.375</v>
      </c>
      <c r="L59" s="202"/>
      <c r="M59" s="206"/>
      <c r="N59" s="76"/>
      <c r="O59" s="207"/>
      <c r="P59" s="76"/>
      <c r="Q59" s="76"/>
      <c r="R59" s="76"/>
      <c r="S59" s="76"/>
      <c r="T59" s="76"/>
      <c r="U59" s="76"/>
      <c r="V59" s="76"/>
      <c r="W59" s="76"/>
      <c r="X59" s="76"/>
      <c r="Y59" s="76"/>
      <c r="Z59" s="76"/>
      <c r="AA59" s="76"/>
      <c r="AB59" s="76"/>
      <c r="AC59" s="76"/>
      <c r="AD59" s="63" t="str">
        <f t="shared" si="6"/>
        <v>QX0024</v>
      </c>
      <c r="AE59" s="1">
        <f t="shared" si="21"/>
        <v>100</v>
      </c>
      <c r="AF59" s="1" t="str">
        <f t="shared" si="7"/>
        <v>QX0024</v>
      </c>
      <c r="AG59" s="1">
        <f t="shared" si="8"/>
        <v>0</v>
      </c>
      <c r="AH59" s="1">
        <f t="shared" si="9"/>
        <v>0.40243421052631578</v>
      </c>
      <c r="AI59" s="1">
        <f t="shared" si="10"/>
        <v>-0.67072368421052631</v>
      </c>
      <c r="AJ59" s="1">
        <f t="shared" si="22"/>
        <v>1.05</v>
      </c>
      <c r="AK59" s="1">
        <f t="shared" si="23"/>
        <v>0</v>
      </c>
      <c r="AL59" s="1">
        <f t="shared" si="11"/>
        <v>4.4000000000000004</v>
      </c>
      <c r="AM59" s="7">
        <f t="shared" si="12"/>
        <v>0</v>
      </c>
      <c r="AN59" s="206"/>
      <c r="AO59" s="76"/>
      <c r="AP59" s="76"/>
      <c r="AQ59" s="76"/>
      <c r="AR59" s="76"/>
      <c r="AS59" s="76"/>
      <c r="AT59" s="76">
        <f t="shared" si="13"/>
        <v>0.10940844736842105</v>
      </c>
      <c r="AU59" s="76">
        <f t="shared" si="14"/>
        <v>2.1999736842105264</v>
      </c>
      <c r="AV59" s="76">
        <f t="shared" si="15"/>
        <v>0.94094999999999995</v>
      </c>
      <c r="AW59" s="76">
        <f t="shared" si="19"/>
        <v>0.82499013157894741</v>
      </c>
      <c r="AX59" s="202">
        <f t="shared" si="20"/>
        <v>0.43999473684210533</v>
      </c>
      <c r="AY59" s="63">
        <f>AT59*$AG$4*パラメータ!$D$23</f>
        <v>25.273351342105261</v>
      </c>
      <c r="AZ59" s="1">
        <f>AV59*$AG$7*E59*パラメータ!$D$28</f>
        <v>17.995668749999997</v>
      </c>
      <c r="BA59" s="1">
        <f>SUMPRODUCT($AC$4:$AC$10,$AD$4:$AD$10)*E59*パラメータ!$D$26*10^-3</f>
        <v>6.12</v>
      </c>
      <c r="BB59" s="1">
        <f>(AW59+AX59)*$AG$5*$AG$4*パラメータ!$D$21*10^-3</f>
        <v>5.9770535032894738</v>
      </c>
      <c r="BC59" s="1" t="e">
        <f>(#REF!*#REF!*パラメータ!$D$21+0.5*#REF!^2*SIN(RADIANS($T$10))*パラメータ!$D$24)*E59*10^-3</f>
        <v>#REF!</v>
      </c>
      <c r="BD59" s="1">
        <f t="shared" si="16"/>
        <v>0</v>
      </c>
      <c r="BE59" s="1">
        <f t="shared" si="17"/>
        <v>0</v>
      </c>
      <c r="BF59" s="1">
        <f>IF(G59="端リブ",AT59*$T$13*パラメータ!$D$21*2,0)</f>
        <v>0</v>
      </c>
      <c r="BG59" s="1" t="e">
        <f>'主翼（構造）'!BA15*1000</f>
        <v>#REF!</v>
      </c>
      <c r="BH59" s="1" t="e">
        <f t="shared" si="24"/>
        <v>#REF!</v>
      </c>
      <c r="BI59" s="1" t="e">
        <f t="shared" si="25"/>
        <v>#REF!</v>
      </c>
      <c r="BJ59" s="2">
        <f>(AP59-機体重量!$G$16)^2+(AQ59-機体重量!$H$16)^2</f>
        <v>5.4950777486569501E-4</v>
      </c>
      <c r="BK59" s="2">
        <f>(AQ59-機体重量!$H$16)^2</f>
        <v>3.8816156979940122E-4</v>
      </c>
      <c r="BL59" s="212">
        <f>(AP59-機体重量!$G$16)^2</f>
        <v>1.6134620506629379E-4</v>
      </c>
    </row>
    <row r="60" spans="2:64">
      <c r="B60" s="97">
        <v>9</v>
      </c>
      <c r="C60" s="1">
        <f t="shared" si="18"/>
        <v>1.9999999999999996</v>
      </c>
      <c r="D60" s="1">
        <f t="shared" si="0"/>
        <v>1066.3157894736844</v>
      </c>
      <c r="E60" s="4">
        <v>0.15</v>
      </c>
      <c r="F60" s="21" t="str">
        <f t="shared" si="26"/>
        <v>1st</v>
      </c>
      <c r="G60" s="4" t="str">
        <f t="shared" si="2"/>
        <v>1番</v>
      </c>
      <c r="H60" s="263" t="s">
        <v>1292</v>
      </c>
      <c r="I60" s="63">
        <f t="shared" si="3"/>
        <v>117.10999999999999</v>
      </c>
      <c r="J60" s="1">
        <f t="shared" si="4"/>
        <v>117.4187</v>
      </c>
      <c r="K60" s="1">
        <f t="shared" si="5"/>
        <v>0.375</v>
      </c>
      <c r="L60" s="202"/>
      <c r="M60" s="206"/>
      <c r="N60" s="76"/>
      <c r="O60" s="207"/>
      <c r="P60" s="76"/>
      <c r="Q60" s="76"/>
      <c r="R60" s="76"/>
      <c r="S60" s="76"/>
      <c r="T60" s="76"/>
      <c r="U60" s="76"/>
      <c r="V60" s="76"/>
      <c r="W60" s="76"/>
      <c r="X60" s="76"/>
      <c r="Y60" s="76"/>
      <c r="Z60" s="76"/>
      <c r="AA60" s="76"/>
      <c r="AB60" s="76"/>
      <c r="AC60" s="76"/>
      <c r="AD60" s="63" t="str">
        <f t="shared" si="6"/>
        <v>QX0024</v>
      </c>
      <c r="AE60" s="1">
        <f t="shared" si="21"/>
        <v>100</v>
      </c>
      <c r="AF60" s="1" t="str">
        <f t="shared" si="7"/>
        <v>QX0024</v>
      </c>
      <c r="AG60" s="1">
        <f t="shared" si="8"/>
        <v>0</v>
      </c>
      <c r="AH60" s="1">
        <f t="shared" si="9"/>
        <v>0.39986842105263165</v>
      </c>
      <c r="AI60" s="1">
        <f t="shared" si="10"/>
        <v>-0.66644736842105268</v>
      </c>
      <c r="AJ60" s="1">
        <f t="shared" si="22"/>
        <v>1.2</v>
      </c>
      <c r="AK60" s="1">
        <f t="shared" si="23"/>
        <v>0</v>
      </c>
      <c r="AL60" s="1">
        <f t="shared" si="11"/>
        <v>4.4000000000000004</v>
      </c>
      <c r="AM60" s="7">
        <f t="shared" si="12"/>
        <v>0</v>
      </c>
      <c r="AN60" s="206"/>
      <c r="AO60" s="76"/>
      <c r="AP60" s="76"/>
      <c r="AQ60" s="76"/>
      <c r="AR60" s="76"/>
      <c r="AS60" s="76"/>
      <c r="AT60" s="76">
        <f t="shared" si="13"/>
        <v>0.10801778947368425</v>
      </c>
      <c r="AU60" s="76">
        <f t="shared" si="14"/>
        <v>2.1859473684210529</v>
      </c>
      <c r="AV60" s="76">
        <f t="shared" si="15"/>
        <v>0.94094999999999995</v>
      </c>
      <c r="AW60" s="76">
        <f t="shared" si="19"/>
        <v>0.81973026315789488</v>
      </c>
      <c r="AX60" s="202">
        <f t="shared" si="20"/>
        <v>0.43718947368421057</v>
      </c>
      <c r="AY60" s="63">
        <f>AT60*$AG$4*パラメータ!$D$23</f>
        <v>24.952109368421063</v>
      </c>
      <c r="AZ60" s="1">
        <f>AV60*$AG$7*E60*パラメータ!$D$28</f>
        <v>17.995668749999997</v>
      </c>
      <c r="BA60" s="1">
        <f>SUMPRODUCT($AC$4:$AC$10,$AD$4:$AD$10)*E60*パラメータ!$D$26*10^-3</f>
        <v>6.12</v>
      </c>
      <c r="BB60" s="1">
        <f>(AW60+AX60)*$AG$5*$AG$4*パラメータ!$D$21*10^-3</f>
        <v>5.9389457565789483</v>
      </c>
      <c r="BC60" s="1" t="e">
        <f>(#REF!*#REF!*パラメータ!$D$21+0.5*#REF!^2*SIN(RADIANS($T$10))*パラメータ!$D$24)*E60*10^-3</f>
        <v>#REF!</v>
      </c>
      <c r="BD60" s="1">
        <f t="shared" si="16"/>
        <v>0</v>
      </c>
      <c r="BE60" s="1">
        <f t="shared" si="17"/>
        <v>0</v>
      </c>
      <c r="BF60" s="1">
        <f>IF(G60="端リブ",AT60*$T$13*パラメータ!$D$21*2,0)</f>
        <v>0</v>
      </c>
      <c r="BG60" s="1" t="e">
        <f>'主翼（構造）'!BA16*1000</f>
        <v>#REF!</v>
      </c>
      <c r="BH60" s="1" t="e">
        <f t="shared" si="24"/>
        <v>#REF!</v>
      </c>
      <c r="BI60" s="1" t="e">
        <f t="shared" si="25"/>
        <v>#REF!</v>
      </c>
      <c r="BJ60" s="2">
        <f>(AP60-機体重量!$G$16)^2+(AQ60-機体重量!$H$16)^2</f>
        <v>5.4950777486569501E-4</v>
      </c>
      <c r="BK60" s="2">
        <f>(AQ60-機体重量!$H$16)^2</f>
        <v>3.8816156979940122E-4</v>
      </c>
      <c r="BL60" s="212">
        <f>(AP60-機体重量!$G$16)^2</f>
        <v>1.6134620506629379E-4</v>
      </c>
    </row>
    <row r="61" spans="2:64">
      <c r="B61" s="27">
        <v>10</v>
      </c>
      <c r="C61" s="1">
        <f t="shared" si="18"/>
        <v>2.1499999999999995</v>
      </c>
      <c r="D61" s="1">
        <f t="shared" si="0"/>
        <v>1059.4736842105262</v>
      </c>
      <c r="E61" s="4">
        <v>0.15</v>
      </c>
      <c r="F61" s="21" t="str">
        <f t="shared" si="26"/>
        <v>1st</v>
      </c>
      <c r="G61" s="4" t="str">
        <f t="shared" si="2"/>
        <v>1番</v>
      </c>
      <c r="H61" s="263" t="s">
        <v>1292</v>
      </c>
      <c r="I61" s="63">
        <f t="shared" si="3"/>
        <v>115.90999999999998</v>
      </c>
      <c r="J61" s="1">
        <f t="shared" si="4"/>
        <v>116.1935</v>
      </c>
      <c r="K61" s="1">
        <f t="shared" si="5"/>
        <v>0.375</v>
      </c>
      <c r="L61" s="202"/>
      <c r="M61" s="206"/>
      <c r="N61" s="76"/>
      <c r="O61" s="207"/>
      <c r="P61" s="76"/>
      <c r="Q61" s="76"/>
      <c r="R61" s="76"/>
      <c r="S61" s="76"/>
      <c r="T61" s="76"/>
      <c r="U61" s="76"/>
      <c r="V61" s="76"/>
      <c r="W61" s="76"/>
      <c r="X61" s="76"/>
      <c r="Y61" s="76"/>
      <c r="Z61" s="76"/>
      <c r="AA61" s="76"/>
      <c r="AB61" s="76"/>
      <c r="AC61" s="76"/>
      <c r="AD61" s="63" t="str">
        <f t="shared" si="6"/>
        <v>QX0024</v>
      </c>
      <c r="AE61" s="1">
        <f t="shared" si="21"/>
        <v>100</v>
      </c>
      <c r="AF61" s="1" t="str">
        <f t="shared" si="7"/>
        <v>QX0024</v>
      </c>
      <c r="AG61" s="1">
        <f t="shared" si="8"/>
        <v>0</v>
      </c>
      <c r="AH61" s="1">
        <f t="shared" si="9"/>
        <v>0.39730263157894735</v>
      </c>
      <c r="AI61" s="1">
        <f t="shared" si="10"/>
        <v>-0.66217105263157894</v>
      </c>
      <c r="AJ61" s="1">
        <f t="shared" si="22"/>
        <v>1.3499999999999999</v>
      </c>
      <c r="AK61" s="1">
        <f t="shared" si="23"/>
        <v>0</v>
      </c>
      <c r="AL61" s="1">
        <f t="shared" si="11"/>
        <v>4.4000000000000004</v>
      </c>
      <c r="AM61" s="7">
        <f t="shared" si="12"/>
        <v>0</v>
      </c>
      <c r="AN61" s="206"/>
      <c r="AO61" s="76"/>
      <c r="AP61" s="76"/>
      <c r="AQ61" s="76"/>
      <c r="AR61" s="76"/>
      <c r="AS61" s="76"/>
      <c r="AT61" s="76">
        <f t="shared" si="13"/>
        <v>0.10663602631578947</v>
      </c>
      <c r="AU61" s="76">
        <f t="shared" si="14"/>
        <v>2.1719210526315789</v>
      </c>
      <c r="AV61" s="76">
        <f t="shared" si="15"/>
        <v>0.94094999999999995</v>
      </c>
      <c r="AW61" s="76">
        <f t="shared" si="19"/>
        <v>0.81447039473684213</v>
      </c>
      <c r="AX61" s="202">
        <f t="shared" si="20"/>
        <v>0.43438421052631582</v>
      </c>
      <c r="AY61" s="63">
        <f>AT61*$AG$4*パラメータ!$D$23</f>
        <v>24.632922078947367</v>
      </c>
      <c r="AZ61" s="1">
        <f>AV61*$AG$7*E61*パラメータ!$D$28</f>
        <v>17.995668749999997</v>
      </c>
      <c r="BA61" s="1">
        <f>SUMPRODUCT($AC$4:$AC$10,$AD$4:$AD$10)*E61*パラメータ!$D$26*10^-3</f>
        <v>6.12</v>
      </c>
      <c r="BB61" s="1">
        <f>(AW61+AX61)*$AG$5*$AG$4*パラメータ!$D$21*10^-3</f>
        <v>5.9008380098684219</v>
      </c>
      <c r="BC61" s="1" t="e">
        <f>(#REF!*#REF!*パラメータ!$D$21+0.5*#REF!^2*SIN(RADIANS($T$10))*パラメータ!$D$24)*E61*10^-3</f>
        <v>#REF!</v>
      </c>
      <c r="BD61" s="1">
        <f t="shared" si="16"/>
        <v>0</v>
      </c>
      <c r="BE61" s="1">
        <f t="shared" si="17"/>
        <v>0</v>
      </c>
      <c r="BF61" s="1">
        <f>IF(G61="端リブ",AT61*$T$13*パラメータ!$D$21*2,0)</f>
        <v>0</v>
      </c>
      <c r="BG61" s="1" t="e">
        <f>'主翼（構造）'!BA17*1000</f>
        <v>#REF!</v>
      </c>
      <c r="BH61" s="1" t="e">
        <f t="shared" si="24"/>
        <v>#REF!</v>
      </c>
      <c r="BI61" s="1" t="e">
        <f t="shared" si="25"/>
        <v>#REF!</v>
      </c>
      <c r="BJ61" s="2">
        <f>(AP61-機体重量!$G$16)^2+(AQ61-機体重量!$H$16)^2</f>
        <v>5.4950777486569501E-4</v>
      </c>
      <c r="BK61" s="2">
        <f>(AQ61-機体重量!$H$16)^2</f>
        <v>3.8816156979940122E-4</v>
      </c>
      <c r="BL61" s="212">
        <f>(AP61-機体重量!$G$16)^2</f>
        <v>1.6134620506629379E-4</v>
      </c>
    </row>
    <row r="62" spans="2:64">
      <c r="B62" s="97">
        <v>11</v>
      </c>
      <c r="C62" s="1">
        <f t="shared" si="18"/>
        <v>2.2999999999999994</v>
      </c>
      <c r="D62" s="1">
        <f t="shared" si="0"/>
        <v>1052.6315789473686</v>
      </c>
      <c r="E62" s="4">
        <v>0.15</v>
      </c>
      <c r="F62" s="21" t="str">
        <f t="shared" si="26"/>
        <v>1st</v>
      </c>
      <c r="G62" s="4" t="str">
        <f t="shared" si="2"/>
        <v>1番</v>
      </c>
      <c r="H62" s="263" t="s">
        <v>1292</v>
      </c>
      <c r="I62" s="63">
        <f t="shared" si="3"/>
        <v>114.70999999999998</v>
      </c>
      <c r="J62" s="1">
        <f t="shared" si="4"/>
        <v>114.9683</v>
      </c>
      <c r="K62" s="1">
        <f t="shared" si="5"/>
        <v>0.375</v>
      </c>
      <c r="L62" s="202"/>
      <c r="M62" s="206"/>
      <c r="N62" s="76"/>
      <c r="O62" s="207"/>
      <c r="P62" s="76"/>
      <c r="Q62" s="76"/>
      <c r="R62" s="76"/>
      <c r="S62" s="76"/>
      <c r="T62" s="76"/>
      <c r="U62" s="76"/>
      <c r="V62" s="76"/>
      <c r="W62" s="76"/>
      <c r="X62" s="76"/>
      <c r="Y62" s="76"/>
      <c r="Z62" s="76"/>
      <c r="AA62" s="76"/>
      <c r="AB62" s="76"/>
      <c r="AC62" s="76"/>
      <c r="AD62" s="63" t="str">
        <f t="shared" si="6"/>
        <v>QX0024</v>
      </c>
      <c r="AE62" s="1">
        <f t="shared" si="21"/>
        <v>100</v>
      </c>
      <c r="AF62" s="1" t="str">
        <f t="shared" si="7"/>
        <v>QX0024</v>
      </c>
      <c r="AG62" s="1">
        <f t="shared" si="8"/>
        <v>0</v>
      </c>
      <c r="AH62" s="1">
        <f t="shared" si="9"/>
        <v>0.39473684210526322</v>
      </c>
      <c r="AI62" s="1">
        <f t="shared" si="10"/>
        <v>-0.65789473684210531</v>
      </c>
      <c r="AJ62" s="1">
        <f t="shared" si="22"/>
        <v>1.4999999999999998</v>
      </c>
      <c r="AK62" s="1">
        <f t="shared" si="23"/>
        <v>0</v>
      </c>
      <c r="AL62" s="1">
        <f t="shared" si="11"/>
        <v>4.4000000000000004</v>
      </c>
      <c r="AM62" s="7">
        <f t="shared" si="12"/>
        <v>0</v>
      </c>
      <c r="AN62" s="206"/>
      <c r="AO62" s="76"/>
      <c r="AP62" s="76"/>
      <c r="AQ62" s="76"/>
      <c r="AR62" s="76"/>
      <c r="AS62" s="76"/>
      <c r="AT62" s="76">
        <f t="shared" si="13"/>
        <v>0.10526315789473688</v>
      </c>
      <c r="AU62" s="76">
        <f t="shared" si="14"/>
        <v>2.1578947368421053</v>
      </c>
      <c r="AV62" s="76">
        <f t="shared" si="15"/>
        <v>0.94094999999999995</v>
      </c>
      <c r="AW62" s="76">
        <f t="shared" si="19"/>
        <v>0.80921052631578949</v>
      </c>
      <c r="AX62" s="202">
        <f t="shared" si="20"/>
        <v>0.43157894736842106</v>
      </c>
      <c r="AY62" s="63">
        <f>AT62*$AG$4*パラメータ!$D$23</f>
        <v>24.31578947368422</v>
      </c>
      <c r="AZ62" s="1">
        <f>AV62*$AG$7*E62*パラメータ!$D$28</f>
        <v>17.995668749999997</v>
      </c>
      <c r="BA62" s="1">
        <f>SUMPRODUCT($AC$4:$AC$10,$AD$4:$AD$10)*E62*パラメータ!$D$26*10^-3</f>
        <v>6.12</v>
      </c>
      <c r="BB62" s="1">
        <f>(AW62+AX62)*$AG$5*$AG$4*パラメータ!$D$21*10^-3</f>
        <v>5.8627302631578955</v>
      </c>
      <c r="BC62" s="1" t="e">
        <f>(#REF!*#REF!*パラメータ!$D$21+0.5*#REF!^2*SIN(RADIANS($T$10))*パラメータ!$D$24)*E62*10^-3</f>
        <v>#REF!</v>
      </c>
      <c r="BD62" s="1">
        <f t="shared" si="16"/>
        <v>0</v>
      </c>
      <c r="BE62" s="1">
        <f t="shared" si="17"/>
        <v>0</v>
      </c>
      <c r="BF62" s="1">
        <f>IF(G62="端リブ",AT62*$T$13*パラメータ!$D$21*2,0)</f>
        <v>0</v>
      </c>
      <c r="BG62" s="1" t="e">
        <f>'主翼（構造）'!BA18*1000</f>
        <v>#REF!</v>
      </c>
      <c r="BH62" s="1" t="e">
        <f t="shared" si="24"/>
        <v>#REF!</v>
      </c>
      <c r="BI62" s="1" t="e">
        <f t="shared" si="25"/>
        <v>#REF!</v>
      </c>
      <c r="BJ62" s="2">
        <f>(AP62-機体重量!$G$16)^2+(AQ62-機体重量!$H$16)^2</f>
        <v>5.4950777486569501E-4</v>
      </c>
      <c r="BK62" s="2">
        <f>(AQ62-機体重量!$H$16)^2</f>
        <v>3.8816156979940122E-4</v>
      </c>
      <c r="BL62" s="212">
        <f>(AP62-機体重量!$G$16)^2</f>
        <v>1.6134620506629379E-4</v>
      </c>
    </row>
    <row r="63" spans="2:64">
      <c r="B63" s="27">
        <v>12</v>
      </c>
      <c r="C63" s="1">
        <f t="shared" si="18"/>
        <v>2.4499999999999993</v>
      </c>
      <c r="D63" s="1">
        <f t="shared" si="0"/>
        <v>1045.7894736842106</v>
      </c>
      <c r="E63" s="4">
        <v>0.15</v>
      </c>
      <c r="F63" s="21" t="str">
        <f t="shared" si="26"/>
        <v>1st</v>
      </c>
      <c r="G63" s="4" t="str">
        <f t="shared" si="2"/>
        <v>1番</v>
      </c>
      <c r="H63" s="263" t="s">
        <v>1292</v>
      </c>
      <c r="I63" s="63">
        <f t="shared" si="3"/>
        <v>113.50999999999999</v>
      </c>
      <c r="J63" s="1">
        <f t="shared" si="4"/>
        <v>113.7431</v>
      </c>
      <c r="K63" s="1">
        <f t="shared" si="5"/>
        <v>0.375</v>
      </c>
      <c r="L63" s="202"/>
      <c r="M63" s="206"/>
      <c r="N63" s="76"/>
      <c r="O63" s="207"/>
      <c r="P63" s="76"/>
      <c r="Q63" s="76"/>
      <c r="R63" s="76"/>
      <c r="S63" s="76"/>
      <c r="T63" s="76"/>
      <c r="U63" s="76"/>
      <c r="V63" s="76"/>
      <c r="W63" s="76"/>
      <c r="X63" s="76"/>
      <c r="Y63" s="76"/>
      <c r="Z63" s="76"/>
      <c r="AA63" s="76"/>
      <c r="AB63" s="76"/>
      <c r="AC63" s="76"/>
      <c r="AD63" s="63" t="str">
        <f t="shared" si="6"/>
        <v>QX0024</v>
      </c>
      <c r="AE63" s="1">
        <f t="shared" si="21"/>
        <v>100</v>
      </c>
      <c r="AF63" s="1" t="str">
        <f t="shared" si="7"/>
        <v>QX0024</v>
      </c>
      <c r="AG63" s="1">
        <f t="shared" si="8"/>
        <v>0</v>
      </c>
      <c r="AH63" s="1">
        <f t="shared" si="9"/>
        <v>0.39217105263157898</v>
      </c>
      <c r="AI63" s="1">
        <f t="shared" si="10"/>
        <v>-0.65361842105263168</v>
      </c>
      <c r="AJ63" s="1">
        <f t="shared" si="22"/>
        <v>1.6499999999999997</v>
      </c>
      <c r="AK63" s="1">
        <f t="shared" si="23"/>
        <v>0</v>
      </c>
      <c r="AL63" s="1">
        <f t="shared" si="11"/>
        <v>4.4000000000000004</v>
      </c>
      <c r="AM63" s="7">
        <f t="shared" si="12"/>
        <v>0</v>
      </c>
      <c r="AN63" s="206"/>
      <c r="AO63" s="76"/>
      <c r="AP63" s="76"/>
      <c r="AQ63" s="76"/>
      <c r="AR63" s="76"/>
      <c r="AS63" s="76"/>
      <c r="AT63" s="76">
        <f t="shared" si="13"/>
        <v>0.10389918421052632</v>
      </c>
      <c r="AU63" s="76">
        <f t="shared" si="14"/>
        <v>2.1438684210526318</v>
      </c>
      <c r="AV63" s="76">
        <f t="shared" si="15"/>
        <v>0.94094999999999995</v>
      </c>
      <c r="AW63" s="76">
        <f t="shared" si="19"/>
        <v>0.80395065789473685</v>
      </c>
      <c r="AX63" s="202">
        <f t="shared" si="20"/>
        <v>0.42877368421052636</v>
      </c>
      <c r="AY63" s="63">
        <f>AT63*$AG$4*パラメータ!$D$23</f>
        <v>24.000711552631579</v>
      </c>
      <c r="AZ63" s="1">
        <f>AV63*$AG$7*E63*パラメータ!$D$28</f>
        <v>17.995668749999997</v>
      </c>
      <c r="BA63" s="1">
        <f>SUMPRODUCT($AC$4:$AC$10,$AD$4:$AD$10)*E63*パラメータ!$D$26*10^-3</f>
        <v>6.12</v>
      </c>
      <c r="BB63" s="1">
        <f>(AW63+AX63)*$AG$5*$AG$4*パラメータ!$D$21*10^-3</f>
        <v>5.8246225164473691</v>
      </c>
      <c r="BC63" s="1" t="e">
        <f>(#REF!*#REF!*パラメータ!$D$21+0.5*#REF!^2*SIN(RADIANS($T$10))*パラメータ!$D$24)*E63*10^-3</f>
        <v>#REF!</v>
      </c>
      <c r="BD63" s="1">
        <f t="shared" si="16"/>
        <v>0</v>
      </c>
      <c r="BE63" s="1">
        <f t="shared" si="17"/>
        <v>0</v>
      </c>
      <c r="BF63" s="1">
        <f>IF(G63="端リブ",AT63*$T$13*パラメータ!$D$21*2,0)</f>
        <v>0</v>
      </c>
      <c r="BG63" s="1" t="e">
        <f>'主翼（構造）'!BA19*1000</f>
        <v>#REF!</v>
      </c>
      <c r="BH63" s="1" t="e">
        <f t="shared" si="24"/>
        <v>#REF!</v>
      </c>
      <c r="BI63" s="1" t="e">
        <f t="shared" si="25"/>
        <v>#REF!</v>
      </c>
      <c r="BJ63" s="2">
        <f>(AP63-機体重量!$G$16)^2+(AQ63-機体重量!$H$16)^2</f>
        <v>5.4950777486569501E-4</v>
      </c>
      <c r="BK63" s="2">
        <f>(AQ63-機体重量!$H$16)^2</f>
        <v>3.8816156979940122E-4</v>
      </c>
      <c r="BL63" s="212">
        <f>(AP63-機体重量!$G$16)^2</f>
        <v>1.6134620506629379E-4</v>
      </c>
    </row>
    <row r="64" spans="2:64">
      <c r="B64" s="97">
        <v>13</v>
      </c>
      <c r="C64" s="1">
        <f t="shared" si="18"/>
        <v>2.5999999999999992</v>
      </c>
      <c r="D64" s="1">
        <f t="shared" si="0"/>
        <v>1038.9473684210527</v>
      </c>
      <c r="E64" s="4">
        <v>0.15</v>
      </c>
      <c r="F64" s="21" t="str">
        <f t="shared" si="26"/>
        <v>1st</v>
      </c>
      <c r="G64" s="4" t="str">
        <f t="shared" si="2"/>
        <v>1番</v>
      </c>
      <c r="H64" s="263" t="s">
        <v>1292</v>
      </c>
      <c r="I64" s="63">
        <f t="shared" si="3"/>
        <v>112.30999999999999</v>
      </c>
      <c r="J64" s="1">
        <f t="shared" si="4"/>
        <v>112.5179</v>
      </c>
      <c r="K64" s="1">
        <f t="shared" si="5"/>
        <v>0.375</v>
      </c>
      <c r="L64" s="202"/>
      <c r="M64" s="206"/>
      <c r="N64" s="76"/>
      <c r="O64" s="207"/>
      <c r="P64" s="76"/>
      <c r="Q64" s="76"/>
      <c r="R64" s="76"/>
      <c r="S64" s="76"/>
      <c r="T64" s="76"/>
      <c r="U64" s="76"/>
      <c r="V64" s="76"/>
      <c r="W64" s="76"/>
      <c r="X64" s="76"/>
      <c r="Y64" s="76"/>
      <c r="Z64" s="76"/>
      <c r="AA64" s="76"/>
      <c r="AB64" s="76"/>
      <c r="AC64" s="76"/>
      <c r="AD64" s="63" t="str">
        <f t="shared" si="6"/>
        <v>QX0024</v>
      </c>
      <c r="AE64" s="1">
        <f t="shared" si="21"/>
        <v>100</v>
      </c>
      <c r="AF64" s="1" t="str">
        <f t="shared" si="7"/>
        <v>QX0024</v>
      </c>
      <c r="AG64" s="1">
        <f t="shared" si="8"/>
        <v>0</v>
      </c>
      <c r="AH64" s="1">
        <f t="shared" si="9"/>
        <v>0.38960526315789479</v>
      </c>
      <c r="AI64" s="1">
        <f t="shared" si="10"/>
        <v>-0.64934210526315783</v>
      </c>
      <c r="AJ64" s="1">
        <f t="shared" si="22"/>
        <v>1.7999999999999996</v>
      </c>
      <c r="AK64" s="1">
        <f t="shared" si="23"/>
        <v>0</v>
      </c>
      <c r="AL64" s="1">
        <f t="shared" si="11"/>
        <v>4.4000000000000004</v>
      </c>
      <c r="AM64" s="7">
        <f t="shared" si="12"/>
        <v>0</v>
      </c>
      <c r="AN64" s="206"/>
      <c r="AO64" s="76"/>
      <c r="AP64" s="76"/>
      <c r="AQ64" s="76"/>
      <c r="AR64" s="76"/>
      <c r="AS64" s="76"/>
      <c r="AT64" s="76">
        <f t="shared" si="13"/>
        <v>0.10254410526315791</v>
      </c>
      <c r="AU64" s="76">
        <f t="shared" si="14"/>
        <v>2.1298421052631578</v>
      </c>
      <c r="AV64" s="76">
        <f t="shared" si="15"/>
        <v>0.94094999999999995</v>
      </c>
      <c r="AW64" s="76">
        <f t="shared" si="19"/>
        <v>0.7986907894736841</v>
      </c>
      <c r="AX64" s="202">
        <f t="shared" si="20"/>
        <v>0.42596842105263155</v>
      </c>
      <c r="AY64" s="63">
        <f>AT64*$AG$4*パラメータ!$D$23</f>
        <v>23.687688315789476</v>
      </c>
      <c r="AZ64" s="1">
        <f>AV64*$AG$7*E64*パラメータ!$D$28</f>
        <v>17.995668749999997</v>
      </c>
      <c r="BA64" s="1">
        <f>SUMPRODUCT($AC$4:$AC$10,$AD$4:$AD$10)*E64*パラメータ!$D$26*10^-3</f>
        <v>6.12</v>
      </c>
      <c r="BB64" s="1">
        <f>(AW64+AX64)*$AG$5*$AG$4*パラメータ!$D$21*10^-3</f>
        <v>5.7865147697368418</v>
      </c>
      <c r="BC64" s="1" t="e">
        <f>(#REF!*#REF!*パラメータ!$D$21+0.5*#REF!^2*SIN(RADIANS($T$10))*パラメータ!$D$24)*E64*10^-3</f>
        <v>#REF!</v>
      </c>
      <c r="BD64" s="1">
        <f t="shared" si="16"/>
        <v>0</v>
      </c>
      <c r="BE64" s="1">
        <f t="shared" si="17"/>
        <v>0</v>
      </c>
      <c r="BF64" s="1">
        <f>IF(G64="端リブ",AT64*$T$13*パラメータ!$D$21*2,0)</f>
        <v>0</v>
      </c>
      <c r="BG64" s="1" t="e">
        <f>'主翼（構造）'!BA20*1000</f>
        <v>#REF!</v>
      </c>
      <c r="BH64" s="1" t="e">
        <f t="shared" si="24"/>
        <v>#REF!</v>
      </c>
      <c r="BI64" s="1" t="e">
        <f t="shared" si="25"/>
        <v>#REF!</v>
      </c>
      <c r="BJ64" s="2">
        <f>(AP64-機体重量!$G$16)^2+(AQ64-機体重量!$H$16)^2</f>
        <v>5.4950777486569501E-4</v>
      </c>
      <c r="BK64" s="2">
        <f>(AQ64-機体重量!$H$16)^2</f>
        <v>3.8816156979940122E-4</v>
      </c>
      <c r="BL64" s="212">
        <f>(AP64-機体重量!$G$16)^2</f>
        <v>1.6134620506629379E-4</v>
      </c>
    </row>
    <row r="65" spans="2:64">
      <c r="B65" s="27">
        <v>14</v>
      </c>
      <c r="C65" s="1">
        <f t="shared" si="18"/>
        <v>2.7499999999999991</v>
      </c>
      <c r="D65" s="1">
        <f t="shared" si="0"/>
        <v>1032.1052631578948</v>
      </c>
      <c r="E65" s="4">
        <v>0.15</v>
      </c>
      <c r="F65" s="21" t="str">
        <f t="shared" si="26"/>
        <v>1st</v>
      </c>
      <c r="G65" s="4" t="str">
        <f t="shared" si="2"/>
        <v>1番</v>
      </c>
      <c r="H65" s="263" t="s">
        <v>1292</v>
      </c>
      <c r="I65" s="63">
        <f t="shared" si="3"/>
        <v>111.10999999999999</v>
      </c>
      <c r="J65" s="1">
        <f t="shared" si="4"/>
        <v>111.2927</v>
      </c>
      <c r="K65" s="1">
        <f t="shared" si="5"/>
        <v>0.375</v>
      </c>
      <c r="L65" s="202"/>
      <c r="M65" s="206"/>
      <c r="N65" s="76"/>
      <c r="O65" s="207"/>
      <c r="P65" s="76"/>
      <c r="Q65" s="76"/>
      <c r="R65" s="76"/>
      <c r="S65" s="76"/>
      <c r="T65" s="76"/>
      <c r="U65" s="76"/>
      <c r="V65" s="76"/>
      <c r="W65" s="76"/>
      <c r="X65" s="76"/>
      <c r="Y65" s="76"/>
      <c r="Z65" s="76"/>
      <c r="AA65" s="76"/>
      <c r="AB65" s="76"/>
      <c r="AC65" s="76"/>
      <c r="AD65" s="63" t="str">
        <f t="shared" si="6"/>
        <v>QX0024</v>
      </c>
      <c r="AE65" s="1">
        <f t="shared" si="21"/>
        <v>100</v>
      </c>
      <c r="AF65" s="1" t="str">
        <f t="shared" si="7"/>
        <v>QX0024</v>
      </c>
      <c r="AG65" s="1">
        <f t="shared" si="8"/>
        <v>0</v>
      </c>
      <c r="AH65" s="1">
        <f t="shared" si="9"/>
        <v>0.38703947368421054</v>
      </c>
      <c r="AI65" s="1">
        <f t="shared" si="10"/>
        <v>-0.64506578947368431</v>
      </c>
      <c r="AJ65" s="1">
        <f t="shared" si="22"/>
        <v>1.9499999999999995</v>
      </c>
      <c r="AK65" s="1">
        <f t="shared" si="23"/>
        <v>0</v>
      </c>
      <c r="AL65" s="1">
        <f t="shared" si="11"/>
        <v>4.4000000000000004</v>
      </c>
      <c r="AM65" s="7">
        <f t="shared" si="12"/>
        <v>0</v>
      </c>
      <c r="AN65" s="206"/>
      <c r="AO65" s="76"/>
      <c r="AP65" s="76"/>
      <c r="AQ65" s="76"/>
      <c r="AR65" s="76"/>
      <c r="AS65" s="76"/>
      <c r="AT65" s="76">
        <f t="shared" si="13"/>
        <v>0.1011979210526316</v>
      </c>
      <c r="AU65" s="76">
        <f t="shared" si="14"/>
        <v>2.1158157894736842</v>
      </c>
      <c r="AV65" s="76">
        <f t="shared" si="15"/>
        <v>0.94094999999999995</v>
      </c>
      <c r="AW65" s="76">
        <f t="shared" si="19"/>
        <v>0.79343092105263158</v>
      </c>
      <c r="AX65" s="202">
        <f t="shared" si="20"/>
        <v>0.42316315789473685</v>
      </c>
      <c r="AY65" s="63">
        <f>AT65*$AG$4*パラメータ!$D$23</f>
        <v>23.376719763157901</v>
      </c>
      <c r="AZ65" s="1">
        <f>AV65*$AG$7*E65*パラメータ!$D$28</f>
        <v>17.995668749999997</v>
      </c>
      <c r="BA65" s="1">
        <f>SUMPRODUCT($AC$4:$AC$10,$AD$4:$AD$10)*E65*パラメータ!$D$26*10^-3</f>
        <v>6.12</v>
      </c>
      <c r="BB65" s="1">
        <f>(AW65+AX65)*$AG$5*$AG$4*パラメータ!$D$21*10^-3</f>
        <v>5.7484070230263162</v>
      </c>
      <c r="BC65" s="1" t="e">
        <f>(#REF!*#REF!*パラメータ!$D$21+0.5*#REF!^2*SIN(RADIANS($T$10))*パラメータ!$D$24)*E65*10^-3</f>
        <v>#REF!</v>
      </c>
      <c r="BD65" s="1">
        <f t="shared" si="16"/>
        <v>0</v>
      </c>
      <c r="BE65" s="1">
        <f t="shared" si="17"/>
        <v>0</v>
      </c>
      <c r="BF65" s="1">
        <f>IF(G65="端リブ",AT65*$T$13*パラメータ!$D$21*2,0)</f>
        <v>0</v>
      </c>
      <c r="BG65" s="1" t="e">
        <f>'主翼（構造）'!BA21*1000</f>
        <v>#REF!</v>
      </c>
      <c r="BH65" s="1" t="e">
        <f t="shared" si="24"/>
        <v>#REF!</v>
      </c>
      <c r="BI65" s="1" t="e">
        <f t="shared" si="25"/>
        <v>#REF!</v>
      </c>
      <c r="BJ65" s="2">
        <f>(AP65-機体重量!$G$16)^2+(AQ65-機体重量!$H$16)^2</f>
        <v>5.4950777486569501E-4</v>
      </c>
      <c r="BK65" s="2">
        <f>(AQ65-機体重量!$H$16)^2</f>
        <v>3.8816156979940122E-4</v>
      </c>
      <c r="BL65" s="212">
        <f>(AP65-機体重量!$G$16)^2</f>
        <v>1.6134620506629379E-4</v>
      </c>
    </row>
    <row r="66" spans="2:64">
      <c r="B66" s="97">
        <v>15</v>
      </c>
      <c r="C66" s="1">
        <f t="shared" si="18"/>
        <v>2.899999999999999</v>
      </c>
      <c r="D66" s="1">
        <f t="shared" si="0"/>
        <v>1025.2631578947369</v>
      </c>
      <c r="E66" s="4">
        <v>0.15</v>
      </c>
      <c r="F66" s="21" t="str">
        <f t="shared" si="26"/>
        <v>1st</v>
      </c>
      <c r="G66" s="4" t="str">
        <f t="shared" si="2"/>
        <v>1番</v>
      </c>
      <c r="H66" s="263" t="s">
        <v>1292</v>
      </c>
      <c r="I66" s="63">
        <f t="shared" si="3"/>
        <v>109.91</v>
      </c>
      <c r="J66" s="1">
        <f t="shared" si="4"/>
        <v>110.0675</v>
      </c>
      <c r="K66" s="1">
        <f t="shared" si="5"/>
        <v>0.375</v>
      </c>
      <c r="L66" s="202"/>
      <c r="M66" s="206"/>
      <c r="N66" s="76"/>
      <c r="O66" s="207"/>
      <c r="P66" s="76"/>
      <c r="Q66" s="76"/>
      <c r="R66" s="76"/>
      <c r="S66" s="76"/>
      <c r="T66" s="76"/>
      <c r="U66" s="76"/>
      <c r="V66" s="76"/>
      <c r="W66" s="76"/>
      <c r="X66" s="76"/>
      <c r="Y66" s="76"/>
      <c r="Z66" s="76"/>
      <c r="AA66" s="76"/>
      <c r="AB66" s="76"/>
      <c r="AC66" s="76"/>
      <c r="AD66" s="63" t="str">
        <f t="shared" si="6"/>
        <v>QX0024</v>
      </c>
      <c r="AE66" s="1">
        <f t="shared" si="21"/>
        <v>100</v>
      </c>
      <c r="AF66" s="1" t="str">
        <f t="shared" si="7"/>
        <v>QX0024</v>
      </c>
      <c r="AG66" s="1">
        <f t="shared" si="8"/>
        <v>0</v>
      </c>
      <c r="AH66" s="1">
        <f t="shared" si="9"/>
        <v>0.38447368421052636</v>
      </c>
      <c r="AI66" s="1">
        <f t="shared" si="10"/>
        <v>-0.64078947368421058</v>
      </c>
      <c r="AJ66" s="1">
        <f t="shared" si="22"/>
        <v>2.0999999999999996</v>
      </c>
      <c r="AK66" s="1">
        <f t="shared" si="23"/>
        <v>0</v>
      </c>
      <c r="AL66" s="1">
        <f t="shared" si="11"/>
        <v>4.4000000000000004</v>
      </c>
      <c r="AM66" s="7">
        <f t="shared" si="12"/>
        <v>0</v>
      </c>
      <c r="AN66" s="206"/>
      <c r="AO66" s="76"/>
      <c r="AP66" s="76"/>
      <c r="AQ66" s="76"/>
      <c r="AR66" s="76"/>
      <c r="AS66" s="76"/>
      <c r="AT66" s="76">
        <f t="shared" si="13"/>
        <v>9.9860631578947368E-2</v>
      </c>
      <c r="AU66" s="76">
        <f t="shared" si="14"/>
        <v>2.1017894736842102</v>
      </c>
      <c r="AV66" s="76">
        <f t="shared" si="15"/>
        <v>0.94094999999999995</v>
      </c>
      <c r="AW66" s="76">
        <f t="shared" si="19"/>
        <v>0.78817105263157883</v>
      </c>
      <c r="AX66" s="202">
        <f t="shared" si="20"/>
        <v>0.42035789473684204</v>
      </c>
      <c r="AY66" s="63">
        <f>AT66*$AG$4*パラメータ!$D$23</f>
        <v>23.067805894736839</v>
      </c>
      <c r="AZ66" s="1">
        <f>AV66*$AG$7*E66*パラメータ!$D$28</f>
        <v>17.995668749999997</v>
      </c>
      <c r="BA66" s="1">
        <f>SUMPRODUCT($AC$4:$AC$10,$AD$4:$AD$10)*E66*パラメータ!$D$26*10^-3</f>
        <v>6.12</v>
      </c>
      <c r="BB66" s="1">
        <f>(AW66+AX66)*$AG$5*$AG$4*パラメータ!$D$21*10^-3</f>
        <v>5.710299276315788</v>
      </c>
      <c r="BC66" s="1" t="e">
        <f>(#REF!*#REF!*パラメータ!$D$21+0.5*#REF!^2*SIN(RADIANS($T$10))*パラメータ!$D$24)*E66*10^-3</f>
        <v>#REF!</v>
      </c>
      <c r="BD66" s="1">
        <f t="shared" si="16"/>
        <v>0</v>
      </c>
      <c r="BE66" s="1">
        <f t="shared" si="17"/>
        <v>0</v>
      </c>
      <c r="BF66" s="1">
        <f>IF(G66="端リブ",AT66*$T$13*パラメータ!$D$21*2,0)</f>
        <v>0</v>
      </c>
      <c r="BG66" s="1" t="e">
        <f>'主翼（構造）'!BA22*1000</f>
        <v>#REF!</v>
      </c>
      <c r="BH66" s="1" t="e">
        <f t="shared" si="24"/>
        <v>#REF!</v>
      </c>
      <c r="BI66" s="1" t="e">
        <f t="shared" si="25"/>
        <v>#REF!</v>
      </c>
      <c r="BJ66" s="2">
        <f>(AP66-機体重量!$G$16)^2+(AQ66-機体重量!$H$16)^2</f>
        <v>5.4950777486569501E-4</v>
      </c>
      <c r="BK66" s="2">
        <f>(AQ66-機体重量!$H$16)^2</f>
        <v>3.8816156979940122E-4</v>
      </c>
      <c r="BL66" s="212">
        <f>(AP66-機体重量!$G$16)^2</f>
        <v>1.6134620506629379E-4</v>
      </c>
    </row>
    <row r="67" spans="2:64">
      <c r="B67" s="27">
        <v>16</v>
      </c>
      <c r="C67" s="1">
        <f t="shared" si="18"/>
        <v>3.0499999999999989</v>
      </c>
      <c r="D67" s="1">
        <f t="shared" si="0"/>
        <v>1018.4210526315791</v>
      </c>
      <c r="E67" s="4">
        <v>0.15</v>
      </c>
      <c r="F67" s="21" t="str">
        <f t="shared" si="26"/>
        <v>1st</v>
      </c>
      <c r="G67" s="4" t="str">
        <f t="shared" si="2"/>
        <v>1番</v>
      </c>
      <c r="H67" s="263" t="s">
        <v>1292</v>
      </c>
      <c r="I67" s="63">
        <f t="shared" si="3"/>
        <v>108.70999999999998</v>
      </c>
      <c r="J67" s="1">
        <f t="shared" si="4"/>
        <v>108.84229999999999</v>
      </c>
      <c r="K67" s="1">
        <f t="shared" si="5"/>
        <v>0.375</v>
      </c>
      <c r="L67" s="202"/>
      <c r="M67" s="206"/>
      <c r="N67" s="76"/>
      <c r="O67" s="207"/>
      <c r="P67" s="76"/>
      <c r="Q67" s="76"/>
      <c r="R67" s="76"/>
      <c r="S67" s="76"/>
      <c r="T67" s="76"/>
      <c r="U67" s="76"/>
      <c r="V67" s="76"/>
      <c r="W67" s="76"/>
      <c r="X67" s="76"/>
      <c r="Y67" s="76"/>
      <c r="Z67" s="76"/>
      <c r="AA67" s="76"/>
      <c r="AB67" s="76"/>
      <c r="AC67" s="76"/>
      <c r="AD67" s="63" t="str">
        <f t="shared" si="6"/>
        <v>QX0024</v>
      </c>
      <c r="AE67" s="1">
        <f t="shared" si="21"/>
        <v>100</v>
      </c>
      <c r="AF67" s="1" t="str">
        <f t="shared" si="7"/>
        <v>QX0024</v>
      </c>
      <c r="AG67" s="1">
        <f t="shared" si="8"/>
        <v>0</v>
      </c>
      <c r="AH67" s="1">
        <f t="shared" si="9"/>
        <v>0.38190789473684211</v>
      </c>
      <c r="AI67" s="1">
        <f t="shared" si="10"/>
        <v>-0.63651315789473695</v>
      </c>
      <c r="AJ67" s="1">
        <f t="shared" si="22"/>
        <v>2.2499999999999996</v>
      </c>
      <c r="AK67" s="1">
        <f t="shared" si="23"/>
        <v>0</v>
      </c>
      <c r="AL67" s="1">
        <f t="shared" si="11"/>
        <v>4.4000000000000004</v>
      </c>
      <c r="AM67" s="7">
        <f t="shared" si="12"/>
        <v>0</v>
      </c>
      <c r="AN67" s="206"/>
      <c r="AO67" s="76"/>
      <c r="AP67" s="76"/>
      <c r="AQ67" s="76"/>
      <c r="AR67" s="76"/>
      <c r="AS67" s="76"/>
      <c r="AT67" s="76">
        <f t="shared" si="13"/>
        <v>9.8532236842105297E-2</v>
      </c>
      <c r="AU67" s="76">
        <f t="shared" si="14"/>
        <v>2.0877631578947371</v>
      </c>
      <c r="AV67" s="76">
        <f t="shared" si="15"/>
        <v>0.94094999999999995</v>
      </c>
      <c r="AW67" s="76">
        <f t="shared" si="19"/>
        <v>0.78291118421052641</v>
      </c>
      <c r="AX67" s="202">
        <f t="shared" si="20"/>
        <v>0.41755263157894745</v>
      </c>
      <c r="AY67" s="63">
        <f>AT67*$AG$4*パラメータ!$D$23</f>
        <v>22.760946710526323</v>
      </c>
      <c r="AZ67" s="1">
        <f>AV67*$AG$7*E67*パラメータ!$D$28</f>
        <v>17.995668749999997</v>
      </c>
      <c r="BA67" s="1">
        <f>SUMPRODUCT($AC$4:$AC$10,$AD$4:$AD$10)*E67*パラメータ!$D$26*10^-3</f>
        <v>6.12</v>
      </c>
      <c r="BB67" s="1">
        <f>(AW67+AX67)*$AG$5*$AG$4*パラメータ!$D$21*10^-3</f>
        <v>5.6721915296052643</v>
      </c>
      <c r="BC67" s="1" t="e">
        <f>(#REF!*#REF!*パラメータ!$D$21+0.5*#REF!^2*SIN(RADIANS($T$10))*パラメータ!$D$24)*E67*10^-3</f>
        <v>#REF!</v>
      </c>
      <c r="BD67" s="1">
        <f t="shared" si="16"/>
        <v>0</v>
      </c>
      <c r="BE67" s="1">
        <f t="shared" si="17"/>
        <v>0</v>
      </c>
      <c r="BF67" s="1">
        <f>IF(G67="端リブ",AT67*$T$13*パラメータ!$D$21*2,0)</f>
        <v>0</v>
      </c>
      <c r="BG67" s="1" t="e">
        <f>'主翼（構造）'!BA23*1000</f>
        <v>#REF!</v>
      </c>
      <c r="BH67" s="1" t="e">
        <f t="shared" si="24"/>
        <v>#REF!</v>
      </c>
      <c r="BI67" s="1" t="e">
        <f t="shared" si="25"/>
        <v>#REF!</v>
      </c>
      <c r="BJ67" s="2">
        <f>(AP67-機体重量!$G$16)^2+(AQ67-機体重量!$H$16)^2</f>
        <v>5.4950777486569501E-4</v>
      </c>
      <c r="BK67" s="2">
        <f>(AQ67-機体重量!$H$16)^2</f>
        <v>3.8816156979940122E-4</v>
      </c>
      <c r="BL67" s="212">
        <f>(AP67-機体重量!$G$16)^2</f>
        <v>1.6134620506629379E-4</v>
      </c>
    </row>
    <row r="68" spans="2:64">
      <c r="B68" s="97">
        <v>17</v>
      </c>
      <c r="C68" s="1">
        <f t="shared" si="18"/>
        <v>3.1999999999999988</v>
      </c>
      <c r="D68" s="1">
        <f t="shared" si="0"/>
        <v>1011.5789473684212</v>
      </c>
      <c r="E68" s="4">
        <v>0.15</v>
      </c>
      <c r="F68" s="21" t="str">
        <f t="shared" si="26"/>
        <v>1st</v>
      </c>
      <c r="G68" s="4" t="str">
        <f t="shared" si="2"/>
        <v>1番</v>
      </c>
      <c r="H68" s="263" t="s">
        <v>1292</v>
      </c>
      <c r="I68" s="63">
        <f t="shared" si="3"/>
        <v>107.50999999999999</v>
      </c>
      <c r="J68" s="1">
        <f t="shared" si="4"/>
        <v>107.61710000000001</v>
      </c>
      <c r="K68" s="1">
        <f t="shared" si="5"/>
        <v>0.375</v>
      </c>
      <c r="L68" s="202"/>
      <c r="M68" s="206"/>
      <c r="N68" s="76"/>
      <c r="O68" s="207"/>
      <c r="P68" s="76"/>
      <c r="Q68" s="76"/>
      <c r="R68" s="76"/>
      <c r="S68" s="76"/>
      <c r="T68" s="76"/>
      <c r="U68" s="76"/>
      <c r="V68" s="76"/>
      <c r="W68" s="76"/>
      <c r="X68" s="76"/>
      <c r="Y68" s="76"/>
      <c r="Z68" s="76"/>
      <c r="AA68" s="76"/>
      <c r="AB68" s="76"/>
      <c r="AC68" s="76"/>
      <c r="AD68" s="63" t="str">
        <f t="shared" si="6"/>
        <v>QX0024</v>
      </c>
      <c r="AE68" s="1">
        <f t="shared" si="21"/>
        <v>100</v>
      </c>
      <c r="AF68" s="1" t="str">
        <f t="shared" si="7"/>
        <v>QX0024</v>
      </c>
      <c r="AG68" s="1">
        <f t="shared" si="8"/>
        <v>0</v>
      </c>
      <c r="AH68" s="1">
        <f t="shared" si="9"/>
        <v>0.37934210526315792</v>
      </c>
      <c r="AI68" s="1">
        <f t="shared" si="10"/>
        <v>-0.63223684210526321</v>
      </c>
      <c r="AJ68" s="1">
        <f t="shared" si="22"/>
        <v>2.3999999999999995</v>
      </c>
      <c r="AK68" s="1">
        <f t="shared" si="23"/>
        <v>0</v>
      </c>
      <c r="AL68" s="1">
        <f t="shared" si="11"/>
        <v>4.4000000000000004</v>
      </c>
      <c r="AM68" s="7">
        <f t="shared" si="12"/>
        <v>0</v>
      </c>
      <c r="AN68" s="206"/>
      <c r="AO68" s="76"/>
      <c r="AP68" s="76"/>
      <c r="AQ68" s="76"/>
      <c r="AR68" s="76"/>
      <c r="AS68" s="76"/>
      <c r="AT68" s="76">
        <f t="shared" si="13"/>
        <v>9.7212736842105282E-2</v>
      </c>
      <c r="AU68" s="76">
        <f t="shared" si="14"/>
        <v>2.0737368421052635</v>
      </c>
      <c r="AV68" s="76">
        <f t="shared" si="15"/>
        <v>0.94094999999999995</v>
      </c>
      <c r="AW68" s="76">
        <f t="shared" si="19"/>
        <v>0.77765131578947377</v>
      </c>
      <c r="AX68" s="202">
        <f t="shared" si="20"/>
        <v>0.41474736842105275</v>
      </c>
      <c r="AY68" s="63">
        <f>AT68*$AG$4*パラメータ!$D$23</f>
        <v>22.45614221052632</v>
      </c>
      <c r="AZ68" s="1">
        <f>AV68*$AG$7*E68*パラメータ!$D$28</f>
        <v>17.995668749999997</v>
      </c>
      <c r="BA68" s="1">
        <f>SUMPRODUCT($AC$4:$AC$10,$AD$4:$AD$10)*E68*パラメータ!$D$26*10^-3</f>
        <v>6.12</v>
      </c>
      <c r="BB68" s="1">
        <f>(AW68+AX68)*$AG$5*$AG$4*パラメータ!$D$21*10^-3</f>
        <v>5.6340837828947379</v>
      </c>
      <c r="BC68" s="1" t="e">
        <f>(#REF!*#REF!*パラメータ!$D$21+0.5*#REF!^2*SIN(RADIANS($T$10))*パラメータ!$D$24)*E68*10^-3</f>
        <v>#REF!</v>
      </c>
      <c r="BD68" s="1">
        <f t="shared" si="16"/>
        <v>0</v>
      </c>
      <c r="BE68" s="1">
        <f t="shared" si="17"/>
        <v>0</v>
      </c>
      <c r="BF68" s="1">
        <f>IF(G68="端リブ",AT68*$T$13*パラメータ!$D$21*2,0)</f>
        <v>0</v>
      </c>
      <c r="BG68" s="1" t="e">
        <f>'主翼（構造）'!BA24*1000</f>
        <v>#REF!</v>
      </c>
      <c r="BH68" s="1" t="e">
        <f t="shared" si="24"/>
        <v>#REF!</v>
      </c>
      <c r="BI68" s="1" t="e">
        <f t="shared" si="25"/>
        <v>#REF!</v>
      </c>
      <c r="BJ68" s="2">
        <f>(AP68-機体重量!$G$16)^2+(AQ68-機体重量!$H$16)^2</f>
        <v>5.4950777486569501E-4</v>
      </c>
      <c r="BK68" s="2">
        <f>(AQ68-機体重量!$H$16)^2</f>
        <v>3.8816156979940122E-4</v>
      </c>
      <c r="BL68" s="212">
        <f>(AP68-機体重量!$G$16)^2</f>
        <v>1.6134620506629379E-4</v>
      </c>
    </row>
    <row r="69" spans="2:64">
      <c r="B69" s="27">
        <v>18</v>
      </c>
      <c r="C69" s="1">
        <f t="shared" si="18"/>
        <v>3.3499999999999988</v>
      </c>
      <c r="D69" s="1">
        <f t="shared" si="0"/>
        <v>1004.7368421052631</v>
      </c>
      <c r="E69" s="4">
        <v>0.15</v>
      </c>
      <c r="F69" s="21" t="str">
        <f t="shared" si="26"/>
        <v>1st</v>
      </c>
      <c r="G69" s="4" t="str">
        <f t="shared" si="2"/>
        <v>1番</v>
      </c>
      <c r="H69" s="263" t="s">
        <v>1292</v>
      </c>
      <c r="I69" s="63">
        <f t="shared" si="3"/>
        <v>106.30999999999999</v>
      </c>
      <c r="J69" s="1">
        <f t="shared" si="4"/>
        <v>106.39190000000001</v>
      </c>
      <c r="K69" s="1">
        <f t="shared" si="5"/>
        <v>0.375</v>
      </c>
      <c r="L69" s="202"/>
      <c r="M69" s="206"/>
      <c r="N69" s="76"/>
      <c r="O69" s="207"/>
      <c r="P69" s="76"/>
      <c r="Q69" s="76"/>
      <c r="R69" s="76"/>
      <c r="S69" s="76"/>
      <c r="T69" s="76"/>
      <c r="U69" s="76"/>
      <c r="V69" s="76"/>
      <c r="W69" s="76"/>
      <c r="X69" s="76"/>
      <c r="Y69" s="76"/>
      <c r="Z69" s="76"/>
      <c r="AA69" s="76"/>
      <c r="AB69" s="76"/>
      <c r="AC69" s="76"/>
      <c r="AD69" s="63" t="str">
        <f t="shared" si="6"/>
        <v>QX0024</v>
      </c>
      <c r="AE69" s="1">
        <f t="shared" si="21"/>
        <v>100</v>
      </c>
      <c r="AF69" s="1" t="str">
        <f t="shared" si="7"/>
        <v>QX0024</v>
      </c>
      <c r="AG69" s="1">
        <f t="shared" si="8"/>
        <v>0</v>
      </c>
      <c r="AH69" s="1">
        <f t="shared" si="9"/>
        <v>0.37677631578947363</v>
      </c>
      <c r="AI69" s="1">
        <f t="shared" si="10"/>
        <v>-0.62796052631578947</v>
      </c>
      <c r="AJ69" s="1">
        <f t="shared" si="22"/>
        <v>2.5499999999999994</v>
      </c>
      <c r="AK69" s="1">
        <f t="shared" si="23"/>
        <v>0</v>
      </c>
      <c r="AL69" s="1">
        <f t="shared" si="11"/>
        <v>4.4000000000000004</v>
      </c>
      <c r="AM69" s="7">
        <f t="shared" si="12"/>
        <v>0</v>
      </c>
      <c r="AN69" s="206"/>
      <c r="AO69" s="76"/>
      <c r="AP69" s="76"/>
      <c r="AQ69" s="76"/>
      <c r="AR69" s="76"/>
      <c r="AS69" s="76"/>
      <c r="AT69" s="76">
        <f t="shared" si="13"/>
        <v>9.5902131578947364E-2</v>
      </c>
      <c r="AU69" s="76">
        <f t="shared" si="14"/>
        <v>2.0597105263157891</v>
      </c>
      <c r="AV69" s="76">
        <f t="shared" si="15"/>
        <v>0.94094999999999995</v>
      </c>
      <c r="AW69" s="76">
        <f t="shared" si="19"/>
        <v>0.77239144736842091</v>
      </c>
      <c r="AX69" s="202">
        <f t="shared" si="20"/>
        <v>0.41194210526315783</v>
      </c>
      <c r="AY69" s="63">
        <f>AT69*$AG$4*パラメータ!$D$23</f>
        <v>22.153392394736841</v>
      </c>
      <c r="AZ69" s="1">
        <f>AV69*$AG$7*E69*パラメータ!$D$28</f>
        <v>17.995668749999997</v>
      </c>
      <c r="BA69" s="1">
        <f>SUMPRODUCT($AC$4:$AC$10,$AD$4:$AD$10)*E69*パラメータ!$D$26*10^-3</f>
        <v>6.12</v>
      </c>
      <c r="BB69" s="1">
        <f>(AW69+AX69)*$AG$5*$AG$4*パラメータ!$D$21*10^-3</f>
        <v>5.5959760361842097</v>
      </c>
      <c r="BC69" s="1" t="e">
        <f>(#REF!*#REF!*パラメータ!$D$21+0.5*#REF!^2*SIN(RADIANS($T$10))*パラメータ!$D$24)*E69*10^-3</f>
        <v>#REF!</v>
      </c>
      <c r="BD69" s="1">
        <f t="shared" si="16"/>
        <v>0</v>
      </c>
      <c r="BE69" s="1">
        <f t="shared" si="17"/>
        <v>0</v>
      </c>
      <c r="BF69" s="1">
        <f>IF(G69="端リブ",AT69*$T$13*パラメータ!$D$21*2,0)</f>
        <v>0</v>
      </c>
      <c r="BG69" s="1" t="e">
        <f>'主翼（構造）'!BA25*1000</f>
        <v>#REF!</v>
      </c>
      <c r="BH69" s="1" t="e">
        <f t="shared" si="24"/>
        <v>#REF!</v>
      </c>
      <c r="BI69" s="1" t="e">
        <f t="shared" si="25"/>
        <v>#REF!</v>
      </c>
      <c r="BJ69" s="2">
        <f>(AP69-機体重量!$G$16)^2+(AQ69-機体重量!$H$16)^2</f>
        <v>5.4950777486569501E-4</v>
      </c>
      <c r="BK69" s="2">
        <f>(AQ69-機体重量!$H$16)^2</f>
        <v>3.8816156979940122E-4</v>
      </c>
      <c r="BL69" s="212">
        <f>(AP69-機体重量!$G$16)^2</f>
        <v>1.6134620506629379E-4</v>
      </c>
    </row>
    <row r="70" spans="2:64">
      <c r="B70" s="97">
        <v>19</v>
      </c>
      <c r="C70" s="1">
        <f t="shared" si="18"/>
        <v>3.4999999999999987</v>
      </c>
      <c r="D70" s="1">
        <f t="shared" si="0"/>
        <v>997.89473684210543</v>
      </c>
      <c r="E70" s="4">
        <v>0.15</v>
      </c>
      <c r="F70" s="21" t="str">
        <f t="shared" si="26"/>
        <v>1st</v>
      </c>
      <c r="G70" s="4" t="str">
        <f t="shared" si="2"/>
        <v>1番</v>
      </c>
      <c r="H70" s="263" t="s">
        <v>1292</v>
      </c>
      <c r="I70" s="63">
        <f t="shared" si="3"/>
        <v>105.10999999999999</v>
      </c>
      <c r="J70" s="1">
        <f t="shared" si="4"/>
        <v>105.16670000000001</v>
      </c>
      <c r="K70" s="1">
        <f t="shared" si="5"/>
        <v>0.375</v>
      </c>
      <c r="L70" s="202"/>
      <c r="M70" s="206"/>
      <c r="N70" s="76"/>
      <c r="O70" s="207"/>
      <c r="P70" s="76"/>
      <c r="Q70" s="76"/>
      <c r="R70" s="76"/>
      <c r="S70" s="76"/>
      <c r="T70" s="76"/>
      <c r="U70" s="76"/>
      <c r="V70" s="76"/>
      <c r="W70" s="76"/>
      <c r="X70" s="76"/>
      <c r="Y70" s="76"/>
      <c r="Z70" s="76"/>
      <c r="AA70" s="76"/>
      <c r="AB70" s="76"/>
      <c r="AC70" s="76"/>
      <c r="AD70" s="63" t="str">
        <f t="shared" si="6"/>
        <v>QX0024</v>
      </c>
      <c r="AE70" s="1">
        <f t="shared" si="21"/>
        <v>100</v>
      </c>
      <c r="AF70" s="1" t="str">
        <f t="shared" si="7"/>
        <v>QX0024</v>
      </c>
      <c r="AG70" s="1">
        <f t="shared" si="8"/>
        <v>0</v>
      </c>
      <c r="AH70" s="1">
        <f t="shared" si="9"/>
        <v>0.37421052631578955</v>
      </c>
      <c r="AI70" s="1">
        <f t="shared" si="10"/>
        <v>-0.62368421052631584</v>
      </c>
      <c r="AJ70" s="1">
        <f t="shared" si="22"/>
        <v>2.6999999999999993</v>
      </c>
      <c r="AK70" s="1">
        <f t="shared" si="23"/>
        <v>0</v>
      </c>
      <c r="AL70" s="1">
        <f t="shared" si="11"/>
        <v>4.4000000000000004</v>
      </c>
      <c r="AM70" s="7">
        <f t="shared" si="12"/>
        <v>0</v>
      </c>
      <c r="AN70" s="206"/>
      <c r="AO70" s="76"/>
      <c r="AP70" s="76"/>
      <c r="AQ70" s="76"/>
      <c r="AR70" s="76"/>
      <c r="AS70" s="76"/>
      <c r="AT70" s="76">
        <f t="shared" si="13"/>
        <v>9.4600421052631598E-2</v>
      </c>
      <c r="AU70" s="76">
        <f t="shared" si="14"/>
        <v>2.045684210526316</v>
      </c>
      <c r="AV70" s="76">
        <f t="shared" si="15"/>
        <v>0.94094999999999995</v>
      </c>
      <c r="AW70" s="76">
        <f t="shared" si="19"/>
        <v>0.7671315789473685</v>
      </c>
      <c r="AX70" s="202">
        <f t="shared" si="20"/>
        <v>0.40913684210526324</v>
      </c>
      <c r="AY70" s="63">
        <f>AT70*$AG$4*パラメータ!$D$23</f>
        <v>21.8526972631579</v>
      </c>
      <c r="AZ70" s="1">
        <f>AV70*$AG$7*E70*パラメータ!$D$28</f>
        <v>17.995668749999997</v>
      </c>
      <c r="BA70" s="1">
        <f>SUMPRODUCT($AC$4:$AC$10,$AD$4:$AD$10)*E70*パラメータ!$D$26*10^-3</f>
        <v>6.12</v>
      </c>
      <c r="BB70" s="1">
        <f>(AW70+AX70)*$AG$5*$AG$4*パラメータ!$D$21*10^-3</f>
        <v>5.5578682894736851</v>
      </c>
      <c r="BC70" s="1" t="e">
        <f>(#REF!*#REF!*パラメータ!$D$21+0.5*#REF!^2*SIN(RADIANS($T$10))*パラメータ!$D$24)*E70*10^-3</f>
        <v>#REF!</v>
      </c>
      <c r="BD70" s="1">
        <f t="shared" si="16"/>
        <v>0</v>
      </c>
      <c r="BE70" s="1">
        <f t="shared" si="17"/>
        <v>0</v>
      </c>
      <c r="BF70" s="1">
        <f>IF(G70="端リブ",AT70*$T$13*パラメータ!$D$21*2,0)</f>
        <v>0</v>
      </c>
      <c r="BG70" s="1" t="e">
        <f>'主翼（構造）'!BA26*1000</f>
        <v>#REF!</v>
      </c>
      <c r="BH70" s="1" t="e">
        <f t="shared" si="24"/>
        <v>#REF!</v>
      </c>
      <c r="BI70" s="1" t="e">
        <f t="shared" si="25"/>
        <v>#REF!</v>
      </c>
      <c r="BJ70" s="2">
        <f>(AP70-機体重量!$G$16)^2+(AQ70-機体重量!$H$16)^2</f>
        <v>5.4950777486569501E-4</v>
      </c>
      <c r="BK70" s="2">
        <f>(AQ70-機体重量!$H$16)^2</f>
        <v>3.8816156979940122E-4</v>
      </c>
      <c r="BL70" s="212">
        <f>(AP70-機体重量!$G$16)^2</f>
        <v>1.6134620506629379E-4</v>
      </c>
    </row>
    <row r="71" spans="2:64">
      <c r="B71" s="27">
        <v>20</v>
      </c>
      <c r="C71" s="1">
        <f t="shared" si="18"/>
        <v>3.6499999999999986</v>
      </c>
      <c r="D71" s="1">
        <f t="shared" si="0"/>
        <v>991.0526315789474</v>
      </c>
      <c r="E71" s="4">
        <v>0.15</v>
      </c>
      <c r="F71" s="21" t="str">
        <f t="shared" si="26"/>
        <v>1st</v>
      </c>
      <c r="G71" s="4" t="str">
        <f t="shared" si="2"/>
        <v>1番</v>
      </c>
      <c r="H71" s="263" t="s">
        <v>1292</v>
      </c>
      <c r="I71" s="63">
        <f t="shared" si="3"/>
        <v>103.91</v>
      </c>
      <c r="J71" s="1">
        <f t="shared" si="4"/>
        <v>103.9415</v>
      </c>
      <c r="K71" s="1">
        <f t="shared" si="5"/>
        <v>0.375</v>
      </c>
      <c r="L71" s="202"/>
      <c r="M71" s="206"/>
      <c r="N71" s="76"/>
      <c r="O71" s="207"/>
      <c r="P71" s="76"/>
      <c r="Q71" s="76"/>
      <c r="R71" s="76"/>
      <c r="S71" s="76"/>
      <c r="T71" s="76"/>
      <c r="U71" s="76"/>
      <c r="V71" s="76"/>
      <c r="W71" s="76"/>
      <c r="X71" s="76"/>
      <c r="Y71" s="76"/>
      <c r="Z71" s="76"/>
      <c r="AA71" s="76"/>
      <c r="AB71" s="76"/>
      <c r="AC71" s="76"/>
      <c r="AD71" s="63" t="str">
        <f t="shared" si="6"/>
        <v>QX0024</v>
      </c>
      <c r="AE71" s="1">
        <f t="shared" si="21"/>
        <v>100</v>
      </c>
      <c r="AF71" s="1" t="str">
        <f t="shared" si="7"/>
        <v>QX0024</v>
      </c>
      <c r="AG71" s="1">
        <f t="shared" si="8"/>
        <v>0</v>
      </c>
      <c r="AH71" s="1">
        <f t="shared" si="9"/>
        <v>0.37164473684210525</v>
      </c>
      <c r="AI71" s="1">
        <f t="shared" si="10"/>
        <v>-0.61940789473684221</v>
      </c>
      <c r="AJ71" s="1">
        <f t="shared" si="22"/>
        <v>2.8499999999999992</v>
      </c>
      <c r="AK71" s="1">
        <f t="shared" si="23"/>
        <v>0</v>
      </c>
      <c r="AL71" s="1">
        <f t="shared" si="11"/>
        <v>4.4000000000000004</v>
      </c>
      <c r="AM71" s="7">
        <f t="shared" si="12"/>
        <v>0</v>
      </c>
      <c r="AN71" s="206"/>
      <c r="AO71" s="76"/>
      <c r="AP71" s="76"/>
      <c r="AQ71" s="76"/>
      <c r="AR71" s="76"/>
      <c r="AS71" s="76"/>
      <c r="AT71" s="76">
        <f t="shared" si="13"/>
        <v>9.33076052631579E-2</v>
      </c>
      <c r="AU71" s="76">
        <f t="shared" si="14"/>
        <v>2.031657894736842</v>
      </c>
      <c r="AV71" s="76">
        <f t="shared" si="15"/>
        <v>0.94094999999999995</v>
      </c>
      <c r="AW71" s="76">
        <f t="shared" si="19"/>
        <v>0.76187171052631575</v>
      </c>
      <c r="AX71" s="202">
        <f t="shared" si="20"/>
        <v>0.40633157894736843</v>
      </c>
      <c r="AY71" s="63">
        <f>AT71*$AG$4*パラメータ!$D$23</f>
        <v>21.554056815789476</v>
      </c>
      <c r="AZ71" s="1">
        <f>AV71*$AG$7*E71*パラメータ!$D$28</f>
        <v>17.995668749999997</v>
      </c>
      <c r="BA71" s="1">
        <f>SUMPRODUCT($AC$4:$AC$10,$AD$4:$AD$10)*E71*パラメータ!$D$26*10^-3</f>
        <v>6.12</v>
      </c>
      <c r="BB71" s="1">
        <f>(AW71+AX71)*$AG$5*$AG$4*パラメータ!$D$21*10^-3</f>
        <v>5.5197605427631586</v>
      </c>
      <c r="BC71" s="1" t="e">
        <f>(#REF!*#REF!*パラメータ!$D$21+0.5*#REF!^2*SIN(RADIANS($T$10))*パラメータ!$D$24)*E71*10^-3</f>
        <v>#REF!</v>
      </c>
      <c r="BD71" s="1">
        <f t="shared" si="16"/>
        <v>0</v>
      </c>
      <c r="BE71" s="1">
        <f t="shared" si="17"/>
        <v>0</v>
      </c>
      <c r="BF71" s="1">
        <f>IF(G71="端リブ",AT71*$T$13*パラメータ!$D$21*2,0)</f>
        <v>0</v>
      </c>
      <c r="BG71" s="1" t="e">
        <f>'主翼（構造）'!BA27*1000</f>
        <v>#REF!</v>
      </c>
      <c r="BH71" s="1" t="e">
        <f t="shared" si="24"/>
        <v>#REF!</v>
      </c>
      <c r="BI71" s="1" t="e">
        <f t="shared" si="25"/>
        <v>#REF!</v>
      </c>
      <c r="BJ71" s="2">
        <f>(AP71-機体重量!$G$16)^2+(AQ71-機体重量!$H$16)^2</f>
        <v>5.4950777486569501E-4</v>
      </c>
      <c r="BK71" s="2">
        <f>(AQ71-機体重量!$H$16)^2</f>
        <v>3.8816156979940122E-4</v>
      </c>
      <c r="BL71" s="212">
        <f>(AP71-機体重量!$G$16)^2</f>
        <v>1.6134620506629379E-4</v>
      </c>
    </row>
    <row r="72" spans="2:64">
      <c r="B72" s="97">
        <v>21</v>
      </c>
      <c r="C72" s="1">
        <f t="shared" si="18"/>
        <v>3.7999999999999985</v>
      </c>
      <c r="D72" s="1">
        <f t="shared" si="0"/>
        <v>984.21052631578948</v>
      </c>
      <c r="E72" s="4">
        <v>0.15</v>
      </c>
      <c r="F72" s="21" t="str">
        <f t="shared" si="26"/>
        <v>1st</v>
      </c>
      <c r="G72" s="4" t="str">
        <f t="shared" si="2"/>
        <v>1番</v>
      </c>
      <c r="H72" s="263" t="s">
        <v>1292</v>
      </c>
      <c r="I72" s="63">
        <f t="shared" si="3"/>
        <v>102.71</v>
      </c>
      <c r="J72" s="1">
        <f t="shared" si="4"/>
        <v>102.7163</v>
      </c>
      <c r="K72" s="1">
        <f t="shared" si="5"/>
        <v>0.375</v>
      </c>
      <c r="L72" s="202"/>
      <c r="M72" s="206"/>
      <c r="N72" s="76"/>
      <c r="O72" s="207"/>
      <c r="P72" s="76"/>
      <c r="Q72" s="76"/>
      <c r="R72" s="76"/>
      <c r="S72" s="76"/>
      <c r="T72" s="76"/>
      <c r="U72" s="76"/>
      <c r="V72" s="76"/>
      <c r="W72" s="76"/>
      <c r="X72" s="76"/>
      <c r="Y72" s="76"/>
      <c r="Z72" s="76"/>
      <c r="AA72" s="76"/>
      <c r="AB72" s="76"/>
      <c r="AC72" s="76"/>
      <c r="AD72" s="63" t="str">
        <f t="shared" si="6"/>
        <v>QX0024</v>
      </c>
      <c r="AE72" s="1">
        <f t="shared" si="21"/>
        <v>100</v>
      </c>
      <c r="AF72" s="1" t="str">
        <f t="shared" si="7"/>
        <v>QX0024</v>
      </c>
      <c r="AG72" s="1">
        <f t="shared" si="8"/>
        <v>0</v>
      </c>
      <c r="AH72" s="1">
        <f t="shared" si="9"/>
        <v>0.36907894736842106</v>
      </c>
      <c r="AI72" s="1">
        <f t="shared" si="10"/>
        <v>-0.61513157894736836</v>
      </c>
      <c r="AJ72" s="1">
        <f t="shared" si="22"/>
        <v>2.9999999999999991</v>
      </c>
      <c r="AK72" s="1">
        <f t="shared" si="23"/>
        <v>0</v>
      </c>
      <c r="AL72" s="1">
        <f t="shared" si="11"/>
        <v>4.4000000000000004</v>
      </c>
      <c r="AM72" s="7">
        <f t="shared" si="12"/>
        <v>0</v>
      </c>
      <c r="AN72" s="206"/>
      <c r="AO72" s="76"/>
      <c r="AP72" s="76"/>
      <c r="AQ72" s="76"/>
      <c r="AR72" s="76"/>
      <c r="AS72" s="76"/>
      <c r="AT72" s="76">
        <f t="shared" si="13"/>
        <v>9.2023684210526299E-2</v>
      </c>
      <c r="AU72" s="76">
        <f t="shared" si="14"/>
        <v>2.0176315789473684</v>
      </c>
      <c r="AV72" s="76">
        <f t="shared" si="15"/>
        <v>0.94094999999999995</v>
      </c>
      <c r="AW72" s="76">
        <f t="shared" si="19"/>
        <v>0.75661184210526322</v>
      </c>
      <c r="AX72" s="202">
        <f t="shared" si="20"/>
        <v>0.40352631578947373</v>
      </c>
      <c r="AY72" s="63">
        <f>AT72*$AG$4*パラメータ!$D$23</f>
        <v>21.257471052631576</v>
      </c>
      <c r="AZ72" s="1">
        <f>AV72*$AG$7*E72*パラメータ!$D$28</f>
        <v>17.995668749999997</v>
      </c>
      <c r="BA72" s="1">
        <f>SUMPRODUCT($AC$4:$AC$10,$AD$4:$AD$10)*E72*パラメータ!$D$26*10^-3</f>
        <v>6.12</v>
      </c>
      <c r="BB72" s="1">
        <f>(AW72+AX72)*$AG$5*$AG$4*パラメータ!$D$21*10^-3</f>
        <v>5.4816527960526322</v>
      </c>
      <c r="BC72" s="1" t="e">
        <f>(#REF!*#REF!*パラメータ!$D$21+0.5*#REF!^2*SIN(RADIANS($T$10))*パラメータ!$D$24)*E72*10^-3</f>
        <v>#REF!</v>
      </c>
      <c r="BD72" s="1">
        <f t="shared" si="16"/>
        <v>0</v>
      </c>
      <c r="BE72" s="1">
        <f t="shared" si="17"/>
        <v>0</v>
      </c>
      <c r="BF72" s="1">
        <f>IF(G72="端リブ",AT72*$T$13*パラメータ!$D$21*2,0)</f>
        <v>0</v>
      </c>
      <c r="BG72" s="1" t="e">
        <f>'主翼（構造）'!BA28*1000</f>
        <v>#REF!</v>
      </c>
      <c r="BH72" s="1" t="e">
        <f t="shared" si="24"/>
        <v>#REF!</v>
      </c>
      <c r="BI72" s="1" t="e">
        <f t="shared" si="25"/>
        <v>#REF!</v>
      </c>
      <c r="BJ72" s="2">
        <f>(AP72-機体重量!$G$16)^2+(AQ72-機体重量!$H$16)^2</f>
        <v>5.4950777486569501E-4</v>
      </c>
      <c r="BK72" s="2">
        <f>(AQ72-機体重量!$H$16)^2</f>
        <v>3.8816156979940122E-4</v>
      </c>
      <c r="BL72" s="212">
        <f>(AP72-機体重量!$G$16)^2</f>
        <v>1.6134620506629379E-4</v>
      </c>
    </row>
    <row r="73" spans="2:64">
      <c r="B73" s="27">
        <v>22</v>
      </c>
      <c r="C73" s="1">
        <f t="shared" si="18"/>
        <v>3.9499999999999984</v>
      </c>
      <c r="D73" s="1">
        <f t="shared" si="0"/>
        <v>977.36842105263167</v>
      </c>
      <c r="E73" s="4">
        <v>0.15</v>
      </c>
      <c r="F73" s="21" t="str">
        <f t="shared" si="26"/>
        <v>1st</v>
      </c>
      <c r="G73" s="4" t="str">
        <f t="shared" si="2"/>
        <v>1番</v>
      </c>
      <c r="H73" s="263" t="s">
        <v>1292</v>
      </c>
      <c r="I73" s="63">
        <f t="shared" si="3"/>
        <v>101.50999999999999</v>
      </c>
      <c r="J73" s="1">
        <f t="shared" si="4"/>
        <v>101.49110000000002</v>
      </c>
      <c r="K73" s="1">
        <f t="shared" si="5"/>
        <v>0.375</v>
      </c>
      <c r="L73" s="202"/>
      <c r="M73" s="206"/>
      <c r="N73" s="76"/>
      <c r="O73" s="207"/>
      <c r="P73" s="76"/>
      <c r="Q73" s="76"/>
      <c r="R73" s="76"/>
      <c r="S73" s="76"/>
      <c r="T73" s="76"/>
      <c r="U73" s="76"/>
      <c r="V73" s="76"/>
      <c r="W73" s="76"/>
      <c r="X73" s="76"/>
      <c r="Y73" s="76"/>
      <c r="Z73" s="76"/>
      <c r="AA73" s="76"/>
      <c r="AB73" s="76"/>
      <c r="AC73" s="76"/>
      <c r="AD73" s="63" t="str">
        <f t="shared" si="6"/>
        <v>QX0024</v>
      </c>
      <c r="AE73" s="1">
        <f t="shared" si="21"/>
        <v>100</v>
      </c>
      <c r="AF73" s="1" t="str">
        <f t="shared" si="7"/>
        <v>QX0024</v>
      </c>
      <c r="AG73" s="1">
        <f t="shared" si="8"/>
        <v>0</v>
      </c>
      <c r="AH73" s="1">
        <f t="shared" si="9"/>
        <v>0.36651315789473687</v>
      </c>
      <c r="AI73" s="1">
        <f t="shared" si="10"/>
        <v>-0.61085526315789473</v>
      </c>
      <c r="AJ73" s="1">
        <f t="shared" si="22"/>
        <v>3.149999999999999</v>
      </c>
      <c r="AK73" s="1">
        <f t="shared" si="23"/>
        <v>0</v>
      </c>
      <c r="AL73" s="1">
        <f t="shared" si="11"/>
        <v>4.4000000000000004</v>
      </c>
      <c r="AM73" s="7">
        <f t="shared" si="12"/>
        <v>0</v>
      </c>
      <c r="AN73" s="206"/>
      <c r="AO73" s="76"/>
      <c r="AP73" s="76"/>
      <c r="AQ73" s="76"/>
      <c r="AR73" s="76"/>
      <c r="AS73" s="76"/>
      <c r="AT73" s="76">
        <f t="shared" si="13"/>
        <v>9.0748657894736851E-2</v>
      </c>
      <c r="AU73" s="76">
        <f t="shared" si="14"/>
        <v>2.0036052631578949</v>
      </c>
      <c r="AV73" s="76">
        <f t="shared" si="15"/>
        <v>0.94094999999999995</v>
      </c>
      <c r="AW73" s="76">
        <f t="shared" si="19"/>
        <v>0.75135197368421058</v>
      </c>
      <c r="AX73" s="202">
        <f t="shared" si="20"/>
        <v>0.40072105263157898</v>
      </c>
      <c r="AY73" s="63">
        <f>AT73*$AG$4*パラメータ!$D$23</f>
        <v>20.962939973684211</v>
      </c>
      <c r="AZ73" s="1">
        <f>AV73*$AG$7*E73*パラメータ!$D$28</f>
        <v>17.995668749999997</v>
      </c>
      <c r="BA73" s="1">
        <f>SUMPRODUCT($AC$4:$AC$10,$AD$4:$AD$10)*E73*パラメータ!$D$26*10^-3</f>
        <v>6.12</v>
      </c>
      <c r="BB73" s="1">
        <f>(AW73+AX73)*$AG$5*$AG$4*パラメータ!$D$21*10^-3</f>
        <v>5.4435450493421058</v>
      </c>
      <c r="BC73" s="1" t="e">
        <f>(#REF!*#REF!*パラメータ!$D$21+0.5*#REF!^2*SIN(RADIANS($T$10))*パラメータ!$D$24)*E73*10^-3</f>
        <v>#REF!</v>
      </c>
      <c r="BD73" s="1">
        <f t="shared" si="16"/>
        <v>0</v>
      </c>
      <c r="BE73" s="1">
        <f t="shared" si="17"/>
        <v>0</v>
      </c>
      <c r="BF73" s="1">
        <f>IF(G73="端リブ",AT73*$T$13*パラメータ!$D$21*2,0)</f>
        <v>0</v>
      </c>
      <c r="BG73" s="1" t="e">
        <f>'主翼（構造）'!BA29*1000</f>
        <v>#REF!</v>
      </c>
      <c r="BH73" s="1" t="e">
        <f t="shared" si="24"/>
        <v>#REF!</v>
      </c>
      <c r="BI73" s="1" t="e">
        <f t="shared" si="25"/>
        <v>#REF!</v>
      </c>
      <c r="BJ73" s="2">
        <f>(AP73-機体重量!$G$16)^2+(AQ73-機体重量!$H$16)^2</f>
        <v>5.4950777486569501E-4</v>
      </c>
      <c r="BK73" s="2">
        <f>(AQ73-機体重量!$H$16)^2</f>
        <v>3.8816156979940122E-4</v>
      </c>
      <c r="BL73" s="212">
        <f>(AP73-機体重量!$G$16)^2</f>
        <v>1.6134620506629379E-4</v>
      </c>
    </row>
    <row r="74" spans="2:64">
      <c r="B74" s="97">
        <v>23</v>
      </c>
      <c r="C74" s="1">
        <f t="shared" si="18"/>
        <v>4.0999999999999988</v>
      </c>
      <c r="D74" s="1">
        <f t="shared" si="0"/>
        <v>970.52631578947364</v>
      </c>
      <c r="E74" s="4">
        <v>0.15</v>
      </c>
      <c r="F74" s="21" t="str">
        <f t="shared" si="26"/>
        <v>1st</v>
      </c>
      <c r="G74" s="4" t="str">
        <f t="shared" si="2"/>
        <v>1番</v>
      </c>
      <c r="H74" s="263" t="s">
        <v>1292</v>
      </c>
      <c r="I74" s="63">
        <f t="shared" si="3"/>
        <v>100.30999999999999</v>
      </c>
      <c r="J74" s="1">
        <f t="shared" si="4"/>
        <v>100.26590000000002</v>
      </c>
      <c r="K74" s="1">
        <f t="shared" si="5"/>
        <v>0.375</v>
      </c>
      <c r="L74" s="202"/>
      <c r="M74" s="206"/>
      <c r="N74" s="76"/>
      <c r="O74" s="207"/>
      <c r="P74" s="76"/>
      <c r="Q74" s="76"/>
      <c r="R74" s="76"/>
      <c r="S74" s="76"/>
      <c r="T74" s="76"/>
      <c r="U74" s="76"/>
      <c r="V74" s="76"/>
      <c r="W74" s="76"/>
      <c r="X74" s="76"/>
      <c r="Y74" s="76"/>
      <c r="Z74" s="76"/>
      <c r="AA74" s="76"/>
      <c r="AB74" s="76"/>
      <c r="AC74" s="76"/>
      <c r="AD74" s="63" t="str">
        <f t="shared" si="6"/>
        <v>QX0024</v>
      </c>
      <c r="AE74" s="1">
        <f t="shared" si="21"/>
        <v>100</v>
      </c>
      <c r="AF74" s="1" t="str">
        <f t="shared" si="7"/>
        <v>QX0024</v>
      </c>
      <c r="AG74" s="1">
        <f t="shared" si="8"/>
        <v>0</v>
      </c>
      <c r="AH74" s="1">
        <f t="shared" si="9"/>
        <v>0.36394736842105258</v>
      </c>
      <c r="AI74" s="1">
        <f t="shared" si="10"/>
        <v>-0.60657894736842111</v>
      </c>
      <c r="AJ74" s="1">
        <f t="shared" si="22"/>
        <v>3.2999999999999989</v>
      </c>
      <c r="AK74" s="1">
        <f t="shared" si="23"/>
        <v>0</v>
      </c>
      <c r="AL74" s="1">
        <f t="shared" si="11"/>
        <v>4.4000000000000004</v>
      </c>
      <c r="AM74" s="7">
        <f t="shared" si="12"/>
        <v>0</v>
      </c>
      <c r="AN74" s="206"/>
      <c r="AO74" s="76"/>
      <c r="AP74" s="76"/>
      <c r="AQ74" s="76"/>
      <c r="AR74" s="76"/>
      <c r="AS74" s="76"/>
      <c r="AT74" s="76">
        <f t="shared" si="13"/>
        <v>8.9482526315789471E-2</v>
      </c>
      <c r="AU74" s="76">
        <f t="shared" si="14"/>
        <v>1.9895789473684209</v>
      </c>
      <c r="AV74" s="76">
        <f t="shared" si="15"/>
        <v>0.94094999999999995</v>
      </c>
      <c r="AW74" s="76">
        <f t="shared" si="19"/>
        <v>0.74609210526315783</v>
      </c>
      <c r="AX74" s="202">
        <f t="shared" si="20"/>
        <v>0.39791578947368422</v>
      </c>
      <c r="AY74" s="63">
        <f>AT74*$AG$4*パラメータ!$D$23</f>
        <v>20.67046357894737</v>
      </c>
      <c r="AZ74" s="1">
        <f>AV74*$AG$7*E74*パラメータ!$D$28</f>
        <v>17.995668749999997</v>
      </c>
      <c r="BA74" s="1">
        <f>SUMPRODUCT($AC$4:$AC$10,$AD$4:$AD$10)*E74*パラメータ!$D$26*10^-3</f>
        <v>6.12</v>
      </c>
      <c r="BB74" s="1">
        <f>(AW74+AX74)*$AG$5*$AG$4*パラメータ!$D$21*10^-3</f>
        <v>5.4054373026315794</v>
      </c>
      <c r="BC74" s="1" t="e">
        <f>(#REF!*#REF!*パラメータ!$D$21+0.5*#REF!^2*SIN(RADIANS($T$10))*パラメータ!$D$24)*E74*10^-3</f>
        <v>#REF!</v>
      </c>
      <c r="BD74" s="1">
        <f t="shared" si="16"/>
        <v>0</v>
      </c>
      <c r="BE74" s="1">
        <f t="shared" si="17"/>
        <v>0</v>
      </c>
      <c r="BF74" s="1">
        <f>IF(G74="端リブ",AT74*$T$13*パラメータ!$D$21*2,0)</f>
        <v>0</v>
      </c>
      <c r="BG74" s="1" t="e">
        <f>'主翼（構造）'!BA30*1000</f>
        <v>#REF!</v>
      </c>
      <c r="BH74" s="1" t="e">
        <f t="shared" si="24"/>
        <v>#REF!</v>
      </c>
      <c r="BI74" s="1" t="e">
        <f t="shared" si="25"/>
        <v>#REF!</v>
      </c>
      <c r="BJ74" s="2">
        <f>(AP74-機体重量!$G$16)^2+(AQ74-機体重量!$H$16)^2</f>
        <v>5.4950777486569501E-4</v>
      </c>
      <c r="BK74" s="2">
        <f>(AQ74-機体重量!$H$16)^2</f>
        <v>3.8816156979940122E-4</v>
      </c>
      <c r="BL74" s="212">
        <f>(AP74-機体重量!$G$16)^2</f>
        <v>1.6134620506629379E-4</v>
      </c>
    </row>
    <row r="75" spans="2:64">
      <c r="B75" s="27">
        <v>24</v>
      </c>
      <c r="C75" s="1">
        <f t="shared" si="18"/>
        <v>4.2499999999999991</v>
      </c>
      <c r="D75" s="1">
        <f t="shared" si="0"/>
        <v>963.68421052631584</v>
      </c>
      <c r="E75" s="4">
        <v>0.15</v>
      </c>
      <c r="F75" s="21" t="str">
        <f t="shared" si="26"/>
        <v>1st</v>
      </c>
      <c r="G75" s="4" t="str">
        <f t="shared" si="2"/>
        <v>1番</v>
      </c>
      <c r="H75" s="263" t="s">
        <v>1292</v>
      </c>
      <c r="I75" s="63">
        <f t="shared" si="3"/>
        <v>99.109999999999985</v>
      </c>
      <c r="J75" s="1">
        <f t="shared" si="4"/>
        <v>99.040700000000001</v>
      </c>
      <c r="K75" s="1">
        <f t="shared" si="5"/>
        <v>0.375</v>
      </c>
      <c r="L75" s="202"/>
      <c r="M75" s="206"/>
      <c r="N75" s="76"/>
      <c r="O75" s="207"/>
      <c r="P75" s="76"/>
      <c r="Q75" s="76"/>
      <c r="R75" s="76"/>
      <c r="S75" s="76"/>
      <c r="T75" s="76"/>
      <c r="U75" s="76"/>
      <c r="V75" s="76"/>
      <c r="W75" s="76"/>
      <c r="X75" s="76"/>
      <c r="Y75" s="76"/>
      <c r="Z75" s="76"/>
      <c r="AA75" s="76"/>
      <c r="AB75" s="76"/>
      <c r="AC75" s="76"/>
      <c r="AD75" s="63" t="str">
        <f t="shared" si="6"/>
        <v>QX0024</v>
      </c>
      <c r="AE75" s="1">
        <f t="shared" si="21"/>
        <v>100</v>
      </c>
      <c r="AF75" s="1" t="str">
        <f t="shared" si="7"/>
        <v>QX0024</v>
      </c>
      <c r="AG75" s="1">
        <f t="shared" si="8"/>
        <v>0</v>
      </c>
      <c r="AH75" s="1">
        <f t="shared" si="9"/>
        <v>0.36138157894736844</v>
      </c>
      <c r="AI75" s="1">
        <f t="shared" si="10"/>
        <v>-0.60230263157894737</v>
      </c>
      <c r="AJ75" s="1">
        <f t="shared" si="22"/>
        <v>3.4499999999999988</v>
      </c>
      <c r="AK75" s="1">
        <f t="shared" si="23"/>
        <v>0</v>
      </c>
      <c r="AL75" s="1">
        <f t="shared" si="11"/>
        <v>4.4000000000000004</v>
      </c>
      <c r="AM75" s="7">
        <f t="shared" si="12"/>
        <v>0</v>
      </c>
      <c r="AN75" s="206"/>
      <c r="AO75" s="76"/>
      <c r="AP75" s="76"/>
      <c r="AQ75" s="76"/>
      <c r="AR75" s="76"/>
      <c r="AS75" s="76"/>
      <c r="AT75" s="76">
        <f t="shared" si="13"/>
        <v>8.8225289473684215E-2</v>
      </c>
      <c r="AU75" s="76">
        <f t="shared" si="14"/>
        <v>1.9755526315789473</v>
      </c>
      <c r="AV75" s="76">
        <f t="shared" si="15"/>
        <v>0.94094999999999995</v>
      </c>
      <c r="AW75" s="76">
        <f t="shared" si="19"/>
        <v>0.7408322368421052</v>
      </c>
      <c r="AX75" s="202">
        <f t="shared" si="20"/>
        <v>0.39511052631578947</v>
      </c>
      <c r="AY75" s="63">
        <f>AT75*$AG$4*パラメータ!$D$23</f>
        <v>20.380041868421053</v>
      </c>
      <c r="AZ75" s="1">
        <f>AV75*$AG$7*E75*パラメータ!$D$28</f>
        <v>17.995668749999997</v>
      </c>
      <c r="BA75" s="1">
        <f>SUMPRODUCT($AC$4:$AC$10,$AD$4:$AD$10)*E75*パラメータ!$D$26*10^-3</f>
        <v>6.12</v>
      </c>
      <c r="BB75" s="1">
        <f>(AW75+AX75)*$AG$5*$AG$4*パラメータ!$D$21*10^-3</f>
        <v>5.367329555921053</v>
      </c>
      <c r="BC75" s="1" t="e">
        <f>(#REF!*#REF!*パラメータ!$D$21+0.5*#REF!^2*SIN(RADIANS($T$10))*パラメータ!$D$24)*E75*10^-3</f>
        <v>#REF!</v>
      </c>
      <c r="BD75" s="1">
        <f t="shared" si="16"/>
        <v>0</v>
      </c>
      <c r="BE75" s="1">
        <f t="shared" si="17"/>
        <v>0</v>
      </c>
      <c r="BF75" s="1">
        <f>IF(G75="端リブ",AT75*$T$13*パラメータ!$D$21*2,0)</f>
        <v>0</v>
      </c>
      <c r="BG75" s="1" t="e">
        <f>'主翼（構造）'!BA31*1000</f>
        <v>#REF!</v>
      </c>
      <c r="BH75" s="1" t="e">
        <f t="shared" si="24"/>
        <v>#REF!</v>
      </c>
      <c r="BI75" s="1" t="e">
        <f t="shared" si="25"/>
        <v>#REF!</v>
      </c>
      <c r="BJ75" s="2">
        <f>(AP75-機体重量!$G$16)^2+(AQ75-機体重量!$H$16)^2</f>
        <v>5.4950777486569501E-4</v>
      </c>
      <c r="BK75" s="2">
        <f>(AQ75-機体重量!$H$16)^2</f>
        <v>3.8816156979940122E-4</v>
      </c>
      <c r="BL75" s="212">
        <f>(AP75-機体重量!$G$16)^2</f>
        <v>1.6134620506629379E-4</v>
      </c>
    </row>
    <row r="76" spans="2:64">
      <c r="B76" s="97">
        <v>25</v>
      </c>
      <c r="C76" s="1">
        <f t="shared" si="18"/>
        <v>4.3999999999999995</v>
      </c>
      <c r="D76" s="1">
        <f t="shared" si="0"/>
        <v>956.84210526315792</v>
      </c>
      <c r="E76" s="4">
        <v>0.15</v>
      </c>
      <c r="F76" s="21" t="str">
        <f t="shared" si="26"/>
        <v>1st</v>
      </c>
      <c r="G76" s="4" t="str">
        <f t="shared" si="2"/>
        <v>1番</v>
      </c>
      <c r="H76" s="263" t="s">
        <v>1292</v>
      </c>
      <c r="I76" s="63">
        <f t="shared" si="3"/>
        <v>97.909999999999982</v>
      </c>
      <c r="J76" s="1">
        <f t="shared" si="4"/>
        <v>97.8155</v>
      </c>
      <c r="K76" s="1">
        <f t="shared" si="5"/>
        <v>0.375</v>
      </c>
      <c r="L76" s="202"/>
      <c r="M76" s="206"/>
      <c r="N76" s="76"/>
      <c r="O76" s="207"/>
      <c r="P76" s="76"/>
      <c r="Q76" s="76"/>
      <c r="R76" s="76"/>
      <c r="S76" s="76"/>
      <c r="T76" s="76"/>
      <c r="U76" s="76"/>
      <c r="V76" s="76"/>
      <c r="W76" s="76"/>
      <c r="X76" s="76"/>
      <c r="Y76" s="76"/>
      <c r="Z76" s="76"/>
      <c r="AA76" s="76"/>
      <c r="AB76" s="76"/>
      <c r="AC76" s="76"/>
      <c r="AD76" s="63" t="str">
        <f t="shared" si="6"/>
        <v>QX0024</v>
      </c>
      <c r="AE76" s="1">
        <f t="shared" si="21"/>
        <v>100</v>
      </c>
      <c r="AF76" s="1" t="str">
        <f t="shared" si="7"/>
        <v>QX0024</v>
      </c>
      <c r="AG76" s="1">
        <f t="shared" si="8"/>
        <v>0</v>
      </c>
      <c r="AH76" s="1">
        <f t="shared" si="9"/>
        <v>0.3588157894736842</v>
      </c>
      <c r="AI76" s="1">
        <f t="shared" si="10"/>
        <v>-0.59802631578947374</v>
      </c>
      <c r="AJ76" s="1">
        <f t="shared" si="22"/>
        <v>3.5999999999999988</v>
      </c>
      <c r="AK76" s="1">
        <f t="shared" si="23"/>
        <v>0</v>
      </c>
      <c r="AL76" s="1">
        <f t="shared" si="11"/>
        <v>4.4000000000000004</v>
      </c>
      <c r="AM76" s="7">
        <f t="shared" si="12"/>
        <v>0</v>
      </c>
      <c r="AN76" s="206"/>
      <c r="AO76" s="76"/>
      <c r="AP76" s="76"/>
      <c r="AQ76" s="76"/>
      <c r="AR76" s="76"/>
      <c r="AS76" s="76"/>
      <c r="AT76" s="76">
        <f t="shared" si="13"/>
        <v>8.6976947368421056E-2</v>
      </c>
      <c r="AU76" s="76">
        <f t="shared" si="14"/>
        <v>1.9615263157894736</v>
      </c>
      <c r="AV76" s="76">
        <f t="shared" si="15"/>
        <v>0.94094999999999995</v>
      </c>
      <c r="AW76" s="76">
        <f t="shared" si="19"/>
        <v>0.73557236842105256</v>
      </c>
      <c r="AX76" s="202">
        <f t="shared" si="20"/>
        <v>0.39230526315789471</v>
      </c>
      <c r="AY76" s="63">
        <f>AT76*$AG$4*パラメータ!$D$23</f>
        <v>20.091674842105263</v>
      </c>
      <c r="AZ76" s="1">
        <f>AV76*$AG$7*E76*パラメータ!$D$28</f>
        <v>17.995668749999997</v>
      </c>
      <c r="BA76" s="1">
        <f>SUMPRODUCT($AC$4:$AC$10,$AD$4:$AD$10)*E76*パラメータ!$D$26*10^-3</f>
        <v>6.12</v>
      </c>
      <c r="BB76" s="1">
        <f>(AW76+AX76)*$AG$5*$AG$4*パラメータ!$D$21*10^-3</f>
        <v>5.3292218092105257</v>
      </c>
      <c r="BC76" s="1" t="e">
        <f>(#REF!*#REF!*パラメータ!$D$21+0.5*#REF!^2*SIN(RADIANS($T$10))*パラメータ!$D$24)*E76*10^-3</f>
        <v>#REF!</v>
      </c>
      <c r="BD76" s="1">
        <f t="shared" si="16"/>
        <v>0</v>
      </c>
      <c r="BE76" s="1">
        <f t="shared" si="17"/>
        <v>0</v>
      </c>
      <c r="BF76" s="1">
        <f>IF(G76="端リブ",AT76*$T$13*パラメータ!$D$21*2,0)</f>
        <v>0</v>
      </c>
      <c r="BG76" s="1" t="e">
        <f>'主翼（構造）'!BA32*1000</f>
        <v>#REF!</v>
      </c>
      <c r="BH76" s="1" t="e">
        <f t="shared" si="24"/>
        <v>#REF!</v>
      </c>
      <c r="BI76" s="1" t="e">
        <f t="shared" si="25"/>
        <v>#REF!</v>
      </c>
      <c r="BJ76" s="2">
        <f>(AP76-機体重量!$G$16)^2+(AQ76-機体重量!$H$16)^2</f>
        <v>5.4950777486569501E-4</v>
      </c>
      <c r="BK76" s="2">
        <f>(AQ76-機体重量!$H$16)^2</f>
        <v>3.8816156979940122E-4</v>
      </c>
      <c r="BL76" s="212">
        <f>(AP76-機体重量!$G$16)^2</f>
        <v>1.6134620506629379E-4</v>
      </c>
    </row>
    <row r="77" spans="2:64">
      <c r="B77" s="27">
        <v>26</v>
      </c>
      <c r="C77" s="1">
        <f t="shared" si="18"/>
        <v>4.55</v>
      </c>
      <c r="D77" s="1">
        <f t="shared" si="0"/>
        <v>950.00000000000011</v>
      </c>
      <c r="E77" s="4">
        <v>0.15</v>
      </c>
      <c r="F77" s="21" t="s">
        <v>885</v>
      </c>
      <c r="G77" s="4" t="str">
        <f t="shared" si="2"/>
        <v>1番</v>
      </c>
      <c r="H77" s="263" t="s">
        <v>1292</v>
      </c>
      <c r="I77" s="63">
        <f t="shared" si="3"/>
        <v>96.70999999999998</v>
      </c>
      <c r="J77" s="1">
        <f t="shared" si="4"/>
        <v>96.590299999999999</v>
      </c>
      <c r="K77" s="1">
        <f t="shared" si="5"/>
        <v>0.375</v>
      </c>
      <c r="L77" s="202"/>
      <c r="M77" s="206"/>
      <c r="N77" s="76"/>
      <c r="O77" s="207"/>
      <c r="P77" s="76"/>
      <c r="Q77" s="76"/>
      <c r="R77" s="76"/>
      <c r="S77" s="76"/>
      <c r="T77" s="76"/>
      <c r="U77" s="76"/>
      <c r="V77" s="76"/>
      <c r="W77" s="76"/>
      <c r="X77" s="76"/>
      <c r="Y77" s="76"/>
      <c r="Z77" s="76"/>
      <c r="AA77" s="76"/>
      <c r="AB77" s="76"/>
      <c r="AC77" s="76"/>
      <c r="AD77" s="63" t="str">
        <f t="shared" si="6"/>
        <v>QX0024</v>
      </c>
      <c r="AE77" s="1">
        <f t="shared" si="21"/>
        <v>100</v>
      </c>
      <c r="AF77" s="1" t="str">
        <f t="shared" si="7"/>
        <v>QX0024</v>
      </c>
      <c r="AG77" s="1">
        <f t="shared" si="8"/>
        <v>0</v>
      </c>
      <c r="AH77" s="1">
        <f t="shared" si="9"/>
        <v>0.35625000000000007</v>
      </c>
      <c r="AI77" s="1">
        <f t="shared" si="10"/>
        <v>-0.59375</v>
      </c>
      <c r="AJ77" s="1">
        <f t="shared" si="22"/>
        <v>3.7499999999999987</v>
      </c>
      <c r="AK77" s="1">
        <f t="shared" si="23"/>
        <v>0</v>
      </c>
      <c r="AL77" s="1">
        <f t="shared" si="11"/>
        <v>4.4000000000000004</v>
      </c>
      <c r="AM77" s="7">
        <f t="shared" si="12"/>
        <v>0</v>
      </c>
      <c r="AN77" s="206"/>
      <c r="AO77" s="76"/>
      <c r="AP77" s="76"/>
      <c r="AQ77" s="76"/>
      <c r="AR77" s="76"/>
      <c r="AS77" s="76"/>
      <c r="AT77" s="76">
        <f t="shared" si="13"/>
        <v>8.5737500000000008E-2</v>
      </c>
      <c r="AU77" s="76">
        <f t="shared" si="14"/>
        <v>1.9475</v>
      </c>
      <c r="AV77" s="76">
        <f t="shared" si="15"/>
        <v>0.94094999999999995</v>
      </c>
      <c r="AW77" s="76">
        <f t="shared" si="19"/>
        <v>0.73031250000000003</v>
      </c>
      <c r="AX77" s="202">
        <f t="shared" si="20"/>
        <v>0.38950000000000001</v>
      </c>
      <c r="AY77" s="63">
        <f>AT77*$AG$4*パラメータ!$D$23</f>
        <v>19.805362500000001</v>
      </c>
      <c r="AZ77" s="1">
        <f>AV77*$AG$7*E77*パラメータ!$D$28</f>
        <v>17.995668749999997</v>
      </c>
      <c r="BA77" s="1">
        <f>SUMPRODUCT($AC$4:$AC$10,$AD$4:$AD$10)*E77*パラメータ!$D$26*10^-3</f>
        <v>6.12</v>
      </c>
      <c r="BB77" s="1">
        <f>(AW77+AX77)*$AG$5*$AG$4*パラメータ!$D$21*10^-3</f>
        <v>5.291114062500001</v>
      </c>
      <c r="BC77" s="1" t="e">
        <f>(#REF!*#REF!*パラメータ!$D$21+0.5*#REF!^2*SIN(RADIANS($T$10))*パラメータ!$D$24)*E77*10^-3</f>
        <v>#REF!</v>
      </c>
      <c r="BD77" s="1">
        <f t="shared" si="16"/>
        <v>0</v>
      </c>
      <c r="BE77" s="1">
        <f t="shared" si="17"/>
        <v>0</v>
      </c>
      <c r="BF77" s="1">
        <f>IF(G77="端リブ",AT77*$T$13*パラメータ!$D$21*2,0)</f>
        <v>0</v>
      </c>
      <c r="BG77" s="1" t="e">
        <f>'主翼（構造）'!BA33*1000</f>
        <v>#REF!</v>
      </c>
      <c r="BH77" s="1" t="e">
        <f t="shared" si="24"/>
        <v>#REF!</v>
      </c>
      <c r="BI77" s="1" t="e">
        <f t="shared" si="25"/>
        <v>#REF!</v>
      </c>
      <c r="BJ77" s="2">
        <f>(AP77-機体重量!$G$16)^2+(AQ77-機体重量!$H$16)^2</f>
        <v>5.4950777486569501E-4</v>
      </c>
      <c r="BK77" s="2">
        <f>(AQ77-機体重量!$H$16)^2</f>
        <v>3.8816156979940122E-4</v>
      </c>
      <c r="BL77" s="212">
        <f>(AP77-機体重量!$G$16)^2</f>
        <v>1.6134620506629379E-4</v>
      </c>
    </row>
    <row r="78" spans="2:64">
      <c r="B78" s="97">
        <v>27</v>
      </c>
      <c r="C78" s="1">
        <f t="shared" si="18"/>
        <v>4.7</v>
      </c>
      <c r="D78" s="1">
        <f t="shared" si="0"/>
        <v>940.33898305084756</v>
      </c>
      <c r="E78" s="4">
        <v>0.2</v>
      </c>
      <c r="F78" s="21" t="str">
        <f t="shared" ref="F78:F95" si="27">IF(C78&lt;$H$7,"flat",IF(C78&lt;$H$8,"1st",IF(C78&lt;$H$9,"2nd",IF(C78&lt;$H$10,"3rd",IF(C78&lt;$H$11,"4th",IF(C78&lt;$H$12,"5th","6th"))))))</f>
        <v>2nd</v>
      </c>
      <c r="G78" s="4" t="str">
        <f t="shared" si="2"/>
        <v>1番</v>
      </c>
      <c r="H78" s="263" t="s">
        <v>1292</v>
      </c>
      <c r="I78" s="63">
        <f t="shared" si="3"/>
        <v>95.509999999999977</v>
      </c>
      <c r="J78" s="1">
        <f t="shared" si="4"/>
        <v>95.365099999999998</v>
      </c>
      <c r="K78" s="1">
        <f t="shared" si="5"/>
        <v>0.375</v>
      </c>
      <c r="L78" s="202"/>
      <c r="M78" s="206"/>
      <c r="N78" s="76"/>
      <c r="O78" s="207"/>
      <c r="P78" s="76"/>
      <c r="Q78" s="76"/>
      <c r="R78" s="76"/>
      <c r="S78" s="76"/>
      <c r="T78" s="76"/>
      <c r="U78" s="76"/>
      <c r="V78" s="76"/>
      <c r="W78" s="76"/>
      <c r="X78" s="76"/>
      <c r="Y78" s="76"/>
      <c r="Z78" s="76"/>
      <c r="AA78" s="76"/>
      <c r="AB78" s="76"/>
      <c r="AC78" s="76"/>
      <c r="AD78" s="63" t="str">
        <f t="shared" si="6"/>
        <v>QX0024</v>
      </c>
      <c r="AE78" s="1">
        <f t="shared" si="21"/>
        <v>100</v>
      </c>
      <c r="AF78" s="1" t="str">
        <f t="shared" si="7"/>
        <v>QX0024</v>
      </c>
      <c r="AG78" s="1">
        <f t="shared" si="8"/>
        <v>0</v>
      </c>
      <c r="AH78" s="1">
        <f t="shared" si="9"/>
        <v>0.35262711864406782</v>
      </c>
      <c r="AI78" s="1">
        <f t="shared" si="10"/>
        <v>-0.58771186440677969</v>
      </c>
      <c r="AJ78" s="1">
        <f t="shared" si="22"/>
        <v>3.8999999999999986</v>
      </c>
      <c r="AK78" s="1">
        <f t="shared" si="23"/>
        <v>0</v>
      </c>
      <c r="AL78" s="1">
        <f t="shared" si="11"/>
        <v>4.4000000000000004</v>
      </c>
      <c r="AM78" s="7">
        <f t="shared" si="12"/>
        <v>0</v>
      </c>
      <c r="AN78" s="206"/>
      <c r="AO78" s="76"/>
      <c r="AP78" s="76"/>
      <c r="AQ78" s="76"/>
      <c r="AR78" s="76"/>
      <c r="AS78" s="76"/>
      <c r="AT78" s="76">
        <f t="shared" si="13"/>
        <v>8.4002553289284701E-2</v>
      </c>
      <c r="AU78" s="76">
        <f t="shared" si="14"/>
        <v>1.9276949152542373</v>
      </c>
      <c r="AV78" s="76">
        <f t="shared" si="15"/>
        <v>0.94094999999999995</v>
      </c>
      <c r="AW78" s="76">
        <f t="shared" si="19"/>
        <v>0.72288559322033896</v>
      </c>
      <c r="AX78" s="202">
        <f t="shared" si="20"/>
        <v>0.38553898305084749</v>
      </c>
      <c r="AY78" s="63">
        <f>AT78*$AG$4*パラメータ!$D$23</f>
        <v>19.404589809824763</v>
      </c>
      <c r="AZ78" s="1">
        <f>AV78*$AG$7*E78*パラメータ!$D$28</f>
        <v>23.994225</v>
      </c>
      <c r="BA78" s="1">
        <f>SUMPRODUCT($AC$4:$AC$10,$AD$4:$AD$10)*E78*パラメータ!$D$26*10^-3</f>
        <v>8.16</v>
      </c>
      <c r="BB78" s="1">
        <f>(AW78+AX78)*$AG$5*$AG$4*パラメータ!$D$21*10^-3</f>
        <v>5.237306122881356</v>
      </c>
      <c r="BC78" s="1" t="e">
        <f>(#REF!*#REF!*パラメータ!$D$21+0.5*#REF!^2*SIN(RADIANS($T$10))*パラメータ!$D$24)*E78*10^-3</f>
        <v>#REF!</v>
      </c>
      <c r="BD78" s="1">
        <f t="shared" si="16"/>
        <v>0</v>
      </c>
      <c r="BE78" s="1">
        <f t="shared" si="17"/>
        <v>0</v>
      </c>
      <c r="BF78" s="1">
        <f>IF(G78="端リブ",AT78*$T$13*パラメータ!$D$21*2,0)</f>
        <v>0</v>
      </c>
      <c r="BG78" s="1" t="e">
        <f>'主翼（構造）'!BA34*1000</f>
        <v>#REF!</v>
      </c>
      <c r="BH78" s="1" t="e">
        <f t="shared" si="24"/>
        <v>#REF!</v>
      </c>
      <c r="BI78" s="1" t="e">
        <f t="shared" si="25"/>
        <v>#REF!</v>
      </c>
      <c r="BJ78" s="2">
        <f>(AP78-機体重量!$G$16)^2+(AQ78-機体重量!$H$16)^2</f>
        <v>5.4950777486569501E-4</v>
      </c>
      <c r="BK78" s="2">
        <f>(AQ78-機体重量!$H$16)^2</f>
        <v>3.8816156979940122E-4</v>
      </c>
      <c r="BL78" s="212">
        <f>(AP78-機体重量!$G$16)^2</f>
        <v>1.6134620506629379E-4</v>
      </c>
    </row>
    <row r="79" spans="2:64">
      <c r="B79" s="27">
        <v>28</v>
      </c>
      <c r="C79" s="1">
        <f t="shared" si="18"/>
        <v>4.9000000000000004</v>
      </c>
      <c r="D79" s="1">
        <f t="shared" si="0"/>
        <v>927.45762711864415</v>
      </c>
      <c r="E79" s="4">
        <v>0.15</v>
      </c>
      <c r="F79" s="21" t="str">
        <f t="shared" si="27"/>
        <v>2nd</v>
      </c>
      <c r="G79" s="4" t="str">
        <f t="shared" si="2"/>
        <v>端リブ</v>
      </c>
      <c r="H79" s="263" t="s">
        <v>1292</v>
      </c>
      <c r="I79" s="63" t="b">
        <f t="shared" si="3"/>
        <v>0</v>
      </c>
      <c r="J79" s="1" t="b">
        <f t="shared" si="4"/>
        <v>0</v>
      </c>
      <c r="K79" s="1">
        <f t="shared" si="5"/>
        <v>0.375</v>
      </c>
      <c r="L79" s="202"/>
      <c r="M79" s="206"/>
      <c r="N79" s="76"/>
      <c r="O79" s="207"/>
      <c r="P79" s="76"/>
      <c r="Q79" s="76"/>
      <c r="R79" s="76"/>
      <c r="S79" s="76"/>
      <c r="T79" s="76"/>
      <c r="U79" s="76"/>
      <c r="V79" s="76"/>
      <c r="W79" s="76"/>
      <c r="X79" s="76"/>
      <c r="Y79" s="76"/>
      <c r="Z79" s="76"/>
      <c r="AA79" s="76"/>
      <c r="AB79" s="76"/>
      <c r="AC79" s="76"/>
      <c r="AD79" s="63" t="str">
        <f t="shared" si="6"/>
        <v>QX0024</v>
      </c>
      <c r="AE79" s="1">
        <f t="shared" si="21"/>
        <v>100</v>
      </c>
      <c r="AF79" s="1" t="str">
        <f t="shared" si="7"/>
        <v>QX0024</v>
      </c>
      <c r="AG79" s="1">
        <f t="shared" si="8"/>
        <v>0</v>
      </c>
      <c r="AH79" s="1">
        <f t="shared" si="9"/>
        <v>0.34779661016949154</v>
      </c>
      <c r="AI79" s="1">
        <f t="shared" si="10"/>
        <v>-0.57966101694915251</v>
      </c>
      <c r="AJ79" s="1">
        <f t="shared" si="22"/>
        <v>4.0999999999999988</v>
      </c>
      <c r="AK79" s="1">
        <f t="shared" si="23"/>
        <v>0</v>
      </c>
      <c r="AL79" s="1">
        <f t="shared" si="11"/>
        <v>4.4000000000000004</v>
      </c>
      <c r="AM79" s="7">
        <f t="shared" si="12"/>
        <v>0</v>
      </c>
      <c r="AN79" s="206"/>
      <c r="AO79" s="76"/>
      <c r="AP79" s="76"/>
      <c r="AQ79" s="76"/>
      <c r="AR79" s="76"/>
      <c r="AS79" s="76"/>
      <c r="AT79" s="76">
        <f t="shared" si="13"/>
        <v>8.171687675955186E-2</v>
      </c>
      <c r="AU79" s="76">
        <f t="shared" si="14"/>
        <v>1.9012881355932205</v>
      </c>
      <c r="AV79" s="76">
        <f t="shared" si="15"/>
        <v>0.94094999999999995</v>
      </c>
      <c r="AW79" s="76">
        <f t="shared" si="19"/>
        <v>0.71298305084745772</v>
      </c>
      <c r="AX79" s="202">
        <f t="shared" si="20"/>
        <v>0.38025762711864414</v>
      </c>
      <c r="AY79" s="63">
        <f>AT79*$AG$4*パラメータ!$D$23</f>
        <v>18.87659853145648</v>
      </c>
      <c r="AZ79" s="1">
        <f>AV79*$AG$7*E79*パラメータ!$D$28</f>
        <v>17.995668749999997</v>
      </c>
      <c r="BA79" s="1">
        <f>SUMPRODUCT($AC$4:$AC$10,$AD$4:$AD$10)*E79*パラメータ!$D$26*10^-3</f>
        <v>6.12</v>
      </c>
      <c r="BB79" s="1">
        <f>(AW79+AX79)*$AG$5*$AG$4*パラメータ!$D$21*10^-3</f>
        <v>5.1655622033898316</v>
      </c>
      <c r="BC79" s="1" t="e">
        <f>(#REF!*#REF!*パラメータ!$D$21+0.5*#REF!^2*SIN(RADIANS($T$10))*パラメータ!$D$24)*E79*10^-3</f>
        <v>#REF!</v>
      </c>
      <c r="BD79" s="1">
        <f t="shared" si="16"/>
        <v>0</v>
      </c>
      <c r="BE79" s="1">
        <f t="shared" si="17"/>
        <v>0</v>
      </c>
      <c r="BF79" s="1">
        <f>IF(G79="端リブ",AT79*$T$13*パラメータ!$D$21*2,0)</f>
        <v>0</v>
      </c>
      <c r="BG79" s="1" t="e">
        <f>'主翼（構造）'!BA35*1000</f>
        <v>#REF!</v>
      </c>
      <c r="BH79" s="1" t="e">
        <f t="shared" si="24"/>
        <v>#REF!</v>
      </c>
      <c r="BI79" s="1" t="e">
        <f t="shared" si="25"/>
        <v>#REF!</v>
      </c>
      <c r="BJ79" s="2">
        <f>(AP79-機体重量!$G$16)^2+(AQ79-機体重量!$H$16)^2</f>
        <v>5.4950777486569501E-4</v>
      </c>
      <c r="BK79" s="2">
        <f>(AQ79-機体重量!$H$16)^2</f>
        <v>3.8816156979940122E-4</v>
      </c>
      <c r="BL79" s="212">
        <f>(AP79-機体重量!$G$16)^2</f>
        <v>1.6134620506629379E-4</v>
      </c>
    </row>
    <row r="80" spans="2:64">
      <c r="B80" s="97">
        <v>29</v>
      </c>
      <c r="C80" s="1">
        <f t="shared" si="18"/>
        <v>5.0500000000000007</v>
      </c>
      <c r="D80" s="1">
        <f t="shared" si="0"/>
        <v>917.7966101694916</v>
      </c>
      <c r="E80" s="4">
        <v>0.15</v>
      </c>
      <c r="F80" s="21" t="str">
        <f t="shared" si="27"/>
        <v>2nd</v>
      </c>
      <c r="G80" s="4" t="str">
        <f t="shared" si="2"/>
        <v>2番</v>
      </c>
      <c r="H80" s="263" t="s">
        <v>1292</v>
      </c>
      <c r="I80" s="63">
        <f t="shared" si="3"/>
        <v>102.008685</v>
      </c>
      <c r="J80" s="1">
        <f t="shared" si="4"/>
        <v>101.15630366392107</v>
      </c>
      <c r="K80" s="1">
        <f t="shared" si="5"/>
        <v>0.375</v>
      </c>
      <c r="L80" s="202"/>
      <c r="M80" s="206"/>
      <c r="N80" s="76"/>
      <c r="O80" s="207"/>
      <c r="P80" s="76"/>
      <c r="Q80" s="76"/>
      <c r="R80" s="76"/>
      <c r="S80" s="76"/>
      <c r="T80" s="76"/>
      <c r="U80" s="76"/>
      <c r="V80" s="76"/>
      <c r="W80" s="76"/>
      <c r="X80" s="76"/>
      <c r="Y80" s="76"/>
      <c r="Z80" s="76"/>
      <c r="AA80" s="76"/>
      <c r="AB80" s="76"/>
      <c r="AC80" s="76"/>
      <c r="AD80" s="63" t="str">
        <f t="shared" si="6"/>
        <v>QX0024</v>
      </c>
      <c r="AE80" s="1">
        <f t="shared" si="21"/>
        <v>100</v>
      </c>
      <c r="AF80" s="1" t="str">
        <f t="shared" si="7"/>
        <v>QX0024</v>
      </c>
      <c r="AG80" s="1">
        <f t="shared" si="8"/>
        <v>0</v>
      </c>
      <c r="AH80" s="1">
        <f t="shared" si="9"/>
        <v>0.34417372881355934</v>
      </c>
      <c r="AI80" s="1">
        <f t="shared" si="10"/>
        <v>-0.57362288135593231</v>
      </c>
      <c r="AJ80" s="1">
        <f t="shared" si="22"/>
        <v>4.2499999999999991</v>
      </c>
      <c r="AK80" s="1">
        <f t="shared" si="23"/>
        <v>0</v>
      </c>
      <c r="AL80" s="1">
        <f t="shared" si="11"/>
        <v>4.4000000000000004</v>
      </c>
      <c r="AM80" s="7">
        <f t="shared" si="12"/>
        <v>0</v>
      </c>
      <c r="AN80" s="206"/>
      <c r="AO80" s="76"/>
      <c r="AP80" s="76"/>
      <c r="AQ80" s="76"/>
      <c r="AR80" s="76"/>
      <c r="AS80" s="76"/>
      <c r="AT80" s="76">
        <f t="shared" si="13"/>
        <v>8.002330867566794E-2</v>
      </c>
      <c r="AU80" s="76">
        <f t="shared" si="14"/>
        <v>1.8814830508474576</v>
      </c>
      <c r="AV80" s="76">
        <f t="shared" si="15"/>
        <v>0.94094999999999995</v>
      </c>
      <c r="AW80" s="76">
        <f t="shared" si="19"/>
        <v>0.70555614406779665</v>
      </c>
      <c r="AX80" s="202">
        <f t="shared" si="20"/>
        <v>0.37629661016949156</v>
      </c>
      <c r="AY80" s="63">
        <f>AT80*$AG$4*パラメータ!$D$23</f>
        <v>18.485384304079293</v>
      </c>
      <c r="AZ80" s="1">
        <f>AV80*$AG$7*E80*パラメータ!$D$28</f>
        <v>17.995668749999997</v>
      </c>
      <c r="BA80" s="1">
        <f>SUMPRODUCT($AC$4:$AC$10,$AD$4:$AD$10)*E80*パラメータ!$D$26*10^-3</f>
        <v>6.12</v>
      </c>
      <c r="BB80" s="1">
        <f>(AW80+AX80)*$AG$5*$AG$4*パラメータ!$D$21*10^-3</f>
        <v>5.1117542637711866</v>
      </c>
      <c r="BC80" s="1" t="e">
        <f>(#REF!*#REF!*パラメータ!$D$21+0.5*#REF!^2*SIN(RADIANS($T$10))*パラメータ!$D$24)*E80*10^-3</f>
        <v>#REF!</v>
      </c>
      <c r="BD80" s="1">
        <f t="shared" si="16"/>
        <v>0</v>
      </c>
      <c r="BE80" s="1">
        <f t="shared" si="17"/>
        <v>0</v>
      </c>
      <c r="BF80" s="1">
        <f>IF(G80="端リブ",AT80*$T$13*パラメータ!$D$21*2,0)</f>
        <v>0</v>
      </c>
      <c r="BG80" s="1" t="e">
        <f>'主翼（構造）'!BA36*1000</f>
        <v>#REF!</v>
      </c>
      <c r="BH80" s="1" t="e">
        <f t="shared" si="24"/>
        <v>#REF!</v>
      </c>
      <c r="BI80" s="1" t="e">
        <f t="shared" si="25"/>
        <v>#REF!</v>
      </c>
      <c r="BJ80" s="2">
        <f>(AP80-機体重量!$G$16)^2+(AQ80-機体重量!$H$16)^2</f>
        <v>5.4950777486569501E-4</v>
      </c>
      <c r="BK80" s="2">
        <f>(AQ80-機体重量!$H$16)^2</f>
        <v>3.8816156979940122E-4</v>
      </c>
      <c r="BL80" s="212">
        <f>(AP80-機体重量!$G$16)^2</f>
        <v>1.6134620506629379E-4</v>
      </c>
    </row>
    <row r="81" spans="2:64">
      <c r="B81" s="27">
        <v>30</v>
      </c>
      <c r="C81" s="1">
        <f t="shared" si="18"/>
        <v>5.2000000000000011</v>
      </c>
      <c r="D81" s="1">
        <f t="shared" si="0"/>
        <v>908.13559322033893</v>
      </c>
      <c r="E81" s="4">
        <v>0.15</v>
      </c>
      <c r="F81" s="21" t="str">
        <f t="shared" si="27"/>
        <v>2nd</v>
      </c>
      <c r="G81" s="4" t="str">
        <f t="shared" si="2"/>
        <v>2番</v>
      </c>
      <c r="H81" s="263" t="s">
        <v>1293</v>
      </c>
      <c r="I81" s="63">
        <f t="shared" si="3"/>
        <v>100.60737</v>
      </c>
      <c r="J81" s="1">
        <f t="shared" si="4"/>
        <v>99.774539985868429</v>
      </c>
      <c r="K81" s="1">
        <f t="shared" si="5"/>
        <v>0.375</v>
      </c>
      <c r="L81" s="202"/>
      <c r="M81" s="206"/>
      <c r="N81" s="76"/>
      <c r="O81" s="207"/>
      <c r="P81" s="76"/>
      <c r="Q81" s="76"/>
      <c r="R81" s="76"/>
      <c r="S81" s="76"/>
      <c r="T81" s="76"/>
      <c r="U81" s="76"/>
      <c r="V81" s="76"/>
      <c r="W81" s="76"/>
      <c r="X81" s="76"/>
      <c r="Y81" s="76"/>
      <c r="Z81" s="76"/>
      <c r="AA81" s="76"/>
      <c r="AB81" s="76"/>
      <c r="AC81" s="76"/>
      <c r="AD81" s="63" t="str">
        <f t="shared" si="6"/>
        <v>QX0024</v>
      </c>
      <c r="AE81" s="1">
        <f t="shared" si="21"/>
        <v>100</v>
      </c>
      <c r="AF81" s="1" t="str">
        <f t="shared" si="7"/>
        <v>QX0024</v>
      </c>
      <c r="AG81" s="1">
        <f t="shared" si="8"/>
        <v>0</v>
      </c>
      <c r="AH81" s="1">
        <f t="shared" si="9"/>
        <v>0.34055084745762715</v>
      </c>
      <c r="AI81" s="1">
        <f t="shared" si="10"/>
        <v>-0.5675847457627119</v>
      </c>
      <c r="AJ81" s="1">
        <f t="shared" si="22"/>
        <v>4.3999999999999995</v>
      </c>
      <c r="AK81" s="1">
        <f t="shared" si="23"/>
        <v>0</v>
      </c>
      <c r="AL81" s="1">
        <f t="shared" si="11"/>
        <v>4.4000000000000004</v>
      </c>
      <c r="AM81" s="7">
        <f t="shared" si="12"/>
        <v>0</v>
      </c>
      <c r="AN81" s="206"/>
      <c r="AO81" s="76"/>
      <c r="AP81" s="76"/>
      <c r="AQ81" s="76"/>
      <c r="AR81" s="76"/>
      <c r="AS81" s="76"/>
      <c r="AT81" s="76">
        <f t="shared" si="13"/>
        <v>7.834747428899741E-2</v>
      </c>
      <c r="AU81" s="76">
        <f t="shared" si="14"/>
        <v>1.8616779661016947</v>
      </c>
      <c r="AV81" s="76">
        <f t="shared" si="15"/>
        <v>0.94094999999999995</v>
      </c>
      <c r="AW81" s="76">
        <f t="shared" si="19"/>
        <v>0.69812923728813547</v>
      </c>
      <c r="AX81" s="202">
        <f t="shared" si="20"/>
        <v>0.37233559322033893</v>
      </c>
      <c r="AY81" s="63">
        <f>AT81*$AG$4*パラメータ!$D$23</f>
        <v>18.098266560758404</v>
      </c>
      <c r="AZ81" s="1">
        <f>AV81*$AG$7*E81*パラメータ!$D$28</f>
        <v>17.995668749999997</v>
      </c>
      <c r="BA81" s="1">
        <f>SUMPRODUCT($AC$4:$AC$10,$AD$4:$AD$10)*E81*パラメータ!$D$26*10^-3</f>
        <v>6.12</v>
      </c>
      <c r="BB81" s="1">
        <f>(AW81+AX81)*$AG$5*$AG$4*パラメータ!$D$21*10^-3</f>
        <v>5.0579463241525406</v>
      </c>
      <c r="BC81" s="1" t="e">
        <f>(#REF!*#REF!*パラメータ!$D$21+0.5*#REF!^2*SIN(RADIANS($T$10))*パラメータ!$D$24)*E81*10^-3</f>
        <v>#REF!</v>
      </c>
      <c r="BD81" s="1">
        <f t="shared" si="16"/>
        <v>0</v>
      </c>
      <c r="BE81" s="1">
        <f t="shared" si="17"/>
        <v>0</v>
      </c>
      <c r="BF81" s="1">
        <f>IF(G81="端リブ",AT81*$T$13*パラメータ!$D$21*2,0)</f>
        <v>0</v>
      </c>
      <c r="BG81" s="1" t="e">
        <f>'主翼（構造）'!BA37*1000</f>
        <v>#REF!</v>
      </c>
      <c r="BH81" s="1" t="e">
        <f t="shared" si="24"/>
        <v>#REF!</v>
      </c>
      <c r="BI81" s="1" t="e">
        <f t="shared" si="25"/>
        <v>#REF!</v>
      </c>
      <c r="BJ81" s="2">
        <f>(AP81-機体重量!$G$16)^2+(AQ81-機体重量!$H$16)^2</f>
        <v>5.4950777486569501E-4</v>
      </c>
      <c r="BK81" s="2">
        <f>(AQ81-機体重量!$H$16)^2</f>
        <v>3.8816156979940122E-4</v>
      </c>
      <c r="BL81" s="212">
        <f>(AP81-機体重量!$G$16)^2</f>
        <v>1.6134620506629379E-4</v>
      </c>
    </row>
    <row r="82" spans="2:64">
      <c r="B82" s="97">
        <v>31</v>
      </c>
      <c r="C82" s="1">
        <f t="shared" si="18"/>
        <v>5.3500000000000014</v>
      </c>
      <c r="D82" s="1">
        <f t="shared" si="0"/>
        <v>898.47457627118638</v>
      </c>
      <c r="E82" s="4">
        <v>0.15</v>
      </c>
      <c r="F82" s="21" t="str">
        <f t="shared" si="27"/>
        <v>2nd</v>
      </c>
      <c r="G82" s="4" t="str">
        <f t="shared" si="2"/>
        <v>2番</v>
      </c>
      <c r="H82" s="263" t="s">
        <v>1292</v>
      </c>
      <c r="I82" s="63">
        <f t="shared" si="3"/>
        <v>99.206054999999992</v>
      </c>
      <c r="J82" s="1">
        <f t="shared" si="4"/>
        <v>98.392776307815794</v>
      </c>
      <c r="K82" s="1">
        <f t="shared" si="5"/>
        <v>0.375</v>
      </c>
      <c r="L82" s="202"/>
      <c r="M82" s="206"/>
      <c r="N82" s="76"/>
      <c r="O82" s="207"/>
      <c r="P82" s="76"/>
      <c r="Q82" s="76"/>
      <c r="R82" s="76"/>
      <c r="S82" s="76"/>
      <c r="T82" s="76"/>
      <c r="U82" s="76"/>
      <c r="V82" s="76"/>
      <c r="W82" s="76"/>
      <c r="X82" s="76"/>
      <c r="Y82" s="76"/>
      <c r="Z82" s="76"/>
      <c r="AA82" s="76"/>
      <c r="AB82" s="76"/>
      <c r="AC82" s="76"/>
      <c r="AD82" s="63" t="str">
        <f t="shared" si="6"/>
        <v>QX0024</v>
      </c>
      <c r="AE82" s="1">
        <f t="shared" si="21"/>
        <v>100</v>
      </c>
      <c r="AF82" s="1" t="str">
        <f t="shared" si="7"/>
        <v>QX0024</v>
      </c>
      <c r="AG82" s="1">
        <f t="shared" si="8"/>
        <v>0</v>
      </c>
      <c r="AH82" s="1">
        <f t="shared" si="9"/>
        <v>0.3369279661016949</v>
      </c>
      <c r="AI82" s="1">
        <f t="shared" si="10"/>
        <v>-0.56154661016949148</v>
      </c>
      <c r="AJ82" s="1">
        <f t="shared" si="22"/>
        <v>4.55</v>
      </c>
      <c r="AK82" s="1">
        <f t="shared" si="23"/>
        <v>0</v>
      </c>
      <c r="AL82" s="1">
        <f t="shared" si="11"/>
        <v>4.4000000000000004</v>
      </c>
      <c r="AM82" s="7">
        <f t="shared" si="12"/>
        <v>0</v>
      </c>
      <c r="AN82" s="206"/>
      <c r="AO82" s="76"/>
      <c r="AP82" s="76"/>
      <c r="AQ82" s="76"/>
      <c r="AR82" s="76"/>
      <c r="AS82" s="76"/>
      <c r="AT82" s="76">
        <f t="shared" si="13"/>
        <v>7.6689373599540367E-2</v>
      </c>
      <c r="AU82" s="76">
        <f t="shared" si="14"/>
        <v>1.841872881355932</v>
      </c>
      <c r="AV82" s="76">
        <f t="shared" si="15"/>
        <v>0.94094999999999995</v>
      </c>
      <c r="AW82" s="76">
        <f t="shared" si="19"/>
        <v>0.69070233050847452</v>
      </c>
      <c r="AX82" s="202">
        <f t="shared" si="20"/>
        <v>0.36837457627118642</v>
      </c>
      <c r="AY82" s="63">
        <f>AT82*$AG$4*パラメータ!$D$23</f>
        <v>17.715245301493823</v>
      </c>
      <c r="AZ82" s="1">
        <f>AV82*$AG$7*E82*パラメータ!$D$28</f>
        <v>17.995668749999997</v>
      </c>
      <c r="BA82" s="1">
        <f>SUMPRODUCT($AC$4:$AC$10,$AD$4:$AD$10)*E82*パラメータ!$D$26*10^-3</f>
        <v>6.12</v>
      </c>
      <c r="BB82" s="1">
        <f>(AW82+AX82)*$AG$5*$AG$4*パラメータ!$D$21*10^-3</f>
        <v>5.0041383845338983</v>
      </c>
      <c r="BC82" s="1" t="e">
        <f>(#REF!*#REF!*パラメータ!$D$21+0.5*#REF!^2*SIN(RADIANS($T$10))*パラメータ!$D$24)*E82*10^-3</f>
        <v>#REF!</v>
      </c>
      <c r="BD82" s="1">
        <f t="shared" si="16"/>
        <v>0</v>
      </c>
      <c r="BE82" s="1">
        <f t="shared" si="17"/>
        <v>0</v>
      </c>
      <c r="BF82" s="1">
        <f>IF(G82="端リブ",AT82*$T$13*パラメータ!$D$21*2,0)</f>
        <v>0</v>
      </c>
      <c r="BG82" s="1" t="e">
        <f>'主翼（構造）'!BA38*1000</f>
        <v>#REF!</v>
      </c>
      <c r="BH82" s="1" t="e">
        <f t="shared" si="24"/>
        <v>#REF!</v>
      </c>
      <c r="BI82" s="1" t="e">
        <f t="shared" si="25"/>
        <v>#REF!</v>
      </c>
      <c r="BJ82" s="2">
        <f>(AP82-機体重量!$G$16)^2+(AQ82-機体重量!$H$16)^2</f>
        <v>5.4950777486569501E-4</v>
      </c>
      <c r="BK82" s="2">
        <f>(AQ82-機体重量!$H$16)^2</f>
        <v>3.8816156979940122E-4</v>
      </c>
      <c r="BL82" s="212">
        <f>(AP82-機体重量!$G$16)^2</f>
        <v>1.6134620506629379E-4</v>
      </c>
    </row>
    <row r="83" spans="2:64">
      <c r="B83" s="27">
        <v>32</v>
      </c>
      <c r="C83" s="1">
        <f t="shared" si="18"/>
        <v>5.5000000000000018</v>
      </c>
      <c r="D83" s="1">
        <f t="shared" ref="D83:D114" si="28">IF($C83&lt;$H$7,$H$19*$C83+$I$19,IF($C83&lt;$H$8,$H$20*$C83+$I$20,IF($C83&lt;$H$9,$H$21*$C83+$I$21,IF($C83&lt;$H$10,$H$22*$C83+$I$22,IF($C83&lt;$H$11,$H$23*$C83+$I$23,IF($C83&lt;$H$12,$H$24*$C83+$I$24,$H$25*$C83+$I$25))))))*10^3</f>
        <v>888.81355932203383</v>
      </c>
      <c r="E83" s="4">
        <v>0.15</v>
      </c>
      <c r="F83" s="21" t="str">
        <f t="shared" si="27"/>
        <v>2nd</v>
      </c>
      <c r="G83" s="4" t="str">
        <f t="shared" ref="G83:G101" si="29">IF(OR(C83=$F$46,C83=$G$46,C83=$H$46),"端リブ",IF(C83&lt;$F$46,"0番",IF(C83&lt;$G$46,"1番",IF(C83&lt;$H$46,"2番",IF(C83&lt;$I$46,"3番","ウィングレット")))))</f>
        <v>2番</v>
      </c>
      <c r="H83" s="263" t="s">
        <v>1293</v>
      </c>
      <c r="I83" s="63">
        <f t="shared" ref="I83:I114" si="30">IF(G83="0番",$P$19+$O$19*C83,IF(G83="1番",$P$20+$O$20*C83,IF(G83="2番",$P$21+$O$21*C83,IF(G83="3番",$P$22+$O$22*C83))))</f>
        <v>97.804739999999981</v>
      </c>
      <c r="J83" s="1">
        <f t="shared" ref="J83:J114" si="31">IF(G83="0番",$R$19+$Q$19*C83,IF(G83="1番",$R$20+$Q$20*C83,IF(G83="2番",$R$21+$Q$21*C83,IF(G83="3番",$R$22+$Q$22*C83))))</f>
        <v>97.011012629763158</v>
      </c>
      <c r="K83" s="1">
        <f t="shared" ref="K83:K114" si="32">IF($C83&lt;$H$7,$L$19*$C83+$M$19,IF($C83&lt;$H$8,$L$20*$C83+$M$20,IF($C83&lt;$H$9,$L$21*$C83+$M$21,IF($C83&lt;$H$10,$L$22*$C83+$M$23,IF($C83&lt;$H$11,$L$23*$C83+$M$22,IF($C83&lt;$H$12,$L$24*$C83+$M$24,$L$25*$C83+$M$25))))))</f>
        <v>0.375</v>
      </c>
      <c r="L83" s="202"/>
      <c r="M83" s="206"/>
      <c r="N83" s="76"/>
      <c r="O83" s="207"/>
      <c r="P83" s="76"/>
      <c r="Q83" s="76"/>
      <c r="R83" s="76"/>
      <c r="S83" s="76"/>
      <c r="T83" s="76"/>
      <c r="U83" s="76"/>
      <c r="V83" s="76"/>
      <c r="W83" s="76"/>
      <c r="X83" s="76"/>
      <c r="Y83" s="76"/>
      <c r="Z83" s="76"/>
      <c r="AA83" s="76"/>
      <c r="AB83" s="76"/>
      <c r="AC83" s="76"/>
      <c r="AD83" s="63" t="str">
        <f t="shared" ref="AD83:AD114" si="33">IF($C83&lt;$H$7,$M$6,IF($C83&lt;$H$8,$M$7,IF($C83&lt;$H$9,$M$8,IF($C83&lt;$H$10,$M$9,IF($C83&lt;$H$11,$M$10,IF($C83&lt;$H$12,$M$11,$M$12))))))</f>
        <v>QX0024</v>
      </c>
      <c r="AE83" s="1">
        <f t="shared" si="21"/>
        <v>100</v>
      </c>
      <c r="AF83" s="1" t="str">
        <f t="shared" ref="AF83:AF114" si="34">IF($C83&lt;$H$7,$M$7,IF($C83&lt;$H$8,$M$8,IF($C83&lt;$H$9,$M$9,IF($C83&lt;$H$10,$M$10,IF($C83&lt;$H$11,$M$11,IF($C83&lt;$H$12,$M$12,$M$13))))))</f>
        <v>QX0024</v>
      </c>
      <c r="AG83" s="1">
        <f t="shared" ref="AG83:AG114" si="35">IF(AD83=AF83,0,IF($C83&lt;$H$7,($C83-$H$6)/($H$7-$H$6),IF($C83&lt;$H$8,($C83-$H$7)/($H$8-$H$7),IF($C83&lt;$H$9,($C83-$H$8)/($H$9-$H$8),IF($C83&lt;$H$10,($C83-$H$9)/($H$10-$H$9),IF($C83&lt;$H$11,($C83-$H$10)/($H$11-$H$10),IF($C83&lt;$H$12,($C83-$H$11)/($H$12-$H$11),($C83-$H$12)/($H$13-$H$12))))))))*100</f>
        <v>0</v>
      </c>
      <c r="AH83" s="1">
        <f t="shared" ref="AH83:AH114" si="36">D83*K83/1000</f>
        <v>0.33330508474576265</v>
      </c>
      <c r="AI83" s="1">
        <f t="shared" ref="AI83:AI114" si="37">AH83-D83/1000</f>
        <v>-0.55550847457627128</v>
      </c>
      <c r="AJ83" s="1">
        <f t="shared" si="22"/>
        <v>4.7</v>
      </c>
      <c r="AK83" s="1">
        <f t="shared" si="23"/>
        <v>0</v>
      </c>
      <c r="AL83" s="1">
        <f t="shared" ref="AL83:AL114" si="38">IF($C83&lt;$H$7,$J$19*$C83+$K$19,IF($C83&lt;$H$8,$J$20*$C83+$K$20,IF($C83&lt;$H$9,$J$21*$C83+$K$21,IF($C83&lt;$H$10,$J$22*$C83+$K$22,IF($C83&lt;$H$11,$J$23*$C83+$K$23,IF($C83&lt;$H$12,$J$24*$C83+$K$24,$J$25*$C83+$K$25))))))</f>
        <v>4.4000000000000004</v>
      </c>
      <c r="AM83" s="7">
        <f t="shared" ref="AM83:AM114" si="39">IF($C83&lt;$H$7,$K$6,IF($C83&lt;$H$8,$K$7,IF($C83&lt;$H$9,$K$8,IF($C83&lt;$H$10,$K$9,IF($C83&lt;$H$11,$K$10,IF($C83&lt;$H$12,$K$11,$K$12))))))</f>
        <v>0</v>
      </c>
      <c r="AN83" s="206"/>
      <c r="AO83" s="76"/>
      <c r="AP83" s="76"/>
      <c r="AQ83" s="76"/>
      <c r="AR83" s="76"/>
      <c r="AS83" s="76"/>
      <c r="AT83" s="76">
        <f t="shared" ref="AT83:AT114" si="40">$AY$45*(D83/10^3)^2</f>
        <v>7.5049006607296742E-2</v>
      </c>
      <c r="AU83" s="76">
        <f t="shared" ref="AU83:AU114" si="41">D83*$AZ$45/10^3</f>
        <v>1.822067796610169</v>
      </c>
      <c r="AV83" s="76">
        <f t="shared" ref="AV83:AV129" si="42">$AU$51*0.85/2</f>
        <v>0.94094999999999995</v>
      </c>
      <c r="AW83" s="76">
        <f t="shared" si="19"/>
        <v>0.68327542372881345</v>
      </c>
      <c r="AX83" s="202">
        <f t="shared" si="20"/>
        <v>0.36441355932203384</v>
      </c>
      <c r="AY83" s="63">
        <f>AT83*$AG$4*パラメータ!$D$23</f>
        <v>17.336320526285547</v>
      </c>
      <c r="AZ83" s="1">
        <f>AV83*$AG$7*E83*パラメータ!$D$28</f>
        <v>17.995668749999997</v>
      </c>
      <c r="BA83" s="1">
        <f>SUMPRODUCT($AC$4:$AC$10,$AD$4:$AD$10)*E83*パラメータ!$D$26*10^-3</f>
        <v>6.12</v>
      </c>
      <c r="BB83" s="1">
        <f>(AW83+AX83)*$AG$5*$AG$4*パラメータ!$D$21*10^-3</f>
        <v>4.9503304449152541</v>
      </c>
      <c r="BC83" s="1" t="e">
        <f>(#REF!*#REF!*パラメータ!$D$21+0.5*#REF!^2*SIN(RADIANS($T$10))*パラメータ!$D$24)*E83*10^-3</f>
        <v>#REF!</v>
      </c>
      <c r="BD83" s="1">
        <f t="shared" ref="BD83:BD114" si="43">AU83*($T$12)</f>
        <v>0</v>
      </c>
      <c r="BE83" s="1">
        <f t="shared" ref="BE83:BE114" si="44">$T$11</f>
        <v>0</v>
      </c>
      <c r="BF83" s="1">
        <f>IF(G83="端リブ",AT83*$T$13*パラメータ!$D$21*2,0)</f>
        <v>0</v>
      </c>
      <c r="BG83" s="1" t="e">
        <f>'主翼（構造）'!BA39*1000</f>
        <v>#REF!</v>
      </c>
      <c r="BH83" s="1" t="e">
        <f t="shared" si="24"/>
        <v>#REF!</v>
      </c>
      <c r="BI83" s="1" t="e">
        <f t="shared" si="25"/>
        <v>#REF!</v>
      </c>
      <c r="BJ83" s="2">
        <f>(AP83-機体重量!$G$16)^2+(AQ83-機体重量!$H$16)^2</f>
        <v>5.4950777486569501E-4</v>
      </c>
      <c r="BK83" s="2">
        <f>(AQ83-機体重量!$H$16)^2</f>
        <v>3.8816156979940122E-4</v>
      </c>
      <c r="BL83" s="212">
        <f>(AP83-機体重量!$G$16)^2</f>
        <v>1.6134620506629379E-4</v>
      </c>
    </row>
    <row r="84" spans="2:64">
      <c r="B84" s="97">
        <v>33</v>
      </c>
      <c r="C84" s="1">
        <f t="shared" ref="C84:C115" si="45">C83+E83</f>
        <v>5.6500000000000021</v>
      </c>
      <c r="D84" s="1">
        <f t="shared" si="28"/>
        <v>879.15254237288116</v>
      </c>
      <c r="E84" s="4">
        <v>0.15</v>
      </c>
      <c r="F84" s="21" t="str">
        <f t="shared" si="27"/>
        <v>2nd</v>
      </c>
      <c r="G84" s="4" t="str">
        <f t="shared" si="29"/>
        <v>2番</v>
      </c>
      <c r="H84" s="263" t="s">
        <v>1292</v>
      </c>
      <c r="I84" s="63">
        <f t="shared" si="30"/>
        <v>96.403424999999984</v>
      </c>
      <c r="J84" s="1">
        <f t="shared" si="31"/>
        <v>95.629248951710522</v>
      </c>
      <c r="K84" s="1">
        <f t="shared" si="32"/>
        <v>0.375</v>
      </c>
      <c r="L84" s="202"/>
      <c r="M84" s="206"/>
      <c r="N84" s="76"/>
      <c r="O84" s="207"/>
      <c r="P84" s="76"/>
      <c r="Q84" s="76"/>
      <c r="R84" s="76"/>
      <c r="S84" s="76"/>
      <c r="T84" s="76"/>
      <c r="U84" s="76"/>
      <c r="V84" s="76"/>
      <c r="W84" s="76"/>
      <c r="X84" s="76"/>
      <c r="Y84" s="76"/>
      <c r="Z84" s="76"/>
      <c r="AA84" s="76"/>
      <c r="AB84" s="76"/>
      <c r="AC84" s="76"/>
      <c r="AD84" s="63" t="str">
        <f t="shared" si="33"/>
        <v>QX0024</v>
      </c>
      <c r="AE84" s="1">
        <f t="shared" si="21"/>
        <v>100</v>
      </c>
      <c r="AF84" s="1" t="str">
        <f t="shared" si="34"/>
        <v>QX0024</v>
      </c>
      <c r="AG84" s="1">
        <f t="shared" si="35"/>
        <v>0</v>
      </c>
      <c r="AH84" s="1">
        <f t="shared" si="36"/>
        <v>0.3296822033898304</v>
      </c>
      <c r="AI84" s="1">
        <f t="shared" si="37"/>
        <v>-0.54947033898305087</v>
      </c>
      <c r="AJ84" s="1">
        <f t="shared" si="22"/>
        <v>4.8500000000000005</v>
      </c>
      <c r="AK84" s="1">
        <f t="shared" si="23"/>
        <v>0</v>
      </c>
      <c r="AL84" s="1">
        <f t="shared" si="38"/>
        <v>4.4000000000000004</v>
      </c>
      <c r="AM84" s="7">
        <f t="shared" si="39"/>
        <v>0</v>
      </c>
      <c r="AN84" s="206"/>
      <c r="AO84" s="76"/>
      <c r="AP84" s="76"/>
      <c r="AQ84" s="76"/>
      <c r="AR84" s="76"/>
      <c r="AS84" s="76"/>
      <c r="AT84" s="76">
        <f t="shared" si="40"/>
        <v>7.3426373312266563E-2</v>
      </c>
      <c r="AU84" s="76">
        <f t="shared" si="41"/>
        <v>1.8022627118644061</v>
      </c>
      <c r="AV84" s="76">
        <f t="shared" si="42"/>
        <v>0.94094999999999995</v>
      </c>
      <c r="AW84" s="76">
        <f t="shared" si="19"/>
        <v>0.67584851694915227</v>
      </c>
      <c r="AX84" s="202">
        <f t="shared" si="20"/>
        <v>0.36045254237288127</v>
      </c>
      <c r="AY84" s="63">
        <f>AT84*$AG$4*パラメータ!$D$23</f>
        <v>16.961492235133576</v>
      </c>
      <c r="AZ84" s="1">
        <f>AV84*$AG$7*E84*パラメータ!$D$28</f>
        <v>17.995668749999997</v>
      </c>
      <c r="BA84" s="1">
        <f>SUMPRODUCT($AC$4:$AC$10,$AD$4:$AD$10)*E84*パラメータ!$D$26*10^-3</f>
        <v>6.12</v>
      </c>
      <c r="BB84" s="1">
        <f>(AW84+AX84)*$AG$5*$AG$4*パラメータ!$D$21*10^-3</f>
        <v>4.8965225052966082</v>
      </c>
      <c r="BC84" s="1" t="e">
        <f>(#REF!*#REF!*パラメータ!$D$21+0.5*#REF!^2*SIN(RADIANS($T$10))*パラメータ!$D$24)*E84*10^-3</f>
        <v>#REF!</v>
      </c>
      <c r="BD84" s="1">
        <f t="shared" si="43"/>
        <v>0</v>
      </c>
      <c r="BE84" s="1">
        <f t="shared" si="44"/>
        <v>0</v>
      </c>
      <c r="BF84" s="1">
        <f>IF(G84="端リブ",AT84*$T$13*パラメータ!$D$21*2,0)</f>
        <v>0</v>
      </c>
      <c r="BG84" s="1" t="e">
        <f>'主翼（構造）'!BA40*1000</f>
        <v>#REF!</v>
      </c>
      <c r="BH84" s="1" t="e">
        <f t="shared" si="24"/>
        <v>#REF!</v>
      </c>
      <c r="BI84" s="1" t="e">
        <f t="shared" si="25"/>
        <v>#REF!</v>
      </c>
      <c r="BJ84" s="2">
        <f>(AP84-機体重量!$G$16)^2+(AQ84-機体重量!$H$16)^2</f>
        <v>5.4950777486569501E-4</v>
      </c>
      <c r="BK84" s="2">
        <f>(AQ84-機体重量!$H$16)^2</f>
        <v>3.8816156979940122E-4</v>
      </c>
      <c r="BL84" s="212">
        <f>(AP84-機体重量!$G$16)^2</f>
        <v>1.6134620506629379E-4</v>
      </c>
    </row>
    <row r="85" spans="2:64">
      <c r="B85" s="27">
        <v>34</v>
      </c>
      <c r="C85" s="1">
        <f t="shared" si="45"/>
        <v>5.8000000000000025</v>
      </c>
      <c r="D85" s="1">
        <f t="shared" si="28"/>
        <v>869.49152542372872</v>
      </c>
      <c r="E85" s="4">
        <v>0.15</v>
      </c>
      <c r="F85" s="21" t="str">
        <f t="shared" si="27"/>
        <v>2nd</v>
      </c>
      <c r="G85" s="4" t="str">
        <f t="shared" si="29"/>
        <v>2番</v>
      </c>
      <c r="H85" s="263" t="s">
        <v>1293</v>
      </c>
      <c r="I85" s="63">
        <f t="shared" si="30"/>
        <v>95.002109999999988</v>
      </c>
      <c r="J85" s="1">
        <f t="shared" si="31"/>
        <v>94.247485273657887</v>
      </c>
      <c r="K85" s="1">
        <f t="shared" si="32"/>
        <v>0.375</v>
      </c>
      <c r="L85" s="202"/>
      <c r="M85" s="206"/>
      <c r="N85" s="76"/>
      <c r="O85" s="207"/>
      <c r="P85" s="76"/>
      <c r="Q85" s="76"/>
      <c r="R85" s="76"/>
      <c r="S85" s="76"/>
      <c r="T85" s="76"/>
      <c r="U85" s="76"/>
      <c r="V85" s="76"/>
      <c r="W85" s="76"/>
      <c r="X85" s="76"/>
      <c r="Y85" s="76"/>
      <c r="Z85" s="76"/>
      <c r="AA85" s="76"/>
      <c r="AB85" s="76"/>
      <c r="AC85" s="76"/>
      <c r="AD85" s="63" t="str">
        <f t="shared" si="33"/>
        <v>QX0024</v>
      </c>
      <c r="AE85" s="1">
        <f t="shared" si="21"/>
        <v>100</v>
      </c>
      <c r="AF85" s="1" t="str">
        <f t="shared" si="34"/>
        <v>QX0024</v>
      </c>
      <c r="AG85" s="1">
        <f t="shared" si="35"/>
        <v>0</v>
      </c>
      <c r="AH85" s="1">
        <f t="shared" si="36"/>
        <v>0.32605932203389831</v>
      </c>
      <c r="AI85" s="1">
        <f t="shared" si="37"/>
        <v>-0.54343220338983045</v>
      </c>
      <c r="AJ85" s="1">
        <f t="shared" ref="AJ85:AJ116" si="46">AJ84+E84*COS(RADIANS(AM84))</f>
        <v>5.0000000000000009</v>
      </c>
      <c r="AK85" s="1">
        <f t="shared" ref="AK85:AK116" si="47">AK84+E84*SIN(RADIANS(AM84))</f>
        <v>0</v>
      </c>
      <c r="AL85" s="1">
        <f t="shared" si="38"/>
        <v>4.4000000000000004</v>
      </c>
      <c r="AM85" s="7">
        <f t="shared" si="39"/>
        <v>0</v>
      </c>
      <c r="AN85" s="206"/>
      <c r="AO85" s="76"/>
      <c r="AP85" s="76"/>
      <c r="AQ85" s="76"/>
      <c r="AR85" s="76"/>
      <c r="AS85" s="76"/>
      <c r="AT85" s="76">
        <f t="shared" si="40"/>
        <v>7.1821473714449857E-2</v>
      </c>
      <c r="AU85" s="76">
        <f t="shared" si="41"/>
        <v>1.7824576271186439</v>
      </c>
      <c r="AV85" s="76">
        <f t="shared" si="42"/>
        <v>0.94094999999999995</v>
      </c>
      <c r="AW85" s="76">
        <f t="shared" si="19"/>
        <v>0.66842161016949142</v>
      </c>
      <c r="AX85" s="202">
        <f t="shared" si="20"/>
        <v>0.35649152542372881</v>
      </c>
      <c r="AY85" s="63">
        <f>AT85*$AG$4*パラメータ!$D$23</f>
        <v>16.590760428037918</v>
      </c>
      <c r="AZ85" s="1">
        <f>AV85*$AG$7*E85*パラメータ!$D$28</f>
        <v>17.995668749999997</v>
      </c>
      <c r="BA85" s="1">
        <f>SUMPRODUCT($AC$4:$AC$10,$AD$4:$AD$10)*E85*パラメータ!$D$26*10^-3</f>
        <v>6.12</v>
      </c>
      <c r="BB85" s="1">
        <f>(AW85+AX85)*$AG$5*$AG$4*パラメータ!$D$21*10^-3</f>
        <v>4.8427145656779658</v>
      </c>
      <c r="BC85" s="1" t="e">
        <f>(#REF!*#REF!*パラメータ!$D$21+0.5*#REF!^2*SIN(RADIANS($T$10))*パラメータ!$D$24)*E85*10^-3</f>
        <v>#REF!</v>
      </c>
      <c r="BD85" s="1">
        <f t="shared" si="43"/>
        <v>0</v>
      </c>
      <c r="BE85" s="1">
        <f t="shared" si="44"/>
        <v>0</v>
      </c>
      <c r="BF85" s="1">
        <f>IF(G85="端リブ",AT85*$T$13*パラメータ!$D$21*2,0)</f>
        <v>0</v>
      </c>
      <c r="BG85" s="1" t="e">
        <f>'主翼（構造）'!BA41*1000</f>
        <v>#REF!</v>
      </c>
      <c r="BH85" s="1" t="e">
        <f t="shared" si="24"/>
        <v>#REF!</v>
      </c>
      <c r="BI85" s="1" t="e">
        <f t="shared" si="25"/>
        <v>#REF!</v>
      </c>
      <c r="BJ85" s="2">
        <f>(AP85-機体重量!$G$16)^2+(AQ85-機体重量!$H$16)^2</f>
        <v>5.4950777486569501E-4</v>
      </c>
      <c r="BK85" s="2">
        <f>(AQ85-機体重量!$H$16)^2</f>
        <v>3.8816156979940122E-4</v>
      </c>
      <c r="BL85" s="212">
        <f>(AP85-機体重量!$G$16)^2</f>
        <v>1.6134620506629379E-4</v>
      </c>
    </row>
    <row r="86" spans="2:64">
      <c r="B86" s="97">
        <v>35</v>
      </c>
      <c r="C86" s="1">
        <f t="shared" si="45"/>
        <v>5.9500000000000028</v>
      </c>
      <c r="D86" s="1">
        <f t="shared" si="28"/>
        <v>859.83050847457605</v>
      </c>
      <c r="E86" s="4">
        <v>0.15</v>
      </c>
      <c r="F86" s="21" t="str">
        <f t="shared" si="27"/>
        <v>2nd</v>
      </c>
      <c r="G86" s="4" t="str">
        <f t="shared" si="29"/>
        <v>2番</v>
      </c>
      <c r="H86" s="263" t="s">
        <v>1292</v>
      </c>
      <c r="I86" s="63">
        <f t="shared" si="30"/>
        <v>93.600794999999977</v>
      </c>
      <c r="J86" s="1">
        <f t="shared" si="31"/>
        <v>92.865721595605251</v>
      </c>
      <c r="K86" s="1">
        <f t="shared" si="32"/>
        <v>0.375</v>
      </c>
      <c r="L86" s="202"/>
      <c r="M86" s="206"/>
      <c r="N86" s="76"/>
      <c r="O86" s="207"/>
      <c r="P86" s="76"/>
      <c r="Q86" s="76"/>
      <c r="R86" s="76"/>
      <c r="S86" s="76"/>
      <c r="T86" s="76"/>
      <c r="U86" s="76"/>
      <c r="V86" s="76"/>
      <c r="W86" s="76"/>
      <c r="X86" s="76"/>
      <c r="Y86" s="76"/>
      <c r="Z86" s="76"/>
      <c r="AA86" s="76"/>
      <c r="AB86" s="76"/>
      <c r="AC86" s="76"/>
      <c r="AD86" s="63" t="str">
        <f t="shared" si="33"/>
        <v>QX0024</v>
      </c>
      <c r="AE86" s="1">
        <f t="shared" si="21"/>
        <v>100</v>
      </c>
      <c r="AF86" s="1" t="str">
        <f t="shared" si="34"/>
        <v>QX0024</v>
      </c>
      <c r="AG86" s="1">
        <f t="shared" si="35"/>
        <v>0</v>
      </c>
      <c r="AH86" s="1">
        <f t="shared" si="36"/>
        <v>0.32243644067796601</v>
      </c>
      <c r="AI86" s="1">
        <f t="shared" si="37"/>
        <v>-0.53739406779661003</v>
      </c>
      <c r="AJ86" s="1">
        <f t="shared" si="46"/>
        <v>5.1500000000000012</v>
      </c>
      <c r="AK86" s="1">
        <f t="shared" si="47"/>
        <v>0</v>
      </c>
      <c r="AL86" s="1">
        <f t="shared" si="38"/>
        <v>4.4000000000000004</v>
      </c>
      <c r="AM86" s="7">
        <f t="shared" si="39"/>
        <v>0</v>
      </c>
      <c r="AN86" s="206"/>
      <c r="AO86" s="76"/>
      <c r="AP86" s="76"/>
      <c r="AQ86" s="76"/>
      <c r="AR86" s="76"/>
      <c r="AS86" s="76"/>
      <c r="AT86" s="76">
        <f t="shared" si="40"/>
        <v>7.0234307813846569E-2</v>
      </c>
      <c r="AU86" s="76">
        <f t="shared" si="41"/>
        <v>1.7626525423728807</v>
      </c>
      <c r="AV86" s="76">
        <f t="shared" si="42"/>
        <v>0.94094999999999995</v>
      </c>
      <c r="AW86" s="76">
        <f t="shared" si="19"/>
        <v>0.66099470338983024</v>
      </c>
      <c r="AX86" s="202">
        <f t="shared" si="20"/>
        <v>0.35253050847457618</v>
      </c>
      <c r="AY86" s="63">
        <f>AT86*$AG$4*パラメータ!$D$23</f>
        <v>16.22412510499856</v>
      </c>
      <c r="AZ86" s="1">
        <f>AV86*$AG$7*E86*パラメータ!$D$28</f>
        <v>17.995668749999997</v>
      </c>
      <c r="BA86" s="1">
        <f>SUMPRODUCT($AC$4:$AC$10,$AD$4:$AD$10)*E86*パラメータ!$D$26*10^-3</f>
        <v>6.12</v>
      </c>
      <c r="BB86" s="1">
        <f>(AW86+AX86)*$AG$5*$AG$4*パラメータ!$D$21*10^-3</f>
        <v>4.7889066260593207</v>
      </c>
      <c r="BC86" s="1" t="e">
        <f>(#REF!*#REF!*パラメータ!$D$21+0.5*#REF!^2*SIN(RADIANS($T$10))*パラメータ!$D$24)*E86*10^-3</f>
        <v>#REF!</v>
      </c>
      <c r="BD86" s="1">
        <f t="shared" si="43"/>
        <v>0</v>
      </c>
      <c r="BE86" s="1">
        <f t="shared" si="44"/>
        <v>0</v>
      </c>
      <c r="BF86" s="1">
        <f>IF(G86="端リブ",AT86*$T$13*パラメータ!$D$21*2,0)</f>
        <v>0</v>
      </c>
      <c r="BG86" s="1" t="e">
        <f>'主翼（構造）'!BA42*1000</f>
        <v>#REF!</v>
      </c>
      <c r="BH86" s="1" t="e">
        <f t="shared" si="24"/>
        <v>#REF!</v>
      </c>
      <c r="BI86" s="1" t="e">
        <f t="shared" si="25"/>
        <v>#REF!</v>
      </c>
      <c r="BJ86" s="2">
        <f>(AP86-機体重量!$G$16)^2+(AQ86-機体重量!$H$16)^2</f>
        <v>5.4950777486569501E-4</v>
      </c>
      <c r="BK86" s="2">
        <f>(AQ86-機体重量!$H$16)^2</f>
        <v>3.8816156979940122E-4</v>
      </c>
      <c r="BL86" s="212">
        <f>(AP86-機体重量!$G$16)^2</f>
        <v>1.6134620506629379E-4</v>
      </c>
    </row>
    <row r="87" spans="2:64">
      <c r="B87" s="27">
        <v>36</v>
      </c>
      <c r="C87" s="1">
        <f t="shared" si="45"/>
        <v>6.1000000000000032</v>
      </c>
      <c r="D87" s="1">
        <f t="shared" si="28"/>
        <v>850.16949152542361</v>
      </c>
      <c r="E87" s="4">
        <v>0.15</v>
      </c>
      <c r="F87" s="21" t="str">
        <f t="shared" si="27"/>
        <v>2nd</v>
      </c>
      <c r="G87" s="4" t="str">
        <f t="shared" si="29"/>
        <v>2番</v>
      </c>
      <c r="H87" s="263" t="s">
        <v>1293</v>
      </c>
      <c r="I87" s="63">
        <f t="shared" si="30"/>
        <v>92.199479999999966</v>
      </c>
      <c r="J87" s="1">
        <f t="shared" si="31"/>
        <v>91.483957917552615</v>
      </c>
      <c r="K87" s="1">
        <f t="shared" si="32"/>
        <v>0.375</v>
      </c>
      <c r="L87" s="202"/>
      <c r="M87" s="206"/>
      <c r="N87" s="76"/>
      <c r="O87" s="207"/>
      <c r="P87" s="76"/>
      <c r="Q87" s="76"/>
      <c r="R87" s="76"/>
      <c r="S87" s="76"/>
      <c r="T87" s="76"/>
      <c r="U87" s="76"/>
      <c r="V87" s="76"/>
      <c r="W87" s="76"/>
      <c r="X87" s="76"/>
      <c r="Y87" s="76"/>
      <c r="Z87" s="76"/>
      <c r="AA87" s="76"/>
      <c r="AB87" s="76"/>
      <c r="AC87" s="76"/>
      <c r="AD87" s="63" t="str">
        <f t="shared" si="33"/>
        <v>QX0024</v>
      </c>
      <c r="AE87" s="1">
        <f t="shared" si="21"/>
        <v>100</v>
      </c>
      <c r="AF87" s="1" t="str">
        <f t="shared" si="34"/>
        <v>QX0024</v>
      </c>
      <c r="AG87" s="1">
        <f t="shared" si="35"/>
        <v>0</v>
      </c>
      <c r="AH87" s="1">
        <f t="shared" si="36"/>
        <v>0.31881355932203381</v>
      </c>
      <c r="AI87" s="1">
        <f t="shared" si="37"/>
        <v>-0.53135593220338984</v>
      </c>
      <c r="AJ87" s="1">
        <f t="shared" si="46"/>
        <v>5.3000000000000016</v>
      </c>
      <c r="AK87" s="1">
        <f t="shared" si="47"/>
        <v>0</v>
      </c>
      <c r="AL87" s="1">
        <f t="shared" si="38"/>
        <v>4.4000000000000004</v>
      </c>
      <c r="AM87" s="7">
        <f t="shared" si="39"/>
        <v>0</v>
      </c>
      <c r="AN87" s="206"/>
      <c r="AO87" s="76"/>
      <c r="AP87" s="76"/>
      <c r="AQ87" s="76"/>
      <c r="AR87" s="76"/>
      <c r="AS87" s="76"/>
      <c r="AT87" s="76">
        <f t="shared" si="40"/>
        <v>6.8664875610456755E-2</v>
      </c>
      <c r="AU87" s="76">
        <f t="shared" si="41"/>
        <v>1.7428474576271182</v>
      </c>
      <c r="AV87" s="76">
        <f t="shared" si="42"/>
        <v>0.94094999999999995</v>
      </c>
      <c r="AW87" s="76">
        <f t="shared" si="19"/>
        <v>0.65356779661016939</v>
      </c>
      <c r="AX87" s="202">
        <f t="shared" si="20"/>
        <v>0.34856949152542366</v>
      </c>
      <c r="AY87" s="63">
        <f>AT87*$AG$4*パラメータ!$D$23</f>
        <v>15.861586266015511</v>
      </c>
      <c r="AZ87" s="1">
        <f>AV87*$AG$7*E87*パラメータ!$D$28</f>
        <v>17.995668749999997</v>
      </c>
      <c r="BA87" s="1">
        <f>SUMPRODUCT($AC$4:$AC$10,$AD$4:$AD$10)*E87*パラメータ!$D$26*10^-3</f>
        <v>6.12</v>
      </c>
      <c r="BB87" s="1">
        <f>(AW87+AX87)*$AG$5*$AG$4*パラメータ!$D$21*10^-3</f>
        <v>4.7350986864406766</v>
      </c>
      <c r="BC87" s="1" t="e">
        <f>(#REF!*#REF!*パラメータ!$D$21+0.5*#REF!^2*SIN(RADIANS($T$10))*パラメータ!$D$24)*E87*10^-3</f>
        <v>#REF!</v>
      </c>
      <c r="BD87" s="1">
        <f t="shared" si="43"/>
        <v>0</v>
      </c>
      <c r="BE87" s="1">
        <f t="shared" si="44"/>
        <v>0</v>
      </c>
      <c r="BF87" s="1">
        <f>IF(G87="端リブ",AT87*$T$13*パラメータ!$D$21*2,0)</f>
        <v>0</v>
      </c>
      <c r="BG87" s="1" t="e">
        <f>'主翼（構造）'!BA43*1000</f>
        <v>#REF!</v>
      </c>
      <c r="BH87" s="1" t="e">
        <f t="shared" si="24"/>
        <v>#REF!</v>
      </c>
      <c r="BI87" s="1" t="e">
        <f t="shared" si="25"/>
        <v>#REF!</v>
      </c>
      <c r="BJ87" s="2">
        <f>(AP87-機体重量!$G$16)^2+(AQ87-機体重量!$H$16)^2</f>
        <v>5.4950777486569501E-4</v>
      </c>
      <c r="BK87" s="2">
        <f>(AQ87-機体重量!$H$16)^2</f>
        <v>3.8816156979940122E-4</v>
      </c>
      <c r="BL87" s="212">
        <f>(AP87-機体重量!$G$16)^2</f>
        <v>1.6134620506629379E-4</v>
      </c>
    </row>
    <row r="88" spans="2:64">
      <c r="B88" s="97">
        <v>37</v>
      </c>
      <c r="C88" s="1">
        <f t="shared" si="45"/>
        <v>6.2500000000000036</v>
      </c>
      <c r="D88" s="1">
        <f t="shared" si="28"/>
        <v>840.50847457627094</v>
      </c>
      <c r="E88" s="4">
        <v>0.15</v>
      </c>
      <c r="F88" s="21" t="str">
        <f t="shared" si="27"/>
        <v>2nd</v>
      </c>
      <c r="G88" s="4" t="str">
        <f t="shared" si="29"/>
        <v>2番</v>
      </c>
      <c r="H88" s="263" t="s">
        <v>1292</v>
      </c>
      <c r="I88" s="63">
        <f t="shared" si="30"/>
        <v>90.798164999999969</v>
      </c>
      <c r="J88" s="1">
        <f t="shared" si="31"/>
        <v>90.10219423949998</v>
      </c>
      <c r="K88" s="1">
        <f t="shared" si="32"/>
        <v>0.375</v>
      </c>
      <c r="L88" s="202"/>
      <c r="M88" s="206"/>
      <c r="N88" s="76"/>
      <c r="O88" s="207"/>
      <c r="P88" s="76"/>
      <c r="Q88" s="76"/>
      <c r="R88" s="76"/>
      <c r="S88" s="76"/>
      <c r="T88" s="76"/>
      <c r="U88" s="76"/>
      <c r="V88" s="76"/>
      <c r="W88" s="76"/>
      <c r="X88" s="76"/>
      <c r="Y88" s="76"/>
      <c r="Z88" s="76"/>
      <c r="AA88" s="76"/>
      <c r="AB88" s="76"/>
      <c r="AC88" s="76"/>
      <c r="AD88" s="63" t="str">
        <f t="shared" si="33"/>
        <v>QX0024</v>
      </c>
      <c r="AE88" s="1">
        <f t="shared" si="21"/>
        <v>100</v>
      </c>
      <c r="AF88" s="1" t="str">
        <f t="shared" si="34"/>
        <v>QX0024</v>
      </c>
      <c r="AG88" s="1">
        <f t="shared" si="35"/>
        <v>0</v>
      </c>
      <c r="AH88" s="1">
        <f t="shared" si="36"/>
        <v>0.31519067796610156</v>
      </c>
      <c r="AI88" s="1">
        <f t="shared" si="37"/>
        <v>-0.52531779661016942</v>
      </c>
      <c r="AJ88" s="1">
        <f t="shared" si="46"/>
        <v>5.450000000000002</v>
      </c>
      <c r="AK88" s="1">
        <f t="shared" si="47"/>
        <v>0</v>
      </c>
      <c r="AL88" s="1">
        <f t="shared" si="38"/>
        <v>4.4000000000000004</v>
      </c>
      <c r="AM88" s="7">
        <f t="shared" si="39"/>
        <v>0</v>
      </c>
      <c r="AN88" s="206"/>
      <c r="AO88" s="76"/>
      <c r="AP88" s="76"/>
      <c r="AQ88" s="76"/>
      <c r="AR88" s="76"/>
      <c r="AS88" s="76"/>
      <c r="AT88" s="76">
        <f t="shared" si="40"/>
        <v>6.7113177104280358E-2</v>
      </c>
      <c r="AU88" s="76">
        <f t="shared" si="41"/>
        <v>1.7230423728813553</v>
      </c>
      <c r="AV88" s="76">
        <f t="shared" si="42"/>
        <v>0.94094999999999995</v>
      </c>
      <c r="AW88" s="76">
        <f t="shared" si="19"/>
        <v>0.64614088983050821</v>
      </c>
      <c r="AX88" s="202">
        <f t="shared" si="20"/>
        <v>0.34460847457627108</v>
      </c>
      <c r="AY88" s="63">
        <f>AT88*$AG$4*パラメータ!$D$23</f>
        <v>15.503143911088763</v>
      </c>
      <c r="AZ88" s="1">
        <f>AV88*$AG$7*E88*パラメータ!$D$28</f>
        <v>17.995668749999997</v>
      </c>
      <c r="BA88" s="1">
        <f>SUMPRODUCT($AC$4:$AC$10,$AD$4:$AD$10)*E88*パラメータ!$D$26*10^-3</f>
        <v>6.12</v>
      </c>
      <c r="BB88" s="1">
        <f>(AW88+AX88)*$AG$5*$AG$4*パラメータ!$D$21*10^-3</f>
        <v>4.6812907468220324</v>
      </c>
      <c r="BC88" s="1" t="e">
        <f>(#REF!*#REF!*パラメータ!$D$21+0.5*#REF!^2*SIN(RADIANS($T$10))*パラメータ!$D$24)*E88*10^-3</f>
        <v>#REF!</v>
      </c>
      <c r="BD88" s="1">
        <f t="shared" si="43"/>
        <v>0</v>
      </c>
      <c r="BE88" s="1">
        <f t="shared" si="44"/>
        <v>0</v>
      </c>
      <c r="BF88" s="1">
        <f>IF(G88="端リブ",AT88*$T$13*パラメータ!$D$21*2,0)</f>
        <v>0</v>
      </c>
      <c r="BG88" s="1" t="e">
        <f>'主翼（構造）'!BA44*1000</f>
        <v>#REF!</v>
      </c>
      <c r="BH88" s="1" t="e">
        <f t="shared" si="24"/>
        <v>#REF!</v>
      </c>
      <c r="BI88" s="1" t="e">
        <f t="shared" si="25"/>
        <v>#REF!</v>
      </c>
      <c r="BJ88" s="2">
        <f>(AP88-機体重量!$G$16)^2+(AQ88-機体重量!$H$16)^2</f>
        <v>5.4950777486569501E-4</v>
      </c>
      <c r="BK88" s="2">
        <f>(AQ88-機体重量!$H$16)^2</f>
        <v>3.8816156979940122E-4</v>
      </c>
      <c r="BL88" s="212">
        <f>(AP88-機体重量!$G$16)^2</f>
        <v>1.6134620506629379E-4</v>
      </c>
    </row>
    <row r="89" spans="2:64">
      <c r="B89" s="27">
        <v>38</v>
      </c>
      <c r="C89" s="1">
        <f t="shared" si="45"/>
        <v>6.4000000000000039</v>
      </c>
      <c r="D89" s="1">
        <f t="shared" si="28"/>
        <v>830.8474576271185</v>
      </c>
      <c r="E89" s="4">
        <v>0.15</v>
      </c>
      <c r="F89" s="21" t="str">
        <f t="shared" si="27"/>
        <v>2nd</v>
      </c>
      <c r="G89" s="4" t="str">
        <f t="shared" si="29"/>
        <v>2番</v>
      </c>
      <c r="H89" s="263" t="s">
        <v>1293</v>
      </c>
      <c r="I89" s="63">
        <f t="shared" si="30"/>
        <v>89.396849999999972</v>
      </c>
      <c r="J89" s="1">
        <f t="shared" si="31"/>
        <v>88.720430561447344</v>
      </c>
      <c r="K89" s="1">
        <f t="shared" si="32"/>
        <v>0.375</v>
      </c>
      <c r="L89" s="202"/>
      <c r="M89" s="206"/>
      <c r="N89" s="76"/>
      <c r="O89" s="207"/>
      <c r="P89" s="76"/>
      <c r="Q89" s="76"/>
      <c r="R89" s="76"/>
      <c r="S89" s="76"/>
      <c r="T89" s="76"/>
      <c r="U89" s="76"/>
      <c r="V89" s="76"/>
      <c r="W89" s="76"/>
      <c r="X89" s="76"/>
      <c r="Y89" s="76"/>
      <c r="Z89" s="76"/>
      <c r="AA89" s="76"/>
      <c r="AB89" s="76"/>
      <c r="AC89" s="76"/>
      <c r="AD89" s="63" t="str">
        <f t="shared" si="33"/>
        <v>QX0024</v>
      </c>
      <c r="AE89" s="1">
        <f t="shared" si="21"/>
        <v>100</v>
      </c>
      <c r="AF89" s="1" t="str">
        <f t="shared" si="34"/>
        <v>QX0024</v>
      </c>
      <c r="AG89" s="1">
        <f t="shared" si="35"/>
        <v>0</v>
      </c>
      <c r="AH89" s="1">
        <f t="shared" si="36"/>
        <v>0.31156779661016948</v>
      </c>
      <c r="AI89" s="1">
        <f t="shared" si="37"/>
        <v>-0.519279661016949</v>
      </c>
      <c r="AJ89" s="1">
        <f t="shared" si="46"/>
        <v>5.6000000000000023</v>
      </c>
      <c r="AK89" s="1">
        <f t="shared" si="47"/>
        <v>0</v>
      </c>
      <c r="AL89" s="1">
        <f t="shared" si="38"/>
        <v>4.4000000000000004</v>
      </c>
      <c r="AM89" s="7">
        <f t="shared" si="39"/>
        <v>0</v>
      </c>
      <c r="AN89" s="206"/>
      <c r="AO89" s="76"/>
      <c r="AP89" s="76"/>
      <c r="AQ89" s="76"/>
      <c r="AR89" s="76"/>
      <c r="AS89" s="76"/>
      <c r="AT89" s="76">
        <f t="shared" si="40"/>
        <v>6.5579212295317421E-2</v>
      </c>
      <c r="AU89" s="76">
        <f t="shared" si="41"/>
        <v>1.7032372881355928</v>
      </c>
      <c r="AV89" s="76">
        <f t="shared" si="42"/>
        <v>0.94094999999999995</v>
      </c>
      <c r="AW89" s="76">
        <f t="shared" si="19"/>
        <v>0.63871398305084726</v>
      </c>
      <c r="AX89" s="202">
        <f t="shared" si="20"/>
        <v>0.34064745762711857</v>
      </c>
      <c r="AY89" s="63">
        <f>AT89*$AG$4*パラメータ!$D$23</f>
        <v>15.148798040218324</v>
      </c>
      <c r="AZ89" s="1">
        <f>AV89*$AG$7*E89*パラメータ!$D$28</f>
        <v>17.995668749999997</v>
      </c>
      <c r="BA89" s="1">
        <f>SUMPRODUCT($AC$4:$AC$10,$AD$4:$AD$10)*E89*パラメータ!$D$26*10^-3</f>
        <v>6.12</v>
      </c>
      <c r="BB89" s="1">
        <f>(AW89+AX89)*$AG$5*$AG$4*パラメータ!$D$21*10^-3</f>
        <v>4.6274828072033882</v>
      </c>
      <c r="BC89" s="1" t="e">
        <f>(#REF!*#REF!*パラメータ!$D$21+0.5*#REF!^2*SIN(RADIANS($T$10))*パラメータ!$D$24)*E89*10^-3</f>
        <v>#REF!</v>
      </c>
      <c r="BD89" s="1">
        <f t="shared" si="43"/>
        <v>0</v>
      </c>
      <c r="BE89" s="1">
        <f t="shared" si="44"/>
        <v>0</v>
      </c>
      <c r="BF89" s="1">
        <f>IF(G89="端リブ",AT89*$T$13*パラメータ!$D$21*2,0)</f>
        <v>0</v>
      </c>
      <c r="BG89" s="1" t="e">
        <f>'主翼（構造）'!BA45*1000</f>
        <v>#REF!</v>
      </c>
      <c r="BH89" s="1" t="e">
        <f t="shared" si="24"/>
        <v>#REF!</v>
      </c>
      <c r="BI89" s="1" t="e">
        <f t="shared" si="25"/>
        <v>#REF!</v>
      </c>
      <c r="BJ89" s="2">
        <f>(AP89-機体重量!$G$16)^2+(AQ89-機体重量!$H$16)^2</f>
        <v>5.4950777486569501E-4</v>
      </c>
      <c r="BK89" s="2">
        <f>(AQ89-機体重量!$H$16)^2</f>
        <v>3.8816156979940122E-4</v>
      </c>
      <c r="BL89" s="212">
        <f>(AP89-機体重量!$G$16)^2</f>
        <v>1.6134620506629379E-4</v>
      </c>
    </row>
    <row r="90" spans="2:64">
      <c r="B90" s="97">
        <v>39</v>
      </c>
      <c r="C90" s="1">
        <f t="shared" si="45"/>
        <v>6.5500000000000043</v>
      </c>
      <c r="D90" s="1">
        <f t="shared" si="28"/>
        <v>821.18644067796583</v>
      </c>
      <c r="E90" s="4">
        <v>0.15</v>
      </c>
      <c r="F90" s="21" t="str">
        <f t="shared" si="27"/>
        <v>2nd</v>
      </c>
      <c r="G90" s="4" t="str">
        <f t="shared" si="29"/>
        <v>2番</v>
      </c>
      <c r="H90" s="263" t="s">
        <v>1292</v>
      </c>
      <c r="I90" s="63">
        <f t="shared" si="30"/>
        <v>87.995534999999961</v>
      </c>
      <c r="J90" s="1">
        <f t="shared" si="31"/>
        <v>87.338666883394708</v>
      </c>
      <c r="K90" s="1">
        <f t="shared" si="32"/>
        <v>0.375</v>
      </c>
      <c r="L90" s="202"/>
      <c r="M90" s="206"/>
      <c r="N90" s="76"/>
      <c r="O90" s="207"/>
      <c r="P90" s="76"/>
      <c r="Q90" s="76"/>
      <c r="R90" s="76"/>
      <c r="S90" s="76"/>
      <c r="T90" s="76"/>
      <c r="U90" s="76"/>
      <c r="V90" s="76"/>
      <c r="W90" s="76"/>
      <c r="X90" s="76"/>
      <c r="Y90" s="76"/>
      <c r="Z90" s="76"/>
      <c r="AA90" s="76"/>
      <c r="AB90" s="76"/>
      <c r="AC90" s="76"/>
      <c r="AD90" s="63" t="str">
        <f t="shared" si="33"/>
        <v>QX0024</v>
      </c>
      <c r="AE90" s="1">
        <f t="shared" si="21"/>
        <v>100</v>
      </c>
      <c r="AF90" s="1" t="str">
        <f t="shared" si="34"/>
        <v>QX0024</v>
      </c>
      <c r="AG90" s="1">
        <f t="shared" si="35"/>
        <v>0</v>
      </c>
      <c r="AH90" s="1">
        <f t="shared" si="36"/>
        <v>0.30794491525423717</v>
      </c>
      <c r="AI90" s="1">
        <f t="shared" si="37"/>
        <v>-0.5132415254237287</v>
      </c>
      <c r="AJ90" s="1">
        <f t="shared" si="46"/>
        <v>5.7500000000000027</v>
      </c>
      <c r="AK90" s="1">
        <f t="shared" si="47"/>
        <v>0</v>
      </c>
      <c r="AL90" s="1">
        <f t="shared" si="38"/>
        <v>4.4000000000000004</v>
      </c>
      <c r="AM90" s="7">
        <f t="shared" si="39"/>
        <v>0</v>
      </c>
      <c r="AN90" s="206"/>
      <c r="AO90" s="76"/>
      <c r="AP90" s="76"/>
      <c r="AQ90" s="76"/>
      <c r="AR90" s="76"/>
      <c r="AS90" s="76"/>
      <c r="AT90" s="76">
        <f t="shared" si="40"/>
        <v>6.4062981183567902E-2</v>
      </c>
      <c r="AU90" s="76">
        <f t="shared" si="41"/>
        <v>1.6834322033898297</v>
      </c>
      <c r="AV90" s="76">
        <f t="shared" si="42"/>
        <v>0.94094999999999995</v>
      </c>
      <c r="AW90" s="76">
        <f t="shared" si="19"/>
        <v>0.63128707627118619</v>
      </c>
      <c r="AX90" s="202">
        <f t="shared" si="20"/>
        <v>0.33668644067796594</v>
      </c>
      <c r="AY90" s="63">
        <f>AT90*$AG$4*パラメータ!$D$23</f>
        <v>14.798548653404186</v>
      </c>
      <c r="AZ90" s="1">
        <f>AV90*$AG$7*E90*パラメータ!$D$28</f>
        <v>17.995668749999997</v>
      </c>
      <c r="BA90" s="1">
        <f>SUMPRODUCT($AC$4:$AC$10,$AD$4:$AD$10)*E90*パラメータ!$D$26*10^-3</f>
        <v>6.12</v>
      </c>
      <c r="BB90" s="1">
        <f>(AW90+AX90)*$AG$5*$AG$4*パラメータ!$D$21*10^-3</f>
        <v>4.5736748675847441</v>
      </c>
      <c r="BC90" s="1" t="e">
        <f>(#REF!*#REF!*パラメータ!$D$21+0.5*#REF!^2*SIN(RADIANS($T$10))*パラメータ!$D$24)*E90*10^-3</f>
        <v>#REF!</v>
      </c>
      <c r="BD90" s="1">
        <f t="shared" si="43"/>
        <v>0</v>
      </c>
      <c r="BE90" s="1">
        <f t="shared" si="44"/>
        <v>0</v>
      </c>
      <c r="BF90" s="1">
        <f>IF(G90="端リブ",AT90*$T$13*パラメータ!$D$21*2,0)</f>
        <v>0</v>
      </c>
      <c r="BG90" s="1" t="e">
        <f>'主翼（構造）'!BA46*1000</f>
        <v>#REF!</v>
      </c>
      <c r="BH90" s="1" t="e">
        <f t="shared" si="24"/>
        <v>#REF!</v>
      </c>
      <c r="BI90" s="1" t="e">
        <f t="shared" si="25"/>
        <v>#REF!</v>
      </c>
      <c r="BJ90" s="2">
        <f>(AP90-機体重量!$G$16)^2+(AQ90-機体重量!$H$16)^2</f>
        <v>5.4950777486569501E-4</v>
      </c>
      <c r="BK90" s="2">
        <f>(AQ90-機体重量!$H$16)^2</f>
        <v>3.8816156979940122E-4</v>
      </c>
      <c r="BL90" s="212">
        <f>(AP90-機体重量!$G$16)^2</f>
        <v>1.6134620506629379E-4</v>
      </c>
    </row>
    <row r="91" spans="2:64">
      <c r="B91" s="27">
        <v>40</v>
      </c>
      <c r="C91" s="1">
        <f t="shared" si="45"/>
        <v>6.7000000000000046</v>
      </c>
      <c r="D91" s="1">
        <f t="shared" si="28"/>
        <v>811.52542372881328</v>
      </c>
      <c r="E91" s="4">
        <v>0.15</v>
      </c>
      <c r="F91" s="21" t="str">
        <f t="shared" si="27"/>
        <v>2nd</v>
      </c>
      <c r="G91" s="4" t="str">
        <f t="shared" si="29"/>
        <v>2番</v>
      </c>
      <c r="H91" s="263" t="s">
        <v>1293</v>
      </c>
      <c r="I91" s="63">
        <f t="shared" si="30"/>
        <v>86.59421999999995</v>
      </c>
      <c r="J91" s="1">
        <f t="shared" si="31"/>
        <v>85.956903205342073</v>
      </c>
      <c r="K91" s="1">
        <f t="shared" si="32"/>
        <v>0.375</v>
      </c>
      <c r="L91" s="202"/>
      <c r="M91" s="206"/>
      <c r="N91" s="76"/>
      <c r="O91" s="207"/>
      <c r="P91" s="76"/>
      <c r="Q91" s="76"/>
      <c r="R91" s="76"/>
      <c r="S91" s="76"/>
      <c r="T91" s="76"/>
      <c r="U91" s="76"/>
      <c r="V91" s="76"/>
      <c r="W91" s="76"/>
      <c r="X91" s="76"/>
      <c r="Y91" s="76"/>
      <c r="Z91" s="76"/>
      <c r="AA91" s="76"/>
      <c r="AB91" s="76"/>
      <c r="AC91" s="76"/>
      <c r="AD91" s="63" t="str">
        <f t="shared" si="33"/>
        <v>QX0024</v>
      </c>
      <c r="AE91" s="1">
        <f>100-AG91</f>
        <v>100</v>
      </c>
      <c r="AF91" s="1" t="str">
        <f t="shared" si="34"/>
        <v>QX0024</v>
      </c>
      <c r="AG91" s="1">
        <f t="shared" si="35"/>
        <v>0</v>
      </c>
      <c r="AH91" s="1">
        <f t="shared" si="36"/>
        <v>0.30432203389830498</v>
      </c>
      <c r="AI91" s="1">
        <f t="shared" si="37"/>
        <v>-0.50720338983050839</v>
      </c>
      <c r="AJ91" s="1">
        <f t="shared" si="46"/>
        <v>5.900000000000003</v>
      </c>
      <c r="AK91" s="1">
        <f t="shared" si="47"/>
        <v>0</v>
      </c>
      <c r="AL91" s="1">
        <f t="shared" si="38"/>
        <v>4.4000000000000004</v>
      </c>
      <c r="AM91" s="7">
        <f t="shared" si="39"/>
        <v>0</v>
      </c>
      <c r="AN91" s="206"/>
      <c r="AO91" s="76"/>
      <c r="AP91" s="76"/>
      <c r="AQ91" s="76"/>
      <c r="AR91" s="76"/>
      <c r="AS91" s="76"/>
      <c r="AT91" s="76">
        <f t="shared" si="40"/>
        <v>6.2564483769031856E-2</v>
      </c>
      <c r="AU91" s="76">
        <f t="shared" si="41"/>
        <v>1.663627118644067</v>
      </c>
      <c r="AV91" s="76">
        <f t="shared" si="42"/>
        <v>0.94094999999999995</v>
      </c>
      <c r="AW91" s="76">
        <f t="shared" si="19"/>
        <v>0.62386016949152512</v>
      </c>
      <c r="AX91" s="202">
        <f t="shared" si="20"/>
        <v>0.33272542372881342</v>
      </c>
      <c r="AY91" s="63">
        <f>AT91*$AG$4*パラメータ!$D$23</f>
        <v>14.452395750646359</v>
      </c>
      <c r="AZ91" s="1">
        <f>AV91*$AG$7*E91*パラメータ!$D$28</f>
        <v>17.995668749999997</v>
      </c>
      <c r="BA91" s="1">
        <f>SUMPRODUCT($AC$4:$AC$10,$AD$4:$AD$10)*E91*パラメータ!$D$26*10^-3</f>
        <v>6.12</v>
      </c>
      <c r="BB91" s="1">
        <f>(AW91+AX91)*$AG$5*$AG$4*パラメータ!$D$21*10^-3</f>
        <v>4.5198669279660999</v>
      </c>
      <c r="BC91" s="1" t="e">
        <f>(#REF!*#REF!*パラメータ!$D$21+0.5*#REF!^2*SIN(RADIANS($T$10))*パラメータ!$D$24)*E91*10^-3</f>
        <v>#REF!</v>
      </c>
      <c r="BD91" s="1">
        <f t="shared" si="43"/>
        <v>0</v>
      </c>
      <c r="BE91" s="1">
        <f t="shared" si="44"/>
        <v>0</v>
      </c>
      <c r="BF91" s="1">
        <f>IF(G91="端リブ",AT91*$T$13*パラメータ!$D$21*2,0)</f>
        <v>0</v>
      </c>
      <c r="BG91" s="1" t="e">
        <f>'主翼（構造）'!BA47*1000</f>
        <v>#REF!</v>
      </c>
      <c r="BH91" s="1" t="e">
        <f t="shared" si="24"/>
        <v>#REF!</v>
      </c>
      <c r="BI91" s="1" t="e">
        <f t="shared" si="25"/>
        <v>#REF!</v>
      </c>
      <c r="BJ91" s="2">
        <f>(AP91-機体重量!$G$16)^2+(AQ91-機体重量!$H$16)^2</f>
        <v>5.4950777486569501E-4</v>
      </c>
      <c r="BK91" s="2">
        <f>(AQ91-機体重量!$H$16)^2</f>
        <v>3.8816156979940122E-4</v>
      </c>
      <c r="BL91" s="212">
        <f>(AP91-機体重量!$G$16)^2</f>
        <v>1.6134620506629379E-4</v>
      </c>
    </row>
    <row r="92" spans="2:64">
      <c r="B92" s="97">
        <v>41</v>
      </c>
      <c r="C92" s="1">
        <f t="shared" si="45"/>
        <v>6.850000000000005</v>
      </c>
      <c r="D92" s="1">
        <f t="shared" si="28"/>
        <v>801.86440677966073</v>
      </c>
      <c r="E92" s="4">
        <v>0.15</v>
      </c>
      <c r="F92" s="21" t="str">
        <f t="shared" si="27"/>
        <v>2nd</v>
      </c>
      <c r="G92" s="4" t="str">
        <f t="shared" si="29"/>
        <v>2番</v>
      </c>
      <c r="H92" s="263" t="s">
        <v>1292</v>
      </c>
      <c r="I92" s="63">
        <f t="shared" si="30"/>
        <v>85.192904999999953</v>
      </c>
      <c r="J92" s="1">
        <f t="shared" si="31"/>
        <v>84.575139527289437</v>
      </c>
      <c r="K92" s="1">
        <f t="shared" si="32"/>
        <v>0.375</v>
      </c>
      <c r="L92" s="202"/>
      <c r="M92" s="206"/>
      <c r="N92" s="76"/>
      <c r="O92" s="207"/>
      <c r="P92" s="76"/>
      <c r="Q92" s="76"/>
      <c r="R92" s="76"/>
      <c r="S92" s="76"/>
      <c r="T92" s="76"/>
      <c r="U92" s="76"/>
      <c r="V92" s="76"/>
      <c r="W92" s="76"/>
      <c r="X92" s="76"/>
      <c r="Y92" s="76"/>
      <c r="Z92" s="76"/>
      <c r="AA92" s="76"/>
      <c r="AB92" s="76"/>
      <c r="AC92" s="76"/>
      <c r="AD92" s="63" t="str">
        <f t="shared" si="33"/>
        <v>QX0024</v>
      </c>
      <c r="AE92" s="1">
        <f t="shared" si="21"/>
        <v>100</v>
      </c>
      <c r="AF92" s="1" t="str">
        <f t="shared" si="34"/>
        <v>QX0024</v>
      </c>
      <c r="AG92" s="1">
        <f t="shared" si="35"/>
        <v>0</v>
      </c>
      <c r="AH92" s="1">
        <f t="shared" si="36"/>
        <v>0.30069915254237278</v>
      </c>
      <c r="AI92" s="1">
        <f t="shared" si="37"/>
        <v>-0.50116525423728797</v>
      </c>
      <c r="AJ92" s="1">
        <f t="shared" si="46"/>
        <v>6.0500000000000034</v>
      </c>
      <c r="AK92" s="1">
        <f t="shared" si="47"/>
        <v>0</v>
      </c>
      <c r="AL92" s="1">
        <f t="shared" si="38"/>
        <v>4.4000000000000004</v>
      </c>
      <c r="AM92" s="7">
        <f t="shared" si="39"/>
        <v>0</v>
      </c>
      <c r="AN92" s="206"/>
      <c r="AO92" s="76"/>
      <c r="AP92" s="76"/>
      <c r="AQ92" s="76"/>
      <c r="AR92" s="76"/>
      <c r="AS92" s="76"/>
      <c r="AT92" s="76">
        <f t="shared" si="40"/>
        <v>6.1083720051709242E-2</v>
      </c>
      <c r="AU92" s="76">
        <f t="shared" si="41"/>
        <v>1.6438220338983045</v>
      </c>
      <c r="AV92" s="76">
        <f t="shared" si="42"/>
        <v>0.94094999999999995</v>
      </c>
      <c r="AW92" s="76">
        <f t="shared" si="19"/>
        <v>0.61643326271186416</v>
      </c>
      <c r="AX92" s="202">
        <f t="shared" si="20"/>
        <v>0.3287644067796609</v>
      </c>
      <c r="AY92" s="63">
        <f>AT92*$AG$4*パラメータ!$D$23</f>
        <v>14.110339331944834</v>
      </c>
      <c r="AZ92" s="1">
        <f>AV92*$AG$7*E92*パラメータ!$D$28</f>
        <v>17.995668749999997</v>
      </c>
      <c r="BA92" s="1">
        <f>SUMPRODUCT($AC$4:$AC$10,$AD$4:$AD$10)*E92*パラメータ!$D$26*10^-3</f>
        <v>6.12</v>
      </c>
      <c r="BB92" s="1">
        <f>(AW92+AX92)*$AG$5*$AG$4*パラメータ!$D$21*10^-3</f>
        <v>4.4660589883474557</v>
      </c>
      <c r="BC92" s="1" t="e">
        <f>(#REF!*#REF!*パラメータ!$D$21+0.5*#REF!^2*SIN(RADIANS($T$10))*パラメータ!$D$24)*E92*10^-3</f>
        <v>#REF!</v>
      </c>
      <c r="BD92" s="1">
        <f t="shared" si="43"/>
        <v>0</v>
      </c>
      <c r="BE92" s="1">
        <f t="shared" si="44"/>
        <v>0</v>
      </c>
      <c r="BF92" s="1">
        <f>IF(G92="端リブ",AT92*$T$13*パラメータ!$D$21*2,0)</f>
        <v>0</v>
      </c>
      <c r="BG92" s="1" t="e">
        <f>'主翼（構造）'!BA48*1000</f>
        <v>#REF!</v>
      </c>
      <c r="BH92" s="1" t="e">
        <f t="shared" si="24"/>
        <v>#REF!</v>
      </c>
      <c r="BI92" s="1" t="e">
        <f t="shared" si="25"/>
        <v>#REF!</v>
      </c>
      <c r="BJ92" s="2">
        <f>(AP92-機体重量!$G$16)^2+(AQ92-機体重量!$H$16)^2</f>
        <v>5.4950777486569501E-4</v>
      </c>
      <c r="BK92" s="2">
        <f>(AQ92-機体重量!$H$16)^2</f>
        <v>3.8816156979940122E-4</v>
      </c>
      <c r="BL92" s="212">
        <f>(AP92-機体重量!$G$16)^2</f>
        <v>1.6134620506629379E-4</v>
      </c>
    </row>
    <row r="93" spans="2:64">
      <c r="B93" s="27">
        <v>42</v>
      </c>
      <c r="C93" s="1">
        <f t="shared" si="45"/>
        <v>7.0000000000000053</v>
      </c>
      <c r="D93" s="1">
        <f t="shared" si="28"/>
        <v>792.20338983050817</v>
      </c>
      <c r="E93" s="4">
        <v>0.15</v>
      </c>
      <c r="F93" s="21" t="str">
        <f t="shared" si="27"/>
        <v>2nd</v>
      </c>
      <c r="G93" s="4" t="str">
        <f t="shared" si="29"/>
        <v>2番</v>
      </c>
      <c r="H93" s="263" t="s">
        <v>1293</v>
      </c>
      <c r="I93" s="63">
        <f t="shared" si="30"/>
        <v>83.791589999999943</v>
      </c>
      <c r="J93" s="1">
        <f t="shared" si="31"/>
        <v>83.193375849236801</v>
      </c>
      <c r="K93" s="1">
        <f t="shared" si="32"/>
        <v>0.375</v>
      </c>
      <c r="L93" s="202"/>
      <c r="M93" s="206"/>
      <c r="N93" s="76"/>
      <c r="O93" s="207"/>
      <c r="P93" s="76"/>
      <c r="Q93" s="76"/>
      <c r="R93" s="76"/>
      <c r="S93" s="76"/>
      <c r="T93" s="76"/>
      <c r="U93" s="76"/>
      <c r="V93" s="76"/>
      <c r="W93" s="76"/>
      <c r="X93" s="76"/>
      <c r="Y93" s="76"/>
      <c r="Z93" s="76"/>
      <c r="AA93" s="76"/>
      <c r="AB93" s="76"/>
      <c r="AC93" s="76"/>
      <c r="AD93" s="63" t="str">
        <f t="shared" si="33"/>
        <v>QX0024</v>
      </c>
      <c r="AE93" s="1">
        <f t="shared" si="21"/>
        <v>100</v>
      </c>
      <c r="AF93" s="1" t="str">
        <f t="shared" si="34"/>
        <v>QX0024</v>
      </c>
      <c r="AG93" s="1">
        <f t="shared" si="35"/>
        <v>0</v>
      </c>
      <c r="AH93" s="1">
        <f t="shared" si="36"/>
        <v>0.29707627118644059</v>
      </c>
      <c r="AI93" s="1">
        <f t="shared" si="37"/>
        <v>-0.49512711864406761</v>
      </c>
      <c r="AJ93" s="1">
        <f t="shared" si="46"/>
        <v>6.2000000000000037</v>
      </c>
      <c r="AK93" s="1">
        <f t="shared" si="47"/>
        <v>0</v>
      </c>
      <c r="AL93" s="1">
        <f t="shared" si="38"/>
        <v>4.4000000000000004</v>
      </c>
      <c r="AM93" s="7">
        <f t="shared" si="39"/>
        <v>0</v>
      </c>
      <c r="AN93" s="206"/>
      <c r="AO93" s="76"/>
      <c r="AP93" s="76"/>
      <c r="AQ93" s="76"/>
      <c r="AR93" s="76"/>
      <c r="AS93" s="76"/>
      <c r="AT93" s="76">
        <f t="shared" si="40"/>
        <v>5.9620690031600074E-2</v>
      </c>
      <c r="AU93" s="76">
        <f t="shared" si="41"/>
        <v>1.6240169491525416</v>
      </c>
      <c r="AV93" s="76">
        <f t="shared" si="42"/>
        <v>0.94094999999999995</v>
      </c>
      <c r="AW93" s="76">
        <f t="shared" si="19"/>
        <v>0.60900635593220309</v>
      </c>
      <c r="AX93" s="202">
        <f t="shared" si="20"/>
        <v>0.32480338983050833</v>
      </c>
      <c r="AY93" s="63">
        <f>AT93*$AG$4*パラメータ!$D$23</f>
        <v>13.772379397299616</v>
      </c>
      <c r="AZ93" s="1">
        <f>AV93*$AG$7*E93*パラメータ!$D$28</f>
        <v>17.995668749999997</v>
      </c>
      <c r="BA93" s="1">
        <f>SUMPRODUCT($AC$4:$AC$10,$AD$4:$AD$10)*E93*パラメータ!$D$26*10^-3</f>
        <v>6.12</v>
      </c>
      <c r="BB93" s="1">
        <f>(AW93+AX93)*$AG$5*$AG$4*パラメータ!$D$21*10^-3</f>
        <v>4.4122510487288116</v>
      </c>
      <c r="BC93" s="1" t="e">
        <f>(#REF!*#REF!*パラメータ!$D$21+0.5*#REF!^2*SIN(RADIANS($T$10))*パラメータ!$D$24)*E93*10^-3</f>
        <v>#REF!</v>
      </c>
      <c r="BD93" s="1">
        <f t="shared" si="43"/>
        <v>0</v>
      </c>
      <c r="BE93" s="1">
        <f t="shared" si="44"/>
        <v>0</v>
      </c>
      <c r="BF93" s="1">
        <f>IF(G93="端リブ",AT93*$T$13*パラメータ!$D$21*2,0)</f>
        <v>0</v>
      </c>
      <c r="BG93" s="1" t="e">
        <f>'主翼（構造）'!BA49*1000</f>
        <v>#REF!</v>
      </c>
      <c r="BH93" s="1" t="e">
        <f t="shared" si="24"/>
        <v>#REF!</v>
      </c>
      <c r="BI93" s="1" t="e">
        <f t="shared" si="25"/>
        <v>#REF!</v>
      </c>
      <c r="BJ93" s="2">
        <f>(AP93-機体重量!$G$16)^2+(AQ93-機体重量!$H$16)^2</f>
        <v>5.4950777486569501E-4</v>
      </c>
      <c r="BK93" s="2">
        <f>(AQ93-機体重量!$H$16)^2</f>
        <v>3.8816156979940122E-4</v>
      </c>
      <c r="BL93" s="212">
        <f>(AP93-機体重量!$G$16)^2</f>
        <v>1.6134620506629379E-4</v>
      </c>
    </row>
    <row r="94" spans="2:64">
      <c r="B94" s="97">
        <v>43</v>
      </c>
      <c r="C94" s="1">
        <f t="shared" si="45"/>
        <v>7.1500000000000057</v>
      </c>
      <c r="D94" s="1">
        <f t="shared" si="28"/>
        <v>782.54237288135562</v>
      </c>
      <c r="E94" s="4">
        <v>0.15</v>
      </c>
      <c r="F94" s="21" t="str">
        <f t="shared" si="27"/>
        <v>2nd</v>
      </c>
      <c r="G94" s="4" t="str">
        <f t="shared" si="29"/>
        <v>2番</v>
      </c>
      <c r="H94" s="263" t="s">
        <v>1292</v>
      </c>
      <c r="I94" s="63">
        <f t="shared" si="30"/>
        <v>82.390274999999946</v>
      </c>
      <c r="J94" s="1">
        <f t="shared" si="31"/>
        <v>81.811612171184166</v>
      </c>
      <c r="K94" s="1">
        <f t="shared" si="32"/>
        <v>0.375</v>
      </c>
      <c r="L94" s="202"/>
      <c r="M94" s="206"/>
      <c r="N94" s="76"/>
      <c r="O94" s="207"/>
      <c r="P94" s="76"/>
      <c r="Q94" s="76"/>
      <c r="R94" s="76"/>
      <c r="S94" s="76"/>
      <c r="T94" s="76"/>
      <c r="U94" s="76"/>
      <c r="V94" s="76"/>
      <c r="W94" s="76"/>
      <c r="X94" s="76"/>
      <c r="Y94" s="76"/>
      <c r="Z94" s="76"/>
      <c r="AA94" s="76"/>
      <c r="AB94" s="76"/>
      <c r="AC94" s="76"/>
      <c r="AD94" s="63" t="str">
        <f t="shared" si="33"/>
        <v>QX0024</v>
      </c>
      <c r="AE94" s="1">
        <f t="shared" si="21"/>
        <v>100</v>
      </c>
      <c r="AF94" s="1" t="str">
        <f t="shared" si="34"/>
        <v>QX0024</v>
      </c>
      <c r="AG94" s="1">
        <f t="shared" si="35"/>
        <v>0</v>
      </c>
      <c r="AH94" s="1">
        <f t="shared" si="36"/>
        <v>0.29345338983050834</v>
      </c>
      <c r="AI94" s="1">
        <f t="shared" si="37"/>
        <v>-0.4890889830508473</v>
      </c>
      <c r="AJ94" s="1">
        <f t="shared" si="46"/>
        <v>6.3500000000000041</v>
      </c>
      <c r="AK94" s="1">
        <f t="shared" si="47"/>
        <v>0</v>
      </c>
      <c r="AL94" s="1">
        <f t="shared" si="38"/>
        <v>4.4000000000000004</v>
      </c>
      <c r="AM94" s="7">
        <f t="shared" si="39"/>
        <v>0</v>
      </c>
      <c r="AN94" s="206"/>
      <c r="AO94" s="76"/>
      <c r="AP94" s="76"/>
      <c r="AQ94" s="76"/>
      <c r="AR94" s="76"/>
      <c r="AS94" s="76"/>
      <c r="AT94" s="76">
        <f t="shared" si="40"/>
        <v>5.8175393708704358E-2</v>
      </c>
      <c r="AU94" s="76">
        <f t="shared" si="41"/>
        <v>1.6042118644067789</v>
      </c>
      <c r="AV94" s="76">
        <f t="shared" si="42"/>
        <v>0.94094999999999995</v>
      </c>
      <c r="AW94" s="76">
        <f t="shared" si="19"/>
        <v>0.60157944915254213</v>
      </c>
      <c r="AX94" s="202">
        <f t="shared" si="20"/>
        <v>0.32084237288135581</v>
      </c>
      <c r="AY94" s="63">
        <f>AT94*$AG$4*パラメータ!$D$23</f>
        <v>13.438515946710707</v>
      </c>
      <c r="AZ94" s="1">
        <f>AV94*$AG$7*E94*パラメータ!$D$28</f>
        <v>17.995668749999997</v>
      </c>
      <c r="BA94" s="1">
        <f>SUMPRODUCT($AC$4:$AC$10,$AD$4:$AD$10)*E94*パラメータ!$D$26*10^-3</f>
        <v>6.12</v>
      </c>
      <c r="BB94" s="1">
        <f>(AW94+AX94)*$AG$5*$AG$4*パラメータ!$D$21*10^-3</f>
        <v>4.3584431091101692</v>
      </c>
      <c r="BC94" s="1" t="e">
        <f>(#REF!*#REF!*パラメータ!$D$21+0.5*#REF!^2*SIN(RADIANS($T$10))*パラメータ!$D$24)*E94*10^-3</f>
        <v>#REF!</v>
      </c>
      <c r="BD94" s="1">
        <f t="shared" si="43"/>
        <v>0</v>
      </c>
      <c r="BE94" s="1">
        <f t="shared" si="44"/>
        <v>0</v>
      </c>
      <c r="BF94" s="1">
        <f>IF(G94="端リブ",AT94*$T$13*パラメータ!$D$21*2,0)</f>
        <v>0</v>
      </c>
      <c r="BG94" s="1" t="e">
        <f>'主翼（構造）'!BA50*1000</f>
        <v>#REF!</v>
      </c>
      <c r="BH94" s="1" t="e">
        <f t="shared" si="24"/>
        <v>#REF!</v>
      </c>
      <c r="BI94" s="1" t="e">
        <f t="shared" si="25"/>
        <v>#REF!</v>
      </c>
      <c r="BJ94" s="2">
        <f>(AP94-機体重量!$G$16)^2+(AQ94-機体重量!$H$16)^2</f>
        <v>5.4950777486569501E-4</v>
      </c>
      <c r="BK94" s="2">
        <f>(AQ94-機体重量!$H$16)^2</f>
        <v>3.8816156979940122E-4</v>
      </c>
      <c r="BL94" s="212">
        <f>(AP94-機体重量!$G$16)^2</f>
        <v>1.6134620506629379E-4</v>
      </c>
    </row>
    <row r="95" spans="2:64">
      <c r="B95" s="27">
        <v>44</v>
      </c>
      <c r="C95" s="1">
        <f t="shared" si="45"/>
        <v>7.300000000000006</v>
      </c>
      <c r="D95" s="1">
        <f t="shared" si="28"/>
        <v>772.88135593220306</v>
      </c>
      <c r="E95" s="4">
        <v>0.2</v>
      </c>
      <c r="F95" s="21" t="str">
        <f t="shared" si="27"/>
        <v>2nd</v>
      </c>
      <c r="G95" s="4" t="str">
        <f t="shared" si="29"/>
        <v>2番</v>
      </c>
      <c r="H95" s="263" t="s">
        <v>1293</v>
      </c>
      <c r="I95" s="63">
        <f t="shared" si="30"/>
        <v>80.988959999999949</v>
      </c>
      <c r="J95" s="1">
        <f t="shared" si="31"/>
        <v>80.42984849313153</v>
      </c>
      <c r="K95" s="1">
        <f t="shared" si="32"/>
        <v>0.375</v>
      </c>
      <c r="L95" s="202"/>
      <c r="M95" s="206"/>
      <c r="N95" s="76"/>
      <c r="O95" s="207"/>
      <c r="P95" s="76"/>
      <c r="Q95" s="76"/>
      <c r="R95" s="76"/>
      <c r="S95" s="76"/>
      <c r="T95" s="76"/>
      <c r="U95" s="76"/>
      <c r="V95" s="76"/>
      <c r="W95" s="76"/>
      <c r="X95" s="76"/>
      <c r="Y95" s="76"/>
      <c r="Z95" s="76"/>
      <c r="AA95" s="76"/>
      <c r="AB95" s="76"/>
      <c r="AC95" s="76"/>
      <c r="AD95" s="63" t="str">
        <f t="shared" si="33"/>
        <v>QX0024</v>
      </c>
      <c r="AE95" s="1">
        <f t="shared" si="21"/>
        <v>100</v>
      </c>
      <c r="AF95" s="1" t="str">
        <f t="shared" si="34"/>
        <v>QX0024</v>
      </c>
      <c r="AG95" s="1">
        <f t="shared" si="35"/>
        <v>0</v>
      </c>
      <c r="AH95" s="1">
        <f t="shared" si="36"/>
        <v>0.28983050847457614</v>
      </c>
      <c r="AI95" s="1">
        <f t="shared" si="37"/>
        <v>-0.48305084745762694</v>
      </c>
      <c r="AJ95" s="1">
        <f t="shared" si="46"/>
        <v>6.5000000000000044</v>
      </c>
      <c r="AK95" s="1">
        <f t="shared" si="47"/>
        <v>0</v>
      </c>
      <c r="AL95" s="1">
        <f t="shared" si="38"/>
        <v>4.4000000000000004</v>
      </c>
      <c r="AM95" s="7">
        <f t="shared" si="39"/>
        <v>0</v>
      </c>
      <c r="AN95" s="206"/>
      <c r="AO95" s="76"/>
      <c r="AP95" s="76"/>
      <c r="AQ95" s="76"/>
      <c r="AR95" s="76"/>
      <c r="AS95" s="76"/>
      <c r="AT95" s="76">
        <f t="shared" si="40"/>
        <v>5.6747831083022081E-2</v>
      </c>
      <c r="AU95" s="76">
        <f t="shared" si="41"/>
        <v>1.5844067796610162</v>
      </c>
      <c r="AV95" s="76">
        <f t="shared" si="42"/>
        <v>0.94094999999999995</v>
      </c>
      <c r="AW95" s="76">
        <f t="shared" si="19"/>
        <v>0.59415254237288107</v>
      </c>
      <c r="AX95" s="202">
        <f t="shared" si="20"/>
        <v>0.31688135593220323</v>
      </c>
      <c r="AY95" s="63">
        <f>AT95*$AG$4*パラメータ!$D$23</f>
        <v>13.108748980178101</v>
      </c>
      <c r="AZ95" s="1">
        <f>AV95*$AG$7*E95*パラメータ!$D$28</f>
        <v>23.994225</v>
      </c>
      <c r="BA95" s="1">
        <f>SUMPRODUCT($AC$4:$AC$10,$AD$4:$AD$10)*E95*パラメータ!$D$26*10^-3</f>
        <v>8.16</v>
      </c>
      <c r="BB95" s="1">
        <f>(AW95+AX95)*$AG$5*$AG$4*パラメータ!$D$21*10^-3</f>
        <v>4.3046351694915241</v>
      </c>
      <c r="BC95" s="1" t="e">
        <f>(#REF!*#REF!*パラメータ!$D$21+0.5*#REF!^2*SIN(RADIANS($T$10))*パラメータ!$D$24)*E95*10^-3</f>
        <v>#REF!</v>
      </c>
      <c r="BD95" s="1">
        <f t="shared" si="43"/>
        <v>0</v>
      </c>
      <c r="BE95" s="1">
        <f t="shared" si="44"/>
        <v>0</v>
      </c>
      <c r="BF95" s="1">
        <f>IF(G95="端リブ",AT95*$T$13*パラメータ!$D$21*2,0)</f>
        <v>0</v>
      </c>
      <c r="BG95" s="1" t="e">
        <f>'主翼（構造）'!BA51*1000</f>
        <v>#REF!</v>
      </c>
      <c r="BH95" s="1" t="e">
        <f t="shared" si="24"/>
        <v>#REF!</v>
      </c>
      <c r="BI95" s="1" t="e">
        <f t="shared" si="25"/>
        <v>#REF!</v>
      </c>
      <c r="BJ95" s="2">
        <f>(AP95-機体重量!$G$16)^2+(AQ95-機体重量!$H$16)^2</f>
        <v>5.4950777486569501E-4</v>
      </c>
      <c r="BK95" s="2">
        <f>(AQ95-機体重量!$H$16)^2</f>
        <v>3.8816156979940122E-4</v>
      </c>
      <c r="BL95" s="212">
        <f>(AP95-機体重量!$G$16)^2</f>
        <v>1.6134620506629379E-4</v>
      </c>
    </row>
    <row r="96" spans="2:64">
      <c r="B96" s="97">
        <v>45</v>
      </c>
      <c r="C96" s="1">
        <f t="shared" si="45"/>
        <v>7.5000000000000062</v>
      </c>
      <c r="D96" s="1">
        <f t="shared" si="28"/>
        <v>759.99999999999943</v>
      </c>
      <c r="E96" s="4">
        <v>0.15</v>
      </c>
      <c r="F96" s="21" t="s">
        <v>885</v>
      </c>
      <c r="G96" s="4" t="str">
        <f t="shared" si="29"/>
        <v>2番</v>
      </c>
      <c r="H96" s="263" t="s">
        <v>1292</v>
      </c>
      <c r="I96" s="63">
        <f t="shared" si="30"/>
        <v>79.120539999999934</v>
      </c>
      <c r="J96" s="1">
        <f t="shared" si="31"/>
        <v>78.587496922394692</v>
      </c>
      <c r="K96" s="1">
        <f t="shared" si="32"/>
        <v>0.375</v>
      </c>
      <c r="L96" s="202"/>
      <c r="M96" s="206"/>
      <c r="N96" s="76"/>
      <c r="O96" s="207"/>
      <c r="P96" s="76"/>
      <c r="Q96" s="76"/>
      <c r="R96" s="76"/>
      <c r="S96" s="76"/>
      <c r="T96" s="76"/>
      <c r="U96" s="76"/>
      <c r="V96" s="76"/>
      <c r="W96" s="76"/>
      <c r="X96" s="76"/>
      <c r="Y96" s="76"/>
      <c r="Z96" s="76"/>
      <c r="AA96" s="76"/>
      <c r="AB96" s="76"/>
      <c r="AC96" s="76"/>
      <c r="AD96" s="63" t="str">
        <f t="shared" si="33"/>
        <v>QX0024</v>
      </c>
      <c r="AE96" s="1">
        <f t="shared" si="21"/>
        <v>100</v>
      </c>
      <c r="AF96" s="1" t="str">
        <f t="shared" si="34"/>
        <v>QX0024</v>
      </c>
      <c r="AG96" s="1">
        <f t="shared" si="35"/>
        <v>0</v>
      </c>
      <c r="AH96" s="1">
        <f t="shared" si="36"/>
        <v>0.28499999999999975</v>
      </c>
      <c r="AI96" s="1">
        <f t="shared" si="37"/>
        <v>-0.4749999999999997</v>
      </c>
      <c r="AJ96" s="1">
        <f t="shared" si="46"/>
        <v>6.7000000000000046</v>
      </c>
      <c r="AK96" s="1">
        <f t="shared" si="47"/>
        <v>0</v>
      </c>
      <c r="AL96" s="1">
        <f t="shared" si="38"/>
        <v>4.4000000000000004</v>
      </c>
      <c r="AM96" s="7">
        <f t="shared" si="39"/>
        <v>7</v>
      </c>
      <c r="AN96" s="206"/>
      <c r="AO96" s="76"/>
      <c r="AP96" s="76"/>
      <c r="AQ96" s="76"/>
      <c r="AR96" s="76"/>
      <c r="AS96" s="76"/>
      <c r="AT96" s="76">
        <f t="shared" si="40"/>
        <v>5.4871999999999928E-2</v>
      </c>
      <c r="AU96" s="76">
        <f t="shared" si="41"/>
        <v>1.5579999999999987</v>
      </c>
      <c r="AV96" s="76">
        <f t="shared" si="42"/>
        <v>0.94094999999999995</v>
      </c>
      <c r="AW96" s="76">
        <f t="shared" si="19"/>
        <v>0.58424999999999949</v>
      </c>
      <c r="AX96" s="202">
        <f t="shared" si="20"/>
        <v>0.31159999999999977</v>
      </c>
      <c r="AY96" s="63">
        <f>AT96*$AG$4*パラメータ!$D$23</f>
        <v>12.675431999999983</v>
      </c>
      <c r="AZ96" s="1">
        <f>AV96*$AG$7*E96*パラメータ!$D$28</f>
        <v>17.995668749999997</v>
      </c>
      <c r="BA96" s="1">
        <f>SUMPRODUCT($AC$4:$AC$10,$AD$4:$AD$10)*E96*パラメータ!$D$26*10^-3</f>
        <v>6.12</v>
      </c>
      <c r="BB96" s="1">
        <f>(AW96+AX96)*$AG$5*$AG$4*パラメータ!$D$21*10^-3</f>
        <v>4.2328912499999962</v>
      </c>
      <c r="BC96" s="1" t="e">
        <f>(#REF!*#REF!*パラメータ!$D$21+0.5*#REF!^2*SIN(RADIANS($T$10))*パラメータ!$D$24)*E96*10^-3</f>
        <v>#REF!</v>
      </c>
      <c r="BD96" s="1">
        <f t="shared" si="43"/>
        <v>0</v>
      </c>
      <c r="BE96" s="1">
        <f t="shared" si="44"/>
        <v>0</v>
      </c>
      <c r="BF96" s="1">
        <f>IF(G96="端リブ",AT96*$T$13*パラメータ!$D$21*2,0)</f>
        <v>0</v>
      </c>
      <c r="BG96" s="1" t="e">
        <f>'主翼（構造）'!BA52*1000</f>
        <v>#REF!</v>
      </c>
      <c r="BH96" s="1" t="e">
        <f t="shared" si="24"/>
        <v>#REF!</v>
      </c>
      <c r="BI96" s="1" t="e">
        <f t="shared" si="25"/>
        <v>#REF!</v>
      </c>
      <c r="BJ96" s="2">
        <f>(AP96-機体重量!$G$16)^2+(AQ96-機体重量!$H$16)^2</f>
        <v>5.4950777486569501E-4</v>
      </c>
      <c r="BK96" s="2">
        <f>(AQ96-機体重量!$H$16)^2</f>
        <v>3.8816156979940122E-4</v>
      </c>
      <c r="BL96" s="212">
        <f>(AP96-機体重量!$G$16)^2</f>
        <v>1.6134620506629379E-4</v>
      </c>
    </row>
    <row r="97" spans="2:64">
      <c r="B97" s="27">
        <v>46</v>
      </c>
      <c r="C97" s="1">
        <f t="shared" si="45"/>
        <v>7.6500000000000066</v>
      </c>
      <c r="D97" s="1">
        <f t="shared" si="28"/>
        <v>749.99999999999943</v>
      </c>
      <c r="E97" s="4">
        <v>0.15</v>
      </c>
      <c r="F97" s="21" t="str">
        <f t="shared" ref="F97:F107" si="48">IF(C97&lt;$H$7,"flat",IF(C97&lt;$H$8,"1st",IF(C97&lt;$H$9,"2nd",IF(C97&lt;$H$10,"3rd",IF(C97&lt;$H$11,"4th",IF(C97&lt;$H$12,"5th","6th"))))))</f>
        <v>3rd</v>
      </c>
      <c r="G97" s="4" t="str">
        <f t="shared" si="29"/>
        <v>2番</v>
      </c>
      <c r="H97" s="263" t="s">
        <v>1293</v>
      </c>
      <c r="I97" s="63">
        <f t="shared" si="30"/>
        <v>77.719224999999938</v>
      </c>
      <c r="J97" s="1">
        <f t="shared" si="31"/>
        <v>77.205733244342056</v>
      </c>
      <c r="K97" s="1">
        <f t="shared" si="32"/>
        <v>0.375</v>
      </c>
      <c r="L97" s="202"/>
      <c r="M97" s="206"/>
      <c r="N97" s="76"/>
      <c r="O97" s="207"/>
      <c r="P97" s="76"/>
      <c r="Q97" s="76"/>
      <c r="R97" s="76"/>
      <c r="S97" s="76"/>
      <c r="T97" s="76"/>
      <c r="U97" s="76"/>
      <c r="V97" s="76"/>
      <c r="W97" s="76"/>
      <c r="X97" s="76"/>
      <c r="Y97" s="76"/>
      <c r="Z97" s="76"/>
      <c r="AA97" s="76"/>
      <c r="AB97" s="76"/>
      <c r="AC97" s="76"/>
      <c r="AD97" s="63" t="str">
        <f t="shared" si="33"/>
        <v>QX0024</v>
      </c>
      <c r="AE97" s="1">
        <f t="shared" si="21"/>
        <v>100</v>
      </c>
      <c r="AF97" s="1" t="str">
        <f t="shared" si="34"/>
        <v>QX0024</v>
      </c>
      <c r="AG97" s="1">
        <f t="shared" si="35"/>
        <v>0</v>
      </c>
      <c r="AH97" s="1">
        <f t="shared" si="36"/>
        <v>0.28124999999999978</v>
      </c>
      <c r="AI97" s="1">
        <f t="shared" si="37"/>
        <v>-0.46874999999999967</v>
      </c>
      <c r="AJ97" s="1">
        <f t="shared" si="46"/>
        <v>6.8488819227462026</v>
      </c>
      <c r="AK97" s="1">
        <f t="shared" si="47"/>
        <v>1.8280401510772121E-2</v>
      </c>
      <c r="AL97" s="1">
        <f t="shared" si="38"/>
        <v>4.4000000000000004</v>
      </c>
      <c r="AM97" s="7">
        <f t="shared" si="39"/>
        <v>7</v>
      </c>
      <c r="AN97" s="206"/>
      <c r="AO97" s="76"/>
      <c r="AP97" s="76"/>
      <c r="AQ97" s="76"/>
      <c r="AR97" s="76"/>
      <c r="AS97" s="76"/>
      <c r="AT97" s="76">
        <f t="shared" si="40"/>
        <v>5.3437499999999916E-2</v>
      </c>
      <c r="AU97" s="76">
        <f t="shared" si="41"/>
        <v>1.5374999999999985</v>
      </c>
      <c r="AV97" s="76">
        <f t="shared" si="42"/>
        <v>0.94094999999999995</v>
      </c>
      <c r="AW97" s="76">
        <f t="shared" si="19"/>
        <v>0.57656249999999942</v>
      </c>
      <c r="AX97" s="202">
        <f t="shared" si="20"/>
        <v>0.30749999999999972</v>
      </c>
      <c r="AY97" s="63">
        <f>AT97*$AG$4*パラメータ!$D$23</f>
        <v>12.34406249999998</v>
      </c>
      <c r="AZ97" s="1">
        <f>AV97*$AG$7*E97*パラメータ!$D$28</f>
        <v>17.995668749999997</v>
      </c>
      <c r="BA97" s="1">
        <f>SUMPRODUCT($AC$4:$AC$10,$AD$4:$AD$10)*E97*パラメータ!$D$26*10^-3</f>
        <v>6.12</v>
      </c>
      <c r="BB97" s="1">
        <f>(AW97+AX97)*$AG$5*$AG$4*パラメータ!$D$21*10^-3</f>
        <v>4.1771953124999959</v>
      </c>
      <c r="BC97" s="1" t="e">
        <f>(#REF!*#REF!*パラメータ!$D$21+0.5*#REF!^2*SIN(RADIANS($T$10))*パラメータ!$D$24)*E97*10^-3</f>
        <v>#REF!</v>
      </c>
      <c r="BD97" s="1">
        <f t="shared" si="43"/>
        <v>0</v>
      </c>
      <c r="BE97" s="1">
        <f t="shared" si="44"/>
        <v>0</v>
      </c>
      <c r="BF97" s="1">
        <f>IF(G97="端リブ",AT97*$T$13*パラメータ!$D$21*2,0)</f>
        <v>0</v>
      </c>
      <c r="BG97" s="1" t="e">
        <f>'主翼（構造）'!BA53*1000</f>
        <v>#REF!</v>
      </c>
      <c r="BH97" s="1" t="e">
        <f t="shared" si="24"/>
        <v>#REF!</v>
      </c>
      <c r="BI97" s="1" t="e">
        <f t="shared" si="25"/>
        <v>#REF!</v>
      </c>
      <c r="BJ97" s="2">
        <f>(AP97-機体重量!$G$16)^2+(AQ97-機体重量!$H$16)^2</f>
        <v>5.4950777486569501E-4</v>
      </c>
      <c r="BK97" s="2">
        <f>(AQ97-機体重量!$H$16)^2</f>
        <v>3.8816156979940122E-4</v>
      </c>
      <c r="BL97" s="212">
        <f>(AP97-機体重量!$G$16)^2</f>
        <v>1.6134620506629379E-4</v>
      </c>
    </row>
    <row r="98" spans="2:64">
      <c r="B98" s="97">
        <v>47</v>
      </c>
      <c r="C98" s="1">
        <f t="shared" si="45"/>
        <v>7.8000000000000069</v>
      </c>
      <c r="D98" s="1">
        <f t="shared" si="28"/>
        <v>739.99999999999943</v>
      </c>
      <c r="E98" s="4">
        <v>0.15</v>
      </c>
      <c r="F98" s="21" t="str">
        <f t="shared" si="48"/>
        <v>3rd</v>
      </c>
      <c r="G98" s="4" t="str">
        <f t="shared" si="29"/>
        <v>2番</v>
      </c>
      <c r="H98" s="263" t="s">
        <v>1292</v>
      </c>
      <c r="I98" s="63">
        <f t="shared" si="30"/>
        <v>76.317909999999927</v>
      </c>
      <c r="J98" s="1">
        <f t="shared" si="31"/>
        <v>75.823969566289421</v>
      </c>
      <c r="K98" s="1">
        <f t="shared" si="32"/>
        <v>0.375</v>
      </c>
      <c r="L98" s="202"/>
      <c r="M98" s="206"/>
      <c r="N98" s="76"/>
      <c r="O98" s="207"/>
      <c r="P98" s="76"/>
      <c r="Q98" s="76"/>
      <c r="R98" s="76"/>
      <c r="S98" s="76"/>
      <c r="T98" s="76"/>
      <c r="U98" s="76"/>
      <c r="V98" s="76"/>
      <c r="W98" s="76"/>
      <c r="X98" s="76"/>
      <c r="Y98" s="76"/>
      <c r="Z98" s="76"/>
      <c r="AA98" s="76"/>
      <c r="AB98" s="76"/>
      <c r="AC98" s="76"/>
      <c r="AD98" s="63" t="str">
        <f t="shared" si="33"/>
        <v>QX0024</v>
      </c>
      <c r="AE98" s="1">
        <f t="shared" si="21"/>
        <v>100</v>
      </c>
      <c r="AF98" s="1" t="str">
        <f t="shared" si="34"/>
        <v>QX0024</v>
      </c>
      <c r="AG98" s="1">
        <f t="shared" si="35"/>
        <v>0</v>
      </c>
      <c r="AH98" s="1">
        <f t="shared" si="36"/>
        <v>0.27749999999999975</v>
      </c>
      <c r="AI98" s="1">
        <f t="shared" si="37"/>
        <v>-0.46249999999999969</v>
      </c>
      <c r="AJ98" s="1">
        <f t="shared" si="46"/>
        <v>6.9977638454924005</v>
      </c>
      <c r="AK98" s="1">
        <f t="shared" si="47"/>
        <v>3.6560803021544241E-2</v>
      </c>
      <c r="AL98" s="1">
        <f t="shared" si="38"/>
        <v>4.4000000000000004</v>
      </c>
      <c r="AM98" s="7">
        <f t="shared" si="39"/>
        <v>7</v>
      </c>
      <c r="AN98" s="206"/>
      <c r="AO98" s="76"/>
      <c r="AP98" s="76"/>
      <c r="AQ98" s="76"/>
      <c r="AR98" s="76"/>
      <c r="AS98" s="76"/>
      <c r="AT98" s="76">
        <f t="shared" si="40"/>
        <v>5.2021999999999922E-2</v>
      </c>
      <c r="AU98" s="76">
        <f t="shared" si="41"/>
        <v>1.5169999999999986</v>
      </c>
      <c r="AV98" s="76">
        <f t="shared" si="42"/>
        <v>0.94094999999999995</v>
      </c>
      <c r="AW98" s="76">
        <f t="shared" si="19"/>
        <v>0.56887499999999946</v>
      </c>
      <c r="AX98" s="202">
        <f t="shared" si="20"/>
        <v>0.30339999999999973</v>
      </c>
      <c r="AY98" s="63">
        <f>AT98*$AG$4*パラメータ!$D$23</f>
        <v>12.017081999999983</v>
      </c>
      <c r="AZ98" s="1">
        <f>AV98*$AG$7*E98*パラメータ!$D$28</f>
        <v>17.995668749999997</v>
      </c>
      <c r="BA98" s="1">
        <f>SUMPRODUCT($AC$4:$AC$10,$AD$4:$AD$10)*E98*パラメータ!$D$26*10^-3</f>
        <v>6.12</v>
      </c>
      <c r="BB98" s="1">
        <f>(AW98+AX98)*$AG$5*$AG$4*パラメータ!$D$21*10^-3</f>
        <v>4.1214993749999964</v>
      </c>
      <c r="BC98" s="1" t="e">
        <f>(#REF!*#REF!*パラメータ!$D$21+0.5*#REF!^2*SIN(RADIANS($T$10))*パラメータ!$D$24)*E98*10^-3</f>
        <v>#REF!</v>
      </c>
      <c r="BD98" s="1">
        <f t="shared" si="43"/>
        <v>0</v>
      </c>
      <c r="BE98" s="1">
        <f t="shared" si="44"/>
        <v>0</v>
      </c>
      <c r="BF98" s="1">
        <f>IF(G98="端リブ",AT98*$T$13*パラメータ!$D$21*2,0)</f>
        <v>0</v>
      </c>
      <c r="BG98" s="1" t="e">
        <f>'主翼（構造）'!BA54*1000</f>
        <v>#REF!</v>
      </c>
      <c r="BH98" s="1" t="e">
        <f t="shared" si="24"/>
        <v>#REF!</v>
      </c>
      <c r="BI98" s="1" t="e">
        <f t="shared" si="25"/>
        <v>#REF!</v>
      </c>
      <c r="BJ98" s="2">
        <f>(AP98-機体重量!$G$16)^2+(AQ98-機体重量!$H$16)^2</f>
        <v>5.4950777486569501E-4</v>
      </c>
      <c r="BK98" s="2">
        <f>(AQ98-機体重量!$H$16)^2</f>
        <v>3.8816156979940122E-4</v>
      </c>
      <c r="BL98" s="212">
        <f>(AP98-機体重量!$G$16)^2</f>
        <v>1.6134620506629379E-4</v>
      </c>
    </row>
    <row r="99" spans="2:64">
      <c r="B99" s="27">
        <v>48</v>
      </c>
      <c r="C99" s="1">
        <f t="shared" si="45"/>
        <v>7.9500000000000073</v>
      </c>
      <c r="D99" s="1">
        <f t="shared" si="28"/>
        <v>729.99999999999943</v>
      </c>
      <c r="E99" s="4">
        <v>0.15</v>
      </c>
      <c r="F99" s="21" t="str">
        <f t="shared" si="48"/>
        <v>3rd</v>
      </c>
      <c r="G99" s="4" t="str">
        <f t="shared" si="29"/>
        <v>2番</v>
      </c>
      <c r="H99" s="263" t="s">
        <v>1293</v>
      </c>
      <c r="I99" s="63">
        <f t="shared" si="30"/>
        <v>74.91659499999993</v>
      </c>
      <c r="J99" s="1">
        <f t="shared" si="31"/>
        <v>74.442205888236785</v>
      </c>
      <c r="K99" s="1">
        <f t="shared" si="32"/>
        <v>0.375</v>
      </c>
      <c r="L99" s="202"/>
      <c r="M99" s="206"/>
      <c r="N99" s="76"/>
      <c r="O99" s="207"/>
      <c r="P99" s="76"/>
      <c r="Q99" s="76"/>
      <c r="R99" s="76"/>
      <c r="S99" s="76"/>
      <c r="T99" s="76"/>
      <c r="U99" s="76"/>
      <c r="V99" s="76"/>
      <c r="W99" s="76"/>
      <c r="X99" s="76"/>
      <c r="Y99" s="76"/>
      <c r="Z99" s="76"/>
      <c r="AA99" s="76"/>
      <c r="AB99" s="76"/>
      <c r="AC99" s="76"/>
      <c r="AD99" s="63" t="str">
        <f t="shared" si="33"/>
        <v>QX0024</v>
      </c>
      <c r="AE99" s="1">
        <f t="shared" si="21"/>
        <v>100</v>
      </c>
      <c r="AF99" s="1" t="str">
        <f t="shared" si="34"/>
        <v>QX0024</v>
      </c>
      <c r="AG99" s="1">
        <f t="shared" si="35"/>
        <v>0</v>
      </c>
      <c r="AH99" s="1">
        <f t="shared" si="36"/>
        <v>0.27374999999999977</v>
      </c>
      <c r="AI99" s="1">
        <f t="shared" si="37"/>
        <v>-0.45624999999999966</v>
      </c>
      <c r="AJ99" s="1">
        <f t="shared" si="46"/>
        <v>7.1466457682385984</v>
      </c>
      <c r="AK99" s="1">
        <f t="shared" si="47"/>
        <v>5.4841204532316362E-2</v>
      </c>
      <c r="AL99" s="1">
        <f t="shared" si="38"/>
        <v>4.4000000000000004</v>
      </c>
      <c r="AM99" s="7">
        <f t="shared" si="39"/>
        <v>7</v>
      </c>
      <c r="AN99" s="206"/>
      <c r="AO99" s="76"/>
      <c r="AP99" s="76"/>
      <c r="AQ99" s="76"/>
      <c r="AR99" s="76"/>
      <c r="AS99" s="76"/>
      <c r="AT99" s="76">
        <f t="shared" si="40"/>
        <v>5.0625499999999921E-2</v>
      </c>
      <c r="AU99" s="76">
        <f t="shared" si="41"/>
        <v>1.4964999999999986</v>
      </c>
      <c r="AV99" s="76">
        <f t="shared" si="42"/>
        <v>0.94094999999999995</v>
      </c>
      <c r="AW99" s="76">
        <f t="shared" si="19"/>
        <v>0.56118749999999951</v>
      </c>
      <c r="AX99" s="202">
        <f t="shared" si="20"/>
        <v>0.29929999999999973</v>
      </c>
      <c r="AY99" s="63">
        <f>AT99*$AG$4*パラメータ!$D$23</f>
        <v>11.694490499999981</v>
      </c>
      <c r="AZ99" s="1">
        <f>AV99*$AG$7*E99*パラメータ!$D$28</f>
        <v>17.995668749999997</v>
      </c>
      <c r="BA99" s="1">
        <f>SUMPRODUCT($AC$4:$AC$10,$AD$4:$AD$10)*E99*パラメータ!$D$26*10^-3</f>
        <v>6.12</v>
      </c>
      <c r="BB99" s="1">
        <f>(AW99+AX99)*$AG$5*$AG$4*パラメータ!$D$21*10^-3</f>
        <v>4.065803437499997</v>
      </c>
      <c r="BC99" s="1" t="e">
        <f>(#REF!*#REF!*パラメータ!$D$21+0.5*#REF!^2*SIN(RADIANS($T$10))*パラメータ!$D$24)*E99*10^-3</f>
        <v>#REF!</v>
      </c>
      <c r="BD99" s="1">
        <f t="shared" si="43"/>
        <v>0</v>
      </c>
      <c r="BE99" s="1">
        <f t="shared" si="44"/>
        <v>0</v>
      </c>
      <c r="BF99" s="1">
        <f>IF(G99="端リブ",AT99*$T$13*パラメータ!$D$21*2,0)</f>
        <v>0</v>
      </c>
      <c r="BG99" s="1" t="e">
        <f>'主翼（構造）'!BA55*1000</f>
        <v>#REF!</v>
      </c>
      <c r="BH99" s="1" t="e">
        <f t="shared" si="24"/>
        <v>#REF!</v>
      </c>
      <c r="BI99" s="1" t="e">
        <f t="shared" si="25"/>
        <v>#REF!</v>
      </c>
      <c r="BJ99" s="2">
        <f>(AP99-機体重量!$G$16)^2+(AQ99-機体重量!$H$16)^2</f>
        <v>5.4950777486569501E-4</v>
      </c>
      <c r="BK99" s="2">
        <f>(AQ99-機体重量!$H$16)^2</f>
        <v>3.8816156979940122E-4</v>
      </c>
      <c r="BL99" s="212">
        <f>(AP99-機体重量!$G$16)^2</f>
        <v>1.6134620506629379E-4</v>
      </c>
    </row>
    <row r="100" spans="2:64">
      <c r="B100" s="97">
        <v>49</v>
      </c>
      <c r="C100" s="1">
        <f t="shared" si="45"/>
        <v>8.1000000000000068</v>
      </c>
      <c r="D100" s="1">
        <f t="shared" si="28"/>
        <v>719.99999999999943</v>
      </c>
      <c r="E100" s="4">
        <v>0.15</v>
      </c>
      <c r="F100" s="21" t="str">
        <f t="shared" si="48"/>
        <v>3rd</v>
      </c>
      <c r="G100" s="4" t="str">
        <f t="shared" si="29"/>
        <v>2番</v>
      </c>
      <c r="H100" s="263" t="s">
        <v>1292</v>
      </c>
      <c r="I100" s="63">
        <f t="shared" si="30"/>
        <v>73.515279999999933</v>
      </c>
      <c r="J100" s="1">
        <f t="shared" si="31"/>
        <v>73.060442210184149</v>
      </c>
      <c r="K100" s="1">
        <f t="shared" si="32"/>
        <v>0.375</v>
      </c>
      <c r="L100" s="202"/>
      <c r="M100" s="206"/>
      <c r="N100" s="76"/>
      <c r="O100" s="207"/>
      <c r="P100" s="76"/>
      <c r="Q100" s="76"/>
      <c r="R100" s="76"/>
      <c r="S100" s="76"/>
      <c r="T100" s="76"/>
      <c r="U100" s="76"/>
      <c r="V100" s="76"/>
      <c r="W100" s="76"/>
      <c r="X100" s="76"/>
      <c r="Y100" s="76"/>
      <c r="Z100" s="76"/>
      <c r="AA100" s="76"/>
      <c r="AB100" s="76"/>
      <c r="AC100" s="76"/>
      <c r="AD100" s="63" t="str">
        <f t="shared" si="33"/>
        <v>QX0024</v>
      </c>
      <c r="AE100" s="1">
        <f t="shared" si="21"/>
        <v>100</v>
      </c>
      <c r="AF100" s="1" t="str">
        <f t="shared" si="34"/>
        <v>QX0024</v>
      </c>
      <c r="AG100" s="1">
        <f t="shared" si="35"/>
        <v>0</v>
      </c>
      <c r="AH100" s="1">
        <f t="shared" si="36"/>
        <v>0.2699999999999998</v>
      </c>
      <c r="AI100" s="1">
        <f t="shared" si="37"/>
        <v>-0.44999999999999962</v>
      </c>
      <c r="AJ100" s="1">
        <f t="shared" si="46"/>
        <v>7.2955276909847964</v>
      </c>
      <c r="AK100" s="1">
        <f t="shared" si="47"/>
        <v>7.3121606043088483E-2</v>
      </c>
      <c r="AL100" s="1">
        <f t="shared" si="38"/>
        <v>4.4000000000000004</v>
      </c>
      <c r="AM100" s="7">
        <f t="shared" si="39"/>
        <v>7</v>
      </c>
      <c r="AN100" s="206"/>
      <c r="AO100" s="76"/>
      <c r="AP100" s="76"/>
      <c r="AQ100" s="76"/>
      <c r="AR100" s="76"/>
      <c r="AS100" s="76"/>
      <c r="AT100" s="76">
        <f t="shared" si="40"/>
        <v>4.9247999999999924E-2</v>
      </c>
      <c r="AU100" s="76">
        <f t="shared" si="41"/>
        <v>1.4759999999999986</v>
      </c>
      <c r="AV100" s="76">
        <f t="shared" si="42"/>
        <v>0.94094999999999995</v>
      </c>
      <c r="AW100" s="76">
        <f t="shared" si="19"/>
        <v>0.55349999999999944</v>
      </c>
      <c r="AX100" s="202">
        <f t="shared" si="20"/>
        <v>0.29519999999999974</v>
      </c>
      <c r="AY100" s="63">
        <f>AT100*$AG$4*パラメータ!$D$23</f>
        <v>11.376287999999983</v>
      </c>
      <c r="AZ100" s="1">
        <f>AV100*$AG$7*E100*パラメータ!$D$28</f>
        <v>17.995668749999997</v>
      </c>
      <c r="BA100" s="1">
        <f>SUMPRODUCT($AC$4:$AC$10,$AD$4:$AD$10)*E100*パラメータ!$D$26*10^-3</f>
        <v>6.12</v>
      </c>
      <c r="BB100" s="1">
        <f>(AW100+AX100)*$AG$5*$AG$4*パラメータ!$D$21*10^-3</f>
        <v>4.0101074999999957</v>
      </c>
      <c r="BC100" s="1" t="e">
        <f>(#REF!*#REF!*パラメータ!$D$21+0.5*#REF!^2*SIN(RADIANS($T$10))*パラメータ!$D$24)*E100*10^-3</f>
        <v>#REF!</v>
      </c>
      <c r="BD100" s="1">
        <f t="shared" si="43"/>
        <v>0</v>
      </c>
      <c r="BE100" s="1">
        <f t="shared" si="44"/>
        <v>0</v>
      </c>
      <c r="BF100" s="1">
        <f>IF(G100="端リブ",AT100*$T$13*パラメータ!$D$21*2,0)</f>
        <v>0</v>
      </c>
      <c r="BG100" s="1" t="e">
        <f>'主翼（構造）'!BA56*1000</f>
        <v>#REF!</v>
      </c>
      <c r="BH100" s="1" t="e">
        <f t="shared" si="24"/>
        <v>#REF!</v>
      </c>
      <c r="BI100" s="1" t="e">
        <f t="shared" si="25"/>
        <v>#REF!</v>
      </c>
      <c r="BJ100" s="2">
        <f>(AP100-機体重量!$G$16)^2+(AQ100-機体重量!$H$16)^2</f>
        <v>5.4950777486569501E-4</v>
      </c>
      <c r="BK100" s="2">
        <f>(AQ100-機体重量!$H$16)^2</f>
        <v>3.8816156979940122E-4</v>
      </c>
      <c r="BL100" s="212">
        <f>(AP100-機体重量!$G$16)^2</f>
        <v>1.6134620506629379E-4</v>
      </c>
    </row>
    <row r="101" spans="2:64">
      <c r="B101" s="27">
        <v>50</v>
      </c>
      <c r="C101" s="1">
        <f t="shared" si="45"/>
        <v>8.2500000000000071</v>
      </c>
      <c r="D101" s="1">
        <f t="shared" si="28"/>
        <v>709.99999999999943</v>
      </c>
      <c r="E101" s="4">
        <v>0.15</v>
      </c>
      <c r="F101" s="21" t="str">
        <f t="shared" si="48"/>
        <v>3rd</v>
      </c>
      <c r="G101" s="4" t="str">
        <f t="shared" si="29"/>
        <v>2番</v>
      </c>
      <c r="H101" s="263" t="s">
        <v>1292</v>
      </c>
      <c r="I101" s="63">
        <f t="shared" si="30"/>
        <v>72.113964999999936</v>
      </c>
      <c r="J101" s="1">
        <f t="shared" si="31"/>
        <v>71.678678532131514</v>
      </c>
      <c r="K101" s="1">
        <f t="shared" si="32"/>
        <v>0.375</v>
      </c>
      <c r="L101" s="202"/>
      <c r="M101" s="206"/>
      <c r="N101" s="76"/>
      <c r="O101" s="207"/>
      <c r="P101" s="76"/>
      <c r="Q101" s="76"/>
      <c r="R101" s="76"/>
      <c r="S101" s="76"/>
      <c r="T101" s="76"/>
      <c r="U101" s="76"/>
      <c r="V101" s="76"/>
      <c r="W101" s="76"/>
      <c r="X101" s="76"/>
      <c r="Y101" s="76"/>
      <c r="Z101" s="76"/>
      <c r="AA101" s="76"/>
      <c r="AB101" s="76"/>
      <c r="AC101" s="76"/>
      <c r="AD101" s="63" t="str">
        <f t="shared" si="33"/>
        <v>QX0024</v>
      </c>
      <c r="AE101" s="1">
        <f t="shared" si="21"/>
        <v>100</v>
      </c>
      <c r="AF101" s="1" t="str">
        <f t="shared" si="34"/>
        <v>QX0024</v>
      </c>
      <c r="AG101" s="1">
        <f t="shared" si="35"/>
        <v>0</v>
      </c>
      <c r="AH101" s="1">
        <f t="shared" si="36"/>
        <v>0.26624999999999976</v>
      </c>
      <c r="AI101" s="1">
        <f t="shared" si="37"/>
        <v>-0.44374999999999964</v>
      </c>
      <c r="AJ101" s="1">
        <f t="shared" si="46"/>
        <v>7.4444096137309943</v>
      </c>
      <c r="AK101" s="1">
        <f t="shared" si="47"/>
        <v>9.1402007553860604E-2</v>
      </c>
      <c r="AL101" s="1">
        <f t="shared" si="38"/>
        <v>4.4000000000000004</v>
      </c>
      <c r="AM101" s="7">
        <f t="shared" si="39"/>
        <v>7</v>
      </c>
      <c r="AN101" s="206"/>
      <c r="AO101" s="76"/>
      <c r="AP101" s="76"/>
      <c r="AQ101" s="76"/>
      <c r="AR101" s="76"/>
      <c r="AS101" s="76"/>
      <c r="AT101" s="76">
        <f t="shared" si="40"/>
        <v>4.7889499999999925E-2</v>
      </c>
      <c r="AU101" s="76">
        <f t="shared" si="41"/>
        <v>1.4554999999999987</v>
      </c>
      <c r="AV101" s="76">
        <f t="shared" si="42"/>
        <v>0.94094999999999995</v>
      </c>
      <c r="AW101" s="76">
        <f t="shared" si="19"/>
        <v>0.54581249999999948</v>
      </c>
      <c r="AX101" s="202">
        <f t="shared" si="20"/>
        <v>0.29109999999999975</v>
      </c>
      <c r="AY101" s="63">
        <f>AT101*$AG$4*パラメータ!$D$23</f>
        <v>11.062474499999983</v>
      </c>
      <c r="AZ101" s="1">
        <f>AV101*$AG$7*E101*パラメータ!$D$28</f>
        <v>17.995668749999997</v>
      </c>
      <c r="BA101" s="1">
        <f>SUMPRODUCT($AC$4:$AC$10,$AD$4:$AD$10)*E101*パラメータ!$D$26*10^-3</f>
        <v>6.12</v>
      </c>
      <c r="BB101" s="1">
        <f>(AW101+AX101)*$AG$5*$AG$4*パラメータ!$D$21*10^-3</f>
        <v>3.9544115624999967</v>
      </c>
      <c r="BC101" s="1" t="e">
        <f>(#REF!*#REF!*パラメータ!$D$21+0.5*#REF!^2*SIN(RADIANS($T$10))*パラメータ!$D$24)*E101*10^-3</f>
        <v>#REF!</v>
      </c>
      <c r="BD101" s="1">
        <f t="shared" si="43"/>
        <v>0</v>
      </c>
      <c r="BE101" s="1">
        <f t="shared" si="44"/>
        <v>0</v>
      </c>
      <c r="BF101" s="1">
        <f>IF(G101="端リブ",AT101*$T$13*パラメータ!$D$21*2,0)</f>
        <v>0</v>
      </c>
      <c r="BG101" s="1" t="e">
        <f>'主翼（構造）'!BA57*1000</f>
        <v>#REF!</v>
      </c>
      <c r="BH101" s="1" t="e">
        <f t="shared" si="24"/>
        <v>#REF!</v>
      </c>
      <c r="BI101" s="1" t="e">
        <f t="shared" si="25"/>
        <v>#REF!</v>
      </c>
      <c r="BJ101" s="2">
        <f>(AP101-機体重量!$G$16)^2+(AQ101-機体重量!$H$16)^2</f>
        <v>5.4950777486569501E-4</v>
      </c>
      <c r="BK101" s="2">
        <f>(AQ101-機体重量!$H$16)^2</f>
        <v>3.8816156979940122E-4</v>
      </c>
      <c r="BL101" s="212">
        <f>(AP101-機体重量!$G$16)^2</f>
        <v>1.6134620506629379E-4</v>
      </c>
    </row>
    <row r="102" spans="2:64">
      <c r="B102" s="97">
        <v>51</v>
      </c>
      <c r="C102" s="1">
        <f t="shared" si="45"/>
        <v>8.4000000000000075</v>
      </c>
      <c r="D102" s="1">
        <f t="shared" si="28"/>
        <v>699.99999999999943</v>
      </c>
      <c r="E102" s="4">
        <v>0.15</v>
      </c>
      <c r="F102" s="21" t="str">
        <f t="shared" si="48"/>
        <v>3rd</v>
      </c>
      <c r="G102" s="4" t="s">
        <v>1290</v>
      </c>
      <c r="H102" s="263" t="s">
        <v>1292</v>
      </c>
      <c r="I102" s="63" t="b">
        <f t="shared" si="30"/>
        <v>0</v>
      </c>
      <c r="J102" s="1" t="b">
        <f t="shared" si="31"/>
        <v>0</v>
      </c>
      <c r="K102" s="1">
        <f t="shared" si="32"/>
        <v>0.375</v>
      </c>
      <c r="L102" s="202"/>
      <c r="M102" s="206"/>
      <c r="N102" s="76"/>
      <c r="O102" s="207"/>
      <c r="P102" s="76"/>
      <c r="Q102" s="76"/>
      <c r="R102" s="76"/>
      <c r="S102" s="76"/>
      <c r="T102" s="76"/>
      <c r="U102" s="76"/>
      <c r="V102" s="76"/>
      <c r="W102" s="76"/>
      <c r="X102" s="76"/>
      <c r="Y102" s="76"/>
      <c r="Z102" s="76"/>
      <c r="AA102" s="76"/>
      <c r="AB102" s="76"/>
      <c r="AC102" s="76"/>
      <c r="AD102" s="63" t="str">
        <f t="shared" si="33"/>
        <v>QX0024</v>
      </c>
      <c r="AE102" s="1">
        <f t="shared" si="21"/>
        <v>100</v>
      </c>
      <c r="AF102" s="1" t="str">
        <f t="shared" si="34"/>
        <v>QX0024</v>
      </c>
      <c r="AG102" s="1">
        <f t="shared" si="35"/>
        <v>0</v>
      </c>
      <c r="AH102" s="1">
        <f t="shared" si="36"/>
        <v>0.26249999999999979</v>
      </c>
      <c r="AI102" s="1">
        <f t="shared" si="37"/>
        <v>-0.43749999999999961</v>
      </c>
      <c r="AJ102" s="1">
        <f t="shared" si="46"/>
        <v>7.5932915364771922</v>
      </c>
      <c r="AK102" s="1">
        <f t="shared" si="47"/>
        <v>0.10968240906463272</v>
      </c>
      <c r="AL102" s="1">
        <f t="shared" si="38"/>
        <v>4.4000000000000004</v>
      </c>
      <c r="AM102" s="7">
        <f t="shared" si="39"/>
        <v>7</v>
      </c>
      <c r="AN102" s="206"/>
      <c r="AO102" s="76"/>
      <c r="AP102" s="76"/>
      <c r="AQ102" s="76"/>
      <c r="AR102" s="76"/>
      <c r="AS102" s="76"/>
      <c r="AT102" s="76">
        <f t="shared" si="40"/>
        <v>4.6549999999999918E-2</v>
      </c>
      <c r="AU102" s="76">
        <f t="shared" si="41"/>
        <v>1.4349999999999987</v>
      </c>
      <c r="AV102" s="76">
        <f t="shared" si="42"/>
        <v>0.94094999999999995</v>
      </c>
      <c r="AW102" s="76">
        <f t="shared" si="19"/>
        <v>0.53812499999999952</v>
      </c>
      <c r="AX102" s="202">
        <f t="shared" si="20"/>
        <v>0.28699999999999976</v>
      </c>
      <c r="AY102" s="63">
        <f>AT102*$AG$4*パラメータ!$D$23</f>
        <v>10.75304999999998</v>
      </c>
      <c r="AZ102" s="1">
        <f>AV102*$AG$7*E102*パラメータ!$D$28</f>
        <v>17.995668749999997</v>
      </c>
      <c r="BA102" s="1">
        <f>SUMPRODUCT($AC$4:$AC$10,$AD$4:$AD$10)*E102*パラメータ!$D$26*10^-3</f>
        <v>6.12</v>
      </c>
      <c r="BB102" s="1">
        <f>(AW102+AX102)*$AG$5*$AG$4*パラメータ!$D$21*10^-3</f>
        <v>3.8987156249999968</v>
      </c>
      <c r="BC102" s="1" t="e">
        <f>(#REF!*#REF!*パラメータ!$D$21+0.5*#REF!^2*SIN(RADIANS($T$10))*パラメータ!$D$24)*E102*10^-3</f>
        <v>#REF!</v>
      </c>
      <c r="BD102" s="1">
        <f t="shared" si="43"/>
        <v>0</v>
      </c>
      <c r="BE102" s="1">
        <f t="shared" si="44"/>
        <v>0</v>
      </c>
      <c r="BF102" s="1">
        <f>IF(G102="端リブ",AT102*$T$13*パラメータ!$D$21*2,0)</f>
        <v>0</v>
      </c>
      <c r="BG102" s="1" t="e">
        <f>'主翼（構造）'!BA58*1000</f>
        <v>#REF!</v>
      </c>
      <c r="BH102" s="1" t="e">
        <f t="shared" si="24"/>
        <v>#REF!</v>
      </c>
      <c r="BI102" s="1" t="e">
        <f t="shared" si="25"/>
        <v>#REF!</v>
      </c>
      <c r="BJ102" s="2">
        <f>(AP102-機体重量!$G$16)^2+(AQ102-機体重量!$H$16)^2</f>
        <v>5.4950777486569501E-4</v>
      </c>
      <c r="BK102" s="2">
        <f>(AQ102-機体重量!$H$16)^2</f>
        <v>3.8816156979940122E-4</v>
      </c>
      <c r="BL102" s="212">
        <f>(AP102-機体重量!$G$16)^2</f>
        <v>1.6134620506629379E-4</v>
      </c>
    </row>
    <row r="103" spans="2:64">
      <c r="B103" s="27">
        <v>52</v>
      </c>
      <c r="C103" s="1">
        <f t="shared" si="45"/>
        <v>8.5500000000000078</v>
      </c>
      <c r="D103" s="1">
        <f t="shared" si="28"/>
        <v>689.99999999999943</v>
      </c>
      <c r="E103" s="4">
        <v>0.15</v>
      </c>
      <c r="F103" s="21" t="str">
        <f t="shared" si="48"/>
        <v>3rd</v>
      </c>
      <c r="G103" s="4" t="str">
        <f t="shared" ref="G103:G125" si="49">IF(OR(C103=$F$46,C103=$G$46,C103=$H$46),"端リブ",IF(C103&lt;$F$46,"0番",IF(C103&lt;$G$46,"1番",IF(C103&lt;$H$46,"2番",IF(C103&lt;$I$46,"3番","ウィングレット")))))</f>
        <v>3番</v>
      </c>
      <c r="H103" s="263" t="s">
        <v>1292</v>
      </c>
      <c r="I103" s="63">
        <f t="shared" si="30"/>
        <v>76.652999999999906</v>
      </c>
      <c r="J103" s="1">
        <f t="shared" si="31"/>
        <v>75.476999999999919</v>
      </c>
      <c r="K103" s="1">
        <f t="shared" si="32"/>
        <v>0.375</v>
      </c>
      <c r="L103" s="202"/>
      <c r="M103" s="206"/>
      <c r="N103" s="76"/>
      <c r="O103" s="207"/>
      <c r="P103" s="76"/>
      <c r="Q103" s="76"/>
      <c r="R103" s="76"/>
      <c r="S103" s="76"/>
      <c r="T103" s="76"/>
      <c r="U103" s="76"/>
      <c r="V103" s="76"/>
      <c r="W103" s="76"/>
      <c r="X103" s="76"/>
      <c r="Y103" s="76"/>
      <c r="Z103" s="76"/>
      <c r="AA103" s="76"/>
      <c r="AB103" s="76"/>
      <c r="AC103" s="76"/>
      <c r="AD103" s="63" t="str">
        <f t="shared" si="33"/>
        <v>QX0024</v>
      </c>
      <c r="AE103" s="1">
        <f t="shared" si="21"/>
        <v>100</v>
      </c>
      <c r="AF103" s="1" t="str">
        <f t="shared" si="34"/>
        <v>QX0024</v>
      </c>
      <c r="AG103" s="1">
        <f t="shared" si="35"/>
        <v>0</v>
      </c>
      <c r="AH103" s="1">
        <f t="shared" si="36"/>
        <v>0.25874999999999976</v>
      </c>
      <c r="AI103" s="1">
        <f t="shared" si="37"/>
        <v>-0.43124999999999963</v>
      </c>
      <c r="AJ103" s="1">
        <f t="shared" si="46"/>
        <v>7.7421734592233902</v>
      </c>
      <c r="AK103" s="1">
        <f t="shared" si="47"/>
        <v>0.12796281057540485</v>
      </c>
      <c r="AL103" s="1">
        <f t="shared" si="38"/>
        <v>4.4000000000000004</v>
      </c>
      <c r="AM103" s="7">
        <f t="shared" si="39"/>
        <v>7</v>
      </c>
      <c r="AN103" s="206"/>
      <c r="AO103" s="76"/>
      <c r="AP103" s="76"/>
      <c r="AQ103" s="76"/>
      <c r="AR103" s="76"/>
      <c r="AS103" s="76"/>
      <c r="AT103" s="76">
        <f t="shared" si="40"/>
        <v>4.5229499999999916E-2</v>
      </c>
      <c r="AU103" s="76">
        <f t="shared" si="41"/>
        <v>1.4144999999999985</v>
      </c>
      <c r="AV103" s="76">
        <f t="shared" si="42"/>
        <v>0.94094999999999995</v>
      </c>
      <c r="AW103" s="76">
        <f t="shared" si="19"/>
        <v>0.53043749999999945</v>
      </c>
      <c r="AX103" s="202">
        <f t="shared" si="20"/>
        <v>0.28289999999999971</v>
      </c>
      <c r="AY103" s="63">
        <f>AT103*$AG$4*パラメータ!$D$23</f>
        <v>10.44801449999998</v>
      </c>
      <c r="AZ103" s="1">
        <f>AV103*$AG$7*E103*パラメータ!$D$28</f>
        <v>17.995668749999997</v>
      </c>
      <c r="BA103" s="1">
        <f>SUMPRODUCT($AC$4:$AC$10,$AD$4:$AD$10)*E103*パラメータ!$D$26*10^-3</f>
        <v>6.12</v>
      </c>
      <c r="BB103" s="1">
        <f>(AW103+AX103)*$AG$5*$AG$4*パラメータ!$D$21*10^-3</f>
        <v>3.843019687499996</v>
      </c>
      <c r="BC103" s="1" t="e">
        <f>(#REF!*#REF!*パラメータ!$D$21+0.5*#REF!^2*SIN(RADIANS($T$10))*パラメータ!$D$24)*E103*10^-3</f>
        <v>#REF!</v>
      </c>
      <c r="BD103" s="1">
        <f t="shared" si="43"/>
        <v>0</v>
      </c>
      <c r="BE103" s="1">
        <f t="shared" si="44"/>
        <v>0</v>
      </c>
      <c r="BF103" s="1">
        <f>IF(G103="端リブ",AT103*$T$13*パラメータ!$D$21*2,0)</f>
        <v>0</v>
      </c>
      <c r="BG103" s="1" t="e">
        <f>'主翼（構造）'!BA59*1000</f>
        <v>#REF!</v>
      </c>
      <c r="BH103" s="1" t="e">
        <f t="shared" si="24"/>
        <v>#REF!</v>
      </c>
      <c r="BI103" s="1" t="e">
        <f t="shared" si="25"/>
        <v>#REF!</v>
      </c>
      <c r="BJ103" s="2">
        <f>(AP103-機体重量!$G$16)^2+(AQ103-機体重量!$H$16)^2</f>
        <v>5.4950777486569501E-4</v>
      </c>
      <c r="BK103" s="2">
        <f>(AQ103-機体重量!$H$16)^2</f>
        <v>3.8816156979940122E-4</v>
      </c>
      <c r="BL103" s="212">
        <f>(AP103-機体重量!$G$16)^2</f>
        <v>1.6134620506629379E-4</v>
      </c>
    </row>
    <row r="104" spans="2:64">
      <c r="B104" s="97">
        <v>53</v>
      </c>
      <c r="C104" s="1">
        <f t="shared" si="45"/>
        <v>8.7000000000000082</v>
      </c>
      <c r="D104" s="1">
        <f t="shared" si="28"/>
        <v>679.99999999999943</v>
      </c>
      <c r="E104" s="4">
        <v>0.15</v>
      </c>
      <c r="F104" s="21" t="str">
        <f t="shared" si="48"/>
        <v>3rd</v>
      </c>
      <c r="G104" s="4" t="str">
        <f t="shared" si="49"/>
        <v>3番</v>
      </c>
      <c r="H104" s="263" t="s">
        <v>1292</v>
      </c>
      <c r="I104" s="63">
        <f t="shared" si="30"/>
        <v>75.377999999999901</v>
      </c>
      <c r="J104" s="1">
        <f t="shared" si="31"/>
        <v>74.201999999999913</v>
      </c>
      <c r="K104" s="1">
        <f t="shared" si="32"/>
        <v>0.375</v>
      </c>
      <c r="L104" s="202"/>
      <c r="M104" s="206"/>
      <c r="N104" s="76"/>
      <c r="O104" s="207"/>
      <c r="P104" s="76"/>
      <c r="Q104" s="76"/>
      <c r="R104" s="76"/>
      <c r="S104" s="76"/>
      <c r="T104" s="76"/>
      <c r="U104" s="76"/>
      <c r="V104" s="76"/>
      <c r="W104" s="76"/>
      <c r="X104" s="76"/>
      <c r="Y104" s="76"/>
      <c r="Z104" s="76"/>
      <c r="AA104" s="76"/>
      <c r="AB104" s="76"/>
      <c r="AC104" s="76"/>
      <c r="AD104" s="63" t="str">
        <f t="shared" si="33"/>
        <v>QX0024</v>
      </c>
      <c r="AE104" s="1">
        <f t="shared" si="21"/>
        <v>100</v>
      </c>
      <c r="AF104" s="1" t="str">
        <f t="shared" si="34"/>
        <v>QX0024</v>
      </c>
      <c r="AG104" s="1">
        <f t="shared" si="35"/>
        <v>0</v>
      </c>
      <c r="AH104" s="1">
        <f t="shared" si="36"/>
        <v>0.25499999999999978</v>
      </c>
      <c r="AI104" s="1">
        <f t="shared" si="37"/>
        <v>-0.4249999999999996</v>
      </c>
      <c r="AJ104" s="1">
        <f t="shared" si="46"/>
        <v>7.8910553819695881</v>
      </c>
      <c r="AK104" s="1">
        <f t="shared" si="47"/>
        <v>0.14624321208617697</v>
      </c>
      <c r="AL104" s="1">
        <f t="shared" si="38"/>
        <v>4.4000000000000004</v>
      </c>
      <c r="AM104" s="7">
        <f t="shared" si="39"/>
        <v>7</v>
      </c>
      <c r="AN104" s="206"/>
      <c r="AO104" s="76"/>
      <c r="AP104" s="76"/>
      <c r="AQ104" s="76"/>
      <c r="AR104" s="76"/>
      <c r="AS104" s="76"/>
      <c r="AT104" s="76">
        <f t="shared" si="40"/>
        <v>4.3927999999999919E-2</v>
      </c>
      <c r="AU104" s="76">
        <f t="shared" si="41"/>
        <v>1.3939999999999986</v>
      </c>
      <c r="AV104" s="76">
        <f t="shared" si="42"/>
        <v>0.94094999999999995</v>
      </c>
      <c r="AW104" s="76">
        <f t="shared" si="19"/>
        <v>0.52274999999999949</v>
      </c>
      <c r="AX104" s="202">
        <f t="shared" si="20"/>
        <v>0.27879999999999971</v>
      </c>
      <c r="AY104" s="63">
        <f>AT104*$AG$4*パラメータ!$D$23</f>
        <v>10.147367999999981</v>
      </c>
      <c r="AZ104" s="1">
        <f>AV104*$AG$7*E104*パラメータ!$D$28</f>
        <v>17.995668749999997</v>
      </c>
      <c r="BA104" s="1">
        <f>SUMPRODUCT($AC$4:$AC$10,$AD$4:$AD$10)*E104*パラメータ!$D$26*10^-3</f>
        <v>6.12</v>
      </c>
      <c r="BB104" s="1">
        <f>(AW104+AX104)*$AG$5*$AG$4*パラメータ!$D$21*10^-3</f>
        <v>3.7873237499999965</v>
      </c>
      <c r="BC104" s="1" t="e">
        <f>(#REF!*#REF!*パラメータ!$D$21+0.5*#REF!^2*SIN(RADIANS($T$10))*パラメータ!$D$24)*E104*10^-3</f>
        <v>#REF!</v>
      </c>
      <c r="BD104" s="1">
        <f t="shared" si="43"/>
        <v>0</v>
      </c>
      <c r="BE104" s="1">
        <f t="shared" si="44"/>
        <v>0</v>
      </c>
      <c r="BF104" s="1">
        <f>IF(G104="端リブ",AT104*$T$13*パラメータ!$D$21*2,0)</f>
        <v>0</v>
      </c>
      <c r="BG104" s="1" t="e">
        <f>'主翼（構造）'!BA60*1000</f>
        <v>#REF!</v>
      </c>
      <c r="BH104" s="1" t="e">
        <f t="shared" si="24"/>
        <v>#REF!</v>
      </c>
      <c r="BI104" s="1" t="e">
        <f t="shared" si="25"/>
        <v>#REF!</v>
      </c>
      <c r="BJ104" s="2">
        <f>(AP104-機体重量!$G$16)^2+(AQ104-機体重量!$H$16)^2</f>
        <v>5.4950777486569501E-4</v>
      </c>
      <c r="BK104" s="2">
        <f>(AQ104-機体重量!$H$16)^2</f>
        <v>3.8816156979940122E-4</v>
      </c>
      <c r="BL104" s="212">
        <f>(AP104-機体重量!$G$16)^2</f>
        <v>1.6134620506629379E-4</v>
      </c>
    </row>
    <row r="105" spans="2:64">
      <c r="B105" s="27">
        <v>54</v>
      </c>
      <c r="C105" s="1">
        <f t="shared" si="45"/>
        <v>8.8500000000000085</v>
      </c>
      <c r="D105" s="1">
        <f t="shared" si="28"/>
        <v>669.99999999999932</v>
      </c>
      <c r="E105" s="4">
        <v>0.15</v>
      </c>
      <c r="F105" s="21" t="str">
        <f t="shared" si="48"/>
        <v>3rd</v>
      </c>
      <c r="G105" s="4" t="str">
        <f t="shared" si="49"/>
        <v>3番</v>
      </c>
      <c r="H105" s="263" t="s">
        <v>1293</v>
      </c>
      <c r="I105" s="63">
        <f t="shared" si="30"/>
        <v>74.102999999999895</v>
      </c>
      <c r="J105" s="1">
        <f t="shared" si="31"/>
        <v>72.926999999999907</v>
      </c>
      <c r="K105" s="1">
        <f t="shared" si="32"/>
        <v>0.375</v>
      </c>
      <c r="L105" s="202"/>
      <c r="M105" s="206"/>
      <c r="N105" s="76"/>
      <c r="O105" s="207"/>
      <c r="P105" s="76"/>
      <c r="Q105" s="76"/>
      <c r="R105" s="76"/>
      <c r="S105" s="76"/>
      <c r="T105" s="76"/>
      <c r="U105" s="76"/>
      <c r="V105" s="76"/>
      <c r="W105" s="76"/>
      <c r="X105" s="76"/>
      <c r="Y105" s="76"/>
      <c r="Z105" s="76"/>
      <c r="AA105" s="76"/>
      <c r="AB105" s="76"/>
      <c r="AC105" s="76"/>
      <c r="AD105" s="63" t="str">
        <f t="shared" si="33"/>
        <v>QX0024</v>
      </c>
      <c r="AE105" s="1">
        <f t="shared" si="21"/>
        <v>100</v>
      </c>
      <c r="AF105" s="1" t="str">
        <f t="shared" si="34"/>
        <v>QX0024</v>
      </c>
      <c r="AG105" s="1">
        <f t="shared" si="35"/>
        <v>0</v>
      </c>
      <c r="AH105" s="1">
        <f t="shared" si="36"/>
        <v>0.25124999999999975</v>
      </c>
      <c r="AI105" s="1">
        <f t="shared" si="37"/>
        <v>-0.41874999999999951</v>
      </c>
      <c r="AJ105" s="1">
        <f t="shared" si="46"/>
        <v>8.0399373047157869</v>
      </c>
      <c r="AK105" s="1">
        <f t="shared" si="47"/>
        <v>0.16452361359694909</v>
      </c>
      <c r="AL105" s="1">
        <f t="shared" si="38"/>
        <v>4.4000000000000004</v>
      </c>
      <c r="AM105" s="7">
        <f t="shared" si="39"/>
        <v>7</v>
      </c>
      <c r="AN105" s="206"/>
      <c r="AO105" s="76"/>
      <c r="AP105" s="76"/>
      <c r="AQ105" s="76"/>
      <c r="AR105" s="76"/>
      <c r="AS105" s="76"/>
      <c r="AT105" s="76">
        <f t="shared" si="40"/>
        <v>4.2645499999999906E-2</v>
      </c>
      <c r="AU105" s="76">
        <f t="shared" si="41"/>
        <v>1.3734999999999984</v>
      </c>
      <c r="AV105" s="76">
        <f t="shared" si="42"/>
        <v>0.94094999999999995</v>
      </c>
      <c r="AW105" s="76">
        <f t="shared" si="19"/>
        <v>0.51506249999999942</v>
      </c>
      <c r="AX105" s="202">
        <f t="shared" si="20"/>
        <v>0.27469999999999967</v>
      </c>
      <c r="AY105" s="63">
        <f>AT105*$AG$4*パラメータ!$D$23</f>
        <v>9.8511104999999795</v>
      </c>
      <c r="AZ105" s="1">
        <f>AV105*$AG$7*E105*パラメータ!$D$28</f>
        <v>17.995668749999997</v>
      </c>
      <c r="BA105" s="1">
        <f>SUMPRODUCT($AC$4:$AC$10,$AD$4:$AD$10)*E105*パラメータ!$D$26*10^-3</f>
        <v>6.12</v>
      </c>
      <c r="BB105" s="1">
        <f>(AW105+AX105)*$AG$5*$AG$4*パラメータ!$D$21*10^-3</f>
        <v>3.7316278124999958</v>
      </c>
      <c r="BC105" s="1" t="e">
        <f>(#REF!*#REF!*パラメータ!$D$21+0.5*#REF!^2*SIN(RADIANS($T$10))*パラメータ!$D$24)*E105*10^-3</f>
        <v>#REF!</v>
      </c>
      <c r="BD105" s="1">
        <f t="shared" si="43"/>
        <v>0</v>
      </c>
      <c r="BE105" s="1">
        <f t="shared" si="44"/>
        <v>0</v>
      </c>
      <c r="BF105" s="1">
        <f>IF(G105="端リブ",AT105*$T$13*パラメータ!$D$21*2,0)</f>
        <v>0</v>
      </c>
      <c r="BG105" s="1" t="e">
        <f>'主翼（構造）'!BA61*1000</f>
        <v>#REF!</v>
      </c>
      <c r="BH105" s="1" t="e">
        <f t="shared" si="24"/>
        <v>#REF!</v>
      </c>
      <c r="BI105" s="1" t="e">
        <f t="shared" si="25"/>
        <v>#REF!</v>
      </c>
      <c r="BJ105" s="2">
        <f>(AP105-機体重量!$G$16)^2+(AQ105-機体重量!$H$16)^2</f>
        <v>5.4950777486569501E-4</v>
      </c>
      <c r="BK105" s="2">
        <f>(AQ105-機体重量!$H$16)^2</f>
        <v>3.8816156979940122E-4</v>
      </c>
      <c r="BL105" s="212">
        <f>(AP105-機体重量!$G$16)^2</f>
        <v>1.6134620506629379E-4</v>
      </c>
    </row>
    <row r="106" spans="2:64">
      <c r="B106" s="97">
        <v>55</v>
      </c>
      <c r="C106" s="1">
        <f t="shared" si="45"/>
        <v>9.0000000000000089</v>
      </c>
      <c r="D106" s="1">
        <f t="shared" si="28"/>
        <v>659.99999999999932</v>
      </c>
      <c r="E106" s="4">
        <v>0.15</v>
      </c>
      <c r="F106" s="21" t="str">
        <f t="shared" si="48"/>
        <v>3rd</v>
      </c>
      <c r="G106" s="4" t="str">
        <f t="shared" si="49"/>
        <v>3番</v>
      </c>
      <c r="H106" s="263" t="s">
        <v>1292</v>
      </c>
      <c r="I106" s="63">
        <f t="shared" si="30"/>
        <v>72.827999999999903</v>
      </c>
      <c r="J106" s="1">
        <f t="shared" si="31"/>
        <v>71.651999999999916</v>
      </c>
      <c r="K106" s="1">
        <f t="shared" si="32"/>
        <v>0.375</v>
      </c>
      <c r="L106" s="202"/>
      <c r="M106" s="206"/>
      <c r="N106" s="76"/>
      <c r="O106" s="207"/>
      <c r="P106" s="76"/>
      <c r="Q106" s="76"/>
      <c r="R106" s="76"/>
      <c r="S106" s="76"/>
      <c r="T106" s="76"/>
      <c r="U106" s="76"/>
      <c r="V106" s="76"/>
      <c r="W106" s="76"/>
      <c r="X106" s="76"/>
      <c r="Y106" s="76"/>
      <c r="Z106" s="76"/>
      <c r="AA106" s="76"/>
      <c r="AB106" s="76"/>
      <c r="AC106" s="76"/>
      <c r="AD106" s="63" t="str">
        <f t="shared" si="33"/>
        <v>QX0024</v>
      </c>
      <c r="AE106" s="1">
        <f t="shared" si="21"/>
        <v>100</v>
      </c>
      <c r="AF106" s="1" t="str">
        <f t="shared" si="34"/>
        <v>QX0024</v>
      </c>
      <c r="AG106" s="1">
        <f t="shared" si="35"/>
        <v>0</v>
      </c>
      <c r="AH106" s="1">
        <f t="shared" si="36"/>
        <v>0.24749999999999975</v>
      </c>
      <c r="AI106" s="1">
        <f t="shared" si="37"/>
        <v>-0.41249999999999964</v>
      </c>
      <c r="AJ106" s="1">
        <f t="shared" si="46"/>
        <v>8.1888192274619858</v>
      </c>
      <c r="AK106" s="1">
        <f t="shared" si="47"/>
        <v>0.18280401510772121</v>
      </c>
      <c r="AL106" s="1">
        <f t="shared" si="38"/>
        <v>4.4000000000000004</v>
      </c>
      <c r="AM106" s="7">
        <f t="shared" si="39"/>
        <v>7</v>
      </c>
      <c r="AN106" s="206"/>
      <c r="AO106" s="76"/>
      <c r="AP106" s="76"/>
      <c r="AQ106" s="76"/>
      <c r="AR106" s="76"/>
      <c r="AS106" s="76"/>
      <c r="AT106" s="76">
        <f t="shared" si="40"/>
        <v>4.1381999999999919E-2</v>
      </c>
      <c r="AU106" s="76">
        <f t="shared" si="41"/>
        <v>1.3529999999999984</v>
      </c>
      <c r="AV106" s="76">
        <f t="shared" si="42"/>
        <v>0.94094999999999995</v>
      </c>
      <c r="AW106" s="76">
        <f t="shared" si="19"/>
        <v>0.50737499999999947</v>
      </c>
      <c r="AX106" s="202">
        <f t="shared" si="20"/>
        <v>0.27059999999999967</v>
      </c>
      <c r="AY106" s="63">
        <f>AT106*$AG$4*パラメータ!$D$23</f>
        <v>9.5592419999999816</v>
      </c>
      <c r="AZ106" s="1">
        <f>AV106*$AG$7*E106*パラメータ!$D$28</f>
        <v>17.995668749999997</v>
      </c>
      <c r="BA106" s="1">
        <f>SUMPRODUCT($AC$4:$AC$10,$AD$4:$AD$10)*E106*パラメータ!$D$26*10^-3</f>
        <v>6.12</v>
      </c>
      <c r="BB106" s="1">
        <f>(AW106+AX106)*$AG$5*$AG$4*パラメータ!$D$21*10^-3</f>
        <v>3.6759318749999963</v>
      </c>
      <c r="BC106" s="1" t="e">
        <f>(#REF!*#REF!*パラメータ!$D$21+0.5*#REF!^2*SIN(RADIANS($T$10))*パラメータ!$D$24)*E106*10^-3</f>
        <v>#REF!</v>
      </c>
      <c r="BD106" s="1">
        <f t="shared" si="43"/>
        <v>0</v>
      </c>
      <c r="BE106" s="1">
        <f t="shared" si="44"/>
        <v>0</v>
      </c>
      <c r="BF106" s="1">
        <f>IF(G106="端リブ",AT106*$T$13*パラメータ!$D$21*2,0)</f>
        <v>0</v>
      </c>
      <c r="BG106" s="1" t="e">
        <f>'主翼（構造）'!BA62*1000</f>
        <v>#REF!</v>
      </c>
      <c r="BH106" s="1" t="e">
        <f t="shared" si="24"/>
        <v>#REF!</v>
      </c>
      <c r="BI106" s="1" t="e">
        <f t="shared" si="25"/>
        <v>#REF!</v>
      </c>
      <c r="BJ106" s="2">
        <f>(AP106-機体重量!$G$16)^2+(AQ106-機体重量!$H$16)^2</f>
        <v>5.4950777486569501E-4</v>
      </c>
      <c r="BK106" s="2">
        <f>(AQ106-機体重量!$H$16)^2</f>
        <v>3.8816156979940122E-4</v>
      </c>
      <c r="BL106" s="212">
        <f>(AP106-機体重量!$G$16)^2</f>
        <v>1.6134620506629379E-4</v>
      </c>
    </row>
    <row r="107" spans="2:64">
      <c r="B107" s="27">
        <v>56</v>
      </c>
      <c r="C107" s="1">
        <f t="shared" si="45"/>
        <v>9.1500000000000092</v>
      </c>
      <c r="D107" s="1">
        <f t="shared" si="28"/>
        <v>649.99999999999932</v>
      </c>
      <c r="E107" s="4">
        <v>0.15</v>
      </c>
      <c r="F107" s="21" t="str">
        <f t="shared" si="48"/>
        <v>3rd</v>
      </c>
      <c r="G107" s="4" t="str">
        <f t="shared" si="49"/>
        <v>3番</v>
      </c>
      <c r="H107" s="263" t="s">
        <v>1293</v>
      </c>
      <c r="I107" s="63">
        <f t="shared" si="30"/>
        <v>71.552999999999898</v>
      </c>
      <c r="J107" s="1">
        <f t="shared" si="31"/>
        <v>70.37699999999991</v>
      </c>
      <c r="K107" s="1">
        <f t="shared" si="32"/>
        <v>0.375</v>
      </c>
      <c r="L107" s="202"/>
      <c r="M107" s="206"/>
      <c r="N107" s="76"/>
      <c r="O107" s="207"/>
      <c r="P107" s="76"/>
      <c r="Q107" s="76"/>
      <c r="R107" s="76"/>
      <c r="S107" s="76"/>
      <c r="T107" s="76"/>
      <c r="U107" s="76"/>
      <c r="V107" s="76"/>
      <c r="W107" s="76"/>
      <c r="X107" s="76"/>
      <c r="Y107" s="76"/>
      <c r="Z107" s="76"/>
      <c r="AA107" s="76"/>
      <c r="AB107" s="76"/>
      <c r="AC107" s="76"/>
      <c r="AD107" s="63" t="str">
        <f t="shared" si="33"/>
        <v>QX0024</v>
      </c>
      <c r="AE107" s="1">
        <f t="shared" si="21"/>
        <v>100</v>
      </c>
      <c r="AF107" s="1" t="str">
        <f t="shared" si="34"/>
        <v>QX0024</v>
      </c>
      <c r="AG107" s="1">
        <f t="shared" si="35"/>
        <v>0</v>
      </c>
      <c r="AH107" s="1">
        <f t="shared" si="36"/>
        <v>0.24374999999999974</v>
      </c>
      <c r="AI107" s="1">
        <f t="shared" si="37"/>
        <v>-0.40624999999999961</v>
      </c>
      <c r="AJ107" s="1">
        <f t="shared" si="46"/>
        <v>8.3377011502081846</v>
      </c>
      <c r="AK107" s="1">
        <f t="shared" si="47"/>
        <v>0.20108441661849333</v>
      </c>
      <c r="AL107" s="1">
        <f t="shared" si="38"/>
        <v>4.4000000000000004</v>
      </c>
      <c r="AM107" s="7">
        <f t="shared" si="39"/>
        <v>7</v>
      </c>
      <c r="AN107" s="206"/>
      <c r="AO107" s="76"/>
      <c r="AP107" s="76"/>
      <c r="AQ107" s="76"/>
      <c r="AR107" s="76"/>
      <c r="AS107" s="76"/>
      <c r="AT107" s="76">
        <f t="shared" si="40"/>
        <v>4.0137499999999923E-2</v>
      </c>
      <c r="AU107" s="76">
        <f t="shared" si="41"/>
        <v>1.3324999999999985</v>
      </c>
      <c r="AV107" s="76">
        <f t="shared" si="42"/>
        <v>0.94094999999999995</v>
      </c>
      <c r="AW107" s="76">
        <f t="shared" si="19"/>
        <v>0.4996874999999994</v>
      </c>
      <c r="AX107" s="202">
        <f t="shared" si="20"/>
        <v>0.26649999999999968</v>
      </c>
      <c r="AY107" s="63">
        <f>AT107*$AG$4*パラメータ!$D$23</f>
        <v>9.2717624999999817</v>
      </c>
      <c r="AZ107" s="1">
        <f>AV107*$AG$7*E107*パラメータ!$D$28</f>
        <v>17.995668749999997</v>
      </c>
      <c r="BA107" s="1">
        <f>SUMPRODUCT($AC$4:$AC$10,$AD$4:$AD$10)*E107*パラメータ!$D$26*10^-3</f>
        <v>6.12</v>
      </c>
      <c r="BB107" s="1">
        <f>(AW107+AX107)*$AG$5*$AG$4*パラメータ!$D$21*10^-3</f>
        <v>3.6202359374999959</v>
      </c>
      <c r="BC107" s="1" t="e">
        <f>(#REF!*#REF!*パラメータ!$D$21+0.5*#REF!^2*SIN(RADIANS($T$10))*パラメータ!$D$24)*E107*10^-3</f>
        <v>#REF!</v>
      </c>
      <c r="BD107" s="1">
        <f t="shared" si="43"/>
        <v>0</v>
      </c>
      <c r="BE107" s="1">
        <f t="shared" si="44"/>
        <v>0</v>
      </c>
      <c r="BF107" s="1">
        <f>IF(G107="端リブ",AT107*$T$13*パラメータ!$D$21*2,0)</f>
        <v>0</v>
      </c>
      <c r="BG107" s="1" t="e">
        <f>'主翼（構造）'!BA63*1000</f>
        <v>#REF!</v>
      </c>
      <c r="BH107" s="1" t="e">
        <f t="shared" si="24"/>
        <v>#REF!</v>
      </c>
      <c r="BI107" s="1" t="e">
        <f t="shared" si="25"/>
        <v>#REF!</v>
      </c>
      <c r="BJ107" s="2">
        <f>(AP107-機体重量!$G$16)^2+(AQ107-機体重量!$H$16)^2</f>
        <v>5.4950777486569501E-4</v>
      </c>
      <c r="BK107" s="2">
        <f>(AQ107-機体重量!$H$16)^2</f>
        <v>3.8816156979940122E-4</v>
      </c>
      <c r="BL107" s="212">
        <f>(AP107-機体重量!$G$16)^2</f>
        <v>1.6134620506629379E-4</v>
      </c>
    </row>
    <row r="108" spans="2:64">
      <c r="B108" s="97">
        <v>57</v>
      </c>
      <c r="C108" s="1">
        <f t="shared" si="45"/>
        <v>9.3000000000000096</v>
      </c>
      <c r="D108" s="1">
        <f t="shared" si="28"/>
        <v>639.99999999999943</v>
      </c>
      <c r="E108" s="4">
        <v>0.15</v>
      </c>
      <c r="F108" s="21" t="s">
        <v>885</v>
      </c>
      <c r="G108" s="4" t="str">
        <f t="shared" si="49"/>
        <v>3番</v>
      </c>
      <c r="H108" s="263" t="s">
        <v>1292</v>
      </c>
      <c r="I108" s="63">
        <f t="shared" si="30"/>
        <v>70.277999999999892</v>
      </c>
      <c r="J108" s="1">
        <f t="shared" si="31"/>
        <v>69.101999999999904</v>
      </c>
      <c r="K108" s="1">
        <f t="shared" si="32"/>
        <v>0.375</v>
      </c>
      <c r="L108" s="202"/>
      <c r="M108" s="206"/>
      <c r="N108" s="76"/>
      <c r="O108" s="207"/>
      <c r="P108" s="76"/>
      <c r="Q108" s="76"/>
      <c r="R108" s="76"/>
      <c r="S108" s="76"/>
      <c r="T108" s="76"/>
      <c r="U108" s="76"/>
      <c r="V108" s="76"/>
      <c r="W108" s="76"/>
      <c r="X108" s="76"/>
      <c r="Y108" s="76"/>
      <c r="Z108" s="76"/>
      <c r="AA108" s="76"/>
      <c r="AB108" s="76"/>
      <c r="AC108" s="76"/>
      <c r="AD108" s="63" t="str">
        <f t="shared" si="33"/>
        <v>QX0024</v>
      </c>
      <c r="AE108" s="1">
        <f t="shared" si="21"/>
        <v>99.999999999999403</v>
      </c>
      <c r="AF108" s="1" t="str">
        <f t="shared" si="34"/>
        <v>QX0124</v>
      </c>
      <c r="AG108" s="1">
        <f t="shared" si="35"/>
        <v>5.9211894646675022E-13</v>
      </c>
      <c r="AH108" s="1">
        <f t="shared" si="36"/>
        <v>0.23999999999999977</v>
      </c>
      <c r="AI108" s="1">
        <f t="shared" si="37"/>
        <v>-0.39999999999999969</v>
      </c>
      <c r="AJ108" s="1">
        <f t="shared" si="46"/>
        <v>8.4865830729543834</v>
      </c>
      <c r="AK108" s="1">
        <f t="shared" si="47"/>
        <v>0.21936481812926545</v>
      </c>
      <c r="AL108" s="1">
        <f t="shared" si="38"/>
        <v>4.4000000000000004</v>
      </c>
      <c r="AM108" s="7">
        <f t="shared" si="39"/>
        <v>7</v>
      </c>
      <c r="AN108" s="206"/>
      <c r="AO108" s="76"/>
      <c r="AP108" s="76"/>
      <c r="AQ108" s="76"/>
      <c r="AR108" s="76"/>
      <c r="AS108" s="76"/>
      <c r="AT108" s="76">
        <f t="shared" si="40"/>
        <v>3.8911999999999933E-2</v>
      </c>
      <c r="AU108" s="76">
        <f t="shared" si="41"/>
        <v>1.3119999999999987</v>
      </c>
      <c r="AV108" s="76">
        <f t="shared" si="42"/>
        <v>0.94094999999999995</v>
      </c>
      <c r="AW108" s="76">
        <f t="shared" si="19"/>
        <v>0.49199999999999955</v>
      </c>
      <c r="AX108" s="202">
        <f t="shared" si="20"/>
        <v>0.26239999999999974</v>
      </c>
      <c r="AY108" s="63">
        <f>AT108*$AG$4*パラメータ!$D$23</f>
        <v>8.9886719999999833</v>
      </c>
      <c r="AZ108" s="1">
        <f>AV108*$AG$7*E108*パラメータ!$D$28</f>
        <v>17.995668749999997</v>
      </c>
      <c r="BA108" s="1">
        <f>SUMPRODUCT($AC$4:$AC$10,$AD$4:$AD$10)*E108*パラメータ!$D$26*10^-3</f>
        <v>6.12</v>
      </c>
      <c r="BB108" s="1">
        <f>(AW108+AX108)*$AG$5*$AG$4*パラメータ!$D$21*10^-3</f>
        <v>3.5645399999999969</v>
      </c>
      <c r="BC108" s="1" t="e">
        <f>(#REF!*#REF!*パラメータ!$D$21+0.5*#REF!^2*SIN(RADIANS($T$10))*パラメータ!$D$24)*E108*10^-3</f>
        <v>#REF!</v>
      </c>
      <c r="BD108" s="1">
        <f t="shared" si="43"/>
        <v>0</v>
      </c>
      <c r="BE108" s="1">
        <f t="shared" si="44"/>
        <v>0</v>
      </c>
      <c r="BF108" s="1">
        <f>IF(G108="端リブ",AT108*$T$13*パラメータ!$D$21*2,0)</f>
        <v>0</v>
      </c>
      <c r="BG108" s="1" t="e">
        <f>'主翼（構造）'!BA64*1000</f>
        <v>#REF!</v>
      </c>
      <c r="BH108" s="1" t="e">
        <f t="shared" si="24"/>
        <v>#REF!</v>
      </c>
      <c r="BI108" s="1" t="e">
        <f t="shared" si="25"/>
        <v>#REF!</v>
      </c>
      <c r="BJ108" s="2">
        <f>(AP108-機体重量!$G$16)^2+(AQ108-機体重量!$H$16)^2</f>
        <v>5.4950777486569501E-4</v>
      </c>
      <c r="BK108" s="2">
        <f>(AQ108-機体重量!$H$16)^2</f>
        <v>3.8816156979940122E-4</v>
      </c>
      <c r="BL108" s="212">
        <f>(AP108-機体重量!$G$16)^2</f>
        <v>1.6134620506629379E-4</v>
      </c>
    </row>
    <row r="109" spans="2:64">
      <c r="B109" s="27">
        <v>58</v>
      </c>
      <c r="C109" s="1">
        <f t="shared" si="45"/>
        <v>9.4500000000000099</v>
      </c>
      <c r="D109" s="1">
        <f t="shared" si="28"/>
        <v>629.99999999999943</v>
      </c>
      <c r="E109" s="4">
        <v>0.15</v>
      </c>
      <c r="F109" s="21" t="str">
        <f t="shared" ref="F109:F117" si="50">IF(C109&lt;$H$7,"flat",IF(C109&lt;$H$8,"1st",IF(C109&lt;$H$9,"2nd",IF(C109&lt;$H$10,"3rd",IF(C109&lt;$H$11,"4th",IF(C109&lt;$H$12,"5th","6th"))))))</f>
        <v>4th</v>
      </c>
      <c r="G109" s="4" t="str">
        <f t="shared" si="49"/>
        <v>3番</v>
      </c>
      <c r="H109" s="263" t="s">
        <v>1293</v>
      </c>
      <c r="I109" s="63">
        <f t="shared" si="30"/>
        <v>69.002999999999886</v>
      </c>
      <c r="J109" s="1">
        <f t="shared" si="31"/>
        <v>67.826999999999899</v>
      </c>
      <c r="K109" s="1">
        <f t="shared" si="32"/>
        <v>0.375</v>
      </c>
      <c r="L109" s="202"/>
      <c r="M109" s="206"/>
      <c r="N109" s="76"/>
      <c r="O109" s="207"/>
      <c r="P109" s="76"/>
      <c r="Q109" s="76"/>
      <c r="R109" s="76"/>
      <c r="S109" s="76"/>
      <c r="T109" s="76"/>
      <c r="U109" s="76"/>
      <c r="V109" s="76"/>
      <c r="W109" s="76"/>
      <c r="X109" s="76"/>
      <c r="Y109" s="76"/>
      <c r="Z109" s="76"/>
      <c r="AA109" s="76"/>
      <c r="AB109" s="76"/>
      <c r="AC109" s="76"/>
      <c r="AD109" s="63" t="str">
        <f t="shared" si="33"/>
        <v>QX0024</v>
      </c>
      <c r="AE109" s="1">
        <f t="shared" si="21"/>
        <v>89.999999999999389</v>
      </c>
      <c r="AF109" s="1" t="str">
        <f t="shared" si="34"/>
        <v>QX0124</v>
      </c>
      <c r="AG109" s="1">
        <f t="shared" si="35"/>
        <v>10.000000000000615</v>
      </c>
      <c r="AH109" s="1">
        <f t="shared" si="36"/>
        <v>0.23624999999999977</v>
      </c>
      <c r="AI109" s="1">
        <f t="shared" si="37"/>
        <v>-0.39374999999999971</v>
      </c>
      <c r="AJ109" s="1">
        <f t="shared" si="46"/>
        <v>8.6354649957005822</v>
      </c>
      <c r="AK109" s="1">
        <f t="shared" si="47"/>
        <v>0.23764521964003757</v>
      </c>
      <c r="AL109" s="1">
        <f t="shared" si="38"/>
        <v>4.4000000000000004</v>
      </c>
      <c r="AM109" s="7">
        <f t="shared" si="39"/>
        <v>7</v>
      </c>
      <c r="AN109" s="206"/>
      <c r="AO109" s="76"/>
      <c r="AP109" s="76"/>
      <c r="AQ109" s="76"/>
      <c r="AR109" s="76"/>
      <c r="AS109" s="76"/>
      <c r="AT109" s="76">
        <f t="shared" si="40"/>
        <v>3.7705499999999934E-2</v>
      </c>
      <c r="AU109" s="76">
        <f t="shared" si="41"/>
        <v>1.2914999999999985</v>
      </c>
      <c r="AV109" s="76">
        <f t="shared" si="42"/>
        <v>0.94094999999999995</v>
      </c>
      <c r="AW109" s="76">
        <f t="shared" si="19"/>
        <v>0.48431249999999948</v>
      </c>
      <c r="AX109" s="202">
        <f t="shared" si="20"/>
        <v>0.2582999999999997</v>
      </c>
      <c r="AY109" s="63">
        <f>AT109*$AG$4*パラメータ!$D$23</f>
        <v>8.7099704999999847</v>
      </c>
      <c r="AZ109" s="1">
        <f>AV109*$AG$7*E109*パラメータ!$D$28</f>
        <v>17.995668749999997</v>
      </c>
      <c r="BA109" s="1">
        <f>SUMPRODUCT($AC$4:$AC$10,$AD$4:$AD$10)*E109*パラメータ!$D$26*10^-3</f>
        <v>6.12</v>
      </c>
      <c r="BB109" s="1">
        <f>(AW109+AX109)*$AG$5*$AG$4*パラメータ!$D$21*10^-3</f>
        <v>3.5088440624999966</v>
      </c>
      <c r="BC109" s="1" t="e">
        <f>(#REF!*#REF!*パラメータ!$D$21+0.5*#REF!^2*SIN(RADIANS($T$10))*パラメータ!$D$24)*E109*10^-3</f>
        <v>#REF!</v>
      </c>
      <c r="BD109" s="1">
        <f t="shared" si="43"/>
        <v>0</v>
      </c>
      <c r="BE109" s="1">
        <f t="shared" si="44"/>
        <v>0</v>
      </c>
      <c r="BF109" s="1">
        <f>IF(G109="端リブ",AT109*$T$13*パラメータ!$D$21*2,0)</f>
        <v>0</v>
      </c>
      <c r="BG109" s="1" t="e">
        <f>'主翼（構造）'!BA65*1000</f>
        <v>#REF!</v>
      </c>
      <c r="BH109" s="1" t="e">
        <f t="shared" si="24"/>
        <v>#REF!</v>
      </c>
      <c r="BI109" s="1" t="e">
        <f t="shared" si="25"/>
        <v>#REF!</v>
      </c>
      <c r="BJ109" s="2">
        <f>(AP109-機体重量!$G$16)^2+(AQ109-機体重量!$H$16)^2</f>
        <v>5.4950777486569501E-4</v>
      </c>
      <c r="BK109" s="2">
        <f>(AQ109-機体重量!$H$16)^2</f>
        <v>3.8816156979940122E-4</v>
      </c>
      <c r="BL109" s="212">
        <f>(AP109-機体重量!$G$16)^2</f>
        <v>1.6134620506629379E-4</v>
      </c>
    </row>
    <row r="110" spans="2:64">
      <c r="B110" s="97">
        <v>59</v>
      </c>
      <c r="C110" s="1">
        <f t="shared" si="45"/>
        <v>9.6000000000000103</v>
      </c>
      <c r="D110" s="1">
        <f t="shared" si="28"/>
        <v>619.99999999999943</v>
      </c>
      <c r="E110" s="4">
        <v>0.15</v>
      </c>
      <c r="F110" s="21" t="str">
        <f t="shared" si="50"/>
        <v>4th</v>
      </c>
      <c r="G110" s="4" t="str">
        <f t="shared" si="49"/>
        <v>3番</v>
      </c>
      <c r="H110" s="263" t="s">
        <v>1292</v>
      </c>
      <c r="I110" s="63">
        <f t="shared" si="30"/>
        <v>67.727999999999881</v>
      </c>
      <c r="J110" s="1">
        <f t="shared" si="31"/>
        <v>66.551999999999893</v>
      </c>
      <c r="K110" s="1">
        <f t="shared" si="32"/>
        <v>0.375</v>
      </c>
      <c r="L110" s="202"/>
      <c r="M110" s="206"/>
      <c r="N110" s="76"/>
      <c r="O110" s="207"/>
      <c r="P110" s="76"/>
      <c r="Q110" s="76"/>
      <c r="R110" s="76"/>
      <c r="S110" s="76"/>
      <c r="T110" s="76"/>
      <c r="U110" s="76"/>
      <c r="V110" s="76"/>
      <c r="W110" s="76"/>
      <c r="X110" s="76"/>
      <c r="Y110" s="76"/>
      <c r="Z110" s="76"/>
      <c r="AA110" s="76"/>
      <c r="AB110" s="76"/>
      <c r="AC110" s="76"/>
      <c r="AD110" s="63" t="str">
        <f t="shared" si="33"/>
        <v>QX0024</v>
      </c>
      <c r="AE110" s="1">
        <f t="shared" si="21"/>
        <v>79.999999999999361</v>
      </c>
      <c r="AF110" s="1" t="str">
        <f t="shared" si="34"/>
        <v>QX0124</v>
      </c>
      <c r="AG110" s="1">
        <f t="shared" si="35"/>
        <v>20.000000000000639</v>
      </c>
      <c r="AH110" s="1">
        <f t="shared" si="36"/>
        <v>0.23249999999999976</v>
      </c>
      <c r="AI110" s="1">
        <f t="shared" si="37"/>
        <v>-0.38749999999999968</v>
      </c>
      <c r="AJ110" s="1">
        <f t="shared" si="46"/>
        <v>8.7843469184467811</v>
      </c>
      <c r="AK110" s="1">
        <f t="shared" si="47"/>
        <v>0.25592562115080969</v>
      </c>
      <c r="AL110" s="1">
        <f t="shared" si="38"/>
        <v>4.4000000000000004</v>
      </c>
      <c r="AM110" s="7">
        <f t="shared" si="39"/>
        <v>7</v>
      </c>
      <c r="AN110" s="206"/>
      <c r="AO110" s="76"/>
      <c r="AP110" s="76"/>
      <c r="AQ110" s="76"/>
      <c r="AR110" s="76"/>
      <c r="AS110" s="76"/>
      <c r="AT110" s="76">
        <f t="shared" si="40"/>
        <v>3.6517999999999932E-2</v>
      </c>
      <c r="AU110" s="76">
        <f t="shared" si="41"/>
        <v>1.2709999999999986</v>
      </c>
      <c r="AV110" s="76">
        <f t="shared" si="42"/>
        <v>0.94094999999999995</v>
      </c>
      <c r="AW110" s="76">
        <f t="shared" si="19"/>
        <v>0.47662499999999947</v>
      </c>
      <c r="AX110" s="202">
        <f t="shared" si="20"/>
        <v>0.2541999999999997</v>
      </c>
      <c r="AY110" s="63">
        <f>AT110*$AG$4*パラメータ!$D$23</f>
        <v>8.4356579999999841</v>
      </c>
      <c r="AZ110" s="1">
        <f>AV110*$AG$7*E110*パラメータ!$D$28</f>
        <v>17.995668749999997</v>
      </c>
      <c r="BA110" s="1">
        <f>SUMPRODUCT($AC$4:$AC$10,$AD$4:$AD$10)*E110*パラメータ!$D$26*10^-3</f>
        <v>6.12</v>
      </c>
      <c r="BB110" s="1">
        <f>(AW110+AX110)*$AG$5*$AG$4*パラメータ!$D$21*10^-3</f>
        <v>3.4531481249999958</v>
      </c>
      <c r="BC110" s="1" t="e">
        <f>(#REF!*#REF!*パラメータ!$D$21+0.5*#REF!^2*SIN(RADIANS($T$10))*パラメータ!$D$24)*E110*10^-3</f>
        <v>#REF!</v>
      </c>
      <c r="BD110" s="1">
        <f t="shared" si="43"/>
        <v>0</v>
      </c>
      <c r="BE110" s="1">
        <f t="shared" si="44"/>
        <v>0</v>
      </c>
      <c r="BF110" s="1">
        <f>IF(G110="端リブ",AT110*$T$13*パラメータ!$D$21*2,0)</f>
        <v>0</v>
      </c>
      <c r="BG110" s="1" t="e">
        <f>'主翼（構造）'!BA66*1000</f>
        <v>#REF!</v>
      </c>
      <c r="BH110" s="1" t="e">
        <f t="shared" si="24"/>
        <v>#REF!</v>
      </c>
      <c r="BI110" s="1" t="e">
        <f t="shared" si="25"/>
        <v>#REF!</v>
      </c>
      <c r="BJ110" s="2">
        <f>(AP110-機体重量!$G$16)^2+(AQ110-機体重量!$H$16)^2</f>
        <v>5.4950777486569501E-4</v>
      </c>
      <c r="BK110" s="2">
        <f>(AQ110-機体重量!$H$16)^2</f>
        <v>3.8816156979940122E-4</v>
      </c>
      <c r="BL110" s="212">
        <f>(AP110-機体重量!$G$16)^2</f>
        <v>1.6134620506629379E-4</v>
      </c>
    </row>
    <row r="111" spans="2:64">
      <c r="B111" s="27">
        <v>60</v>
      </c>
      <c r="C111" s="1">
        <f t="shared" si="45"/>
        <v>9.7500000000000107</v>
      </c>
      <c r="D111" s="1">
        <f t="shared" si="28"/>
        <v>609.99999999999943</v>
      </c>
      <c r="E111" s="4">
        <v>0.15</v>
      </c>
      <c r="F111" s="21" t="str">
        <f t="shared" si="50"/>
        <v>4th</v>
      </c>
      <c r="G111" s="4" t="str">
        <f t="shared" si="49"/>
        <v>3番</v>
      </c>
      <c r="H111" s="263" t="s">
        <v>1293</v>
      </c>
      <c r="I111" s="63">
        <f t="shared" si="30"/>
        <v>66.452999999999889</v>
      </c>
      <c r="J111" s="1">
        <f t="shared" si="31"/>
        <v>65.276999999999902</v>
      </c>
      <c r="K111" s="1">
        <f t="shared" si="32"/>
        <v>0.375</v>
      </c>
      <c r="L111" s="202"/>
      <c r="M111" s="206"/>
      <c r="N111" s="76"/>
      <c r="O111" s="207"/>
      <c r="P111" s="76"/>
      <c r="Q111" s="76"/>
      <c r="R111" s="76"/>
      <c r="S111" s="76"/>
      <c r="T111" s="76"/>
      <c r="U111" s="76"/>
      <c r="V111" s="76"/>
      <c r="W111" s="76"/>
      <c r="X111" s="76"/>
      <c r="Y111" s="76"/>
      <c r="Z111" s="76"/>
      <c r="AA111" s="76"/>
      <c r="AB111" s="76"/>
      <c r="AC111" s="76"/>
      <c r="AD111" s="63" t="str">
        <f t="shared" si="33"/>
        <v>QX0024</v>
      </c>
      <c r="AE111" s="1">
        <f t="shared" si="21"/>
        <v>69.999999999999332</v>
      </c>
      <c r="AF111" s="1" t="str">
        <f t="shared" si="34"/>
        <v>QX0124</v>
      </c>
      <c r="AG111" s="1">
        <f t="shared" si="35"/>
        <v>30.000000000000664</v>
      </c>
      <c r="AH111" s="1">
        <f t="shared" si="36"/>
        <v>0.22874999999999976</v>
      </c>
      <c r="AI111" s="1">
        <f t="shared" si="37"/>
        <v>-0.38124999999999964</v>
      </c>
      <c r="AJ111" s="1">
        <f t="shared" si="46"/>
        <v>8.9332288411929799</v>
      </c>
      <c r="AK111" s="1">
        <f t="shared" si="47"/>
        <v>0.27420602266158178</v>
      </c>
      <c r="AL111" s="1">
        <f t="shared" si="38"/>
        <v>4.4000000000000004</v>
      </c>
      <c r="AM111" s="7">
        <f t="shared" si="39"/>
        <v>7</v>
      </c>
      <c r="AN111" s="206"/>
      <c r="AO111" s="76"/>
      <c r="AP111" s="76"/>
      <c r="AQ111" s="76"/>
      <c r="AR111" s="76"/>
      <c r="AS111" s="76"/>
      <c r="AT111" s="76">
        <f t="shared" si="40"/>
        <v>3.5349499999999937E-2</v>
      </c>
      <c r="AU111" s="76">
        <f t="shared" si="41"/>
        <v>1.2504999999999986</v>
      </c>
      <c r="AV111" s="76">
        <f t="shared" si="42"/>
        <v>0.94094999999999995</v>
      </c>
      <c r="AW111" s="76">
        <f t="shared" si="19"/>
        <v>0.46893749999999945</v>
      </c>
      <c r="AX111" s="202">
        <f t="shared" si="20"/>
        <v>0.25009999999999971</v>
      </c>
      <c r="AY111" s="63">
        <f>AT111*$AG$4*パラメータ!$D$23</f>
        <v>8.165734499999985</v>
      </c>
      <c r="AZ111" s="1">
        <f>AV111*$AG$7*E111*パラメータ!$D$28</f>
        <v>17.995668749999997</v>
      </c>
      <c r="BA111" s="1">
        <f>SUMPRODUCT($AC$4:$AC$10,$AD$4:$AD$10)*E111*パラメータ!$D$26*10^-3</f>
        <v>6.12</v>
      </c>
      <c r="BB111" s="1">
        <f>(AW111+AX111)*$AG$5*$AG$4*パラメータ!$D$21*10^-3</f>
        <v>3.3974521874999954</v>
      </c>
      <c r="BC111" s="1" t="e">
        <f>(#REF!*#REF!*パラメータ!$D$21+0.5*#REF!^2*SIN(RADIANS($T$10))*パラメータ!$D$24)*E111*10^-3</f>
        <v>#REF!</v>
      </c>
      <c r="BD111" s="1">
        <f t="shared" si="43"/>
        <v>0</v>
      </c>
      <c r="BE111" s="1">
        <f t="shared" si="44"/>
        <v>0</v>
      </c>
      <c r="BF111" s="1">
        <f>IF(G111="端リブ",AT111*$T$13*パラメータ!$D$21*2,0)</f>
        <v>0</v>
      </c>
      <c r="BG111" s="1" t="e">
        <f>'主翼（構造）'!BA67*1000</f>
        <v>#REF!</v>
      </c>
      <c r="BH111" s="1" t="e">
        <f t="shared" si="24"/>
        <v>#REF!</v>
      </c>
      <c r="BI111" s="1" t="e">
        <f t="shared" si="25"/>
        <v>#REF!</v>
      </c>
      <c r="BJ111" s="2">
        <f>(AP111-機体重量!$G$16)^2+(AQ111-機体重量!$H$16)^2</f>
        <v>5.4950777486569501E-4</v>
      </c>
      <c r="BK111" s="2">
        <f>(AQ111-機体重量!$H$16)^2</f>
        <v>3.8816156979940122E-4</v>
      </c>
      <c r="BL111" s="212">
        <f>(AP111-機体重量!$G$16)^2</f>
        <v>1.6134620506629379E-4</v>
      </c>
    </row>
    <row r="112" spans="2:64">
      <c r="B112" s="27">
        <v>61</v>
      </c>
      <c r="C112" s="1">
        <f t="shared" si="45"/>
        <v>9.900000000000011</v>
      </c>
      <c r="D112" s="1">
        <f t="shared" si="28"/>
        <v>599.99999999999943</v>
      </c>
      <c r="E112" s="4">
        <v>0.15</v>
      </c>
      <c r="F112" s="21" t="str">
        <f t="shared" si="50"/>
        <v>4th</v>
      </c>
      <c r="G112" s="4" t="str">
        <f t="shared" si="49"/>
        <v>3番</v>
      </c>
      <c r="H112" s="263" t="s">
        <v>1292</v>
      </c>
      <c r="I112" s="63">
        <f t="shared" si="30"/>
        <v>65.177999999999884</v>
      </c>
      <c r="J112" s="1">
        <f t="shared" si="31"/>
        <v>64.001999999999896</v>
      </c>
      <c r="K112" s="1">
        <f t="shared" si="32"/>
        <v>0.375</v>
      </c>
      <c r="L112" s="202"/>
      <c r="M112" s="206"/>
      <c r="N112" s="76"/>
      <c r="O112" s="207"/>
      <c r="P112" s="76"/>
      <c r="Q112" s="76"/>
      <c r="R112" s="76"/>
      <c r="S112" s="76"/>
      <c r="T112" s="76"/>
      <c r="U112" s="76"/>
      <c r="V112" s="76"/>
      <c r="W112" s="76"/>
      <c r="X112" s="76"/>
      <c r="Y112" s="76"/>
      <c r="Z112" s="76"/>
      <c r="AA112" s="76"/>
      <c r="AB112" s="76"/>
      <c r="AC112" s="76"/>
      <c r="AD112" s="63" t="str">
        <f t="shared" si="33"/>
        <v>QX0024</v>
      </c>
      <c r="AE112" s="1">
        <f t="shared" ref="AE112:AE129" si="51">100-AG112</f>
        <v>59.999999999999318</v>
      </c>
      <c r="AF112" s="1" t="str">
        <f t="shared" si="34"/>
        <v>QX0124</v>
      </c>
      <c r="AG112" s="1">
        <f t="shared" si="35"/>
        <v>40.000000000000682</v>
      </c>
      <c r="AH112" s="1">
        <f t="shared" si="36"/>
        <v>0.22499999999999978</v>
      </c>
      <c r="AI112" s="1">
        <f t="shared" si="37"/>
        <v>-0.37499999999999967</v>
      </c>
      <c r="AJ112" s="1">
        <f t="shared" si="46"/>
        <v>9.0821107639391787</v>
      </c>
      <c r="AK112" s="1">
        <f t="shared" si="47"/>
        <v>0.29248642417235393</v>
      </c>
      <c r="AL112" s="1">
        <f t="shared" si="38"/>
        <v>4.4000000000000004</v>
      </c>
      <c r="AM112" s="7">
        <f t="shared" si="39"/>
        <v>7</v>
      </c>
      <c r="AN112" s="206"/>
      <c r="AO112" s="76"/>
      <c r="AP112" s="76"/>
      <c r="AQ112" s="76"/>
      <c r="AR112" s="76"/>
      <c r="AS112" s="76"/>
      <c r="AT112" s="76">
        <f t="shared" si="40"/>
        <v>3.4199999999999939E-2</v>
      </c>
      <c r="AU112" s="76">
        <f t="shared" si="41"/>
        <v>1.2299999999999986</v>
      </c>
      <c r="AV112" s="76">
        <f t="shared" si="42"/>
        <v>0.94094999999999995</v>
      </c>
      <c r="AW112" s="76">
        <f t="shared" ref="AW112:AW129" si="52">AU112*0.75/2</f>
        <v>0.46124999999999949</v>
      </c>
      <c r="AX112" s="202">
        <f t="shared" ref="AX112:AX129" si="53">AU112*0.4/2</f>
        <v>0.24599999999999975</v>
      </c>
      <c r="AY112" s="63">
        <f>AT112*$AG$4*パラメータ!$D$23</f>
        <v>7.9001999999999857</v>
      </c>
      <c r="AZ112" s="1">
        <f>AV112*$AG$7*E112*パラメータ!$D$28</f>
        <v>17.995668749999997</v>
      </c>
      <c r="BA112" s="1">
        <f>SUMPRODUCT($AC$4:$AC$10,$AD$4:$AD$10)*E112*パラメータ!$D$26*10^-3</f>
        <v>6.12</v>
      </c>
      <c r="BB112" s="1">
        <f>(AW112+AX112)*$AG$5*$AG$4*パラメータ!$D$21*10^-3</f>
        <v>3.3417562499999969</v>
      </c>
      <c r="BC112" s="1" t="e">
        <f>(#REF!*#REF!*パラメータ!$D$21+0.5*#REF!^2*SIN(RADIANS($T$10))*パラメータ!$D$24)*E112*10^-3</f>
        <v>#REF!</v>
      </c>
      <c r="BD112" s="1">
        <f t="shared" si="43"/>
        <v>0</v>
      </c>
      <c r="BE112" s="1">
        <f t="shared" si="44"/>
        <v>0</v>
      </c>
      <c r="BF112" s="1">
        <f>IF(G112="端リブ",AT112*$T$13*パラメータ!$D$21*2,0)</f>
        <v>0</v>
      </c>
      <c r="BG112" s="1">
        <f>'主翼（構造）'!BA68*1000</f>
        <v>0</v>
      </c>
      <c r="BH112" s="1" t="e">
        <f t="shared" ref="BH112:BH129" si="54">SUM(AY112:BF112)</f>
        <v>#REF!</v>
      </c>
      <c r="BI112" s="1" t="e">
        <f t="shared" ref="BI112:BI129" si="55">(BG112+BH112)/1000</f>
        <v>#REF!</v>
      </c>
      <c r="BJ112" s="2">
        <f>(AP112-機体重量!$G$16)^2+(AQ112-機体重量!$H$16)^2</f>
        <v>5.4950777486569501E-4</v>
      </c>
      <c r="BK112" s="2">
        <f>(AQ112-機体重量!$H$16)^2</f>
        <v>3.8816156979940122E-4</v>
      </c>
      <c r="BL112" s="212">
        <f>(AP112-機体重量!$G$16)^2</f>
        <v>1.6134620506629379E-4</v>
      </c>
    </row>
    <row r="113" spans="2:64">
      <c r="B113" s="27">
        <v>62</v>
      </c>
      <c r="C113" s="1">
        <f t="shared" si="45"/>
        <v>10.050000000000011</v>
      </c>
      <c r="D113" s="1">
        <f t="shared" si="28"/>
        <v>589.99999999999932</v>
      </c>
      <c r="E113" s="4">
        <v>0.15</v>
      </c>
      <c r="F113" s="21" t="str">
        <f t="shared" si="50"/>
        <v>4th</v>
      </c>
      <c r="G113" s="4" t="str">
        <f t="shared" si="49"/>
        <v>3番</v>
      </c>
      <c r="H113" s="263" t="s">
        <v>1293</v>
      </c>
      <c r="I113" s="63">
        <f t="shared" si="30"/>
        <v>63.902999999999878</v>
      </c>
      <c r="J113" s="1">
        <f t="shared" si="31"/>
        <v>62.72699999999989</v>
      </c>
      <c r="K113" s="1">
        <f t="shared" si="32"/>
        <v>0.375</v>
      </c>
      <c r="L113" s="202"/>
      <c r="M113" s="206"/>
      <c r="N113" s="76"/>
      <c r="O113" s="207"/>
      <c r="P113" s="76"/>
      <c r="Q113" s="76"/>
      <c r="R113" s="76"/>
      <c r="S113" s="76"/>
      <c r="T113" s="76"/>
      <c r="U113" s="76"/>
      <c r="V113" s="76"/>
      <c r="W113" s="76"/>
      <c r="X113" s="76"/>
      <c r="Y113" s="76"/>
      <c r="Z113" s="76"/>
      <c r="AA113" s="76"/>
      <c r="AB113" s="76"/>
      <c r="AC113" s="76"/>
      <c r="AD113" s="63" t="str">
        <f t="shared" si="33"/>
        <v>QX0024</v>
      </c>
      <c r="AE113" s="1">
        <f t="shared" si="51"/>
        <v>49.999999999999289</v>
      </c>
      <c r="AF113" s="1" t="str">
        <f t="shared" si="34"/>
        <v>QX0124</v>
      </c>
      <c r="AG113" s="1">
        <f t="shared" si="35"/>
        <v>50.000000000000711</v>
      </c>
      <c r="AH113" s="1">
        <f t="shared" si="36"/>
        <v>0.22124999999999975</v>
      </c>
      <c r="AI113" s="1">
        <f t="shared" si="37"/>
        <v>-0.36874999999999958</v>
      </c>
      <c r="AJ113" s="1">
        <f t="shared" si="46"/>
        <v>9.2309926866853775</v>
      </c>
      <c r="AK113" s="1">
        <f t="shared" si="47"/>
        <v>0.31076682568312608</v>
      </c>
      <c r="AL113" s="1">
        <f t="shared" si="38"/>
        <v>4.4000000000000004</v>
      </c>
      <c r="AM113" s="7">
        <f t="shared" si="39"/>
        <v>7</v>
      </c>
      <c r="AN113" s="206"/>
      <c r="AO113" s="76"/>
      <c r="AP113" s="76"/>
      <c r="AQ113" s="76"/>
      <c r="AR113" s="76"/>
      <c r="AS113" s="76"/>
      <c r="AT113" s="76">
        <f t="shared" si="40"/>
        <v>3.3069499999999925E-2</v>
      </c>
      <c r="AU113" s="76">
        <f t="shared" si="41"/>
        <v>1.2094999999999985</v>
      </c>
      <c r="AV113" s="76">
        <f t="shared" si="42"/>
        <v>0.94094999999999995</v>
      </c>
      <c r="AW113" s="76">
        <f t="shared" si="52"/>
        <v>0.45356249999999942</v>
      </c>
      <c r="AX113" s="202">
        <f t="shared" si="53"/>
        <v>0.2418999999999997</v>
      </c>
      <c r="AY113" s="63">
        <f>AT113*$AG$4*パラメータ!$D$23</f>
        <v>7.6390544999999825</v>
      </c>
      <c r="AZ113" s="1">
        <f>AV113*$AG$7*E113*パラメータ!$D$28</f>
        <v>17.995668749999997</v>
      </c>
      <c r="BA113" s="1">
        <f>SUMPRODUCT($AC$4:$AC$10,$AD$4:$AD$10)*E113*パラメータ!$D$26*10^-3</f>
        <v>6.12</v>
      </c>
      <c r="BB113" s="1">
        <f>(AW113+AX113)*$AG$5*$AG$4*パラメータ!$D$21*10^-3</f>
        <v>3.2860603124999952</v>
      </c>
      <c r="BC113" s="1" t="e">
        <f>(#REF!*#REF!*パラメータ!$D$21+0.5*#REF!^2*SIN(RADIANS($T$10))*パラメータ!$D$24)*E113*10^-3</f>
        <v>#REF!</v>
      </c>
      <c r="BD113" s="1">
        <f t="shared" si="43"/>
        <v>0</v>
      </c>
      <c r="BE113" s="1">
        <f t="shared" si="44"/>
        <v>0</v>
      </c>
      <c r="BF113" s="1">
        <f>IF(G113="端リブ",AT113*$T$13*パラメータ!$D$21*2,0)</f>
        <v>0</v>
      </c>
      <c r="BG113" s="1">
        <f>'主翼（構造）'!BA69*1000</f>
        <v>0</v>
      </c>
      <c r="BH113" s="1" t="e">
        <f t="shared" si="54"/>
        <v>#REF!</v>
      </c>
      <c r="BI113" s="1" t="e">
        <f t="shared" si="55"/>
        <v>#REF!</v>
      </c>
      <c r="BJ113" s="2">
        <f>(AP113-機体重量!$G$16)^2+(AQ113-機体重量!$H$16)^2</f>
        <v>5.4950777486569501E-4</v>
      </c>
      <c r="BK113" s="2">
        <f>(AQ113-機体重量!$H$16)^2</f>
        <v>3.8816156979940122E-4</v>
      </c>
      <c r="BL113" s="212">
        <f>(AP113-機体重量!$G$16)^2</f>
        <v>1.6134620506629379E-4</v>
      </c>
    </row>
    <row r="114" spans="2:64">
      <c r="B114" s="27">
        <v>63</v>
      </c>
      <c r="C114" s="1">
        <f t="shared" si="45"/>
        <v>10.200000000000012</v>
      </c>
      <c r="D114" s="1">
        <f t="shared" si="28"/>
        <v>579.99999999999932</v>
      </c>
      <c r="E114" s="4">
        <v>0.15</v>
      </c>
      <c r="F114" s="21" t="str">
        <f t="shared" si="50"/>
        <v>4th</v>
      </c>
      <c r="G114" s="4" t="str">
        <f t="shared" si="49"/>
        <v>3番</v>
      </c>
      <c r="H114" s="263" t="s">
        <v>1292</v>
      </c>
      <c r="I114" s="63">
        <f t="shared" si="30"/>
        <v>62.627999999999872</v>
      </c>
      <c r="J114" s="1">
        <f t="shared" si="31"/>
        <v>61.451999999999884</v>
      </c>
      <c r="K114" s="1">
        <f t="shared" si="32"/>
        <v>0.375</v>
      </c>
      <c r="L114" s="202"/>
      <c r="M114" s="206"/>
      <c r="N114" s="76"/>
      <c r="O114" s="207"/>
      <c r="P114" s="76"/>
      <c r="Q114" s="76"/>
      <c r="R114" s="76"/>
      <c r="S114" s="76"/>
      <c r="T114" s="76"/>
      <c r="U114" s="76"/>
      <c r="V114" s="76"/>
      <c r="W114" s="76"/>
      <c r="X114" s="76"/>
      <c r="Y114" s="76"/>
      <c r="Z114" s="76"/>
      <c r="AA114" s="76"/>
      <c r="AB114" s="76"/>
      <c r="AC114" s="76"/>
      <c r="AD114" s="63" t="str">
        <f t="shared" si="33"/>
        <v>QX0024</v>
      </c>
      <c r="AE114" s="1">
        <f t="shared" si="51"/>
        <v>39.999999999999268</v>
      </c>
      <c r="AF114" s="1" t="str">
        <f t="shared" si="34"/>
        <v>QX0124</v>
      </c>
      <c r="AG114" s="1">
        <f t="shared" si="35"/>
        <v>60.000000000000732</v>
      </c>
      <c r="AH114" s="1">
        <f t="shared" si="36"/>
        <v>0.21749999999999975</v>
      </c>
      <c r="AI114" s="1">
        <f t="shared" si="37"/>
        <v>-0.36249999999999954</v>
      </c>
      <c r="AJ114" s="1">
        <f t="shared" si="46"/>
        <v>9.3798746094315764</v>
      </c>
      <c r="AK114" s="1">
        <f t="shared" si="47"/>
        <v>0.32904722719389823</v>
      </c>
      <c r="AL114" s="1">
        <f t="shared" si="38"/>
        <v>4.4000000000000004</v>
      </c>
      <c r="AM114" s="7">
        <f t="shared" si="39"/>
        <v>7</v>
      </c>
      <c r="AN114" s="206"/>
      <c r="AO114" s="76"/>
      <c r="AP114" s="76"/>
      <c r="AQ114" s="76"/>
      <c r="AR114" s="76"/>
      <c r="AS114" s="76"/>
      <c r="AT114" s="76">
        <f t="shared" si="40"/>
        <v>3.1957999999999924E-2</v>
      </c>
      <c r="AU114" s="76">
        <f t="shared" si="41"/>
        <v>1.1889999999999985</v>
      </c>
      <c r="AV114" s="76">
        <f t="shared" si="42"/>
        <v>0.94094999999999995</v>
      </c>
      <c r="AW114" s="76">
        <f t="shared" si="52"/>
        <v>0.44587499999999947</v>
      </c>
      <c r="AX114" s="202">
        <f t="shared" si="53"/>
        <v>0.23779999999999971</v>
      </c>
      <c r="AY114" s="63">
        <f>AT114*$AG$4*パラメータ!$D$23</f>
        <v>7.3822979999999818</v>
      </c>
      <c r="AZ114" s="1">
        <f>AV114*$AG$7*E114*パラメータ!$D$28</f>
        <v>17.995668749999997</v>
      </c>
      <c r="BA114" s="1">
        <f>SUMPRODUCT($AC$4:$AC$10,$AD$4:$AD$10)*E114*パラメータ!$D$26*10^-3</f>
        <v>6.12</v>
      </c>
      <c r="BB114" s="1">
        <f>(AW114+AX114)*$AG$5*$AG$4*パラメータ!$D$21*10^-3</f>
        <v>3.2303643749999962</v>
      </c>
      <c r="BC114" s="1" t="e">
        <f>(#REF!*#REF!*パラメータ!$D$21+0.5*#REF!^2*SIN(RADIANS($T$10))*パラメータ!$D$24)*E114*10^-3</f>
        <v>#REF!</v>
      </c>
      <c r="BD114" s="1">
        <f t="shared" si="43"/>
        <v>0</v>
      </c>
      <c r="BE114" s="1">
        <f t="shared" si="44"/>
        <v>0</v>
      </c>
      <c r="BF114" s="1">
        <f>IF(G114="端リブ",AT114*$T$13*パラメータ!$D$21*2,0)</f>
        <v>0</v>
      </c>
      <c r="BG114" s="1">
        <f>'主翼（構造）'!BA70*1000</f>
        <v>0</v>
      </c>
      <c r="BH114" s="1" t="e">
        <f t="shared" si="54"/>
        <v>#REF!</v>
      </c>
      <c r="BI114" s="1" t="e">
        <f t="shared" si="55"/>
        <v>#REF!</v>
      </c>
      <c r="BJ114" s="2">
        <f>(AP114-機体重量!$G$16)^2+(AQ114-機体重量!$H$16)^2</f>
        <v>5.4950777486569501E-4</v>
      </c>
      <c r="BK114" s="2">
        <f>(AQ114-機体重量!$H$16)^2</f>
        <v>3.8816156979940122E-4</v>
      </c>
      <c r="BL114" s="212">
        <f>(AP114-機体重量!$G$16)^2</f>
        <v>1.6134620506629379E-4</v>
      </c>
    </row>
    <row r="115" spans="2:64">
      <c r="B115" s="27">
        <v>64</v>
      </c>
      <c r="C115" s="1">
        <f t="shared" si="45"/>
        <v>10.350000000000012</v>
      </c>
      <c r="D115" s="1">
        <f t="shared" ref="D115:D129" si="56">IF($C115&lt;$H$7,$H$19*$C115+$I$19,IF($C115&lt;$H$8,$H$20*$C115+$I$20,IF($C115&lt;$H$9,$H$21*$C115+$I$21,IF($C115&lt;$H$10,$H$22*$C115+$I$22,IF($C115&lt;$H$11,$H$23*$C115+$I$23,IF($C115&lt;$H$12,$H$24*$C115+$I$24,$H$25*$C115+$I$25))))))*10^3</f>
        <v>569.99999999999932</v>
      </c>
      <c r="E115" s="4">
        <v>0.15</v>
      </c>
      <c r="F115" s="21" t="str">
        <f t="shared" si="50"/>
        <v>4th</v>
      </c>
      <c r="G115" s="4" t="str">
        <f t="shared" si="49"/>
        <v>3番</v>
      </c>
      <c r="H115" s="263" t="s">
        <v>1293</v>
      </c>
      <c r="I115" s="63">
        <f t="shared" ref="I115:I129" si="57">IF(G115="0番",$P$19+$O$19*C115,IF(G115="1番",$P$20+$O$20*C115,IF(G115="2番",$P$21+$O$21*C115,IF(G115="3番",$P$22+$O$22*C115))))</f>
        <v>61.352999999999867</v>
      </c>
      <c r="J115" s="1">
        <f t="shared" ref="J115:J129" si="58">IF(G115="0番",$R$19+$Q$19*C115,IF(G115="1番",$R$20+$Q$20*C115,IF(G115="2番",$R$21+$Q$21*C115,IF(G115="3番",$R$22+$Q$22*C115))))</f>
        <v>60.176999999999879</v>
      </c>
      <c r="K115" s="1">
        <f t="shared" ref="K115:K129" si="59">IF($C115&lt;$H$7,$L$19*$C115+$M$19,IF($C115&lt;$H$8,$L$20*$C115+$M$20,IF($C115&lt;$H$9,$L$21*$C115+$M$21,IF($C115&lt;$H$10,$L$22*$C115+$M$23,IF($C115&lt;$H$11,$L$23*$C115+$M$22,IF($C115&lt;$H$12,$L$24*$C115+$M$24,$L$25*$C115+$M$25))))))</f>
        <v>0.375</v>
      </c>
      <c r="L115" s="202"/>
      <c r="M115" s="206"/>
      <c r="N115" s="76"/>
      <c r="O115" s="207"/>
      <c r="P115" s="76"/>
      <c r="Q115" s="76"/>
      <c r="R115" s="76"/>
      <c r="S115" s="76"/>
      <c r="T115" s="76"/>
      <c r="U115" s="76"/>
      <c r="V115" s="76"/>
      <c r="W115" s="76"/>
      <c r="X115" s="76"/>
      <c r="Y115" s="76"/>
      <c r="Z115" s="76"/>
      <c r="AA115" s="76"/>
      <c r="AB115" s="76"/>
      <c r="AC115" s="76"/>
      <c r="AD115" s="63" t="str">
        <f t="shared" ref="AD115:AD129" si="60">IF($C115&lt;$H$7,$M$6,IF($C115&lt;$H$8,$M$7,IF($C115&lt;$H$9,$M$8,IF($C115&lt;$H$10,$M$9,IF($C115&lt;$H$11,$M$10,IF($C115&lt;$H$12,$M$11,$M$12))))))</f>
        <v>QX0024</v>
      </c>
      <c r="AE115" s="1">
        <f t="shared" si="51"/>
        <v>29.999999999999233</v>
      </c>
      <c r="AF115" s="1" t="str">
        <f t="shared" ref="AF115:AF129" si="61">IF($C115&lt;$H$7,$M$7,IF($C115&lt;$H$8,$M$8,IF($C115&lt;$H$9,$M$9,IF($C115&lt;$H$10,$M$10,IF($C115&lt;$H$11,$M$11,IF($C115&lt;$H$12,$M$12,$M$13))))))</f>
        <v>QX0124</v>
      </c>
      <c r="AG115" s="1">
        <f t="shared" ref="AG115:AG146" si="62">IF(AD115=AF115,0,IF($C115&lt;$H$7,($C115-$H$6)/($H$7-$H$6),IF($C115&lt;$H$8,($C115-$H$7)/($H$8-$H$7),IF($C115&lt;$H$9,($C115-$H$8)/($H$9-$H$8),IF($C115&lt;$H$10,($C115-$H$9)/($H$10-$H$9),IF($C115&lt;$H$11,($C115-$H$10)/($H$11-$H$10),IF($C115&lt;$H$12,($C115-$H$11)/($H$12-$H$11),($C115-$H$12)/($H$13-$H$12))))))))*100</f>
        <v>70.000000000000767</v>
      </c>
      <c r="AH115" s="1">
        <f t="shared" ref="AH115:AH129" si="63">D115*K115/1000</f>
        <v>0.21374999999999975</v>
      </c>
      <c r="AI115" s="1">
        <f t="shared" ref="AI115:AI146" si="64">AH115-D115/1000</f>
        <v>-0.35624999999999951</v>
      </c>
      <c r="AJ115" s="1">
        <f t="shared" si="46"/>
        <v>9.5287565321777752</v>
      </c>
      <c r="AK115" s="1">
        <f t="shared" si="47"/>
        <v>0.34732762870467038</v>
      </c>
      <c r="AL115" s="1">
        <f t="shared" ref="AL115:AL129" si="65">IF($C115&lt;$H$7,$J$19*$C115+$K$19,IF($C115&lt;$H$8,$J$20*$C115+$K$20,IF($C115&lt;$H$9,$J$21*$C115+$K$21,IF($C115&lt;$H$10,$J$22*$C115+$K$22,IF($C115&lt;$H$11,$J$23*$C115+$K$23,IF($C115&lt;$H$12,$J$24*$C115+$K$24,$J$25*$C115+$K$25))))))</f>
        <v>4.4000000000000004</v>
      </c>
      <c r="AM115" s="7">
        <f t="shared" ref="AM115:AM129" si="66">IF($C115&lt;$H$7,$K$6,IF($C115&lt;$H$8,$K$7,IF($C115&lt;$H$9,$K$8,IF($C115&lt;$H$10,$K$9,IF($C115&lt;$H$11,$K$10,IF($C115&lt;$H$12,$K$11,$K$12))))))</f>
        <v>7</v>
      </c>
      <c r="AN115" s="206"/>
      <c r="AO115" s="76"/>
      <c r="AP115" s="76"/>
      <c r="AQ115" s="76"/>
      <c r="AR115" s="76"/>
      <c r="AS115" s="76"/>
      <c r="AT115" s="76">
        <f t="shared" ref="AT115:AT129" si="67">$AY$45*(D115/10^3)^2</f>
        <v>3.0865499999999924E-2</v>
      </c>
      <c r="AU115" s="76">
        <f t="shared" ref="AU115:AU129" si="68">D115*$AZ$45/10^3</f>
        <v>1.1684999999999983</v>
      </c>
      <c r="AV115" s="76">
        <f t="shared" si="42"/>
        <v>0.94094999999999995</v>
      </c>
      <c r="AW115" s="76">
        <f t="shared" si="52"/>
        <v>0.4381874999999994</v>
      </c>
      <c r="AX115" s="202">
        <f t="shared" si="53"/>
        <v>0.23369999999999969</v>
      </c>
      <c r="AY115" s="63">
        <f>AT115*$AG$4*パラメータ!$D$23</f>
        <v>7.1299304999999817</v>
      </c>
      <c r="AZ115" s="1">
        <f>AV115*$AG$7*E115*パラメータ!$D$28</f>
        <v>17.995668749999997</v>
      </c>
      <c r="BA115" s="1">
        <f>SUMPRODUCT($AC$4:$AC$10,$AD$4:$AD$10)*E115*パラメータ!$D$26*10^-3</f>
        <v>6.12</v>
      </c>
      <c r="BB115" s="1">
        <f>(AW115+AX115)*$AG$5*$AG$4*パラメータ!$D$21*10^-3</f>
        <v>3.1746684374999958</v>
      </c>
      <c r="BC115" s="1" t="e">
        <f>(#REF!*#REF!*パラメータ!$D$21+0.5*#REF!^2*SIN(RADIANS($T$10))*パラメータ!$D$24)*E115*10^-3</f>
        <v>#REF!</v>
      </c>
      <c r="BD115" s="1">
        <f t="shared" ref="BD115:BD129" si="69">AU115*($T$12)</f>
        <v>0</v>
      </c>
      <c r="BE115" s="1">
        <f t="shared" ref="BE115:BE129" si="70">$T$11</f>
        <v>0</v>
      </c>
      <c r="BF115" s="1">
        <f>IF(G115="端リブ",AT115*$T$13*パラメータ!$D$21*2,0)</f>
        <v>0</v>
      </c>
      <c r="BG115" s="1">
        <f>'主翼（構造）'!BA71*1000</f>
        <v>0</v>
      </c>
      <c r="BH115" s="1" t="e">
        <f t="shared" si="54"/>
        <v>#REF!</v>
      </c>
      <c r="BI115" s="1" t="e">
        <f t="shared" si="55"/>
        <v>#REF!</v>
      </c>
      <c r="BJ115" s="2">
        <f>(AP115-機体重量!$G$16)^2+(AQ115-機体重量!$H$16)^2</f>
        <v>5.4950777486569501E-4</v>
      </c>
      <c r="BK115" s="2">
        <f>(AQ115-機体重量!$H$16)^2</f>
        <v>3.8816156979940122E-4</v>
      </c>
      <c r="BL115" s="212">
        <f>(AP115-機体重量!$G$16)^2</f>
        <v>1.6134620506629379E-4</v>
      </c>
    </row>
    <row r="116" spans="2:64">
      <c r="B116" s="27">
        <v>65</v>
      </c>
      <c r="C116" s="1">
        <f t="shared" ref="C116:C129" si="71">C115+E115</f>
        <v>10.500000000000012</v>
      </c>
      <c r="D116" s="1">
        <f t="shared" si="56"/>
        <v>559.99999999999932</v>
      </c>
      <c r="E116" s="4">
        <v>0.15</v>
      </c>
      <c r="F116" s="21" t="str">
        <f t="shared" si="50"/>
        <v>4th</v>
      </c>
      <c r="G116" s="4" t="str">
        <f t="shared" si="49"/>
        <v>3番</v>
      </c>
      <c r="H116" s="263" t="s">
        <v>1292</v>
      </c>
      <c r="I116" s="63">
        <f t="shared" si="57"/>
        <v>60.077999999999875</v>
      </c>
      <c r="J116" s="1">
        <f t="shared" si="58"/>
        <v>58.901999999999887</v>
      </c>
      <c r="K116" s="1">
        <f t="shared" si="59"/>
        <v>0.375</v>
      </c>
      <c r="L116" s="202"/>
      <c r="M116" s="206"/>
      <c r="N116" s="76"/>
      <c r="O116" s="207"/>
      <c r="P116" s="76"/>
      <c r="Q116" s="76"/>
      <c r="R116" s="76"/>
      <c r="S116" s="76"/>
      <c r="T116" s="76"/>
      <c r="U116" s="76"/>
      <c r="V116" s="76"/>
      <c r="W116" s="76"/>
      <c r="X116" s="76"/>
      <c r="Y116" s="76"/>
      <c r="Z116" s="76"/>
      <c r="AA116" s="76"/>
      <c r="AB116" s="76"/>
      <c r="AC116" s="76"/>
      <c r="AD116" s="63" t="str">
        <f t="shared" si="60"/>
        <v>QX0024</v>
      </c>
      <c r="AE116" s="1">
        <f t="shared" si="51"/>
        <v>19.999999999999218</v>
      </c>
      <c r="AF116" s="1" t="str">
        <f t="shared" si="61"/>
        <v>QX0124</v>
      </c>
      <c r="AG116" s="1">
        <f t="shared" si="62"/>
        <v>80.000000000000782</v>
      </c>
      <c r="AH116" s="1">
        <f t="shared" si="63"/>
        <v>0.20999999999999974</v>
      </c>
      <c r="AI116" s="1">
        <f t="shared" si="64"/>
        <v>-0.34999999999999953</v>
      </c>
      <c r="AJ116" s="1">
        <f t="shared" si="46"/>
        <v>9.677638454923974</v>
      </c>
      <c r="AK116" s="1">
        <f t="shared" si="47"/>
        <v>0.36560803021544253</v>
      </c>
      <c r="AL116" s="1">
        <f t="shared" si="65"/>
        <v>4.4000000000000004</v>
      </c>
      <c r="AM116" s="7">
        <f t="shared" si="66"/>
        <v>7</v>
      </c>
      <c r="AN116" s="206"/>
      <c r="AO116" s="76"/>
      <c r="AP116" s="76"/>
      <c r="AQ116" s="76"/>
      <c r="AR116" s="76"/>
      <c r="AS116" s="76"/>
      <c r="AT116" s="76">
        <f t="shared" si="67"/>
        <v>2.9791999999999926E-2</v>
      </c>
      <c r="AU116" s="76">
        <f t="shared" si="68"/>
        <v>1.1479999999999984</v>
      </c>
      <c r="AV116" s="76">
        <f t="shared" si="42"/>
        <v>0.94094999999999995</v>
      </c>
      <c r="AW116" s="76">
        <f t="shared" si="52"/>
        <v>0.43049999999999938</v>
      </c>
      <c r="AX116" s="202">
        <f t="shared" si="53"/>
        <v>0.22959999999999969</v>
      </c>
      <c r="AY116" s="63">
        <f>AT116*$AG$4*パラメータ!$D$23</f>
        <v>6.8819519999999832</v>
      </c>
      <c r="AZ116" s="1">
        <f>AV116*$AG$7*E116*パラメータ!$D$28</f>
        <v>17.995668749999997</v>
      </c>
      <c r="BA116" s="1">
        <f>SUMPRODUCT($AC$4:$AC$10,$AD$4:$AD$10)*E116*パラメータ!$D$26*10^-3</f>
        <v>6.12</v>
      </c>
      <c r="BB116" s="1">
        <f>(AW116+AX116)*$AG$5*$AG$4*パラメータ!$D$21*10^-3</f>
        <v>3.118972499999995</v>
      </c>
      <c r="BC116" s="1" t="e">
        <f>(#REF!*#REF!*パラメータ!$D$21+0.5*#REF!^2*SIN(RADIANS($T$10))*パラメータ!$D$24)*E116*10^-3</f>
        <v>#REF!</v>
      </c>
      <c r="BD116" s="1">
        <f t="shared" si="69"/>
        <v>0</v>
      </c>
      <c r="BE116" s="1">
        <f t="shared" si="70"/>
        <v>0</v>
      </c>
      <c r="BF116" s="1">
        <f>IF(G116="端リブ",AT116*$T$13*パラメータ!$D$21*2,0)</f>
        <v>0</v>
      </c>
      <c r="BG116" s="1">
        <f>'主翼（構造）'!BA72*1000</f>
        <v>0</v>
      </c>
      <c r="BH116" s="1" t="e">
        <f t="shared" si="54"/>
        <v>#REF!</v>
      </c>
      <c r="BI116" s="1" t="e">
        <f t="shared" si="55"/>
        <v>#REF!</v>
      </c>
      <c r="BJ116" s="2">
        <f>(AP116-機体重量!$G$16)^2+(AQ116-機体重量!$H$16)^2</f>
        <v>5.4950777486569501E-4</v>
      </c>
      <c r="BK116" s="2">
        <f>(AQ116-機体重量!$H$16)^2</f>
        <v>3.8816156979940122E-4</v>
      </c>
      <c r="BL116" s="212">
        <f>(AP116-機体重量!$G$16)^2</f>
        <v>1.6134620506629379E-4</v>
      </c>
    </row>
    <row r="117" spans="2:64">
      <c r="B117" s="27">
        <v>66</v>
      </c>
      <c r="C117" s="1">
        <f t="shared" si="71"/>
        <v>10.650000000000013</v>
      </c>
      <c r="D117" s="1">
        <f t="shared" si="56"/>
        <v>549.99999999999932</v>
      </c>
      <c r="E117" s="4">
        <v>0.15</v>
      </c>
      <c r="F117" s="21" t="str">
        <f t="shared" si="50"/>
        <v>4th</v>
      </c>
      <c r="G117" s="4" t="str">
        <f t="shared" si="49"/>
        <v>3番</v>
      </c>
      <c r="H117" s="263" t="s">
        <v>1293</v>
      </c>
      <c r="I117" s="63">
        <f t="shared" si="57"/>
        <v>58.802999999999869</v>
      </c>
      <c r="J117" s="1">
        <f t="shared" si="58"/>
        <v>57.626999999999882</v>
      </c>
      <c r="K117" s="1">
        <f t="shared" si="59"/>
        <v>0.375</v>
      </c>
      <c r="L117" s="202"/>
      <c r="M117" s="206"/>
      <c r="N117" s="76"/>
      <c r="O117" s="207"/>
      <c r="P117" s="76"/>
      <c r="Q117" s="76"/>
      <c r="R117" s="76"/>
      <c r="S117" s="76"/>
      <c r="T117" s="76"/>
      <c r="U117" s="76"/>
      <c r="V117" s="76"/>
      <c r="W117" s="76"/>
      <c r="X117" s="76"/>
      <c r="Y117" s="76"/>
      <c r="Z117" s="76"/>
      <c r="AA117" s="76"/>
      <c r="AB117" s="76"/>
      <c r="AC117" s="76"/>
      <c r="AD117" s="63" t="str">
        <f t="shared" si="60"/>
        <v>QX0024</v>
      </c>
      <c r="AE117" s="1">
        <f t="shared" si="51"/>
        <v>9.9999999999992042</v>
      </c>
      <c r="AF117" s="1" t="str">
        <f t="shared" si="61"/>
        <v>QX0124</v>
      </c>
      <c r="AG117" s="1">
        <f t="shared" si="62"/>
        <v>90.000000000000796</v>
      </c>
      <c r="AH117" s="1">
        <f t="shared" si="63"/>
        <v>0.20624999999999974</v>
      </c>
      <c r="AI117" s="1">
        <f t="shared" si="64"/>
        <v>-0.34374999999999956</v>
      </c>
      <c r="AJ117" s="1">
        <f t="shared" ref="AJ117:AJ129" si="72">AJ116+E116*COS(RADIANS(AM116))</f>
        <v>9.8265203776701728</v>
      </c>
      <c r="AK117" s="1">
        <f t="shared" ref="AK117:AK129" si="73">AK116+E116*SIN(RADIANS(AM116))</f>
        <v>0.38388843172621467</v>
      </c>
      <c r="AL117" s="1">
        <f t="shared" si="65"/>
        <v>4.4000000000000004</v>
      </c>
      <c r="AM117" s="7">
        <f t="shared" si="66"/>
        <v>7</v>
      </c>
      <c r="AN117" s="206"/>
      <c r="AO117" s="76"/>
      <c r="AP117" s="76"/>
      <c r="AQ117" s="76"/>
      <c r="AR117" s="76"/>
      <c r="AS117" s="76"/>
      <c r="AT117" s="76">
        <f t="shared" si="67"/>
        <v>2.8737499999999926E-2</v>
      </c>
      <c r="AU117" s="76">
        <f t="shared" si="68"/>
        <v>1.1274999999999984</v>
      </c>
      <c r="AV117" s="76">
        <f t="shared" si="42"/>
        <v>0.94094999999999995</v>
      </c>
      <c r="AW117" s="76">
        <f t="shared" si="52"/>
        <v>0.42281249999999937</v>
      </c>
      <c r="AX117" s="202">
        <f t="shared" si="53"/>
        <v>0.2254999999999997</v>
      </c>
      <c r="AY117" s="63">
        <f>AT117*$AG$4*パラメータ!$D$23</f>
        <v>6.6383624999999835</v>
      </c>
      <c r="AZ117" s="1">
        <f>AV117*$AG$7*E117*パラメータ!$D$28</f>
        <v>17.995668749999997</v>
      </c>
      <c r="BA117" s="1">
        <f>SUMPRODUCT($AC$4:$AC$10,$AD$4:$AD$10)*E117*パラメータ!$D$26*10^-3</f>
        <v>6.12</v>
      </c>
      <c r="BB117" s="1">
        <f>(AW117+AX117)*$AG$5*$AG$4*パラメータ!$D$21*10^-3</f>
        <v>3.0632765624999956</v>
      </c>
      <c r="BC117" s="1" t="e">
        <f>(#REF!*#REF!*パラメータ!$D$21+0.5*#REF!^2*SIN(RADIANS($T$10))*パラメータ!$D$24)*E117*10^-3</f>
        <v>#REF!</v>
      </c>
      <c r="BD117" s="1">
        <f t="shared" si="69"/>
        <v>0</v>
      </c>
      <c r="BE117" s="1">
        <f t="shared" si="70"/>
        <v>0</v>
      </c>
      <c r="BF117" s="1">
        <f>IF(G117="端リブ",AT117*$T$13*パラメータ!$D$21*2,0)</f>
        <v>0</v>
      </c>
      <c r="BG117" s="1">
        <f>'主翼（構造）'!BA73*1000</f>
        <v>0</v>
      </c>
      <c r="BH117" s="1" t="e">
        <f t="shared" si="54"/>
        <v>#REF!</v>
      </c>
      <c r="BI117" s="1" t="e">
        <f t="shared" si="55"/>
        <v>#REF!</v>
      </c>
      <c r="BJ117" s="2">
        <f>(AP117-機体重量!$G$16)^2+(AQ117-機体重量!$H$16)^2</f>
        <v>5.4950777486569501E-4</v>
      </c>
      <c r="BK117" s="2">
        <f>(AQ117-機体重量!$H$16)^2</f>
        <v>3.8816156979940122E-4</v>
      </c>
      <c r="BL117" s="212">
        <f>(AP117-機体重量!$G$16)^2</f>
        <v>1.6134620506629379E-4</v>
      </c>
    </row>
    <row r="118" spans="2:64">
      <c r="B118" s="27">
        <v>67</v>
      </c>
      <c r="C118" s="1">
        <f t="shared" si="71"/>
        <v>10.800000000000013</v>
      </c>
      <c r="D118" s="1">
        <f t="shared" si="56"/>
        <v>539.99999999999909</v>
      </c>
      <c r="E118" s="4">
        <v>0.15</v>
      </c>
      <c r="F118" s="21" t="s">
        <v>885</v>
      </c>
      <c r="G118" s="4" t="str">
        <f t="shared" si="49"/>
        <v>3番</v>
      </c>
      <c r="H118" s="263" t="s">
        <v>1292</v>
      </c>
      <c r="I118" s="63">
        <f t="shared" si="57"/>
        <v>57.527999999999864</v>
      </c>
      <c r="J118" s="1">
        <f t="shared" si="58"/>
        <v>56.351999999999876</v>
      </c>
      <c r="K118" s="1">
        <f t="shared" si="59"/>
        <v>0.375</v>
      </c>
      <c r="L118" s="202"/>
      <c r="M118" s="206"/>
      <c r="N118" s="76"/>
      <c r="O118" s="207"/>
      <c r="P118" s="76"/>
      <c r="Q118" s="76"/>
      <c r="R118" s="76"/>
      <c r="S118" s="76"/>
      <c r="T118" s="76"/>
      <c r="U118" s="76"/>
      <c r="V118" s="76"/>
      <c r="W118" s="76"/>
      <c r="X118" s="76"/>
      <c r="Y118" s="76"/>
      <c r="Z118" s="76"/>
      <c r="AA118" s="76"/>
      <c r="AB118" s="76"/>
      <c r="AC118" s="76"/>
      <c r="AD118" s="63" t="str">
        <f t="shared" si="60"/>
        <v>QX0124</v>
      </c>
      <c r="AE118" s="1">
        <f t="shared" si="51"/>
        <v>100</v>
      </c>
      <c r="AF118" s="1" t="str">
        <f t="shared" si="61"/>
        <v>QX0124</v>
      </c>
      <c r="AG118" s="1">
        <f t="shared" si="62"/>
        <v>0</v>
      </c>
      <c r="AH118" s="1">
        <f t="shared" si="63"/>
        <v>0.20249999999999965</v>
      </c>
      <c r="AI118" s="1">
        <f t="shared" si="64"/>
        <v>-0.33749999999999936</v>
      </c>
      <c r="AJ118" s="1">
        <f t="shared" si="72"/>
        <v>9.9754023004163717</v>
      </c>
      <c r="AK118" s="1">
        <f t="shared" si="73"/>
        <v>0.40216883323698682</v>
      </c>
      <c r="AL118" s="1">
        <f t="shared" si="65"/>
        <v>4.3999999999999773</v>
      </c>
      <c r="AM118" s="7">
        <f t="shared" si="66"/>
        <v>7</v>
      </c>
      <c r="AN118" s="206"/>
      <c r="AO118" s="76"/>
      <c r="AP118" s="76"/>
      <c r="AQ118" s="76"/>
      <c r="AR118" s="76"/>
      <c r="AS118" s="76"/>
      <c r="AT118" s="76">
        <f t="shared" si="67"/>
        <v>2.7701999999999904E-2</v>
      </c>
      <c r="AU118" s="76">
        <f t="shared" si="68"/>
        <v>1.106999999999998</v>
      </c>
      <c r="AV118" s="76">
        <f t="shared" si="42"/>
        <v>0.94094999999999995</v>
      </c>
      <c r="AW118" s="76">
        <f t="shared" si="52"/>
        <v>0.41512499999999924</v>
      </c>
      <c r="AX118" s="202">
        <f t="shared" si="53"/>
        <v>0.2213999999999996</v>
      </c>
      <c r="AY118" s="63">
        <f>AT118*$AG$4*パラメータ!$D$23</f>
        <v>6.3991619999999783</v>
      </c>
      <c r="AZ118" s="1">
        <f>AV118*$AG$7*E118*パラメータ!$D$28</f>
        <v>17.995668749999997</v>
      </c>
      <c r="BA118" s="1">
        <f>SUMPRODUCT($AC$4:$AC$10,$AD$4:$AD$10)*E118*パラメータ!$D$26*10^-3</f>
        <v>6.12</v>
      </c>
      <c r="BB118" s="1">
        <f>(AW118+AX118)*$AG$5*$AG$4*パラメータ!$D$21*10^-3</f>
        <v>3.0075806249999948</v>
      </c>
      <c r="BC118" s="1" t="e">
        <f>(#REF!*#REF!*パラメータ!$D$21+0.5*#REF!^2*SIN(RADIANS($T$10))*パラメータ!$D$24)*E118*10^-3</f>
        <v>#REF!</v>
      </c>
      <c r="BD118" s="1">
        <f t="shared" si="69"/>
        <v>0</v>
      </c>
      <c r="BE118" s="1">
        <f t="shared" si="70"/>
        <v>0</v>
      </c>
      <c r="BF118" s="1">
        <f>IF(G118="端リブ",AT118*$T$13*パラメータ!$D$21*2,0)</f>
        <v>0</v>
      </c>
      <c r="BG118" s="1">
        <f>'主翼（構造）'!BA74*1000</f>
        <v>0</v>
      </c>
      <c r="BH118" s="1" t="e">
        <f t="shared" si="54"/>
        <v>#REF!</v>
      </c>
      <c r="BI118" s="1" t="e">
        <f t="shared" si="55"/>
        <v>#REF!</v>
      </c>
      <c r="BJ118" s="2">
        <f>(AP118-機体重量!$G$16)^2+(AQ118-機体重量!$H$16)^2</f>
        <v>5.4950777486569501E-4</v>
      </c>
      <c r="BK118" s="2">
        <f>(AQ118-機体重量!$H$16)^2</f>
        <v>3.8816156979940122E-4</v>
      </c>
      <c r="BL118" s="212">
        <f>(AP118-機体重量!$G$16)^2</f>
        <v>1.6134620506629379E-4</v>
      </c>
    </row>
    <row r="119" spans="2:64">
      <c r="B119" s="27">
        <v>68</v>
      </c>
      <c r="C119" s="1">
        <f t="shared" si="71"/>
        <v>10.950000000000014</v>
      </c>
      <c r="D119" s="1">
        <f t="shared" si="56"/>
        <v>526.87499999999898</v>
      </c>
      <c r="E119" s="4">
        <v>0.15</v>
      </c>
      <c r="F119" s="21" t="str">
        <f t="shared" ref="F119:F125" si="74">IF(C119&lt;$H$7,"flat",IF(C119&lt;$H$8,"1st",IF(C119&lt;$H$9,"2nd",IF(C119&lt;$H$10,"3rd",IF(C119&lt;$H$11,"4th",IF(C119&lt;$H$12,"5th","6th"))))))</f>
        <v>5th</v>
      </c>
      <c r="G119" s="4" t="str">
        <f t="shared" si="49"/>
        <v>3番</v>
      </c>
      <c r="H119" s="263" t="s">
        <v>1293</v>
      </c>
      <c r="I119" s="63">
        <f t="shared" si="57"/>
        <v>56.252999999999858</v>
      </c>
      <c r="J119" s="1">
        <f t="shared" si="58"/>
        <v>55.07699999999987</v>
      </c>
      <c r="K119" s="1">
        <f t="shared" si="59"/>
        <v>0.375</v>
      </c>
      <c r="L119" s="202"/>
      <c r="M119" s="206"/>
      <c r="N119" s="76"/>
      <c r="O119" s="207"/>
      <c r="P119" s="76"/>
      <c r="Q119" s="76"/>
      <c r="R119" s="76"/>
      <c r="S119" s="76"/>
      <c r="T119" s="76"/>
      <c r="U119" s="76"/>
      <c r="V119" s="76"/>
      <c r="W119" s="76"/>
      <c r="X119" s="76"/>
      <c r="Y119" s="76"/>
      <c r="Z119" s="76"/>
      <c r="AA119" s="76"/>
      <c r="AB119" s="76"/>
      <c r="AC119" s="76"/>
      <c r="AD119" s="63" t="str">
        <f t="shared" si="60"/>
        <v>QX0124</v>
      </c>
      <c r="AE119" s="1">
        <f t="shared" si="51"/>
        <v>100</v>
      </c>
      <c r="AF119" s="1" t="str">
        <f t="shared" si="61"/>
        <v>QX0124</v>
      </c>
      <c r="AG119" s="1">
        <f t="shared" si="62"/>
        <v>0</v>
      </c>
      <c r="AH119" s="1">
        <f t="shared" si="63"/>
        <v>0.1975781249999996</v>
      </c>
      <c r="AI119" s="1">
        <f t="shared" si="64"/>
        <v>-0.32929687499999938</v>
      </c>
      <c r="AJ119" s="1">
        <f t="shared" si="72"/>
        <v>10.12428422316257</v>
      </c>
      <c r="AK119" s="1">
        <f t="shared" si="73"/>
        <v>0.42044923474775897</v>
      </c>
      <c r="AL119" s="1">
        <f t="shared" si="65"/>
        <v>4.1281249999999758</v>
      </c>
      <c r="AM119" s="7">
        <f t="shared" si="66"/>
        <v>7</v>
      </c>
      <c r="AN119" s="206"/>
      <c r="AO119" s="76"/>
      <c r="AP119" s="76"/>
      <c r="AQ119" s="76"/>
      <c r="AR119" s="76"/>
      <c r="AS119" s="76"/>
      <c r="AT119" s="76">
        <f t="shared" si="67"/>
        <v>2.6371740234374899E-2</v>
      </c>
      <c r="AU119" s="76">
        <f t="shared" si="68"/>
        <v>1.0800937499999976</v>
      </c>
      <c r="AV119" s="76">
        <f t="shared" si="42"/>
        <v>0.94094999999999995</v>
      </c>
      <c r="AW119" s="76">
        <f t="shared" si="52"/>
        <v>0.40503515624999908</v>
      </c>
      <c r="AX119" s="202">
        <f t="shared" si="53"/>
        <v>0.21601874999999954</v>
      </c>
      <c r="AY119" s="63">
        <f>AT119*$AG$4*パラメータ!$D$23</f>
        <v>6.0918719941406021</v>
      </c>
      <c r="AZ119" s="1">
        <f>AV119*$AG$7*E119*パラメータ!$D$28</f>
        <v>17.995668749999997</v>
      </c>
      <c r="BA119" s="1">
        <f>SUMPRODUCT($AC$4:$AC$10,$AD$4:$AD$10)*E119*パラメータ!$D$26*10^-3</f>
        <v>6.12</v>
      </c>
      <c r="BB119" s="1">
        <f>(AW119+AX119)*$AG$5*$AG$4*パラメータ!$D$21*10^-3</f>
        <v>2.9344797070312438</v>
      </c>
      <c r="BC119" s="1" t="e">
        <f>(#REF!*#REF!*パラメータ!$D$21+0.5*#REF!^2*SIN(RADIANS($T$10))*パラメータ!$D$24)*E119*10^-3</f>
        <v>#REF!</v>
      </c>
      <c r="BD119" s="1">
        <f t="shared" si="69"/>
        <v>0</v>
      </c>
      <c r="BE119" s="1">
        <f t="shared" si="70"/>
        <v>0</v>
      </c>
      <c r="BF119" s="1">
        <f>IF(G119="端リブ",AT119*$T$13*パラメータ!$D$21*2,0)</f>
        <v>0</v>
      </c>
      <c r="BG119" s="1">
        <f>'主翼（構造）'!BA75*1000</f>
        <v>0</v>
      </c>
      <c r="BH119" s="1" t="e">
        <f t="shared" si="54"/>
        <v>#REF!</v>
      </c>
      <c r="BI119" s="1" t="e">
        <f t="shared" si="55"/>
        <v>#REF!</v>
      </c>
      <c r="BJ119" s="2">
        <f>(AP119-機体重量!$G$16)^2+(AQ119-機体重量!$H$16)^2</f>
        <v>5.4950777486569501E-4</v>
      </c>
      <c r="BK119" s="2">
        <f>(AQ119-機体重量!$H$16)^2</f>
        <v>3.8816156979940122E-4</v>
      </c>
      <c r="BL119" s="212">
        <f>(AP119-機体重量!$G$16)^2</f>
        <v>1.6134620506629379E-4</v>
      </c>
    </row>
    <row r="120" spans="2:64">
      <c r="B120" s="27">
        <v>69</v>
      </c>
      <c r="C120" s="1">
        <f t="shared" si="71"/>
        <v>11.100000000000014</v>
      </c>
      <c r="D120" s="1">
        <f t="shared" si="56"/>
        <v>513.74999999999898</v>
      </c>
      <c r="E120" s="4">
        <v>0.15</v>
      </c>
      <c r="F120" s="21" t="str">
        <f t="shared" si="74"/>
        <v>5th</v>
      </c>
      <c r="G120" s="4" t="str">
        <f t="shared" si="49"/>
        <v>3番</v>
      </c>
      <c r="H120" s="263" t="s">
        <v>1292</v>
      </c>
      <c r="I120" s="63">
        <f t="shared" si="57"/>
        <v>54.977999999999852</v>
      </c>
      <c r="J120" s="1">
        <f t="shared" si="58"/>
        <v>53.801999999999865</v>
      </c>
      <c r="K120" s="1">
        <f t="shared" si="59"/>
        <v>0.375</v>
      </c>
      <c r="L120" s="202"/>
      <c r="M120" s="206"/>
      <c r="N120" s="76"/>
      <c r="O120" s="207"/>
      <c r="P120" s="76"/>
      <c r="Q120" s="76"/>
      <c r="R120" s="76"/>
      <c r="S120" s="76"/>
      <c r="T120" s="76"/>
      <c r="U120" s="76"/>
      <c r="V120" s="76"/>
      <c r="W120" s="76"/>
      <c r="X120" s="76"/>
      <c r="Y120" s="76"/>
      <c r="Z120" s="76"/>
      <c r="AA120" s="76"/>
      <c r="AB120" s="76"/>
      <c r="AC120" s="76"/>
      <c r="AD120" s="63" t="str">
        <f t="shared" si="60"/>
        <v>QX0124</v>
      </c>
      <c r="AE120" s="1">
        <f t="shared" si="51"/>
        <v>100</v>
      </c>
      <c r="AF120" s="1" t="str">
        <f t="shared" si="61"/>
        <v>QX0124</v>
      </c>
      <c r="AG120" s="1">
        <f t="shared" si="62"/>
        <v>0</v>
      </c>
      <c r="AH120" s="1">
        <f t="shared" si="63"/>
        <v>0.19265624999999961</v>
      </c>
      <c r="AI120" s="1">
        <f t="shared" si="64"/>
        <v>-0.32109374999999929</v>
      </c>
      <c r="AJ120" s="1">
        <f t="shared" si="72"/>
        <v>10.273166145908769</v>
      </c>
      <c r="AK120" s="1">
        <f t="shared" si="73"/>
        <v>0.43872963625853112</v>
      </c>
      <c r="AL120" s="1">
        <f t="shared" si="65"/>
        <v>3.8562499999999744</v>
      </c>
      <c r="AM120" s="7">
        <f t="shared" si="66"/>
        <v>7</v>
      </c>
      <c r="AN120" s="206"/>
      <c r="AO120" s="76"/>
      <c r="AP120" s="76"/>
      <c r="AQ120" s="76"/>
      <c r="AR120" s="76"/>
      <c r="AS120" s="76"/>
      <c r="AT120" s="76">
        <f t="shared" si="67"/>
        <v>2.5074210937499893E-2</v>
      </c>
      <c r="AU120" s="76">
        <f t="shared" si="68"/>
        <v>1.0531874999999977</v>
      </c>
      <c r="AV120" s="76">
        <f t="shared" si="42"/>
        <v>0.94094999999999995</v>
      </c>
      <c r="AW120" s="76">
        <f t="shared" si="52"/>
        <v>0.39494531249999915</v>
      </c>
      <c r="AX120" s="202">
        <f t="shared" si="53"/>
        <v>0.21063749999999956</v>
      </c>
      <c r="AY120" s="63">
        <f>AT120*$AG$4*パラメータ!$D$23</f>
        <v>5.7921427265624752</v>
      </c>
      <c r="AZ120" s="1">
        <f>AV120*$AG$7*E120*パラメータ!$D$28</f>
        <v>17.995668749999997</v>
      </c>
      <c r="BA120" s="1">
        <f>SUMPRODUCT($AC$4:$AC$10,$AD$4:$AD$10)*E120*パラメータ!$D$26*10^-3</f>
        <v>6.12</v>
      </c>
      <c r="BB120" s="1">
        <f>(AW120+AX120)*$AG$5*$AG$4*パラメータ!$D$21*10^-3</f>
        <v>2.8613787890624942</v>
      </c>
      <c r="BC120" s="1" t="e">
        <f>(#REF!*#REF!*パラメータ!$D$21+0.5*#REF!^2*SIN(RADIANS($T$10))*パラメータ!$D$24)*E120*10^-3</f>
        <v>#REF!</v>
      </c>
      <c r="BD120" s="1">
        <f t="shared" si="69"/>
        <v>0</v>
      </c>
      <c r="BE120" s="1">
        <f t="shared" si="70"/>
        <v>0</v>
      </c>
      <c r="BF120" s="1">
        <f>IF(G120="端リブ",AT120*$T$13*パラメータ!$D$21*2,0)</f>
        <v>0</v>
      </c>
      <c r="BG120" s="1">
        <f>'主翼（構造）'!BA76*1000</f>
        <v>0</v>
      </c>
      <c r="BH120" s="1" t="e">
        <f t="shared" si="54"/>
        <v>#REF!</v>
      </c>
      <c r="BI120" s="1" t="e">
        <f t="shared" si="55"/>
        <v>#REF!</v>
      </c>
      <c r="BJ120" s="2">
        <f>(AP120-機体重量!$G$16)^2+(AQ120-機体重量!$H$16)^2</f>
        <v>5.4950777486569501E-4</v>
      </c>
      <c r="BK120" s="2">
        <f>(AQ120-機体重量!$H$16)^2</f>
        <v>3.8816156979940122E-4</v>
      </c>
      <c r="BL120" s="212">
        <f>(AP120-機体重量!$G$16)^2</f>
        <v>1.6134620506629379E-4</v>
      </c>
    </row>
    <row r="121" spans="2:64">
      <c r="B121" s="27">
        <v>70</v>
      </c>
      <c r="C121" s="1">
        <f t="shared" si="71"/>
        <v>11.250000000000014</v>
      </c>
      <c r="D121" s="1">
        <f t="shared" si="56"/>
        <v>500.62499999999898</v>
      </c>
      <c r="E121" s="4">
        <v>0.15</v>
      </c>
      <c r="F121" s="21" t="str">
        <f t="shared" si="74"/>
        <v>5th</v>
      </c>
      <c r="G121" s="4" t="str">
        <f t="shared" si="49"/>
        <v>3番</v>
      </c>
      <c r="H121" s="263" t="s">
        <v>1293</v>
      </c>
      <c r="I121" s="63">
        <f t="shared" si="57"/>
        <v>53.702999999999861</v>
      </c>
      <c r="J121" s="1">
        <f t="shared" si="58"/>
        <v>52.526999999999873</v>
      </c>
      <c r="K121" s="1">
        <f t="shared" si="59"/>
        <v>0.375</v>
      </c>
      <c r="L121" s="202"/>
      <c r="M121" s="206"/>
      <c r="N121" s="76"/>
      <c r="O121" s="207"/>
      <c r="P121" s="76"/>
      <c r="Q121" s="76"/>
      <c r="R121" s="76"/>
      <c r="S121" s="76"/>
      <c r="T121" s="76"/>
      <c r="U121" s="76"/>
      <c r="V121" s="76"/>
      <c r="W121" s="76"/>
      <c r="X121" s="76"/>
      <c r="Y121" s="76"/>
      <c r="Z121" s="76"/>
      <c r="AA121" s="76"/>
      <c r="AB121" s="76"/>
      <c r="AC121" s="76"/>
      <c r="AD121" s="63" t="str">
        <f t="shared" si="60"/>
        <v>QX0124</v>
      </c>
      <c r="AE121" s="1">
        <f t="shared" si="51"/>
        <v>100</v>
      </c>
      <c r="AF121" s="1" t="str">
        <f t="shared" si="61"/>
        <v>QX0124</v>
      </c>
      <c r="AG121" s="1">
        <f t="shared" si="62"/>
        <v>0</v>
      </c>
      <c r="AH121" s="1">
        <f t="shared" si="63"/>
        <v>0.18773437499999959</v>
      </c>
      <c r="AI121" s="1">
        <f t="shared" si="64"/>
        <v>-0.31289062499999942</v>
      </c>
      <c r="AJ121" s="1">
        <f t="shared" si="72"/>
        <v>10.422048068654968</v>
      </c>
      <c r="AK121" s="1">
        <f t="shared" si="73"/>
        <v>0.45701003776930327</v>
      </c>
      <c r="AL121" s="1">
        <f t="shared" si="65"/>
        <v>3.5843749999999766</v>
      </c>
      <c r="AM121" s="7">
        <f t="shared" si="66"/>
        <v>7</v>
      </c>
      <c r="AN121" s="206"/>
      <c r="AO121" s="76"/>
      <c r="AP121" s="76"/>
      <c r="AQ121" s="76"/>
      <c r="AR121" s="76"/>
      <c r="AS121" s="76"/>
      <c r="AT121" s="76">
        <f t="shared" si="67"/>
        <v>2.3809412109374907E-2</v>
      </c>
      <c r="AU121" s="76">
        <f t="shared" si="68"/>
        <v>1.0262812499999978</v>
      </c>
      <c r="AV121" s="76">
        <f t="shared" si="42"/>
        <v>0.94094999999999995</v>
      </c>
      <c r="AW121" s="76">
        <f t="shared" si="52"/>
        <v>0.38485546874999921</v>
      </c>
      <c r="AX121" s="202">
        <f t="shared" si="53"/>
        <v>0.20525624999999958</v>
      </c>
      <c r="AY121" s="63">
        <f>AT121*$AG$4*パラメータ!$D$23</f>
        <v>5.4999741972656038</v>
      </c>
      <c r="AZ121" s="1">
        <f>AV121*$AG$7*E121*パラメータ!$D$28</f>
        <v>17.995668749999997</v>
      </c>
      <c r="BA121" s="1">
        <f>SUMPRODUCT($AC$4:$AC$10,$AD$4:$AD$10)*E121*パラメータ!$D$26*10^-3</f>
        <v>6.12</v>
      </c>
      <c r="BB121" s="1">
        <f>(AW121+AX121)*$AG$5*$AG$4*パラメータ!$D$21*10^-3</f>
        <v>2.7882778710937446</v>
      </c>
      <c r="BC121" s="1" t="e">
        <f>(#REF!*#REF!*パラメータ!$D$21+0.5*#REF!^2*SIN(RADIANS($T$10))*パラメータ!$D$24)*E121*10^-3</f>
        <v>#REF!</v>
      </c>
      <c r="BD121" s="1">
        <f t="shared" si="69"/>
        <v>0</v>
      </c>
      <c r="BE121" s="1">
        <f t="shared" si="70"/>
        <v>0</v>
      </c>
      <c r="BF121" s="1">
        <f>IF(G121="端リブ",AT121*$T$13*パラメータ!$D$21*2,0)</f>
        <v>0</v>
      </c>
      <c r="BG121" s="1">
        <f>'主翼（構造）'!BA77*1000</f>
        <v>0</v>
      </c>
      <c r="BH121" s="1" t="e">
        <f t="shared" si="54"/>
        <v>#REF!</v>
      </c>
      <c r="BI121" s="1" t="e">
        <f t="shared" si="55"/>
        <v>#REF!</v>
      </c>
      <c r="BJ121" s="2">
        <f>(AP121-機体重量!$G$16)^2+(AQ121-機体重量!$H$16)^2</f>
        <v>5.4950777486569501E-4</v>
      </c>
      <c r="BK121" s="2">
        <f>(AQ121-機体重量!$H$16)^2</f>
        <v>3.8816156979940122E-4</v>
      </c>
      <c r="BL121" s="212">
        <f>(AP121-機体重量!$G$16)^2</f>
        <v>1.6134620506629379E-4</v>
      </c>
    </row>
    <row r="122" spans="2:64">
      <c r="B122" s="27">
        <v>71</v>
      </c>
      <c r="C122" s="1">
        <f t="shared" si="71"/>
        <v>11.400000000000015</v>
      </c>
      <c r="D122" s="1">
        <f t="shared" si="56"/>
        <v>487.49999999999892</v>
      </c>
      <c r="E122" s="4">
        <v>0.15</v>
      </c>
      <c r="F122" s="21" t="str">
        <f t="shared" si="74"/>
        <v>5th</v>
      </c>
      <c r="G122" s="4" t="str">
        <f t="shared" si="49"/>
        <v>3番</v>
      </c>
      <c r="H122" s="263" t="s">
        <v>1292</v>
      </c>
      <c r="I122" s="63">
        <f t="shared" si="57"/>
        <v>52.427999999999855</v>
      </c>
      <c r="J122" s="1">
        <f t="shared" si="58"/>
        <v>51.251999999999867</v>
      </c>
      <c r="K122" s="1">
        <f t="shared" si="59"/>
        <v>0.375</v>
      </c>
      <c r="L122" s="202"/>
      <c r="M122" s="206"/>
      <c r="N122" s="76"/>
      <c r="O122" s="207"/>
      <c r="P122" s="76"/>
      <c r="Q122" s="76"/>
      <c r="R122" s="76"/>
      <c r="S122" s="76"/>
      <c r="T122" s="76"/>
      <c r="U122" s="76"/>
      <c r="V122" s="76"/>
      <c r="W122" s="76"/>
      <c r="X122" s="76"/>
      <c r="Y122" s="76"/>
      <c r="Z122" s="76"/>
      <c r="AA122" s="76"/>
      <c r="AB122" s="76"/>
      <c r="AC122" s="76"/>
      <c r="AD122" s="63" t="str">
        <f t="shared" si="60"/>
        <v>QX0124</v>
      </c>
      <c r="AE122" s="1">
        <f t="shared" si="51"/>
        <v>100</v>
      </c>
      <c r="AF122" s="1" t="str">
        <f t="shared" si="61"/>
        <v>QX0124</v>
      </c>
      <c r="AG122" s="1">
        <f t="shared" si="62"/>
        <v>0</v>
      </c>
      <c r="AH122" s="1">
        <f t="shared" si="63"/>
        <v>0.1828124999999996</v>
      </c>
      <c r="AI122" s="1">
        <f t="shared" si="64"/>
        <v>-0.30468749999999933</v>
      </c>
      <c r="AJ122" s="1">
        <f t="shared" si="72"/>
        <v>10.570929991401167</v>
      </c>
      <c r="AK122" s="1">
        <f t="shared" si="73"/>
        <v>0.47529043928007542</v>
      </c>
      <c r="AL122" s="1">
        <f t="shared" si="65"/>
        <v>3.3124999999999751</v>
      </c>
      <c r="AM122" s="7">
        <f t="shared" si="66"/>
        <v>7</v>
      </c>
      <c r="AN122" s="206"/>
      <c r="AO122" s="76"/>
      <c r="AP122" s="76"/>
      <c r="AQ122" s="76"/>
      <c r="AR122" s="76"/>
      <c r="AS122" s="76"/>
      <c r="AT122" s="76">
        <f t="shared" si="67"/>
        <v>2.2577343749999902E-2</v>
      </c>
      <c r="AU122" s="76">
        <f t="shared" si="68"/>
        <v>0.99937499999999768</v>
      </c>
      <c r="AV122" s="76">
        <f t="shared" si="42"/>
        <v>0.94094999999999995</v>
      </c>
      <c r="AW122" s="76">
        <f t="shared" si="52"/>
        <v>0.3747656249999991</v>
      </c>
      <c r="AX122" s="202">
        <f t="shared" si="53"/>
        <v>0.19987499999999955</v>
      </c>
      <c r="AY122" s="63">
        <f>AT122*$AG$4*パラメータ!$D$23</f>
        <v>5.215366406249978</v>
      </c>
      <c r="AZ122" s="1">
        <f>AV122*$AG$7*E122*パラメータ!$D$28</f>
        <v>17.995668749999997</v>
      </c>
      <c r="BA122" s="1">
        <f>SUMPRODUCT($AC$4:$AC$10,$AD$4:$AD$10)*E122*パラメータ!$D$26*10^-3</f>
        <v>6.12</v>
      </c>
      <c r="BB122" s="1">
        <f>(AW122+AX122)*$AG$5*$AG$4*パラメータ!$D$21*10^-3</f>
        <v>2.7151769531249945</v>
      </c>
      <c r="BC122" s="1" t="e">
        <f>(#REF!*#REF!*パラメータ!$D$21+0.5*#REF!^2*SIN(RADIANS($T$10))*パラメータ!$D$24)*E122*10^-3</f>
        <v>#REF!</v>
      </c>
      <c r="BD122" s="1">
        <f t="shared" si="69"/>
        <v>0</v>
      </c>
      <c r="BE122" s="1">
        <f t="shared" si="70"/>
        <v>0</v>
      </c>
      <c r="BF122" s="1">
        <f>IF(G122="端リブ",AT122*$T$13*パラメータ!$D$21*2,0)</f>
        <v>0</v>
      </c>
      <c r="BG122" s="1">
        <f>'主翼（構造）'!BA78*1000</f>
        <v>0</v>
      </c>
      <c r="BH122" s="1" t="e">
        <f t="shared" si="54"/>
        <v>#REF!</v>
      </c>
      <c r="BI122" s="1" t="e">
        <f t="shared" si="55"/>
        <v>#REF!</v>
      </c>
      <c r="BJ122" s="2">
        <f>(AP122-機体重量!$G$16)^2+(AQ122-機体重量!$H$16)^2</f>
        <v>5.4950777486569501E-4</v>
      </c>
      <c r="BK122" s="2">
        <f>(AQ122-機体重量!$H$16)^2</f>
        <v>3.8816156979940122E-4</v>
      </c>
      <c r="BL122" s="212">
        <f>(AP122-機体重量!$G$16)^2</f>
        <v>1.6134620506629379E-4</v>
      </c>
    </row>
    <row r="123" spans="2:64">
      <c r="B123" s="27">
        <v>72</v>
      </c>
      <c r="C123" s="1">
        <f t="shared" si="71"/>
        <v>11.550000000000015</v>
      </c>
      <c r="D123" s="1">
        <f t="shared" si="56"/>
        <v>474.37499999999886</v>
      </c>
      <c r="E123" s="4">
        <v>0.15</v>
      </c>
      <c r="F123" s="21" t="str">
        <f t="shared" si="74"/>
        <v>5th</v>
      </c>
      <c r="G123" s="4" t="str">
        <f t="shared" si="49"/>
        <v>3番</v>
      </c>
      <c r="H123" s="263" t="s">
        <v>1293</v>
      </c>
      <c r="I123" s="63">
        <f t="shared" si="57"/>
        <v>51.152999999999849</v>
      </c>
      <c r="J123" s="1">
        <f t="shared" si="58"/>
        <v>49.976999999999862</v>
      </c>
      <c r="K123" s="1">
        <f t="shared" si="59"/>
        <v>0.375</v>
      </c>
      <c r="L123" s="202"/>
      <c r="M123" s="206"/>
      <c r="N123" s="76"/>
      <c r="O123" s="207"/>
      <c r="P123" s="76"/>
      <c r="Q123" s="76"/>
      <c r="R123" s="76"/>
      <c r="S123" s="76"/>
      <c r="T123" s="76"/>
      <c r="U123" s="76"/>
      <c r="V123" s="76"/>
      <c r="W123" s="76"/>
      <c r="X123" s="76"/>
      <c r="Y123" s="76"/>
      <c r="Z123" s="76"/>
      <c r="AA123" s="76"/>
      <c r="AB123" s="76"/>
      <c r="AC123" s="76"/>
      <c r="AD123" s="63" t="str">
        <f t="shared" si="60"/>
        <v>QX0124</v>
      </c>
      <c r="AE123" s="1">
        <f t="shared" si="51"/>
        <v>100</v>
      </c>
      <c r="AF123" s="1" t="str">
        <f t="shared" si="61"/>
        <v>QX0124</v>
      </c>
      <c r="AG123" s="1">
        <f t="shared" si="62"/>
        <v>0</v>
      </c>
      <c r="AH123" s="1">
        <f t="shared" si="63"/>
        <v>0.17789062499999958</v>
      </c>
      <c r="AI123" s="1">
        <f t="shared" si="64"/>
        <v>-0.2964843749999993</v>
      </c>
      <c r="AJ123" s="1">
        <f t="shared" si="72"/>
        <v>10.719811914147366</v>
      </c>
      <c r="AK123" s="1">
        <f t="shared" si="73"/>
        <v>0.49357084079084756</v>
      </c>
      <c r="AL123" s="1">
        <f t="shared" si="65"/>
        <v>3.0406249999999737</v>
      </c>
      <c r="AM123" s="7">
        <f t="shared" si="66"/>
        <v>7</v>
      </c>
      <c r="AN123" s="206"/>
      <c r="AO123" s="76"/>
      <c r="AP123" s="76"/>
      <c r="AQ123" s="76"/>
      <c r="AR123" s="76"/>
      <c r="AS123" s="76"/>
      <c r="AT123" s="76">
        <f t="shared" si="67"/>
        <v>2.13780058593749E-2</v>
      </c>
      <c r="AU123" s="76">
        <f t="shared" si="68"/>
        <v>0.97246874999999766</v>
      </c>
      <c r="AV123" s="76">
        <f t="shared" si="42"/>
        <v>0.94094999999999995</v>
      </c>
      <c r="AW123" s="76">
        <f t="shared" si="52"/>
        <v>0.36467578124999911</v>
      </c>
      <c r="AX123" s="202">
        <f t="shared" si="53"/>
        <v>0.19449374999999955</v>
      </c>
      <c r="AY123" s="63">
        <f>AT123*$AG$4*パラメータ!$D$23</f>
        <v>4.9383193535156016</v>
      </c>
      <c r="AZ123" s="1">
        <f>AV123*$AG$7*E123*パラメータ!$D$28</f>
        <v>17.995668749999997</v>
      </c>
      <c r="BA123" s="1">
        <f>SUMPRODUCT($AC$4:$AC$10,$AD$4:$AD$10)*E123*パラメータ!$D$26*10^-3</f>
        <v>6.12</v>
      </c>
      <c r="BB123" s="1">
        <f>(AW123+AX123)*$AG$5*$AG$4*パラメータ!$D$21*10^-3</f>
        <v>2.6420760351562436</v>
      </c>
      <c r="BC123" s="1" t="e">
        <f>(#REF!*#REF!*パラメータ!$D$21+0.5*#REF!^2*SIN(RADIANS($T$10))*パラメータ!$D$24)*E123*10^-3</f>
        <v>#REF!</v>
      </c>
      <c r="BD123" s="1">
        <f t="shared" si="69"/>
        <v>0</v>
      </c>
      <c r="BE123" s="1">
        <f t="shared" si="70"/>
        <v>0</v>
      </c>
      <c r="BF123" s="1">
        <f>IF(G123="端リブ",AT123*$T$13*パラメータ!$D$21*2,0)</f>
        <v>0</v>
      </c>
      <c r="BG123" s="1">
        <f>'主翼（構造）'!BA79*1000</f>
        <v>0</v>
      </c>
      <c r="BH123" s="1" t="e">
        <f t="shared" si="54"/>
        <v>#REF!</v>
      </c>
      <c r="BI123" s="1" t="e">
        <f t="shared" si="55"/>
        <v>#REF!</v>
      </c>
      <c r="BJ123" s="2">
        <f>(AP123-機体重量!$G$16)^2+(AQ123-機体重量!$H$16)^2</f>
        <v>5.4950777486569501E-4</v>
      </c>
      <c r="BK123" s="2">
        <f>(AQ123-機体重量!$H$16)^2</f>
        <v>3.8816156979940122E-4</v>
      </c>
      <c r="BL123" s="212">
        <f>(AP123-機体重量!$G$16)^2</f>
        <v>1.6134620506629379E-4</v>
      </c>
    </row>
    <row r="124" spans="2:64">
      <c r="B124" s="27">
        <v>73</v>
      </c>
      <c r="C124" s="1">
        <f t="shared" si="71"/>
        <v>11.700000000000015</v>
      </c>
      <c r="D124" s="1">
        <f t="shared" si="56"/>
        <v>461.24999999999881</v>
      </c>
      <c r="E124" s="4">
        <v>0.15</v>
      </c>
      <c r="F124" s="21" t="str">
        <f t="shared" si="74"/>
        <v>5th</v>
      </c>
      <c r="G124" s="4" t="str">
        <f t="shared" si="49"/>
        <v>3番</v>
      </c>
      <c r="H124" s="263" t="s">
        <v>1292</v>
      </c>
      <c r="I124" s="63">
        <f t="shared" si="57"/>
        <v>49.877999999999844</v>
      </c>
      <c r="J124" s="1">
        <f t="shared" si="58"/>
        <v>48.701999999999856</v>
      </c>
      <c r="K124" s="1">
        <f t="shared" si="59"/>
        <v>0.375</v>
      </c>
      <c r="L124" s="202"/>
      <c r="M124" s="206"/>
      <c r="N124" s="76"/>
      <c r="O124" s="207"/>
      <c r="P124" s="76"/>
      <c r="Q124" s="76"/>
      <c r="R124" s="76"/>
      <c r="S124" s="76"/>
      <c r="T124" s="76"/>
      <c r="U124" s="76"/>
      <c r="V124" s="76"/>
      <c r="W124" s="76"/>
      <c r="X124" s="76"/>
      <c r="Y124" s="76"/>
      <c r="Z124" s="76"/>
      <c r="AA124" s="76"/>
      <c r="AB124" s="76"/>
      <c r="AC124" s="76"/>
      <c r="AD124" s="63" t="str">
        <f t="shared" si="60"/>
        <v>QX0124</v>
      </c>
      <c r="AE124" s="1">
        <f t="shared" si="51"/>
        <v>100</v>
      </c>
      <c r="AF124" s="1" t="str">
        <f t="shared" si="61"/>
        <v>QX0124</v>
      </c>
      <c r="AG124" s="1">
        <f t="shared" si="62"/>
        <v>0</v>
      </c>
      <c r="AH124" s="1">
        <f t="shared" si="63"/>
        <v>0.17296874999999953</v>
      </c>
      <c r="AI124" s="1">
        <f t="shared" si="64"/>
        <v>-0.28828124999999927</v>
      </c>
      <c r="AJ124" s="1">
        <f t="shared" si="72"/>
        <v>10.868693836893565</v>
      </c>
      <c r="AK124" s="1">
        <f t="shared" si="73"/>
        <v>0.51185124230161971</v>
      </c>
      <c r="AL124" s="1">
        <f t="shared" si="65"/>
        <v>2.7687499999999723</v>
      </c>
      <c r="AM124" s="7">
        <f t="shared" si="66"/>
        <v>7</v>
      </c>
      <c r="AN124" s="206"/>
      <c r="AO124" s="76"/>
      <c r="AP124" s="76"/>
      <c r="AQ124" s="76"/>
      <c r="AR124" s="76"/>
      <c r="AS124" s="76"/>
      <c r="AT124" s="76">
        <f t="shared" si="67"/>
        <v>2.0211398437499896E-2</v>
      </c>
      <c r="AU124" s="76">
        <f t="shared" si="68"/>
        <v>0.94556249999999753</v>
      </c>
      <c r="AV124" s="76">
        <f t="shared" si="42"/>
        <v>0.94094999999999995</v>
      </c>
      <c r="AW124" s="76">
        <f t="shared" si="52"/>
        <v>0.35458593749999906</v>
      </c>
      <c r="AX124" s="202">
        <f t="shared" si="53"/>
        <v>0.18911249999999952</v>
      </c>
      <c r="AY124" s="63">
        <f>AT124*$AG$4*パラメータ!$D$23</f>
        <v>4.6688330390624762</v>
      </c>
      <c r="AZ124" s="1">
        <f>AV124*$AG$7*E124*パラメータ!$D$28</f>
        <v>17.995668749999997</v>
      </c>
      <c r="BA124" s="1">
        <f>SUMPRODUCT($AC$4:$AC$10,$AD$4:$AD$10)*E124*パラメータ!$D$26*10^-3</f>
        <v>6.12</v>
      </c>
      <c r="BB124" s="1">
        <f>(AW124+AX124)*$AG$5*$AG$4*パラメータ!$D$21*10^-3</f>
        <v>2.5689751171874931</v>
      </c>
      <c r="BC124" s="1" t="e">
        <f>(#REF!*#REF!*パラメータ!$D$21+0.5*#REF!^2*SIN(RADIANS($T$10))*パラメータ!$D$24)*E124*10^-3</f>
        <v>#REF!</v>
      </c>
      <c r="BD124" s="1">
        <f t="shared" si="69"/>
        <v>0</v>
      </c>
      <c r="BE124" s="1">
        <f t="shared" si="70"/>
        <v>0</v>
      </c>
      <c r="BF124" s="1">
        <f>IF(G124="端リブ",AT124*$T$13*パラメータ!$D$21*2,0)</f>
        <v>0</v>
      </c>
      <c r="BG124" s="1">
        <f>'主翼（構造）'!BA80*1000</f>
        <v>0</v>
      </c>
      <c r="BH124" s="1" t="e">
        <f t="shared" si="54"/>
        <v>#REF!</v>
      </c>
      <c r="BI124" s="1" t="e">
        <f t="shared" si="55"/>
        <v>#REF!</v>
      </c>
      <c r="BJ124" s="2">
        <f>(AP124-機体重量!$G$16)^2+(AQ124-機体重量!$H$16)^2</f>
        <v>5.4950777486569501E-4</v>
      </c>
      <c r="BK124" s="2">
        <f>(AQ124-機体重量!$H$16)^2</f>
        <v>3.8816156979940122E-4</v>
      </c>
      <c r="BL124" s="212">
        <f>(AP124-機体重量!$G$16)^2</f>
        <v>1.6134620506629379E-4</v>
      </c>
    </row>
    <row r="125" spans="2:64">
      <c r="B125" s="27">
        <v>74</v>
      </c>
      <c r="C125" s="1">
        <f t="shared" si="71"/>
        <v>11.850000000000016</v>
      </c>
      <c r="D125" s="1">
        <f t="shared" si="56"/>
        <v>448.12499999999875</v>
      </c>
      <c r="E125" s="4">
        <v>0.15</v>
      </c>
      <c r="F125" s="21" t="str">
        <f t="shared" si="74"/>
        <v>5th</v>
      </c>
      <c r="G125" s="4" t="str">
        <f t="shared" si="49"/>
        <v>3番</v>
      </c>
      <c r="H125" s="263" t="s">
        <v>1293</v>
      </c>
      <c r="I125" s="63">
        <f t="shared" si="57"/>
        <v>48.602999999999838</v>
      </c>
      <c r="J125" s="1">
        <f t="shared" si="58"/>
        <v>47.42699999999985</v>
      </c>
      <c r="K125" s="1">
        <f t="shared" si="59"/>
        <v>0.375</v>
      </c>
      <c r="L125" s="202"/>
      <c r="M125" s="206"/>
      <c r="N125" s="76"/>
      <c r="O125" s="207"/>
      <c r="P125" s="76"/>
      <c r="Q125" s="76"/>
      <c r="R125" s="76"/>
      <c r="S125" s="76"/>
      <c r="T125" s="76"/>
      <c r="U125" s="76"/>
      <c r="V125" s="76"/>
      <c r="W125" s="76"/>
      <c r="X125" s="76"/>
      <c r="Y125" s="76"/>
      <c r="Z125" s="76"/>
      <c r="AA125" s="76"/>
      <c r="AB125" s="76"/>
      <c r="AC125" s="76"/>
      <c r="AD125" s="63" t="str">
        <f t="shared" si="60"/>
        <v>QX0124</v>
      </c>
      <c r="AE125" s="1">
        <f t="shared" si="51"/>
        <v>100</v>
      </c>
      <c r="AF125" s="1" t="str">
        <f t="shared" si="61"/>
        <v>QX0124</v>
      </c>
      <c r="AG125" s="1">
        <f t="shared" si="62"/>
        <v>0</v>
      </c>
      <c r="AH125" s="1">
        <f t="shared" si="63"/>
        <v>0.16804687499999954</v>
      </c>
      <c r="AI125" s="1">
        <f t="shared" si="64"/>
        <v>-0.28007812499999923</v>
      </c>
      <c r="AJ125" s="1">
        <f t="shared" si="72"/>
        <v>11.017575759639763</v>
      </c>
      <c r="AK125" s="1">
        <f t="shared" si="73"/>
        <v>0.53013164381239186</v>
      </c>
      <c r="AL125" s="1">
        <f t="shared" si="65"/>
        <v>2.4968749999999709</v>
      </c>
      <c r="AM125" s="7">
        <f t="shared" si="66"/>
        <v>7</v>
      </c>
      <c r="AN125" s="206"/>
      <c r="AO125" s="76"/>
      <c r="AP125" s="76"/>
      <c r="AQ125" s="76"/>
      <c r="AR125" s="76"/>
      <c r="AS125" s="76"/>
      <c r="AT125" s="76">
        <f t="shared" si="67"/>
        <v>1.9077521484374894E-2</v>
      </c>
      <c r="AU125" s="76">
        <f t="shared" si="68"/>
        <v>0.9186562499999974</v>
      </c>
      <c r="AV125" s="76">
        <f t="shared" si="42"/>
        <v>0.94094999999999995</v>
      </c>
      <c r="AW125" s="76">
        <f t="shared" si="52"/>
        <v>0.34449609374999901</v>
      </c>
      <c r="AX125" s="202">
        <f t="shared" si="53"/>
        <v>0.18373124999999949</v>
      </c>
      <c r="AY125" s="63">
        <f>AT125*$AG$4*パラメータ!$D$23</f>
        <v>4.4069074628906009</v>
      </c>
      <c r="AZ125" s="1">
        <f>AV125*$AG$7*E125*パラメータ!$D$28</f>
        <v>17.995668749999997</v>
      </c>
      <c r="BA125" s="1">
        <f>SUMPRODUCT($AC$4:$AC$10,$AD$4:$AD$10)*E125*パラメータ!$D$26*10^-3</f>
        <v>6.12</v>
      </c>
      <c r="BB125" s="1">
        <f>(AW125+AX125)*$AG$5*$AG$4*パラメータ!$D$21*10^-3</f>
        <v>2.495874199218743</v>
      </c>
      <c r="BC125" s="1" t="e">
        <f>(#REF!*#REF!*パラメータ!$D$21+0.5*#REF!^2*SIN(RADIANS($T$10))*パラメータ!$D$24)*E125*10^-3</f>
        <v>#REF!</v>
      </c>
      <c r="BD125" s="1">
        <f t="shared" si="69"/>
        <v>0</v>
      </c>
      <c r="BE125" s="1">
        <f t="shared" si="70"/>
        <v>0</v>
      </c>
      <c r="BF125" s="1">
        <f>IF(G125="端リブ",AT125*$T$13*パラメータ!$D$21*2,0)</f>
        <v>0</v>
      </c>
      <c r="BG125" s="1">
        <f>'主翼（構造）'!BA81*1000</f>
        <v>0</v>
      </c>
      <c r="BH125" s="1" t="e">
        <f t="shared" si="54"/>
        <v>#REF!</v>
      </c>
      <c r="BI125" s="1" t="e">
        <f t="shared" si="55"/>
        <v>#REF!</v>
      </c>
      <c r="BJ125" s="2">
        <f>(AP125-機体重量!$G$16)^2+(AQ125-機体重量!$H$16)^2</f>
        <v>5.4950777486569501E-4</v>
      </c>
      <c r="BK125" s="2">
        <f>(AQ125-機体重量!$H$16)^2</f>
        <v>3.8816156979940122E-4</v>
      </c>
      <c r="BL125" s="212">
        <f>(AP125-機体重量!$G$16)^2</f>
        <v>1.6134620506629379E-4</v>
      </c>
    </row>
    <row r="126" spans="2:64">
      <c r="B126" s="27">
        <v>75</v>
      </c>
      <c r="C126" s="1">
        <f t="shared" si="71"/>
        <v>12.000000000000016</v>
      </c>
      <c r="D126" s="1">
        <f t="shared" si="56"/>
        <v>434.99999999999852</v>
      </c>
      <c r="E126" s="4">
        <v>0.15</v>
      </c>
      <c r="F126" s="21" t="s">
        <v>1355</v>
      </c>
      <c r="G126" s="4" t="s">
        <v>1290</v>
      </c>
      <c r="H126" s="263" t="s">
        <v>1292</v>
      </c>
      <c r="I126" s="63" t="b">
        <f t="shared" si="57"/>
        <v>0</v>
      </c>
      <c r="J126" s="1" t="b">
        <f t="shared" si="58"/>
        <v>0</v>
      </c>
      <c r="K126" s="1">
        <f t="shared" si="59"/>
        <v>0.375</v>
      </c>
      <c r="L126" s="202"/>
      <c r="M126" s="206"/>
      <c r="N126" s="76"/>
      <c r="O126" s="207"/>
      <c r="P126" s="76"/>
      <c r="Q126" s="76"/>
      <c r="R126" s="76"/>
      <c r="S126" s="76"/>
      <c r="T126" s="76"/>
      <c r="U126" s="76"/>
      <c r="V126" s="76"/>
      <c r="W126" s="76"/>
      <c r="X126" s="76"/>
      <c r="Y126" s="76"/>
      <c r="Z126" s="76"/>
      <c r="AA126" s="76"/>
      <c r="AB126" s="76"/>
      <c r="AC126" s="76"/>
      <c r="AD126" s="63" t="str">
        <f t="shared" si="60"/>
        <v>QX0124</v>
      </c>
      <c r="AE126" s="1">
        <f t="shared" si="51"/>
        <v>100</v>
      </c>
      <c r="AF126" s="1" t="str">
        <f t="shared" si="61"/>
        <v>QX0124</v>
      </c>
      <c r="AG126" s="1">
        <f t="shared" si="62"/>
        <v>0</v>
      </c>
      <c r="AH126" s="1">
        <f t="shared" si="63"/>
        <v>0.16312499999999944</v>
      </c>
      <c r="AI126" s="1">
        <f t="shared" si="64"/>
        <v>-0.27187499999999909</v>
      </c>
      <c r="AJ126" s="1">
        <f t="shared" si="72"/>
        <v>11.166457682385962</v>
      </c>
      <c r="AK126" s="1">
        <f t="shared" si="73"/>
        <v>0.54841204532316401</v>
      </c>
      <c r="AL126" s="1">
        <f t="shared" si="65"/>
        <v>2.2249999999999694</v>
      </c>
      <c r="AM126" s="7">
        <f t="shared" si="66"/>
        <v>7</v>
      </c>
      <c r="AN126" s="206"/>
      <c r="AO126" s="76"/>
      <c r="AP126" s="76"/>
      <c r="AQ126" s="76"/>
      <c r="AR126" s="76"/>
      <c r="AS126" s="76"/>
      <c r="AT126" s="76">
        <f t="shared" si="67"/>
        <v>1.7976374999999878E-2</v>
      </c>
      <c r="AU126" s="76">
        <f t="shared" si="68"/>
        <v>0.89174999999999693</v>
      </c>
      <c r="AV126" s="76">
        <f t="shared" si="42"/>
        <v>0.94094999999999995</v>
      </c>
      <c r="AW126" s="76">
        <f t="shared" si="52"/>
        <v>0.33440624999999885</v>
      </c>
      <c r="AX126" s="202">
        <f t="shared" si="53"/>
        <v>0.1783499999999994</v>
      </c>
      <c r="AY126" s="63">
        <f>AT126*$AG$4*パラメータ!$D$23</f>
        <v>4.1525426249999722</v>
      </c>
      <c r="AZ126" s="1">
        <f>AV126*$AG$7*E126*パラメータ!$D$28</f>
        <v>17.995668749999997</v>
      </c>
      <c r="BA126" s="1">
        <f>SUMPRODUCT($AC$4:$AC$10,$AD$4:$AD$10)*E126*パラメータ!$D$26*10^-3</f>
        <v>6.12</v>
      </c>
      <c r="BB126" s="1">
        <f>(AW126+AX126)*$AG$5*$AG$4*パラメータ!$D$21*10^-3</f>
        <v>2.4227732812499916</v>
      </c>
      <c r="BC126" s="1" t="e">
        <f>(#REF!*#REF!*パラメータ!$D$21+0.5*#REF!^2*SIN(RADIANS($T$10))*パラメータ!$D$24)*E126*10^-3</f>
        <v>#REF!</v>
      </c>
      <c r="BD126" s="1">
        <f t="shared" si="69"/>
        <v>0</v>
      </c>
      <c r="BE126" s="1">
        <f t="shared" si="70"/>
        <v>0</v>
      </c>
      <c r="BF126" s="1">
        <f>IF(G126="端リブ",AT126*$T$13*パラメータ!$D$21*2,0)</f>
        <v>0</v>
      </c>
      <c r="BG126" s="1">
        <f>'主翼（構造）'!BA82*1000</f>
        <v>0</v>
      </c>
      <c r="BH126" s="1" t="e">
        <f t="shared" si="54"/>
        <v>#REF!</v>
      </c>
      <c r="BI126" s="1" t="e">
        <f t="shared" si="55"/>
        <v>#REF!</v>
      </c>
      <c r="BJ126" s="2">
        <f>(AP126-機体重量!$G$16)^2+(AQ126-機体重量!$H$16)^2</f>
        <v>5.4950777486569501E-4</v>
      </c>
      <c r="BK126" s="2">
        <f>(AQ126-機体重量!$H$16)^2</f>
        <v>3.8816156979940122E-4</v>
      </c>
      <c r="BL126" s="212">
        <f>(AP126-機体重量!$G$16)^2</f>
        <v>1.6134620506629379E-4</v>
      </c>
    </row>
    <row r="127" spans="2:64">
      <c r="B127" s="27">
        <v>76</v>
      </c>
      <c r="C127" s="1">
        <f t="shared" si="71"/>
        <v>12.150000000000016</v>
      </c>
      <c r="D127" s="1">
        <f t="shared" si="56"/>
        <v>421.87499999999847</v>
      </c>
      <c r="E127" s="4">
        <v>0.15</v>
      </c>
      <c r="F127" s="21" t="str">
        <f>IF(C127&lt;$H$7,"flat",IF(C127&lt;$H$8,"1st",IF(C127&lt;$H$9,"2nd",IF(C127&lt;$H$10,"3rd",IF(C127&lt;$H$11,"4th",IF(C127&lt;$H$12,"5th","6th"))))))</f>
        <v>6th</v>
      </c>
      <c r="G127" s="4" t="s">
        <v>1320</v>
      </c>
      <c r="H127" s="263" t="s">
        <v>1292</v>
      </c>
      <c r="I127" s="63" t="b">
        <f t="shared" si="57"/>
        <v>0</v>
      </c>
      <c r="J127" s="1" t="b">
        <f t="shared" si="58"/>
        <v>0</v>
      </c>
      <c r="K127" s="1">
        <f t="shared" si="59"/>
        <v>0.375</v>
      </c>
      <c r="L127" s="202"/>
      <c r="M127" s="206"/>
      <c r="N127" s="76"/>
      <c r="O127" s="207"/>
      <c r="P127" s="76"/>
      <c r="Q127" s="76"/>
      <c r="R127" s="76"/>
      <c r="S127" s="76"/>
      <c r="T127" s="76"/>
      <c r="U127" s="76"/>
      <c r="V127" s="76"/>
      <c r="W127" s="76"/>
      <c r="X127" s="76"/>
      <c r="Y127" s="76"/>
      <c r="Z127" s="76"/>
      <c r="AA127" s="76"/>
      <c r="AB127" s="76"/>
      <c r="AC127" s="76"/>
      <c r="AD127" s="63" t="str">
        <f t="shared" si="60"/>
        <v>QX0124</v>
      </c>
      <c r="AE127" s="1">
        <f t="shared" si="51"/>
        <v>100</v>
      </c>
      <c r="AF127" s="1" t="str">
        <f t="shared" si="61"/>
        <v>QX0124</v>
      </c>
      <c r="AG127" s="1">
        <f t="shared" si="62"/>
        <v>0</v>
      </c>
      <c r="AH127" s="1">
        <f t="shared" si="63"/>
        <v>0.15820312499999944</v>
      </c>
      <c r="AI127" s="1">
        <f t="shared" si="64"/>
        <v>-0.263671874999999</v>
      </c>
      <c r="AJ127" s="1">
        <f t="shared" si="72"/>
        <v>11.315339605132161</v>
      </c>
      <c r="AK127" s="1">
        <f t="shared" si="73"/>
        <v>0.56669244683393616</v>
      </c>
      <c r="AL127" s="1">
        <f t="shared" si="65"/>
        <v>1.953124999999968</v>
      </c>
      <c r="AM127" s="7">
        <f t="shared" si="66"/>
        <v>7</v>
      </c>
      <c r="AN127" s="206"/>
      <c r="AO127" s="76"/>
      <c r="AP127" s="76"/>
      <c r="AQ127" s="76"/>
      <c r="AR127" s="76"/>
      <c r="AS127" s="76"/>
      <c r="AT127" s="76">
        <f t="shared" si="67"/>
        <v>1.6907958984374877E-2</v>
      </c>
      <c r="AU127" s="76">
        <f t="shared" si="68"/>
        <v>0.8648437499999968</v>
      </c>
      <c r="AV127" s="76">
        <f t="shared" si="42"/>
        <v>0.94094999999999995</v>
      </c>
      <c r="AW127" s="76">
        <f t="shared" si="52"/>
        <v>0.3243164062499988</v>
      </c>
      <c r="AX127" s="202">
        <f t="shared" si="53"/>
        <v>0.17296874999999937</v>
      </c>
      <c r="AY127" s="63">
        <f>AT127*$AG$4*パラメータ!$D$23</f>
        <v>3.9057385253905967</v>
      </c>
      <c r="AZ127" s="1">
        <f>AV127*$AG$7*E127*パラメータ!$D$28</f>
        <v>17.995668749999997</v>
      </c>
      <c r="BA127" s="1">
        <f>SUMPRODUCT($AC$4:$AC$10,$AD$4:$AD$10)*E127*パラメータ!$D$26*10^-3</f>
        <v>6.12</v>
      </c>
      <c r="BB127" s="1">
        <f>(AW127+AX127)*$AG$5*$AG$4*パラメータ!$D$21*10^-3</f>
        <v>2.3496723632812415</v>
      </c>
      <c r="BC127" s="1" t="e">
        <f>(#REF!*#REF!*パラメータ!$D$21+0.5*#REF!^2*SIN(RADIANS($T$10))*パラメータ!$D$24)*E127*10^-3</f>
        <v>#REF!</v>
      </c>
      <c r="BD127" s="1">
        <f t="shared" si="69"/>
        <v>0</v>
      </c>
      <c r="BE127" s="1">
        <f t="shared" si="70"/>
        <v>0</v>
      </c>
      <c r="BF127" s="1">
        <f>IF(G127="端リブ",AT127*$T$13*パラメータ!$D$21*2,0)</f>
        <v>0</v>
      </c>
      <c r="BG127" s="1">
        <f>'主翼（構造）'!BA83*1000</f>
        <v>0</v>
      </c>
      <c r="BH127" s="1" t="e">
        <f t="shared" si="54"/>
        <v>#REF!</v>
      </c>
      <c r="BI127" s="1" t="e">
        <f t="shared" si="55"/>
        <v>#REF!</v>
      </c>
      <c r="BJ127" s="2">
        <f>(AP127-機体重量!$G$16)^2+(AQ127-機体重量!$H$16)^2</f>
        <v>5.4950777486569501E-4</v>
      </c>
      <c r="BK127" s="2">
        <f>(AQ127-機体重量!$H$16)^2</f>
        <v>3.8816156979940122E-4</v>
      </c>
      <c r="BL127" s="212">
        <f>(AP127-機体重量!$G$16)^2</f>
        <v>1.6134620506629379E-4</v>
      </c>
    </row>
    <row r="128" spans="2:64">
      <c r="B128" s="27">
        <v>77</v>
      </c>
      <c r="C128" s="1">
        <f t="shared" si="71"/>
        <v>12.300000000000017</v>
      </c>
      <c r="D128" s="1">
        <f t="shared" si="56"/>
        <v>408.74999999999841</v>
      </c>
      <c r="E128" s="4">
        <v>0.1</v>
      </c>
      <c r="F128" s="21" t="str">
        <f>IF(C128&lt;$H$7,"flat",IF(C128&lt;$H$8,"1st",IF(C128&lt;$H$9,"2nd",IF(C128&lt;$H$10,"3rd",IF(C128&lt;$H$11,"4th",IF(C128&lt;$H$12,"5th","6th"))))))</f>
        <v>6th</v>
      </c>
      <c r="G128" s="4" t="str">
        <f>IF(OR(C128=$F$46,C128=$G$46,C128=$H$46),"端リブ",IF(C128&lt;$F$46,"0番",IF(C128&lt;$G$46,"1番",IF(C128&lt;$H$46,"2番",IF(C128&lt;$I$46,"3番","ウィングレット")))))</f>
        <v>ウィングレット</v>
      </c>
      <c r="H128" s="263" t="s">
        <v>1292</v>
      </c>
      <c r="I128" s="63" t="b">
        <f t="shared" si="57"/>
        <v>0</v>
      </c>
      <c r="J128" s="1" t="b">
        <f t="shared" si="58"/>
        <v>0</v>
      </c>
      <c r="K128" s="1">
        <f t="shared" si="59"/>
        <v>0.375</v>
      </c>
      <c r="L128" s="202"/>
      <c r="M128" s="206"/>
      <c r="N128" s="76"/>
      <c r="O128" s="207"/>
      <c r="P128" s="76"/>
      <c r="Q128" s="76"/>
      <c r="R128" s="76"/>
      <c r="S128" s="76"/>
      <c r="T128" s="76"/>
      <c r="U128" s="76"/>
      <c r="V128" s="76"/>
      <c r="W128" s="76"/>
      <c r="X128" s="76"/>
      <c r="Y128" s="76"/>
      <c r="Z128" s="76"/>
      <c r="AA128" s="76"/>
      <c r="AB128" s="76"/>
      <c r="AC128" s="76"/>
      <c r="AD128" s="63" t="str">
        <f t="shared" si="60"/>
        <v>QX0124</v>
      </c>
      <c r="AE128" s="1">
        <f t="shared" si="51"/>
        <v>100</v>
      </c>
      <c r="AF128" s="1" t="str">
        <f t="shared" si="61"/>
        <v>QX0124</v>
      </c>
      <c r="AG128" s="1">
        <f t="shared" si="62"/>
        <v>0</v>
      </c>
      <c r="AH128" s="1">
        <f t="shared" si="63"/>
        <v>0.1532812499999994</v>
      </c>
      <c r="AI128" s="1">
        <f t="shared" si="64"/>
        <v>-0.25546874999999902</v>
      </c>
      <c r="AJ128" s="1">
        <f t="shared" si="72"/>
        <v>11.46422152787836</v>
      </c>
      <c r="AK128" s="1">
        <f t="shared" si="73"/>
        <v>0.58497284834470831</v>
      </c>
      <c r="AL128" s="1">
        <f t="shared" si="65"/>
        <v>1.6812499999999666</v>
      </c>
      <c r="AM128" s="7">
        <f t="shared" si="66"/>
        <v>7</v>
      </c>
      <c r="AN128" s="206"/>
      <c r="AO128" s="76"/>
      <c r="AP128" s="76"/>
      <c r="AQ128" s="76"/>
      <c r="AR128" s="76"/>
      <c r="AS128" s="76"/>
      <c r="AT128" s="76">
        <f t="shared" si="67"/>
        <v>1.5872273437499876E-2</v>
      </c>
      <c r="AU128" s="76">
        <f t="shared" si="68"/>
        <v>0.83793749999999667</v>
      </c>
      <c r="AV128" s="76">
        <f t="shared" si="42"/>
        <v>0.94094999999999995</v>
      </c>
      <c r="AW128" s="76">
        <f t="shared" si="52"/>
        <v>0.31422656249999875</v>
      </c>
      <c r="AX128" s="202">
        <f t="shared" si="53"/>
        <v>0.16758749999999933</v>
      </c>
      <c r="AY128" s="63">
        <f>AT128*$AG$4*パラメータ!$D$23</f>
        <v>3.6664951640624714</v>
      </c>
      <c r="AZ128" s="1">
        <f>AV128*$AG$7*E128*パラメータ!$D$28</f>
        <v>11.9971125</v>
      </c>
      <c r="BA128" s="1">
        <f>SUMPRODUCT($AC$4:$AC$10,$AD$4:$AD$10)*E128*パラメータ!$D$26*10^-3</f>
        <v>4.08</v>
      </c>
      <c r="BB128" s="1">
        <f>(AW128+AX128)*$AG$5*$AG$4*パラメータ!$D$21*10^-3</f>
        <v>2.276571445312491</v>
      </c>
      <c r="BC128" s="1" t="e">
        <f>(#REF!*#REF!*パラメータ!$D$21+0.5*#REF!^2*SIN(RADIANS($T$10))*パラメータ!$D$24)*E128*10^-3</f>
        <v>#REF!</v>
      </c>
      <c r="BD128" s="1">
        <f t="shared" si="69"/>
        <v>0</v>
      </c>
      <c r="BE128" s="1">
        <f t="shared" si="70"/>
        <v>0</v>
      </c>
      <c r="BF128" s="1">
        <f>IF(G128="端リブ",AT128*$T$13*パラメータ!$D$21*2,0)</f>
        <v>0</v>
      </c>
      <c r="BG128" s="1">
        <f>'主翼（構造）'!BA84*1000</f>
        <v>0</v>
      </c>
      <c r="BH128" s="1" t="e">
        <f t="shared" si="54"/>
        <v>#REF!</v>
      </c>
      <c r="BI128" s="1" t="e">
        <f t="shared" si="55"/>
        <v>#REF!</v>
      </c>
      <c r="BJ128" s="2">
        <f>(AP128-機体重量!$G$16)^2+(AQ128-機体重量!$H$16)^2</f>
        <v>5.4950777486569501E-4</v>
      </c>
      <c r="BK128" s="2">
        <f>(AQ128-機体重量!$H$16)^2</f>
        <v>3.8816156979940122E-4</v>
      </c>
      <c r="BL128" s="212">
        <f>(AP128-機体重量!$G$16)^2</f>
        <v>1.6134620506629379E-4</v>
      </c>
    </row>
    <row r="129" spans="2:64">
      <c r="B129" s="27">
        <v>78</v>
      </c>
      <c r="C129" s="1">
        <f t="shared" si="71"/>
        <v>12.400000000000016</v>
      </c>
      <c r="D129" s="1">
        <f t="shared" si="56"/>
        <v>399.99999999999858</v>
      </c>
      <c r="E129" s="4"/>
      <c r="F129" s="21" t="str">
        <f>IF(C129&lt;$H$7,"flat",IF(C129&lt;$H$8,"1st",IF(C129&lt;$H$9,"2nd",IF(C129&lt;$H$10,"3rd",IF(C129&lt;$H$11,"4th",IF(C129&lt;$H$12,"5th","6th"))))))</f>
        <v>6th</v>
      </c>
      <c r="G129" s="4" t="str">
        <f>IF(OR(C129=$F$46,C129=$G$46,C129=$H$46),"端リブ",IF(C129&lt;$F$46,"0番",IF(C129&lt;$G$46,"1番",IF(C129&lt;$H$46,"2番",IF(C129&lt;$I$46,"3番","ウィングレット")))))</f>
        <v>ウィングレット</v>
      </c>
      <c r="H129" s="263" t="s">
        <v>1292</v>
      </c>
      <c r="I129" s="63" t="b">
        <f t="shared" si="57"/>
        <v>0</v>
      </c>
      <c r="J129" s="1" t="b">
        <f t="shared" si="58"/>
        <v>0</v>
      </c>
      <c r="K129" s="1">
        <f t="shared" si="59"/>
        <v>0.375</v>
      </c>
      <c r="L129" s="202"/>
      <c r="M129" s="206"/>
      <c r="N129" s="76"/>
      <c r="O129" s="207"/>
      <c r="P129" s="76"/>
      <c r="Q129" s="76"/>
      <c r="R129" s="76"/>
      <c r="S129" s="76"/>
      <c r="T129" s="76"/>
      <c r="U129" s="76"/>
      <c r="V129" s="76"/>
      <c r="W129" s="76"/>
      <c r="X129" s="76"/>
      <c r="Y129" s="76"/>
      <c r="Z129" s="76"/>
      <c r="AA129" s="76"/>
      <c r="AB129" s="76"/>
      <c r="AC129" s="76"/>
      <c r="AD129" s="63" t="str">
        <f t="shared" si="60"/>
        <v>QX0124</v>
      </c>
      <c r="AE129" s="1">
        <f t="shared" si="51"/>
        <v>100</v>
      </c>
      <c r="AF129" s="1" t="str">
        <f t="shared" si="61"/>
        <v>QX0124</v>
      </c>
      <c r="AG129" s="1">
        <f t="shared" si="62"/>
        <v>0</v>
      </c>
      <c r="AH129" s="1">
        <f t="shared" si="63"/>
        <v>0.14999999999999947</v>
      </c>
      <c r="AI129" s="1">
        <f t="shared" si="64"/>
        <v>-0.24999999999999911</v>
      </c>
      <c r="AJ129" s="1">
        <f t="shared" si="72"/>
        <v>11.563476143042491</v>
      </c>
      <c r="AK129" s="1">
        <f t="shared" si="73"/>
        <v>0.59715978268522307</v>
      </c>
      <c r="AL129" s="1">
        <f t="shared" si="65"/>
        <v>1.499999999999968</v>
      </c>
      <c r="AM129" s="7">
        <f t="shared" si="66"/>
        <v>7</v>
      </c>
      <c r="AN129" s="206"/>
      <c r="AO129" s="76"/>
      <c r="AP129" s="76"/>
      <c r="AQ129" s="76"/>
      <c r="AR129" s="76"/>
      <c r="AS129" s="76"/>
      <c r="AT129" s="76">
        <f t="shared" si="67"/>
        <v>1.5199999999999892E-2</v>
      </c>
      <c r="AU129" s="76">
        <f t="shared" si="68"/>
        <v>0.81999999999999706</v>
      </c>
      <c r="AV129" s="76">
        <f t="shared" si="42"/>
        <v>0.94094999999999995</v>
      </c>
      <c r="AW129" s="76">
        <f t="shared" si="52"/>
        <v>0.30749999999999889</v>
      </c>
      <c r="AX129" s="202">
        <f t="shared" si="53"/>
        <v>0.16399999999999942</v>
      </c>
      <c r="AY129" s="63">
        <f>AT129*$AG$4*パラメータ!$D$23</f>
        <v>3.5111999999999752</v>
      </c>
      <c r="AZ129" s="1">
        <f>AV129*$AG$7*E129*パラメータ!$D$28</f>
        <v>0</v>
      </c>
      <c r="BA129" s="1">
        <f>SUMPRODUCT($AC$4:$AC$10,$AD$4:$AD$10)*E129*パラメータ!$D$26*10^-3</f>
        <v>0</v>
      </c>
      <c r="BB129" s="1">
        <f>(AW129+AX129)*$AG$5*$AG$4*パラメータ!$D$21*10^-3</f>
        <v>2.2278374999999921</v>
      </c>
      <c r="BC129" s="1" t="e">
        <f>(#REF!*#REF!*パラメータ!$D$21+0.5*#REF!^2*SIN(RADIANS($T$10))*パラメータ!$D$24)*E129*10^-3</f>
        <v>#REF!</v>
      </c>
      <c r="BD129" s="1">
        <f t="shared" si="69"/>
        <v>0</v>
      </c>
      <c r="BE129" s="1">
        <f t="shared" si="70"/>
        <v>0</v>
      </c>
      <c r="BF129" s="1">
        <f>IF(G129="端リブ",AT129*$T$13*パラメータ!$D$21*2,0)</f>
        <v>0</v>
      </c>
      <c r="BG129" s="1">
        <f>'主翼（構造）'!BA85*1000</f>
        <v>0</v>
      </c>
      <c r="BH129" s="1" t="e">
        <f t="shared" si="54"/>
        <v>#REF!</v>
      </c>
      <c r="BI129" s="1" t="e">
        <f t="shared" si="55"/>
        <v>#REF!</v>
      </c>
      <c r="BJ129" s="2">
        <f>(AP129-機体重量!$G$16)^2+(AQ129-機体重量!$H$16)^2</f>
        <v>5.4950777486569501E-4</v>
      </c>
      <c r="BK129" s="2">
        <f>(AQ129-機体重量!$H$16)^2</f>
        <v>3.8816156979940122E-4</v>
      </c>
      <c r="BL129" s="212">
        <f>(AP129-機体重量!$G$16)^2</f>
        <v>1.6134620506629379E-4</v>
      </c>
    </row>
    <row r="130" spans="2:64">
      <c r="B130" s="27"/>
      <c r="C130" s="1"/>
      <c r="D130" s="1"/>
      <c r="E130" s="4"/>
      <c r="F130" s="21"/>
      <c r="G130" s="4"/>
      <c r="H130" s="263"/>
      <c r="I130" s="63"/>
      <c r="J130" s="1"/>
      <c r="K130" s="1"/>
      <c r="L130" s="202"/>
      <c r="M130" s="206"/>
      <c r="N130" s="76"/>
      <c r="O130" s="207"/>
      <c r="P130" s="76"/>
      <c r="Q130" s="76"/>
      <c r="R130" s="76"/>
      <c r="S130" s="76"/>
      <c r="T130" s="76"/>
      <c r="U130" s="76"/>
      <c r="V130" s="76"/>
      <c r="W130" s="76"/>
      <c r="X130" s="76"/>
      <c r="Y130" s="76"/>
      <c r="Z130" s="76"/>
      <c r="AA130" s="76"/>
      <c r="AB130" s="76"/>
      <c r="AC130" s="76"/>
      <c r="AD130" s="63"/>
      <c r="AE130" s="1"/>
      <c r="AF130" s="1"/>
      <c r="AG130" s="1"/>
      <c r="AH130" s="1"/>
      <c r="AI130" s="1"/>
      <c r="AJ130" s="1"/>
      <c r="AK130" s="1"/>
      <c r="AL130" s="1"/>
      <c r="AM130" s="7"/>
      <c r="AN130" s="206"/>
      <c r="AO130" s="76"/>
      <c r="AP130" s="76"/>
      <c r="AQ130" s="76"/>
      <c r="AR130" s="76"/>
      <c r="AS130" s="76"/>
      <c r="AT130" s="76"/>
      <c r="AU130" s="76"/>
      <c r="AV130" s="76"/>
      <c r="AW130" s="76"/>
      <c r="AX130" s="202"/>
      <c r="AY130" s="63"/>
      <c r="AZ130" s="1"/>
      <c r="BA130" s="1"/>
      <c r="BB130" s="1"/>
      <c r="BC130" s="1"/>
      <c r="BD130" s="1"/>
      <c r="BE130" s="1"/>
      <c r="BF130" s="1"/>
      <c r="BG130" s="1"/>
      <c r="BH130" s="1"/>
      <c r="BI130" s="1"/>
      <c r="BJ130" s="2"/>
      <c r="BK130" s="2"/>
      <c r="BL130" s="212"/>
    </row>
    <row r="131" spans="2:64">
      <c r="B131" s="27"/>
      <c r="C131" s="1"/>
      <c r="D131" s="1"/>
      <c r="E131" s="4"/>
      <c r="F131" s="21"/>
      <c r="G131" s="4"/>
      <c r="H131" s="263"/>
      <c r="I131" s="63"/>
      <c r="J131" s="1"/>
      <c r="K131" s="1"/>
      <c r="L131" s="202"/>
      <c r="M131" s="206"/>
      <c r="N131" s="76"/>
      <c r="O131" s="207"/>
      <c r="P131" s="76"/>
      <c r="Q131" s="76"/>
      <c r="R131" s="76"/>
      <c r="S131" s="76"/>
      <c r="T131" s="76"/>
      <c r="U131" s="76"/>
      <c r="V131" s="76"/>
      <c r="W131" s="76"/>
      <c r="X131" s="76"/>
      <c r="Y131" s="76"/>
      <c r="Z131" s="76"/>
      <c r="AA131" s="76"/>
      <c r="AB131" s="76"/>
      <c r="AC131" s="76"/>
      <c r="AD131" s="63"/>
      <c r="AE131" s="1"/>
      <c r="AF131" s="1"/>
      <c r="AG131" s="1"/>
      <c r="AH131" s="1"/>
      <c r="AI131" s="1"/>
      <c r="AJ131" s="1"/>
      <c r="AK131" s="1"/>
      <c r="AL131" s="1"/>
      <c r="AM131" s="7"/>
      <c r="AN131" s="206"/>
      <c r="AO131" s="76"/>
      <c r="AP131" s="76"/>
      <c r="AQ131" s="76"/>
      <c r="AR131" s="76"/>
      <c r="AS131" s="76"/>
      <c r="AT131" s="76"/>
      <c r="AU131" s="76"/>
      <c r="AV131" s="76"/>
      <c r="AW131" s="76"/>
      <c r="AX131" s="202"/>
      <c r="AY131" s="63"/>
      <c r="AZ131" s="1"/>
      <c r="BA131" s="1"/>
      <c r="BB131" s="1"/>
      <c r="BC131" s="1"/>
      <c r="BD131" s="1"/>
      <c r="BE131" s="1"/>
      <c r="BF131" s="1"/>
      <c r="BG131" s="1"/>
      <c r="BH131" s="1"/>
      <c r="BI131" s="1"/>
      <c r="BJ131" s="2"/>
      <c r="BK131" s="2"/>
      <c r="BL131" s="212"/>
    </row>
    <row r="132" spans="2:64">
      <c r="B132" s="27"/>
      <c r="C132" s="1"/>
      <c r="D132" s="1"/>
      <c r="E132" s="4"/>
      <c r="F132" s="21"/>
      <c r="G132" s="4"/>
      <c r="H132" s="263"/>
      <c r="I132" s="63"/>
      <c r="J132" s="1"/>
      <c r="K132" s="1"/>
      <c r="L132" s="202"/>
      <c r="M132" s="206"/>
      <c r="N132" s="76"/>
      <c r="O132" s="207"/>
      <c r="P132" s="76"/>
      <c r="Q132" s="76"/>
      <c r="R132" s="76"/>
      <c r="S132" s="76"/>
      <c r="T132" s="76"/>
      <c r="U132" s="76"/>
      <c r="V132" s="76"/>
      <c r="W132" s="76"/>
      <c r="X132" s="76"/>
      <c r="Y132" s="76"/>
      <c r="Z132" s="76"/>
      <c r="AA132" s="76"/>
      <c r="AB132" s="76"/>
      <c r="AC132" s="76"/>
      <c r="AD132" s="63"/>
      <c r="AE132" s="1"/>
      <c r="AF132" s="1"/>
      <c r="AG132" s="1"/>
      <c r="AH132" s="1"/>
      <c r="AI132" s="1"/>
      <c r="AJ132" s="1"/>
      <c r="AK132" s="1"/>
      <c r="AL132" s="1"/>
      <c r="AM132" s="7"/>
      <c r="AN132" s="206"/>
      <c r="AO132" s="76"/>
      <c r="AP132" s="76"/>
      <c r="AQ132" s="76"/>
      <c r="AR132" s="76"/>
      <c r="AS132" s="76"/>
      <c r="AT132" s="76"/>
      <c r="AU132" s="76"/>
      <c r="AV132" s="76"/>
      <c r="AW132" s="76"/>
      <c r="AX132" s="202"/>
      <c r="AY132" s="63"/>
      <c r="AZ132" s="1"/>
      <c r="BA132" s="1"/>
      <c r="BB132" s="1"/>
      <c r="BC132" s="1"/>
      <c r="BD132" s="1"/>
      <c r="BE132" s="1"/>
      <c r="BF132" s="1"/>
      <c r="BG132" s="1"/>
      <c r="BH132" s="1"/>
      <c r="BI132" s="1"/>
      <c r="BJ132" s="2"/>
      <c r="BK132" s="2"/>
      <c r="BL132" s="212"/>
    </row>
    <row r="133" spans="2:64">
      <c r="B133" s="27"/>
      <c r="C133" s="1"/>
      <c r="D133" s="1"/>
      <c r="E133" s="4"/>
      <c r="F133" s="21"/>
      <c r="G133" s="4"/>
      <c r="H133" s="263"/>
      <c r="I133" s="63"/>
      <c r="J133" s="1"/>
      <c r="K133" s="1"/>
      <c r="L133" s="202"/>
      <c r="M133" s="206"/>
      <c r="N133" s="76"/>
      <c r="O133" s="207"/>
      <c r="P133" s="76"/>
      <c r="Q133" s="76"/>
      <c r="R133" s="76"/>
      <c r="S133" s="76"/>
      <c r="T133" s="76"/>
      <c r="U133" s="76"/>
      <c r="V133" s="76"/>
      <c r="W133" s="76"/>
      <c r="X133" s="76"/>
      <c r="Y133" s="76"/>
      <c r="Z133" s="76"/>
      <c r="AA133" s="76"/>
      <c r="AB133" s="76"/>
      <c r="AC133" s="76"/>
      <c r="AD133" s="63"/>
      <c r="AE133" s="1"/>
      <c r="AF133" s="1"/>
      <c r="AG133" s="1"/>
      <c r="AH133" s="1"/>
      <c r="AI133" s="1"/>
      <c r="AJ133" s="1"/>
      <c r="AK133" s="1"/>
      <c r="AL133" s="1"/>
      <c r="AM133" s="7"/>
      <c r="AN133" s="206"/>
      <c r="AO133" s="76"/>
      <c r="AP133" s="76"/>
      <c r="AQ133" s="76"/>
      <c r="AR133" s="76"/>
      <c r="AS133" s="76"/>
      <c r="AT133" s="76"/>
      <c r="AU133" s="76"/>
      <c r="AV133" s="76"/>
      <c r="AW133" s="76"/>
      <c r="AX133" s="202"/>
      <c r="AY133" s="63"/>
      <c r="AZ133" s="1"/>
      <c r="BA133" s="1"/>
      <c r="BB133" s="1"/>
      <c r="BC133" s="1"/>
      <c r="BD133" s="1"/>
      <c r="BE133" s="1"/>
      <c r="BF133" s="1"/>
      <c r="BG133" s="1"/>
      <c r="BH133" s="1"/>
      <c r="BI133" s="1"/>
      <c r="BJ133" s="2"/>
      <c r="BK133" s="2"/>
      <c r="BL133" s="212"/>
    </row>
    <row r="134" spans="2:64">
      <c r="B134" s="27"/>
      <c r="C134" s="1"/>
      <c r="D134" s="1"/>
      <c r="E134" s="4"/>
      <c r="F134" s="21"/>
      <c r="G134" s="4"/>
      <c r="H134" s="263"/>
      <c r="I134" s="63"/>
      <c r="J134" s="1"/>
      <c r="K134" s="1"/>
      <c r="L134" s="202"/>
      <c r="M134" s="206"/>
      <c r="N134" s="76"/>
      <c r="O134" s="207"/>
      <c r="P134" s="76"/>
      <c r="Q134" s="76"/>
      <c r="R134" s="76"/>
      <c r="S134" s="76"/>
      <c r="T134" s="76"/>
      <c r="U134" s="76"/>
      <c r="V134" s="76"/>
      <c r="W134" s="76"/>
      <c r="X134" s="76"/>
      <c r="Y134" s="76"/>
      <c r="Z134" s="76"/>
      <c r="AA134" s="76"/>
      <c r="AB134" s="76"/>
      <c r="AC134" s="76"/>
      <c r="AD134" s="63"/>
      <c r="AE134" s="1"/>
      <c r="AF134" s="1"/>
      <c r="AG134" s="1"/>
      <c r="AH134" s="1"/>
      <c r="AI134" s="1"/>
      <c r="AJ134" s="1"/>
      <c r="AK134" s="1"/>
      <c r="AL134" s="1"/>
      <c r="AM134" s="7"/>
      <c r="AN134" s="206"/>
      <c r="AO134" s="76"/>
      <c r="AP134" s="76"/>
      <c r="AQ134" s="76"/>
      <c r="AR134" s="76"/>
      <c r="AS134" s="76"/>
      <c r="AT134" s="76"/>
      <c r="AU134" s="76"/>
      <c r="AV134" s="76"/>
      <c r="AW134" s="76"/>
      <c r="AX134" s="202"/>
      <c r="AY134" s="63"/>
      <c r="AZ134" s="1"/>
      <c r="BA134" s="1"/>
      <c r="BB134" s="1"/>
      <c r="BC134" s="1"/>
      <c r="BD134" s="1"/>
      <c r="BE134" s="1"/>
      <c r="BF134" s="1"/>
      <c r="BG134" s="1"/>
      <c r="BH134" s="1"/>
      <c r="BI134" s="1"/>
      <c r="BJ134" s="2"/>
      <c r="BK134" s="2"/>
      <c r="BL134" s="212"/>
    </row>
    <row r="135" spans="2:64">
      <c r="B135" s="27"/>
      <c r="C135" s="1"/>
      <c r="D135" s="1"/>
      <c r="E135" s="4"/>
      <c r="F135" s="21"/>
      <c r="G135" s="4"/>
      <c r="H135" s="263"/>
      <c r="I135" s="63"/>
      <c r="J135" s="1"/>
      <c r="K135" s="1"/>
      <c r="L135" s="202"/>
      <c r="M135" s="206"/>
      <c r="N135" s="76"/>
      <c r="O135" s="207"/>
      <c r="P135" s="76"/>
      <c r="Q135" s="76"/>
      <c r="R135" s="76"/>
      <c r="S135" s="76"/>
      <c r="T135" s="76"/>
      <c r="U135" s="76"/>
      <c r="V135" s="76"/>
      <c r="W135" s="76"/>
      <c r="X135" s="76"/>
      <c r="Y135" s="76"/>
      <c r="Z135" s="76"/>
      <c r="AA135" s="76"/>
      <c r="AB135" s="76"/>
      <c r="AC135" s="76"/>
      <c r="AD135" s="63"/>
      <c r="AE135" s="1"/>
      <c r="AF135" s="1"/>
      <c r="AG135" s="1"/>
      <c r="AH135" s="1"/>
      <c r="AI135" s="1"/>
      <c r="AJ135" s="1"/>
      <c r="AK135" s="1"/>
      <c r="AL135" s="1"/>
      <c r="AM135" s="7"/>
      <c r="AN135" s="206"/>
      <c r="AO135" s="76"/>
      <c r="AP135" s="76"/>
      <c r="AQ135" s="76"/>
      <c r="AR135" s="76"/>
      <c r="AS135" s="76"/>
      <c r="AT135" s="76"/>
      <c r="AU135" s="76"/>
      <c r="AV135" s="76"/>
      <c r="AW135" s="76"/>
      <c r="AX135" s="202"/>
      <c r="AY135" s="63"/>
      <c r="AZ135" s="1"/>
      <c r="BA135" s="1"/>
      <c r="BB135" s="1"/>
      <c r="BC135" s="1"/>
      <c r="BD135" s="1"/>
      <c r="BE135" s="1"/>
      <c r="BF135" s="1"/>
      <c r="BG135" s="1"/>
      <c r="BH135" s="1"/>
      <c r="BI135" s="1"/>
      <c r="BJ135" s="2"/>
      <c r="BK135" s="2"/>
      <c r="BL135" s="212"/>
    </row>
    <row r="136" spans="2:64">
      <c r="B136" s="27"/>
      <c r="C136" s="1"/>
      <c r="D136" s="1"/>
      <c r="E136" s="4"/>
      <c r="F136" s="21"/>
      <c r="G136" s="4"/>
      <c r="H136" s="263"/>
      <c r="I136" s="63"/>
      <c r="J136" s="1"/>
      <c r="K136" s="1"/>
      <c r="L136" s="202"/>
      <c r="M136" s="206"/>
      <c r="N136" s="76"/>
      <c r="O136" s="207"/>
      <c r="P136" s="76"/>
      <c r="Q136" s="76"/>
      <c r="R136" s="76"/>
      <c r="S136" s="76"/>
      <c r="T136" s="76"/>
      <c r="U136" s="76"/>
      <c r="V136" s="76"/>
      <c r="W136" s="76"/>
      <c r="X136" s="76"/>
      <c r="Y136" s="76"/>
      <c r="Z136" s="76"/>
      <c r="AA136" s="76"/>
      <c r="AB136" s="76"/>
      <c r="AC136" s="76"/>
      <c r="AD136" s="63"/>
      <c r="AE136" s="1"/>
      <c r="AF136" s="1"/>
      <c r="AG136" s="1"/>
      <c r="AH136" s="1"/>
      <c r="AI136" s="1"/>
      <c r="AJ136" s="1"/>
      <c r="AK136" s="1"/>
      <c r="AL136" s="1"/>
      <c r="AM136" s="7"/>
      <c r="AN136" s="206"/>
      <c r="AO136" s="76"/>
      <c r="AP136" s="76"/>
      <c r="AQ136" s="76"/>
      <c r="AR136" s="76"/>
      <c r="AS136" s="76"/>
      <c r="AT136" s="76"/>
      <c r="AU136" s="76"/>
      <c r="AV136" s="76"/>
      <c r="AW136" s="76"/>
      <c r="AX136" s="202"/>
      <c r="AY136" s="63"/>
      <c r="AZ136" s="1"/>
      <c r="BA136" s="1"/>
      <c r="BB136" s="1"/>
      <c r="BC136" s="1"/>
      <c r="BD136" s="1"/>
      <c r="BE136" s="1"/>
      <c r="BF136" s="1"/>
      <c r="BG136" s="1"/>
      <c r="BH136" s="1"/>
      <c r="BI136" s="1"/>
      <c r="BJ136" s="2"/>
      <c r="BK136" s="2"/>
      <c r="BL136" s="212"/>
    </row>
    <row r="137" spans="2:64">
      <c r="B137" s="27"/>
      <c r="C137" s="1"/>
      <c r="D137" s="1"/>
      <c r="E137" s="4"/>
      <c r="F137" s="21"/>
      <c r="G137" s="4"/>
      <c r="H137" s="263"/>
      <c r="I137" s="63"/>
      <c r="J137" s="1"/>
      <c r="K137" s="1"/>
      <c r="L137" s="202"/>
      <c r="M137" s="206"/>
      <c r="N137" s="76"/>
      <c r="O137" s="207"/>
      <c r="P137" s="76"/>
      <c r="Q137" s="76"/>
      <c r="R137" s="76"/>
      <c r="S137" s="76"/>
      <c r="T137" s="76"/>
      <c r="U137" s="76"/>
      <c r="V137" s="76"/>
      <c r="W137" s="76"/>
      <c r="X137" s="76"/>
      <c r="Y137" s="76"/>
      <c r="Z137" s="76"/>
      <c r="AA137" s="76"/>
      <c r="AB137" s="76"/>
      <c r="AC137" s="76"/>
      <c r="AD137" s="63"/>
      <c r="AE137" s="1"/>
      <c r="AF137" s="1"/>
      <c r="AG137" s="1"/>
      <c r="AH137" s="1"/>
      <c r="AI137" s="1"/>
      <c r="AJ137" s="1"/>
      <c r="AK137" s="1"/>
      <c r="AL137" s="1"/>
      <c r="AM137" s="7"/>
      <c r="AN137" s="206"/>
      <c r="AO137" s="76"/>
      <c r="AP137" s="76"/>
      <c r="AQ137" s="76"/>
      <c r="AR137" s="76"/>
      <c r="AS137" s="76"/>
      <c r="AT137" s="76"/>
      <c r="AU137" s="76"/>
      <c r="AV137" s="76"/>
      <c r="AW137" s="76"/>
      <c r="AX137" s="202"/>
      <c r="AY137" s="63"/>
      <c r="AZ137" s="1"/>
      <c r="BA137" s="1"/>
      <c r="BB137" s="1"/>
      <c r="BC137" s="1"/>
      <c r="BD137" s="1"/>
      <c r="BE137" s="1"/>
      <c r="BF137" s="1"/>
      <c r="BG137" s="1"/>
      <c r="BH137" s="1"/>
      <c r="BI137" s="1"/>
      <c r="BJ137" s="2"/>
      <c r="BK137" s="2"/>
      <c r="BL137" s="212"/>
    </row>
    <row r="138" spans="2:64">
      <c r="B138" s="27"/>
      <c r="C138" s="1"/>
      <c r="D138" s="1"/>
      <c r="E138" s="4"/>
      <c r="F138" s="21"/>
      <c r="G138" s="4"/>
      <c r="H138" s="263"/>
      <c r="I138" s="63"/>
      <c r="J138" s="1"/>
      <c r="K138" s="1"/>
      <c r="L138" s="202"/>
      <c r="M138" s="206"/>
      <c r="N138" s="76"/>
      <c r="O138" s="207"/>
      <c r="P138" s="76"/>
      <c r="Q138" s="76"/>
      <c r="R138" s="76"/>
      <c r="S138" s="76"/>
      <c r="T138" s="76"/>
      <c r="U138" s="76"/>
      <c r="V138" s="76"/>
      <c r="W138" s="76"/>
      <c r="X138" s="76"/>
      <c r="Y138" s="76"/>
      <c r="Z138" s="76"/>
      <c r="AA138" s="76"/>
      <c r="AB138" s="76"/>
      <c r="AC138" s="76"/>
      <c r="AD138" s="63"/>
      <c r="AE138" s="1"/>
      <c r="AF138" s="1"/>
      <c r="AG138" s="1"/>
      <c r="AH138" s="1"/>
      <c r="AI138" s="1"/>
      <c r="AJ138" s="1"/>
      <c r="AK138" s="1"/>
      <c r="AL138" s="1"/>
      <c r="AM138" s="7"/>
      <c r="AN138" s="206"/>
      <c r="AO138" s="76"/>
      <c r="AP138" s="76"/>
      <c r="AQ138" s="76"/>
      <c r="AR138" s="76"/>
      <c r="AS138" s="76"/>
      <c r="AT138" s="76"/>
      <c r="AU138" s="76"/>
      <c r="AV138" s="76"/>
      <c r="AW138" s="76"/>
      <c r="AX138" s="202"/>
      <c r="AY138" s="63"/>
      <c r="AZ138" s="1"/>
      <c r="BA138" s="1"/>
      <c r="BB138" s="1"/>
      <c r="BC138" s="1"/>
      <c r="BD138" s="1"/>
      <c r="BE138" s="1"/>
      <c r="BF138" s="1"/>
      <c r="BG138" s="1"/>
      <c r="BH138" s="1"/>
      <c r="BI138" s="1"/>
      <c r="BJ138" s="2"/>
      <c r="BK138" s="2"/>
      <c r="BL138" s="212"/>
    </row>
    <row r="139" spans="2:64">
      <c r="B139" s="27"/>
      <c r="C139" s="1"/>
      <c r="D139" s="1"/>
      <c r="E139" s="4"/>
      <c r="F139" s="21"/>
      <c r="G139" s="4"/>
      <c r="H139" s="263"/>
      <c r="I139" s="63"/>
      <c r="J139" s="1"/>
      <c r="K139" s="1"/>
      <c r="L139" s="202"/>
      <c r="M139" s="206"/>
      <c r="N139" s="76"/>
      <c r="O139" s="207"/>
      <c r="P139" s="76"/>
      <c r="Q139" s="76"/>
      <c r="R139" s="76"/>
      <c r="S139" s="76"/>
      <c r="T139" s="76"/>
      <c r="U139" s="76"/>
      <c r="V139" s="76"/>
      <c r="W139" s="76"/>
      <c r="X139" s="76"/>
      <c r="Y139" s="76"/>
      <c r="Z139" s="76"/>
      <c r="AA139" s="76"/>
      <c r="AB139" s="76"/>
      <c r="AC139" s="76"/>
      <c r="AD139" s="63"/>
      <c r="AE139" s="1"/>
      <c r="AF139" s="1"/>
      <c r="AG139" s="1"/>
      <c r="AH139" s="1"/>
      <c r="AI139" s="1"/>
      <c r="AJ139" s="1"/>
      <c r="AK139" s="1"/>
      <c r="AL139" s="1"/>
      <c r="AM139" s="7"/>
      <c r="AN139" s="206"/>
      <c r="AO139" s="76"/>
      <c r="AP139" s="76"/>
      <c r="AQ139" s="76"/>
      <c r="AR139" s="76"/>
      <c r="AS139" s="76"/>
      <c r="AT139" s="76"/>
      <c r="AU139" s="76"/>
      <c r="AV139" s="76"/>
      <c r="AW139" s="76"/>
      <c r="AX139" s="202"/>
      <c r="AY139" s="63"/>
      <c r="AZ139" s="1"/>
      <c r="BA139" s="1"/>
      <c r="BB139" s="1"/>
      <c r="BC139" s="1"/>
      <c r="BD139" s="1"/>
      <c r="BE139" s="1"/>
      <c r="BF139" s="1"/>
      <c r="BG139" s="1"/>
      <c r="BH139" s="1"/>
      <c r="BI139" s="1"/>
      <c r="BJ139" s="2"/>
      <c r="BK139" s="2"/>
      <c r="BL139" s="212"/>
    </row>
    <row r="140" spans="2:64">
      <c r="B140" s="27"/>
      <c r="C140" s="1"/>
      <c r="D140" s="1"/>
      <c r="E140" s="4"/>
      <c r="F140" s="21"/>
      <c r="G140" s="4"/>
      <c r="H140" s="263"/>
      <c r="I140" s="63"/>
      <c r="J140" s="1"/>
      <c r="K140" s="1"/>
      <c r="L140" s="202"/>
      <c r="M140" s="206"/>
      <c r="N140" s="76"/>
      <c r="O140" s="207"/>
      <c r="P140" s="76"/>
      <c r="Q140" s="76"/>
      <c r="R140" s="76"/>
      <c r="S140" s="76"/>
      <c r="T140" s="76"/>
      <c r="U140" s="76"/>
      <c r="V140" s="76"/>
      <c r="W140" s="76"/>
      <c r="X140" s="76"/>
      <c r="Y140" s="76"/>
      <c r="Z140" s="76"/>
      <c r="AA140" s="76"/>
      <c r="AB140" s="76"/>
      <c r="AC140" s="76"/>
      <c r="AD140" s="63"/>
      <c r="AE140" s="1"/>
      <c r="AF140" s="1"/>
      <c r="AG140" s="1"/>
      <c r="AH140" s="1"/>
      <c r="AI140" s="1"/>
      <c r="AJ140" s="1"/>
      <c r="AK140" s="1"/>
      <c r="AL140" s="1"/>
      <c r="AM140" s="7"/>
      <c r="AN140" s="206"/>
      <c r="AO140" s="76"/>
      <c r="AP140" s="76"/>
      <c r="AQ140" s="76"/>
      <c r="AR140" s="76"/>
      <c r="AS140" s="76"/>
      <c r="AT140" s="76"/>
      <c r="AU140" s="76"/>
      <c r="AV140" s="76"/>
      <c r="AW140" s="76"/>
      <c r="AX140" s="202"/>
      <c r="AY140" s="63"/>
      <c r="AZ140" s="1"/>
      <c r="BA140" s="1"/>
      <c r="BB140" s="1"/>
      <c r="BC140" s="1"/>
      <c r="BD140" s="1"/>
      <c r="BE140" s="1"/>
      <c r="BF140" s="1"/>
      <c r="BG140" s="1"/>
      <c r="BH140" s="1"/>
      <c r="BI140" s="1"/>
      <c r="BJ140" s="2"/>
      <c r="BK140" s="2"/>
      <c r="BL140" s="212"/>
    </row>
    <row r="141" spans="2:64">
      <c r="B141" s="27"/>
      <c r="C141" s="1"/>
      <c r="D141" s="1"/>
      <c r="E141" s="4"/>
      <c r="F141" s="21"/>
      <c r="G141" s="4"/>
      <c r="H141" s="263"/>
      <c r="I141" s="63"/>
      <c r="J141" s="1"/>
      <c r="K141" s="1"/>
      <c r="L141" s="202"/>
      <c r="M141" s="206"/>
      <c r="N141" s="76"/>
      <c r="O141" s="207"/>
      <c r="P141" s="76"/>
      <c r="Q141" s="76"/>
      <c r="R141" s="76"/>
      <c r="S141" s="76"/>
      <c r="T141" s="76"/>
      <c r="U141" s="76"/>
      <c r="V141" s="76"/>
      <c r="W141" s="76"/>
      <c r="X141" s="76"/>
      <c r="Y141" s="76"/>
      <c r="Z141" s="76"/>
      <c r="AA141" s="76"/>
      <c r="AB141" s="76"/>
      <c r="AC141" s="76"/>
      <c r="AD141" s="63"/>
      <c r="AE141" s="1"/>
      <c r="AF141" s="1"/>
      <c r="AG141" s="1"/>
      <c r="AH141" s="1"/>
      <c r="AI141" s="1"/>
      <c r="AJ141" s="1"/>
      <c r="AK141" s="1"/>
      <c r="AL141" s="1"/>
      <c r="AM141" s="7"/>
      <c r="AN141" s="206"/>
      <c r="AO141" s="76"/>
      <c r="AP141" s="76"/>
      <c r="AQ141" s="76"/>
      <c r="AR141" s="76"/>
      <c r="AS141" s="76"/>
      <c r="AT141" s="76"/>
      <c r="AU141" s="76"/>
      <c r="AV141" s="76"/>
      <c r="AW141" s="76"/>
      <c r="AX141" s="202"/>
      <c r="AY141" s="63"/>
      <c r="AZ141" s="1"/>
      <c r="BA141" s="1"/>
      <c r="BB141" s="1"/>
      <c r="BC141" s="1"/>
      <c r="BD141" s="1"/>
      <c r="BE141" s="1"/>
      <c r="BF141" s="1"/>
      <c r="BG141" s="1"/>
      <c r="BH141" s="1"/>
      <c r="BI141" s="1"/>
      <c r="BJ141" s="2"/>
      <c r="BK141" s="2"/>
      <c r="BL141" s="212"/>
    </row>
    <row r="142" spans="2:64">
      <c r="B142" s="27"/>
      <c r="C142" s="1"/>
      <c r="D142" s="1"/>
      <c r="E142" s="4"/>
      <c r="F142" s="21"/>
      <c r="G142" s="4"/>
      <c r="H142" s="263"/>
      <c r="I142" s="63"/>
      <c r="J142" s="1"/>
      <c r="K142" s="1"/>
      <c r="L142" s="202"/>
      <c r="M142" s="206"/>
      <c r="N142" s="76"/>
      <c r="O142" s="207"/>
      <c r="P142" s="76"/>
      <c r="Q142" s="76"/>
      <c r="R142" s="76"/>
      <c r="S142" s="76"/>
      <c r="T142" s="76"/>
      <c r="U142" s="76"/>
      <c r="V142" s="76"/>
      <c r="W142" s="76"/>
      <c r="X142" s="76"/>
      <c r="Y142" s="76"/>
      <c r="Z142" s="76"/>
      <c r="AA142" s="76"/>
      <c r="AB142" s="76"/>
      <c r="AC142" s="76"/>
      <c r="AD142" s="63"/>
      <c r="AE142" s="1"/>
      <c r="AF142" s="1"/>
      <c r="AG142" s="1"/>
      <c r="AH142" s="1"/>
      <c r="AI142" s="1"/>
      <c r="AJ142" s="1"/>
      <c r="AK142" s="1"/>
      <c r="AL142" s="1"/>
      <c r="AM142" s="7"/>
      <c r="AN142" s="206"/>
      <c r="AO142" s="76"/>
      <c r="AP142" s="76"/>
      <c r="AQ142" s="76"/>
      <c r="AR142" s="76"/>
      <c r="AS142" s="76"/>
      <c r="AT142" s="76"/>
      <c r="AU142" s="76"/>
      <c r="AV142" s="76"/>
      <c r="AW142" s="76"/>
      <c r="AX142" s="202"/>
      <c r="AY142" s="63"/>
      <c r="AZ142" s="1"/>
      <c r="BA142" s="1"/>
      <c r="BB142" s="1"/>
      <c r="BC142" s="1"/>
      <c r="BD142" s="1"/>
      <c r="BE142" s="1"/>
      <c r="BF142" s="1"/>
      <c r="BG142" s="1"/>
      <c r="BH142" s="1"/>
      <c r="BI142" s="1"/>
      <c r="BJ142" s="2"/>
      <c r="BK142" s="2"/>
      <c r="BL142" s="212"/>
    </row>
    <row r="143" spans="2:64">
      <c r="B143" s="27"/>
      <c r="C143" s="1"/>
      <c r="D143" s="1"/>
      <c r="E143" s="4"/>
      <c r="F143" s="21"/>
      <c r="G143" s="4"/>
      <c r="H143" s="263"/>
      <c r="I143" s="63"/>
      <c r="J143" s="1"/>
      <c r="K143" s="1"/>
      <c r="L143" s="202"/>
      <c r="M143" s="206"/>
      <c r="N143" s="76"/>
      <c r="O143" s="207"/>
      <c r="P143" s="76"/>
      <c r="Q143" s="76"/>
      <c r="R143" s="76"/>
      <c r="S143" s="76"/>
      <c r="T143" s="76"/>
      <c r="U143" s="76"/>
      <c r="V143" s="76"/>
      <c r="W143" s="76"/>
      <c r="X143" s="76"/>
      <c r="Y143" s="76"/>
      <c r="Z143" s="76"/>
      <c r="AA143" s="76"/>
      <c r="AB143" s="76"/>
      <c r="AC143" s="76"/>
      <c r="AD143" s="63"/>
      <c r="AE143" s="1"/>
      <c r="AF143" s="1"/>
      <c r="AG143" s="1"/>
      <c r="AH143" s="1"/>
      <c r="AI143" s="1"/>
      <c r="AJ143" s="1"/>
      <c r="AK143" s="1"/>
      <c r="AL143" s="1"/>
      <c r="AM143" s="7"/>
      <c r="AN143" s="206"/>
      <c r="AO143" s="76"/>
      <c r="AP143" s="76"/>
      <c r="AQ143" s="76"/>
      <c r="AR143" s="76"/>
      <c r="AS143" s="76"/>
      <c r="AT143" s="76"/>
      <c r="AU143" s="76"/>
      <c r="AV143" s="76"/>
      <c r="AW143" s="76"/>
      <c r="AX143" s="202"/>
      <c r="AY143" s="63"/>
      <c r="AZ143" s="1"/>
      <c r="BA143" s="1"/>
      <c r="BB143" s="1"/>
      <c r="BC143" s="1"/>
      <c r="BD143" s="1"/>
      <c r="BE143" s="1"/>
      <c r="BF143" s="1"/>
      <c r="BG143" s="1"/>
      <c r="BH143" s="1"/>
      <c r="BI143" s="1"/>
      <c r="BJ143" s="2"/>
      <c r="BK143" s="2"/>
      <c r="BL143" s="212"/>
    </row>
    <row r="144" spans="2:64">
      <c r="B144" s="27"/>
      <c r="C144" s="1"/>
      <c r="D144" s="1"/>
      <c r="E144" s="4"/>
      <c r="F144" s="21"/>
      <c r="G144" s="4"/>
      <c r="H144" s="263"/>
      <c r="I144" s="63"/>
      <c r="J144" s="1"/>
      <c r="K144" s="1"/>
      <c r="L144" s="202"/>
      <c r="M144" s="206"/>
      <c r="N144" s="76"/>
      <c r="O144" s="207"/>
      <c r="P144" s="76"/>
      <c r="Q144" s="76"/>
      <c r="R144" s="76"/>
      <c r="S144" s="76"/>
      <c r="T144" s="76"/>
      <c r="U144" s="76"/>
      <c r="V144" s="76"/>
      <c r="W144" s="76"/>
      <c r="X144" s="76"/>
      <c r="Y144" s="76"/>
      <c r="Z144" s="76"/>
      <c r="AA144" s="76"/>
      <c r="AB144" s="76"/>
      <c r="AC144" s="76"/>
      <c r="AD144" s="63"/>
      <c r="AE144" s="1"/>
      <c r="AF144" s="1"/>
      <c r="AG144" s="1"/>
      <c r="AH144" s="1"/>
      <c r="AI144" s="1"/>
      <c r="AJ144" s="1"/>
      <c r="AK144" s="1"/>
      <c r="AL144" s="1"/>
      <c r="AM144" s="7"/>
      <c r="AN144" s="206"/>
      <c r="AO144" s="76"/>
      <c r="AP144" s="76"/>
      <c r="AQ144" s="76"/>
      <c r="AR144" s="76"/>
      <c r="AS144" s="76"/>
      <c r="AT144" s="76"/>
      <c r="AU144" s="76"/>
      <c r="AV144" s="76"/>
      <c r="AW144" s="76"/>
      <c r="AX144" s="202"/>
      <c r="AY144" s="63"/>
      <c r="AZ144" s="1"/>
      <c r="BA144" s="1"/>
      <c r="BB144" s="1"/>
      <c r="BC144" s="1"/>
      <c r="BD144" s="1"/>
      <c r="BE144" s="1"/>
      <c r="BF144" s="1"/>
      <c r="BG144" s="1"/>
      <c r="BH144" s="1"/>
      <c r="BI144" s="1"/>
      <c r="BJ144" s="2"/>
      <c r="BK144" s="2"/>
      <c r="BL144" s="212"/>
    </row>
    <row r="145" spans="2:64">
      <c r="B145" s="27"/>
      <c r="C145" s="1"/>
      <c r="D145" s="1"/>
      <c r="E145" s="4"/>
      <c r="F145" s="21"/>
      <c r="G145" s="4"/>
      <c r="H145" s="263"/>
      <c r="I145" s="63"/>
      <c r="J145" s="1"/>
      <c r="K145" s="1"/>
      <c r="L145" s="202"/>
      <c r="M145" s="206"/>
      <c r="N145" s="76"/>
      <c r="O145" s="207"/>
      <c r="P145" s="76"/>
      <c r="Q145" s="76"/>
      <c r="R145" s="76"/>
      <c r="S145" s="76"/>
      <c r="T145" s="76"/>
      <c r="U145" s="76"/>
      <c r="V145" s="76"/>
      <c r="W145" s="76"/>
      <c r="X145" s="76"/>
      <c r="Y145" s="76"/>
      <c r="Z145" s="76"/>
      <c r="AA145" s="76"/>
      <c r="AB145" s="76"/>
      <c r="AC145" s="76"/>
      <c r="AD145" s="63"/>
      <c r="AE145" s="1"/>
      <c r="AF145" s="1"/>
      <c r="AG145" s="1"/>
      <c r="AH145" s="1"/>
      <c r="AI145" s="1"/>
      <c r="AJ145" s="1"/>
      <c r="AK145" s="1"/>
      <c r="AL145" s="1"/>
      <c r="AM145" s="7"/>
      <c r="AN145" s="206"/>
      <c r="AO145" s="76"/>
      <c r="AP145" s="76"/>
      <c r="AQ145" s="76"/>
      <c r="AR145" s="76"/>
      <c r="AS145" s="76"/>
      <c r="AT145" s="76"/>
      <c r="AU145" s="76"/>
      <c r="AV145" s="76"/>
      <c r="AW145" s="76"/>
      <c r="AX145" s="202"/>
      <c r="AY145" s="63"/>
      <c r="AZ145" s="1"/>
      <c r="BA145" s="1"/>
      <c r="BB145" s="1"/>
      <c r="BC145" s="1"/>
      <c r="BD145" s="1"/>
      <c r="BE145" s="1"/>
      <c r="BF145" s="1"/>
      <c r="BG145" s="1"/>
      <c r="BH145" s="1"/>
      <c r="BI145" s="1"/>
      <c r="BJ145" s="2"/>
      <c r="BK145" s="2"/>
      <c r="BL145" s="212"/>
    </row>
    <row r="146" spans="2:64">
      <c r="B146" s="27"/>
      <c r="C146" s="1"/>
      <c r="D146" s="1"/>
      <c r="E146" s="4"/>
      <c r="F146" s="21"/>
      <c r="G146" s="4"/>
      <c r="H146" s="263"/>
      <c r="I146" s="63"/>
      <c r="J146" s="1"/>
      <c r="K146" s="1"/>
      <c r="L146" s="202"/>
      <c r="M146" s="206"/>
      <c r="N146" s="76"/>
      <c r="O146" s="207"/>
      <c r="P146" s="76"/>
      <c r="Q146" s="76"/>
      <c r="R146" s="76"/>
      <c r="S146" s="76"/>
      <c r="T146" s="76"/>
      <c r="U146" s="76"/>
      <c r="V146" s="76"/>
      <c r="W146" s="76"/>
      <c r="X146" s="76"/>
      <c r="Y146" s="76"/>
      <c r="Z146" s="76"/>
      <c r="AA146" s="76"/>
      <c r="AB146" s="76"/>
      <c r="AC146" s="76"/>
      <c r="AD146" s="63"/>
      <c r="AE146" s="1"/>
      <c r="AF146" s="1"/>
      <c r="AG146" s="1"/>
      <c r="AH146" s="1"/>
      <c r="AI146" s="1"/>
      <c r="AJ146" s="1"/>
      <c r="AK146" s="1"/>
      <c r="AL146" s="1"/>
      <c r="AM146" s="7"/>
      <c r="AN146" s="206"/>
      <c r="AO146" s="76"/>
      <c r="AP146" s="76"/>
      <c r="AQ146" s="76"/>
      <c r="AR146" s="76"/>
      <c r="AS146" s="76"/>
      <c r="AT146" s="76"/>
      <c r="AU146" s="76"/>
      <c r="AV146" s="76"/>
      <c r="AW146" s="76"/>
      <c r="AX146" s="202"/>
      <c r="AY146" s="63"/>
      <c r="AZ146" s="1"/>
      <c r="BA146" s="1"/>
      <c r="BB146" s="1"/>
      <c r="BC146" s="1"/>
      <c r="BD146" s="1"/>
      <c r="BE146" s="1"/>
      <c r="BF146" s="1"/>
      <c r="BG146" s="1"/>
      <c r="BH146" s="1"/>
      <c r="BI146" s="1"/>
      <c r="BJ146" s="2"/>
      <c r="BK146" s="2"/>
      <c r="BL146" s="212"/>
    </row>
    <row r="147" spans="2:64">
      <c r="B147" s="27"/>
      <c r="C147" s="1"/>
      <c r="D147" s="1"/>
      <c r="E147" s="4"/>
      <c r="F147" s="21"/>
      <c r="G147" s="4"/>
      <c r="H147" s="263"/>
      <c r="I147" s="63"/>
      <c r="J147" s="1"/>
      <c r="K147" s="1"/>
      <c r="L147" s="202"/>
      <c r="M147" s="206"/>
      <c r="N147" s="76"/>
      <c r="O147" s="207"/>
      <c r="P147" s="76"/>
      <c r="Q147" s="76"/>
      <c r="R147" s="76"/>
      <c r="S147" s="76"/>
      <c r="T147" s="76"/>
      <c r="U147" s="76"/>
      <c r="V147" s="76"/>
      <c r="W147" s="76"/>
      <c r="X147" s="76"/>
      <c r="Y147" s="76"/>
      <c r="Z147" s="76"/>
      <c r="AA147" s="76"/>
      <c r="AB147" s="76"/>
      <c r="AC147" s="76"/>
      <c r="AD147" s="63"/>
      <c r="AE147" s="1"/>
      <c r="AF147" s="1"/>
      <c r="AG147" s="1"/>
      <c r="AH147" s="1"/>
      <c r="AI147" s="1"/>
      <c r="AJ147" s="1"/>
      <c r="AK147" s="1"/>
      <c r="AL147" s="1"/>
      <c r="AM147" s="7"/>
      <c r="AN147" s="206"/>
      <c r="AO147" s="76"/>
      <c r="AP147" s="76"/>
      <c r="AQ147" s="76"/>
      <c r="AR147" s="76"/>
      <c r="AS147" s="76"/>
      <c r="AT147" s="76"/>
      <c r="AU147" s="76"/>
      <c r="AV147" s="76"/>
      <c r="AW147" s="76"/>
      <c r="AX147" s="202"/>
      <c r="AY147" s="63"/>
      <c r="AZ147" s="1"/>
      <c r="BA147" s="1"/>
      <c r="BB147" s="1"/>
      <c r="BC147" s="1"/>
      <c r="BD147" s="1"/>
      <c r="BE147" s="1"/>
      <c r="BF147" s="1"/>
      <c r="BG147" s="1"/>
      <c r="BH147" s="1"/>
      <c r="BI147" s="1"/>
      <c r="BJ147" s="2"/>
      <c r="BK147" s="2"/>
      <c r="BL147" s="212"/>
    </row>
    <row r="148" spans="2:64">
      <c r="B148" s="27"/>
      <c r="C148" s="1"/>
      <c r="D148" s="1"/>
      <c r="E148" s="4"/>
      <c r="F148" s="21"/>
      <c r="G148" s="4"/>
      <c r="H148" s="263"/>
      <c r="I148" s="63"/>
      <c r="J148" s="1"/>
      <c r="K148" s="1"/>
      <c r="L148" s="202"/>
      <c r="M148" s="206"/>
      <c r="N148" s="76"/>
      <c r="O148" s="207"/>
      <c r="P148" s="76"/>
      <c r="Q148" s="76"/>
      <c r="R148" s="76"/>
      <c r="S148" s="76"/>
      <c r="T148" s="76"/>
      <c r="U148" s="76"/>
      <c r="V148" s="76"/>
      <c r="W148" s="76"/>
      <c r="X148" s="76"/>
      <c r="Y148" s="76"/>
      <c r="Z148" s="76"/>
      <c r="AA148" s="76"/>
      <c r="AB148" s="76"/>
      <c r="AC148" s="76"/>
      <c r="AD148" s="63"/>
      <c r="AE148" s="1"/>
      <c r="AF148" s="1"/>
      <c r="AG148" s="1"/>
      <c r="AH148" s="1"/>
      <c r="AI148" s="1"/>
      <c r="AJ148" s="1"/>
      <c r="AK148" s="1"/>
      <c r="AL148" s="1"/>
      <c r="AM148" s="7"/>
      <c r="AN148" s="206"/>
      <c r="AO148" s="76"/>
      <c r="AP148" s="76"/>
      <c r="AQ148" s="76"/>
      <c r="AR148" s="76"/>
      <c r="AS148" s="76"/>
      <c r="AT148" s="76"/>
      <c r="AU148" s="76"/>
      <c r="AV148" s="76"/>
      <c r="AW148" s="76"/>
      <c r="AX148" s="202"/>
      <c r="AY148" s="63"/>
      <c r="AZ148" s="1"/>
      <c r="BA148" s="1"/>
      <c r="BB148" s="1"/>
      <c r="BC148" s="1"/>
      <c r="BD148" s="1"/>
      <c r="BE148" s="1"/>
      <c r="BF148" s="1"/>
      <c r="BG148" s="1"/>
      <c r="BH148" s="1"/>
      <c r="BI148" s="1"/>
      <c r="BJ148" s="2"/>
      <c r="BK148" s="2"/>
      <c r="BL148" s="212"/>
    </row>
    <row r="149" spans="2:64">
      <c r="B149" s="27"/>
      <c r="C149" s="1"/>
      <c r="D149" s="1"/>
      <c r="E149" s="4"/>
      <c r="F149" s="21"/>
      <c r="G149" s="4"/>
      <c r="H149" s="263"/>
      <c r="I149" s="63"/>
      <c r="J149" s="1"/>
      <c r="K149" s="1"/>
      <c r="L149" s="202"/>
      <c r="M149" s="206"/>
      <c r="N149" s="76"/>
      <c r="O149" s="207"/>
      <c r="P149" s="76"/>
      <c r="Q149" s="76"/>
      <c r="R149" s="76"/>
      <c r="S149" s="76"/>
      <c r="T149" s="76"/>
      <c r="U149" s="76"/>
      <c r="V149" s="76"/>
      <c r="W149" s="76"/>
      <c r="X149" s="76"/>
      <c r="Y149" s="76"/>
      <c r="Z149" s="76"/>
      <c r="AA149" s="76"/>
      <c r="AB149" s="76"/>
      <c r="AC149" s="76"/>
      <c r="AD149" s="63"/>
      <c r="AE149" s="1"/>
      <c r="AF149" s="1"/>
      <c r="AG149" s="1"/>
      <c r="AH149" s="1"/>
      <c r="AI149" s="1"/>
      <c r="AJ149" s="1"/>
      <c r="AK149" s="1"/>
      <c r="AL149" s="1"/>
      <c r="AM149" s="7"/>
      <c r="AN149" s="206"/>
      <c r="AO149" s="76"/>
      <c r="AP149" s="76"/>
      <c r="AQ149" s="76"/>
      <c r="AR149" s="76"/>
      <c r="AS149" s="76"/>
      <c r="AT149" s="76"/>
      <c r="AU149" s="76"/>
      <c r="AV149" s="76"/>
      <c r="AW149" s="76"/>
      <c r="AX149" s="202"/>
      <c r="AY149" s="63"/>
      <c r="AZ149" s="1"/>
      <c r="BA149" s="1"/>
      <c r="BB149" s="1"/>
      <c r="BC149" s="1"/>
      <c r="BD149" s="1"/>
      <c r="BE149" s="1"/>
      <c r="BF149" s="1"/>
      <c r="BG149" s="1"/>
      <c r="BH149" s="1"/>
      <c r="BI149" s="1"/>
      <c r="BJ149" s="2"/>
      <c r="BK149" s="2"/>
      <c r="BL149" s="212"/>
    </row>
    <row r="150" spans="2:64">
      <c r="B150" s="27"/>
      <c r="C150" s="1"/>
      <c r="D150" s="1"/>
      <c r="E150" s="4"/>
      <c r="F150" s="21"/>
      <c r="G150" s="4"/>
      <c r="H150" s="263"/>
      <c r="I150" s="63"/>
      <c r="J150" s="1"/>
      <c r="K150" s="1"/>
      <c r="L150" s="202"/>
      <c r="M150" s="206"/>
      <c r="N150" s="76"/>
      <c r="O150" s="207"/>
      <c r="P150" s="76"/>
      <c r="Q150" s="76"/>
      <c r="R150" s="76"/>
      <c r="S150" s="76"/>
      <c r="T150" s="76"/>
      <c r="U150" s="76"/>
      <c r="V150" s="76"/>
      <c r="W150" s="76"/>
      <c r="X150" s="76"/>
      <c r="Y150" s="76"/>
      <c r="Z150" s="76"/>
      <c r="AA150" s="76"/>
      <c r="AB150" s="76"/>
      <c r="AC150" s="76"/>
      <c r="AD150" s="63"/>
      <c r="AE150" s="1"/>
      <c r="AF150" s="1"/>
      <c r="AG150" s="1"/>
      <c r="AH150" s="1"/>
      <c r="AI150" s="1"/>
      <c r="AJ150" s="1"/>
      <c r="AK150" s="1"/>
      <c r="AL150" s="1"/>
      <c r="AM150" s="7"/>
      <c r="AN150" s="206"/>
      <c r="AO150" s="76"/>
      <c r="AP150" s="76"/>
      <c r="AQ150" s="76"/>
      <c r="AR150" s="76"/>
      <c r="AS150" s="76"/>
      <c r="AT150" s="76"/>
      <c r="AU150" s="76"/>
      <c r="AV150" s="76"/>
      <c r="AW150" s="76"/>
      <c r="AX150" s="202"/>
      <c r="AY150" s="63"/>
      <c r="AZ150" s="1"/>
      <c r="BA150" s="1"/>
      <c r="BB150" s="1"/>
      <c r="BC150" s="1"/>
      <c r="BD150" s="1"/>
      <c r="BE150" s="1"/>
      <c r="BF150" s="1"/>
      <c r="BG150" s="1"/>
      <c r="BH150" s="1"/>
      <c r="BI150" s="1"/>
      <c r="BJ150" s="2"/>
      <c r="BK150" s="2"/>
      <c r="BL150" s="212"/>
    </row>
    <row r="151" spans="2:64">
      <c r="B151" s="27"/>
      <c r="C151" s="1"/>
      <c r="D151" s="1"/>
      <c r="E151" s="4"/>
      <c r="F151" s="21"/>
      <c r="G151" s="4"/>
      <c r="H151" s="263"/>
      <c r="I151" s="63"/>
      <c r="J151" s="1"/>
      <c r="K151" s="1"/>
      <c r="L151" s="202"/>
      <c r="M151" s="206"/>
      <c r="N151" s="76"/>
      <c r="O151" s="207"/>
      <c r="P151" s="76"/>
      <c r="Q151" s="76"/>
      <c r="R151" s="76"/>
      <c r="S151" s="76"/>
      <c r="T151" s="76"/>
      <c r="U151" s="76"/>
      <c r="V151" s="76"/>
      <c r="W151" s="76"/>
      <c r="X151" s="76"/>
      <c r="Y151" s="76"/>
      <c r="Z151" s="76"/>
      <c r="AA151" s="76"/>
      <c r="AB151" s="76"/>
      <c r="AC151" s="76"/>
      <c r="AD151" s="63"/>
      <c r="AE151" s="1"/>
      <c r="AF151" s="1"/>
      <c r="AG151" s="1"/>
      <c r="AH151" s="1"/>
      <c r="AI151" s="1"/>
      <c r="AJ151" s="1"/>
      <c r="AK151" s="1"/>
      <c r="AL151" s="1"/>
      <c r="AM151" s="7"/>
      <c r="AN151" s="206"/>
      <c r="AO151" s="76"/>
      <c r="AP151" s="76"/>
      <c r="AQ151" s="76"/>
      <c r="AR151" s="76"/>
      <c r="AS151" s="76"/>
      <c r="AT151" s="76"/>
      <c r="AU151" s="76"/>
      <c r="AV151" s="76"/>
      <c r="AW151" s="76"/>
      <c r="AX151" s="202"/>
      <c r="AY151" s="63"/>
      <c r="AZ151" s="1"/>
      <c r="BA151" s="1"/>
      <c r="BB151" s="1"/>
      <c r="BC151" s="1"/>
      <c r="BD151" s="1"/>
      <c r="BE151" s="1"/>
      <c r="BF151" s="1"/>
      <c r="BG151" s="1"/>
      <c r="BH151" s="1"/>
      <c r="BI151" s="1"/>
      <c r="BJ151" s="2"/>
      <c r="BK151" s="2"/>
      <c r="BL151" s="212"/>
    </row>
    <row r="152" spans="2:64">
      <c r="B152" s="27"/>
      <c r="C152" s="1"/>
      <c r="D152" s="1"/>
      <c r="E152" s="4"/>
      <c r="F152" s="21"/>
      <c r="G152" s="4"/>
      <c r="H152" s="263"/>
      <c r="I152" s="63"/>
      <c r="J152" s="1"/>
      <c r="K152" s="1"/>
      <c r="L152" s="202"/>
      <c r="M152" s="206"/>
      <c r="N152" s="76"/>
      <c r="O152" s="207"/>
      <c r="P152" s="76"/>
      <c r="Q152" s="76"/>
      <c r="R152" s="76"/>
      <c r="S152" s="76"/>
      <c r="T152" s="76"/>
      <c r="U152" s="76"/>
      <c r="V152" s="76"/>
      <c r="W152" s="76"/>
      <c r="X152" s="76"/>
      <c r="Y152" s="76"/>
      <c r="Z152" s="76"/>
      <c r="AA152" s="76"/>
      <c r="AB152" s="76"/>
      <c r="AC152" s="76"/>
      <c r="AD152" s="63"/>
      <c r="AE152" s="1"/>
      <c r="AF152" s="1"/>
      <c r="AG152" s="1"/>
      <c r="AH152" s="1"/>
      <c r="AI152" s="1"/>
      <c r="AJ152" s="1"/>
      <c r="AK152" s="1"/>
      <c r="AL152" s="1"/>
      <c r="AM152" s="7"/>
      <c r="AN152" s="206"/>
      <c r="AO152" s="76"/>
      <c r="AP152" s="76"/>
      <c r="AQ152" s="76"/>
      <c r="AR152" s="76"/>
      <c r="AS152" s="76"/>
      <c r="AT152" s="76"/>
      <c r="AU152" s="76"/>
      <c r="AV152" s="76"/>
      <c r="AW152" s="76"/>
      <c r="AX152" s="202"/>
      <c r="AY152" s="63"/>
      <c r="AZ152" s="1"/>
      <c r="BA152" s="1"/>
      <c r="BB152" s="1"/>
      <c r="BC152" s="1"/>
      <c r="BD152" s="1"/>
      <c r="BE152" s="1"/>
      <c r="BF152" s="1"/>
      <c r="BG152" s="1"/>
      <c r="BH152" s="1"/>
      <c r="BI152" s="1"/>
      <c r="BJ152" s="2"/>
      <c r="BK152" s="2"/>
      <c r="BL152" s="212"/>
    </row>
    <row r="153" spans="2:64">
      <c r="B153" s="27"/>
      <c r="C153" s="1"/>
      <c r="D153" s="1"/>
      <c r="E153" s="4"/>
      <c r="F153" s="21"/>
      <c r="G153" s="4"/>
      <c r="H153" s="263"/>
      <c r="I153" s="63"/>
      <c r="J153" s="1"/>
      <c r="K153" s="1"/>
      <c r="L153" s="202"/>
      <c r="M153" s="206"/>
      <c r="N153" s="76"/>
      <c r="O153" s="207"/>
      <c r="P153" s="76"/>
      <c r="Q153" s="76"/>
      <c r="R153" s="76"/>
      <c r="S153" s="76"/>
      <c r="T153" s="76"/>
      <c r="U153" s="76"/>
      <c r="V153" s="76"/>
      <c r="W153" s="76"/>
      <c r="X153" s="76"/>
      <c r="Y153" s="76"/>
      <c r="Z153" s="76"/>
      <c r="AA153" s="76"/>
      <c r="AB153" s="76"/>
      <c r="AC153" s="76"/>
      <c r="AD153" s="63"/>
      <c r="AE153" s="1"/>
      <c r="AF153" s="1"/>
      <c r="AG153" s="1"/>
      <c r="AH153" s="1"/>
      <c r="AI153" s="1"/>
      <c r="AJ153" s="1"/>
      <c r="AK153" s="1"/>
      <c r="AL153" s="1"/>
      <c r="AM153" s="7"/>
      <c r="AN153" s="206"/>
      <c r="AO153" s="76"/>
      <c r="AP153" s="76"/>
      <c r="AQ153" s="76"/>
      <c r="AR153" s="76"/>
      <c r="AS153" s="76"/>
      <c r="AT153" s="76"/>
      <c r="AU153" s="76"/>
      <c r="AV153" s="76"/>
      <c r="AW153" s="76"/>
      <c r="AX153" s="202"/>
      <c r="AY153" s="63"/>
      <c r="AZ153" s="1"/>
      <c r="BA153" s="1"/>
      <c r="BB153" s="1"/>
      <c r="BC153" s="1"/>
      <c r="BD153" s="1"/>
      <c r="BE153" s="1"/>
      <c r="BF153" s="1"/>
      <c r="BG153" s="1"/>
      <c r="BH153" s="1"/>
      <c r="BI153" s="1"/>
      <c r="BJ153" s="2"/>
      <c r="BK153" s="2"/>
      <c r="BL153" s="212"/>
    </row>
    <row r="154" spans="2:64">
      <c r="B154" s="27"/>
      <c r="C154" s="1"/>
      <c r="D154" s="1"/>
      <c r="E154" s="4"/>
      <c r="F154" s="21"/>
      <c r="G154" s="4"/>
      <c r="H154" s="263"/>
      <c r="I154" s="63"/>
      <c r="J154" s="1"/>
      <c r="K154" s="1"/>
      <c r="L154" s="202"/>
      <c r="M154" s="206"/>
      <c r="N154" s="76"/>
      <c r="O154" s="207"/>
      <c r="P154" s="76"/>
      <c r="Q154" s="76"/>
      <c r="R154" s="76"/>
      <c r="S154" s="76"/>
      <c r="T154" s="76"/>
      <c r="U154" s="76"/>
      <c r="V154" s="76"/>
      <c r="W154" s="76"/>
      <c r="X154" s="76"/>
      <c r="Y154" s="76"/>
      <c r="Z154" s="76"/>
      <c r="AA154" s="76"/>
      <c r="AB154" s="76"/>
      <c r="AC154" s="76"/>
      <c r="AD154" s="63"/>
      <c r="AE154" s="1"/>
      <c r="AF154" s="1"/>
      <c r="AG154" s="1"/>
      <c r="AH154" s="1"/>
      <c r="AI154" s="1"/>
      <c r="AJ154" s="1"/>
      <c r="AK154" s="1"/>
      <c r="AL154" s="1"/>
      <c r="AM154" s="7"/>
      <c r="AN154" s="206"/>
      <c r="AO154" s="76"/>
      <c r="AP154" s="76"/>
      <c r="AQ154" s="76"/>
      <c r="AR154" s="76"/>
      <c r="AS154" s="76"/>
      <c r="AT154" s="76"/>
      <c r="AU154" s="76"/>
      <c r="AV154" s="76"/>
      <c r="AW154" s="76"/>
      <c r="AX154" s="202"/>
      <c r="AY154" s="63"/>
      <c r="AZ154" s="1"/>
      <c r="BA154" s="1"/>
      <c r="BB154" s="1"/>
      <c r="BC154" s="1"/>
      <c r="BD154" s="1"/>
      <c r="BE154" s="1"/>
      <c r="BF154" s="1"/>
      <c r="BG154" s="1"/>
      <c r="BH154" s="1"/>
      <c r="BI154" s="1"/>
      <c r="BJ154" s="2"/>
      <c r="BK154" s="2"/>
      <c r="BL154" s="212"/>
    </row>
    <row r="155" spans="2:64">
      <c r="B155" s="27"/>
      <c r="C155" s="1"/>
      <c r="D155" s="1"/>
      <c r="E155" s="4"/>
      <c r="F155" s="21"/>
      <c r="G155" s="4"/>
      <c r="H155" s="263"/>
      <c r="I155" s="63"/>
      <c r="J155" s="1"/>
      <c r="K155" s="1"/>
      <c r="L155" s="202"/>
      <c r="M155" s="206"/>
      <c r="N155" s="76"/>
      <c r="O155" s="207"/>
      <c r="P155" s="76"/>
      <c r="Q155" s="76"/>
      <c r="R155" s="76"/>
      <c r="S155" s="76"/>
      <c r="T155" s="76"/>
      <c r="U155" s="76"/>
      <c r="V155" s="76"/>
      <c r="W155" s="76"/>
      <c r="X155" s="76"/>
      <c r="Y155" s="76"/>
      <c r="Z155" s="76"/>
      <c r="AA155" s="76"/>
      <c r="AB155" s="76"/>
      <c r="AC155" s="76"/>
      <c r="AD155" s="63"/>
      <c r="AE155" s="1"/>
      <c r="AF155" s="1"/>
      <c r="AG155" s="1"/>
      <c r="AH155" s="1"/>
      <c r="AI155" s="1"/>
      <c r="AJ155" s="1"/>
      <c r="AK155" s="1"/>
      <c r="AL155" s="1"/>
      <c r="AM155" s="7"/>
      <c r="AN155" s="206"/>
      <c r="AO155" s="76"/>
      <c r="AP155" s="76"/>
      <c r="AQ155" s="76"/>
      <c r="AR155" s="76"/>
      <c r="AS155" s="76"/>
      <c r="AT155" s="76"/>
      <c r="AU155" s="76"/>
      <c r="AV155" s="76"/>
      <c r="AW155" s="76"/>
      <c r="AX155" s="202"/>
      <c r="AY155" s="63"/>
      <c r="AZ155" s="1"/>
      <c r="BA155" s="1"/>
      <c r="BB155" s="1"/>
      <c r="BC155" s="1"/>
      <c r="BD155" s="1"/>
      <c r="BE155" s="1"/>
      <c r="BF155" s="1"/>
      <c r="BG155" s="1"/>
      <c r="BH155" s="1"/>
      <c r="BI155" s="1"/>
      <c r="BJ155" s="2"/>
      <c r="BK155" s="2"/>
      <c r="BL155" s="212"/>
    </row>
    <row r="156" spans="2:64">
      <c r="B156" s="27"/>
      <c r="C156" s="1"/>
      <c r="D156" s="1"/>
      <c r="E156" s="4"/>
      <c r="F156" s="21"/>
      <c r="G156" s="4"/>
      <c r="H156" s="263"/>
      <c r="I156" s="63"/>
      <c r="J156" s="1"/>
      <c r="K156" s="1"/>
      <c r="L156" s="202"/>
      <c r="M156" s="206"/>
      <c r="N156" s="76"/>
      <c r="O156" s="207"/>
      <c r="P156" s="76"/>
      <c r="Q156" s="76"/>
      <c r="R156" s="76"/>
      <c r="S156" s="76"/>
      <c r="T156" s="76"/>
      <c r="U156" s="76"/>
      <c r="V156" s="76"/>
      <c r="W156" s="76"/>
      <c r="X156" s="76"/>
      <c r="Y156" s="76"/>
      <c r="Z156" s="76"/>
      <c r="AA156" s="76"/>
      <c r="AB156" s="76"/>
      <c r="AC156" s="76"/>
      <c r="AD156" s="63"/>
      <c r="AE156" s="1"/>
      <c r="AF156" s="1"/>
      <c r="AG156" s="1"/>
      <c r="AH156" s="1"/>
      <c r="AI156" s="1"/>
      <c r="AJ156" s="1"/>
      <c r="AK156" s="1"/>
      <c r="AL156" s="1"/>
      <c r="AM156" s="7"/>
      <c r="AN156" s="206"/>
      <c r="AO156" s="76"/>
      <c r="AP156" s="76"/>
      <c r="AQ156" s="76"/>
      <c r="AR156" s="76"/>
      <c r="AS156" s="76"/>
      <c r="AT156" s="76"/>
      <c r="AU156" s="76"/>
      <c r="AV156" s="76"/>
      <c r="AW156" s="76"/>
      <c r="AX156" s="202"/>
      <c r="AY156" s="63"/>
      <c r="AZ156" s="1"/>
      <c r="BA156" s="1"/>
      <c r="BB156" s="1"/>
      <c r="BC156" s="1"/>
      <c r="BD156" s="1"/>
      <c r="BE156" s="1"/>
      <c r="BF156" s="1"/>
      <c r="BG156" s="1"/>
      <c r="BH156" s="1"/>
      <c r="BI156" s="1"/>
      <c r="BJ156" s="2"/>
      <c r="BK156" s="2"/>
      <c r="BL156" s="212"/>
    </row>
    <row r="157" spans="2:64">
      <c r="B157" s="27"/>
      <c r="C157" s="1"/>
      <c r="D157" s="1"/>
      <c r="E157" s="4"/>
      <c r="F157" s="21"/>
      <c r="G157" s="4"/>
      <c r="H157" s="263"/>
      <c r="I157" s="63"/>
      <c r="J157" s="1"/>
      <c r="K157" s="1"/>
      <c r="L157" s="202"/>
      <c r="M157" s="206"/>
      <c r="N157" s="76"/>
      <c r="O157" s="207"/>
      <c r="P157" s="76"/>
      <c r="Q157" s="76"/>
      <c r="R157" s="76"/>
      <c r="S157" s="76"/>
      <c r="T157" s="76"/>
      <c r="U157" s="76"/>
      <c r="V157" s="76"/>
      <c r="W157" s="76"/>
      <c r="X157" s="76"/>
      <c r="Y157" s="76"/>
      <c r="Z157" s="76"/>
      <c r="AA157" s="76"/>
      <c r="AB157" s="76"/>
      <c r="AC157" s="76"/>
      <c r="AD157" s="63"/>
      <c r="AE157" s="1"/>
      <c r="AF157" s="1"/>
      <c r="AG157" s="1"/>
      <c r="AH157" s="1"/>
      <c r="AI157" s="1"/>
      <c r="AJ157" s="1"/>
      <c r="AK157" s="1"/>
      <c r="AL157" s="1"/>
      <c r="AM157" s="7"/>
      <c r="AN157" s="206"/>
      <c r="AO157" s="76"/>
      <c r="AP157" s="76"/>
      <c r="AQ157" s="76"/>
      <c r="AR157" s="76"/>
      <c r="AS157" s="76"/>
      <c r="AT157" s="76"/>
      <c r="AU157" s="76"/>
      <c r="AV157" s="76"/>
      <c r="AW157" s="76"/>
      <c r="AX157" s="202"/>
      <c r="AY157" s="63"/>
      <c r="AZ157" s="1"/>
      <c r="BA157" s="1"/>
      <c r="BB157" s="1"/>
      <c r="BC157" s="1"/>
      <c r="BD157" s="1"/>
      <c r="BE157" s="1"/>
      <c r="BF157" s="1"/>
      <c r="BG157" s="1"/>
      <c r="BH157" s="1"/>
      <c r="BI157" s="1"/>
      <c r="BJ157" s="2"/>
      <c r="BK157" s="2"/>
      <c r="BL157" s="212"/>
    </row>
    <row r="158" spans="2:64">
      <c r="B158" s="27"/>
      <c r="C158" s="1"/>
      <c r="D158" s="1"/>
      <c r="E158" s="4"/>
      <c r="F158" s="21"/>
      <c r="G158" s="4"/>
      <c r="H158" s="263"/>
      <c r="I158" s="63"/>
      <c r="J158" s="1"/>
      <c r="K158" s="1"/>
      <c r="L158" s="202"/>
      <c r="M158" s="206"/>
      <c r="N158" s="76"/>
      <c r="O158" s="207"/>
      <c r="P158" s="76"/>
      <c r="Q158" s="76"/>
      <c r="R158" s="76"/>
      <c r="S158" s="76"/>
      <c r="T158" s="76"/>
      <c r="U158" s="76"/>
      <c r="V158" s="76"/>
      <c r="W158" s="76"/>
      <c r="X158" s="76"/>
      <c r="Y158" s="76"/>
      <c r="Z158" s="76"/>
      <c r="AA158" s="76"/>
      <c r="AB158" s="76"/>
      <c r="AC158" s="76"/>
      <c r="AD158" s="63"/>
      <c r="AE158" s="1"/>
      <c r="AF158" s="1"/>
      <c r="AG158" s="1"/>
      <c r="AH158" s="1"/>
      <c r="AI158" s="1"/>
      <c r="AJ158" s="1"/>
      <c r="AK158" s="1"/>
      <c r="AL158" s="1"/>
      <c r="AM158" s="7"/>
      <c r="AN158" s="206"/>
      <c r="AO158" s="76"/>
      <c r="AP158" s="76"/>
      <c r="AQ158" s="76"/>
      <c r="AR158" s="76"/>
      <c r="AS158" s="76"/>
      <c r="AT158" s="76"/>
      <c r="AU158" s="76"/>
      <c r="AV158" s="76"/>
      <c r="AW158" s="76"/>
      <c r="AX158" s="202"/>
      <c r="AY158" s="63"/>
      <c r="AZ158" s="1"/>
      <c r="BA158" s="1"/>
      <c r="BB158" s="1"/>
      <c r="BC158" s="1"/>
      <c r="BD158" s="1"/>
      <c r="BE158" s="1"/>
      <c r="BF158" s="1"/>
      <c r="BG158" s="1"/>
      <c r="BH158" s="1"/>
      <c r="BI158" s="1"/>
      <c r="BJ158" s="2"/>
      <c r="BK158" s="2"/>
      <c r="BL158" s="212"/>
    </row>
    <row r="159" spans="2:64">
      <c r="B159" s="27"/>
      <c r="C159" s="1"/>
      <c r="D159" s="1"/>
      <c r="E159" s="4"/>
      <c r="F159" s="21"/>
      <c r="G159" s="4"/>
      <c r="H159" s="263"/>
      <c r="I159" s="63"/>
      <c r="J159" s="1"/>
      <c r="K159" s="1"/>
      <c r="L159" s="202"/>
      <c r="M159" s="206"/>
      <c r="N159" s="76"/>
      <c r="O159" s="207"/>
      <c r="P159" s="76"/>
      <c r="Q159" s="76"/>
      <c r="R159" s="76"/>
      <c r="S159" s="76"/>
      <c r="T159" s="76"/>
      <c r="U159" s="76"/>
      <c r="V159" s="76"/>
      <c r="W159" s="76"/>
      <c r="X159" s="76"/>
      <c r="Y159" s="76"/>
      <c r="Z159" s="76"/>
      <c r="AA159" s="76"/>
      <c r="AB159" s="76"/>
      <c r="AC159" s="76"/>
      <c r="AD159" s="63"/>
      <c r="AE159" s="1"/>
      <c r="AF159" s="1"/>
      <c r="AG159" s="1"/>
      <c r="AH159" s="1"/>
      <c r="AI159" s="1"/>
      <c r="AJ159" s="1"/>
      <c r="AK159" s="1"/>
      <c r="AL159" s="1"/>
      <c r="AM159" s="7"/>
      <c r="AN159" s="206"/>
      <c r="AO159" s="76"/>
      <c r="AP159" s="76"/>
      <c r="AQ159" s="76"/>
      <c r="AR159" s="76"/>
      <c r="AS159" s="76"/>
      <c r="AT159" s="76"/>
      <c r="AU159" s="76"/>
      <c r="AV159" s="76"/>
      <c r="AW159" s="76"/>
      <c r="AX159" s="202"/>
      <c r="AY159" s="63"/>
      <c r="AZ159" s="1"/>
      <c r="BA159" s="1"/>
      <c r="BB159" s="1"/>
      <c r="BC159" s="1"/>
      <c r="BD159" s="1"/>
      <c r="BE159" s="1"/>
      <c r="BF159" s="1"/>
      <c r="BG159" s="1"/>
      <c r="BH159" s="1"/>
      <c r="BI159" s="1"/>
      <c r="BJ159" s="2"/>
      <c r="BK159" s="2"/>
      <c r="BL159" s="212"/>
    </row>
    <row r="160" spans="2:64">
      <c r="B160" s="27"/>
      <c r="C160" s="1"/>
      <c r="D160" s="1"/>
      <c r="E160" s="4"/>
      <c r="F160" s="21"/>
      <c r="G160" s="4"/>
      <c r="H160" s="263"/>
      <c r="I160" s="63"/>
      <c r="J160" s="1"/>
      <c r="K160" s="1"/>
      <c r="L160" s="202"/>
      <c r="M160" s="206"/>
      <c r="N160" s="76"/>
      <c r="O160" s="207"/>
      <c r="P160" s="76"/>
      <c r="Q160" s="76"/>
      <c r="R160" s="76"/>
      <c r="S160" s="76"/>
      <c r="T160" s="76"/>
      <c r="U160" s="76"/>
      <c r="V160" s="76"/>
      <c r="W160" s="76"/>
      <c r="X160" s="76"/>
      <c r="Y160" s="76"/>
      <c r="Z160" s="76"/>
      <c r="AA160" s="76"/>
      <c r="AB160" s="76"/>
      <c r="AC160" s="76"/>
      <c r="AD160" s="63"/>
      <c r="AE160" s="1"/>
      <c r="AF160" s="1"/>
      <c r="AG160" s="1"/>
      <c r="AH160" s="1"/>
      <c r="AI160" s="1"/>
      <c r="AJ160" s="1"/>
      <c r="AK160" s="1"/>
      <c r="AL160" s="1"/>
      <c r="AM160" s="7"/>
      <c r="AN160" s="206"/>
      <c r="AO160" s="76"/>
      <c r="AP160" s="76"/>
      <c r="AQ160" s="76"/>
      <c r="AR160" s="76"/>
      <c r="AS160" s="76"/>
      <c r="AT160" s="76"/>
      <c r="AU160" s="76"/>
      <c r="AV160" s="76"/>
      <c r="AW160" s="76"/>
      <c r="AX160" s="202"/>
      <c r="AY160" s="63"/>
      <c r="AZ160" s="1"/>
      <c r="BA160" s="1"/>
      <c r="BB160" s="1"/>
      <c r="BC160" s="1"/>
      <c r="BD160" s="1"/>
      <c r="BE160" s="1"/>
      <c r="BF160" s="1"/>
      <c r="BG160" s="1"/>
      <c r="BH160" s="1"/>
      <c r="BI160" s="1"/>
      <c r="BJ160" s="2"/>
      <c r="BK160" s="2"/>
      <c r="BL160" s="212"/>
    </row>
    <row r="161" spans="2:64">
      <c r="B161" s="27"/>
      <c r="C161" s="1"/>
      <c r="D161" s="1"/>
      <c r="E161" s="4"/>
      <c r="F161" s="21"/>
      <c r="G161" s="4"/>
      <c r="H161" s="263"/>
      <c r="I161" s="63"/>
      <c r="J161" s="1"/>
      <c r="K161" s="1"/>
      <c r="L161" s="202"/>
      <c r="M161" s="206"/>
      <c r="N161" s="76"/>
      <c r="O161" s="207"/>
      <c r="P161" s="76"/>
      <c r="Q161" s="76"/>
      <c r="R161" s="76"/>
      <c r="S161" s="76"/>
      <c r="T161" s="76"/>
      <c r="U161" s="76"/>
      <c r="V161" s="76"/>
      <c r="W161" s="76"/>
      <c r="X161" s="76"/>
      <c r="Y161" s="76"/>
      <c r="Z161" s="76"/>
      <c r="AA161" s="76"/>
      <c r="AB161" s="76"/>
      <c r="AC161" s="76"/>
      <c r="AD161" s="63"/>
      <c r="AE161" s="1"/>
      <c r="AF161" s="1"/>
      <c r="AG161" s="1"/>
      <c r="AH161" s="1"/>
      <c r="AI161" s="1"/>
      <c r="AJ161" s="1"/>
      <c r="AK161" s="1"/>
      <c r="AL161" s="1"/>
      <c r="AM161" s="7"/>
      <c r="AN161" s="206"/>
      <c r="AO161" s="76"/>
      <c r="AP161" s="76"/>
      <c r="AQ161" s="76"/>
      <c r="AR161" s="76"/>
      <c r="AS161" s="76"/>
      <c r="AT161" s="76"/>
      <c r="AU161" s="76"/>
      <c r="AV161" s="76"/>
      <c r="AW161" s="76"/>
      <c r="AX161" s="202"/>
      <c r="AY161" s="63"/>
      <c r="AZ161" s="1"/>
      <c r="BA161" s="1"/>
      <c r="BB161" s="1"/>
      <c r="BC161" s="1"/>
      <c r="BD161" s="1"/>
      <c r="BE161" s="1"/>
      <c r="BF161" s="1"/>
      <c r="BG161" s="1"/>
      <c r="BH161" s="1"/>
      <c r="BI161" s="1"/>
      <c r="BJ161" s="2"/>
      <c r="BK161" s="2"/>
      <c r="BL161" s="212"/>
    </row>
    <row r="162" spans="2:64">
      <c r="B162" s="27"/>
      <c r="C162" s="1"/>
      <c r="D162" s="1"/>
      <c r="E162" s="4"/>
      <c r="F162" s="21"/>
      <c r="G162" s="4"/>
      <c r="H162" s="263"/>
      <c r="I162" s="63"/>
      <c r="J162" s="1"/>
      <c r="K162" s="1"/>
      <c r="L162" s="202"/>
      <c r="M162" s="206"/>
      <c r="N162" s="76"/>
      <c r="O162" s="207"/>
      <c r="P162" s="76"/>
      <c r="Q162" s="76"/>
      <c r="R162" s="76"/>
      <c r="S162" s="76"/>
      <c r="T162" s="76"/>
      <c r="U162" s="76"/>
      <c r="V162" s="76"/>
      <c r="W162" s="76"/>
      <c r="X162" s="76"/>
      <c r="Y162" s="76"/>
      <c r="Z162" s="76"/>
      <c r="AA162" s="76"/>
      <c r="AB162" s="76"/>
      <c r="AC162" s="76"/>
      <c r="AD162" s="63"/>
      <c r="AE162" s="1"/>
      <c r="AF162" s="1"/>
      <c r="AG162" s="1"/>
      <c r="AH162" s="1"/>
      <c r="AI162" s="1"/>
      <c r="AJ162" s="1"/>
      <c r="AK162" s="1"/>
      <c r="AL162" s="1"/>
      <c r="AM162" s="7"/>
      <c r="AN162" s="206"/>
      <c r="AO162" s="76"/>
      <c r="AP162" s="76"/>
      <c r="AQ162" s="76"/>
      <c r="AR162" s="76"/>
      <c r="AS162" s="76"/>
      <c r="AT162" s="76"/>
      <c r="AU162" s="76"/>
      <c r="AV162" s="76"/>
      <c r="AW162" s="76"/>
      <c r="AX162" s="202"/>
      <c r="AY162" s="63"/>
      <c r="AZ162" s="1"/>
      <c r="BA162" s="1"/>
      <c r="BB162" s="1"/>
      <c r="BC162" s="1"/>
      <c r="BD162" s="1"/>
      <c r="BE162" s="1"/>
      <c r="BF162" s="1"/>
      <c r="BG162" s="1"/>
      <c r="BH162" s="1"/>
      <c r="BI162" s="1"/>
      <c r="BJ162" s="2"/>
      <c r="BK162" s="2"/>
      <c r="BL162" s="212"/>
    </row>
    <row r="163" spans="2:64">
      <c r="B163" s="27"/>
      <c r="C163" s="1"/>
      <c r="D163" s="1"/>
      <c r="E163" s="4"/>
      <c r="F163" s="21"/>
      <c r="G163" s="4"/>
      <c r="H163" s="263"/>
      <c r="I163" s="63"/>
      <c r="J163" s="1"/>
      <c r="K163" s="1"/>
      <c r="L163" s="202"/>
      <c r="M163" s="206"/>
      <c r="N163" s="76"/>
      <c r="O163" s="207"/>
      <c r="P163" s="76"/>
      <c r="Q163" s="76"/>
      <c r="R163" s="76"/>
      <c r="S163" s="76"/>
      <c r="T163" s="76"/>
      <c r="U163" s="76"/>
      <c r="V163" s="76"/>
      <c r="W163" s="76"/>
      <c r="X163" s="76"/>
      <c r="Y163" s="76"/>
      <c r="Z163" s="76"/>
      <c r="AA163" s="76"/>
      <c r="AB163" s="76"/>
      <c r="AC163" s="76"/>
      <c r="AD163" s="63"/>
      <c r="AE163" s="1"/>
      <c r="AF163" s="1"/>
      <c r="AG163" s="1"/>
      <c r="AH163" s="1"/>
      <c r="AI163" s="1"/>
      <c r="AJ163" s="1"/>
      <c r="AK163" s="1"/>
      <c r="AL163" s="1"/>
      <c r="AM163" s="7"/>
      <c r="AN163" s="206"/>
      <c r="AO163" s="76"/>
      <c r="AP163" s="76"/>
      <c r="AQ163" s="76"/>
      <c r="AR163" s="76"/>
      <c r="AS163" s="76"/>
      <c r="AT163" s="76"/>
      <c r="AU163" s="76"/>
      <c r="AV163" s="76"/>
      <c r="AW163" s="76"/>
      <c r="AX163" s="202"/>
      <c r="AY163" s="63"/>
      <c r="AZ163" s="1"/>
      <c r="BA163" s="1"/>
      <c r="BB163" s="1"/>
      <c r="BC163" s="1"/>
      <c r="BD163" s="1"/>
      <c r="BE163" s="1"/>
      <c r="BF163" s="1"/>
      <c r="BG163" s="1"/>
      <c r="BH163" s="1"/>
      <c r="BI163" s="1"/>
      <c r="BJ163" s="2"/>
      <c r="BK163" s="2"/>
      <c r="BL163" s="212"/>
    </row>
    <row r="164" spans="2:64">
      <c r="B164" s="27"/>
      <c r="C164" s="1"/>
      <c r="D164" s="1"/>
      <c r="E164" s="4"/>
      <c r="F164" s="21"/>
      <c r="G164" s="4"/>
      <c r="H164" s="263"/>
      <c r="I164" s="63"/>
      <c r="J164" s="1"/>
      <c r="K164" s="1"/>
      <c r="L164" s="202"/>
      <c r="M164" s="206"/>
      <c r="N164" s="76"/>
      <c r="O164" s="207"/>
      <c r="P164" s="76"/>
      <c r="Q164" s="76"/>
      <c r="R164" s="76"/>
      <c r="S164" s="76"/>
      <c r="T164" s="76"/>
      <c r="U164" s="76"/>
      <c r="V164" s="76"/>
      <c r="W164" s="76"/>
      <c r="X164" s="76"/>
      <c r="Y164" s="76"/>
      <c r="Z164" s="76"/>
      <c r="AA164" s="76"/>
      <c r="AB164" s="76"/>
      <c r="AC164" s="76"/>
      <c r="AD164" s="63"/>
      <c r="AE164" s="1"/>
      <c r="AF164" s="1"/>
      <c r="AG164" s="1"/>
      <c r="AH164" s="1"/>
      <c r="AI164" s="1"/>
      <c r="AJ164" s="1"/>
      <c r="AK164" s="1"/>
      <c r="AL164" s="1"/>
      <c r="AM164" s="7"/>
      <c r="AN164" s="206"/>
      <c r="AO164" s="76"/>
      <c r="AP164" s="76"/>
      <c r="AQ164" s="76"/>
      <c r="AR164" s="76"/>
      <c r="AS164" s="76"/>
      <c r="AT164" s="76"/>
      <c r="AU164" s="76"/>
      <c r="AV164" s="76"/>
      <c r="AW164" s="76"/>
      <c r="AX164" s="202"/>
      <c r="AY164" s="63"/>
      <c r="AZ164" s="1"/>
      <c r="BA164" s="1"/>
      <c r="BB164" s="1"/>
      <c r="BC164" s="1"/>
      <c r="BD164" s="1"/>
      <c r="BE164" s="1"/>
      <c r="BF164" s="1"/>
      <c r="BG164" s="1"/>
      <c r="BH164" s="1"/>
      <c r="BI164" s="1"/>
      <c r="BJ164" s="2"/>
      <c r="BK164" s="2"/>
      <c r="BL164" s="212"/>
    </row>
    <row r="165" spans="2:64">
      <c r="B165" s="27"/>
      <c r="C165" s="1"/>
      <c r="D165" s="1"/>
      <c r="E165" s="4"/>
      <c r="F165" s="21"/>
      <c r="G165" s="4"/>
      <c r="H165" s="263"/>
      <c r="I165" s="63"/>
      <c r="J165" s="1"/>
      <c r="K165" s="1"/>
      <c r="L165" s="202"/>
      <c r="M165" s="206"/>
      <c r="N165" s="76"/>
      <c r="O165" s="207"/>
      <c r="P165" s="76"/>
      <c r="Q165" s="76"/>
      <c r="R165" s="76"/>
      <c r="S165" s="76"/>
      <c r="T165" s="76"/>
      <c r="U165" s="76"/>
      <c r="V165" s="76"/>
      <c r="W165" s="76"/>
      <c r="X165" s="76"/>
      <c r="Y165" s="76"/>
      <c r="Z165" s="76"/>
      <c r="AA165" s="76"/>
      <c r="AB165" s="76"/>
      <c r="AC165" s="76"/>
      <c r="AD165" s="63"/>
      <c r="AE165" s="1"/>
      <c r="AF165" s="1"/>
      <c r="AG165" s="1"/>
      <c r="AH165" s="1"/>
      <c r="AI165" s="1"/>
      <c r="AJ165" s="1"/>
      <c r="AK165" s="1"/>
      <c r="AL165" s="1"/>
      <c r="AM165" s="7"/>
      <c r="AN165" s="206"/>
      <c r="AO165" s="76"/>
      <c r="AP165" s="76"/>
      <c r="AQ165" s="76"/>
      <c r="AR165" s="76"/>
      <c r="AS165" s="76"/>
      <c r="AT165" s="76"/>
      <c r="AU165" s="76"/>
      <c r="AV165" s="76"/>
      <c r="AW165" s="76"/>
      <c r="AX165" s="202"/>
      <c r="AY165" s="63"/>
      <c r="AZ165" s="1"/>
      <c r="BA165" s="1"/>
      <c r="BB165" s="1"/>
      <c r="BC165" s="1"/>
      <c r="BD165" s="1"/>
      <c r="BE165" s="1"/>
      <c r="BF165" s="1"/>
      <c r="BG165" s="1"/>
      <c r="BH165" s="1"/>
      <c r="BI165" s="1"/>
      <c r="BJ165" s="2"/>
      <c r="BK165" s="2"/>
      <c r="BL165" s="212"/>
    </row>
    <row r="166" spans="2:64">
      <c r="B166" s="27"/>
      <c r="C166" s="1"/>
      <c r="D166" s="1"/>
      <c r="E166" s="4"/>
      <c r="F166" s="21"/>
      <c r="G166" s="4"/>
      <c r="H166" s="263"/>
      <c r="I166" s="63"/>
      <c r="J166" s="1"/>
      <c r="K166" s="1"/>
      <c r="L166" s="202"/>
      <c r="M166" s="206"/>
      <c r="N166" s="76"/>
      <c r="O166" s="207"/>
      <c r="P166" s="76"/>
      <c r="Q166" s="76"/>
      <c r="R166" s="76"/>
      <c r="S166" s="76"/>
      <c r="T166" s="76"/>
      <c r="U166" s="76"/>
      <c r="V166" s="76"/>
      <c r="W166" s="76"/>
      <c r="X166" s="76"/>
      <c r="Y166" s="76"/>
      <c r="Z166" s="76"/>
      <c r="AA166" s="76"/>
      <c r="AB166" s="76"/>
      <c r="AC166" s="76"/>
      <c r="AD166" s="63"/>
      <c r="AE166" s="1"/>
      <c r="AF166" s="1"/>
      <c r="AG166" s="1"/>
      <c r="AH166" s="1"/>
      <c r="AI166" s="1"/>
      <c r="AJ166" s="1"/>
      <c r="AK166" s="1"/>
      <c r="AL166" s="1"/>
      <c r="AM166" s="7"/>
      <c r="AN166" s="206"/>
      <c r="AO166" s="76"/>
      <c r="AP166" s="76"/>
      <c r="AQ166" s="76"/>
      <c r="AR166" s="76"/>
      <c r="AS166" s="76"/>
      <c r="AT166" s="76"/>
      <c r="AU166" s="76"/>
      <c r="AV166" s="76"/>
      <c r="AW166" s="76"/>
      <c r="AX166" s="202"/>
      <c r="AY166" s="63"/>
      <c r="AZ166" s="1"/>
      <c r="BA166" s="1"/>
      <c r="BB166" s="1"/>
      <c r="BC166" s="1"/>
      <c r="BD166" s="1"/>
      <c r="BE166" s="1"/>
      <c r="BF166" s="1"/>
      <c r="BG166" s="1"/>
      <c r="BH166" s="1"/>
      <c r="BI166" s="1"/>
      <c r="BJ166" s="2"/>
      <c r="BK166" s="2"/>
      <c r="BL166" s="212"/>
    </row>
    <row r="167" spans="2:64">
      <c r="B167" s="27"/>
      <c r="C167" s="1"/>
      <c r="D167" s="1"/>
      <c r="E167" s="4"/>
      <c r="F167" s="21"/>
      <c r="G167" s="4"/>
      <c r="H167" s="263"/>
      <c r="I167" s="63"/>
      <c r="J167" s="1"/>
      <c r="K167" s="1"/>
      <c r="L167" s="202"/>
      <c r="M167" s="206"/>
      <c r="N167" s="76"/>
      <c r="O167" s="207"/>
      <c r="P167" s="76"/>
      <c r="Q167" s="76"/>
      <c r="R167" s="76"/>
      <c r="S167" s="76"/>
      <c r="T167" s="76"/>
      <c r="U167" s="76"/>
      <c r="V167" s="76"/>
      <c r="W167" s="76"/>
      <c r="X167" s="76"/>
      <c r="Y167" s="76"/>
      <c r="Z167" s="76"/>
      <c r="AA167" s="76"/>
      <c r="AB167" s="76"/>
      <c r="AC167" s="76"/>
      <c r="AD167" s="63"/>
      <c r="AE167" s="1"/>
      <c r="AF167" s="1"/>
      <c r="AG167" s="1"/>
      <c r="AH167" s="1"/>
      <c r="AI167" s="1"/>
      <c r="AJ167" s="1"/>
      <c r="AK167" s="1"/>
      <c r="AL167" s="1"/>
      <c r="AM167" s="7"/>
      <c r="AN167" s="206"/>
      <c r="AO167" s="76"/>
      <c r="AP167" s="76"/>
      <c r="AQ167" s="76"/>
      <c r="AR167" s="76"/>
      <c r="AS167" s="76"/>
      <c r="AT167" s="76"/>
      <c r="AU167" s="76"/>
      <c r="AV167" s="76"/>
      <c r="AW167" s="76"/>
      <c r="AX167" s="202"/>
      <c r="AY167" s="63"/>
      <c r="AZ167" s="1"/>
      <c r="BA167" s="1"/>
      <c r="BB167" s="1"/>
      <c r="BC167" s="1"/>
      <c r="BD167" s="1"/>
      <c r="BE167" s="1"/>
      <c r="BF167" s="1"/>
      <c r="BG167" s="1"/>
      <c r="BH167" s="1"/>
      <c r="BI167" s="1"/>
      <c r="BJ167" s="2"/>
      <c r="BK167" s="2"/>
      <c r="BL167" s="212"/>
    </row>
    <row r="168" spans="2:64">
      <c r="B168" s="27"/>
      <c r="C168" s="1"/>
      <c r="D168" s="1"/>
      <c r="E168" s="4"/>
      <c r="F168" s="21"/>
      <c r="G168" s="4"/>
      <c r="H168" s="263"/>
      <c r="I168" s="63"/>
      <c r="J168" s="1"/>
      <c r="K168" s="1"/>
      <c r="L168" s="202"/>
      <c r="M168" s="206"/>
      <c r="N168" s="76"/>
      <c r="O168" s="207"/>
      <c r="P168" s="76"/>
      <c r="Q168" s="76"/>
      <c r="R168" s="76"/>
      <c r="S168" s="76"/>
      <c r="T168" s="76"/>
      <c r="U168" s="76"/>
      <c r="V168" s="76"/>
      <c r="W168" s="76"/>
      <c r="X168" s="76"/>
      <c r="Y168" s="76"/>
      <c r="Z168" s="76"/>
      <c r="AA168" s="76"/>
      <c r="AB168" s="76"/>
      <c r="AC168" s="76"/>
      <c r="AD168" s="63"/>
      <c r="AE168" s="1"/>
      <c r="AF168" s="1"/>
      <c r="AG168" s="1"/>
      <c r="AH168" s="1"/>
      <c r="AI168" s="1"/>
      <c r="AJ168" s="1"/>
      <c r="AK168" s="1"/>
      <c r="AL168" s="1"/>
      <c r="AM168" s="7"/>
      <c r="AN168" s="206"/>
      <c r="AO168" s="76"/>
      <c r="AP168" s="76"/>
      <c r="AQ168" s="76"/>
      <c r="AR168" s="76"/>
      <c r="AS168" s="76"/>
      <c r="AT168" s="76"/>
      <c r="AU168" s="76"/>
      <c r="AV168" s="76"/>
      <c r="AW168" s="76"/>
      <c r="AX168" s="202"/>
      <c r="AY168" s="63"/>
      <c r="AZ168" s="1"/>
      <c r="BA168" s="1"/>
      <c r="BB168" s="1"/>
      <c r="BC168" s="1"/>
      <c r="BD168" s="1"/>
      <c r="BE168" s="1"/>
      <c r="BF168" s="1"/>
      <c r="BG168" s="1"/>
      <c r="BH168" s="1"/>
      <c r="BI168" s="1"/>
      <c r="BJ168" s="2"/>
      <c r="BK168" s="2"/>
      <c r="BL168" s="212"/>
    </row>
    <row r="169" spans="2:64">
      <c r="B169" s="27"/>
      <c r="C169" s="1"/>
      <c r="D169" s="1"/>
      <c r="E169" s="4"/>
      <c r="F169" s="21"/>
      <c r="G169" s="4"/>
      <c r="H169" s="263"/>
      <c r="I169" s="63"/>
      <c r="J169" s="1"/>
      <c r="K169" s="1"/>
      <c r="L169" s="202"/>
      <c r="M169" s="206"/>
      <c r="N169" s="76"/>
      <c r="O169" s="207"/>
      <c r="P169" s="76"/>
      <c r="Q169" s="76"/>
      <c r="R169" s="76"/>
      <c r="S169" s="76"/>
      <c r="T169" s="76"/>
      <c r="U169" s="76"/>
      <c r="V169" s="76"/>
      <c r="W169" s="76"/>
      <c r="X169" s="76"/>
      <c r="Y169" s="76"/>
      <c r="Z169" s="76"/>
      <c r="AA169" s="76"/>
      <c r="AB169" s="76"/>
      <c r="AC169" s="76"/>
      <c r="AD169" s="63"/>
      <c r="AE169" s="1"/>
      <c r="AF169" s="1"/>
      <c r="AG169" s="1"/>
      <c r="AH169" s="1"/>
      <c r="AI169" s="1"/>
      <c r="AJ169" s="1"/>
      <c r="AK169" s="1"/>
      <c r="AL169" s="1"/>
      <c r="AM169" s="7"/>
      <c r="AN169" s="206"/>
      <c r="AO169" s="76"/>
      <c r="AP169" s="76"/>
      <c r="AQ169" s="76"/>
      <c r="AR169" s="76"/>
      <c r="AS169" s="76"/>
      <c r="AT169" s="76"/>
      <c r="AU169" s="76"/>
      <c r="AV169" s="76"/>
      <c r="AW169" s="76"/>
      <c r="AX169" s="202"/>
      <c r="AY169" s="63"/>
      <c r="AZ169" s="1"/>
      <c r="BA169" s="1"/>
      <c r="BB169" s="1"/>
      <c r="BC169" s="1"/>
      <c r="BD169" s="1"/>
      <c r="BE169" s="1"/>
      <c r="BF169" s="1"/>
      <c r="BG169" s="1"/>
      <c r="BH169" s="1"/>
      <c r="BI169" s="1"/>
      <c r="BJ169" s="2"/>
      <c r="BK169" s="2"/>
      <c r="BL169" s="212"/>
    </row>
    <row r="170" spans="2:64">
      <c r="B170" s="27"/>
      <c r="C170" s="1"/>
      <c r="D170" s="1"/>
      <c r="E170" s="4"/>
      <c r="F170" s="21"/>
      <c r="G170" s="4"/>
      <c r="H170" s="263"/>
      <c r="I170" s="63"/>
      <c r="J170" s="1"/>
      <c r="K170" s="1"/>
      <c r="L170" s="202"/>
      <c r="M170" s="206"/>
      <c r="N170" s="76"/>
      <c r="O170" s="207"/>
      <c r="P170" s="76"/>
      <c r="Q170" s="76"/>
      <c r="R170" s="76"/>
      <c r="S170" s="76"/>
      <c r="T170" s="76"/>
      <c r="U170" s="76"/>
      <c r="V170" s="76"/>
      <c r="W170" s="76"/>
      <c r="X170" s="76"/>
      <c r="Y170" s="76"/>
      <c r="Z170" s="76"/>
      <c r="AA170" s="76"/>
      <c r="AB170" s="76"/>
      <c r="AC170" s="76"/>
      <c r="AD170" s="63"/>
      <c r="AE170" s="1"/>
      <c r="AF170" s="1"/>
      <c r="AG170" s="1"/>
      <c r="AH170" s="1"/>
      <c r="AI170" s="1"/>
      <c r="AJ170" s="1"/>
      <c r="AK170" s="1"/>
      <c r="AL170" s="1"/>
      <c r="AM170" s="7"/>
      <c r="AN170" s="206"/>
      <c r="AO170" s="76"/>
      <c r="AP170" s="76"/>
      <c r="AQ170" s="76"/>
      <c r="AR170" s="76"/>
      <c r="AS170" s="76"/>
      <c r="AT170" s="76"/>
      <c r="AU170" s="76"/>
      <c r="AV170" s="76"/>
      <c r="AW170" s="76"/>
      <c r="AX170" s="202"/>
      <c r="AY170" s="63"/>
      <c r="AZ170" s="1"/>
      <c r="BA170" s="1"/>
      <c r="BB170" s="1"/>
      <c r="BC170" s="1"/>
      <c r="BD170" s="1"/>
      <c r="BE170" s="1"/>
      <c r="BF170" s="1"/>
      <c r="BG170" s="1"/>
      <c r="BH170" s="1"/>
      <c r="BI170" s="1"/>
      <c r="BJ170" s="2"/>
      <c r="BK170" s="2"/>
      <c r="BL170" s="212"/>
    </row>
    <row r="171" spans="2:64">
      <c r="B171" s="27"/>
      <c r="C171" s="1"/>
      <c r="D171" s="1"/>
      <c r="E171" s="4"/>
      <c r="F171" s="21"/>
      <c r="G171" s="4"/>
      <c r="H171" s="263"/>
      <c r="I171" s="63"/>
      <c r="J171" s="1"/>
      <c r="K171" s="1"/>
      <c r="L171" s="202"/>
      <c r="M171" s="206"/>
      <c r="N171" s="76"/>
      <c r="O171" s="207"/>
      <c r="P171" s="76"/>
      <c r="Q171" s="76"/>
      <c r="R171" s="76"/>
      <c r="S171" s="76"/>
      <c r="T171" s="76"/>
      <c r="U171" s="76"/>
      <c r="V171" s="76"/>
      <c r="W171" s="76"/>
      <c r="X171" s="76"/>
      <c r="Y171" s="76"/>
      <c r="Z171" s="76"/>
      <c r="AA171" s="76"/>
      <c r="AB171" s="76"/>
      <c r="AC171" s="76"/>
      <c r="AD171" s="63"/>
      <c r="AE171" s="1"/>
      <c r="AF171" s="1"/>
      <c r="AG171" s="1"/>
      <c r="AH171" s="1"/>
      <c r="AI171" s="1"/>
      <c r="AJ171" s="1"/>
      <c r="AK171" s="1"/>
      <c r="AL171" s="1"/>
      <c r="AM171" s="7"/>
      <c r="AN171" s="206"/>
      <c r="AO171" s="76"/>
      <c r="AP171" s="76"/>
      <c r="AQ171" s="76"/>
      <c r="AR171" s="76"/>
      <c r="AS171" s="76"/>
      <c r="AT171" s="76"/>
      <c r="AU171" s="76"/>
      <c r="AV171" s="76"/>
      <c r="AW171" s="76"/>
      <c r="AX171" s="202"/>
      <c r="AY171" s="63"/>
      <c r="AZ171" s="1"/>
      <c r="BA171" s="1"/>
      <c r="BB171" s="1"/>
      <c r="BC171" s="1"/>
      <c r="BD171" s="1"/>
      <c r="BE171" s="1"/>
      <c r="BF171" s="1"/>
      <c r="BG171" s="1"/>
      <c r="BH171" s="1"/>
      <c r="BI171" s="1"/>
      <c r="BJ171" s="2"/>
      <c r="BK171" s="2"/>
      <c r="BL171" s="212"/>
    </row>
    <row r="172" spans="2:64">
      <c r="B172" s="27"/>
      <c r="C172" s="1"/>
      <c r="D172" s="1"/>
      <c r="E172" s="4"/>
      <c r="F172" s="21"/>
      <c r="G172" s="4"/>
      <c r="H172" s="263"/>
      <c r="I172" s="63"/>
      <c r="J172" s="1"/>
      <c r="K172" s="1"/>
      <c r="L172" s="202"/>
      <c r="M172" s="206"/>
      <c r="N172" s="76"/>
      <c r="O172" s="207"/>
      <c r="P172" s="76"/>
      <c r="Q172" s="76"/>
      <c r="R172" s="76"/>
      <c r="S172" s="76"/>
      <c r="T172" s="76"/>
      <c r="U172" s="76"/>
      <c r="V172" s="76"/>
      <c r="W172" s="76"/>
      <c r="X172" s="76"/>
      <c r="Y172" s="76"/>
      <c r="Z172" s="76"/>
      <c r="AA172" s="76"/>
      <c r="AB172" s="76"/>
      <c r="AC172" s="76"/>
      <c r="AD172" s="63"/>
      <c r="AE172" s="1"/>
      <c r="AF172" s="1"/>
      <c r="AG172" s="1"/>
      <c r="AH172" s="1"/>
      <c r="AI172" s="1"/>
      <c r="AJ172" s="1"/>
      <c r="AK172" s="1"/>
      <c r="AL172" s="1"/>
      <c r="AM172" s="7"/>
      <c r="AN172" s="206"/>
      <c r="AO172" s="76"/>
      <c r="AP172" s="76"/>
      <c r="AQ172" s="76"/>
      <c r="AR172" s="76"/>
      <c r="AS172" s="76"/>
      <c r="AT172" s="76"/>
      <c r="AU172" s="76"/>
      <c r="AV172" s="76"/>
      <c r="AW172" s="76"/>
      <c r="AX172" s="202"/>
      <c r="AY172" s="63"/>
      <c r="AZ172" s="1"/>
      <c r="BA172" s="1"/>
      <c r="BB172" s="1"/>
      <c r="BC172" s="1"/>
      <c r="BD172" s="1"/>
      <c r="BE172" s="1"/>
      <c r="BF172" s="1"/>
      <c r="BG172" s="1"/>
      <c r="BH172" s="1"/>
      <c r="BI172" s="1"/>
      <c r="BJ172" s="2"/>
      <c r="BK172" s="2"/>
      <c r="BL172" s="212"/>
    </row>
    <row r="173" spans="2:64">
      <c r="B173" s="27"/>
      <c r="C173" s="1"/>
      <c r="D173" s="1"/>
      <c r="E173" s="4"/>
      <c r="F173" s="21"/>
      <c r="G173" s="4"/>
      <c r="H173" s="263"/>
      <c r="I173" s="63"/>
      <c r="J173" s="1"/>
      <c r="K173" s="1"/>
      <c r="L173" s="202"/>
      <c r="M173" s="206"/>
      <c r="N173" s="76"/>
      <c r="O173" s="207"/>
      <c r="P173" s="76"/>
      <c r="Q173" s="76"/>
      <c r="R173" s="76"/>
      <c r="S173" s="76"/>
      <c r="T173" s="76"/>
      <c r="U173" s="76"/>
      <c r="V173" s="76"/>
      <c r="W173" s="76"/>
      <c r="X173" s="76"/>
      <c r="Y173" s="76"/>
      <c r="Z173" s="76"/>
      <c r="AA173" s="76"/>
      <c r="AB173" s="76"/>
      <c r="AC173" s="76"/>
      <c r="AD173" s="63"/>
      <c r="AE173" s="1"/>
      <c r="AF173" s="1"/>
      <c r="AG173" s="1"/>
      <c r="AH173" s="1"/>
      <c r="AI173" s="1"/>
      <c r="AJ173" s="1"/>
      <c r="AK173" s="1"/>
      <c r="AL173" s="1"/>
      <c r="AM173" s="7"/>
      <c r="AN173" s="206"/>
      <c r="AO173" s="76"/>
      <c r="AP173" s="76"/>
      <c r="AQ173" s="76"/>
      <c r="AR173" s="76"/>
      <c r="AS173" s="76"/>
      <c r="AT173" s="76"/>
      <c r="AU173" s="76"/>
      <c r="AV173" s="76"/>
      <c r="AW173" s="76"/>
      <c r="AX173" s="202"/>
      <c r="AY173" s="63"/>
      <c r="AZ173" s="1"/>
      <c r="BA173" s="1"/>
      <c r="BB173" s="1"/>
      <c r="BC173" s="1"/>
      <c r="BD173" s="1"/>
      <c r="BE173" s="1"/>
      <c r="BF173" s="1"/>
      <c r="BG173" s="1"/>
      <c r="BH173" s="1"/>
      <c r="BI173" s="1"/>
      <c r="BJ173" s="2"/>
      <c r="BK173" s="2"/>
      <c r="BL173" s="212"/>
    </row>
    <row r="174" spans="2:64">
      <c r="B174" s="27"/>
      <c r="C174" s="1"/>
      <c r="D174" s="1"/>
      <c r="E174" s="4"/>
      <c r="F174" s="21"/>
      <c r="G174" s="4"/>
      <c r="H174" s="263"/>
      <c r="I174" s="63"/>
      <c r="J174" s="1"/>
      <c r="K174" s="1"/>
      <c r="L174" s="202"/>
      <c r="M174" s="206"/>
      <c r="N174" s="76"/>
      <c r="O174" s="207"/>
      <c r="P174" s="76"/>
      <c r="Q174" s="76"/>
      <c r="R174" s="76"/>
      <c r="S174" s="76"/>
      <c r="T174" s="76"/>
      <c r="U174" s="76"/>
      <c r="V174" s="76"/>
      <c r="W174" s="76"/>
      <c r="X174" s="76"/>
      <c r="Y174" s="76"/>
      <c r="Z174" s="76"/>
      <c r="AA174" s="76"/>
      <c r="AB174" s="76"/>
      <c r="AC174" s="76"/>
      <c r="AD174" s="63"/>
      <c r="AE174" s="1"/>
      <c r="AF174" s="1"/>
      <c r="AG174" s="1"/>
      <c r="AH174" s="1"/>
      <c r="AI174" s="1"/>
      <c r="AJ174" s="1"/>
      <c r="AK174" s="1"/>
      <c r="AL174" s="1"/>
      <c r="AM174" s="7"/>
      <c r="AN174" s="206"/>
      <c r="AO174" s="76"/>
      <c r="AP174" s="76"/>
      <c r="AQ174" s="76"/>
      <c r="AR174" s="76"/>
      <c r="AS174" s="76"/>
      <c r="AT174" s="76"/>
      <c r="AU174" s="76"/>
      <c r="AV174" s="76"/>
      <c r="AW174" s="76"/>
      <c r="AX174" s="202"/>
      <c r="AY174" s="63"/>
      <c r="AZ174" s="1"/>
      <c r="BA174" s="1"/>
      <c r="BB174" s="1"/>
      <c r="BC174" s="1"/>
      <c r="BD174" s="1"/>
      <c r="BE174" s="1"/>
      <c r="BF174" s="1"/>
      <c r="BG174" s="1"/>
      <c r="BH174" s="1"/>
      <c r="BI174" s="1"/>
      <c r="BJ174" s="2"/>
      <c r="BK174" s="2"/>
      <c r="BL174" s="212"/>
    </row>
    <row r="175" spans="2:64">
      <c r="B175" s="27"/>
      <c r="C175" s="1"/>
      <c r="D175" s="1"/>
      <c r="E175" s="4"/>
      <c r="F175" s="21"/>
      <c r="G175" s="4"/>
      <c r="H175" s="263"/>
      <c r="I175" s="63"/>
      <c r="J175" s="1"/>
      <c r="K175" s="1"/>
      <c r="L175" s="202"/>
      <c r="M175" s="206"/>
      <c r="N175" s="76"/>
      <c r="O175" s="207"/>
      <c r="P175" s="76"/>
      <c r="Q175" s="76"/>
      <c r="R175" s="76"/>
      <c r="S175" s="76"/>
      <c r="T175" s="76"/>
      <c r="U175" s="76"/>
      <c r="V175" s="76"/>
      <c r="W175" s="76"/>
      <c r="X175" s="76"/>
      <c r="Y175" s="76"/>
      <c r="Z175" s="76"/>
      <c r="AA175" s="76"/>
      <c r="AB175" s="76"/>
      <c r="AC175" s="76"/>
      <c r="AD175" s="63"/>
      <c r="AE175" s="1"/>
      <c r="AF175" s="1"/>
      <c r="AG175" s="1"/>
      <c r="AH175" s="1"/>
      <c r="AI175" s="1"/>
      <c r="AJ175" s="1"/>
      <c r="AK175" s="1"/>
      <c r="AL175" s="1"/>
      <c r="AM175" s="7"/>
      <c r="AN175" s="206"/>
      <c r="AO175" s="76"/>
      <c r="AP175" s="76"/>
      <c r="AQ175" s="76"/>
      <c r="AR175" s="76"/>
      <c r="AS175" s="76"/>
      <c r="AT175" s="76"/>
      <c r="AU175" s="76"/>
      <c r="AV175" s="76"/>
      <c r="AW175" s="76"/>
      <c r="AX175" s="202"/>
      <c r="AY175" s="63"/>
      <c r="AZ175" s="1"/>
      <c r="BA175" s="1"/>
      <c r="BB175" s="1"/>
      <c r="BC175" s="1"/>
      <c r="BD175" s="1"/>
      <c r="BE175" s="1"/>
      <c r="BF175" s="1"/>
      <c r="BG175" s="1"/>
      <c r="BH175" s="1"/>
      <c r="BI175" s="1"/>
      <c r="BJ175" s="2"/>
      <c r="BK175" s="2"/>
      <c r="BL175" s="212"/>
    </row>
    <row r="176" spans="2:64">
      <c r="B176" s="27"/>
      <c r="C176" s="1"/>
      <c r="D176" s="1"/>
      <c r="E176" s="4"/>
      <c r="F176" s="21"/>
      <c r="G176" s="4"/>
      <c r="H176" s="263"/>
      <c r="I176" s="63"/>
      <c r="J176" s="1"/>
      <c r="K176" s="1"/>
      <c r="L176" s="202"/>
      <c r="M176" s="206"/>
      <c r="N176" s="76"/>
      <c r="O176" s="207"/>
      <c r="P176" s="76"/>
      <c r="Q176" s="76"/>
      <c r="R176" s="76"/>
      <c r="S176" s="76"/>
      <c r="T176" s="76"/>
      <c r="U176" s="76"/>
      <c r="V176" s="76"/>
      <c r="W176" s="76"/>
      <c r="X176" s="76"/>
      <c r="Y176" s="76"/>
      <c r="Z176" s="76"/>
      <c r="AA176" s="76"/>
      <c r="AB176" s="76"/>
      <c r="AC176" s="76"/>
      <c r="AD176" s="63"/>
      <c r="AE176" s="1"/>
      <c r="AF176" s="1"/>
      <c r="AG176" s="1"/>
      <c r="AH176" s="1"/>
      <c r="AI176" s="1"/>
      <c r="AJ176" s="1"/>
      <c r="AK176" s="1"/>
      <c r="AL176" s="1"/>
      <c r="AM176" s="7"/>
      <c r="AN176" s="206"/>
      <c r="AO176" s="76"/>
      <c r="AP176" s="76"/>
      <c r="AQ176" s="76"/>
      <c r="AR176" s="76"/>
      <c r="AS176" s="76"/>
      <c r="AT176" s="76"/>
      <c r="AU176" s="76"/>
      <c r="AV176" s="76"/>
      <c r="AW176" s="76"/>
      <c r="AX176" s="202"/>
      <c r="AY176" s="63"/>
      <c r="AZ176" s="1"/>
      <c r="BA176" s="1"/>
      <c r="BB176" s="1"/>
      <c r="BC176" s="1"/>
      <c r="BD176" s="1"/>
      <c r="BE176" s="1"/>
      <c r="BF176" s="1"/>
      <c r="BG176" s="1"/>
      <c r="BH176" s="1"/>
      <c r="BI176" s="1"/>
      <c r="BJ176" s="2"/>
      <c r="BK176" s="2"/>
      <c r="BL176" s="212"/>
    </row>
    <row r="177" spans="2:64">
      <c r="B177" s="27"/>
      <c r="C177" s="1"/>
      <c r="D177" s="1"/>
      <c r="E177" s="4"/>
      <c r="F177" s="21"/>
      <c r="G177" s="4"/>
      <c r="H177" s="263"/>
      <c r="I177" s="63"/>
      <c r="J177" s="1"/>
      <c r="K177" s="1"/>
      <c r="L177" s="202"/>
      <c r="M177" s="206"/>
      <c r="N177" s="76"/>
      <c r="O177" s="207"/>
      <c r="P177" s="76"/>
      <c r="Q177" s="76"/>
      <c r="R177" s="76"/>
      <c r="S177" s="76"/>
      <c r="T177" s="76"/>
      <c r="U177" s="76"/>
      <c r="V177" s="76"/>
      <c r="W177" s="76"/>
      <c r="X177" s="76"/>
      <c r="Y177" s="76"/>
      <c r="Z177" s="76"/>
      <c r="AA177" s="76"/>
      <c r="AB177" s="76"/>
      <c r="AC177" s="76"/>
      <c r="AD177" s="63"/>
      <c r="AE177" s="1"/>
      <c r="AF177" s="1"/>
      <c r="AG177" s="1"/>
      <c r="AH177" s="1"/>
      <c r="AI177" s="1"/>
      <c r="AJ177" s="1"/>
      <c r="AK177" s="1"/>
      <c r="AL177" s="1"/>
      <c r="AM177" s="7"/>
      <c r="AN177" s="206"/>
      <c r="AO177" s="76"/>
      <c r="AP177" s="76"/>
      <c r="AQ177" s="76"/>
      <c r="AR177" s="76"/>
      <c r="AS177" s="76"/>
      <c r="AT177" s="76"/>
      <c r="AU177" s="76"/>
      <c r="AV177" s="76"/>
      <c r="AW177" s="76"/>
      <c r="AX177" s="202"/>
      <c r="AY177" s="63"/>
      <c r="AZ177" s="1"/>
      <c r="BA177" s="1"/>
      <c r="BB177" s="1"/>
      <c r="BC177" s="1"/>
      <c r="BD177" s="1"/>
      <c r="BE177" s="1"/>
      <c r="BF177" s="1"/>
      <c r="BG177" s="1"/>
      <c r="BH177" s="1"/>
      <c r="BI177" s="1"/>
      <c r="BJ177" s="2"/>
      <c r="BK177" s="2"/>
      <c r="BL177" s="212"/>
    </row>
    <row r="178" spans="2:64">
      <c r="B178" s="27"/>
      <c r="C178" s="1"/>
      <c r="D178" s="1"/>
      <c r="E178" s="4"/>
      <c r="F178" s="21"/>
      <c r="G178" s="4"/>
      <c r="H178" s="263"/>
      <c r="I178" s="63"/>
      <c r="J178" s="1"/>
      <c r="K178" s="1"/>
      <c r="L178" s="202"/>
      <c r="M178" s="206"/>
      <c r="N178" s="76"/>
      <c r="O178" s="207"/>
      <c r="P178" s="76"/>
      <c r="Q178" s="76"/>
      <c r="R178" s="76"/>
      <c r="S178" s="76"/>
      <c r="T178" s="76"/>
      <c r="U178" s="76"/>
      <c r="V178" s="76"/>
      <c r="W178" s="76"/>
      <c r="X178" s="76"/>
      <c r="Y178" s="76"/>
      <c r="Z178" s="76"/>
      <c r="AA178" s="76"/>
      <c r="AB178" s="76"/>
      <c r="AC178" s="76"/>
      <c r="AD178" s="63"/>
      <c r="AE178" s="1"/>
      <c r="AF178" s="1"/>
      <c r="AG178" s="1"/>
      <c r="AH178" s="1"/>
      <c r="AI178" s="1"/>
      <c r="AJ178" s="1"/>
      <c r="AK178" s="1"/>
      <c r="AL178" s="1"/>
      <c r="AM178" s="7"/>
      <c r="AN178" s="206"/>
      <c r="AO178" s="76"/>
      <c r="AP178" s="76"/>
      <c r="AQ178" s="76"/>
      <c r="AR178" s="76"/>
      <c r="AS178" s="76"/>
      <c r="AT178" s="76"/>
      <c r="AU178" s="76"/>
      <c r="AV178" s="76"/>
      <c r="AW178" s="76"/>
      <c r="AX178" s="202"/>
      <c r="AY178" s="63"/>
      <c r="AZ178" s="1"/>
      <c r="BA178" s="1"/>
      <c r="BB178" s="1"/>
      <c r="BC178" s="1"/>
      <c r="BD178" s="1"/>
      <c r="BE178" s="1"/>
      <c r="BF178" s="1"/>
      <c r="BG178" s="1"/>
      <c r="BH178" s="1"/>
      <c r="BI178" s="1"/>
      <c r="BJ178" s="2"/>
      <c r="BK178" s="2"/>
      <c r="BL178" s="212"/>
    </row>
    <row r="179" spans="2:64">
      <c r="B179" s="27"/>
      <c r="C179" s="1"/>
      <c r="D179" s="1"/>
      <c r="E179" s="4"/>
      <c r="F179" s="21"/>
      <c r="G179" s="4"/>
      <c r="H179" s="263"/>
      <c r="I179" s="63"/>
      <c r="J179" s="1"/>
      <c r="K179" s="1"/>
      <c r="L179" s="202"/>
      <c r="M179" s="206"/>
      <c r="N179" s="76"/>
      <c r="O179" s="207"/>
      <c r="P179" s="76"/>
      <c r="Q179" s="76"/>
      <c r="R179" s="76"/>
      <c r="S179" s="76"/>
      <c r="T179" s="76"/>
      <c r="U179" s="76"/>
      <c r="V179" s="76"/>
      <c r="W179" s="76"/>
      <c r="X179" s="76"/>
      <c r="Y179" s="76"/>
      <c r="Z179" s="76"/>
      <c r="AA179" s="76"/>
      <c r="AB179" s="76"/>
      <c r="AC179" s="76"/>
      <c r="AD179" s="63"/>
      <c r="AE179" s="1"/>
      <c r="AF179" s="1"/>
      <c r="AG179" s="1"/>
      <c r="AH179" s="1"/>
      <c r="AI179" s="1"/>
      <c r="AJ179" s="1"/>
      <c r="AK179" s="1"/>
      <c r="AL179" s="1"/>
      <c r="AM179" s="7"/>
      <c r="AN179" s="206"/>
      <c r="AO179" s="76"/>
      <c r="AP179" s="76"/>
      <c r="AQ179" s="76"/>
      <c r="AR179" s="76"/>
      <c r="AS179" s="76"/>
      <c r="AT179" s="76"/>
      <c r="AU179" s="76"/>
      <c r="AV179" s="76"/>
      <c r="AW179" s="76"/>
      <c r="AX179" s="202"/>
      <c r="AY179" s="63"/>
      <c r="AZ179" s="1"/>
      <c r="BA179" s="1"/>
      <c r="BB179" s="1"/>
      <c r="BC179" s="1"/>
      <c r="BD179" s="1"/>
      <c r="BE179" s="1"/>
      <c r="BF179" s="1"/>
      <c r="BG179" s="1"/>
      <c r="BH179" s="1"/>
      <c r="BI179" s="1"/>
      <c r="BJ179" s="2"/>
      <c r="BK179" s="2"/>
      <c r="BL179" s="212"/>
    </row>
    <row r="180" spans="2:64">
      <c r="B180" s="27"/>
      <c r="C180" s="1"/>
      <c r="D180" s="1"/>
      <c r="E180" s="4"/>
      <c r="F180" s="21"/>
      <c r="G180" s="4"/>
      <c r="H180" s="263"/>
      <c r="I180" s="63"/>
      <c r="J180" s="1"/>
      <c r="K180" s="1"/>
      <c r="L180" s="202"/>
      <c r="M180" s="206"/>
      <c r="N180" s="76"/>
      <c r="O180" s="207"/>
      <c r="P180" s="76"/>
      <c r="Q180" s="76"/>
      <c r="R180" s="76"/>
      <c r="S180" s="76"/>
      <c r="T180" s="76"/>
      <c r="U180" s="76"/>
      <c r="V180" s="76"/>
      <c r="W180" s="76"/>
      <c r="X180" s="76"/>
      <c r="Y180" s="76"/>
      <c r="Z180" s="76"/>
      <c r="AA180" s="76"/>
      <c r="AB180" s="76"/>
      <c r="AC180" s="76"/>
      <c r="AD180" s="63"/>
      <c r="AE180" s="1"/>
      <c r="AF180" s="1"/>
      <c r="AG180" s="1"/>
      <c r="AH180" s="1"/>
      <c r="AI180" s="1"/>
      <c r="AJ180" s="1"/>
      <c r="AK180" s="1"/>
      <c r="AL180" s="1"/>
      <c r="AM180" s="7"/>
      <c r="AN180" s="206"/>
      <c r="AO180" s="76"/>
      <c r="AP180" s="76"/>
      <c r="AQ180" s="76"/>
      <c r="AR180" s="76"/>
      <c r="AS180" s="76"/>
      <c r="AT180" s="76"/>
      <c r="AU180" s="76"/>
      <c r="AV180" s="76"/>
      <c r="AW180" s="76"/>
      <c r="AX180" s="202"/>
      <c r="AY180" s="63"/>
      <c r="AZ180" s="1"/>
      <c r="BA180" s="1"/>
      <c r="BB180" s="1"/>
      <c r="BC180" s="1"/>
      <c r="BD180" s="1"/>
      <c r="BE180" s="1"/>
      <c r="BF180" s="1"/>
      <c r="BG180" s="1"/>
      <c r="BH180" s="1"/>
      <c r="BI180" s="1"/>
      <c r="BJ180" s="2"/>
      <c r="BK180" s="2"/>
      <c r="BL180" s="212"/>
    </row>
    <row r="181" spans="2:64">
      <c r="B181" s="27"/>
      <c r="C181" s="1"/>
      <c r="D181" s="1"/>
      <c r="E181" s="4"/>
      <c r="F181" s="21"/>
      <c r="G181" s="4"/>
      <c r="H181" s="263"/>
      <c r="I181" s="63"/>
      <c r="J181" s="1"/>
      <c r="K181" s="1"/>
      <c r="L181" s="202"/>
      <c r="M181" s="206"/>
      <c r="N181" s="76"/>
      <c r="O181" s="207"/>
      <c r="P181" s="76"/>
      <c r="Q181" s="76"/>
      <c r="R181" s="76"/>
      <c r="S181" s="76"/>
      <c r="T181" s="76"/>
      <c r="U181" s="76"/>
      <c r="V181" s="76"/>
      <c r="W181" s="76"/>
      <c r="X181" s="76"/>
      <c r="Y181" s="76"/>
      <c r="Z181" s="76"/>
      <c r="AA181" s="76"/>
      <c r="AB181" s="76"/>
      <c r="AC181" s="76"/>
      <c r="AD181" s="63"/>
      <c r="AE181" s="1"/>
      <c r="AF181" s="1"/>
      <c r="AG181" s="1"/>
      <c r="AH181" s="1"/>
      <c r="AI181" s="1"/>
      <c r="AJ181" s="1"/>
      <c r="AK181" s="1"/>
      <c r="AL181" s="1"/>
      <c r="AM181" s="7"/>
      <c r="AN181" s="206"/>
      <c r="AO181" s="76"/>
      <c r="AP181" s="76"/>
      <c r="AQ181" s="76"/>
      <c r="AR181" s="76"/>
      <c r="AS181" s="76"/>
      <c r="AT181" s="76"/>
      <c r="AU181" s="76"/>
      <c r="AV181" s="76"/>
      <c r="AW181" s="76"/>
      <c r="AX181" s="202"/>
      <c r="AY181" s="63"/>
      <c r="AZ181" s="1"/>
      <c r="BA181" s="1"/>
      <c r="BB181" s="1"/>
      <c r="BC181" s="1"/>
      <c r="BD181" s="1"/>
      <c r="BE181" s="1"/>
      <c r="BF181" s="1"/>
      <c r="BG181" s="1"/>
      <c r="BH181" s="1"/>
      <c r="BI181" s="1"/>
      <c r="BJ181" s="2"/>
      <c r="BK181" s="2"/>
      <c r="BL181" s="212"/>
    </row>
    <row r="182" spans="2:64">
      <c r="B182" s="27"/>
      <c r="C182" s="1"/>
      <c r="D182" s="1"/>
      <c r="E182" s="4"/>
      <c r="F182" s="21"/>
      <c r="G182" s="4"/>
      <c r="H182" s="263"/>
      <c r="I182" s="63"/>
      <c r="J182" s="1"/>
      <c r="K182" s="1"/>
      <c r="L182" s="202"/>
      <c r="M182" s="206"/>
      <c r="N182" s="76"/>
      <c r="O182" s="207"/>
      <c r="P182" s="76"/>
      <c r="Q182" s="76"/>
      <c r="R182" s="76"/>
      <c r="S182" s="76"/>
      <c r="T182" s="76"/>
      <c r="U182" s="76"/>
      <c r="V182" s="76"/>
      <c r="W182" s="76"/>
      <c r="X182" s="76"/>
      <c r="Y182" s="76"/>
      <c r="Z182" s="76"/>
      <c r="AA182" s="76"/>
      <c r="AB182" s="76"/>
      <c r="AC182" s="76"/>
      <c r="AD182" s="63"/>
      <c r="AE182" s="1"/>
      <c r="AF182" s="1"/>
      <c r="AG182" s="1"/>
      <c r="AH182" s="1"/>
      <c r="AI182" s="1"/>
      <c r="AJ182" s="1"/>
      <c r="AK182" s="1"/>
      <c r="AL182" s="1"/>
      <c r="AM182" s="7"/>
      <c r="AN182" s="206"/>
      <c r="AO182" s="76"/>
      <c r="AP182" s="76"/>
      <c r="AQ182" s="76"/>
      <c r="AR182" s="76"/>
      <c r="AS182" s="76"/>
      <c r="AT182" s="76"/>
      <c r="AU182" s="76"/>
      <c r="AV182" s="76"/>
      <c r="AW182" s="76"/>
      <c r="AX182" s="202"/>
      <c r="AY182" s="63"/>
      <c r="AZ182" s="1"/>
      <c r="BA182" s="1"/>
      <c r="BB182" s="1"/>
      <c r="BC182" s="1"/>
      <c r="BD182" s="1"/>
      <c r="BE182" s="1"/>
      <c r="BF182" s="1"/>
      <c r="BG182" s="1"/>
      <c r="BH182" s="1"/>
      <c r="BI182" s="1"/>
      <c r="BJ182" s="2"/>
      <c r="BK182" s="2"/>
      <c r="BL182" s="212"/>
    </row>
    <row r="183" spans="2:64">
      <c r="B183" s="27"/>
      <c r="C183" s="1"/>
      <c r="D183" s="1"/>
      <c r="E183" s="4"/>
      <c r="F183" s="21"/>
      <c r="G183" s="4"/>
      <c r="H183" s="263"/>
      <c r="I183" s="63"/>
      <c r="J183" s="1"/>
      <c r="K183" s="1"/>
      <c r="L183" s="202"/>
      <c r="M183" s="206"/>
      <c r="N183" s="76"/>
      <c r="O183" s="207"/>
      <c r="P183" s="76"/>
      <c r="Q183" s="76"/>
      <c r="R183" s="76"/>
      <c r="S183" s="76"/>
      <c r="T183" s="76"/>
      <c r="U183" s="76"/>
      <c r="V183" s="76"/>
      <c r="W183" s="76"/>
      <c r="X183" s="76"/>
      <c r="Y183" s="76"/>
      <c r="Z183" s="76"/>
      <c r="AA183" s="76"/>
      <c r="AB183" s="76"/>
      <c r="AC183" s="76"/>
      <c r="AD183" s="63"/>
      <c r="AE183" s="1"/>
      <c r="AF183" s="1"/>
      <c r="AG183" s="1"/>
      <c r="AH183" s="1"/>
      <c r="AI183" s="1"/>
      <c r="AJ183" s="1"/>
      <c r="AK183" s="1"/>
      <c r="AL183" s="1"/>
      <c r="AM183" s="7"/>
      <c r="AN183" s="206"/>
      <c r="AO183" s="76"/>
      <c r="AP183" s="76"/>
      <c r="AQ183" s="76"/>
      <c r="AR183" s="76"/>
      <c r="AS183" s="76"/>
      <c r="AT183" s="76"/>
      <c r="AU183" s="76"/>
      <c r="AV183" s="76"/>
      <c r="AW183" s="76"/>
      <c r="AX183" s="202"/>
      <c r="AY183" s="63"/>
      <c r="AZ183" s="1"/>
      <c r="BA183" s="1"/>
      <c r="BB183" s="1"/>
      <c r="BC183" s="1"/>
      <c r="BD183" s="1"/>
      <c r="BE183" s="1"/>
      <c r="BF183" s="1"/>
      <c r="BG183" s="1"/>
      <c r="BH183" s="1"/>
      <c r="BI183" s="1"/>
      <c r="BJ183" s="2"/>
      <c r="BK183" s="2"/>
      <c r="BL183" s="212"/>
    </row>
    <row r="184" spans="2:64">
      <c r="B184" s="27"/>
      <c r="C184" s="1"/>
      <c r="D184" s="1"/>
      <c r="E184" s="4"/>
      <c r="F184" s="21"/>
      <c r="G184" s="4"/>
      <c r="H184" s="263"/>
      <c r="I184" s="63"/>
      <c r="J184" s="1"/>
      <c r="K184" s="1"/>
      <c r="L184" s="202"/>
      <c r="M184" s="206"/>
      <c r="N184" s="76"/>
      <c r="O184" s="207"/>
      <c r="P184" s="76"/>
      <c r="Q184" s="76"/>
      <c r="R184" s="76"/>
      <c r="S184" s="76"/>
      <c r="T184" s="76"/>
      <c r="U184" s="76"/>
      <c r="V184" s="76"/>
      <c r="W184" s="76"/>
      <c r="X184" s="76"/>
      <c r="Y184" s="76"/>
      <c r="Z184" s="76"/>
      <c r="AA184" s="76"/>
      <c r="AB184" s="76"/>
      <c r="AC184" s="76"/>
      <c r="AD184" s="63"/>
      <c r="AE184" s="1"/>
      <c r="AF184" s="1"/>
      <c r="AG184" s="1"/>
      <c r="AH184" s="1"/>
      <c r="AI184" s="1"/>
      <c r="AJ184" s="1"/>
      <c r="AK184" s="1"/>
      <c r="AL184" s="1"/>
      <c r="AM184" s="7"/>
      <c r="AN184" s="206"/>
      <c r="AO184" s="76"/>
      <c r="AP184" s="76"/>
      <c r="AQ184" s="76"/>
      <c r="AR184" s="76"/>
      <c r="AS184" s="76"/>
      <c r="AT184" s="76"/>
      <c r="AU184" s="76"/>
      <c r="AV184" s="76"/>
      <c r="AW184" s="76"/>
      <c r="AX184" s="202"/>
      <c r="AY184" s="63"/>
      <c r="AZ184" s="1"/>
      <c r="BA184" s="1"/>
      <c r="BB184" s="1"/>
      <c r="BC184" s="1"/>
      <c r="BD184" s="1"/>
      <c r="BE184" s="1"/>
      <c r="BF184" s="1"/>
      <c r="BG184" s="1"/>
      <c r="BH184" s="1"/>
      <c r="BI184" s="1"/>
      <c r="BJ184" s="2"/>
      <c r="BK184" s="2"/>
      <c r="BL184" s="212"/>
    </row>
    <row r="185" spans="2:64">
      <c r="B185" s="27"/>
      <c r="C185" s="1"/>
      <c r="D185" s="1"/>
      <c r="E185" s="4"/>
      <c r="F185" s="21"/>
      <c r="G185" s="4"/>
      <c r="H185" s="263"/>
      <c r="I185" s="63"/>
      <c r="J185" s="1"/>
      <c r="K185" s="1"/>
      <c r="L185" s="202"/>
      <c r="M185" s="206"/>
      <c r="N185" s="76"/>
      <c r="O185" s="207"/>
      <c r="P185" s="76"/>
      <c r="Q185" s="76"/>
      <c r="R185" s="76"/>
      <c r="S185" s="76"/>
      <c r="T185" s="76"/>
      <c r="U185" s="76"/>
      <c r="V185" s="76"/>
      <c r="W185" s="76"/>
      <c r="X185" s="76"/>
      <c r="Y185" s="76"/>
      <c r="Z185" s="76"/>
      <c r="AA185" s="76"/>
      <c r="AB185" s="76"/>
      <c r="AC185" s="76"/>
      <c r="AD185" s="63"/>
      <c r="AE185" s="1"/>
      <c r="AF185" s="1"/>
      <c r="AG185" s="1"/>
      <c r="AH185" s="1"/>
      <c r="AI185" s="1"/>
      <c r="AJ185" s="1"/>
      <c r="AK185" s="1"/>
      <c r="AL185" s="1"/>
      <c r="AM185" s="7"/>
      <c r="AN185" s="206"/>
      <c r="AO185" s="76"/>
      <c r="AP185" s="76"/>
      <c r="AQ185" s="76"/>
      <c r="AR185" s="76"/>
      <c r="AS185" s="76"/>
      <c r="AT185" s="76"/>
      <c r="AU185" s="76"/>
      <c r="AV185" s="76"/>
      <c r="AW185" s="76"/>
      <c r="AX185" s="202"/>
      <c r="AY185" s="63"/>
      <c r="AZ185" s="1"/>
      <c r="BA185" s="1"/>
      <c r="BB185" s="1"/>
      <c r="BC185" s="1"/>
      <c r="BD185" s="1"/>
      <c r="BE185" s="1"/>
      <c r="BF185" s="1"/>
      <c r="BG185" s="1"/>
      <c r="BH185" s="1"/>
      <c r="BI185" s="1"/>
      <c r="BJ185" s="2"/>
      <c r="BK185" s="2"/>
      <c r="BL185" s="212"/>
    </row>
    <row r="186" spans="2:64">
      <c r="B186" s="27"/>
      <c r="C186" s="1"/>
      <c r="D186" s="1"/>
      <c r="E186" s="4"/>
      <c r="F186" s="21"/>
      <c r="G186" s="4"/>
      <c r="H186" s="263"/>
      <c r="I186" s="63"/>
      <c r="J186" s="1"/>
      <c r="K186" s="1"/>
      <c r="L186" s="202"/>
      <c r="M186" s="206"/>
      <c r="N186" s="76"/>
      <c r="O186" s="207"/>
      <c r="P186" s="76"/>
      <c r="Q186" s="76"/>
      <c r="R186" s="76"/>
      <c r="S186" s="76"/>
      <c r="T186" s="76"/>
      <c r="U186" s="76"/>
      <c r="V186" s="76"/>
      <c r="W186" s="76"/>
      <c r="X186" s="76"/>
      <c r="Y186" s="76"/>
      <c r="Z186" s="76"/>
      <c r="AA186" s="76"/>
      <c r="AB186" s="76"/>
      <c r="AC186" s="76"/>
      <c r="AD186" s="63"/>
      <c r="AE186" s="1"/>
      <c r="AF186" s="1"/>
      <c r="AG186" s="1"/>
      <c r="AH186" s="1"/>
      <c r="AI186" s="1"/>
      <c r="AJ186" s="1"/>
      <c r="AK186" s="1"/>
      <c r="AL186" s="1"/>
      <c r="AM186" s="7"/>
      <c r="AN186" s="206"/>
      <c r="AO186" s="76"/>
      <c r="AP186" s="76"/>
      <c r="AQ186" s="76"/>
      <c r="AR186" s="76"/>
      <c r="AS186" s="76"/>
      <c r="AT186" s="76"/>
      <c r="AU186" s="76"/>
      <c r="AV186" s="76"/>
      <c r="AW186" s="76"/>
      <c r="AX186" s="202"/>
      <c r="AY186" s="63"/>
      <c r="AZ186" s="1"/>
      <c r="BA186" s="1"/>
      <c r="BB186" s="1"/>
      <c r="BC186" s="1"/>
      <c r="BD186" s="1"/>
      <c r="BE186" s="1"/>
      <c r="BF186" s="1"/>
      <c r="BG186" s="1"/>
      <c r="BH186" s="1"/>
      <c r="BI186" s="1"/>
      <c r="BJ186" s="2"/>
      <c r="BK186" s="2"/>
      <c r="BL186" s="212"/>
    </row>
    <row r="187" spans="2:64">
      <c r="B187" s="27"/>
      <c r="C187" s="1"/>
      <c r="D187" s="1"/>
      <c r="E187" s="4"/>
      <c r="F187" s="21"/>
      <c r="G187" s="4"/>
      <c r="H187" s="263"/>
      <c r="I187" s="63"/>
      <c r="J187" s="1"/>
      <c r="K187" s="1"/>
      <c r="L187" s="202"/>
      <c r="M187" s="206"/>
      <c r="N187" s="76"/>
      <c r="O187" s="207"/>
      <c r="P187" s="76"/>
      <c r="Q187" s="76"/>
      <c r="R187" s="76"/>
      <c r="S187" s="76"/>
      <c r="T187" s="76"/>
      <c r="U187" s="76"/>
      <c r="V187" s="76"/>
      <c r="W187" s="76"/>
      <c r="X187" s="76"/>
      <c r="Y187" s="76"/>
      <c r="Z187" s="76"/>
      <c r="AA187" s="76"/>
      <c r="AB187" s="76"/>
      <c r="AC187" s="76"/>
      <c r="AD187" s="63"/>
      <c r="AE187" s="1"/>
      <c r="AF187" s="1"/>
      <c r="AG187" s="1"/>
      <c r="AH187" s="1"/>
      <c r="AI187" s="1"/>
      <c r="AJ187" s="1"/>
      <c r="AK187" s="1"/>
      <c r="AL187" s="1"/>
      <c r="AM187" s="7"/>
      <c r="AN187" s="206"/>
      <c r="AO187" s="76"/>
      <c r="AP187" s="76"/>
      <c r="AQ187" s="76"/>
      <c r="AR187" s="76"/>
      <c r="AS187" s="76"/>
      <c r="AT187" s="76"/>
      <c r="AU187" s="76"/>
      <c r="AV187" s="76"/>
      <c r="AW187" s="76"/>
      <c r="AX187" s="202"/>
      <c r="AY187" s="63"/>
      <c r="AZ187" s="1"/>
      <c r="BA187" s="1"/>
      <c r="BB187" s="1"/>
      <c r="BC187" s="1"/>
      <c r="BD187" s="1"/>
      <c r="BE187" s="1"/>
      <c r="BF187" s="1"/>
      <c r="BG187" s="1"/>
      <c r="BH187" s="1"/>
      <c r="BI187" s="1"/>
      <c r="BJ187" s="2"/>
      <c r="BK187" s="2"/>
      <c r="BL187" s="212"/>
    </row>
    <row r="188" spans="2:64">
      <c r="B188" s="27"/>
      <c r="C188" s="1"/>
      <c r="D188" s="1"/>
      <c r="E188" s="4"/>
      <c r="F188" s="21"/>
      <c r="G188" s="4"/>
      <c r="H188" s="263"/>
      <c r="I188" s="63"/>
      <c r="J188" s="1"/>
      <c r="K188" s="1"/>
      <c r="L188" s="202"/>
      <c r="M188" s="206"/>
      <c r="N188" s="76"/>
      <c r="O188" s="207"/>
      <c r="P188" s="76"/>
      <c r="Q188" s="76"/>
      <c r="R188" s="76"/>
      <c r="S188" s="76"/>
      <c r="T188" s="76"/>
      <c r="U188" s="76"/>
      <c r="V188" s="76"/>
      <c r="W188" s="76"/>
      <c r="X188" s="76"/>
      <c r="Y188" s="76"/>
      <c r="Z188" s="76"/>
      <c r="AA188" s="76"/>
      <c r="AB188" s="76"/>
      <c r="AC188" s="76"/>
      <c r="AD188" s="63"/>
      <c r="AE188" s="1"/>
      <c r="AF188" s="1"/>
      <c r="AG188" s="1"/>
      <c r="AH188" s="1"/>
      <c r="AI188" s="1"/>
      <c r="AJ188" s="1"/>
      <c r="AK188" s="1"/>
      <c r="AL188" s="1"/>
      <c r="AM188" s="7"/>
      <c r="AN188" s="206"/>
      <c r="AO188" s="76"/>
      <c r="AP188" s="76"/>
      <c r="AQ188" s="76"/>
      <c r="AR188" s="76"/>
      <c r="AS188" s="76"/>
      <c r="AT188" s="76"/>
      <c r="AU188" s="76"/>
      <c r="AV188" s="76"/>
      <c r="AW188" s="76"/>
      <c r="AX188" s="202"/>
      <c r="AY188" s="63"/>
      <c r="AZ188" s="1"/>
      <c r="BA188" s="1"/>
      <c r="BB188" s="1"/>
      <c r="BC188" s="1"/>
      <c r="BD188" s="1"/>
      <c r="BE188" s="1"/>
      <c r="BF188" s="1"/>
      <c r="BG188" s="1"/>
      <c r="BH188" s="1"/>
      <c r="BI188" s="1"/>
      <c r="BJ188" s="2"/>
      <c r="BK188" s="2"/>
      <c r="BL188" s="212"/>
    </row>
    <row r="189" spans="2:64">
      <c r="B189" s="27"/>
      <c r="C189" s="1"/>
      <c r="D189" s="1"/>
      <c r="E189" s="4"/>
      <c r="F189" s="21"/>
      <c r="G189" s="4"/>
      <c r="H189" s="263"/>
      <c r="I189" s="63"/>
      <c r="J189" s="1"/>
      <c r="K189" s="1"/>
      <c r="L189" s="202"/>
      <c r="M189" s="206"/>
      <c r="N189" s="76"/>
      <c r="O189" s="207"/>
      <c r="P189" s="76"/>
      <c r="Q189" s="76"/>
      <c r="R189" s="76"/>
      <c r="S189" s="76"/>
      <c r="T189" s="76"/>
      <c r="U189" s="76"/>
      <c r="V189" s="76"/>
      <c r="W189" s="76"/>
      <c r="X189" s="76"/>
      <c r="Y189" s="76"/>
      <c r="Z189" s="76"/>
      <c r="AA189" s="76"/>
      <c r="AB189" s="76"/>
      <c r="AC189" s="76"/>
      <c r="AD189" s="63"/>
      <c r="AE189" s="1"/>
      <c r="AF189" s="1"/>
      <c r="AG189" s="1"/>
      <c r="AH189" s="1"/>
      <c r="AI189" s="1"/>
      <c r="AJ189" s="1"/>
      <c r="AK189" s="1"/>
      <c r="AL189" s="1"/>
      <c r="AM189" s="7"/>
      <c r="AN189" s="206"/>
      <c r="AO189" s="76"/>
      <c r="AP189" s="76"/>
      <c r="AQ189" s="76"/>
      <c r="AR189" s="76"/>
      <c r="AS189" s="76"/>
      <c r="AT189" s="76"/>
      <c r="AU189" s="76"/>
      <c r="AV189" s="76"/>
      <c r="AW189" s="76"/>
      <c r="AX189" s="202"/>
      <c r="AY189" s="63"/>
      <c r="AZ189" s="1"/>
      <c r="BA189" s="1"/>
      <c r="BB189" s="1"/>
      <c r="BC189" s="1"/>
      <c r="BD189" s="1"/>
      <c r="BE189" s="1"/>
      <c r="BF189" s="1"/>
      <c r="BG189" s="1"/>
      <c r="BH189" s="1"/>
      <c r="BI189" s="1"/>
      <c r="BJ189" s="2"/>
      <c r="BK189" s="2"/>
      <c r="BL189" s="212"/>
    </row>
    <row r="190" spans="2:64">
      <c r="B190" s="27"/>
      <c r="C190" s="1"/>
      <c r="D190" s="1"/>
      <c r="E190" s="4"/>
      <c r="F190" s="21"/>
      <c r="G190" s="4"/>
      <c r="H190" s="263"/>
      <c r="I190" s="63"/>
      <c r="J190" s="1"/>
      <c r="K190" s="1"/>
      <c r="L190" s="202"/>
      <c r="M190" s="206"/>
      <c r="N190" s="76"/>
      <c r="O190" s="207"/>
      <c r="P190" s="76"/>
      <c r="Q190" s="76"/>
      <c r="R190" s="76"/>
      <c r="S190" s="76"/>
      <c r="T190" s="76"/>
      <c r="U190" s="76"/>
      <c r="V190" s="76"/>
      <c r="W190" s="76"/>
      <c r="X190" s="76"/>
      <c r="Y190" s="76"/>
      <c r="Z190" s="76"/>
      <c r="AA190" s="76"/>
      <c r="AB190" s="76"/>
      <c r="AC190" s="76"/>
      <c r="AD190" s="63"/>
      <c r="AE190" s="1"/>
      <c r="AF190" s="1"/>
      <c r="AG190" s="1"/>
      <c r="AH190" s="1"/>
      <c r="AI190" s="1"/>
      <c r="AJ190" s="1"/>
      <c r="AK190" s="1"/>
      <c r="AL190" s="1"/>
      <c r="AM190" s="7"/>
      <c r="AN190" s="206"/>
      <c r="AO190" s="76"/>
      <c r="AP190" s="76"/>
      <c r="AQ190" s="76"/>
      <c r="AR190" s="76"/>
      <c r="AS190" s="76"/>
      <c r="AT190" s="76"/>
      <c r="AU190" s="76"/>
      <c r="AV190" s="76"/>
      <c r="AW190" s="76"/>
      <c r="AX190" s="202"/>
      <c r="AY190" s="63"/>
      <c r="AZ190" s="1"/>
      <c r="BA190" s="1"/>
      <c r="BB190" s="1"/>
      <c r="BC190" s="1"/>
      <c r="BD190" s="1"/>
      <c r="BE190" s="1"/>
      <c r="BF190" s="1"/>
      <c r="BG190" s="1"/>
      <c r="BH190" s="1"/>
      <c r="BI190" s="1"/>
      <c r="BJ190" s="2"/>
      <c r="BK190" s="2"/>
      <c r="BL190" s="212"/>
    </row>
    <row r="191" spans="2:64">
      <c r="B191" s="27"/>
      <c r="C191" s="1"/>
      <c r="D191" s="1"/>
      <c r="E191" s="4"/>
      <c r="F191" s="21"/>
      <c r="G191" s="4"/>
      <c r="H191" s="263"/>
      <c r="I191" s="63"/>
      <c r="J191" s="1"/>
      <c r="K191" s="1"/>
      <c r="L191" s="202"/>
      <c r="M191" s="206"/>
      <c r="N191" s="76"/>
      <c r="O191" s="207"/>
      <c r="P191" s="76"/>
      <c r="Q191" s="76"/>
      <c r="R191" s="76"/>
      <c r="S191" s="76"/>
      <c r="T191" s="76"/>
      <c r="U191" s="76"/>
      <c r="V191" s="76"/>
      <c r="W191" s="76"/>
      <c r="X191" s="76"/>
      <c r="Y191" s="76"/>
      <c r="Z191" s="76"/>
      <c r="AA191" s="76"/>
      <c r="AB191" s="76"/>
      <c r="AC191" s="76"/>
      <c r="AD191" s="63"/>
      <c r="AE191" s="1"/>
      <c r="AF191" s="1"/>
      <c r="AG191" s="1"/>
      <c r="AH191" s="1"/>
      <c r="AI191" s="1"/>
      <c r="AJ191" s="1"/>
      <c r="AK191" s="1"/>
      <c r="AL191" s="1"/>
      <c r="AM191" s="7"/>
      <c r="AN191" s="206"/>
      <c r="AO191" s="76"/>
      <c r="AP191" s="76"/>
      <c r="AQ191" s="76"/>
      <c r="AR191" s="76"/>
      <c r="AS191" s="76"/>
      <c r="AT191" s="76"/>
      <c r="AU191" s="76"/>
      <c r="AV191" s="76"/>
      <c r="AW191" s="76"/>
      <c r="AX191" s="202"/>
      <c r="AY191" s="63"/>
      <c r="AZ191" s="1"/>
      <c r="BA191" s="1"/>
      <c r="BB191" s="1"/>
      <c r="BC191" s="1"/>
      <c r="BD191" s="1"/>
      <c r="BE191" s="1"/>
      <c r="BF191" s="1"/>
      <c r="BG191" s="1"/>
      <c r="BH191" s="1"/>
      <c r="BI191" s="1"/>
      <c r="BJ191" s="2"/>
      <c r="BK191" s="2"/>
      <c r="BL191" s="212"/>
    </row>
    <row r="192" spans="2:64">
      <c r="B192" s="27"/>
      <c r="C192" s="1"/>
      <c r="D192" s="1"/>
      <c r="E192" s="4"/>
      <c r="F192" s="21"/>
      <c r="G192" s="4"/>
      <c r="H192" s="263"/>
      <c r="I192" s="63"/>
      <c r="J192" s="1"/>
      <c r="K192" s="1"/>
      <c r="L192" s="202"/>
      <c r="M192" s="206"/>
      <c r="N192" s="76"/>
      <c r="O192" s="207"/>
      <c r="P192" s="76"/>
      <c r="Q192" s="76"/>
      <c r="R192" s="76"/>
      <c r="S192" s="76"/>
      <c r="T192" s="76"/>
      <c r="U192" s="76"/>
      <c r="V192" s="76"/>
      <c r="W192" s="76"/>
      <c r="X192" s="76"/>
      <c r="Y192" s="76"/>
      <c r="Z192" s="76"/>
      <c r="AA192" s="76"/>
      <c r="AB192" s="76"/>
      <c r="AC192" s="76"/>
      <c r="AD192" s="63"/>
      <c r="AE192" s="1"/>
      <c r="AF192" s="1"/>
      <c r="AG192" s="1"/>
      <c r="AH192" s="1"/>
      <c r="AI192" s="1"/>
      <c r="AJ192" s="1"/>
      <c r="AK192" s="1"/>
      <c r="AL192" s="1"/>
      <c r="AM192" s="7"/>
      <c r="AN192" s="206"/>
      <c r="AO192" s="76"/>
      <c r="AP192" s="76"/>
      <c r="AQ192" s="76"/>
      <c r="AR192" s="76"/>
      <c r="AS192" s="76"/>
      <c r="AT192" s="76"/>
      <c r="AU192" s="76"/>
      <c r="AV192" s="76"/>
      <c r="AW192" s="76"/>
      <c r="AX192" s="202"/>
      <c r="AY192" s="63"/>
      <c r="AZ192" s="1"/>
      <c r="BA192" s="1"/>
      <c r="BB192" s="1"/>
      <c r="BC192" s="1"/>
      <c r="BD192" s="1"/>
      <c r="BE192" s="1"/>
      <c r="BF192" s="1"/>
      <c r="BG192" s="1"/>
      <c r="BH192" s="1"/>
      <c r="BI192" s="1"/>
      <c r="BJ192" s="2"/>
      <c r="BK192" s="2"/>
      <c r="BL192" s="212"/>
    </row>
    <row r="193" spans="2:64">
      <c r="B193" s="27"/>
      <c r="C193" s="1"/>
      <c r="D193" s="1"/>
      <c r="E193" s="4"/>
      <c r="F193" s="21"/>
      <c r="G193" s="4"/>
      <c r="H193" s="263"/>
      <c r="I193" s="63"/>
      <c r="J193" s="1"/>
      <c r="K193" s="1"/>
      <c r="L193" s="202"/>
      <c r="M193" s="206"/>
      <c r="N193" s="76"/>
      <c r="O193" s="207"/>
      <c r="P193" s="76"/>
      <c r="Q193" s="76"/>
      <c r="R193" s="76"/>
      <c r="S193" s="76"/>
      <c r="T193" s="76"/>
      <c r="U193" s="76"/>
      <c r="V193" s="76"/>
      <c r="W193" s="76"/>
      <c r="X193" s="76"/>
      <c r="Y193" s="76"/>
      <c r="Z193" s="76"/>
      <c r="AA193" s="76"/>
      <c r="AB193" s="76"/>
      <c r="AC193" s="76"/>
      <c r="AD193" s="63"/>
      <c r="AE193" s="1"/>
      <c r="AF193" s="1"/>
      <c r="AG193" s="1"/>
      <c r="AH193" s="1"/>
      <c r="AI193" s="1"/>
      <c r="AJ193" s="1"/>
      <c r="AK193" s="1"/>
      <c r="AL193" s="1"/>
      <c r="AM193" s="7"/>
      <c r="AN193" s="206"/>
      <c r="AO193" s="76"/>
      <c r="AP193" s="76"/>
      <c r="AQ193" s="76"/>
      <c r="AR193" s="76"/>
      <c r="AS193" s="76"/>
      <c r="AT193" s="76"/>
      <c r="AU193" s="76"/>
      <c r="AV193" s="76"/>
      <c r="AW193" s="76"/>
      <c r="AX193" s="202"/>
      <c r="AY193" s="63"/>
      <c r="AZ193" s="1"/>
      <c r="BA193" s="1"/>
      <c r="BB193" s="1"/>
      <c r="BC193" s="1"/>
      <c r="BD193" s="1"/>
      <c r="BE193" s="1"/>
      <c r="BF193" s="1"/>
      <c r="BG193" s="1"/>
      <c r="BH193" s="1"/>
      <c r="BI193" s="1"/>
      <c r="BJ193" s="2"/>
      <c r="BK193" s="2"/>
      <c r="BL193" s="212"/>
    </row>
    <row r="194" spans="2:64">
      <c r="B194" s="27"/>
      <c r="C194" s="1"/>
      <c r="D194" s="1"/>
      <c r="E194" s="4"/>
      <c r="F194" s="21"/>
      <c r="G194" s="4"/>
      <c r="H194" s="263"/>
      <c r="I194" s="63"/>
      <c r="J194" s="1"/>
      <c r="K194" s="1"/>
      <c r="L194" s="202"/>
      <c r="M194" s="206"/>
      <c r="N194" s="76"/>
      <c r="O194" s="207"/>
      <c r="P194" s="76"/>
      <c r="Q194" s="76"/>
      <c r="R194" s="76"/>
      <c r="S194" s="76"/>
      <c r="T194" s="76"/>
      <c r="U194" s="76"/>
      <c r="V194" s="76"/>
      <c r="W194" s="76"/>
      <c r="X194" s="76"/>
      <c r="Y194" s="76"/>
      <c r="Z194" s="76"/>
      <c r="AA194" s="76"/>
      <c r="AB194" s="76"/>
      <c r="AC194" s="76"/>
      <c r="AD194" s="63"/>
      <c r="AE194" s="1"/>
      <c r="AF194" s="1"/>
      <c r="AG194" s="1"/>
      <c r="AH194" s="1"/>
      <c r="AI194" s="1"/>
      <c r="AJ194" s="1"/>
      <c r="AK194" s="1"/>
      <c r="AL194" s="1"/>
      <c r="AM194" s="7"/>
      <c r="AN194" s="206"/>
      <c r="AO194" s="76"/>
      <c r="AP194" s="76"/>
      <c r="AQ194" s="76"/>
      <c r="AR194" s="76"/>
      <c r="AS194" s="76"/>
      <c r="AT194" s="76"/>
      <c r="AU194" s="76"/>
      <c r="AV194" s="76"/>
      <c r="AW194" s="76"/>
      <c r="AX194" s="202"/>
      <c r="AY194" s="63"/>
      <c r="AZ194" s="1"/>
      <c r="BA194" s="1"/>
      <c r="BB194" s="1"/>
      <c r="BC194" s="1"/>
      <c r="BD194" s="1"/>
      <c r="BE194" s="1"/>
      <c r="BF194" s="1"/>
      <c r="BG194" s="1"/>
      <c r="BH194" s="1"/>
      <c r="BI194" s="1"/>
      <c r="BJ194" s="2"/>
      <c r="BK194" s="2"/>
      <c r="BL194" s="212"/>
    </row>
    <row r="195" spans="2:64">
      <c r="B195" s="27"/>
      <c r="C195" s="1"/>
      <c r="D195" s="1"/>
      <c r="E195" s="4"/>
      <c r="F195" s="21"/>
      <c r="G195" s="4"/>
      <c r="H195" s="263"/>
      <c r="I195" s="63"/>
      <c r="J195" s="1"/>
      <c r="K195" s="1"/>
      <c r="L195" s="202"/>
      <c r="M195" s="206"/>
      <c r="N195" s="76"/>
      <c r="O195" s="207"/>
      <c r="P195" s="76"/>
      <c r="Q195" s="76"/>
      <c r="R195" s="76"/>
      <c r="S195" s="76"/>
      <c r="T195" s="76"/>
      <c r="U195" s="76"/>
      <c r="V195" s="76"/>
      <c r="W195" s="76"/>
      <c r="X195" s="76"/>
      <c r="Y195" s="76"/>
      <c r="Z195" s="76"/>
      <c r="AA195" s="76"/>
      <c r="AB195" s="76"/>
      <c r="AC195" s="76"/>
      <c r="AD195" s="63"/>
      <c r="AE195" s="1"/>
      <c r="AF195" s="1"/>
      <c r="AG195" s="1"/>
      <c r="AH195" s="1"/>
      <c r="AI195" s="1"/>
      <c r="AJ195" s="1"/>
      <c r="AK195" s="1"/>
      <c r="AL195" s="1"/>
      <c r="AM195" s="7"/>
      <c r="AN195" s="206"/>
      <c r="AO195" s="76"/>
      <c r="AP195" s="76"/>
      <c r="AQ195" s="76"/>
      <c r="AR195" s="76"/>
      <c r="AS195" s="76"/>
      <c r="AT195" s="76"/>
      <c r="AU195" s="76"/>
      <c r="AV195" s="76"/>
      <c r="AW195" s="76"/>
      <c r="AX195" s="202"/>
      <c r="AY195" s="63"/>
      <c r="AZ195" s="1"/>
      <c r="BA195" s="1"/>
      <c r="BB195" s="1"/>
      <c r="BC195" s="1"/>
      <c r="BD195" s="1"/>
      <c r="BE195" s="1"/>
      <c r="BF195" s="1"/>
      <c r="BG195" s="1"/>
      <c r="BH195" s="1"/>
      <c r="BI195" s="1"/>
      <c r="BJ195" s="2"/>
      <c r="BK195" s="2"/>
      <c r="BL195" s="212"/>
    </row>
    <row r="196" spans="2:64">
      <c r="B196" s="27"/>
      <c r="C196" s="1"/>
      <c r="D196" s="1"/>
      <c r="E196" s="4"/>
      <c r="F196" s="21"/>
      <c r="G196" s="4"/>
      <c r="H196" s="263"/>
      <c r="I196" s="63"/>
      <c r="J196" s="1"/>
      <c r="K196" s="1"/>
      <c r="L196" s="202"/>
      <c r="M196" s="206"/>
      <c r="N196" s="76"/>
      <c r="O196" s="207"/>
      <c r="P196" s="76"/>
      <c r="Q196" s="76"/>
      <c r="R196" s="76"/>
      <c r="S196" s="76"/>
      <c r="T196" s="76"/>
      <c r="U196" s="76"/>
      <c r="V196" s="76"/>
      <c r="W196" s="76"/>
      <c r="X196" s="76"/>
      <c r="Y196" s="76"/>
      <c r="Z196" s="76"/>
      <c r="AA196" s="76"/>
      <c r="AB196" s="76"/>
      <c r="AC196" s="76"/>
      <c r="AD196" s="63"/>
      <c r="AE196" s="1"/>
      <c r="AF196" s="1"/>
      <c r="AG196" s="1"/>
      <c r="AH196" s="1"/>
      <c r="AI196" s="1"/>
      <c r="AJ196" s="1"/>
      <c r="AK196" s="1"/>
      <c r="AL196" s="1"/>
      <c r="AM196" s="7"/>
      <c r="AN196" s="206"/>
      <c r="AO196" s="76"/>
      <c r="AP196" s="76"/>
      <c r="AQ196" s="76"/>
      <c r="AR196" s="76"/>
      <c r="AS196" s="76"/>
      <c r="AT196" s="76"/>
      <c r="AU196" s="76"/>
      <c r="AV196" s="76"/>
      <c r="AW196" s="76"/>
      <c r="AX196" s="202"/>
      <c r="AY196" s="63"/>
      <c r="AZ196" s="1"/>
      <c r="BA196" s="1"/>
      <c r="BB196" s="1"/>
      <c r="BC196" s="1"/>
      <c r="BD196" s="1"/>
      <c r="BE196" s="1"/>
      <c r="BF196" s="1"/>
      <c r="BG196" s="1"/>
      <c r="BH196" s="1"/>
      <c r="BI196" s="1"/>
      <c r="BJ196" s="2"/>
      <c r="BK196" s="2"/>
      <c r="BL196" s="212"/>
    </row>
    <row r="197" spans="2:64">
      <c r="B197" s="27"/>
      <c r="C197" s="1"/>
      <c r="D197" s="1"/>
      <c r="E197" s="4"/>
      <c r="F197" s="21"/>
      <c r="G197" s="4"/>
      <c r="H197" s="263"/>
      <c r="I197" s="63"/>
      <c r="J197" s="1"/>
      <c r="K197" s="1"/>
      <c r="L197" s="202"/>
      <c r="M197" s="206"/>
      <c r="N197" s="76"/>
      <c r="O197" s="207"/>
      <c r="P197" s="76"/>
      <c r="Q197" s="76"/>
      <c r="R197" s="76"/>
      <c r="S197" s="76"/>
      <c r="T197" s="76"/>
      <c r="U197" s="76"/>
      <c r="V197" s="76"/>
      <c r="W197" s="76"/>
      <c r="X197" s="76"/>
      <c r="Y197" s="76"/>
      <c r="Z197" s="76"/>
      <c r="AA197" s="76"/>
      <c r="AB197" s="76"/>
      <c r="AC197" s="76"/>
      <c r="AD197" s="63"/>
      <c r="AE197" s="1"/>
      <c r="AF197" s="1"/>
      <c r="AG197" s="1"/>
      <c r="AH197" s="1"/>
      <c r="AI197" s="1"/>
      <c r="AJ197" s="1"/>
      <c r="AK197" s="1"/>
      <c r="AL197" s="1"/>
      <c r="AM197" s="7"/>
      <c r="AN197" s="206"/>
      <c r="AO197" s="76"/>
      <c r="AP197" s="76"/>
      <c r="AQ197" s="76"/>
      <c r="AR197" s="76"/>
      <c r="AS197" s="76"/>
      <c r="AT197" s="76"/>
      <c r="AU197" s="76"/>
      <c r="AV197" s="76"/>
      <c r="AW197" s="76"/>
      <c r="AX197" s="202"/>
      <c r="AY197" s="63"/>
      <c r="AZ197" s="1"/>
      <c r="BA197" s="1"/>
      <c r="BB197" s="1"/>
      <c r="BC197" s="1"/>
      <c r="BD197" s="1"/>
      <c r="BE197" s="1"/>
      <c r="BF197" s="1"/>
      <c r="BG197" s="1"/>
      <c r="BH197" s="1"/>
      <c r="BI197" s="1"/>
      <c r="BJ197" s="2"/>
      <c r="BK197" s="2"/>
      <c r="BL197" s="212"/>
    </row>
    <row r="198" spans="2:64">
      <c r="B198" s="27"/>
      <c r="C198" s="1"/>
      <c r="D198" s="1"/>
      <c r="E198" s="4"/>
      <c r="F198" s="21"/>
      <c r="G198" s="4"/>
      <c r="H198" s="263"/>
      <c r="I198" s="63"/>
      <c r="J198" s="1"/>
      <c r="K198" s="1"/>
      <c r="L198" s="202"/>
      <c r="M198" s="206"/>
      <c r="N198" s="76"/>
      <c r="O198" s="207"/>
      <c r="P198" s="76"/>
      <c r="Q198" s="76"/>
      <c r="R198" s="76"/>
      <c r="S198" s="76"/>
      <c r="T198" s="76"/>
      <c r="U198" s="76"/>
      <c r="V198" s="76"/>
      <c r="W198" s="76"/>
      <c r="X198" s="76"/>
      <c r="Y198" s="76"/>
      <c r="Z198" s="76"/>
      <c r="AA198" s="76"/>
      <c r="AB198" s="76"/>
      <c r="AC198" s="76"/>
      <c r="AD198" s="63"/>
      <c r="AE198" s="1"/>
      <c r="AF198" s="1"/>
      <c r="AG198" s="1"/>
      <c r="AH198" s="1"/>
      <c r="AI198" s="1"/>
      <c r="AJ198" s="1"/>
      <c r="AK198" s="1"/>
      <c r="AL198" s="1"/>
      <c r="AM198" s="7"/>
      <c r="AN198" s="206"/>
      <c r="AO198" s="76"/>
      <c r="AP198" s="76"/>
      <c r="AQ198" s="76"/>
      <c r="AR198" s="76"/>
      <c r="AS198" s="76"/>
      <c r="AT198" s="76"/>
      <c r="AU198" s="76"/>
      <c r="AV198" s="76"/>
      <c r="AW198" s="76"/>
      <c r="AX198" s="202"/>
      <c r="AY198" s="63"/>
      <c r="AZ198" s="1"/>
      <c r="BA198" s="1"/>
      <c r="BB198" s="1"/>
      <c r="BC198" s="1"/>
      <c r="BD198" s="1"/>
      <c r="BE198" s="1"/>
      <c r="BF198" s="1"/>
      <c r="BG198" s="1"/>
      <c r="BH198" s="1"/>
      <c r="BI198" s="1"/>
      <c r="BJ198" s="2"/>
      <c r="BK198" s="2"/>
      <c r="BL198" s="212"/>
    </row>
    <row r="199" spans="2:64">
      <c r="B199" s="27"/>
      <c r="C199" s="1"/>
      <c r="D199" s="1"/>
      <c r="E199" s="4"/>
      <c r="F199" s="21"/>
      <c r="G199" s="4"/>
      <c r="H199" s="263"/>
      <c r="I199" s="63"/>
      <c r="J199" s="1"/>
      <c r="K199" s="1"/>
      <c r="L199" s="202"/>
      <c r="M199" s="206"/>
      <c r="N199" s="76"/>
      <c r="O199" s="207"/>
      <c r="P199" s="76"/>
      <c r="Q199" s="76"/>
      <c r="R199" s="76"/>
      <c r="S199" s="76"/>
      <c r="T199" s="76"/>
      <c r="U199" s="76"/>
      <c r="V199" s="76"/>
      <c r="W199" s="76"/>
      <c r="X199" s="76"/>
      <c r="Y199" s="76"/>
      <c r="Z199" s="76"/>
      <c r="AA199" s="76"/>
      <c r="AB199" s="76"/>
      <c r="AC199" s="76"/>
      <c r="AD199" s="63"/>
      <c r="AE199" s="1"/>
      <c r="AF199" s="1"/>
      <c r="AG199" s="1"/>
      <c r="AH199" s="1"/>
      <c r="AI199" s="1"/>
      <c r="AJ199" s="1"/>
      <c r="AK199" s="1"/>
      <c r="AL199" s="1"/>
      <c r="AM199" s="7"/>
      <c r="AN199" s="206"/>
      <c r="AO199" s="76"/>
      <c r="AP199" s="76"/>
      <c r="AQ199" s="76"/>
      <c r="AR199" s="76"/>
      <c r="AS199" s="76"/>
      <c r="AT199" s="76"/>
      <c r="AU199" s="76"/>
      <c r="AV199" s="76"/>
      <c r="AW199" s="76"/>
      <c r="AX199" s="202"/>
      <c r="AY199" s="63"/>
      <c r="AZ199" s="1"/>
      <c r="BA199" s="1"/>
      <c r="BB199" s="1"/>
      <c r="BC199" s="1"/>
      <c r="BD199" s="1"/>
      <c r="BE199" s="1"/>
      <c r="BF199" s="1"/>
      <c r="BG199" s="1"/>
      <c r="BH199" s="1"/>
      <c r="BI199" s="1"/>
      <c r="BJ199" s="2"/>
      <c r="BK199" s="2"/>
      <c r="BL199" s="212"/>
    </row>
    <row r="200" spans="2:64">
      <c r="B200" s="27"/>
      <c r="C200" s="1"/>
      <c r="D200" s="1"/>
      <c r="E200" s="4"/>
      <c r="F200" s="21"/>
      <c r="G200" s="4"/>
      <c r="H200" s="263"/>
      <c r="I200" s="63"/>
      <c r="J200" s="1"/>
      <c r="K200" s="1"/>
      <c r="L200" s="202"/>
      <c r="M200" s="206"/>
      <c r="N200" s="76"/>
      <c r="O200" s="207"/>
      <c r="P200" s="76"/>
      <c r="Q200" s="76"/>
      <c r="R200" s="76"/>
      <c r="S200" s="76"/>
      <c r="T200" s="76"/>
      <c r="U200" s="76"/>
      <c r="V200" s="76"/>
      <c r="W200" s="76"/>
      <c r="X200" s="76"/>
      <c r="Y200" s="76"/>
      <c r="Z200" s="76"/>
      <c r="AA200" s="76"/>
      <c r="AB200" s="76"/>
      <c r="AC200" s="76"/>
      <c r="AD200" s="63"/>
      <c r="AE200" s="1"/>
      <c r="AF200" s="1"/>
      <c r="AG200" s="1"/>
      <c r="AH200" s="1"/>
      <c r="AI200" s="1"/>
      <c r="AJ200" s="1"/>
      <c r="AK200" s="1"/>
      <c r="AL200" s="1"/>
      <c r="AM200" s="7"/>
      <c r="AN200" s="206"/>
      <c r="AO200" s="76"/>
      <c r="AP200" s="76"/>
      <c r="AQ200" s="76"/>
      <c r="AR200" s="76"/>
      <c r="AS200" s="76"/>
      <c r="AT200" s="76"/>
      <c r="AU200" s="76"/>
      <c r="AV200" s="76"/>
      <c r="AW200" s="76"/>
      <c r="AX200" s="202"/>
      <c r="AY200" s="63"/>
      <c r="AZ200" s="1"/>
      <c r="BA200" s="1"/>
      <c r="BB200" s="1"/>
      <c r="BC200" s="1"/>
      <c r="BD200" s="1"/>
      <c r="BE200" s="1"/>
      <c r="BF200" s="1"/>
      <c r="BG200" s="1"/>
      <c r="BH200" s="1"/>
      <c r="BI200" s="1"/>
      <c r="BJ200" s="2"/>
      <c r="BK200" s="2"/>
      <c r="BL200" s="212"/>
    </row>
    <row r="201" spans="2:64">
      <c r="B201" s="27"/>
      <c r="C201" s="1"/>
      <c r="D201" s="1"/>
      <c r="E201" s="4"/>
      <c r="F201" s="21"/>
      <c r="G201" s="4"/>
      <c r="H201" s="263"/>
      <c r="I201" s="63"/>
      <c r="J201" s="1"/>
      <c r="K201" s="1"/>
      <c r="L201" s="202"/>
      <c r="M201" s="206"/>
      <c r="N201" s="76"/>
      <c r="O201" s="207"/>
      <c r="P201" s="76"/>
      <c r="Q201" s="76"/>
      <c r="R201" s="76"/>
      <c r="S201" s="76"/>
      <c r="T201" s="76"/>
      <c r="U201" s="76"/>
      <c r="V201" s="76"/>
      <c r="W201" s="76"/>
      <c r="X201" s="76"/>
      <c r="Y201" s="76"/>
      <c r="Z201" s="76"/>
      <c r="AA201" s="76"/>
      <c r="AB201" s="76"/>
      <c r="AC201" s="76"/>
      <c r="AD201" s="63"/>
      <c r="AE201" s="1"/>
      <c r="AF201" s="1"/>
      <c r="AG201" s="1"/>
      <c r="AH201" s="1"/>
      <c r="AI201" s="1"/>
      <c r="AJ201" s="1"/>
      <c r="AK201" s="1"/>
      <c r="AL201" s="1"/>
      <c r="AM201" s="7"/>
      <c r="AN201" s="206"/>
      <c r="AO201" s="76"/>
      <c r="AP201" s="76"/>
      <c r="AQ201" s="76"/>
      <c r="AR201" s="76"/>
      <c r="AS201" s="76"/>
      <c r="AT201" s="76"/>
      <c r="AU201" s="76"/>
      <c r="AV201" s="76"/>
      <c r="AW201" s="76"/>
      <c r="AX201" s="202"/>
      <c r="AY201" s="63"/>
      <c r="AZ201" s="1"/>
      <c r="BA201" s="1"/>
      <c r="BB201" s="1"/>
      <c r="BC201" s="1"/>
      <c r="BD201" s="1"/>
      <c r="BE201" s="1"/>
      <c r="BF201" s="1"/>
      <c r="BG201" s="1"/>
      <c r="BH201" s="1"/>
      <c r="BI201" s="1"/>
      <c r="BJ201" s="2"/>
      <c r="BK201" s="2"/>
      <c r="BL201" s="212"/>
    </row>
    <row r="202" spans="2:64">
      <c r="B202" s="27"/>
      <c r="C202" s="1"/>
      <c r="D202" s="1"/>
      <c r="E202" s="4"/>
      <c r="F202" s="21"/>
      <c r="G202" s="4"/>
      <c r="H202" s="263"/>
      <c r="I202" s="63"/>
      <c r="J202" s="1"/>
      <c r="K202" s="1"/>
      <c r="L202" s="202"/>
      <c r="M202" s="206"/>
      <c r="N202" s="76"/>
      <c r="O202" s="207"/>
      <c r="P202" s="76"/>
      <c r="Q202" s="76"/>
      <c r="R202" s="76"/>
      <c r="S202" s="76"/>
      <c r="T202" s="76"/>
      <c r="U202" s="76"/>
      <c r="V202" s="76"/>
      <c r="W202" s="76"/>
      <c r="X202" s="76"/>
      <c r="Y202" s="76"/>
      <c r="Z202" s="76"/>
      <c r="AA202" s="76"/>
      <c r="AB202" s="76"/>
      <c r="AC202" s="76"/>
      <c r="AD202" s="63"/>
      <c r="AE202" s="1"/>
      <c r="AF202" s="1"/>
      <c r="AG202" s="1"/>
      <c r="AH202" s="1"/>
      <c r="AI202" s="1"/>
      <c r="AJ202" s="1"/>
      <c r="AK202" s="1"/>
      <c r="AL202" s="1"/>
      <c r="AM202" s="7"/>
      <c r="AN202" s="206"/>
      <c r="AO202" s="76"/>
      <c r="AP202" s="76"/>
      <c r="AQ202" s="76"/>
      <c r="AR202" s="76"/>
      <c r="AS202" s="76"/>
      <c r="AT202" s="76"/>
      <c r="AU202" s="76"/>
      <c r="AV202" s="76"/>
      <c r="AW202" s="76"/>
      <c r="AX202" s="202"/>
      <c r="AY202" s="63"/>
      <c r="AZ202" s="1"/>
      <c r="BA202" s="1"/>
      <c r="BB202" s="1"/>
      <c r="BC202" s="1"/>
      <c r="BD202" s="1"/>
      <c r="BE202" s="1"/>
      <c r="BF202" s="1"/>
      <c r="BG202" s="1"/>
      <c r="BH202" s="1"/>
      <c r="BI202" s="1"/>
      <c r="BJ202" s="2"/>
      <c r="BK202" s="2"/>
      <c r="BL202" s="212"/>
    </row>
    <row r="203" spans="2:64">
      <c r="B203" s="27"/>
      <c r="C203" s="1"/>
      <c r="D203" s="1"/>
      <c r="E203" s="4"/>
      <c r="F203" s="21"/>
      <c r="G203" s="4"/>
      <c r="H203" s="263"/>
      <c r="I203" s="63"/>
      <c r="J203" s="1"/>
      <c r="K203" s="1"/>
      <c r="L203" s="202"/>
      <c r="M203" s="206"/>
      <c r="N203" s="76"/>
      <c r="O203" s="207"/>
      <c r="P203" s="76"/>
      <c r="Q203" s="76"/>
      <c r="R203" s="76"/>
      <c r="S203" s="76"/>
      <c r="T203" s="76"/>
      <c r="U203" s="76"/>
      <c r="V203" s="76"/>
      <c r="W203" s="76"/>
      <c r="X203" s="76"/>
      <c r="Y203" s="76"/>
      <c r="Z203" s="76"/>
      <c r="AA203" s="76"/>
      <c r="AB203" s="76"/>
      <c r="AC203" s="76"/>
      <c r="AD203" s="63"/>
      <c r="AE203" s="1"/>
      <c r="AF203" s="1"/>
      <c r="AG203" s="1"/>
      <c r="AH203" s="1"/>
      <c r="AI203" s="1"/>
      <c r="AJ203" s="1"/>
      <c r="AK203" s="1"/>
      <c r="AL203" s="1"/>
      <c r="AM203" s="7"/>
      <c r="AN203" s="206"/>
      <c r="AO203" s="76"/>
      <c r="AP203" s="76"/>
      <c r="AQ203" s="76"/>
      <c r="AR203" s="76"/>
      <c r="AS203" s="76"/>
      <c r="AT203" s="76"/>
      <c r="AU203" s="76"/>
      <c r="AV203" s="76"/>
      <c r="AW203" s="76"/>
      <c r="AX203" s="202"/>
      <c r="AY203" s="63"/>
      <c r="AZ203" s="1"/>
      <c r="BA203" s="1"/>
      <c r="BB203" s="1"/>
      <c r="BC203" s="1"/>
      <c r="BD203" s="1"/>
      <c r="BE203" s="1"/>
      <c r="BF203" s="1"/>
      <c r="BG203" s="1"/>
      <c r="BH203" s="1"/>
      <c r="BI203" s="1"/>
      <c r="BJ203" s="2"/>
      <c r="BK203" s="2"/>
      <c r="BL203" s="212"/>
    </row>
    <row r="204" spans="2:64">
      <c r="B204" s="27"/>
      <c r="C204" s="1"/>
      <c r="D204" s="1"/>
      <c r="E204" s="4"/>
      <c r="F204" s="21"/>
      <c r="G204" s="4"/>
      <c r="H204" s="263"/>
      <c r="I204" s="63"/>
      <c r="J204" s="1"/>
      <c r="K204" s="1"/>
      <c r="L204" s="202"/>
      <c r="M204" s="206"/>
      <c r="N204" s="76"/>
      <c r="O204" s="207"/>
      <c r="P204" s="76"/>
      <c r="Q204" s="76"/>
      <c r="R204" s="76"/>
      <c r="S204" s="76"/>
      <c r="T204" s="76"/>
      <c r="U204" s="76"/>
      <c r="V204" s="76"/>
      <c r="W204" s="76"/>
      <c r="X204" s="76"/>
      <c r="Y204" s="76"/>
      <c r="Z204" s="76"/>
      <c r="AA204" s="76"/>
      <c r="AB204" s="76"/>
      <c r="AC204" s="76"/>
      <c r="AD204" s="63"/>
      <c r="AE204" s="1"/>
      <c r="AF204" s="1"/>
      <c r="AG204" s="1"/>
      <c r="AH204" s="1"/>
      <c r="AI204" s="1"/>
      <c r="AJ204" s="1"/>
      <c r="AK204" s="1"/>
      <c r="AL204" s="1"/>
      <c r="AM204" s="7"/>
      <c r="AN204" s="206"/>
      <c r="AO204" s="76"/>
      <c r="AP204" s="76"/>
      <c r="AQ204" s="76"/>
      <c r="AR204" s="76"/>
      <c r="AS204" s="76"/>
      <c r="AT204" s="76"/>
      <c r="AU204" s="76"/>
      <c r="AV204" s="76"/>
      <c r="AW204" s="76"/>
      <c r="AX204" s="202"/>
      <c r="AY204" s="63"/>
      <c r="AZ204" s="1"/>
      <c r="BA204" s="1"/>
      <c r="BB204" s="1"/>
      <c r="BC204" s="1"/>
      <c r="BD204" s="1"/>
      <c r="BE204" s="1"/>
      <c r="BF204" s="1"/>
      <c r="BG204" s="1"/>
      <c r="BH204" s="1"/>
      <c r="BI204" s="1"/>
      <c r="BJ204" s="2"/>
      <c r="BK204" s="2"/>
      <c r="BL204" s="212"/>
    </row>
    <row r="205" spans="2:64">
      <c r="B205" s="27"/>
      <c r="C205" s="1"/>
      <c r="D205" s="1"/>
      <c r="E205" s="4"/>
      <c r="F205" s="21"/>
      <c r="G205" s="4"/>
      <c r="H205" s="263"/>
      <c r="I205" s="63"/>
      <c r="J205" s="1"/>
      <c r="K205" s="1"/>
      <c r="L205" s="202"/>
      <c r="M205" s="206"/>
      <c r="N205" s="76"/>
      <c r="O205" s="207"/>
      <c r="P205" s="76"/>
      <c r="Q205" s="76"/>
      <c r="R205" s="76"/>
      <c r="S205" s="76"/>
      <c r="T205" s="76"/>
      <c r="U205" s="76"/>
      <c r="V205" s="76"/>
      <c r="W205" s="76"/>
      <c r="X205" s="76"/>
      <c r="Y205" s="76"/>
      <c r="Z205" s="76"/>
      <c r="AA205" s="76"/>
      <c r="AB205" s="76"/>
      <c r="AC205" s="76"/>
      <c r="AD205" s="63"/>
      <c r="AE205" s="1"/>
      <c r="AF205" s="1"/>
      <c r="AG205" s="1"/>
      <c r="AH205" s="1"/>
      <c r="AI205" s="1"/>
      <c r="AJ205" s="1"/>
      <c r="AK205" s="1"/>
      <c r="AL205" s="1"/>
      <c r="AM205" s="7"/>
      <c r="AN205" s="206"/>
      <c r="AO205" s="76"/>
      <c r="AP205" s="76"/>
      <c r="AQ205" s="76"/>
      <c r="AR205" s="76"/>
      <c r="AS205" s="76"/>
      <c r="AT205" s="76"/>
      <c r="AU205" s="76"/>
      <c r="AV205" s="76"/>
      <c r="AW205" s="76"/>
      <c r="AX205" s="202"/>
      <c r="AY205" s="63"/>
      <c r="AZ205" s="1"/>
      <c r="BA205" s="1"/>
      <c r="BB205" s="1"/>
      <c r="BC205" s="1"/>
      <c r="BD205" s="1"/>
      <c r="BE205" s="1"/>
      <c r="BF205" s="1"/>
      <c r="BG205" s="1"/>
      <c r="BH205" s="1"/>
      <c r="BI205" s="1"/>
      <c r="BJ205" s="2"/>
      <c r="BK205" s="2"/>
      <c r="BL205" s="212"/>
    </row>
    <row r="206" spans="2:64">
      <c r="B206" s="27"/>
      <c r="C206" s="1"/>
      <c r="D206" s="1"/>
      <c r="E206" s="4"/>
      <c r="F206" s="21"/>
      <c r="G206" s="4"/>
      <c r="H206" s="263"/>
      <c r="I206" s="63"/>
      <c r="J206" s="1"/>
      <c r="K206" s="1"/>
      <c r="L206" s="202"/>
      <c r="M206" s="206"/>
      <c r="N206" s="76"/>
      <c r="O206" s="207"/>
      <c r="P206" s="76"/>
      <c r="Q206" s="76"/>
      <c r="R206" s="76"/>
      <c r="S206" s="76"/>
      <c r="T206" s="76"/>
      <c r="U206" s="76"/>
      <c r="V206" s="76"/>
      <c r="W206" s="76"/>
      <c r="X206" s="76"/>
      <c r="Y206" s="76"/>
      <c r="Z206" s="76"/>
      <c r="AA206" s="76"/>
      <c r="AB206" s="76"/>
      <c r="AC206" s="76"/>
      <c r="AD206" s="63"/>
      <c r="AE206" s="1"/>
      <c r="AF206" s="1"/>
      <c r="AG206" s="1"/>
      <c r="AH206" s="1"/>
      <c r="AI206" s="1"/>
      <c r="AJ206" s="1"/>
      <c r="AK206" s="1"/>
      <c r="AL206" s="1"/>
      <c r="AM206" s="7"/>
      <c r="AN206" s="206"/>
      <c r="AO206" s="76"/>
      <c r="AP206" s="76"/>
      <c r="AQ206" s="76"/>
      <c r="AR206" s="76"/>
      <c r="AS206" s="76"/>
      <c r="AT206" s="76"/>
      <c r="AU206" s="76"/>
      <c r="AV206" s="76"/>
      <c r="AW206" s="76"/>
      <c r="AX206" s="202"/>
      <c r="AY206" s="63"/>
      <c r="AZ206" s="1"/>
      <c r="BA206" s="1"/>
      <c r="BB206" s="1"/>
      <c r="BC206" s="1"/>
      <c r="BD206" s="1"/>
      <c r="BE206" s="1"/>
      <c r="BF206" s="1"/>
      <c r="BG206" s="1"/>
      <c r="BH206" s="1"/>
      <c r="BI206" s="1"/>
      <c r="BJ206" s="2"/>
      <c r="BK206" s="2"/>
      <c r="BL206" s="212"/>
    </row>
    <row r="207" spans="2:64">
      <c r="B207" s="27"/>
      <c r="C207" s="1"/>
      <c r="D207" s="1"/>
      <c r="E207" s="4"/>
      <c r="F207" s="21"/>
      <c r="G207" s="4"/>
      <c r="H207" s="263"/>
      <c r="I207" s="63"/>
      <c r="J207" s="1"/>
      <c r="K207" s="1"/>
      <c r="L207" s="202"/>
      <c r="M207" s="206"/>
      <c r="N207" s="76"/>
      <c r="O207" s="207"/>
      <c r="P207" s="76"/>
      <c r="Q207" s="76"/>
      <c r="R207" s="76"/>
      <c r="S207" s="76"/>
      <c r="T207" s="76"/>
      <c r="U207" s="76"/>
      <c r="V207" s="76"/>
      <c r="W207" s="76"/>
      <c r="X207" s="76"/>
      <c r="Y207" s="76"/>
      <c r="Z207" s="76"/>
      <c r="AA207" s="76"/>
      <c r="AB207" s="76"/>
      <c r="AC207" s="76"/>
      <c r="AD207" s="63"/>
      <c r="AE207" s="1"/>
      <c r="AF207" s="1"/>
      <c r="AG207" s="1"/>
      <c r="AH207" s="1"/>
      <c r="AI207" s="1"/>
      <c r="AJ207" s="1"/>
      <c r="AK207" s="1"/>
      <c r="AL207" s="1"/>
      <c r="AM207" s="7"/>
      <c r="AN207" s="206"/>
      <c r="AO207" s="76"/>
      <c r="AP207" s="76"/>
      <c r="AQ207" s="76"/>
      <c r="AR207" s="76"/>
      <c r="AS207" s="76"/>
      <c r="AT207" s="76"/>
      <c r="AU207" s="76"/>
      <c r="AV207" s="76"/>
      <c r="AW207" s="76"/>
      <c r="AX207" s="202"/>
      <c r="AY207" s="63"/>
      <c r="AZ207" s="1"/>
      <c r="BA207" s="1"/>
      <c r="BB207" s="1"/>
      <c r="BC207" s="1"/>
      <c r="BD207" s="1"/>
      <c r="BE207" s="1"/>
      <c r="BF207" s="1"/>
      <c r="BG207" s="1"/>
      <c r="BH207" s="1"/>
      <c r="BI207" s="1"/>
      <c r="BJ207" s="2"/>
      <c r="BK207" s="2"/>
      <c r="BL207" s="212"/>
    </row>
    <row r="208" spans="2:64">
      <c r="B208" s="27"/>
      <c r="C208" s="1"/>
      <c r="D208" s="1"/>
      <c r="E208" s="4"/>
      <c r="F208" s="21"/>
      <c r="G208" s="4"/>
      <c r="H208" s="263"/>
      <c r="I208" s="63"/>
      <c r="J208" s="1"/>
      <c r="K208" s="1"/>
      <c r="L208" s="202"/>
      <c r="M208" s="206"/>
      <c r="N208" s="76"/>
      <c r="O208" s="207"/>
      <c r="P208" s="76"/>
      <c r="Q208" s="76"/>
      <c r="R208" s="76"/>
      <c r="S208" s="76"/>
      <c r="T208" s="76"/>
      <c r="U208" s="76"/>
      <c r="V208" s="76"/>
      <c r="W208" s="76"/>
      <c r="X208" s="76"/>
      <c r="Y208" s="76"/>
      <c r="Z208" s="76"/>
      <c r="AA208" s="76"/>
      <c r="AB208" s="76"/>
      <c r="AC208" s="76"/>
      <c r="AD208" s="63"/>
      <c r="AE208" s="1"/>
      <c r="AF208" s="1"/>
      <c r="AG208" s="1"/>
      <c r="AH208" s="1"/>
      <c r="AI208" s="1"/>
      <c r="AJ208" s="1"/>
      <c r="AK208" s="1"/>
      <c r="AL208" s="1"/>
      <c r="AM208" s="7"/>
      <c r="AN208" s="206"/>
      <c r="AO208" s="76"/>
      <c r="AP208" s="76"/>
      <c r="AQ208" s="76"/>
      <c r="AR208" s="76"/>
      <c r="AS208" s="76"/>
      <c r="AT208" s="76"/>
      <c r="AU208" s="76"/>
      <c r="AV208" s="76"/>
      <c r="AW208" s="76"/>
      <c r="AX208" s="202"/>
      <c r="AY208" s="63"/>
      <c r="AZ208" s="1"/>
      <c r="BA208" s="1"/>
      <c r="BB208" s="1"/>
      <c r="BC208" s="1"/>
      <c r="BD208" s="1"/>
      <c r="BE208" s="1"/>
      <c r="BF208" s="1"/>
      <c r="BG208" s="1"/>
      <c r="BH208" s="1"/>
      <c r="BI208" s="1"/>
      <c r="BJ208" s="2"/>
      <c r="BK208" s="2"/>
      <c r="BL208" s="212"/>
    </row>
    <row r="209" spans="2:64">
      <c r="B209" s="27"/>
      <c r="C209" s="1"/>
      <c r="D209" s="1"/>
      <c r="E209" s="4"/>
      <c r="F209" s="21"/>
      <c r="G209" s="4"/>
      <c r="H209" s="263"/>
      <c r="I209" s="63"/>
      <c r="J209" s="1"/>
      <c r="K209" s="1"/>
      <c r="L209" s="202"/>
      <c r="M209" s="206"/>
      <c r="N209" s="76"/>
      <c r="O209" s="207"/>
      <c r="P209" s="76"/>
      <c r="Q209" s="76"/>
      <c r="R209" s="76"/>
      <c r="S209" s="76"/>
      <c r="T209" s="76"/>
      <c r="U209" s="76"/>
      <c r="V209" s="76"/>
      <c r="W209" s="76"/>
      <c r="X209" s="76"/>
      <c r="Y209" s="76"/>
      <c r="Z209" s="76"/>
      <c r="AA209" s="76"/>
      <c r="AB209" s="76"/>
      <c r="AC209" s="76"/>
      <c r="AD209" s="63"/>
      <c r="AE209" s="1"/>
      <c r="AF209" s="1"/>
      <c r="AG209" s="1"/>
      <c r="AH209" s="1"/>
      <c r="AI209" s="1"/>
      <c r="AJ209" s="1"/>
      <c r="AK209" s="1"/>
      <c r="AL209" s="1"/>
      <c r="AM209" s="7"/>
      <c r="AN209" s="206"/>
      <c r="AO209" s="76"/>
      <c r="AP209" s="76"/>
      <c r="AQ209" s="76"/>
      <c r="AR209" s="76"/>
      <c r="AS209" s="76"/>
      <c r="AT209" s="76"/>
      <c r="AU209" s="76"/>
      <c r="AV209" s="76"/>
      <c r="AW209" s="76"/>
      <c r="AX209" s="202"/>
      <c r="AY209" s="63"/>
      <c r="AZ209" s="1"/>
      <c r="BA209" s="1"/>
      <c r="BB209" s="1"/>
      <c r="BC209" s="1"/>
      <c r="BD209" s="1"/>
      <c r="BE209" s="1"/>
      <c r="BF209" s="1"/>
      <c r="BG209" s="1"/>
      <c r="BH209" s="1"/>
      <c r="BI209" s="1"/>
      <c r="BJ209" s="2"/>
      <c r="BK209" s="2"/>
      <c r="BL209" s="212"/>
    </row>
    <row r="210" spans="2:64">
      <c r="B210" s="27"/>
      <c r="C210" s="1"/>
      <c r="D210" s="1"/>
      <c r="E210" s="4"/>
      <c r="F210" s="21"/>
      <c r="G210" s="4"/>
      <c r="H210" s="263"/>
      <c r="I210" s="63"/>
      <c r="J210" s="1"/>
      <c r="K210" s="1"/>
      <c r="L210" s="202"/>
      <c r="M210" s="206"/>
      <c r="N210" s="76"/>
      <c r="O210" s="207"/>
      <c r="P210" s="76"/>
      <c r="Q210" s="76"/>
      <c r="R210" s="76"/>
      <c r="S210" s="76"/>
      <c r="T210" s="76"/>
      <c r="U210" s="76"/>
      <c r="V210" s="76"/>
      <c r="W210" s="76"/>
      <c r="X210" s="76"/>
      <c r="Y210" s="76"/>
      <c r="Z210" s="76"/>
      <c r="AA210" s="76"/>
      <c r="AB210" s="76"/>
      <c r="AC210" s="76"/>
      <c r="AD210" s="63"/>
      <c r="AE210" s="1"/>
      <c r="AF210" s="1"/>
      <c r="AG210" s="1"/>
      <c r="AH210" s="1"/>
      <c r="AI210" s="1"/>
      <c r="AJ210" s="1"/>
      <c r="AK210" s="1"/>
      <c r="AL210" s="1"/>
      <c r="AM210" s="7"/>
      <c r="AN210" s="206"/>
      <c r="AO210" s="76"/>
      <c r="AP210" s="76"/>
      <c r="AQ210" s="76"/>
      <c r="AR210" s="76"/>
      <c r="AS210" s="76"/>
      <c r="AT210" s="76"/>
      <c r="AU210" s="76"/>
      <c r="AV210" s="76"/>
      <c r="AW210" s="76"/>
      <c r="AX210" s="202"/>
      <c r="AY210" s="63"/>
      <c r="AZ210" s="1"/>
      <c r="BA210" s="1"/>
      <c r="BB210" s="1"/>
      <c r="BC210" s="1"/>
      <c r="BD210" s="1"/>
      <c r="BE210" s="1"/>
      <c r="BF210" s="1"/>
      <c r="BG210" s="1"/>
      <c r="BH210" s="1"/>
      <c r="BI210" s="1"/>
      <c r="BJ210" s="2"/>
      <c r="BK210" s="2"/>
      <c r="BL210" s="212"/>
    </row>
    <row r="211" spans="2:64">
      <c r="B211" s="27"/>
      <c r="C211" s="1"/>
      <c r="D211" s="1"/>
      <c r="E211" s="4"/>
      <c r="F211" s="21"/>
      <c r="G211" s="4"/>
      <c r="H211" s="263"/>
      <c r="I211" s="63"/>
      <c r="J211" s="1"/>
      <c r="K211" s="1"/>
      <c r="L211" s="202"/>
      <c r="M211" s="206"/>
      <c r="N211" s="76"/>
      <c r="O211" s="207"/>
      <c r="P211" s="76"/>
      <c r="Q211" s="76"/>
      <c r="R211" s="76"/>
      <c r="S211" s="76"/>
      <c r="T211" s="76"/>
      <c r="U211" s="76"/>
      <c r="V211" s="76"/>
      <c r="W211" s="76"/>
      <c r="X211" s="76"/>
      <c r="Y211" s="76"/>
      <c r="Z211" s="76"/>
      <c r="AA211" s="76"/>
      <c r="AB211" s="76"/>
      <c r="AC211" s="76"/>
      <c r="AD211" s="63"/>
      <c r="AE211" s="1"/>
      <c r="AF211" s="1"/>
      <c r="AG211" s="1"/>
      <c r="AH211" s="1"/>
      <c r="AI211" s="1"/>
      <c r="AJ211" s="1"/>
      <c r="AK211" s="1"/>
      <c r="AL211" s="1"/>
      <c r="AM211" s="7"/>
      <c r="AN211" s="206"/>
      <c r="AO211" s="76"/>
      <c r="AP211" s="76"/>
      <c r="AQ211" s="76"/>
      <c r="AR211" s="76"/>
      <c r="AS211" s="76"/>
      <c r="AT211" s="76"/>
      <c r="AU211" s="76"/>
      <c r="AV211" s="76"/>
      <c r="AW211" s="76"/>
      <c r="AX211" s="202"/>
      <c r="AY211" s="63"/>
      <c r="AZ211" s="1"/>
      <c r="BA211" s="1"/>
      <c r="BB211" s="1"/>
      <c r="BC211" s="1"/>
      <c r="BD211" s="1"/>
      <c r="BE211" s="1"/>
      <c r="BF211" s="1"/>
      <c r="BG211" s="1"/>
      <c r="BH211" s="1"/>
      <c r="BI211" s="1"/>
      <c r="BJ211" s="2"/>
      <c r="BK211" s="2"/>
      <c r="BL211" s="212"/>
    </row>
    <row r="212" spans="2:64">
      <c r="B212" s="27"/>
      <c r="C212" s="1"/>
      <c r="D212" s="1"/>
      <c r="E212" s="4"/>
      <c r="F212" s="21"/>
      <c r="G212" s="4"/>
      <c r="H212" s="263"/>
      <c r="I212" s="63"/>
      <c r="J212" s="1"/>
      <c r="K212" s="1"/>
      <c r="L212" s="202"/>
      <c r="M212" s="206"/>
      <c r="N212" s="76"/>
      <c r="O212" s="207"/>
      <c r="P212" s="76"/>
      <c r="Q212" s="76"/>
      <c r="R212" s="76"/>
      <c r="S212" s="76"/>
      <c r="T212" s="76"/>
      <c r="U212" s="76"/>
      <c r="V212" s="76"/>
      <c r="W212" s="76"/>
      <c r="X212" s="76"/>
      <c r="Y212" s="76"/>
      <c r="Z212" s="76"/>
      <c r="AA212" s="76"/>
      <c r="AB212" s="76"/>
      <c r="AC212" s="76"/>
      <c r="AD212" s="63"/>
      <c r="AE212" s="1"/>
      <c r="AF212" s="1"/>
      <c r="AG212" s="1"/>
      <c r="AH212" s="1"/>
      <c r="AI212" s="1"/>
      <c r="AJ212" s="1"/>
      <c r="AK212" s="1"/>
      <c r="AL212" s="1"/>
      <c r="AM212" s="7"/>
      <c r="AN212" s="206"/>
      <c r="AO212" s="76"/>
      <c r="AP212" s="76"/>
      <c r="AQ212" s="76"/>
      <c r="AR212" s="76"/>
      <c r="AS212" s="76"/>
      <c r="AT212" s="76"/>
      <c r="AU212" s="76"/>
      <c r="AV212" s="76"/>
      <c r="AW212" s="76"/>
      <c r="AX212" s="202"/>
      <c r="AY212" s="63"/>
      <c r="AZ212" s="1"/>
      <c r="BA212" s="1"/>
      <c r="BB212" s="1"/>
      <c r="BC212" s="1"/>
      <c r="BD212" s="1"/>
      <c r="BE212" s="1"/>
      <c r="BF212" s="1"/>
      <c r="BG212" s="1"/>
      <c r="BH212" s="1"/>
      <c r="BI212" s="1"/>
      <c r="BJ212" s="2"/>
      <c r="BK212" s="2"/>
      <c r="BL212" s="212"/>
    </row>
    <row r="213" spans="2:64">
      <c r="B213" s="27"/>
      <c r="C213" s="1"/>
      <c r="D213" s="1"/>
      <c r="E213" s="4"/>
      <c r="F213" s="21"/>
      <c r="G213" s="4"/>
      <c r="H213" s="263"/>
      <c r="I213" s="63"/>
      <c r="J213" s="1"/>
      <c r="K213" s="1"/>
      <c r="L213" s="202"/>
      <c r="M213" s="206"/>
      <c r="N213" s="76"/>
      <c r="O213" s="207"/>
      <c r="P213" s="76"/>
      <c r="Q213" s="76"/>
      <c r="R213" s="76"/>
      <c r="S213" s="76"/>
      <c r="T213" s="76"/>
      <c r="U213" s="76"/>
      <c r="V213" s="76"/>
      <c r="W213" s="76"/>
      <c r="X213" s="76"/>
      <c r="Y213" s="76"/>
      <c r="Z213" s="76"/>
      <c r="AA213" s="76"/>
      <c r="AB213" s="76"/>
      <c r="AC213" s="76"/>
      <c r="AD213" s="63"/>
      <c r="AE213" s="1"/>
      <c r="AF213" s="1"/>
      <c r="AG213" s="1"/>
      <c r="AH213" s="1"/>
      <c r="AI213" s="1"/>
      <c r="AJ213" s="1"/>
      <c r="AK213" s="1"/>
      <c r="AL213" s="1"/>
      <c r="AM213" s="7"/>
      <c r="AN213" s="206"/>
      <c r="AO213" s="76"/>
      <c r="AP213" s="76"/>
      <c r="AQ213" s="76"/>
      <c r="AR213" s="76"/>
      <c r="AS213" s="76"/>
      <c r="AT213" s="76"/>
      <c r="AU213" s="76"/>
      <c r="AV213" s="76"/>
      <c r="AW213" s="76"/>
      <c r="AX213" s="202"/>
      <c r="AY213" s="63"/>
      <c r="AZ213" s="1"/>
      <c r="BA213" s="1"/>
      <c r="BB213" s="1"/>
      <c r="BC213" s="1"/>
      <c r="BD213" s="1"/>
      <c r="BE213" s="1"/>
      <c r="BF213" s="1"/>
      <c r="BG213" s="1"/>
      <c r="BH213" s="1"/>
      <c r="BI213" s="1"/>
      <c r="BJ213" s="2"/>
      <c r="BK213" s="2"/>
      <c r="BL213" s="212"/>
    </row>
    <row r="214" spans="2:64">
      <c r="B214" s="27"/>
      <c r="C214" s="1"/>
      <c r="D214" s="1"/>
      <c r="E214" s="4"/>
      <c r="F214" s="21"/>
      <c r="G214" s="4"/>
      <c r="H214" s="263"/>
      <c r="I214" s="63"/>
      <c r="J214" s="1"/>
      <c r="K214" s="1"/>
      <c r="L214" s="202"/>
      <c r="M214" s="206"/>
      <c r="N214" s="76"/>
      <c r="O214" s="207"/>
      <c r="P214" s="76"/>
      <c r="Q214" s="76"/>
      <c r="R214" s="76"/>
      <c r="S214" s="76"/>
      <c r="T214" s="76"/>
      <c r="U214" s="76"/>
      <c r="V214" s="76"/>
      <c r="W214" s="76"/>
      <c r="X214" s="76"/>
      <c r="Y214" s="76"/>
      <c r="Z214" s="76"/>
      <c r="AA214" s="76"/>
      <c r="AB214" s="76"/>
      <c r="AC214" s="76"/>
      <c r="AD214" s="63"/>
      <c r="AE214" s="1"/>
      <c r="AF214" s="1"/>
      <c r="AG214" s="1"/>
      <c r="AH214" s="1"/>
      <c r="AI214" s="1"/>
      <c r="AJ214" s="1"/>
      <c r="AK214" s="1"/>
      <c r="AL214" s="1"/>
      <c r="AM214" s="7"/>
      <c r="AN214" s="206"/>
      <c r="AO214" s="76"/>
      <c r="AP214" s="76"/>
      <c r="AQ214" s="76"/>
      <c r="AR214" s="76"/>
      <c r="AS214" s="76"/>
      <c r="AT214" s="76"/>
      <c r="AU214" s="76"/>
      <c r="AV214" s="76"/>
      <c r="AW214" s="76"/>
      <c r="AX214" s="202"/>
      <c r="AY214" s="63"/>
      <c r="AZ214" s="1"/>
      <c r="BA214" s="1"/>
      <c r="BB214" s="1"/>
      <c r="BC214" s="1"/>
      <c r="BD214" s="1"/>
      <c r="BE214" s="1"/>
      <c r="BF214" s="1"/>
      <c r="BG214" s="1"/>
      <c r="BH214" s="1"/>
      <c r="BI214" s="1"/>
      <c r="BJ214" s="2"/>
      <c r="BK214" s="2"/>
      <c r="BL214" s="212"/>
    </row>
    <row r="215" spans="2:64">
      <c r="B215" s="27"/>
      <c r="C215" s="1"/>
      <c r="D215" s="1"/>
      <c r="E215" s="4"/>
      <c r="F215" s="21"/>
      <c r="G215" s="4"/>
      <c r="H215" s="263"/>
      <c r="I215" s="63"/>
      <c r="J215" s="1"/>
      <c r="K215" s="1"/>
      <c r="L215" s="202"/>
      <c r="M215" s="206"/>
      <c r="N215" s="76"/>
      <c r="O215" s="207"/>
      <c r="P215" s="76"/>
      <c r="Q215" s="76"/>
      <c r="R215" s="76"/>
      <c r="S215" s="76"/>
      <c r="T215" s="76"/>
      <c r="U215" s="76"/>
      <c r="V215" s="76"/>
      <c r="W215" s="76"/>
      <c r="X215" s="76"/>
      <c r="Y215" s="76"/>
      <c r="Z215" s="76"/>
      <c r="AA215" s="76"/>
      <c r="AB215" s="76"/>
      <c r="AC215" s="76"/>
      <c r="AD215" s="63"/>
      <c r="AE215" s="1"/>
      <c r="AF215" s="1"/>
      <c r="AG215" s="1"/>
      <c r="AH215" s="1"/>
      <c r="AI215" s="1"/>
      <c r="AJ215" s="1"/>
      <c r="AK215" s="1"/>
      <c r="AL215" s="1"/>
      <c r="AM215" s="7"/>
      <c r="AN215" s="206"/>
      <c r="AO215" s="76"/>
      <c r="AP215" s="76"/>
      <c r="AQ215" s="76"/>
      <c r="AR215" s="76"/>
      <c r="AS215" s="76"/>
      <c r="AT215" s="76"/>
      <c r="AU215" s="76"/>
      <c r="AV215" s="76"/>
      <c r="AW215" s="76"/>
      <c r="AX215" s="202"/>
      <c r="AY215" s="63"/>
      <c r="AZ215" s="1"/>
      <c r="BA215" s="1"/>
      <c r="BB215" s="1"/>
      <c r="BC215" s="1"/>
      <c r="BD215" s="1"/>
      <c r="BE215" s="1"/>
      <c r="BF215" s="1"/>
      <c r="BG215" s="1"/>
      <c r="BH215" s="1"/>
      <c r="BI215" s="1"/>
      <c r="BJ215" s="2"/>
      <c r="BK215" s="2"/>
      <c r="BL215" s="212"/>
    </row>
    <row r="216" spans="2:64">
      <c r="B216" s="27"/>
      <c r="C216" s="1"/>
      <c r="D216" s="1"/>
      <c r="E216" s="4"/>
      <c r="F216" s="21"/>
      <c r="G216" s="4"/>
      <c r="H216" s="263"/>
      <c r="I216" s="63"/>
      <c r="J216" s="1"/>
      <c r="K216" s="1"/>
      <c r="L216" s="202"/>
      <c r="M216" s="206"/>
      <c r="N216" s="76"/>
      <c r="O216" s="207"/>
      <c r="P216" s="76"/>
      <c r="Q216" s="76"/>
      <c r="R216" s="76"/>
      <c r="S216" s="76"/>
      <c r="T216" s="76"/>
      <c r="U216" s="76"/>
      <c r="V216" s="76"/>
      <c r="W216" s="76"/>
      <c r="X216" s="76"/>
      <c r="Y216" s="76"/>
      <c r="Z216" s="76"/>
      <c r="AA216" s="76"/>
      <c r="AB216" s="76"/>
      <c r="AC216" s="76"/>
      <c r="AD216" s="63"/>
      <c r="AE216" s="1"/>
      <c r="AF216" s="1"/>
      <c r="AG216" s="1"/>
      <c r="AH216" s="1"/>
      <c r="AI216" s="1"/>
      <c r="AJ216" s="1"/>
      <c r="AK216" s="1"/>
      <c r="AL216" s="1"/>
      <c r="AM216" s="7"/>
      <c r="AN216" s="206"/>
      <c r="AO216" s="76"/>
      <c r="AP216" s="76"/>
      <c r="AQ216" s="76"/>
      <c r="AR216" s="76"/>
      <c r="AS216" s="76"/>
      <c r="AT216" s="76"/>
      <c r="AU216" s="76"/>
      <c r="AV216" s="76"/>
      <c r="AW216" s="76"/>
      <c r="AX216" s="202"/>
      <c r="AY216" s="63"/>
      <c r="AZ216" s="1"/>
      <c r="BA216" s="1"/>
      <c r="BB216" s="1"/>
      <c r="BC216" s="1"/>
      <c r="BD216" s="1"/>
      <c r="BE216" s="1"/>
      <c r="BF216" s="1"/>
      <c r="BG216" s="1"/>
      <c r="BH216" s="1"/>
      <c r="BI216" s="1"/>
      <c r="BJ216" s="2"/>
      <c r="BK216" s="2"/>
      <c r="BL216" s="212"/>
    </row>
    <row r="217" spans="2:64">
      <c r="B217" s="27"/>
      <c r="C217" s="1"/>
      <c r="D217" s="1"/>
      <c r="E217" s="4"/>
      <c r="F217" s="21"/>
      <c r="G217" s="4"/>
      <c r="H217" s="263"/>
      <c r="I217" s="63"/>
      <c r="J217" s="1"/>
      <c r="K217" s="1"/>
      <c r="L217" s="202"/>
      <c r="M217" s="206"/>
      <c r="N217" s="76"/>
      <c r="O217" s="207"/>
      <c r="P217" s="76"/>
      <c r="Q217" s="76"/>
      <c r="R217" s="76"/>
      <c r="S217" s="76"/>
      <c r="T217" s="76"/>
      <c r="U217" s="76"/>
      <c r="V217" s="76"/>
      <c r="W217" s="76"/>
      <c r="X217" s="76"/>
      <c r="Y217" s="76"/>
      <c r="Z217" s="76"/>
      <c r="AA217" s="76"/>
      <c r="AB217" s="76"/>
      <c r="AC217" s="76"/>
      <c r="AD217" s="63"/>
      <c r="AE217" s="1"/>
      <c r="AF217" s="1"/>
      <c r="AG217" s="1"/>
      <c r="AH217" s="1"/>
      <c r="AI217" s="1"/>
      <c r="AJ217" s="1"/>
      <c r="AK217" s="1"/>
      <c r="AL217" s="1"/>
      <c r="AM217" s="7"/>
      <c r="AN217" s="206"/>
      <c r="AO217" s="76"/>
      <c r="AP217" s="76"/>
      <c r="AQ217" s="76"/>
      <c r="AR217" s="76"/>
      <c r="AS217" s="76"/>
      <c r="AT217" s="76"/>
      <c r="AU217" s="76"/>
      <c r="AV217" s="76"/>
      <c r="AW217" s="76"/>
      <c r="AX217" s="202"/>
      <c r="AY217" s="63"/>
      <c r="AZ217" s="1"/>
      <c r="BA217" s="1"/>
      <c r="BB217" s="1"/>
      <c r="BC217" s="1"/>
      <c r="BD217" s="1"/>
      <c r="BE217" s="1"/>
      <c r="BF217" s="1"/>
      <c r="BG217" s="1"/>
      <c r="BH217" s="1"/>
      <c r="BI217" s="1"/>
      <c r="BJ217" s="2"/>
      <c r="BK217" s="2"/>
      <c r="BL217" s="212"/>
    </row>
    <row r="218" spans="2:64">
      <c r="B218" s="27"/>
      <c r="C218" s="1"/>
      <c r="D218" s="1"/>
      <c r="E218" s="4"/>
      <c r="F218" s="21"/>
      <c r="G218" s="4"/>
      <c r="H218" s="263"/>
      <c r="I218" s="63"/>
      <c r="J218" s="1"/>
      <c r="K218" s="1"/>
      <c r="L218" s="202"/>
      <c r="M218" s="206"/>
      <c r="N218" s="76"/>
      <c r="O218" s="207"/>
      <c r="P218" s="76"/>
      <c r="Q218" s="76"/>
      <c r="R218" s="76"/>
      <c r="S218" s="76"/>
      <c r="T218" s="76"/>
      <c r="U218" s="76"/>
      <c r="V218" s="76"/>
      <c r="W218" s="76"/>
      <c r="X218" s="76"/>
      <c r="Y218" s="76"/>
      <c r="Z218" s="76"/>
      <c r="AA218" s="76"/>
      <c r="AB218" s="76"/>
      <c r="AC218" s="76"/>
      <c r="AD218" s="63"/>
      <c r="AE218" s="1"/>
      <c r="AF218" s="1"/>
      <c r="AG218" s="1"/>
      <c r="AH218" s="1"/>
      <c r="AI218" s="1"/>
      <c r="AJ218" s="1"/>
      <c r="AK218" s="1"/>
      <c r="AL218" s="1"/>
      <c r="AM218" s="7"/>
      <c r="AN218" s="206"/>
      <c r="AO218" s="76"/>
      <c r="AP218" s="76"/>
      <c r="AQ218" s="76"/>
      <c r="AR218" s="76"/>
      <c r="AS218" s="76"/>
      <c r="AT218" s="76"/>
      <c r="AU218" s="76"/>
      <c r="AV218" s="76"/>
      <c r="AW218" s="76"/>
      <c r="AX218" s="202"/>
      <c r="AY218" s="63"/>
      <c r="AZ218" s="1"/>
      <c r="BA218" s="1"/>
      <c r="BB218" s="1"/>
      <c r="BC218" s="1"/>
      <c r="BD218" s="1"/>
      <c r="BE218" s="1"/>
      <c r="BF218" s="1"/>
      <c r="BG218" s="1"/>
      <c r="BH218" s="1"/>
      <c r="BI218" s="1"/>
      <c r="BJ218" s="2"/>
      <c r="BK218" s="2"/>
      <c r="BL218" s="212"/>
    </row>
    <row r="219" spans="2:64">
      <c r="B219" s="27"/>
      <c r="C219" s="1"/>
      <c r="D219" s="1"/>
      <c r="E219" s="4"/>
      <c r="F219" s="21"/>
      <c r="G219" s="4"/>
      <c r="H219" s="263"/>
      <c r="I219" s="63"/>
      <c r="J219" s="1"/>
      <c r="K219" s="1"/>
      <c r="L219" s="202"/>
      <c r="M219" s="206"/>
      <c r="N219" s="76"/>
      <c r="O219" s="207"/>
      <c r="P219" s="76"/>
      <c r="Q219" s="76"/>
      <c r="R219" s="76"/>
      <c r="S219" s="76"/>
      <c r="T219" s="76"/>
      <c r="U219" s="76"/>
      <c r="V219" s="76"/>
      <c r="W219" s="76"/>
      <c r="X219" s="76"/>
      <c r="Y219" s="76"/>
      <c r="Z219" s="76"/>
      <c r="AA219" s="76"/>
      <c r="AB219" s="76"/>
      <c r="AC219" s="76"/>
      <c r="AD219" s="63"/>
      <c r="AE219" s="1"/>
      <c r="AF219" s="1"/>
      <c r="AG219" s="1"/>
      <c r="AH219" s="1"/>
      <c r="AI219" s="1"/>
      <c r="AJ219" s="1"/>
      <c r="AK219" s="1"/>
      <c r="AL219" s="1"/>
      <c r="AM219" s="7"/>
      <c r="AN219" s="206"/>
      <c r="AO219" s="76"/>
      <c r="AP219" s="76"/>
      <c r="AQ219" s="76"/>
      <c r="AR219" s="76"/>
      <c r="AS219" s="76"/>
      <c r="AT219" s="76"/>
      <c r="AU219" s="76"/>
      <c r="AV219" s="76"/>
      <c r="AW219" s="76"/>
      <c r="AX219" s="202"/>
      <c r="AY219" s="63"/>
      <c r="AZ219" s="1"/>
      <c r="BA219" s="1"/>
      <c r="BB219" s="1"/>
      <c r="BC219" s="1"/>
      <c r="BD219" s="1"/>
      <c r="BE219" s="1"/>
      <c r="BF219" s="1"/>
      <c r="BG219" s="1"/>
      <c r="BH219" s="1"/>
      <c r="BI219" s="1"/>
      <c r="BJ219" s="2"/>
      <c r="BK219" s="2"/>
      <c r="BL219" s="212"/>
    </row>
    <row r="220" spans="2:64">
      <c r="B220" s="27"/>
      <c r="C220" s="1"/>
      <c r="D220" s="1"/>
      <c r="E220" s="4"/>
      <c r="F220" s="21"/>
      <c r="G220" s="4"/>
      <c r="H220" s="263"/>
      <c r="I220" s="63"/>
      <c r="J220" s="1"/>
      <c r="K220" s="1"/>
      <c r="L220" s="202"/>
      <c r="M220" s="206"/>
      <c r="N220" s="76"/>
      <c r="O220" s="207"/>
      <c r="P220" s="76"/>
      <c r="Q220" s="76"/>
      <c r="R220" s="76"/>
      <c r="S220" s="76"/>
      <c r="T220" s="76"/>
      <c r="U220" s="76"/>
      <c r="V220" s="76"/>
      <c r="W220" s="76"/>
      <c r="X220" s="76"/>
      <c r="Y220" s="76"/>
      <c r="Z220" s="76"/>
      <c r="AA220" s="76"/>
      <c r="AB220" s="76"/>
      <c r="AC220" s="76"/>
      <c r="AD220" s="63"/>
      <c r="AE220" s="1"/>
      <c r="AF220" s="1"/>
      <c r="AG220" s="1"/>
      <c r="AH220" s="1"/>
      <c r="AI220" s="1"/>
      <c r="AJ220" s="1"/>
      <c r="AK220" s="1"/>
      <c r="AL220" s="1"/>
      <c r="AM220" s="7"/>
      <c r="AN220" s="206"/>
      <c r="AO220" s="76"/>
      <c r="AP220" s="76"/>
      <c r="AQ220" s="76"/>
      <c r="AR220" s="76"/>
      <c r="AS220" s="76"/>
      <c r="AT220" s="76"/>
      <c r="AU220" s="76"/>
      <c r="AV220" s="76"/>
      <c r="AW220" s="76"/>
      <c r="AX220" s="202"/>
      <c r="AY220" s="63"/>
      <c r="AZ220" s="1"/>
      <c r="BA220" s="1"/>
      <c r="BB220" s="1"/>
      <c r="BC220" s="1"/>
      <c r="BD220" s="1"/>
      <c r="BE220" s="1"/>
      <c r="BF220" s="1"/>
      <c r="BG220" s="1"/>
      <c r="BH220" s="1"/>
      <c r="BI220" s="1"/>
      <c r="BJ220" s="2"/>
      <c r="BK220" s="2"/>
      <c r="BL220" s="212"/>
    </row>
    <row r="221" spans="2:64">
      <c r="B221" s="27"/>
      <c r="C221" s="1"/>
      <c r="D221" s="1"/>
      <c r="E221" s="4"/>
      <c r="F221" s="21"/>
      <c r="G221" s="4"/>
      <c r="H221" s="263"/>
      <c r="I221" s="63"/>
      <c r="J221" s="1"/>
      <c r="K221" s="1"/>
      <c r="L221" s="202"/>
      <c r="M221" s="206"/>
      <c r="N221" s="76"/>
      <c r="O221" s="207"/>
      <c r="P221" s="76"/>
      <c r="Q221" s="76"/>
      <c r="R221" s="76"/>
      <c r="S221" s="76"/>
      <c r="T221" s="76"/>
      <c r="U221" s="76"/>
      <c r="V221" s="76"/>
      <c r="W221" s="76"/>
      <c r="X221" s="76"/>
      <c r="Y221" s="76"/>
      <c r="Z221" s="76"/>
      <c r="AA221" s="76"/>
      <c r="AB221" s="76"/>
      <c r="AC221" s="76"/>
      <c r="AD221" s="63"/>
      <c r="AE221" s="1"/>
      <c r="AF221" s="1"/>
      <c r="AG221" s="1"/>
      <c r="AH221" s="1"/>
      <c r="AI221" s="1"/>
      <c r="AJ221" s="1"/>
      <c r="AK221" s="1"/>
      <c r="AL221" s="1"/>
      <c r="AM221" s="7"/>
      <c r="AN221" s="206"/>
      <c r="AO221" s="76"/>
      <c r="AP221" s="76"/>
      <c r="AQ221" s="76"/>
      <c r="AR221" s="76"/>
      <c r="AS221" s="76"/>
      <c r="AT221" s="76"/>
      <c r="AU221" s="76"/>
      <c r="AV221" s="76"/>
      <c r="AW221" s="76"/>
      <c r="AX221" s="202"/>
      <c r="AY221" s="63"/>
      <c r="AZ221" s="1"/>
      <c r="BA221" s="1"/>
      <c r="BB221" s="1"/>
      <c r="BC221" s="1"/>
      <c r="BD221" s="1"/>
      <c r="BE221" s="1"/>
      <c r="BF221" s="1"/>
      <c r="BG221" s="1"/>
      <c r="BH221" s="1"/>
      <c r="BI221" s="1"/>
      <c r="BJ221" s="2"/>
      <c r="BK221" s="2"/>
      <c r="BL221" s="212"/>
    </row>
    <row r="222" spans="2:64">
      <c r="B222" s="27"/>
      <c r="C222" s="1"/>
      <c r="D222" s="1"/>
      <c r="E222" s="4"/>
      <c r="F222" s="21"/>
      <c r="G222" s="4"/>
      <c r="H222" s="263"/>
      <c r="I222" s="63"/>
      <c r="J222" s="1"/>
      <c r="K222" s="1"/>
      <c r="L222" s="202"/>
      <c r="M222" s="206"/>
      <c r="N222" s="76"/>
      <c r="O222" s="207"/>
      <c r="P222" s="76"/>
      <c r="Q222" s="76"/>
      <c r="R222" s="76"/>
      <c r="S222" s="76"/>
      <c r="T222" s="76"/>
      <c r="U222" s="76"/>
      <c r="V222" s="76"/>
      <c r="W222" s="76"/>
      <c r="X222" s="76"/>
      <c r="Y222" s="76"/>
      <c r="Z222" s="76"/>
      <c r="AA222" s="76"/>
      <c r="AB222" s="76"/>
      <c r="AC222" s="76"/>
      <c r="AD222" s="63"/>
      <c r="AE222" s="1"/>
      <c r="AF222" s="1"/>
      <c r="AG222" s="1"/>
      <c r="AH222" s="1"/>
      <c r="AI222" s="1"/>
      <c r="AJ222" s="1"/>
      <c r="AK222" s="1"/>
      <c r="AL222" s="1"/>
      <c r="AM222" s="7"/>
      <c r="AN222" s="206"/>
      <c r="AO222" s="76"/>
      <c r="AP222" s="76"/>
      <c r="AQ222" s="76"/>
      <c r="AR222" s="76"/>
      <c r="AS222" s="76"/>
      <c r="AT222" s="76"/>
      <c r="AU222" s="76"/>
      <c r="AV222" s="76"/>
      <c r="AW222" s="76"/>
      <c r="AX222" s="202"/>
      <c r="AY222" s="63"/>
      <c r="AZ222" s="1"/>
      <c r="BA222" s="1"/>
      <c r="BB222" s="1"/>
      <c r="BC222" s="1"/>
      <c r="BD222" s="1"/>
      <c r="BE222" s="1"/>
      <c r="BF222" s="1"/>
      <c r="BG222" s="1"/>
      <c r="BH222" s="1"/>
      <c r="BI222" s="1"/>
      <c r="BJ222" s="2"/>
      <c r="BK222" s="2"/>
      <c r="BL222" s="212"/>
    </row>
    <row r="223" spans="2:64">
      <c r="B223" s="27"/>
      <c r="C223" s="1"/>
      <c r="D223" s="1"/>
      <c r="E223" s="4"/>
      <c r="F223" s="21"/>
      <c r="G223" s="4"/>
      <c r="H223" s="263"/>
      <c r="I223" s="63"/>
      <c r="J223" s="1"/>
      <c r="K223" s="1"/>
      <c r="L223" s="202"/>
      <c r="M223" s="206"/>
      <c r="N223" s="76"/>
      <c r="O223" s="207"/>
      <c r="P223" s="76"/>
      <c r="Q223" s="76"/>
      <c r="R223" s="76"/>
      <c r="S223" s="76"/>
      <c r="T223" s="76"/>
      <c r="U223" s="76"/>
      <c r="V223" s="76"/>
      <c r="W223" s="76"/>
      <c r="X223" s="76"/>
      <c r="Y223" s="76"/>
      <c r="Z223" s="76"/>
      <c r="AA223" s="76"/>
      <c r="AB223" s="76"/>
      <c r="AC223" s="76"/>
      <c r="AD223" s="63"/>
      <c r="AE223" s="1"/>
      <c r="AF223" s="1"/>
      <c r="AG223" s="1"/>
      <c r="AH223" s="1"/>
      <c r="AI223" s="1"/>
      <c r="AJ223" s="1"/>
      <c r="AK223" s="1"/>
      <c r="AL223" s="1"/>
      <c r="AM223" s="7"/>
      <c r="AN223" s="206"/>
      <c r="AO223" s="76"/>
      <c r="AP223" s="76"/>
      <c r="AQ223" s="76"/>
      <c r="AR223" s="76"/>
      <c r="AS223" s="76"/>
      <c r="AT223" s="76"/>
      <c r="AU223" s="76"/>
      <c r="AV223" s="76"/>
      <c r="AW223" s="76"/>
      <c r="AX223" s="202"/>
      <c r="AY223" s="63"/>
      <c r="AZ223" s="1"/>
      <c r="BA223" s="1"/>
      <c r="BB223" s="1"/>
      <c r="BC223" s="1"/>
      <c r="BD223" s="1"/>
      <c r="BE223" s="1"/>
      <c r="BF223" s="1"/>
      <c r="BG223" s="1"/>
      <c r="BH223" s="1"/>
      <c r="BI223" s="1"/>
      <c r="BJ223" s="2"/>
      <c r="BK223" s="2"/>
      <c r="BL223" s="212"/>
    </row>
    <row r="224" spans="2:64">
      <c r="B224" s="27"/>
      <c r="C224" s="1"/>
      <c r="D224" s="1"/>
      <c r="E224" s="4"/>
      <c r="F224" s="21"/>
      <c r="G224" s="4"/>
      <c r="H224" s="263"/>
      <c r="I224" s="63"/>
      <c r="J224" s="1"/>
      <c r="K224" s="1"/>
      <c r="L224" s="202"/>
      <c r="M224" s="206"/>
      <c r="N224" s="76"/>
      <c r="O224" s="207"/>
      <c r="P224" s="76"/>
      <c r="Q224" s="76"/>
      <c r="R224" s="76"/>
      <c r="S224" s="76"/>
      <c r="T224" s="76"/>
      <c r="U224" s="76"/>
      <c r="V224" s="76"/>
      <c r="W224" s="76"/>
      <c r="X224" s="76"/>
      <c r="Y224" s="76"/>
      <c r="Z224" s="76"/>
      <c r="AA224" s="76"/>
      <c r="AB224" s="76"/>
      <c r="AC224" s="76"/>
      <c r="AD224" s="63"/>
      <c r="AE224" s="1"/>
      <c r="AF224" s="1"/>
      <c r="AG224" s="1"/>
      <c r="AH224" s="1"/>
      <c r="AI224" s="1"/>
      <c r="AJ224" s="1"/>
      <c r="AK224" s="1"/>
      <c r="AL224" s="1"/>
      <c r="AM224" s="7"/>
      <c r="AN224" s="206"/>
      <c r="AO224" s="76"/>
      <c r="AP224" s="76"/>
      <c r="AQ224" s="76"/>
      <c r="AR224" s="76"/>
      <c r="AS224" s="76"/>
      <c r="AT224" s="76"/>
      <c r="AU224" s="76"/>
      <c r="AV224" s="76"/>
      <c r="AW224" s="76"/>
      <c r="AX224" s="202"/>
      <c r="AY224" s="63"/>
      <c r="AZ224" s="1"/>
      <c r="BA224" s="1"/>
      <c r="BB224" s="1"/>
      <c r="BC224" s="1"/>
      <c r="BD224" s="1"/>
      <c r="BE224" s="1"/>
      <c r="BF224" s="1"/>
      <c r="BG224" s="1"/>
      <c r="BH224" s="1"/>
      <c r="BI224" s="1"/>
      <c r="BJ224" s="2"/>
      <c r="BK224" s="2"/>
      <c r="BL224" s="212"/>
    </row>
    <row r="225" spans="2:64">
      <c r="B225" s="27"/>
      <c r="C225" s="1"/>
      <c r="D225" s="1"/>
      <c r="E225" s="4"/>
      <c r="F225" s="21"/>
      <c r="G225" s="4"/>
      <c r="H225" s="263"/>
      <c r="I225" s="63"/>
      <c r="J225" s="1"/>
      <c r="K225" s="1"/>
      <c r="L225" s="202"/>
      <c r="M225" s="206"/>
      <c r="N225" s="76"/>
      <c r="O225" s="207"/>
      <c r="P225" s="76"/>
      <c r="Q225" s="76"/>
      <c r="R225" s="76"/>
      <c r="S225" s="76"/>
      <c r="T225" s="76"/>
      <c r="U225" s="76"/>
      <c r="V225" s="76"/>
      <c r="W225" s="76"/>
      <c r="X225" s="76"/>
      <c r="Y225" s="76"/>
      <c r="Z225" s="76"/>
      <c r="AA225" s="76"/>
      <c r="AB225" s="76"/>
      <c r="AC225" s="76"/>
      <c r="AD225" s="63"/>
      <c r="AE225" s="1"/>
      <c r="AF225" s="1"/>
      <c r="AG225" s="1"/>
      <c r="AH225" s="1"/>
      <c r="AI225" s="1"/>
      <c r="AJ225" s="1"/>
      <c r="AK225" s="1"/>
      <c r="AL225" s="1"/>
      <c r="AM225" s="7"/>
      <c r="AN225" s="206"/>
      <c r="AO225" s="76"/>
      <c r="AP225" s="76"/>
      <c r="AQ225" s="76"/>
      <c r="AR225" s="76"/>
      <c r="AS225" s="76"/>
      <c r="AT225" s="76"/>
      <c r="AU225" s="76"/>
      <c r="AV225" s="76"/>
      <c r="AW225" s="76"/>
      <c r="AX225" s="202"/>
      <c r="AY225" s="63"/>
      <c r="AZ225" s="1"/>
      <c r="BA225" s="1"/>
      <c r="BB225" s="1"/>
      <c r="BC225" s="1"/>
      <c r="BD225" s="1"/>
      <c r="BE225" s="1"/>
      <c r="BF225" s="1"/>
      <c r="BG225" s="1"/>
      <c r="BH225" s="1"/>
      <c r="BI225" s="1"/>
      <c r="BJ225" s="2"/>
      <c r="BK225" s="2"/>
      <c r="BL225" s="212"/>
    </row>
    <row r="226" spans="2:64">
      <c r="B226" s="27"/>
      <c r="C226" s="1"/>
      <c r="D226" s="1"/>
      <c r="E226" s="4"/>
      <c r="F226" s="21"/>
      <c r="G226" s="4"/>
      <c r="H226" s="263"/>
      <c r="I226" s="63"/>
      <c r="J226" s="1"/>
      <c r="K226" s="1"/>
      <c r="L226" s="202"/>
      <c r="M226" s="206"/>
      <c r="N226" s="76"/>
      <c r="O226" s="207"/>
      <c r="P226" s="76"/>
      <c r="Q226" s="76"/>
      <c r="R226" s="76"/>
      <c r="S226" s="76"/>
      <c r="T226" s="76"/>
      <c r="U226" s="76"/>
      <c r="V226" s="76"/>
      <c r="W226" s="76"/>
      <c r="X226" s="76"/>
      <c r="Y226" s="76"/>
      <c r="Z226" s="76"/>
      <c r="AA226" s="76"/>
      <c r="AB226" s="76"/>
      <c r="AC226" s="76"/>
      <c r="AD226" s="63"/>
      <c r="AE226" s="1"/>
      <c r="AF226" s="1"/>
      <c r="AG226" s="1"/>
      <c r="AH226" s="1"/>
      <c r="AI226" s="1"/>
      <c r="AJ226" s="1"/>
      <c r="AK226" s="1"/>
      <c r="AL226" s="1"/>
      <c r="AM226" s="7"/>
      <c r="AN226" s="206"/>
      <c r="AO226" s="76"/>
      <c r="AP226" s="76"/>
      <c r="AQ226" s="76"/>
      <c r="AR226" s="76"/>
      <c r="AS226" s="76"/>
      <c r="AT226" s="76"/>
      <c r="AU226" s="76"/>
      <c r="AV226" s="76"/>
      <c r="AW226" s="76"/>
      <c r="AX226" s="202"/>
      <c r="AY226" s="63"/>
      <c r="AZ226" s="1"/>
      <c r="BA226" s="1"/>
      <c r="BB226" s="1"/>
      <c r="BC226" s="1"/>
      <c r="BD226" s="1"/>
      <c r="BE226" s="1"/>
      <c r="BF226" s="1"/>
      <c r="BG226" s="1"/>
      <c r="BH226" s="1"/>
      <c r="BI226" s="1"/>
      <c r="BJ226" s="2"/>
      <c r="BK226" s="2"/>
      <c r="BL226" s="212"/>
    </row>
    <row r="227" spans="2:64">
      <c r="B227" s="27"/>
      <c r="C227" s="1"/>
      <c r="D227" s="1"/>
      <c r="E227" s="4"/>
      <c r="F227" s="21"/>
      <c r="G227" s="4"/>
      <c r="H227" s="263"/>
      <c r="I227" s="63"/>
      <c r="J227" s="1"/>
      <c r="K227" s="1"/>
      <c r="L227" s="202"/>
      <c r="M227" s="206"/>
      <c r="N227" s="76"/>
      <c r="O227" s="207"/>
      <c r="P227" s="76"/>
      <c r="Q227" s="76"/>
      <c r="R227" s="76"/>
      <c r="S227" s="76"/>
      <c r="T227" s="76"/>
      <c r="U227" s="76"/>
      <c r="V227" s="76"/>
      <c r="W227" s="76"/>
      <c r="X227" s="76"/>
      <c r="Y227" s="76"/>
      <c r="Z227" s="76"/>
      <c r="AA227" s="76"/>
      <c r="AB227" s="76"/>
      <c r="AC227" s="76"/>
      <c r="AD227" s="63"/>
      <c r="AE227" s="1"/>
      <c r="AF227" s="1"/>
      <c r="AG227" s="1"/>
      <c r="AH227" s="1"/>
      <c r="AI227" s="1"/>
      <c r="AJ227" s="1"/>
      <c r="AK227" s="1"/>
      <c r="AL227" s="1"/>
      <c r="AM227" s="7"/>
      <c r="AN227" s="206"/>
      <c r="AO227" s="76"/>
      <c r="AP227" s="76"/>
      <c r="AQ227" s="76"/>
      <c r="AR227" s="76"/>
      <c r="AS227" s="76"/>
      <c r="AT227" s="76"/>
      <c r="AU227" s="76"/>
      <c r="AV227" s="76"/>
      <c r="AW227" s="76"/>
      <c r="AX227" s="202"/>
      <c r="AY227" s="63"/>
      <c r="AZ227" s="1"/>
      <c r="BA227" s="1"/>
      <c r="BB227" s="1"/>
      <c r="BC227" s="1"/>
      <c r="BD227" s="1"/>
      <c r="BE227" s="1"/>
      <c r="BF227" s="1"/>
      <c r="BG227" s="1"/>
      <c r="BH227" s="1"/>
      <c r="BI227" s="1"/>
      <c r="BJ227" s="2"/>
      <c r="BK227" s="2"/>
      <c r="BL227" s="212"/>
    </row>
    <row r="228" spans="2:64">
      <c r="B228" s="27"/>
      <c r="C228" s="1"/>
      <c r="D228" s="1"/>
      <c r="E228" s="4"/>
      <c r="F228" s="21"/>
      <c r="G228" s="4"/>
      <c r="H228" s="263"/>
      <c r="I228" s="63"/>
      <c r="J228" s="1"/>
      <c r="K228" s="1"/>
      <c r="L228" s="202"/>
      <c r="M228" s="206"/>
      <c r="N228" s="76"/>
      <c r="O228" s="207"/>
      <c r="P228" s="76"/>
      <c r="Q228" s="76"/>
      <c r="R228" s="76"/>
      <c r="S228" s="76"/>
      <c r="T228" s="76"/>
      <c r="U228" s="76"/>
      <c r="V228" s="76"/>
      <c r="W228" s="76"/>
      <c r="X228" s="76"/>
      <c r="Y228" s="76"/>
      <c r="Z228" s="76"/>
      <c r="AA228" s="76"/>
      <c r="AB228" s="76"/>
      <c r="AC228" s="76"/>
      <c r="AD228" s="63"/>
      <c r="AE228" s="1"/>
      <c r="AF228" s="1"/>
      <c r="AG228" s="1"/>
      <c r="AH228" s="1"/>
      <c r="AI228" s="1"/>
      <c r="AJ228" s="1"/>
      <c r="AK228" s="1"/>
      <c r="AL228" s="1"/>
      <c r="AM228" s="7"/>
      <c r="AN228" s="206"/>
      <c r="AO228" s="76"/>
      <c r="AP228" s="76"/>
      <c r="AQ228" s="76"/>
      <c r="AR228" s="76"/>
      <c r="AS228" s="76"/>
      <c r="AT228" s="76"/>
      <c r="AU228" s="76"/>
      <c r="AV228" s="76"/>
      <c r="AW228" s="76"/>
      <c r="AX228" s="202"/>
      <c r="AY228" s="63"/>
      <c r="AZ228" s="1"/>
      <c r="BA228" s="1"/>
      <c r="BB228" s="1"/>
      <c r="BC228" s="1"/>
      <c r="BD228" s="1"/>
      <c r="BE228" s="1"/>
      <c r="BF228" s="1"/>
      <c r="BG228" s="1"/>
      <c r="BH228" s="1"/>
      <c r="BI228" s="1"/>
      <c r="BJ228" s="2"/>
      <c r="BK228" s="2"/>
      <c r="BL228" s="212"/>
    </row>
    <row r="229" spans="2:64">
      <c r="B229" s="27"/>
      <c r="C229" s="1"/>
      <c r="D229" s="1"/>
      <c r="E229" s="4"/>
      <c r="F229" s="21"/>
      <c r="G229" s="4"/>
      <c r="H229" s="263"/>
      <c r="I229" s="63"/>
      <c r="J229" s="1"/>
      <c r="K229" s="1"/>
      <c r="L229" s="202"/>
      <c r="M229" s="206"/>
      <c r="N229" s="76"/>
      <c r="O229" s="207"/>
      <c r="P229" s="76"/>
      <c r="Q229" s="76"/>
      <c r="R229" s="76"/>
      <c r="S229" s="76"/>
      <c r="T229" s="76"/>
      <c r="U229" s="76"/>
      <c r="V229" s="76"/>
      <c r="W229" s="76"/>
      <c r="X229" s="76"/>
      <c r="Y229" s="76"/>
      <c r="Z229" s="76"/>
      <c r="AA229" s="76"/>
      <c r="AB229" s="76"/>
      <c r="AC229" s="76"/>
      <c r="AD229" s="63"/>
      <c r="AE229" s="1"/>
      <c r="AF229" s="1"/>
      <c r="AG229" s="1"/>
      <c r="AH229" s="1"/>
      <c r="AI229" s="1"/>
      <c r="AJ229" s="1"/>
      <c r="AK229" s="1"/>
      <c r="AL229" s="1"/>
      <c r="AM229" s="7"/>
      <c r="AN229" s="206"/>
      <c r="AO229" s="76"/>
      <c r="AP229" s="76"/>
      <c r="AQ229" s="76"/>
      <c r="AR229" s="76"/>
      <c r="AS229" s="76"/>
      <c r="AT229" s="76"/>
      <c r="AU229" s="76"/>
      <c r="AV229" s="76"/>
      <c r="AW229" s="76"/>
      <c r="AX229" s="202"/>
      <c r="AY229" s="63"/>
      <c r="AZ229" s="1"/>
      <c r="BA229" s="1"/>
      <c r="BB229" s="1"/>
      <c r="BC229" s="1"/>
      <c r="BD229" s="1"/>
      <c r="BE229" s="1"/>
      <c r="BF229" s="1"/>
      <c r="BG229" s="1"/>
      <c r="BH229" s="1"/>
      <c r="BI229" s="1"/>
      <c r="BJ229" s="2"/>
      <c r="BK229" s="2"/>
      <c r="BL229" s="212"/>
    </row>
    <row r="230" spans="2:64">
      <c r="B230" s="27"/>
      <c r="C230" s="1"/>
      <c r="D230" s="1"/>
      <c r="E230" s="4"/>
      <c r="F230" s="21"/>
      <c r="G230" s="4"/>
      <c r="H230" s="263"/>
      <c r="I230" s="63"/>
      <c r="J230" s="1"/>
      <c r="K230" s="1"/>
      <c r="L230" s="202"/>
      <c r="M230" s="206"/>
      <c r="N230" s="76"/>
      <c r="O230" s="207"/>
      <c r="P230" s="76"/>
      <c r="Q230" s="76"/>
      <c r="R230" s="76"/>
      <c r="S230" s="76"/>
      <c r="T230" s="76"/>
      <c r="U230" s="76"/>
      <c r="V230" s="76"/>
      <c r="W230" s="76"/>
      <c r="X230" s="76"/>
      <c r="Y230" s="76"/>
      <c r="Z230" s="76"/>
      <c r="AA230" s="76"/>
      <c r="AB230" s="76"/>
      <c r="AC230" s="76"/>
      <c r="AD230" s="63"/>
      <c r="AE230" s="1"/>
      <c r="AF230" s="1"/>
      <c r="AG230" s="1"/>
      <c r="AH230" s="1"/>
      <c r="AI230" s="1"/>
      <c r="AJ230" s="1"/>
      <c r="AK230" s="1"/>
      <c r="AL230" s="1"/>
      <c r="AM230" s="7"/>
      <c r="AN230" s="206"/>
      <c r="AO230" s="76"/>
      <c r="AP230" s="76"/>
      <c r="AQ230" s="76"/>
      <c r="AR230" s="76"/>
      <c r="AS230" s="76"/>
      <c r="AT230" s="76"/>
      <c r="AU230" s="76"/>
      <c r="AV230" s="76"/>
      <c r="AW230" s="76"/>
      <c r="AX230" s="202"/>
      <c r="AY230" s="63"/>
      <c r="AZ230" s="1"/>
      <c r="BA230" s="1"/>
      <c r="BB230" s="1"/>
      <c r="BC230" s="1"/>
      <c r="BD230" s="1"/>
      <c r="BE230" s="1"/>
      <c r="BF230" s="1"/>
      <c r="BG230" s="1"/>
      <c r="BH230" s="1"/>
      <c r="BI230" s="1"/>
      <c r="BJ230" s="2"/>
      <c r="BK230" s="2"/>
      <c r="BL230" s="212"/>
    </row>
    <row r="231" spans="2:64">
      <c r="B231" s="27"/>
      <c r="C231" s="1"/>
      <c r="D231" s="1"/>
      <c r="E231" s="4"/>
      <c r="F231" s="21"/>
      <c r="G231" s="4"/>
      <c r="H231" s="263"/>
      <c r="I231" s="63"/>
      <c r="J231" s="1"/>
      <c r="K231" s="1"/>
      <c r="L231" s="202"/>
      <c r="M231" s="206"/>
      <c r="N231" s="76"/>
      <c r="O231" s="207"/>
      <c r="P231" s="76"/>
      <c r="Q231" s="76"/>
      <c r="R231" s="76"/>
      <c r="S231" s="76"/>
      <c r="T231" s="76"/>
      <c r="U231" s="76"/>
      <c r="V231" s="76"/>
      <c r="W231" s="76"/>
      <c r="X231" s="76"/>
      <c r="Y231" s="76"/>
      <c r="Z231" s="76"/>
      <c r="AA231" s="76"/>
      <c r="AB231" s="76"/>
      <c r="AC231" s="76"/>
      <c r="AD231" s="63"/>
      <c r="AE231" s="1"/>
      <c r="AF231" s="1"/>
      <c r="AG231" s="1"/>
      <c r="AH231" s="1"/>
      <c r="AI231" s="1"/>
      <c r="AJ231" s="1"/>
      <c r="AK231" s="1"/>
      <c r="AL231" s="1"/>
      <c r="AM231" s="7"/>
      <c r="AN231" s="206"/>
      <c r="AO231" s="76"/>
      <c r="AP231" s="76"/>
      <c r="AQ231" s="76"/>
      <c r="AR231" s="76"/>
      <c r="AS231" s="76"/>
      <c r="AT231" s="76"/>
      <c r="AU231" s="76"/>
      <c r="AV231" s="76"/>
      <c r="AW231" s="76"/>
      <c r="AX231" s="202"/>
      <c r="AY231" s="63"/>
      <c r="AZ231" s="1"/>
      <c r="BA231" s="1"/>
      <c r="BB231" s="1"/>
      <c r="BC231" s="1"/>
      <c r="BD231" s="1"/>
      <c r="BE231" s="1"/>
      <c r="BF231" s="1"/>
      <c r="BG231" s="1"/>
      <c r="BH231" s="1"/>
      <c r="BI231" s="1"/>
      <c r="BJ231" s="2"/>
      <c r="BK231" s="2"/>
      <c r="BL231" s="212"/>
    </row>
    <row r="232" spans="2:64">
      <c r="B232" s="27"/>
      <c r="C232" s="1"/>
      <c r="D232" s="1"/>
      <c r="E232" s="4"/>
      <c r="F232" s="21"/>
      <c r="G232" s="4"/>
      <c r="H232" s="263"/>
      <c r="I232" s="63"/>
      <c r="J232" s="1"/>
      <c r="K232" s="1"/>
      <c r="L232" s="202"/>
      <c r="M232" s="206"/>
      <c r="N232" s="76"/>
      <c r="O232" s="207"/>
      <c r="P232" s="76"/>
      <c r="Q232" s="76"/>
      <c r="R232" s="76"/>
      <c r="S232" s="76"/>
      <c r="T232" s="76"/>
      <c r="U232" s="76"/>
      <c r="V232" s="76"/>
      <c r="W232" s="76"/>
      <c r="X232" s="76"/>
      <c r="Y232" s="76"/>
      <c r="Z232" s="76"/>
      <c r="AA232" s="76"/>
      <c r="AB232" s="76"/>
      <c r="AC232" s="76"/>
      <c r="AD232" s="63"/>
      <c r="AE232" s="1"/>
      <c r="AF232" s="1"/>
      <c r="AG232" s="1"/>
      <c r="AH232" s="1"/>
      <c r="AI232" s="1"/>
      <c r="AJ232" s="1"/>
      <c r="AK232" s="1"/>
      <c r="AL232" s="1"/>
      <c r="AM232" s="7"/>
      <c r="AN232" s="206"/>
      <c r="AO232" s="76"/>
      <c r="AP232" s="76"/>
      <c r="AQ232" s="76"/>
      <c r="AR232" s="76"/>
      <c r="AS232" s="76"/>
      <c r="AT232" s="76"/>
      <c r="AU232" s="76"/>
      <c r="AV232" s="76"/>
      <c r="AW232" s="76"/>
      <c r="AX232" s="202"/>
      <c r="AY232" s="63"/>
      <c r="AZ232" s="1"/>
      <c r="BA232" s="1"/>
      <c r="BB232" s="1"/>
      <c r="BC232" s="1"/>
      <c r="BD232" s="1"/>
      <c r="BE232" s="1"/>
      <c r="BF232" s="1"/>
      <c r="BG232" s="1"/>
      <c r="BH232" s="1"/>
      <c r="BI232" s="1"/>
      <c r="BJ232" s="2"/>
      <c r="BK232" s="2"/>
      <c r="BL232" s="212"/>
    </row>
    <row r="233" spans="2:64">
      <c r="B233" s="27"/>
      <c r="C233" s="1"/>
      <c r="D233" s="1"/>
      <c r="E233" s="4"/>
      <c r="F233" s="21"/>
      <c r="G233" s="4"/>
      <c r="H233" s="263"/>
      <c r="I233" s="63"/>
      <c r="J233" s="1"/>
      <c r="K233" s="1"/>
      <c r="L233" s="202"/>
      <c r="M233" s="206"/>
      <c r="N233" s="76"/>
      <c r="O233" s="207"/>
      <c r="P233" s="76"/>
      <c r="Q233" s="76"/>
      <c r="R233" s="76"/>
      <c r="S233" s="76"/>
      <c r="T233" s="76"/>
      <c r="U233" s="76"/>
      <c r="V233" s="76"/>
      <c r="W233" s="76"/>
      <c r="X233" s="76"/>
      <c r="Y233" s="76"/>
      <c r="Z233" s="76"/>
      <c r="AA233" s="76"/>
      <c r="AB233" s="76"/>
      <c r="AC233" s="76"/>
      <c r="AD233" s="63"/>
      <c r="AE233" s="1"/>
      <c r="AF233" s="1"/>
      <c r="AG233" s="1"/>
      <c r="AH233" s="1"/>
      <c r="AI233" s="1"/>
      <c r="AJ233" s="1"/>
      <c r="AK233" s="1"/>
      <c r="AL233" s="1"/>
      <c r="AM233" s="7"/>
      <c r="AN233" s="206"/>
      <c r="AO233" s="76"/>
      <c r="AP233" s="76"/>
      <c r="AQ233" s="76"/>
      <c r="AR233" s="76"/>
      <c r="AS233" s="76"/>
      <c r="AT233" s="76"/>
      <c r="AU233" s="76"/>
      <c r="AV233" s="76"/>
      <c r="AW233" s="76"/>
      <c r="AX233" s="202"/>
      <c r="AY233" s="63"/>
      <c r="AZ233" s="1"/>
      <c r="BA233" s="1"/>
      <c r="BB233" s="1"/>
      <c r="BC233" s="1"/>
      <c r="BD233" s="1"/>
      <c r="BE233" s="1"/>
      <c r="BF233" s="1"/>
      <c r="BG233" s="1"/>
      <c r="BH233" s="1"/>
      <c r="BI233" s="1"/>
      <c r="BJ233" s="2"/>
      <c r="BK233" s="2"/>
      <c r="BL233" s="212"/>
    </row>
    <row r="234" spans="2:64">
      <c r="B234" s="27"/>
      <c r="C234" s="1"/>
      <c r="D234" s="1"/>
      <c r="E234" s="4"/>
      <c r="F234" s="21"/>
      <c r="G234" s="4"/>
      <c r="H234" s="263"/>
      <c r="I234" s="63"/>
      <c r="J234" s="1"/>
      <c r="K234" s="1"/>
      <c r="L234" s="202"/>
      <c r="M234" s="206"/>
      <c r="N234" s="76"/>
      <c r="O234" s="207"/>
      <c r="P234" s="76"/>
      <c r="Q234" s="76"/>
      <c r="R234" s="76"/>
      <c r="S234" s="76"/>
      <c r="T234" s="76"/>
      <c r="U234" s="76"/>
      <c r="V234" s="76"/>
      <c r="W234" s="76"/>
      <c r="X234" s="76"/>
      <c r="Y234" s="76"/>
      <c r="Z234" s="76"/>
      <c r="AA234" s="76"/>
      <c r="AB234" s="76"/>
      <c r="AC234" s="76"/>
      <c r="AD234" s="63"/>
      <c r="AE234" s="1"/>
      <c r="AF234" s="1"/>
      <c r="AG234" s="1"/>
      <c r="AH234" s="1"/>
      <c r="AI234" s="1"/>
      <c r="AJ234" s="1"/>
      <c r="AK234" s="1"/>
      <c r="AL234" s="1"/>
      <c r="AM234" s="7"/>
      <c r="AN234" s="206"/>
      <c r="AO234" s="76"/>
      <c r="AP234" s="76"/>
      <c r="AQ234" s="76"/>
      <c r="AR234" s="76"/>
      <c r="AS234" s="76"/>
      <c r="AT234" s="76"/>
      <c r="AU234" s="76"/>
      <c r="AV234" s="76"/>
      <c r="AW234" s="76"/>
      <c r="AX234" s="202"/>
      <c r="AY234" s="63"/>
      <c r="AZ234" s="1"/>
      <c r="BA234" s="1"/>
      <c r="BB234" s="1"/>
      <c r="BC234" s="1"/>
      <c r="BD234" s="1"/>
      <c r="BE234" s="1"/>
      <c r="BF234" s="1"/>
      <c r="BG234" s="1"/>
      <c r="BH234" s="1"/>
      <c r="BI234" s="1"/>
      <c r="BJ234" s="2"/>
      <c r="BK234" s="2"/>
      <c r="BL234" s="212"/>
    </row>
    <row r="235" spans="2:64">
      <c r="B235" s="27"/>
      <c r="C235" s="1"/>
      <c r="D235" s="1"/>
      <c r="E235" s="4"/>
      <c r="F235" s="21"/>
      <c r="G235" s="4"/>
      <c r="H235" s="263"/>
      <c r="I235" s="63"/>
      <c r="J235" s="1"/>
      <c r="K235" s="1"/>
      <c r="L235" s="202"/>
      <c r="M235" s="206"/>
      <c r="N235" s="76"/>
      <c r="O235" s="207"/>
      <c r="P235" s="76"/>
      <c r="Q235" s="76"/>
      <c r="R235" s="76"/>
      <c r="S235" s="76"/>
      <c r="T235" s="76"/>
      <c r="U235" s="76"/>
      <c r="V235" s="76"/>
      <c r="W235" s="76"/>
      <c r="X235" s="76"/>
      <c r="Y235" s="76"/>
      <c r="Z235" s="76"/>
      <c r="AA235" s="76"/>
      <c r="AB235" s="76"/>
      <c r="AC235" s="76"/>
      <c r="AD235" s="63"/>
      <c r="AE235" s="1"/>
      <c r="AF235" s="1"/>
      <c r="AG235" s="1"/>
      <c r="AH235" s="1"/>
      <c r="AI235" s="1"/>
      <c r="AJ235" s="1"/>
      <c r="AK235" s="1"/>
      <c r="AL235" s="1"/>
      <c r="AM235" s="7"/>
      <c r="AN235" s="206"/>
      <c r="AO235" s="76"/>
      <c r="AP235" s="76"/>
      <c r="AQ235" s="76"/>
      <c r="AR235" s="76"/>
      <c r="AS235" s="76"/>
      <c r="AT235" s="76"/>
      <c r="AU235" s="76"/>
      <c r="AV235" s="76"/>
      <c r="AW235" s="76"/>
      <c r="AX235" s="202"/>
      <c r="AY235" s="63"/>
      <c r="AZ235" s="1"/>
      <c r="BA235" s="1"/>
      <c r="BB235" s="1"/>
      <c r="BC235" s="1"/>
      <c r="BD235" s="1"/>
      <c r="BE235" s="1"/>
      <c r="BF235" s="1"/>
      <c r="BG235" s="1"/>
      <c r="BH235" s="1"/>
      <c r="BI235" s="1"/>
      <c r="BJ235" s="2"/>
      <c r="BK235" s="2"/>
      <c r="BL235" s="212"/>
    </row>
    <row r="236" spans="2:64">
      <c r="B236" s="27"/>
      <c r="C236" s="1"/>
      <c r="D236" s="1"/>
      <c r="E236" s="4"/>
      <c r="F236" s="21"/>
      <c r="G236" s="4"/>
      <c r="H236" s="263"/>
      <c r="I236" s="63"/>
      <c r="J236" s="1"/>
      <c r="K236" s="1"/>
      <c r="L236" s="202"/>
      <c r="M236" s="206"/>
      <c r="N236" s="76"/>
      <c r="O236" s="207"/>
      <c r="P236" s="76"/>
      <c r="Q236" s="76"/>
      <c r="R236" s="76"/>
      <c r="S236" s="76"/>
      <c r="T236" s="76"/>
      <c r="U236" s="76"/>
      <c r="V236" s="76"/>
      <c r="W236" s="76"/>
      <c r="X236" s="76"/>
      <c r="Y236" s="76"/>
      <c r="Z236" s="76"/>
      <c r="AA236" s="76"/>
      <c r="AB236" s="76"/>
      <c r="AC236" s="76"/>
      <c r="AD236" s="63"/>
      <c r="AE236" s="1"/>
      <c r="AF236" s="1"/>
      <c r="AG236" s="1"/>
      <c r="AH236" s="1"/>
      <c r="AI236" s="1"/>
      <c r="AJ236" s="1"/>
      <c r="AK236" s="1"/>
      <c r="AL236" s="1"/>
      <c r="AM236" s="7"/>
      <c r="AN236" s="206"/>
      <c r="AO236" s="76"/>
      <c r="AP236" s="76"/>
      <c r="AQ236" s="76"/>
      <c r="AR236" s="76"/>
      <c r="AS236" s="76"/>
      <c r="AT236" s="76"/>
      <c r="AU236" s="76"/>
      <c r="AV236" s="76"/>
      <c r="AW236" s="76"/>
      <c r="AX236" s="202"/>
      <c r="AY236" s="63"/>
      <c r="AZ236" s="1"/>
      <c r="BA236" s="1"/>
      <c r="BB236" s="1"/>
      <c r="BC236" s="1"/>
      <c r="BD236" s="1"/>
      <c r="BE236" s="1"/>
      <c r="BF236" s="1"/>
      <c r="BG236" s="1"/>
      <c r="BH236" s="1"/>
      <c r="BI236" s="1"/>
      <c r="BJ236" s="2"/>
      <c r="BK236" s="2"/>
      <c r="BL236" s="212"/>
    </row>
    <row r="237" spans="2:64">
      <c r="B237" s="27"/>
      <c r="C237" s="1"/>
      <c r="D237" s="1"/>
      <c r="E237" s="4"/>
      <c r="F237" s="21"/>
      <c r="G237" s="4"/>
      <c r="H237" s="263"/>
      <c r="I237" s="63"/>
      <c r="J237" s="1"/>
      <c r="K237" s="1"/>
      <c r="L237" s="202"/>
      <c r="M237" s="206"/>
      <c r="N237" s="76"/>
      <c r="O237" s="207"/>
      <c r="P237" s="76"/>
      <c r="Q237" s="76"/>
      <c r="R237" s="76"/>
      <c r="S237" s="76"/>
      <c r="T237" s="76"/>
      <c r="U237" s="76"/>
      <c r="V237" s="76"/>
      <c r="W237" s="76"/>
      <c r="X237" s="76"/>
      <c r="Y237" s="76"/>
      <c r="Z237" s="76"/>
      <c r="AA237" s="76"/>
      <c r="AB237" s="76"/>
      <c r="AC237" s="76"/>
      <c r="AD237" s="63"/>
      <c r="AE237" s="1"/>
      <c r="AF237" s="1"/>
      <c r="AG237" s="1"/>
      <c r="AH237" s="1"/>
      <c r="AI237" s="1"/>
      <c r="AJ237" s="1"/>
      <c r="AK237" s="1"/>
      <c r="AL237" s="1"/>
      <c r="AM237" s="7"/>
      <c r="AN237" s="206"/>
      <c r="AO237" s="76"/>
      <c r="AP237" s="76"/>
      <c r="AQ237" s="76"/>
      <c r="AR237" s="76"/>
      <c r="AS237" s="76"/>
      <c r="AT237" s="76"/>
      <c r="AU237" s="76"/>
      <c r="AV237" s="76"/>
      <c r="AW237" s="76"/>
      <c r="AX237" s="202"/>
      <c r="AY237" s="63"/>
      <c r="AZ237" s="1"/>
      <c r="BA237" s="1"/>
      <c r="BB237" s="1"/>
      <c r="BC237" s="1"/>
      <c r="BD237" s="1"/>
      <c r="BE237" s="1"/>
      <c r="BF237" s="1"/>
      <c r="BG237" s="1"/>
      <c r="BH237" s="1"/>
      <c r="BI237" s="1"/>
      <c r="BJ237" s="2"/>
      <c r="BK237" s="2"/>
      <c r="BL237" s="212"/>
    </row>
    <row r="238" spans="2:64">
      <c r="B238" s="27"/>
      <c r="C238" s="1"/>
      <c r="D238" s="1"/>
      <c r="E238" s="4"/>
      <c r="F238" s="21"/>
      <c r="G238" s="4"/>
      <c r="H238" s="263"/>
      <c r="I238" s="63"/>
      <c r="J238" s="1"/>
      <c r="K238" s="1"/>
      <c r="L238" s="202"/>
      <c r="M238" s="206"/>
      <c r="N238" s="76"/>
      <c r="O238" s="207"/>
      <c r="P238" s="76"/>
      <c r="Q238" s="76"/>
      <c r="R238" s="76"/>
      <c r="S238" s="76"/>
      <c r="T238" s="76"/>
      <c r="U238" s="76"/>
      <c r="V238" s="76"/>
      <c r="W238" s="76"/>
      <c r="X238" s="76"/>
      <c r="Y238" s="76"/>
      <c r="Z238" s="76"/>
      <c r="AA238" s="76"/>
      <c r="AB238" s="76"/>
      <c r="AC238" s="76"/>
      <c r="AD238" s="63"/>
      <c r="AE238" s="1"/>
      <c r="AF238" s="1"/>
      <c r="AG238" s="1"/>
      <c r="AH238" s="1"/>
      <c r="AI238" s="1"/>
      <c r="AJ238" s="1"/>
      <c r="AK238" s="1"/>
      <c r="AL238" s="1"/>
      <c r="AM238" s="7"/>
      <c r="AN238" s="206"/>
      <c r="AO238" s="76"/>
      <c r="AP238" s="76"/>
      <c r="AQ238" s="76"/>
      <c r="AR238" s="76"/>
      <c r="AS238" s="76"/>
      <c r="AT238" s="76"/>
      <c r="AU238" s="76"/>
      <c r="AV238" s="76"/>
      <c r="AW238" s="76"/>
      <c r="AX238" s="202"/>
      <c r="AY238" s="63"/>
      <c r="AZ238" s="1"/>
      <c r="BA238" s="1"/>
      <c r="BB238" s="1"/>
      <c r="BC238" s="1"/>
      <c r="BD238" s="1"/>
      <c r="BE238" s="1"/>
      <c r="BF238" s="1"/>
      <c r="BG238" s="1"/>
      <c r="BH238" s="1"/>
      <c r="BI238" s="1"/>
      <c r="BJ238" s="2"/>
      <c r="BK238" s="2"/>
      <c r="BL238" s="212"/>
    </row>
    <row r="239" spans="2:64">
      <c r="B239" s="27"/>
      <c r="C239" s="1"/>
      <c r="D239" s="1"/>
      <c r="E239" s="4"/>
      <c r="F239" s="21"/>
      <c r="G239" s="4"/>
      <c r="H239" s="263"/>
      <c r="I239" s="63"/>
      <c r="J239" s="1"/>
      <c r="K239" s="1"/>
      <c r="L239" s="202"/>
      <c r="M239" s="206"/>
      <c r="N239" s="76"/>
      <c r="O239" s="207"/>
      <c r="P239" s="76"/>
      <c r="Q239" s="76"/>
      <c r="R239" s="76"/>
      <c r="S239" s="76"/>
      <c r="T239" s="76"/>
      <c r="U239" s="76"/>
      <c r="V239" s="76"/>
      <c r="W239" s="76"/>
      <c r="X239" s="76"/>
      <c r="Y239" s="76"/>
      <c r="Z239" s="76"/>
      <c r="AA239" s="76"/>
      <c r="AB239" s="76"/>
      <c r="AC239" s="76"/>
      <c r="AD239" s="63"/>
      <c r="AE239" s="1"/>
      <c r="AF239" s="1"/>
      <c r="AG239" s="1"/>
      <c r="AH239" s="1"/>
      <c r="AI239" s="1"/>
      <c r="AJ239" s="1"/>
      <c r="AK239" s="1"/>
      <c r="AL239" s="1"/>
      <c r="AM239" s="7"/>
      <c r="AN239" s="206"/>
      <c r="AO239" s="76"/>
      <c r="AP239" s="76"/>
      <c r="AQ239" s="76"/>
      <c r="AR239" s="76"/>
      <c r="AS239" s="76"/>
      <c r="AT239" s="76"/>
      <c r="AU239" s="76"/>
      <c r="AV239" s="76"/>
      <c r="AW239" s="76"/>
      <c r="AX239" s="202"/>
      <c r="AY239" s="63"/>
      <c r="AZ239" s="1"/>
      <c r="BA239" s="1"/>
      <c r="BB239" s="1"/>
      <c r="BC239" s="1"/>
      <c r="BD239" s="1"/>
      <c r="BE239" s="1"/>
      <c r="BF239" s="1"/>
      <c r="BG239" s="1"/>
      <c r="BH239" s="1"/>
      <c r="BI239" s="1"/>
      <c r="BJ239" s="2"/>
      <c r="BK239" s="2"/>
      <c r="BL239" s="212"/>
    </row>
    <row r="240" spans="2:64">
      <c r="B240" s="27"/>
      <c r="C240" s="1"/>
      <c r="D240" s="1"/>
      <c r="E240" s="4"/>
      <c r="F240" s="21"/>
      <c r="G240" s="4"/>
      <c r="H240" s="263"/>
      <c r="I240" s="63"/>
      <c r="J240" s="1"/>
      <c r="K240" s="1"/>
      <c r="L240" s="202"/>
      <c r="M240" s="206"/>
      <c r="N240" s="76"/>
      <c r="O240" s="207"/>
      <c r="P240" s="76"/>
      <c r="Q240" s="76"/>
      <c r="R240" s="76"/>
      <c r="S240" s="76"/>
      <c r="T240" s="76"/>
      <c r="U240" s="76"/>
      <c r="V240" s="76"/>
      <c r="W240" s="76"/>
      <c r="X240" s="76"/>
      <c r="Y240" s="76"/>
      <c r="Z240" s="76"/>
      <c r="AA240" s="76"/>
      <c r="AB240" s="76"/>
      <c r="AC240" s="76"/>
      <c r="AD240" s="63"/>
      <c r="AE240" s="1"/>
      <c r="AF240" s="1"/>
      <c r="AG240" s="1"/>
      <c r="AH240" s="1"/>
      <c r="AI240" s="1"/>
      <c r="AJ240" s="1"/>
      <c r="AK240" s="1"/>
      <c r="AL240" s="1"/>
      <c r="AM240" s="7"/>
      <c r="AN240" s="206"/>
      <c r="AO240" s="76"/>
      <c r="AP240" s="76"/>
      <c r="AQ240" s="76"/>
      <c r="AR240" s="76"/>
      <c r="AS240" s="76"/>
      <c r="AT240" s="76"/>
      <c r="AU240" s="76"/>
      <c r="AV240" s="76"/>
      <c r="AW240" s="76"/>
      <c r="AX240" s="202"/>
      <c r="AY240" s="63"/>
      <c r="AZ240" s="1"/>
      <c r="BA240" s="1"/>
      <c r="BB240" s="1"/>
      <c r="BC240" s="1"/>
      <c r="BD240" s="1"/>
      <c r="BE240" s="1"/>
      <c r="BF240" s="1"/>
      <c r="BG240" s="1"/>
      <c r="BH240" s="1"/>
      <c r="BI240" s="1"/>
      <c r="BJ240" s="2"/>
      <c r="BK240" s="2"/>
      <c r="BL240" s="212"/>
    </row>
    <row r="241" spans="2:64">
      <c r="B241" s="27"/>
      <c r="C241" s="1"/>
      <c r="D241" s="1"/>
      <c r="E241" s="4"/>
      <c r="F241" s="21"/>
      <c r="G241" s="4"/>
      <c r="H241" s="263"/>
      <c r="I241" s="63"/>
      <c r="J241" s="1"/>
      <c r="K241" s="1"/>
      <c r="L241" s="202"/>
      <c r="M241" s="206"/>
      <c r="N241" s="76"/>
      <c r="O241" s="207"/>
      <c r="P241" s="76"/>
      <c r="Q241" s="76"/>
      <c r="R241" s="76"/>
      <c r="S241" s="76"/>
      <c r="T241" s="76"/>
      <c r="U241" s="76"/>
      <c r="V241" s="76"/>
      <c r="W241" s="76"/>
      <c r="X241" s="76"/>
      <c r="Y241" s="76"/>
      <c r="Z241" s="76"/>
      <c r="AA241" s="76"/>
      <c r="AB241" s="76"/>
      <c r="AC241" s="76"/>
      <c r="AD241" s="63"/>
      <c r="AE241" s="1"/>
      <c r="AF241" s="1"/>
      <c r="AG241" s="1"/>
      <c r="AH241" s="1"/>
      <c r="AI241" s="1"/>
      <c r="AJ241" s="1"/>
      <c r="AK241" s="1"/>
      <c r="AL241" s="1"/>
      <c r="AM241" s="7"/>
      <c r="AN241" s="206"/>
      <c r="AO241" s="76"/>
      <c r="AP241" s="76"/>
      <c r="AQ241" s="76"/>
      <c r="AR241" s="76"/>
      <c r="AS241" s="76"/>
      <c r="AT241" s="76"/>
      <c r="AU241" s="76"/>
      <c r="AV241" s="76"/>
      <c r="AW241" s="76"/>
      <c r="AX241" s="202"/>
      <c r="AY241" s="63"/>
      <c r="AZ241" s="1"/>
      <c r="BA241" s="1"/>
      <c r="BB241" s="1"/>
      <c r="BC241" s="1"/>
      <c r="BD241" s="1"/>
      <c r="BE241" s="1"/>
      <c r="BF241" s="1"/>
      <c r="BG241" s="1"/>
      <c r="BH241" s="1"/>
      <c r="BI241" s="1"/>
      <c r="BJ241" s="2"/>
      <c r="BK241" s="2"/>
      <c r="BL241" s="212"/>
    </row>
    <row r="242" spans="2:64">
      <c r="B242" s="27"/>
      <c r="C242" s="1"/>
      <c r="D242" s="1"/>
      <c r="E242" s="4"/>
      <c r="F242" s="21"/>
      <c r="G242" s="4"/>
      <c r="H242" s="263"/>
      <c r="I242" s="63"/>
      <c r="J242" s="1"/>
      <c r="K242" s="1"/>
      <c r="L242" s="202"/>
      <c r="M242" s="206"/>
      <c r="N242" s="76"/>
      <c r="O242" s="207"/>
      <c r="P242" s="76"/>
      <c r="Q242" s="76"/>
      <c r="R242" s="76"/>
      <c r="S242" s="76"/>
      <c r="T242" s="76"/>
      <c r="U242" s="76"/>
      <c r="V242" s="76"/>
      <c r="W242" s="76"/>
      <c r="X242" s="76"/>
      <c r="Y242" s="76"/>
      <c r="Z242" s="76"/>
      <c r="AA242" s="76"/>
      <c r="AB242" s="76"/>
      <c r="AC242" s="76"/>
      <c r="AD242" s="63"/>
      <c r="AE242" s="1"/>
      <c r="AF242" s="1"/>
      <c r="AG242" s="1"/>
      <c r="AH242" s="1"/>
      <c r="AI242" s="1"/>
      <c r="AJ242" s="1"/>
      <c r="AK242" s="1"/>
      <c r="AL242" s="1"/>
      <c r="AM242" s="7"/>
      <c r="AN242" s="206"/>
      <c r="AO242" s="76"/>
      <c r="AP242" s="76"/>
      <c r="AQ242" s="76"/>
      <c r="AR242" s="76"/>
      <c r="AS242" s="76"/>
      <c r="AT242" s="76"/>
      <c r="AU242" s="76"/>
      <c r="AV242" s="76"/>
      <c r="AW242" s="76"/>
      <c r="AX242" s="202"/>
      <c r="AY242" s="63"/>
      <c r="AZ242" s="1"/>
      <c r="BA242" s="1"/>
      <c r="BB242" s="1"/>
      <c r="BC242" s="1"/>
      <c r="BD242" s="1"/>
      <c r="BE242" s="1"/>
      <c r="BF242" s="1"/>
      <c r="BG242" s="1"/>
      <c r="BH242" s="1"/>
      <c r="BI242" s="1"/>
      <c r="BJ242" s="2"/>
      <c r="BK242" s="2"/>
      <c r="BL242" s="212"/>
    </row>
    <row r="243" spans="2:64">
      <c r="B243" s="27"/>
      <c r="C243" s="1"/>
      <c r="D243" s="1"/>
      <c r="E243" s="4"/>
      <c r="F243" s="21"/>
      <c r="G243" s="4"/>
      <c r="H243" s="263"/>
      <c r="I243" s="63"/>
      <c r="J243" s="1"/>
      <c r="K243" s="1"/>
      <c r="L243" s="202"/>
      <c r="M243" s="206"/>
      <c r="N243" s="76"/>
      <c r="O243" s="207"/>
      <c r="P243" s="76"/>
      <c r="Q243" s="76"/>
      <c r="R243" s="76"/>
      <c r="S243" s="76"/>
      <c r="T243" s="76"/>
      <c r="U243" s="76"/>
      <c r="V243" s="76"/>
      <c r="W243" s="76"/>
      <c r="X243" s="76"/>
      <c r="Y243" s="76"/>
      <c r="Z243" s="76"/>
      <c r="AA243" s="76"/>
      <c r="AB243" s="76"/>
      <c r="AC243" s="76"/>
      <c r="AD243" s="63"/>
      <c r="AE243" s="1"/>
      <c r="AF243" s="1"/>
      <c r="AG243" s="1"/>
      <c r="AH243" s="1"/>
      <c r="AI243" s="1"/>
      <c r="AJ243" s="1"/>
      <c r="AK243" s="1"/>
      <c r="AL243" s="1"/>
      <c r="AM243" s="7"/>
      <c r="AN243" s="206"/>
      <c r="AO243" s="76"/>
      <c r="AP243" s="76"/>
      <c r="AQ243" s="76"/>
      <c r="AR243" s="76"/>
      <c r="AS243" s="76"/>
      <c r="AT243" s="76"/>
      <c r="AU243" s="76"/>
      <c r="AV243" s="76"/>
      <c r="AW243" s="76"/>
      <c r="AX243" s="202"/>
      <c r="AY243" s="63"/>
      <c r="AZ243" s="1"/>
      <c r="BA243" s="1"/>
      <c r="BB243" s="1"/>
      <c r="BC243" s="1"/>
      <c r="BD243" s="1"/>
      <c r="BE243" s="1"/>
      <c r="BF243" s="1"/>
      <c r="BG243" s="1"/>
      <c r="BH243" s="1"/>
      <c r="BI243" s="1"/>
      <c r="BJ243" s="2"/>
      <c r="BK243" s="2"/>
      <c r="BL243" s="212"/>
    </row>
    <row r="244" spans="2:64">
      <c r="B244" s="27"/>
      <c r="C244" s="1"/>
      <c r="D244" s="1"/>
      <c r="E244" s="4"/>
      <c r="F244" s="21"/>
      <c r="G244" s="4"/>
      <c r="H244" s="263"/>
      <c r="I244" s="63"/>
      <c r="J244" s="1"/>
      <c r="K244" s="1"/>
      <c r="L244" s="202"/>
      <c r="M244" s="206"/>
      <c r="N244" s="76"/>
      <c r="O244" s="207"/>
      <c r="P244" s="76"/>
      <c r="Q244" s="76"/>
      <c r="R244" s="76"/>
      <c r="S244" s="76"/>
      <c r="T244" s="76"/>
      <c r="U244" s="76"/>
      <c r="V244" s="76"/>
      <c r="W244" s="76"/>
      <c r="X244" s="76"/>
      <c r="Y244" s="76"/>
      <c r="Z244" s="76"/>
      <c r="AA244" s="76"/>
      <c r="AB244" s="76"/>
      <c r="AC244" s="76"/>
      <c r="AD244" s="63"/>
      <c r="AE244" s="1"/>
      <c r="AF244" s="1"/>
      <c r="AG244" s="1"/>
      <c r="AH244" s="1"/>
      <c r="AI244" s="1"/>
      <c r="AJ244" s="1"/>
      <c r="AK244" s="1"/>
      <c r="AL244" s="1"/>
      <c r="AM244" s="7"/>
      <c r="AN244" s="206"/>
      <c r="AO244" s="76"/>
      <c r="AP244" s="76"/>
      <c r="AQ244" s="76"/>
      <c r="AR244" s="76"/>
      <c r="AS244" s="76"/>
      <c r="AT244" s="76"/>
      <c r="AU244" s="76"/>
      <c r="AV244" s="76"/>
      <c r="AW244" s="76"/>
      <c r="AX244" s="202"/>
      <c r="AY244" s="63"/>
      <c r="AZ244" s="1"/>
      <c r="BA244" s="1"/>
      <c r="BB244" s="1"/>
      <c r="BC244" s="1"/>
      <c r="BD244" s="1"/>
      <c r="BE244" s="1"/>
      <c r="BF244" s="1"/>
      <c r="BG244" s="1"/>
      <c r="BH244" s="1"/>
      <c r="BI244" s="1"/>
      <c r="BJ244" s="2"/>
      <c r="BK244" s="2"/>
      <c r="BL244" s="212"/>
    </row>
    <row r="245" spans="2:64">
      <c r="B245" s="27"/>
      <c r="C245" s="1"/>
      <c r="D245" s="1"/>
      <c r="E245" s="4"/>
      <c r="F245" s="21"/>
      <c r="G245" s="4"/>
      <c r="H245" s="263"/>
      <c r="I245" s="63"/>
      <c r="J245" s="1"/>
      <c r="K245" s="1"/>
      <c r="L245" s="202"/>
      <c r="M245" s="206"/>
      <c r="N245" s="76"/>
      <c r="O245" s="207"/>
      <c r="P245" s="76"/>
      <c r="Q245" s="76"/>
      <c r="R245" s="76"/>
      <c r="S245" s="76"/>
      <c r="T245" s="76"/>
      <c r="U245" s="76"/>
      <c r="V245" s="76"/>
      <c r="W245" s="76"/>
      <c r="X245" s="76"/>
      <c r="Y245" s="76"/>
      <c r="Z245" s="76"/>
      <c r="AA245" s="76"/>
      <c r="AB245" s="76"/>
      <c r="AC245" s="76"/>
      <c r="AD245" s="63"/>
      <c r="AE245" s="1"/>
      <c r="AF245" s="1"/>
      <c r="AG245" s="1"/>
      <c r="AH245" s="1"/>
      <c r="AI245" s="1"/>
      <c r="AJ245" s="1"/>
      <c r="AK245" s="1"/>
      <c r="AL245" s="1"/>
      <c r="AM245" s="7"/>
      <c r="AN245" s="206"/>
      <c r="AO245" s="76"/>
      <c r="AP245" s="76"/>
      <c r="AQ245" s="76"/>
      <c r="AR245" s="76"/>
      <c r="AS245" s="76"/>
      <c r="AT245" s="76"/>
      <c r="AU245" s="76"/>
      <c r="AV245" s="76"/>
      <c r="AW245" s="76"/>
      <c r="AX245" s="202"/>
      <c r="AY245" s="63"/>
      <c r="AZ245" s="1"/>
      <c r="BA245" s="1"/>
      <c r="BB245" s="1"/>
      <c r="BC245" s="1"/>
      <c r="BD245" s="1"/>
      <c r="BE245" s="1"/>
      <c r="BF245" s="1"/>
      <c r="BG245" s="1"/>
      <c r="BH245" s="1"/>
      <c r="BI245" s="1"/>
      <c r="BJ245" s="2"/>
      <c r="BK245" s="2"/>
      <c r="BL245" s="212"/>
    </row>
    <row r="246" spans="2:64">
      <c r="B246" s="27"/>
      <c r="C246" s="1"/>
      <c r="D246" s="1"/>
      <c r="E246" s="4"/>
      <c r="F246" s="21"/>
      <c r="G246" s="4"/>
      <c r="H246" s="263"/>
      <c r="I246" s="63"/>
      <c r="J246" s="1"/>
      <c r="K246" s="1"/>
      <c r="L246" s="202"/>
      <c r="M246" s="206"/>
      <c r="N246" s="76"/>
      <c r="O246" s="207"/>
      <c r="P246" s="76"/>
      <c r="Q246" s="76"/>
      <c r="R246" s="76"/>
      <c r="S246" s="76"/>
      <c r="T246" s="76"/>
      <c r="U246" s="76"/>
      <c r="V246" s="76"/>
      <c r="W246" s="76"/>
      <c r="X246" s="76"/>
      <c r="Y246" s="76"/>
      <c r="Z246" s="76"/>
      <c r="AA246" s="76"/>
      <c r="AB246" s="76"/>
      <c r="AC246" s="76"/>
      <c r="AD246" s="63"/>
      <c r="AE246" s="1"/>
      <c r="AF246" s="1"/>
      <c r="AG246" s="1"/>
      <c r="AH246" s="1"/>
      <c r="AI246" s="1"/>
      <c r="AJ246" s="1"/>
      <c r="AK246" s="1"/>
      <c r="AL246" s="1"/>
      <c r="AM246" s="7"/>
      <c r="AN246" s="206"/>
      <c r="AO246" s="76"/>
      <c r="AP246" s="76"/>
      <c r="AQ246" s="76"/>
      <c r="AR246" s="76"/>
      <c r="AS246" s="76"/>
      <c r="AT246" s="76"/>
      <c r="AU246" s="76"/>
      <c r="AV246" s="76"/>
      <c r="AW246" s="76"/>
      <c r="AX246" s="202"/>
      <c r="AY246" s="63"/>
      <c r="AZ246" s="1"/>
      <c r="BA246" s="1"/>
      <c r="BB246" s="1"/>
      <c r="BC246" s="1"/>
      <c r="BD246" s="1"/>
      <c r="BE246" s="1"/>
      <c r="BF246" s="1"/>
      <c r="BG246" s="1"/>
      <c r="BH246" s="1"/>
      <c r="BI246" s="1"/>
      <c r="BJ246" s="2"/>
      <c r="BK246" s="2"/>
      <c r="BL246" s="212"/>
    </row>
    <row r="247" spans="2:64">
      <c r="B247" s="27"/>
      <c r="C247" s="1"/>
      <c r="D247" s="1"/>
      <c r="E247" s="4"/>
      <c r="F247" s="21"/>
      <c r="G247" s="4"/>
      <c r="H247" s="263"/>
      <c r="I247" s="63"/>
      <c r="J247" s="1"/>
      <c r="K247" s="1"/>
      <c r="L247" s="202"/>
      <c r="M247" s="206"/>
      <c r="N247" s="76"/>
      <c r="O247" s="207"/>
      <c r="P247" s="76"/>
      <c r="Q247" s="76"/>
      <c r="R247" s="76"/>
      <c r="S247" s="76"/>
      <c r="T247" s="76"/>
      <c r="U247" s="76"/>
      <c r="V247" s="76"/>
      <c r="W247" s="76"/>
      <c r="X247" s="76"/>
      <c r="Y247" s="76"/>
      <c r="Z247" s="76"/>
      <c r="AA247" s="76"/>
      <c r="AB247" s="76"/>
      <c r="AC247" s="76"/>
      <c r="AD247" s="63"/>
      <c r="AE247" s="1"/>
      <c r="AF247" s="1"/>
      <c r="AG247" s="1"/>
      <c r="AH247" s="1"/>
      <c r="AI247" s="1"/>
      <c r="AJ247" s="1"/>
      <c r="AK247" s="1"/>
      <c r="AL247" s="1"/>
      <c r="AM247" s="7"/>
      <c r="AN247" s="206"/>
      <c r="AO247" s="76"/>
      <c r="AP247" s="76"/>
      <c r="AQ247" s="76"/>
      <c r="AR247" s="76"/>
      <c r="AS247" s="76"/>
      <c r="AT247" s="76"/>
      <c r="AU247" s="76"/>
      <c r="AV247" s="76"/>
      <c r="AW247" s="76"/>
      <c r="AX247" s="202"/>
      <c r="AY247" s="63"/>
      <c r="AZ247" s="1"/>
      <c r="BA247" s="1"/>
      <c r="BB247" s="1"/>
      <c r="BC247" s="1"/>
      <c r="BD247" s="1"/>
      <c r="BE247" s="1"/>
      <c r="BF247" s="1"/>
      <c r="BG247" s="1"/>
      <c r="BH247" s="1"/>
      <c r="BI247" s="1"/>
      <c r="BJ247" s="2"/>
      <c r="BK247" s="2"/>
      <c r="BL247" s="212"/>
    </row>
    <row r="248" spans="2:64">
      <c r="B248" s="27"/>
      <c r="C248" s="1"/>
      <c r="D248" s="1"/>
      <c r="E248" s="4"/>
      <c r="F248" s="21"/>
      <c r="G248" s="4"/>
      <c r="H248" s="263"/>
      <c r="I248" s="63"/>
      <c r="J248" s="1"/>
      <c r="K248" s="1"/>
      <c r="L248" s="202"/>
      <c r="M248" s="206"/>
      <c r="N248" s="76"/>
      <c r="O248" s="207"/>
      <c r="P248" s="76"/>
      <c r="Q248" s="76"/>
      <c r="R248" s="76"/>
      <c r="S248" s="76"/>
      <c r="T248" s="76"/>
      <c r="U248" s="76"/>
      <c r="V248" s="76"/>
      <c r="W248" s="76"/>
      <c r="X248" s="76"/>
      <c r="Y248" s="76"/>
      <c r="Z248" s="76"/>
      <c r="AA248" s="76"/>
      <c r="AB248" s="76"/>
      <c r="AC248" s="76"/>
      <c r="AD248" s="63"/>
      <c r="AE248" s="1"/>
      <c r="AF248" s="1"/>
      <c r="AG248" s="1"/>
      <c r="AH248" s="1"/>
      <c r="AI248" s="1"/>
      <c r="AJ248" s="1"/>
      <c r="AK248" s="1"/>
      <c r="AL248" s="1"/>
      <c r="AM248" s="7"/>
      <c r="AN248" s="206"/>
      <c r="AO248" s="76"/>
      <c r="AP248" s="76"/>
      <c r="AQ248" s="76"/>
      <c r="AR248" s="76"/>
      <c r="AS248" s="76"/>
      <c r="AT248" s="76"/>
      <c r="AU248" s="76"/>
      <c r="AV248" s="76"/>
      <c r="AW248" s="76"/>
      <c r="AX248" s="202"/>
      <c r="AY248" s="63"/>
      <c r="AZ248" s="1"/>
      <c r="BA248" s="1"/>
      <c r="BB248" s="1"/>
      <c r="BC248" s="1"/>
      <c r="BD248" s="1"/>
      <c r="BE248" s="1"/>
      <c r="BF248" s="1"/>
      <c r="BG248" s="1"/>
      <c r="BH248" s="1"/>
      <c r="BI248" s="1"/>
      <c r="BJ248" s="2"/>
      <c r="BK248" s="2"/>
      <c r="BL248" s="212"/>
    </row>
    <row r="249" spans="2:64">
      <c r="B249" s="27"/>
      <c r="C249" s="1"/>
      <c r="D249" s="1"/>
      <c r="E249" s="4"/>
      <c r="F249" s="21"/>
      <c r="G249" s="4"/>
      <c r="H249" s="263"/>
      <c r="I249" s="63"/>
      <c r="J249" s="1"/>
      <c r="K249" s="1"/>
      <c r="L249" s="202"/>
      <c r="M249" s="206"/>
      <c r="N249" s="76"/>
      <c r="O249" s="207"/>
      <c r="P249" s="76"/>
      <c r="Q249" s="76"/>
      <c r="R249" s="76"/>
      <c r="S249" s="76"/>
      <c r="T249" s="76"/>
      <c r="U249" s="76"/>
      <c r="V249" s="76"/>
      <c r="W249" s="76"/>
      <c r="X249" s="76"/>
      <c r="Y249" s="76"/>
      <c r="Z249" s="76"/>
      <c r="AA249" s="76"/>
      <c r="AB249" s="76"/>
      <c r="AC249" s="76"/>
      <c r="AD249" s="63"/>
      <c r="AE249" s="1"/>
      <c r="AF249" s="1"/>
      <c r="AG249" s="1"/>
      <c r="AH249" s="1"/>
      <c r="AI249" s="1"/>
      <c r="AJ249" s="1"/>
      <c r="AK249" s="1"/>
      <c r="AL249" s="1"/>
      <c r="AM249" s="7"/>
      <c r="AN249" s="206"/>
      <c r="AO249" s="76"/>
      <c r="AP249" s="76"/>
      <c r="AQ249" s="76"/>
      <c r="AR249" s="76"/>
      <c r="AS249" s="76"/>
      <c r="AT249" s="76"/>
      <c r="AU249" s="76"/>
      <c r="AV249" s="76"/>
      <c r="AW249" s="76"/>
      <c r="AX249" s="202"/>
      <c r="AY249" s="63"/>
      <c r="AZ249" s="1"/>
      <c r="BA249" s="1"/>
      <c r="BB249" s="1"/>
      <c r="BC249" s="1"/>
      <c r="BD249" s="1"/>
      <c r="BE249" s="1"/>
      <c r="BF249" s="1"/>
      <c r="BG249" s="1"/>
      <c r="BH249" s="1"/>
      <c r="BI249" s="1"/>
      <c r="BJ249" s="2"/>
      <c r="BK249" s="2"/>
      <c r="BL249" s="212"/>
    </row>
    <row r="250" spans="2:64">
      <c r="B250" s="27"/>
      <c r="C250" s="1"/>
      <c r="D250" s="1"/>
      <c r="E250" s="4"/>
      <c r="F250" s="21"/>
      <c r="G250" s="4"/>
      <c r="H250" s="263"/>
      <c r="I250" s="63"/>
      <c r="J250" s="1"/>
      <c r="K250" s="1"/>
      <c r="L250" s="202"/>
      <c r="M250" s="206"/>
      <c r="N250" s="76"/>
      <c r="O250" s="207"/>
      <c r="P250" s="76"/>
      <c r="Q250" s="76"/>
      <c r="R250" s="76"/>
      <c r="S250" s="76"/>
      <c r="T250" s="76"/>
      <c r="U250" s="76"/>
      <c r="V250" s="76"/>
      <c r="W250" s="76"/>
      <c r="X250" s="76"/>
      <c r="Y250" s="76"/>
      <c r="Z250" s="76"/>
      <c r="AA250" s="76"/>
      <c r="AB250" s="76"/>
      <c r="AC250" s="76"/>
      <c r="AD250" s="63"/>
      <c r="AE250" s="1"/>
      <c r="AF250" s="1"/>
      <c r="AG250" s="1"/>
      <c r="AH250" s="1"/>
      <c r="AI250" s="1"/>
      <c r="AJ250" s="1"/>
      <c r="AK250" s="1"/>
      <c r="AL250" s="1"/>
      <c r="AM250" s="7"/>
      <c r="AN250" s="206"/>
      <c r="AO250" s="76"/>
      <c r="AP250" s="76"/>
      <c r="AQ250" s="76"/>
      <c r="AR250" s="76"/>
      <c r="AS250" s="76"/>
      <c r="AT250" s="76"/>
      <c r="AU250" s="76"/>
      <c r="AV250" s="76"/>
      <c r="AW250" s="76"/>
      <c r="AX250" s="202"/>
      <c r="AY250" s="63"/>
      <c r="AZ250" s="1"/>
      <c r="BA250" s="1"/>
      <c r="BB250" s="1"/>
      <c r="BC250" s="1"/>
      <c r="BD250" s="1"/>
      <c r="BE250" s="1"/>
      <c r="BF250" s="1"/>
      <c r="BG250" s="1"/>
      <c r="BH250" s="1"/>
      <c r="BI250" s="1"/>
      <c r="BJ250" s="2"/>
      <c r="BK250" s="2"/>
      <c r="BL250" s="212"/>
    </row>
  </sheetData>
  <phoneticPr fontId="3"/>
  <conditionalFormatting sqref="D47 E251:E1048576 E1 E19:E25 E28:E33 F48:F250 E39:E42 I44:I46">
    <cfRule type="cellIs" dxfId="4" priority="4" operator="equal">
      <formula>"基準"</formula>
    </cfRule>
  </conditionalFormatting>
  <conditionalFormatting sqref="E47 F251:F1048576 F1 F19:F25 F28:F33 F42 F44:F46 G48:H250">
    <cfRule type="cellIs" dxfId="3" priority="3" stopIfTrue="1" operator="equal">
      <formula>"端リブ"</formula>
    </cfRule>
  </conditionalFormatting>
  <conditionalFormatting sqref="L51:N250">
    <cfRule type="cellIs" dxfId="2" priority="2" operator="between">
      <formula>0.1</formula>
      <formula>10</formula>
    </cfRule>
  </conditionalFormatting>
  <conditionalFormatting sqref="H51:H1048576">
    <cfRule type="cellIs" dxfId="1" priority="1" stopIfTrue="1" operator="equal">
      <formula>"half"</formula>
    </cfRule>
  </conditionalFormatting>
  <dataValidations count="4">
    <dataValidation type="list" allowBlank="1" showInputMessage="1" showErrorMessage="1" sqref="F51:F250" xr:uid="{54B72FDD-3BFD-C348-854F-97EE96A04B50}">
      <formula1>"基準,flat,1st,2nd,3rd,4th,5th,6th"</formula1>
    </dataValidation>
    <dataValidation type="list" allowBlank="1" showInputMessage="1" showErrorMessage="1" sqref="G51:G250" xr:uid="{0B4AB969-65C3-964B-B800-C2CBD36EA684}">
      <formula1>"端リブ,0番,1番,2番,3番,ウィングレット"</formula1>
    </dataValidation>
    <dataValidation type="list" allowBlank="1" showInputMessage="1" showErrorMessage="1" sqref="AD26:AD29" xr:uid="{DF7E7DB9-7C63-477F-A9DD-A18EC8BB5415}">
      <formula1>"dxf,svg,pdf,csv"</formula1>
    </dataValidation>
    <dataValidation type="list" allowBlank="1" showInputMessage="1" showErrorMessage="1" sqref="H53:H250" xr:uid="{CF48238A-9F89-424C-85E0-D83C2CCA5061}">
      <formula1>"full,half"</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9BD75B5A-D132-C844-9026-739D3008734D}">
          <x14:formula1>
            <xm:f>パラメータ!$B$21:$B$48</xm:f>
          </x14:formula1>
          <xm:sqref>R13:R14 R4 R6:R8</xm:sqref>
        </x14:dataValidation>
        <x14:dataValidation type="list" allowBlank="1" showInputMessage="1" showErrorMessage="1" xr:uid="{0966932E-2437-5D44-926B-ED9DB59478DC}">
          <x14:formula1>
            <xm:f>パラメータ!$I$22:$I$49</xm:f>
          </x14:formula1>
          <xm:sqref>R11:R12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37504-F610-9C44-AF08-1690E3F8C564}">
  <sheetPr codeName="Sheet8">
    <tabColor theme="8" tint="0.59999389629810485"/>
  </sheetPr>
  <dimension ref="B1:BA1288"/>
  <sheetViews>
    <sheetView zoomScale="55" zoomScaleNormal="55" workbookViewId="0">
      <selection activeCell="V42" sqref="V42"/>
    </sheetView>
  </sheetViews>
  <sheetFormatPr baseColWidth="10" defaultColWidth="11.5703125" defaultRowHeight="20"/>
  <cols>
    <col min="1" max="1" width="11.5703125" customWidth="1"/>
    <col min="2" max="2" width="11.42578125" customWidth="1"/>
    <col min="3" max="5" width="11.5703125" customWidth="1"/>
    <col min="32" max="32" width="11.5703125" style="192"/>
    <col min="34" max="34" width="11.5703125" style="3"/>
  </cols>
  <sheetData>
    <row r="1" spans="2:53">
      <c r="AF1"/>
      <c r="AH1"/>
    </row>
    <row r="2" spans="2:53" ht="21" thickBot="1">
      <c r="B2" t="s">
        <v>1298</v>
      </c>
      <c r="G2" s="3"/>
      <c r="H2" s="3"/>
      <c r="I2" t="s">
        <v>1428</v>
      </c>
      <c r="K2" s="3" t="s">
        <v>835</v>
      </c>
      <c r="L2" s="3"/>
      <c r="M2" s="3"/>
      <c r="N2" s="3"/>
      <c r="O2" s="3" t="s">
        <v>836</v>
      </c>
      <c r="P2" s="3"/>
      <c r="Q2" s="3"/>
      <c r="R2" s="3"/>
      <c r="S2" s="3" t="s">
        <v>837</v>
      </c>
      <c r="T2" s="3"/>
      <c r="U2" s="3"/>
      <c r="V2" s="3"/>
      <c r="W2" s="3" t="s">
        <v>838</v>
      </c>
      <c r="X2" s="3"/>
      <c r="Y2" s="3"/>
      <c r="Z2" s="3"/>
    </row>
    <row r="3" spans="2:53">
      <c r="B3" s="241"/>
      <c r="C3" s="242"/>
      <c r="D3" s="242"/>
      <c r="E3" s="243"/>
      <c r="G3" s="10"/>
      <c r="H3" s="12" t="s">
        <v>839</v>
      </c>
      <c r="I3" s="13" t="s">
        <v>632</v>
      </c>
      <c r="J3" s="37" t="s">
        <v>633</v>
      </c>
      <c r="K3" s="14" t="s">
        <v>738</v>
      </c>
      <c r="L3" s="10" t="s">
        <v>739</v>
      </c>
      <c r="M3" s="10" t="s">
        <v>740</v>
      </c>
      <c r="N3" s="37" t="s">
        <v>741</v>
      </c>
      <c r="O3" s="14" t="s">
        <v>738</v>
      </c>
      <c r="P3" s="10" t="s">
        <v>739</v>
      </c>
      <c r="Q3" s="10" t="s">
        <v>740</v>
      </c>
      <c r="R3" s="37" t="s">
        <v>741</v>
      </c>
      <c r="S3" s="14" t="s">
        <v>738</v>
      </c>
      <c r="T3" s="10" t="s">
        <v>739</v>
      </c>
      <c r="U3" s="10" t="s">
        <v>740</v>
      </c>
      <c r="V3" s="37" t="s">
        <v>741</v>
      </c>
      <c r="W3" s="14" t="s">
        <v>738</v>
      </c>
      <c r="X3" s="10" t="s">
        <v>739</v>
      </c>
      <c r="Y3" s="10" t="s">
        <v>740</v>
      </c>
      <c r="Z3" s="10" t="s">
        <v>741</v>
      </c>
      <c r="AC3" t="s">
        <v>1098</v>
      </c>
      <c r="AD3" s="192"/>
      <c r="AF3" s="3"/>
      <c r="AH3"/>
    </row>
    <row r="4" spans="2:53">
      <c r="B4" s="244"/>
      <c r="E4" s="245"/>
      <c r="G4" s="10"/>
      <c r="H4" s="9" t="s">
        <v>840</v>
      </c>
      <c r="I4" s="63" t="s">
        <v>971</v>
      </c>
      <c r="J4" s="62" t="s">
        <v>972</v>
      </c>
      <c r="K4" s="22" t="s">
        <v>973</v>
      </c>
      <c r="L4" s="1" t="s">
        <v>976</v>
      </c>
      <c r="M4" s="1" t="s">
        <v>975</v>
      </c>
      <c r="N4" s="62" t="s">
        <v>974</v>
      </c>
      <c r="O4" s="22" t="s">
        <v>973</v>
      </c>
      <c r="P4" s="1" t="s">
        <v>976</v>
      </c>
      <c r="Q4" s="1" t="s">
        <v>975</v>
      </c>
      <c r="R4" s="62" t="s">
        <v>974</v>
      </c>
      <c r="S4" s="22" t="s">
        <v>973</v>
      </c>
      <c r="T4" s="1" t="s">
        <v>976</v>
      </c>
      <c r="U4" s="1" t="s">
        <v>975</v>
      </c>
      <c r="V4" s="62" t="s">
        <v>974</v>
      </c>
      <c r="W4" s="22" t="s">
        <v>973</v>
      </c>
      <c r="X4" s="1" t="s">
        <v>976</v>
      </c>
      <c r="Y4" s="1" t="s">
        <v>975</v>
      </c>
      <c r="Z4" s="1" t="s">
        <v>974</v>
      </c>
      <c r="AC4" s="10" t="s">
        <v>996</v>
      </c>
      <c r="AD4" s="193" t="s">
        <v>1035</v>
      </c>
      <c r="AE4" s="10" t="s">
        <v>977</v>
      </c>
      <c r="AF4" s="10" t="s">
        <v>1034</v>
      </c>
      <c r="AG4" s="10" t="s">
        <v>1036</v>
      </c>
      <c r="AH4" s="10" t="s">
        <v>1037</v>
      </c>
      <c r="AI4" s="10" t="s">
        <v>1038</v>
      </c>
      <c r="AJ4" s="10" t="s">
        <v>1039</v>
      </c>
      <c r="AK4" s="10" t="s">
        <v>1040</v>
      </c>
      <c r="AL4" s="10" t="s">
        <v>970</v>
      </c>
      <c r="AM4" s="10" t="s">
        <v>1041</v>
      </c>
      <c r="AN4" s="10" t="s">
        <v>1042</v>
      </c>
      <c r="AO4" s="10" t="s">
        <v>1043</v>
      </c>
      <c r="AP4" s="10" t="s">
        <v>1044</v>
      </c>
      <c r="AQ4" s="10" t="s">
        <v>1045</v>
      </c>
      <c r="AR4" s="10" t="s">
        <v>1046</v>
      </c>
      <c r="AS4" s="10" t="s">
        <v>1047</v>
      </c>
      <c r="AT4" s="10" t="s">
        <v>1048</v>
      </c>
      <c r="AU4" s="10" t="s">
        <v>1049</v>
      </c>
      <c r="AV4" s="96" t="s">
        <v>1050</v>
      </c>
      <c r="AW4" s="96" t="s">
        <v>1051</v>
      </c>
      <c r="AX4" s="96" t="s">
        <v>1052</v>
      </c>
      <c r="AY4" s="96" t="s">
        <v>937</v>
      </c>
      <c r="AZ4" s="96" t="s">
        <v>1053</v>
      </c>
      <c r="BA4" s="96" t="s">
        <v>1054</v>
      </c>
    </row>
    <row r="5" spans="2:53">
      <c r="B5" s="244"/>
      <c r="E5" s="245"/>
      <c r="G5" s="10"/>
      <c r="H5" s="9" t="s">
        <v>652</v>
      </c>
      <c r="I5" s="63" t="s">
        <v>765</v>
      </c>
      <c r="J5" s="62" t="s">
        <v>765</v>
      </c>
      <c r="K5" s="22" t="s">
        <v>765</v>
      </c>
      <c r="L5" s="1" t="s">
        <v>765</v>
      </c>
      <c r="M5" s="1" t="s">
        <v>765</v>
      </c>
      <c r="N5" s="62" t="s">
        <v>765</v>
      </c>
      <c r="O5" s="22" t="s">
        <v>765</v>
      </c>
      <c r="P5" s="1" t="s">
        <v>765</v>
      </c>
      <c r="Q5" s="1" t="s">
        <v>765</v>
      </c>
      <c r="R5" s="62" t="s">
        <v>765</v>
      </c>
      <c r="S5" s="22" t="s">
        <v>765</v>
      </c>
      <c r="T5" s="1" t="s">
        <v>765</v>
      </c>
      <c r="U5" s="1" t="s">
        <v>765</v>
      </c>
      <c r="V5" s="62" t="s">
        <v>765</v>
      </c>
      <c r="W5" s="22" t="s">
        <v>765</v>
      </c>
      <c r="X5" s="1" t="s">
        <v>765</v>
      </c>
      <c r="Y5" s="1" t="s">
        <v>765</v>
      </c>
      <c r="Z5" s="1" t="s">
        <v>765</v>
      </c>
      <c r="AC5" s="1" t="s">
        <v>60</v>
      </c>
      <c r="AD5" s="194" t="s">
        <v>578</v>
      </c>
      <c r="AE5" s="1" t="s">
        <v>46</v>
      </c>
      <c r="AF5" s="2" t="s">
        <v>46</v>
      </c>
      <c r="AG5" s="1" t="s">
        <v>1028</v>
      </c>
      <c r="AH5" s="1" t="s">
        <v>1029</v>
      </c>
      <c r="AI5" s="1" t="s">
        <v>1030</v>
      </c>
      <c r="AJ5" s="1" t="s">
        <v>1031</v>
      </c>
      <c r="AK5" s="1" t="s">
        <v>978</v>
      </c>
      <c r="AL5" s="1" t="s">
        <v>979</v>
      </c>
      <c r="AM5" s="1" t="s">
        <v>980</v>
      </c>
      <c r="AN5" s="1" t="s">
        <v>981</v>
      </c>
      <c r="AO5" s="1" t="s">
        <v>982</v>
      </c>
      <c r="AP5" s="1" t="s">
        <v>465</v>
      </c>
      <c r="AQ5" s="1" t="s">
        <v>983</v>
      </c>
      <c r="AR5" s="1" t="s">
        <v>550</v>
      </c>
      <c r="AS5" s="1" t="s">
        <v>984</v>
      </c>
      <c r="AT5" s="1" t="s">
        <v>985</v>
      </c>
      <c r="AU5" s="1" t="s">
        <v>46</v>
      </c>
      <c r="AV5" s="1" t="s">
        <v>986</v>
      </c>
      <c r="AW5" s="1" t="s">
        <v>21</v>
      </c>
      <c r="AX5" s="1" t="s">
        <v>987</v>
      </c>
      <c r="AY5" s="1" t="s">
        <v>549</v>
      </c>
      <c r="AZ5" s="1" t="s">
        <v>988</v>
      </c>
      <c r="BA5" s="1" t="s">
        <v>46</v>
      </c>
    </row>
    <row r="6" spans="2:53" ht="21" thickBot="1">
      <c r="B6" s="244"/>
      <c r="E6" s="245"/>
      <c r="G6" s="10" t="s">
        <v>1192</v>
      </c>
      <c r="H6" s="9">
        <v>0</v>
      </c>
      <c r="I6" s="63"/>
      <c r="J6" s="62"/>
      <c r="K6" s="213">
        <v>110</v>
      </c>
      <c r="L6" s="1">
        <f>K6*($H$21*($H6-$H$6)+$H$20*($H$8-$H6))/($H$8-$H$6)</f>
        <v>110</v>
      </c>
      <c r="M6" s="1">
        <f t="shared" ref="M6:N8" si="0">K6+I$20*2</f>
        <v>113.39</v>
      </c>
      <c r="N6" s="62">
        <f t="shared" si="0"/>
        <v>113.39</v>
      </c>
      <c r="O6" s="22"/>
      <c r="P6" s="1"/>
      <c r="Q6" s="1"/>
      <c r="R6" s="62"/>
      <c r="S6" s="22"/>
      <c r="T6" s="1"/>
      <c r="U6" s="1"/>
      <c r="V6" s="62"/>
      <c r="W6" s="22"/>
      <c r="X6" s="1"/>
      <c r="Y6" s="1"/>
      <c r="Z6" s="1"/>
      <c r="AC6" s="19" t="s">
        <v>62</v>
      </c>
      <c r="AD6" s="195" t="s">
        <v>46</v>
      </c>
      <c r="AE6" s="19" t="s">
        <v>46</v>
      </c>
      <c r="AF6" s="19" t="s">
        <v>5</v>
      </c>
      <c r="AG6" s="19" t="s">
        <v>960</v>
      </c>
      <c r="AH6" s="19" t="s">
        <v>960</v>
      </c>
      <c r="AI6" s="19" t="s">
        <v>960</v>
      </c>
      <c r="AJ6" s="19" t="s">
        <v>960</v>
      </c>
      <c r="AK6" s="19" t="s">
        <v>989</v>
      </c>
      <c r="AL6" s="19" t="s">
        <v>989</v>
      </c>
      <c r="AM6" s="19" t="s">
        <v>989</v>
      </c>
      <c r="AN6" s="19" t="s">
        <v>990</v>
      </c>
      <c r="AO6" s="19" t="s">
        <v>991</v>
      </c>
      <c r="AP6" s="19" t="s">
        <v>960</v>
      </c>
      <c r="AQ6" s="19" t="s">
        <v>116</v>
      </c>
      <c r="AR6" s="19" t="s">
        <v>116</v>
      </c>
      <c r="AS6" s="19" t="s">
        <v>992</v>
      </c>
      <c r="AT6" s="19" t="s">
        <v>992</v>
      </c>
      <c r="AU6" s="19" t="s">
        <v>960</v>
      </c>
      <c r="AV6" s="19" t="s">
        <v>993</v>
      </c>
      <c r="AW6" s="19" t="s">
        <v>994</v>
      </c>
      <c r="AX6" s="19" t="s">
        <v>995</v>
      </c>
      <c r="AY6" s="19" t="s">
        <v>993</v>
      </c>
      <c r="AZ6" s="19" t="s">
        <v>46</v>
      </c>
      <c r="BA6" s="19" t="s">
        <v>6</v>
      </c>
    </row>
    <row r="7" spans="2:53" ht="21" thickTop="1">
      <c r="B7" s="244"/>
      <c r="E7" s="245"/>
      <c r="G7" s="10" t="s">
        <v>841</v>
      </c>
      <c r="H7" s="9">
        <f>H8-O20</f>
        <v>1.4</v>
      </c>
      <c r="I7" s="63">
        <f>(O7-M7)</f>
        <v>4.1099999999999994</v>
      </c>
      <c r="J7" s="62">
        <f>(P7-N7)</f>
        <v>6.5775000000000006</v>
      </c>
      <c r="K7" s="22">
        <f>$K$6-$L$20*$H7</f>
        <v>110</v>
      </c>
      <c r="L7" s="1">
        <f>K7*($H$21*($H7-$H$6)+$H$20*($H$8-$H7))/($H$8-$H$6)</f>
        <v>110</v>
      </c>
      <c r="M7" s="1">
        <f t="shared" si="0"/>
        <v>113.39</v>
      </c>
      <c r="N7" s="62">
        <f t="shared" si="0"/>
        <v>113.39</v>
      </c>
      <c r="O7" s="213">
        <v>117.5</v>
      </c>
      <c r="P7" s="1">
        <f>$O7*($H$23*($H7-$H$7)+$H$22*($H$10-$H7))/($H$10-$H$7)</f>
        <v>119.9675</v>
      </c>
      <c r="Q7" s="1">
        <f>O7+2*$I$22</f>
        <v>121.91</v>
      </c>
      <c r="R7" s="62">
        <f>P7+2*$J$22</f>
        <v>122.31950000000001</v>
      </c>
      <c r="S7" s="22"/>
      <c r="T7" s="1"/>
      <c r="U7" s="1"/>
      <c r="V7" s="62"/>
      <c r="W7" s="22"/>
      <c r="X7" s="1"/>
      <c r="Y7" s="1"/>
      <c r="Z7" s="1"/>
      <c r="AC7" s="2" t="s">
        <v>61</v>
      </c>
      <c r="AD7" s="196">
        <v>0</v>
      </c>
      <c r="AE7" s="97" t="str">
        <f t="shared" ref="AE7:AE38" si="1">IF(AF7&lt;$H$7,"0",IF(AF7&lt;$H$8,"0-1接合",IF(AF7&lt;$H$9,"1",IF(AF7&lt;$H$10,"1-2接合",IF(AF7&lt;$H$11,"2",IF(AF7&lt;$H$12,"2-3接合",IF(AF7&lt;$H$13,"3","ウィングレット")))))))</f>
        <v>0</v>
      </c>
      <c r="AF7" s="75">
        <f>VLOOKUP(AD7,'主翼（空力）'!B51:C150,2)</f>
        <v>0</v>
      </c>
      <c r="AG7" s="179">
        <v>55</v>
      </c>
      <c r="AH7" s="179">
        <v>55</v>
      </c>
      <c r="AI7" s="179">
        <v>56.695</v>
      </c>
      <c r="AJ7" s="179">
        <v>56.695</v>
      </c>
      <c r="AK7" s="177">
        <v>927564.33127605473</v>
      </c>
      <c r="AL7" s="177">
        <v>927564.3312760609</v>
      </c>
      <c r="AM7" s="177">
        <v>1855128.6642813568</v>
      </c>
      <c r="AN7" s="178">
        <v>594.79397672067023</v>
      </c>
      <c r="AO7" s="178">
        <v>9798.4492207984258</v>
      </c>
      <c r="AP7" s="179">
        <v>350.91090072022854</v>
      </c>
      <c r="AQ7" s="76">
        <v>128.54669117765229</v>
      </c>
      <c r="AR7" s="179">
        <v>16.301557051223895</v>
      </c>
      <c r="AS7" s="25">
        <f>AQ7*AK7*10^-3</f>
        <v>119235.32563994858</v>
      </c>
      <c r="AT7" s="180">
        <f>AR7*AM7*10^-3</f>
        <v>30241.485758143321</v>
      </c>
      <c r="AU7" s="2">
        <f>'主翼（空力）'!L51</f>
        <v>0</v>
      </c>
      <c r="AV7" s="97"/>
      <c r="AW7" s="97"/>
      <c r="AX7" s="97"/>
      <c r="AY7" s="97"/>
      <c r="AZ7" s="2"/>
      <c r="BA7" s="2" t="e">
        <f>AN7*AF7*10^-6*#REF!</f>
        <v>#REF!</v>
      </c>
    </row>
    <row r="8" spans="2:53">
      <c r="B8" s="244"/>
      <c r="E8" s="245"/>
      <c r="G8" s="10" t="s">
        <v>627</v>
      </c>
      <c r="H8" s="9">
        <f>K20/2</f>
        <v>1.75</v>
      </c>
      <c r="I8" s="63">
        <f>(O8-M8)</f>
        <v>1.3100000000000023</v>
      </c>
      <c r="J8" s="62">
        <f>(P8-N8)</f>
        <v>3.7186999999999699</v>
      </c>
      <c r="K8" s="22">
        <f>$K$6-$L$20*$H8</f>
        <v>110</v>
      </c>
      <c r="L8" s="1">
        <f>K8*($H$21*($H8-$H$6)+$H$20*($H$8-$H8))/($H$8-$H$6)</f>
        <v>110</v>
      </c>
      <c r="M8" s="1">
        <f t="shared" si="0"/>
        <v>113.39</v>
      </c>
      <c r="N8" s="62">
        <f t="shared" si="0"/>
        <v>113.39</v>
      </c>
      <c r="O8" s="22">
        <f>$O$7-$L$22*(H8-$H$7)</f>
        <v>114.7</v>
      </c>
      <c r="P8" s="1">
        <f>$O8*($H$23*($H8-$H$7)+$H$22*($H$10-$H8))/($H$10-$H$7)</f>
        <v>117.10869999999997</v>
      </c>
      <c r="Q8" s="1">
        <f>O8+2*$I$22</f>
        <v>119.11</v>
      </c>
      <c r="R8" s="62">
        <f>P8+2*$J$22</f>
        <v>119.46069999999997</v>
      </c>
      <c r="S8" s="22"/>
      <c r="T8" s="1"/>
      <c r="U8" s="1"/>
      <c r="V8" s="62"/>
      <c r="W8" s="22"/>
      <c r="X8" s="1"/>
      <c r="Y8" s="1"/>
      <c r="Z8" s="1"/>
      <c r="AC8" s="1"/>
      <c r="AD8" s="196">
        <v>1</v>
      </c>
      <c r="AE8" s="97" t="str">
        <f t="shared" si="1"/>
        <v>0</v>
      </c>
      <c r="AF8" s="75">
        <f>VLOOKUP(AD8,'主翼（空力）'!B52:C151,2)</f>
        <v>0.8</v>
      </c>
      <c r="AG8" s="76">
        <v>55</v>
      </c>
      <c r="AH8" s="76">
        <v>55</v>
      </c>
      <c r="AI8" s="76">
        <v>56.695</v>
      </c>
      <c r="AJ8" s="76">
        <v>56.695</v>
      </c>
      <c r="AK8" s="181">
        <v>927564.33127605473</v>
      </c>
      <c r="AL8" s="181">
        <v>927564.3312760609</v>
      </c>
      <c r="AM8" s="181">
        <v>1855128.6642813568</v>
      </c>
      <c r="AN8" s="182">
        <v>594.79397672067023</v>
      </c>
      <c r="AO8" s="182">
        <v>9798.4492207984258</v>
      </c>
      <c r="AP8" s="76">
        <v>350.91090072022854</v>
      </c>
      <c r="AQ8" s="76">
        <v>128.54669117765229</v>
      </c>
      <c r="AR8" s="179">
        <v>16.301557051223895</v>
      </c>
      <c r="AS8" s="25">
        <f t="shared" ref="AS8:AS66" si="2">AQ8*AK8*10^-3</f>
        <v>119235.32563994858</v>
      </c>
      <c r="AT8" s="180">
        <f t="shared" ref="AT8:AT66" si="3">AR8*AM8*10^-3</f>
        <v>30241.485758143321</v>
      </c>
      <c r="AU8" s="2">
        <f>'主翼（空力）'!L52</f>
        <v>0</v>
      </c>
      <c r="AV8" s="27"/>
      <c r="AW8" s="27"/>
      <c r="AX8" s="27"/>
      <c r="AY8" s="27"/>
      <c r="AZ8" s="1"/>
      <c r="BA8" s="2" t="e">
        <f>IF((AF8-AF7)&gt;0,(AN7+AN8+SQRT(AN7*AN8))*(AF8-AF7)/3*10^-6*#REF!,0)</f>
        <v>#REF!</v>
      </c>
    </row>
    <row r="9" spans="2:53">
      <c r="B9" s="244"/>
      <c r="E9" s="245"/>
      <c r="G9" s="10" t="s">
        <v>593</v>
      </c>
      <c r="H9" s="9">
        <f>H10-O21</f>
        <v>4.8999999999999995</v>
      </c>
      <c r="I9" s="63">
        <f>(S9-Q9)</f>
        <v>5.0900000000000034</v>
      </c>
      <c r="J9" s="62">
        <f>(T9-R9)</f>
        <v>5.2685000000000031</v>
      </c>
      <c r="K9" s="22"/>
      <c r="L9" s="1"/>
      <c r="M9" s="1"/>
      <c r="N9" s="62"/>
      <c r="O9" s="22">
        <f>$O$7-$L$22*(H9-$H$7)</f>
        <v>89.5</v>
      </c>
      <c r="P9" s="1">
        <f>$O9*($H$23*($H9-$H$7)+$H$22*($H$10-$H9))/($H$10-$H$7)</f>
        <v>91.379499999999993</v>
      </c>
      <c r="Q9" s="1">
        <f>O9+2*$I$22</f>
        <v>93.91</v>
      </c>
      <c r="R9" s="62">
        <f>P9+2*$J$22</f>
        <v>93.731499999999997</v>
      </c>
      <c r="S9" s="213">
        <v>99</v>
      </c>
      <c r="T9" s="1">
        <f>$S9*($H$25*($H9-$H$9)+$H$24*($H$12-$H9))/($H$12-$H$9)</f>
        <v>99</v>
      </c>
      <c r="U9" s="1">
        <f t="shared" ref="U9:V12" si="4">S9+2*I$24</f>
        <v>103.41</v>
      </c>
      <c r="V9" s="62">
        <f t="shared" si="4"/>
        <v>102.52800000000001</v>
      </c>
      <c r="W9" s="22"/>
      <c r="X9" s="1"/>
      <c r="Y9" s="1"/>
      <c r="Z9" s="1"/>
      <c r="AC9" s="1"/>
      <c r="AD9" s="196">
        <v>2</v>
      </c>
      <c r="AE9" s="97" t="str">
        <f t="shared" si="1"/>
        <v>0</v>
      </c>
      <c r="AF9" s="75">
        <f>VLOOKUP(AD9,'主翼（空力）'!B53:C152,2)</f>
        <v>0.95000000000000007</v>
      </c>
      <c r="AG9" s="76">
        <v>55</v>
      </c>
      <c r="AH9" s="76">
        <v>55</v>
      </c>
      <c r="AI9" s="76">
        <v>56.695</v>
      </c>
      <c r="AJ9" s="76">
        <v>56.695</v>
      </c>
      <c r="AK9" s="181">
        <v>927564.33127605473</v>
      </c>
      <c r="AL9" s="181">
        <v>927564.3312760609</v>
      </c>
      <c r="AM9" s="181">
        <v>1855128.6642813568</v>
      </c>
      <c r="AN9" s="182">
        <v>594.79397672067023</v>
      </c>
      <c r="AO9" s="182">
        <v>9798.4492207984258</v>
      </c>
      <c r="AP9" s="76">
        <v>350.91090072022854</v>
      </c>
      <c r="AQ9" s="76">
        <v>128.54669117765229</v>
      </c>
      <c r="AR9" s="179">
        <v>16.301557051223895</v>
      </c>
      <c r="AS9" s="25">
        <f t="shared" si="2"/>
        <v>119235.32563994858</v>
      </c>
      <c r="AT9" s="180">
        <f t="shared" si="3"/>
        <v>30241.485758143321</v>
      </c>
      <c r="AU9" s="2">
        <f>'主翼（空力）'!L53</f>
        <v>0</v>
      </c>
      <c r="AV9" s="27"/>
      <c r="AW9" s="27"/>
      <c r="AX9" s="27"/>
      <c r="AY9" s="27"/>
      <c r="AZ9" s="1"/>
      <c r="BA9" s="2" t="e">
        <f>IF((AF9-AF8)&gt;0,(AN8+AN9+SQRT(AN8*AN9))*(AF9-AF8)/3*10^-6*#REF!,0)</f>
        <v>#REF!</v>
      </c>
    </row>
    <row r="10" spans="2:53">
      <c r="B10" s="244"/>
      <c r="E10" s="245"/>
      <c r="G10" s="10" t="s">
        <v>628</v>
      </c>
      <c r="H10" s="9">
        <f>H7+K22</f>
        <v>5.1999999999999993</v>
      </c>
      <c r="I10" s="63">
        <f>(S10-Q10)</f>
        <v>4.6873700000000014</v>
      </c>
      <c r="J10" s="62">
        <f>(T10-R10)</f>
        <v>4.9755073278421094</v>
      </c>
      <c r="K10" s="22"/>
      <c r="L10" s="1"/>
      <c r="M10" s="1"/>
      <c r="N10" s="62"/>
      <c r="O10" s="22">
        <f>$O$7-$L$22*(H10-$H$7)</f>
        <v>87.100000000000009</v>
      </c>
      <c r="P10" s="1">
        <f>$O10*($H$23*($H10-$H$7)+$H$22*($H$10-$H10))/($H$10-$H$7)</f>
        <v>88.929100000000005</v>
      </c>
      <c r="Q10" s="1">
        <f>O10+2*$I$22</f>
        <v>91.51</v>
      </c>
      <c r="R10" s="62">
        <f>P10+2*$J$22</f>
        <v>91.281100000000009</v>
      </c>
      <c r="S10" s="22">
        <f>$S$9-$L$24*(H10-$H$9)</f>
        <v>96.197370000000006</v>
      </c>
      <c r="T10" s="1">
        <f>$S10*($H$25*($H10-$H$9)+$H$24*($H$12-$H10))/($H$12-$H$9)</f>
        <v>96.256607327842119</v>
      </c>
      <c r="U10" s="1">
        <f t="shared" si="4"/>
        <v>100.60737</v>
      </c>
      <c r="V10" s="62">
        <f t="shared" si="4"/>
        <v>99.784607327842124</v>
      </c>
      <c r="W10" s="22"/>
      <c r="X10" s="1"/>
      <c r="Y10" s="1"/>
      <c r="Z10" s="1"/>
      <c r="AC10" s="1"/>
      <c r="AD10" s="196">
        <v>3</v>
      </c>
      <c r="AE10" s="97" t="str">
        <f t="shared" si="1"/>
        <v>0</v>
      </c>
      <c r="AF10" s="75">
        <f>VLOOKUP(AD10,'主翼（空力）'!B54:C153,2)</f>
        <v>1.1000000000000001</v>
      </c>
      <c r="AG10" s="76">
        <v>55</v>
      </c>
      <c r="AH10" s="76">
        <v>55</v>
      </c>
      <c r="AI10" s="76">
        <v>56.695</v>
      </c>
      <c r="AJ10" s="76">
        <v>56.695</v>
      </c>
      <c r="AK10" s="181">
        <v>927564.33127605473</v>
      </c>
      <c r="AL10" s="181">
        <v>927564.3312760609</v>
      </c>
      <c r="AM10" s="181">
        <v>1855128.6642813568</v>
      </c>
      <c r="AN10" s="182">
        <v>594.79397672067023</v>
      </c>
      <c r="AO10" s="182">
        <v>9798.4492207984258</v>
      </c>
      <c r="AP10" s="76">
        <v>350.91090072022854</v>
      </c>
      <c r="AQ10" s="76">
        <v>128.54669117765229</v>
      </c>
      <c r="AR10" s="179">
        <v>16.301557051223895</v>
      </c>
      <c r="AS10" s="25">
        <f t="shared" si="2"/>
        <v>119235.32563994858</v>
      </c>
      <c r="AT10" s="180">
        <f t="shared" si="3"/>
        <v>30241.485758143321</v>
      </c>
      <c r="AU10" s="2">
        <f>'主翼（空力）'!L54</f>
        <v>0</v>
      </c>
      <c r="AV10" s="27"/>
      <c r="AW10" s="27"/>
      <c r="AX10" s="27"/>
      <c r="AY10" s="27"/>
      <c r="AZ10" s="1"/>
      <c r="BA10" s="2" t="e">
        <f>IF((AF10-AF9)&gt;0,(AN9+AN10+SQRT(AN9*AN10))*(AF10-AF9)/3*10^-6*#REF!,0)</f>
        <v>#REF!</v>
      </c>
    </row>
    <row r="11" spans="2:53">
      <c r="B11" s="244"/>
      <c r="E11" s="245"/>
      <c r="G11" s="10" t="s">
        <v>594</v>
      </c>
      <c r="H11" s="9">
        <f>H12-O22</f>
        <v>8.3999999999999986</v>
      </c>
      <c r="I11" s="63">
        <f>(W11-U11)</f>
        <v>3.6873500000000092</v>
      </c>
      <c r="J11" s="62">
        <f>(X11-V11)</f>
        <v>4.0930178039473617</v>
      </c>
      <c r="K11" s="22"/>
      <c r="L11" s="1"/>
      <c r="M11" s="1"/>
      <c r="N11" s="62"/>
      <c r="O11" s="22"/>
      <c r="P11" s="1"/>
      <c r="Q11" s="1"/>
      <c r="R11" s="62"/>
      <c r="S11" s="22">
        <f>$S$9-$L$24*(H11-$H$9)</f>
        <v>66.30265</v>
      </c>
      <c r="T11" s="1">
        <f>$S11*($H$25*($H11-$H$9)+$H$24*($H$12-$H11))/($H$12-$H$9)</f>
        <v>66.778982196052638</v>
      </c>
      <c r="U11" s="1">
        <f t="shared" si="4"/>
        <v>70.712649999999996</v>
      </c>
      <c r="V11" s="62">
        <f t="shared" si="4"/>
        <v>70.306982196052644</v>
      </c>
      <c r="W11" s="213">
        <v>74.400000000000006</v>
      </c>
      <c r="X11" s="1">
        <f>$W11*($H$27*($H11-$H$11)+$H$26*($H$13-$H11))/($H$13-$H$11)</f>
        <v>74.400000000000006</v>
      </c>
      <c r="Y11" s="1">
        <f t="shared" ref="Y11:Z13" si="5">W11+2*I$26</f>
        <v>77.928000000000011</v>
      </c>
      <c r="Z11" s="1">
        <f t="shared" si="5"/>
        <v>76.75200000000001</v>
      </c>
      <c r="AC11" s="1"/>
      <c r="AD11" s="196">
        <v>4</v>
      </c>
      <c r="AE11" s="97" t="str">
        <f t="shared" si="1"/>
        <v>0</v>
      </c>
      <c r="AF11" s="75">
        <f>VLOOKUP(AD11,'主翼（空力）'!B55:C154,2)</f>
        <v>1.25</v>
      </c>
      <c r="AG11" s="76">
        <v>55</v>
      </c>
      <c r="AH11" s="76">
        <v>55</v>
      </c>
      <c r="AI11" s="76">
        <v>60.954999999999998</v>
      </c>
      <c r="AJ11" s="76">
        <v>61.159749999999995</v>
      </c>
      <c r="AK11" s="181">
        <v>3679059.7778962436</v>
      </c>
      <c r="AL11" s="181">
        <v>3758310.0167815923</v>
      </c>
      <c r="AM11" s="181">
        <v>7436160.4959747586</v>
      </c>
      <c r="AN11" s="182">
        <v>2208.6491354470913</v>
      </c>
      <c r="AO11" s="182">
        <v>10578.766475598</v>
      </c>
      <c r="AP11" s="76">
        <v>364.61626608747662</v>
      </c>
      <c r="AQ11" s="76">
        <v>113.34563451684357</v>
      </c>
      <c r="AR11" s="179">
        <v>14.661092788303325</v>
      </c>
      <c r="AS11" s="25">
        <f t="shared" si="2"/>
        <v>417005.36495104729</v>
      </c>
      <c r="AT11" s="180">
        <f t="shared" si="3"/>
        <v>109022.23902020161</v>
      </c>
      <c r="AU11" s="2">
        <f>'主翼（空力）'!L55</f>
        <v>0</v>
      </c>
      <c r="AV11" s="27"/>
      <c r="AW11" s="27"/>
      <c r="AX11" s="27"/>
      <c r="AY11" s="27"/>
      <c r="AZ11" s="1"/>
      <c r="BA11" s="2" t="e">
        <f>IF((AF11-AF10)&gt;0,(AN10+AN11+SQRT(AN10*AN11))*(AF11-AF10)/3*10^-6*#REF!,0)</f>
        <v>#REF!</v>
      </c>
    </row>
    <row r="12" spans="2:53">
      <c r="B12" s="244"/>
      <c r="E12" s="245"/>
      <c r="G12" s="10" t="s">
        <v>629</v>
      </c>
      <c r="H12" s="9">
        <f>H9+K24</f>
        <v>8.6999999999999993</v>
      </c>
      <c r="I12" s="63">
        <f>(W12-U12)</f>
        <v>3.9399799999999914</v>
      </c>
      <c r="J12" s="62">
        <f>(X12-V12)</f>
        <v>4.3266798439999974</v>
      </c>
      <c r="K12" s="22"/>
      <c r="L12" s="1"/>
      <c r="M12" s="1"/>
      <c r="N12" s="62"/>
      <c r="O12" s="22"/>
      <c r="P12" s="1"/>
      <c r="Q12" s="1"/>
      <c r="R12" s="62"/>
      <c r="S12" s="22">
        <f>$S$9-$L$24*(H12-$H$9)</f>
        <v>63.500019999999999</v>
      </c>
      <c r="T12" s="1">
        <f>$S12*($H$25*($H12-$H$9)+$H$24*($H$12-$H12))/($H$12-$H$9)</f>
        <v>63.995320155999998</v>
      </c>
      <c r="U12" s="1">
        <f t="shared" si="4"/>
        <v>67.910020000000003</v>
      </c>
      <c r="V12" s="62">
        <f t="shared" si="4"/>
        <v>67.523320155999997</v>
      </c>
      <c r="W12" s="22">
        <f>$W$11-$L$26*(H12-$H$11)</f>
        <v>71.849999999999994</v>
      </c>
      <c r="X12" s="1">
        <f>$W12*($H$27*($H12-$H$11)+$H$26*($H$13-$H12))/($H$13-$H$11)</f>
        <v>71.849999999999994</v>
      </c>
      <c r="Y12" s="1">
        <f t="shared" si="5"/>
        <v>75.378</v>
      </c>
      <c r="Z12" s="1">
        <f t="shared" si="5"/>
        <v>74.201999999999998</v>
      </c>
      <c r="AC12" s="1"/>
      <c r="AD12" s="196">
        <v>5</v>
      </c>
      <c r="AE12" s="97" t="str">
        <f t="shared" si="1"/>
        <v>0-1接合</v>
      </c>
      <c r="AF12" s="75">
        <f>VLOOKUP(AD12,'主翼（空力）'!B56:C155,2)</f>
        <v>1.4</v>
      </c>
      <c r="AG12" s="76">
        <v>55</v>
      </c>
      <c r="AH12" s="76">
        <v>55</v>
      </c>
      <c r="AI12" s="76">
        <v>60.155000000000001</v>
      </c>
      <c r="AJ12" s="76">
        <v>60.342950000000002</v>
      </c>
      <c r="AK12" s="181">
        <v>3120848.0485842824</v>
      </c>
      <c r="AL12" s="181">
        <v>3190208.1344231619</v>
      </c>
      <c r="AM12" s="181">
        <v>6309925.0111976657</v>
      </c>
      <c r="AN12" s="182">
        <v>1900.557340455897</v>
      </c>
      <c r="AO12" s="182">
        <v>10431.907697316106</v>
      </c>
      <c r="AP12" s="76">
        <v>362.07650359235737</v>
      </c>
      <c r="AQ12" s="76">
        <v>113.34563451684357</v>
      </c>
      <c r="AR12" s="179">
        <v>14.661092788303325</v>
      </c>
      <c r="AS12" s="25">
        <f t="shared" si="2"/>
        <v>353734.50229743856</v>
      </c>
      <c r="AT12" s="180">
        <f t="shared" si="3"/>
        <v>92510.396076404868</v>
      </c>
      <c r="AU12" s="2">
        <f>'主翼（空力）'!L56</f>
        <v>0</v>
      </c>
      <c r="AV12" s="27"/>
      <c r="AW12" s="27"/>
      <c r="AX12" s="27"/>
      <c r="AY12" s="27"/>
      <c r="AZ12" s="1"/>
      <c r="BA12" s="2" t="e">
        <f>IF((AF12-AF11)&gt;0,(AN11+AN12+SQRT(AN11*AN12))*(AF12-AF11)/3*10^-6*#REF!,0)</f>
        <v>#REF!</v>
      </c>
    </row>
    <row r="13" spans="2:53">
      <c r="B13" s="244"/>
      <c r="E13" s="245"/>
      <c r="G13" s="10" t="s">
        <v>630</v>
      </c>
      <c r="H13" s="9">
        <f>H11+K26</f>
        <v>12.2</v>
      </c>
      <c r="I13" s="63"/>
      <c r="J13" s="62"/>
      <c r="K13" s="22"/>
      <c r="L13" s="1"/>
      <c r="M13" s="1"/>
      <c r="N13" s="62"/>
      <c r="O13" s="22"/>
      <c r="P13" s="1"/>
      <c r="Q13" s="1"/>
      <c r="R13" s="62"/>
      <c r="S13" s="22"/>
      <c r="T13" s="1"/>
      <c r="U13" s="1"/>
      <c r="V13" s="62"/>
      <c r="W13" s="22">
        <f>$W$11-$L$26*(H13-$H$11)</f>
        <v>42.1</v>
      </c>
      <c r="X13" s="1">
        <f>$W13*($H$27*($H13-$H$11)+$H$26*($H$13-$H13))/($H$13-$H$11)</f>
        <v>42.1</v>
      </c>
      <c r="Y13" s="1">
        <f t="shared" si="5"/>
        <v>45.628</v>
      </c>
      <c r="Z13" s="1">
        <f t="shared" si="5"/>
        <v>44.451999999999998</v>
      </c>
      <c r="AC13" s="1"/>
      <c r="AD13" s="196">
        <v>6</v>
      </c>
      <c r="AE13" s="97" t="str">
        <f t="shared" si="1"/>
        <v>0-1接合</v>
      </c>
      <c r="AF13" s="75">
        <f>VLOOKUP(AD13,'主翼（空力）'!B57:C156,2)</f>
        <v>1.5499999999999998</v>
      </c>
      <c r="AG13" s="76">
        <v>57.15</v>
      </c>
      <c r="AH13" s="76">
        <v>58.350149999999992</v>
      </c>
      <c r="AI13" s="76">
        <v>59.354999999999997</v>
      </c>
      <c r="AJ13" s="76">
        <v>59.526149999999994</v>
      </c>
      <c r="AK13" s="181">
        <v>1211743.2997121168</v>
      </c>
      <c r="AL13" s="181">
        <v>917745.6479444342</v>
      </c>
      <c r="AM13" s="181">
        <v>2031706.4797556757</v>
      </c>
      <c r="AN13" s="182">
        <v>621.29100934949827</v>
      </c>
      <c r="AO13" s="182">
        <v>10786.013039169731</v>
      </c>
      <c r="AP13" s="76">
        <v>368.18282279477393</v>
      </c>
      <c r="AQ13" s="76">
        <v>98.144577856034871</v>
      </c>
      <c r="AR13" s="179">
        <v>13.020628525382756</v>
      </c>
      <c r="AS13" s="25">
        <f t="shared" si="2"/>
        <v>118926.03462012445</v>
      </c>
      <c r="AT13" s="180">
        <f t="shared" si="3"/>
        <v>26454.095345511734</v>
      </c>
      <c r="AU13" s="2">
        <f>'主翼（空力）'!L57</f>
        <v>0</v>
      </c>
      <c r="AV13" s="27"/>
      <c r="AW13" s="27"/>
      <c r="AX13" s="27"/>
      <c r="AY13" s="27"/>
      <c r="AZ13" s="1"/>
      <c r="BA13" s="2" t="e">
        <f>IF((AF13-AF12)&gt;0,(AN12+AN13+SQRT(AN12*AN13))*(AF13-AF12)/3*10^-6*#REF!,0)</f>
        <v>#REF!</v>
      </c>
    </row>
    <row r="14" spans="2:53" ht="21" thickBot="1">
      <c r="B14" s="246"/>
      <c r="C14" s="247"/>
      <c r="D14" s="247"/>
      <c r="E14" s="248"/>
      <c r="G14" s="10" t="s">
        <v>962</v>
      </c>
      <c r="H14" s="9">
        <f>'主翼（空力）'!H13</f>
        <v>12.4</v>
      </c>
      <c r="I14" s="63"/>
      <c r="J14" s="62"/>
      <c r="K14" s="22"/>
      <c r="L14" s="1"/>
      <c r="M14" s="1"/>
      <c r="N14" s="62"/>
      <c r="O14" s="22"/>
      <c r="P14" s="1"/>
      <c r="Q14" s="1"/>
      <c r="R14" s="62"/>
      <c r="S14" s="22"/>
      <c r="T14" s="1"/>
      <c r="U14" s="1"/>
      <c r="V14" s="62"/>
      <c r="W14" s="22"/>
      <c r="X14" s="1"/>
      <c r="Y14" s="1"/>
      <c r="Z14" s="1"/>
      <c r="AC14" s="1"/>
      <c r="AD14" s="196">
        <v>7</v>
      </c>
      <c r="AE14" s="97" t="str">
        <f t="shared" si="1"/>
        <v>0-1接合</v>
      </c>
      <c r="AF14" s="75">
        <f>VLOOKUP(AD14,'主翼（空力）'!B58:C157,2)</f>
        <v>1.6999999999999997</v>
      </c>
      <c r="AG14" s="76">
        <v>56.35</v>
      </c>
      <c r="AH14" s="76">
        <v>57.533349999999999</v>
      </c>
      <c r="AI14" s="76">
        <v>58.555</v>
      </c>
      <c r="AJ14" s="76">
        <v>58.709350000000001</v>
      </c>
      <c r="AK14" s="181">
        <v>1162479.3559664472</v>
      </c>
      <c r="AL14" s="181">
        <v>880158.55648699601</v>
      </c>
      <c r="AM14" s="181">
        <v>1948813.6313182258</v>
      </c>
      <c r="AN14" s="182">
        <v>612.7312581753207</v>
      </c>
      <c r="AO14" s="182">
        <v>10490.459158868071</v>
      </c>
      <c r="AP14" s="76">
        <v>363.10311963876757</v>
      </c>
      <c r="AQ14" s="76">
        <v>98.144577856034871</v>
      </c>
      <c r="AR14" s="179">
        <v>13.020628525382756</v>
      </c>
      <c r="AS14" s="25">
        <f t="shared" si="2"/>
        <v>114091.04565768226</v>
      </c>
      <c r="AT14" s="180">
        <f t="shared" si="3"/>
        <v>25374.778358596843</v>
      </c>
      <c r="AU14" s="2">
        <f>'主翼（空力）'!L58</f>
        <v>0</v>
      </c>
      <c r="AV14" s="27"/>
      <c r="AW14" s="27"/>
      <c r="AX14" s="27"/>
      <c r="AY14" s="27"/>
      <c r="AZ14" s="1"/>
      <c r="BA14" s="2" t="e">
        <f>IF((AF14-AF13)&gt;0,(AN13+AN14+SQRT(AN13*AN14))*(AF14-AF13)/3*10^-6*#REF!,0)</f>
        <v>#REF!</v>
      </c>
    </row>
    <row r="15" spans="2:53">
      <c r="AC15" s="1"/>
      <c r="AD15" s="196">
        <v>8</v>
      </c>
      <c r="AE15" s="97" t="str">
        <f t="shared" si="1"/>
        <v>1</v>
      </c>
      <c r="AF15" s="75">
        <f>VLOOKUP(AD15,'主翼（空力）'!B59:C158,2)</f>
        <v>1.8499999999999996</v>
      </c>
      <c r="AG15" s="76">
        <v>55.55</v>
      </c>
      <c r="AH15" s="76">
        <v>56.716549999999991</v>
      </c>
      <c r="AI15" s="76">
        <v>57.754999999999995</v>
      </c>
      <c r="AJ15" s="76">
        <v>57.892549999999993</v>
      </c>
      <c r="AK15" s="181">
        <v>1114569.0696443412</v>
      </c>
      <c r="AL15" s="181">
        <v>843612.00815889717</v>
      </c>
      <c r="AM15" s="181">
        <v>1868206.6282121004</v>
      </c>
      <c r="AN15" s="182">
        <v>604.17150583651051</v>
      </c>
      <c r="AO15" s="182">
        <v>10199.010963173529</v>
      </c>
      <c r="AP15" s="76">
        <v>358.02341798925579</v>
      </c>
      <c r="AQ15" s="76">
        <v>98.144577856034871</v>
      </c>
      <c r="AR15" s="179">
        <v>13.020628525382756</v>
      </c>
      <c r="AS15" s="25">
        <f t="shared" si="2"/>
        <v>109388.9108316374</v>
      </c>
      <c r="AT15" s="180">
        <f t="shared" si="3"/>
        <v>24325.224514607613</v>
      </c>
      <c r="AU15" s="2">
        <f>'主翼（空力）'!L59</f>
        <v>0</v>
      </c>
      <c r="AV15" s="27"/>
      <c r="AW15" s="27"/>
      <c r="AX15" s="27"/>
      <c r="AY15" s="27"/>
      <c r="AZ15" s="1"/>
      <c r="BA15" s="2" t="e">
        <f>IF((AF15-AF14)&gt;0,(AN14+AN15+SQRT(AN14*AN15))*(AF15-AF14)/3*10^-6*#REF!,0)</f>
        <v>#REF!</v>
      </c>
    </row>
    <row r="16" spans="2:53">
      <c r="F16" t="s">
        <v>11</v>
      </c>
      <c r="N16" t="s">
        <v>1096</v>
      </c>
      <c r="AC16" s="1"/>
      <c r="AD16" s="196">
        <v>9</v>
      </c>
      <c r="AE16" s="97" t="str">
        <f t="shared" si="1"/>
        <v>1</v>
      </c>
      <c r="AF16" s="75">
        <f>VLOOKUP(AD16,'主翼（空力）'!B60:C159,2)</f>
        <v>1.9999999999999996</v>
      </c>
      <c r="AG16" s="76">
        <v>54.75</v>
      </c>
      <c r="AH16" s="76">
        <v>55.899749999999997</v>
      </c>
      <c r="AI16" s="76">
        <v>56.954999999999998</v>
      </c>
      <c r="AJ16" s="76">
        <v>57.075749999999999</v>
      </c>
      <c r="AK16" s="181">
        <v>1067993.5828292524</v>
      </c>
      <c r="AL16" s="181">
        <v>808091.39693825436</v>
      </c>
      <c r="AM16" s="181">
        <v>1789853.511313939</v>
      </c>
      <c r="AN16" s="182">
        <v>595.61175228432967</v>
      </c>
      <c r="AO16" s="182">
        <v>9911.6684520861145</v>
      </c>
      <c r="AP16" s="76">
        <v>352.94371791125519</v>
      </c>
      <c r="AQ16" s="76">
        <v>98.144577856034871</v>
      </c>
      <c r="AR16" s="179">
        <v>13.020628525382756</v>
      </c>
      <c r="AS16" s="25">
        <f t="shared" si="2"/>
        <v>104817.77933973119</v>
      </c>
      <c r="AT16" s="180">
        <f t="shared" si="3"/>
        <v>23305.017685670762</v>
      </c>
      <c r="AU16" s="2">
        <f>'主翼（空力）'!L60</f>
        <v>0</v>
      </c>
      <c r="AV16" s="27"/>
      <c r="AW16" s="27"/>
      <c r="AX16" s="27"/>
      <c r="AY16" s="27"/>
      <c r="AZ16" s="1"/>
      <c r="BA16" s="2" t="e">
        <f>IF((AF16-AF15)&gt;0,(AN15+AN16+SQRT(AN15*AN16))*(AF16-AF15)/3*10^-6*#REF!,0)</f>
        <v>#REF!</v>
      </c>
    </row>
    <row r="17" spans="2:53">
      <c r="F17" s="10" t="s">
        <v>1286</v>
      </c>
      <c r="G17" s="10" t="s">
        <v>843</v>
      </c>
      <c r="H17" s="10" t="s">
        <v>961</v>
      </c>
      <c r="I17" s="10" t="s">
        <v>967</v>
      </c>
      <c r="J17" s="37" t="s">
        <v>965</v>
      </c>
      <c r="K17" s="10" t="s">
        <v>969</v>
      </c>
      <c r="L17" s="10" t="s">
        <v>1168</v>
      </c>
      <c r="N17" s="10" t="s">
        <v>158</v>
      </c>
      <c r="O17" s="10" t="s">
        <v>1095</v>
      </c>
      <c r="P17" s="10" t="s">
        <v>1097</v>
      </c>
      <c r="Q17" s="10" t="s">
        <v>1196</v>
      </c>
      <c r="AC17" s="1"/>
      <c r="AD17" s="196">
        <v>10</v>
      </c>
      <c r="AE17" s="97" t="str">
        <f t="shared" si="1"/>
        <v>1</v>
      </c>
      <c r="AF17" s="75">
        <f>VLOOKUP(AD17,'主翼（空力）'!B61:C160,2)</f>
        <v>2.1499999999999995</v>
      </c>
      <c r="AG17" s="76">
        <v>53.95</v>
      </c>
      <c r="AH17" s="76">
        <v>55.082949999999997</v>
      </c>
      <c r="AI17" s="76">
        <v>56.155000000000001</v>
      </c>
      <c r="AJ17" s="76">
        <v>56.258949999999999</v>
      </c>
      <c r="AK17" s="181">
        <v>1022734.0376046614</v>
      </c>
      <c r="AL17" s="181">
        <v>773582.11680316308</v>
      </c>
      <c r="AM17" s="181">
        <v>1713722.3215004622</v>
      </c>
      <c r="AN17" s="182">
        <v>587.05199746732058</v>
      </c>
      <c r="AO17" s="182">
        <v>9628.4316256058228</v>
      </c>
      <c r="AP17" s="76">
        <v>347.86401947362458</v>
      </c>
      <c r="AQ17" s="76">
        <v>98.144577856034871</v>
      </c>
      <c r="AR17" s="179">
        <v>13.020628525382756</v>
      </c>
      <c r="AS17" s="25">
        <f t="shared" si="2"/>
        <v>100375.80037970759</v>
      </c>
      <c r="AT17" s="180">
        <f t="shared" si="3"/>
        <v>22313.741743914081</v>
      </c>
      <c r="AU17" s="2">
        <f>'主翼（空力）'!L61</f>
        <v>0</v>
      </c>
      <c r="AV17" s="27"/>
      <c r="AW17" s="27"/>
      <c r="AX17" s="27"/>
      <c r="AY17" s="27"/>
      <c r="AZ17" s="1"/>
      <c r="BA17" s="2" t="e">
        <f>IF((AF17-AF16)&gt;0,(AN16+AN17+SQRT(AN16*AN17))*(AF17-AF16)/3*10^-6*#REF!,0)</f>
        <v>#REF!</v>
      </c>
    </row>
    <row r="18" spans="2:53">
      <c r="B18" s="29" t="s">
        <v>574</v>
      </c>
      <c r="C18" s="29"/>
      <c r="D18" s="29" t="s">
        <v>467</v>
      </c>
      <c r="F18" s="1" t="s">
        <v>45</v>
      </c>
      <c r="G18" s="1" t="s">
        <v>45</v>
      </c>
      <c r="H18" s="1" t="s">
        <v>46</v>
      </c>
      <c r="I18" s="1" t="s">
        <v>963</v>
      </c>
      <c r="J18" s="62" t="s">
        <v>964</v>
      </c>
      <c r="K18" s="1" t="s">
        <v>465</v>
      </c>
      <c r="L18" s="1" t="s">
        <v>583</v>
      </c>
      <c r="N18" s="1" t="s">
        <v>46</v>
      </c>
      <c r="O18" s="1" t="s">
        <v>465</v>
      </c>
      <c r="P18" s="1" t="s">
        <v>45</v>
      </c>
      <c r="Q18" s="1" t="s">
        <v>465</v>
      </c>
      <c r="U18" t="s">
        <v>23</v>
      </c>
      <c r="Y18" t="s">
        <v>20</v>
      </c>
      <c r="AC18" s="1"/>
      <c r="AD18" s="196">
        <v>11</v>
      </c>
      <c r="AE18" s="97" t="str">
        <f t="shared" si="1"/>
        <v>1</v>
      </c>
      <c r="AF18" s="75">
        <f>VLOOKUP(AD18,'主翼（空力）'!B62:C161,2)</f>
        <v>2.2999999999999994</v>
      </c>
      <c r="AG18" s="76">
        <v>53.15</v>
      </c>
      <c r="AH18" s="76">
        <v>54.266149999999996</v>
      </c>
      <c r="AI18" s="76">
        <v>55.354999999999997</v>
      </c>
      <c r="AJ18" s="76">
        <v>55.442149999999998</v>
      </c>
      <c r="AK18" s="181">
        <v>978771.57605400798</v>
      </c>
      <c r="AL18" s="181">
        <v>740069.56173170707</v>
      </c>
      <c r="AM18" s="181">
        <v>1639781.0996483155</v>
      </c>
      <c r="AN18" s="182">
        <v>578.49224133104019</v>
      </c>
      <c r="AO18" s="182">
        <v>9349.3004837326534</v>
      </c>
      <c r="AP18" s="76">
        <v>342.78432274926791</v>
      </c>
      <c r="AQ18" s="76">
        <v>98.144577856034871</v>
      </c>
      <c r="AR18" s="179">
        <v>13.020628525382756</v>
      </c>
      <c r="AS18" s="25">
        <f t="shared" si="2"/>
        <v>96061.123149306542</v>
      </c>
      <c r="AT18" s="180">
        <f t="shared" si="3"/>
        <v>21350.980561464363</v>
      </c>
      <c r="AU18" s="2">
        <f>'主翼（空力）'!L62</f>
        <v>0</v>
      </c>
      <c r="AV18" s="27"/>
      <c r="AW18" s="27"/>
      <c r="AX18" s="27"/>
      <c r="AY18" s="27"/>
      <c r="AZ18" s="1"/>
      <c r="BA18" s="2" t="e">
        <f>IF((AF18-AF17)&gt;0,(AN17+AN18+SQRT(AN17*AN18))*(AF18-AF17)/3*10^-6*#REF!,0)</f>
        <v>#REF!</v>
      </c>
    </row>
    <row r="19" spans="2:53" ht="21" thickBot="1">
      <c r="B19" s="29" t="s">
        <v>1287</v>
      </c>
      <c r="C19" s="29"/>
      <c r="D19" s="29" t="s">
        <v>5</v>
      </c>
      <c r="F19" s="19" t="s">
        <v>45</v>
      </c>
      <c r="G19" s="19" t="s">
        <v>45</v>
      </c>
      <c r="H19" s="19" t="s">
        <v>45</v>
      </c>
      <c r="I19" s="19" t="s">
        <v>960</v>
      </c>
      <c r="J19" s="211" t="s">
        <v>960</v>
      </c>
      <c r="K19" s="19" t="s">
        <v>5</v>
      </c>
      <c r="L19" s="19" t="s">
        <v>968</v>
      </c>
      <c r="N19" s="19" t="s">
        <v>46</v>
      </c>
      <c r="O19" s="19" t="s">
        <v>5</v>
      </c>
      <c r="P19" s="19" t="s">
        <v>45</v>
      </c>
      <c r="Q19" s="19" t="s">
        <v>5</v>
      </c>
      <c r="U19">
        <v>0</v>
      </c>
      <c r="V19">
        <v>1</v>
      </c>
      <c r="W19">
        <v>2</v>
      </c>
      <c r="X19">
        <v>3</v>
      </c>
      <c r="Y19">
        <v>0</v>
      </c>
      <c r="Z19">
        <v>1</v>
      </c>
      <c r="AA19">
        <v>2</v>
      </c>
      <c r="AB19">
        <v>3</v>
      </c>
      <c r="AC19" s="1"/>
      <c r="AD19" s="196">
        <v>12</v>
      </c>
      <c r="AE19" s="97" t="str">
        <f t="shared" si="1"/>
        <v>1</v>
      </c>
      <c r="AF19" s="75">
        <f>VLOOKUP(AD19,'主翼（空力）'!B63:C162,2)</f>
        <v>2.4499999999999993</v>
      </c>
      <c r="AG19" s="76">
        <v>52.349999999999994</v>
      </c>
      <c r="AH19" s="76">
        <v>53.449349999999988</v>
      </c>
      <c r="AI19" s="76">
        <v>54.554999999999993</v>
      </c>
      <c r="AJ19" s="76">
        <v>54.62534999999999</v>
      </c>
      <c r="AK19" s="181">
        <v>936087.34026076109</v>
      </c>
      <c r="AL19" s="181">
        <v>707539.12570196204</v>
      </c>
      <c r="AM19" s="181">
        <v>1567997.8866341789</v>
      </c>
      <c r="AN19" s="182">
        <v>569.93248381788874</v>
      </c>
      <c r="AO19" s="182">
        <v>9074.2750264666047</v>
      </c>
      <c r="AP19" s="76">
        <v>337.7046278154935</v>
      </c>
      <c r="AQ19" s="76">
        <v>98.144577856034871</v>
      </c>
      <c r="AR19" s="179">
        <v>13.020628525382756</v>
      </c>
      <c r="AS19" s="25">
        <f t="shared" si="2"/>
        <v>91871.896846270873</v>
      </c>
      <c r="AT19" s="180">
        <f t="shared" si="3"/>
        <v>20416.318010448867</v>
      </c>
      <c r="AU19" s="2">
        <f>'主翼（空力）'!L63</f>
        <v>0</v>
      </c>
      <c r="AV19" s="27"/>
      <c r="AW19" s="27"/>
      <c r="AX19" s="27"/>
      <c r="AY19" s="27"/>
      <c r="AZ19" s="1"/>
      <c r="BA19" s="2" t="e">
        <f>IF((AF19-AF18)&gt;0,(AN18+AN19+SQRT(AN18*AN19))*(AF19-AF18)/3*10^-6*#REF!,0)</f>
        <v>#REF!</v>
      </c>
    </row>
    <row r="20" spans="2:53" ht="21" thickTop="1">
      <c r="B20" s="29" t="s">
        <v>1288</v>
      </c>
      <c r="C20" s="29"/>
      <c r="D20" s="29" t="s">
        <v>312</v>
      </c>
      <c r="F20" s="260" t="s">
        <v>494</v>
      </c>
      <c r="G20" s="173" t="s">
        <v>501</v>
      </c>
      <c r="H20" s="43">
        <v>1</v>
      </c>
      <c r="I20" s="23">
        <f>VLOOKUP('主翼（構造）'!$G20,積層構成!$B$7:$M$29,7)</f>
        <v>1.6950000000000001</v>
      </c>
      <c r="J20" s="217">
        <f>VLOOKUP('主翼（構造）'!$G20,積層構成!$B$7:$M$29,8)</f>
        <v>1.6950000000000001</v>
      </c>
      <c r="K20" s="224">
        <v>3.5</v>
      </c>
      <c r="L20" s="43">
        <v>0</v>
      </c>
      <c r="N20" s="44" t="s">
        <v>1193</v>
      </c>
      <c r="O20" s="43">
        <v>0.35</v>
      </c>
      <c r="P20" s="173">
        <v>2</v>
      </c>
      <c r="Q20" s="43">
        <v>0.5</v>
      </c>
      <c r="T20" t="s">
        <v>1300</v>
      </c>
      <c r="U20">
        <f>SLOPE(M6:M8,H6:H8)</f>
        <v>0</v>
      </c>
      <c r="V20">
        <f>SLOPE(Q7:Q10,H7:H10)</f>
        <v>-8.0000000000000018</v>
      </c>
      <c r="W20">
        <f>SLOPE(U9:U12,H9:H12)</f>
        <v>-9.3421000000000021</v>
      </c>
      <c r="X20">
        <f>SLOPE(Y11:Y13,$H$11:$H$13)</f>
        <v>-8.5</v>
      </c>
      <c r="Y20">
        <f>SLOPE(N6:N8,H6:H8)</f>
        <v>0</v>
      </c>
      <c r="Z20">
        <f>SLOPE(R7:R10,H7:H10)</f>
        <v>-8.1679999999999975</v>
      </c>
      <c r="AA20">
        <f>SLOPE(V9:V12,H9:H12)</f>
        <v>-9.2117578536842135</v>
      </c>
      <c r="AB20">
        <f>SLOPE(Z11:Z13,$H$11:$H$13)</f>
        <v>-8.5</v>
      </c>
      <c r="AC20" s="1"/>
      <c r="AD20" s="196">
        <v>13</v>
      </c>
      <c r="AE20" s="97" t="str">
        <f t="shared" si="1"/>
        <v>1</v>
      </c>
      <c r="AF20" s="75">
        <f>VLOOKUP(AD20,'主翼（空力）'!B64:C163,2)</f>
        <v>2.5999999999999992</v>
      </c>
      <c r="AG20" s="76">
        <v>51.55</v>
      </c>
      <c r="AH20" s="76">
        <v>52.632549999999995</v>
      </c>
      <c r="AI20" s="76">
        <v>53.754999999999995</v>
      </c>
      <c r="AJ20" s="76">
        <v>53.808549999999997</v>
      </c>
      <c r="AK20" s="181">
        <v>894662.47230836505</v>
      </c>
      <c r="AL20" s="181">
        <v>675976.20269203256</v>
      </c>
      <c r="AM20" s="181">
        <v>1498340.7233347527</v>
      </c>
      <c r="AN20" s="182">
        <v>561.37272486687107</v>
      </c>
      <c r="AO20" s="182">
        <v>8803.3552538076838</v>
      </c>
      <c r="AP20" s="76">
        <v>332.62493475432638</v>
      </c>
      <c r="AQ20" s="76">
        <v>98.144577856034871</v>
      </c>
      <c r="AR20" s="179">
        <v>13.020628525382756</v>
      </c>
      <c r="AS20" s="25">
        <f t="shared" si="2"/>
        <v>87806.270668340978</v>
      </c>
      <c r="AT20" s="180">
        <f t="shared" si="3"/>
        <v>19509.337962995112</v>
      </c>
      <c r="AU20" s="2">
        <f>'主翼（空力）'!L64</f>
        <v>0</v>
      </c>
      <c r="AV20" s="27"/>
      <c r="AW20" s="27"/>
      <c r="AX20" s="27"/>
      <c r="AY20" s="27"/>
      <c r="AZ20" s="1"/>
      <c r="BA20" s="2" t="e">
        <f>IF((AF20-AF19)&gt;0,(AN19+AN20+SQRT(AN19*AN20))*(AF20-AF19)/3*10^-6*#REF!,0)</f>
        <v>#REF!</v>
      </c>
    </row>
    <row r="21" spans="2:53" ht="21" thickBot="1">
      <c r="B21" s="29" t="s">
        <v>1289</v>
      </c>
      <c r="C21" s="29"/>
      <c r="D21" s="29" t="s">
        <v>478</v>
      </c>
      <c r="F21" s="259"/>
      <c r="G21" s="174" t="s">
        <v>938</v>
      </c>
      <c r="H21" s="175">
        <v>1</v>
      </c>
      <c r="I21" s="176">
        <f>VLOOKUP('主翼（構造）'!$G21,積層構成!$B$7:$M$29,7)</f>
        <v>1.6950000000000001</v>
      </c>
      <c r="J21" s="220">
        <f>VLOOKUP('主翼（構造）'!$G21,積層構成!$B$7:$M$29,8)</f>
        <v>1.6950000000000001</v>
      </c>
      <c r="K21" s="221"/>
      <c r="L21" s="219"/>
      <c r="N21" s="237" t="s">
        <v>1194</v>
      </c>
      <c r="O21" s="21">
        <v>0.3</v>
      </c>
      <c r="P21" s="26">
        <v>2</v>
      </c>
      <c r="Q21" s="21">
        <v>0.5</v>
      </c>
      <c r="T21" t="s">
        <v>1299</v>
      </c>
      <c r="U21">
        <f>INTERCEPT(M6:M8,H6:H8)</f>
        <v>113.39</v>
      </c>
      <c r="V21">
        <f>INTERCEPT(Q7:Q10,H7:H10)</f>
        <v>133.10999999999999</v>
      </c>
      <c r="W21">
        <f>INTERCEPT(U9:U12,H9:H12)</f>
        <v>149.18629000000001</v>
      </c>
      <c r="X21">
        <f>INTERCEPT(Y11:Y13,$H$11:$H$13)</f>
        <v>149.32799999999997</v>
      </c>
      <c r="Y21">
        <f>INTERCEPT(N6:N8,H6:H8)</f>
        <v>113.39</v>
      </c>
      <c r="Z21">
        <f>INTERCEPT(R7:R10,H7:H10)</f>
        <v>133.75469999999999</v>
      </c>
      <c r="AA21">
        <f>INTERCEPT(V9:V12,H9:H12)</f>
        <v>147.67568082502635</v>
      </c>
      <c r="AB21">
        <f>INTERCEPT(Z11:Z13,$H$11:$H$13)</f>
        <v>148.15199999999999</v>
      </c>
      <c r="AC21" s="1"/>
      <c r="AD21" s="196">
        <v>14</v>
      </c>
      <c r="AE21" s="97" t="str">
        <f t="shared" si="1"/>
        <v>1</v>
      </c>
      <c r="AF21" s="75">
        <f>VLOOKUP(AD21,'主翼（空力）'!B65:C164,2)</f>
        <v>2.7499999999999991</v>
      </c>
      <c r="AG21" s="76">
        <v>50.75</v>
      </c>
      <c r="AH21" s="76">
        <v>51.815749999999994</v>
      </c>
      <c r="AI21" s="76">
        <v>52.954999999999998</v>
      </c>
      <c r="AJ21" s="76">
        <v>52.991749999999996</v>
      </c>
      <c r="AK21" s="181">
        <v>854478.11428028019</v>
      </c>
      <c r="AL21" s="181">
        <v>645366.18667999993</v>
      </c>
      <c r="AM21" s="181">
        <v>1430777.6506266897</v>
      </c>
      <c r="AN21" s="182">
        <v>552.81296441332825</v>
      </c>
      <c r="AO21" s="182">
        <v>8536.5411657558852</v>
      </c>
      <c r="AP21" s="76">
        <v>327.54524365288643</v>
      </c>
      <c r="AQ21" s="76">
        <v>98.144577856034871</v>
      </c>
      <c r="AR21" s="179">
        <v>13.020628525382756</v>
      </c>
      <c r="AS21" s="25">
        <f t="shared" si="2"/>
        <v>83862.393813258823</v>
      </c>
      <c r="AT21" s="180">
        <f t="shared" si="3"/>
        <v>18629.624291229997</v>
      </c>
      <c r="AU21" s="2">
        <f>'主翼（空力）'!L65</f>
        <v>0</v>
      </c>
      <c r="AV21" s="27"/>
      <c r="AW21" s="27"/>
      <c r="AX21" s="27"/>
      <c r="AY21" s="27"/>
      <c r="AZ21" s="1"/>
      <c r="BA21" s="2" t="e">
        <f>IF((AF21-AF20)&gt;0,(AN20+AN21+SQRT(AN20*AN21))*(AF21-AF20)/3*10^-6*#REF!,0)</f>
        <v>#REF!</v>
      </c>
    </row>
    <row r="22" spans="2:53" ht="21" thickTop="1">
      <c r="F22" s="260" t="s">
        <v>495</v>
      </c>
      <c r="G22" s="173" t="s">
        <v>886</v>
      </c>
      <c r="H22" s="43">
        <v>1.0209999999999999</v>
      </c>
      <c r="I22" s="23">
        <f>VLOOKUP('主翼（構造）'!$G22,積層構成!$B$7:$M$29,7)</f>
        <v>2.2050000000000001</v>
      </c>
      <c r="J22" s="217">
        <f>VLOOKUP('主翼（構造）'!$G22,積層構成!$B$7:$M$29,8)</f>
        <v>1.1759999999999999</v>
      </c>
      <c r="K22" s="5">
        <v>3.8</v>
      </c>
      <c r="L22" s="4">
        <v>8</v>
      </c>
      <c r="N22" s="237" t="s">
        <v>1195</v>
      </c>
      <c r="O22" s="21">
        <v>0.3</v>
      </c>
      <c r="P22" s="26">
        <v>2</v>
      </c>
      <c r="Q22" s="21">
        <v>0.5</v>
      </c>
      <c r="AC22" s="1"/>
      <c r="AD22" s="196">
        <v>15</v>
      </c>
      <c r="AE22" s="97" t="str">
        <f t="shared" si="1"/>
        <v>1</v>
      </c>
      <c r="AF22" s="75">
        <f>VLOOKUP(AD22,'主翼（空力）'!B66:C165,2)</f>
        <v>2.899999999999999</v>
      </c>
      <c r="AG22" s="76">
        <v>49.949999999999996</v>
      </c>
      <c r="AH22" s="76">
        <v>50.998949999999994</v>
      </c>
      <c r="AI22" s="76">
        <v>52.154999999999994</v>
      </c>
      <c r="AJ22" s="76">
        <v>52.174949999999995</v>
      </c>
      <c r="AK22" s="181">
        <v>815515.40825995337</v>
      </c>
      <c r="AL22" s="181">
        <v>615694.47164392041</v>
      </c>
      <c r="AM22" s="181">
        <v>1365276.709386691</v>
      </c>
      <c r="AN22" s="182">
        <v>544.25320238868721</v>
      </c>
      <c r="AO22" s="182">
        <v>8273.8327623112091</v>
      </c>
      <c r="AP22" s="76">
        <v>322.46555460376749</v>
      </c>
      <c r="AQ22" s="76">
        <v>98.144577856034871</v>
      </c>
      <c r="AR22" s="179">
        <v>13.020628525382756</v>
      </c>
      <c r="AS22" s="25">
        <f t="shared" si="2"/>
        <v>80038.415478765062</v>
      </c>
      <c r="AT22" s="180">
        <f t="shared" si="3"/>
        <v>17776.760867281053</v>
      </c>
      <c r="AU22" s="2">
        <f>'主翼（空力）'!L66</f>
        <v>0</v>
      </c>
      <c r="AV22" s="27"/>
      <c r="AW22" s="27"/>
      <c r="AX22" s="27"/>
      <c r="AY22" s="27"/>
      <c r="AZ22" s="1"/>
      <c r="BA22" s="2" t="e">
        <f>IF((AF22-AF21)&gt;0,(AN21+AN22+SQRT(AN21*AN22))*(AF22-AF21)/3*10^-6*#REF!,0)</f>
        <v>#REF!</v>
      </c>
    </row>
    <row r="23" spans="2:53" ht="21" thickBot="1">
      <c r="F23" s="259"/>
      <c r="G23" s="174" t="s">
        <v>886</v>
      </c>
      <c r="H23" s="175">
        <v>1.0209999999999999</v>
      </c>
      <c r="I23" s="176">
        <f>VLOOKUP('主翼（構造）'!$G23,積層構成!$B$7:$M$29,7)</f>
        <v>2.2050000000000001</v>
      </c>
      <c r="J23" s="220">
        <f>VLOOKUP('主翼（構造）'!$G23,積層構成!$B$7:$M$29,8)</f>
        <v>1.1759999999999999</v>
      </c>
      <c r="K23" s="221"/>
      <c r="L23" s="219"/>
      <c r="AC23" s="1"/>
      <c r="AD23" s="196">
        <v>16</v>
      </c>
      <c r="AE23" s="97" t="str">
        <f t="shared" si="1"/>
        <v>1</v>
      </c>
      <c r="AF23" s="75">
        <f>VLOOKUP(AD23,'主翼（空力）'!B67:C166,2)</f>
        <v>3.0499999999999989</v>
      </c>
      <c r="AG23" s="76">
        <v>49.149999999999991</v>
      </c>
      <c r="AH23" s="76">
        <v>50.182149999999986</v>
      </c>
      <c r="AI23" s="76">
        <v>51.35499999999999</v>
      </c>
      <c r="AJ23" s="76">
        <v>51.358149999999988</v>
      </c>
      <c r="AK23" s="181">
        <v>777755.49633082643</v>
      </c>
      <c r="AL23" s="181">
        <v>586946.45156191336</v>
      </c>
      <c r="AM23" s="181">
        <v>1301805.9404914088</v>
      </c>
      <c r="AN23" s="182">
        <v>535.69343872010734</v>
      </c>
      <c r="AO23" s="182">
        <v>8015.2300434736553</v>
      </c>
      <c r="AP23" s="76">
        <v>317.38586770550478</v>
      </c>
      <c r="AQ23" s="76">
        <v>98.144577856034871</v>
      </c>
      <c r="AR23" s="179">
        <v>13.020628525382756</v>
      </c>
      <c r="AS23" s="25">
        <f t="shared" si="2"/>
        <v>76332.484862599842</v>
      </c>
      <c r="AT23" s="180">
        <f t="shared" si="3"/>
        <v>16950.331563275166</v>
      </c>
      <c r="AU23" s="2">
        <f>'主翼（空力）'!L67</f>
        <v>0</v>
      </c>
      <c r="AV23" s="27"/>
      <c r="AW23" s="27"/>
      <c r="AX23" s="27"/>
      <c r="AY23" s="27"/>
      <c r="AZ23" s="1"/>
      <c r="BA23" s="2" t="e">
        <f>IF((AF23-AF22)&gt;0,(AN22+AN23+SQRT(AN22*AN23))*(AF23-AF22)/3*10^-6*#REF!,0)</f>
        <v>#REF!</v>
      </c>
    </row>
    <row r="24" spans="2:53" ht="21" thickTop="1">
      <c r="F24" s="260" t="s">
        <v>496</v>
      </c>
      <c r="G24" s="173" t="s">
        <v>949</v>
      </c>
      <c r="H24" s="43">
        <v>1</v>
      </c>
      <c r="I24" s="23">
        <f>VLOOKUP('主翼（構造）'!$G24,積層構成!$B$7:$M$29,7)</f>
        <v>2.2050000000000001</v>
      </c>
      <c r="J24" s="217">
        <f>VLOOKUP('主翼（構造）'!$G24,積層構成!$B$7:$M$29,8)</f>
        <v>1.764</v>
      </c>
      <c r="K24" s="5">
        <v>3.8</v>
      </c>
      <c r="L24" s="4">
        <v>9.3421000000000003</v>
      </c>
      <c r="N24" t="s">
        <v>1211</v>
      </c>
      <c r="AC24" s="1"/>
      <c r="AD24" s="196">
        <v>17</v>
      </c>
      <c r="AE24" s="97" t="str">
        <f t="shared" si="1"/>
        <v>1</v>
      </c>
      <c r="AF24" s="75">
        <f>VLOOKUP(AD24,'主翼（空力）'!B68:C167,2)</f>
        <v>3.1999999999999988</v>
      </c>
      <c r="AG24" s="76">
        <v>48.349999999999994</v>
      </c>
      <c r="AH24" s="76">
        <v>49.365349999999992</v>
      </c>
      <c r="AI24" s="76">
        <v>50.554999999999993</v>
      </c>
      <c r="AJ24" s="76">
        <v>50.541349999999994</v>
      </c>
      <c r="AK24" s="181">
        <v>741179.52057635342</v>
      </c>
      <c r="AL24" s="181">
        <v>559107.52041201096</v>
      </c>
      <c r="AM24" s="181">
        <v>1240333.3848175448</v>
      </c>
      <c r="AN24" s="182">
        <v>527.13367333020426</v>
      </c>
      <c r="AO24" s="182">
        <v>7760.7330092432285</v>
      </c>
      <c r="AP24" s="76">
        <v>312.30618306303074</v>
      </c>
      <c r="AQ24" s="76">
        <v>98.144577856034871</v>
      </c>
      <c r="AR24" s="179">
        <v>13.020628525382756</v>
      </c>
      <c r="AS24" s="25">
        <f t="shared" si="2"/>
        <v>72742.75116250453</v>
      </c>
      <c r="AT24" s="180">
        <f t="shared" si="3"/>
        <v>16149.920251339872</v>
      </c>
      <c r="AU24" s="2">
        <f>'主翼（空力）'!L68</f>
        <v>0</v>
      </c>
      <c r="AV24" s="27"/>
      <c r="AW24" s="27"/>
      <c r="AX24" s="27"/>
      <c r="AY24" s="27"/>
      <c r="AZ24" s="1"/>
      <c r="BA24" s="2" t="e">
        <f>IF((AF24-AF23)&gt;0,(AN23+AN24+SQRT(AN23*AN24))*(AF24-AF23)/3*10^-6*#REF!,0)</f>
        <v>#REF!</v>
      </c>
    </row>
    <row r="25" spans="2:53" ht="21" thickBot="1">
      <c r="F25" s="259"/>
      <c r="G25" s="174" t="s">
        <v>949</v>
      </c>
      <c r="H25" s="175">
        <v>1.0078</v>
      </c>
      <c r="I25" s="176">
        <f>VLOOKUP('主翼（構造）'!$G25,積層構成!$B$7:$M$29,7)</f>
        <v>2.2050000000000001</v>
      </c>
      <c r="J25" s="220">
        <f>VLOOKUP('主翼（構造）'!$G25,積層構成!$B$7:$M$29,8)</f>
        <v>1.764</v>
      </c>
      <c r="K25" s="221"/>
      <c r="L25" s="219"/>
      <c r="N25" s="1" t="s">
        <v>863</v>
      </c>
      <c r="O25" s="21">
        <v>10</v>
      </c>
      <c r="P25" s="1" t="s">
        <v>765</v>
      </c>
      <c r="AC25" s="1"/>
      <c r="AD25" s="196">
        <v>18</v>
      </c>
      <c r="AE25" s="97" t="str">
        <f t="shared" si="1"/>
        <v>1</v>
      </c>
      <c r="AF25" s="75">
        <f>VLOOKUP(AD25,'主翼（空力）'!B69:C168,2)</f>
        <v>3.3499999999999988</v>
      </c>
      <c r="AG25" s="76">
        <v>47.55</v>
      </c>
      <c r="AH25" s="76">
        <v>48.548549999999992</v>
      </c>
      <c r="AI25" s="76">
        <v>49.754999999999995</v>
      </c>
      <c r="AJ25" s="76">
        <v>49.724549999999994</v>
      </c>
      <c r="AK25" s="181">
        <v>705768.62307997711</v>
      </c>
      <c r="AL25" s="181">
        <v>532163.07217230392</v>
      </c>
      <c r="AM25" s="181">
        <v>1180827.0832417463</v>
      </c>
      <c r="AN25" s="182">
        <v>518.57390613666166</v>
      </c>
      <c r="AO25" s="182">
        <v>7510.3416596199231</v>
      </c>
      <c r="AP25" s="76">
        <v>307.22650078823483</v>
      </c>
      <c r="AQ25" s="76">
        <v>98.144577856034871</v>
      </c>
      <c r="AR25" s="179">
        <v>13.020628525382756</v>
      </c>
      <c r="AS25" s="25">
        <f t="shared" si="2"/>
        <v>69267.363576219344</v>
      </c>
      <c r="AT25" s="180">
        <f t="shared" si="3"/>
        <v>15375.110803602001</v>
      </c>
      <c r="AU25" s="2">
        <f>'主翼（空力）'!L69</f>
        <v>0</v>
      </c>
      <c r="AV25" s="27"/>
      <c r="AW25" s="27"/>
      <c r="AX25" s="27"/>
      <c r="AY25" s="27"/>
      <c r="AZ25" s="1"/>
      <c r="BA25" s="2" t="e">
        <f>IF((AF25-AF24)&gt;0,(AN24+AN25+SQRT(AN24*AN25))*(AF25-AF24)/3*10^-6*#REF!,0)</f>
        <v>#REF!</v>
      </c>
    </row>
    <row r="26" spans="2:53" ht="21" thickTop="1">
      <c r="F26" s="260" t="s">
        <v>497</v>
      </c>
      <c r="G26" s="118" t="s">
        <v>952</v>
      </c>
      <c r="H26" s="4">
        <v>1</v>
      </c>
      <c r="I26" s="2">
        <f>VLOOKUP('主翼（構造）'!$G26,積層構成!$B$7:$M$29,7)</f>
        <v>1.7639999999999998</v>
      </c>
      <c r="J26" s="212">
        <f>VLOOKUP('主翼（構造）'!$G26,積層構成!$B$7:$M$29,8)</f>
        <v>1.1759999999999999</v>
      </c>
      <c r="K26" s="5">
        <v>3.8</v>
      </c>
      <c r="L26" s="4">
        <v>8.5</v>
      </c>
      <c r="N26" s="1" t="s">
        <v>864</v>
      </c>
      <c r="O26" s="21">
        <v>10</v>
      </c>
      <c r="P26" s="1" t="s">
        <v>765</v>
      </c>
      <c r="AC26" s="1"/>
      <c r="AD26" s="196">
        <v>19</v>
      </c>
      <c r="AE26" s="97" t="str">
        <f t="shared" si="1"/>
        <v>1</v>
      </c>
      <c r="AF26" s="75">
        <f>VLOOKUP(AD26,'主翼（空力）'!B70:C169,2)</f>
        <v>3.4999999999999987</v>
      </c>
      <c r="AG26" s="76">
        <v>46.749999999999993</v>
      </c>
      <c r="AH26" s="76">
        <v>47.731749999999991</v>
      </c>
      <c r="AI26" s="76">
        <v>48.954999999999991</v>
      </c>
      <c r="AJ26" s="76">
        <v>48.907749999999993</v>
      </c>
      <c r="AK26" s="181">
        <v>671503.94592512609</v>
      </c>
      <c r="AL26" s="181">
        <v>506098.50082082849</v>
      </c>
      <c r="AM26" s="181">
        <v>1123255.0766407165</v>
      </c>
      <c r="AN26" s="182">
        <v>510.01413705181182</v>
      </c>
      <c r="AO26" s="182">
        <v>7264.0559946037401</v>
      </c>
      <c r="AP26" s="76">
        <v>302.14682100051664</v>
      </c>
      <c r="AQ26" s="76">
        <v>98.144577856034871</v>
      </c>
      <c r="AR26" s="179">
        <v>13.020628525382756</v>
      </c>
      <c r="AS26" s="25">
        <f t="shared" si="2"/>
        <v>65904.471301483165</v>
      </c>
      <c r="AT26" s="180">
        <f t="shared" si="3"/>
        <v>14625.487092189107</v>
      </c>
      <c r="AU26" s="2">
        <f>'主翼（空力）'!L70</f>
        <v>0</v>
      </c>
      <c r="AV26" s="27"/>
      <c r="AW26" s="27"/>
      <c r="AX26" s="27"/>
      <c r="AY26" s="27"/>
      <c r="AZ26" s="1"/>
      <c r="BA26" s="2" t="e">
        <f>IF((AF26-AF25)&gt;0,(AN25+AN26+SQRT(AN25*AN26))*(AF26-AF25)/3*10^-6*#REF!,0)</f>
        <v>#REF!</v>
      </c>
    </row>
    <row r="27" spans="2:53">
      <c r="F27" s="44"/>
      <c r="G27" s="118" t="s">
        <v>952</v>
      </c>
      <c r="H27" s="4">
        <v>1</v>
      </c>
      <c r="I27" s="2">
        <f>VLOOKUP('主翼（構造）'!$G27,積層構成!$B$7:$M$29,7)</f>
        <v>1.7639999999999998</v>
      </c>
      <c r="J27" s="212">
        <f>VLOOKUP('主翼（構造）'!$G27,積層構成!$B$7:$M$29,8)</f>
        <v>1.1759999999999999</v>
      </c>
      <c r="N27" s="1" t="s">
        <v>865</v>
      </c>
      <c r="O27" s="26">
        <v>1000</v>
      </c>
      <c r="P27" s="1" t="s">
        <v>765</v>
      </c>
      <c r="AC27" s="1"/>
      <c r="AD27" s="196">
        <v>20</v>
      </c>
      <c r="AE27" s="97" t="str">
        <f t="shared" si="1"/>
        <v>1</v>
      </c>
      <c r="AF27" s="75">
        <f>VLOOKUP(AD27,'主翼（空力）'!B71:C170,2)</f>
        <v>3.6499999999999986</v>
      </c>
      <c r="AG27" s="76">
        <v>45.949999999999996</v>
      </c>
      <c r="AH27" s="76">
        <v>46.91494999999999</v>
      </c>
      <c r="AI27" s="76">
        <v>48.154999999999994</v>
      </c>
      <c r="AJ27" s="76">
        <v>48.090949999999992</v>
      </c>
      <c r="AK27" s="181">
        <v>638366.6311952516</v>
      </c>
      <c r="AL27" s="181">
        <v>480899.20033566101</v>
      </c>
      <c r="AM27" s="181">
        <v>1067585.4058910895</v>
      </c>
      <c r="AN27" s="182">
        <v>501.45436598225274</v>
      </c>
      <c r="AO27" s="182">
        <v>7021.8760141946823</v>
      </c>
      <c r="AP27" s="76">
        <v>297.06714382743826</v>
      </c>
      <c r="AQ27" s="76">
        <v>98.144577856034871</v>
      </c>
      <c r="AR27" s="179">
        <v>13.020628525382756</v>
      </c>
      <c r="AS27" s="25">
        <f t="shared" si="2"/>
        <v>62652.223536037076</v>
      </c>
      <c r="AT27" s="180">
        <f t="shared" si="3"/>
        <v>13900.632989227848</v>
      </c>
      <c r="AU27" s="2">
        <f>'主翼（空力）'!L71</f>
        <v>0</v>
      </c>
      <c r="AV27" s="27"/>
      <c r="AW27" s="27"/>
      <c r="AX27" s="27"/>
      <c r="AY27" s="27"/>
      <c r="AZ27" s="1"/>
      <c r="BA27" s="2" t="e">
        <f>IF((AF27-AF26)&gt;0,(AN26+AN27+SQRT(AN26*AN27))*(AF27-AF26)/3*10^-6*#REF!,0)</f>
        <v>#REF!</v>
      </c>
    </row>
    <row r="28" spans="2:53">
      <c r="AC28" s="1"/>
      <c r="AD28" s="196">
        <v>21</v>
      </c>
      <c r="AE28" s="97" t="str">
        <f t="shared" si="1"/>
        <v>1</v>
      </c>
      <c r="AF28" s="75">
        <f>VLOOKUP(AD28,'主翼（空力）'!B72:C171,2)</f>
        <v>3.7999999999999985</v>
      </c>
      <c r="AG28" s="76">
        <v>45.349999999999994</v>
      </c>
      <c r="AH28" s="76">
        <v>46.30234999999999</v>
      </c>
      <c r="AI28" s="76">
        <v>47.554999999999993</v>
      </c>
      <c r="AJ28" s="76">
        <v>47.478349999999992</v>
      </c>
      <c r="AK28" s="181">
        <v>614242.13252379408</v>
      </c>
      <c r="AL28" s="181">
        <v>462558.77254271222</v>
      </c>
      <c r="AM28" s="181">
        <v>1027062.3353212699</v>
      </c>
      <c r="AN28" s="182">
        <v>495.03453631789654</v>
      </c>
      <c r="AO28" s="182">
        <v>6842.9353844113139</v>
      </c>
      <c r="AP28" s="76">
        <v>293.2573877452179</v>
      </c>
      <c r="AQ28" s="76">
        <v>98.144577856034871</v>
      </c>
      <c r="AR28" s="179">
        <v>13.020628525382756</v>
      </c>
      <c r="AS28" s="25">
        <f t="shared" si="2"/>
        <v>60284.534797938402</v>
      </c>
      <c r="AT28" s="180">
        <f t="shared" si="3"/>
        <v>13372.997140630358</v>
      </c>
      <c r="AU28" s="2">
        <f>'主翼（空力）'!L72</f>
        <v>0</v>
      </c>
      <c r="AV28" s="27"/>
      <c r="AW28" s="27"/>
      <c r="AX28" s="27"/>
      <c r="AY28" s="27"/>
      <c r="AZ28" s="1"/>
      <c r="BA28" s="2" t="e">
        <f>IF((AF28-AF27)&gt;0,(AN27+AN28+SQRT(AN27*AN28))*(AF28-AF27)/3*10^-6*#REF!,0)</f>
        <v>#REF!</v>
      </c>
    </row>
    <row r="29" spans="2:53">
      <c r="AC29" s="1"/>
      <c r="AD29" s="196">
        <v>22</v>
      </c>
      <c r="AE29" s="97" t="str">
        <f t="shared" si="1"/>
        <v>1</v>
      </c>
      <c r="AF29" s="75">
        <f>VLOOKUP(AD29,'主翼（空力）'!B73:C172,2)</f>
        <v>3.9499999999999984</v>
      </c>
      <c r="AG29" s="76">
        <v>44.749999999999993</v>
      </c>
      <c r="AH29" s="76">
        <v>45.689749999999989</v>
      </c>
      <c r="AI29" s="76">
        <v>50.013999999999996</v>
      </c>
      <c r="AJ29" s="76">
        <v>50.14974999999999</v>
      </c>
      <c r="AK29" s="181">
        <v>1696264.7836370231</v>
      </c>
      <c r="AL29" s="181">
        <v>1606219.4316736383</v>
      </c>
      <c r="AM29" s="181">
        <v>3292205.2906225957</v>
      </c>
      <c r="AN29" s="182">
        <v>1455.0371499687415</v>
      </c>
      <c r="AO29" s="182">
        <v>7133.0916602100242</v>
      </c>
      <c r="AP29" s="76">
        <v>299.41318156977997</v>
      </c>
      <c r="AQ29" s="76">
        <v>92.023981569427491</v>
      </c>
      <c r="AR29" s="179">
        <v>14.148207091055601</v>
      </c>
      <c r="AS29" s="25">
        <f t="shared" si="2"/>
        <v>156097.03918628232</v>
      </c>
      <c r="AT29" s="180">
        <f t="shared" si="3"/>
        <v>46578.802237997377</v>
      </c>
      <c r="AU29" s="2">
        <f>'主翼（空力）'!L73</f>
        <v>0</v>
      </c>
      <c r="AV29" s="27"/>
      <c r="AW29" s="27"/>
      <c r="AX29" s="27"/>
      <c r="AY29" s="27"/>
      <c r="AZ29" s="1"/>
      <c r="BA29" s="2" t="e">
        <f>IF((AF29-AF28)&gt;0,(AN28+AN29+SQRT(AN28*AN29))*(AF29-AF28)/3*10^-6*#REF!,0)</f>
        <v>#REF!</v>
      </c>
    </row>
    <row r="30" spans="2:53">
      <c r="AC30" s="1"/>
      <c r="AD30" s="196">
        <v>23</v>
      </c>
      <c r="AE30" s="97" t="str">
        <f t="shared" si="1"/>
        <v>1</v>
      </c>
      <c r="AF30" s="75">
        <f>VLOOKUP(AD30,'主翼（空力）'!B74:C173,2)</f>
        <v>4.0999999999999988</v>
      </c>
      <c r="AG30" s="76">
        <v>44.149999999999991</v>
      </c>
      <c r="AH30" s="76">
        <v>45.077149999999989</v>
      </c>
      <c r="AI30" s="76">
        <v>49.413999999999994</v>
      </c>
      <c r="AJ30" s="76">
        <v>49.540749999999989</v>
      </c>
      <c r="AK30" s="181">
        <v>1632899.7700968154</v>
      </c>
      <c r="AL30" s="181">
        <v>1546513.4215529545</v>
      </c>
      <c r="AM30" s="181">
        <v>3169612.0703123393</v>
      </c>
      <c r="AN30" s="182">
        <v>1437.0909924367886</v>
      </c>
      <c r="AO30" s="182">
        <v>6952.9957910955472</v>
      </c>
      <c r="AP30" s="76">
        <v>295.6090944579729</v>
      </c>
      <c r="AQ30" s="76">
        <v>92.023981569427491</v>
      </c>
      <c r="AR30" s="179">
        <v>14.148207091055601</v>
      </c>
      <c r="AS30" s="25">
        <f t="shared" si="2"/>
        <v>150265.93834811173</v>
      </c>
      <c r="AT30" s="180">
        <f t="shared" si="3"/>
        <v>44844.327969088466</v>
      </c>
      <c r="AU30" s="2">
        <f>'主翼（空力）'!L74</f>
        <v>0</v>
      </c>
      <c r="AV30" s="27"/>
      <c r="AW30" s="27"/>
      <c r="AX30" s="27"/>
      <c r="AY30" s="27"/>
      <c r="AZ30" s="1"/>
      <c r="BA30" s="2" t="e">
        <f>IF((AF30-AF29)&gt;0,(AN29+AN30+SQRT(AN29*AN30))*(AF30-AF29)/3*10^-6*#REF!,0)</f>
        <v>#REF!</v>
      </c>
    </row>
    <row r="31" spans="2:53">
      <c r="AC31" s="1"/>
      <c r="AD31" s="196">
        <v>24</v>
      </c>
      <c r="AE31" s="97" t="str">
        <f t="shared" si="1"/>
        <v>1</v>
      </c>
      <c r="AF31" s="75">
        <f>VLOOKUP(AD31,'主翼（空力）'!B75:C174,2)</f>
        <v>4.2499999999999991</v>
      </c>
      <c r="AG31" s="76">
        <v>47.04999999999999</v>
      </c>
      <c r="AH31" s="76">
        <v>47.755749999999985</v>
      </c>
      <c r="AI31" s="76">
        <v>48.813999999999993</v>
      </c>
      <c r="AJ31" s="76">
        <v>48.931749999999987</v>
      </c>
      <c r="AK31" s="181">
        <v>560309.19549204863</v>
      </c>
      <c r="AL31" s="181">
        <v>468281.1690952839</v>
      </c>
      <c r="AM31" s="181">
        <v>1008585.2031832144</v>
      </c>
      <c r="AN31" s="182">
        <v>444.24717998171968</v>
      </c>
      <c r="AO31" s="182">
        <v>7279.7381595055158</v>
      </c>
      <c r="AP31" s="76">
        <v>302.47118595681286</v>
      </c>
      <c r="AQ31" s="76">
        <v>85.903385282820111</v>
      </c>
      <c r="AR31" s="179">
        <v>15.275785656728447</v>
      </c>
      <c r="AS31" s="25">
        <f t="shared" si="2"/>
        <v>48132.456697860427</v>
      </c>
      <c r="AT31" s="180">
        <f t="shared" si="3"/>
        <v>15406.931380374692</v>
      </c>
      <c r="AU31" s="2">
        <f>'主翼（空力）'!L75</f>
        <v>0</v>
      </c>
      <c r="AV31" s="27"/>
      <c r="AW31" s="27"/>
      <c r="AX31" s="27"/>
      <c r="AY31" s="27"/>
      <c r="AZ31" s="1"/>
      <c r="BA31" s="2" t="e">
        <f>IF((AF31-AF30)&gt;0,(AN30+AN31+SQRT(AN30*AN31))*(AF31-AF30)/3*10^-6*#REF!,0)</f>
        <v>#REF!</v>
      </c>
    </row>
    <row r="32" spans="2:53">
      <c r="AC32" s="1"/>
      <c r="AD32" s="196">
        <v>25</v>
      </c>
      <c r="AE32" s="97" t="str">
        <f t="shared" si="1"/>
        <v>1</v>
      </c>
      <c r="AF32" s="75">
        <f>VLOOKUP(AD32,'主翼（空力）'!B76:C175,2)</f>
        <v>4.3999999999999995</v>
      </c>
      <c r="AG32" s="76">
        <v>46.249999999999986</v>
      </c>
      <c r="AH32" s="76">
        <v>46.94374999999998</v>
      </c>
      <c r="AI32" s="76">
        <v>48.013999999999989</v>
      </c>
      <c r="AJ32" s="76">
        <v>48.119749999999982</v>
      </c>
      <c r="AK32" s="181">
        <v>532709.07291632204</v>
      </c>
      <c r="AL32" s="181">
        <v>445094.87184536806</v>
      </c>
      <c r="AM32" s="181">
        <v>958778.45159491396</v>
      </c>
      <c r="AN32" s="182">
        <v>436.81357519673031</v>
      </c>
      <c r="AO32" s="182">
        <v>7038.0045931293471</v>
      </c>
      <c r="AP32" s="76">
        <v>297.40666955524443</v>
      </c>
      <c r="AQ32" s="76">
        <v>85.903385282820111</v>
      </c>
      <c r="AR32" s="179">
        <v>15.275785656728447</v>
      </c>
      <c r="AS32" s="25">
        <f t="shared" si="2"/>
        <v>45761.512734384727</v>
      </c>
      <c r="AT32" s="180">
        <f t="shared" si="3"/>
        <v>14646.094118853896</v>
      </c>
      <c r="AU32" s="2">
        <f>'主翼（空力）'!L76</f>
        <v>0</v>
      </c>
      <c r="AV32" s="27"/>
      <c r="AW32" s="27"/>
      <c r="AX32" s="27"/>
      <c r="AY32" s="27"/>
      <c r="AZ32" s="1"/>
      <c r="BA32" s="2" t="e">
        <f>IF((AF32-AF31)&gt;0,(AN31+AN32+SQRT(AN31*AN32))*(AF32-AF31)/3*10^-6*#REF!,0)</f>
        <v>#REF!</v>
      </c>
    </row>
    <row r="33" spans="2:53">
      <c r="AC33" s="1"/>
      <c r="AD33" s="196">
        <v>26</v>
      </c>
      <c r="AE33" s="97" t="str">
        <f t="shared" si="1"/>
        <v>1</v>
      </c>
      <c r="AF33" s="75">
        <f>VLOOKUP(AD33,'主翼（空力）'!B77:C176,2)</f>
        <v>4.55</v>
      </c>
      <c r="AG33" s="76">
        <v>45.449999999999989</v>
      </c>
      <c r="AH33" s="76">
        <v>46.131749999999982</v>
      </c>
      <c r="AI33" s="76">
        <v>47.213999999999992</v>
      </c>
      <c r="AJ33" s="76">
        <v>47.307749999999984</v>
      </c>
      <c r="AK33" s="181">
        <v>506030.53046303376</v>
      </c>
      <c r="AL33" s="181">
        <v>422686.84891304286</v>
      </c>
      <c r="AM33" s="181">
        <v>910639.01197830832</v>
      </c>
      <c r="AN33" s="182">
        <v>429.37996981325608</v>
      </c>
      <c r="AO33" s="182">
        <v>6800.352583928724</v>
      </c>
      <c r="AP33" s="76">
        <v>292.34215404888585</v>
      </c>
      <c r="AQ33" s="76">
        <v>85.903385282820111</v>
      </c>
      <c r="AR33" s="179">
        <v>15.275785656728447</v>
      </c>
      <c r="AS33" s="25">
        <f t="shared" si="2"/>
        <v>43469.735623235829</v>
      </c>
      <c r="AT33" s="180">
        <f t="shared" si="3"/>
        <v>13910.726357635607</v>
      </c>
      <c r="AU33" s="2">
        <f>'主翼（空力）'!L77</f>
        <v>0</v>
      </c>
      <c r="AV33" s="27"/>
      <c r="AW33" s="27"/>
      <c r="AX33" s="27"/>
      <c r="AY33" s="27"/>
      <c r="AZ33" s="1"/>
      <c r="BA33" s="2" t="e">
        <f>IF((AF33-AF32)&gt;0,(AN32+AN33+SQRT(AN32*AN33))*(AF33-AF32)/3*10^-6*#REF!,0)</f>
        <v>#REF!</v>
      </c>
    </row>
    <row r="34" spans="2:53">
      <c r="AC34" s="1"/>
      <c r="AD34" s="196">
        <v>27</v>
      </c>
      <c r="AE34" s="97" t="str">
        <f t="shared" si="1"/>
        <v>1</v>
      </c>
      <c r="AF34" s="75">
        <f>VLOOKUP(AD34,'主翼（空力）'!B78:C177,2)</f>
        <v>4.7</v>
      </c>
      <c r="AG34" s="76">
        <v>44.649999999999991</v>
      </c>
      <c r="AH34" s="76">
        <v>45.319749999999985</v>
      </c>
      <c r="AI34" s="76">
        <v>46.413999999999994</v>
      </c>
      <c r="AJ34" s="76">
        <v>46.495749999999987</v>
      </c>
      <c r="AK34" s="181">
        <v>480257.91942906723</v>
      </c>
      <c r="AL34" s="181">
        <v>401043.8142377687</v>
      </c>
      <c r="AM34" s="181">
        <v>864138.49969917501</v>
      </c>
      <c r="AN34" s="182">
        <v>421.94636380070312</v>
      </c>
      <c r="AO34" s="182">
        <v>6566.7821319036439</v>
      </c>
      <c r="AP34" s="76">
        <v>287.27763948508868</v>
      </c>
      <c r="AQ34" s="76">
        <v>85.903385282820111</v>
      </c>
      <c r="AR34" s="179">
        <v>15.275785656728447</v>
      </c>
      <c r="AS34" s="25">
        <f t="shared" si="2"/>
        <v>41255.781087840747</v>
      </c>
      <c r="AT34" s="180">
        <f t="shared" si="3"/>
        <v>13200.394499131497</v>
      </c>
      <c r="AU34" s="2">
        <f>'主翼（空力）'!L78</f>
        <v>0</v>
      </c>
      <c r="AV34" s="27"/>
      <c r="AW34" s="27"/>
      <c r="AX34" s="27"/>
      <c r="AY34" s="27"/>
      <c r="AZ34" s="1"/>
      <c r="BA34" s="2" t="e">
        <f>IF((AF34-AF33)&gt;0,(AN33+AN34+SQRT(AN33*AN34))*(AF34-AF33)/3*10^-6*#REF!,0)</f>
        <v>#REF!</v>
      </c>
    </row>
    <row r="35" spans="2:53">
      <c r="AC35" s="1"/>
      <c r="AD35" s="196">
        <v>28</v>
      </c>
      <c r="AE35" s="97" t="str">
        <f t="shared" si="1"/>
        <v>1-2接合</v>
      </c>
      <c r="AF35" s="75">
        <f>VLOOKUP(AD35,'主翼（空力）'!B79:C178,2)</f>
        <v>4.9000000000000004</v>
      </c>
      <c r="AG35" s="76">
        <v>43.849999999999987</v>
      </c>
      <c r="AH35" s="76">
        <v>44.50774999999998</v>
      </c>
      <c r="AI35" s="76">
        <v>45.61399999999999</v>
      </c>
      <c r="AJ35" s="76">
        <v>45.683749999999982</v>
      </c>
      <c r="AK35" s="181">
        <v>455375.59111130214</v>
      </c>
      <c r="AL35" s="181">
        <v>380152.48175901169</v>
      </c>
      <c r="AM35" s="181">
        <v>819248.53012333321</v>
      </c>
      <c r="AN35" s="182">
        <v>414.51275712634759</v>
      </c>
      <c r="AO35" s="182">
        <v>6337.2932370541048</v>
      </c>
      <c r="AP35" s="76">
        <v>282.21312591458775</v>
      </c>
      <c r="AQ35" s="76">
        <v>85.903385282820111</v>
      </c>
      <c r="AR35" s="179">
        <v>15.275785656728447</v>
      </c>
      <c r="AS35" s="25">
        <f t="shared" si="2"/>
        <v>39118.304851626141</v>
      </c>
      <c r="AT35" s="180">
        <f t="shared" si="3"/>
        <v>12514.664945753877</v>
      </c>
      <c r="AU35" s="2">
        <f>'主翼（空力）'!L79</f>
        <v>0</v>
      </c>
      <c r="AV35" s="27"/>
      <c r="AW35" s="27"/>
      <c r="AX35" s="27"/>
      <c r="AY35" s="27"/>
      <c r="AZ35" s="1"/>
      <c r="BA35" s="2" t="e">
        <f>IF((AF35-AF34)&gt;0,(AN34+AN35+SQRT(AN34*AN35))*(AF35-AF34)/3*10^-6*#REF!,0)</f>
        <v>#REF!</v>
      </c>
    </row>
    <row r="36" spans="2:53">
      <c r="AC36" s="1"/>
      <c r="AD36" s="196">
        <v>29</v>
      </c>
      <c r="AE36" s="97" t="str">
        <f t="shared" si="1"/>
        <v>1-2接合</v>
      </c>
      <c r="AF36" s="75">
        <f>VLOOKUP(AD36,'主翼（空力）'!B80:C179,2)</f>
        <v>5.0500000000000007</v>
      </c>
      <c r="AG36" s="76">
        <v>43.049999999999983</v>
      </c>
      <c r="AH36" s="76">
        <v>43.695749999999975</v>
      </c>
      <c r="AI36" s="76">
        <v>44.813999999999986</v>
      </c>
      <c r="AJ36" s="76">
        <v>44.871749999999977</v>
      </c>
      <c r="AK36" s="181">
        <v>431367.89680660382</v>
      </c>
      <c r="AL36" s="181">
        <v>359999.56541622168</v>
      </c>
      <c r="AM36" s="181">
        <v>775940.71861654508</v>
      </c>
      <c r="AN36" s="182">
        <v>407.07914975515473</v>
      </c>
      <c r="AO36" s="182">
        <v>6111.8858993801114</v>
      </c>
      <c r="AP36" s="76">
        <v>277.14861339183636</v>
      </c>
      <c r="AQ36" s="76">
        <v>85.903385282820111</v>
      </c>
      <c r="AR36" s="179">
        <v>15.275785656728447</v>
      </c>
      <c r="AS36" s="25">
        <f t="shared" si="2"/>
        <v>37055.962638017474</v>
      </c>
      <c r="AT36" s="180">
        <f t="shared" si="3"/>
        <v>11853.104099914184</v>
      </c>
      <c r="AU36" s="2">
        <f>'主翼（空力）'!L80</f>
        <v>0</v>
      </c>
      <c r="AV36" s="27"/>
      <c r="AW36" s="27"/>
      <c r="AX36" s="27"/>
      <c r="AY36" s="27"/>
      <c r="AZ36" s="1"/>
      <c r="BA36" s="2" t="e">
        <f>IF((AF36-AF35)&gt;0,(AN35+AN36+SQRT(AN35*AN36))*(AF36-AF35)/3*10^-6*#REF!,0)</f>
        <v>#REF!</v>
      </c>
    </row>
    <row r="37" spans="2:53">
      <c r="AC37" s="1"/>
      <c r="AD37" s="196">
        <v>30</v>
      </c>
      <c r="AE37" s="97" t="str">
        <f t="shared" si="1"/>
        <v>2</v>
      </c>
      <c r="AF37" s="75">
        <f>VLOOKUP(AD37,'主翼（空力）'!B81:C180,2)</f>
        <v>5.2000000000000011</v>
      </c>
      <c r="AG37" s="76">
        <v>42.249999999999986</v>
      </c>
      <c r="AH37" s="76">
        <v>42.883749999999985</v>
      </c>
      <c r="AI37" s="76">
        <v>44.013999999999989</v>
      </c>
      <c r="AJ37" s="76">
        <v>44.059749999999987</v>
      </c>
      <c r="AK37" s="181">
        <v>408219.18781185918</v>
      </c>
      <c r="AL37" s="181">
        <v>340571.77914885426</v>
      </c>
      <c r="AM37" s="181">
        <v>734186.68054460501</v>
      </c>
      <c r="AN37" s="182">
        <v>399.64554164959031</v>
      </c>
      <c r="AO37" s="182">
        <v>5890.5601188816636</v>
      </c>
      <c r="AP37" s="76">
        <v>272.08410197533857</v>
      </c>
      <c r="AQ37" s="76">
        <v>85.903385282820111</v>
      </c>
      <c r="AR37" s="179">
        <v>15.275785656728447</v>
      </c>
      <c r="AS37" s="25">
        <f t="shared" si="2"/>
        <v>35067.410170442046</v>
      </c>
      <c r="AT37" s="180">
        <f t="shared" si="3"/>
        <v>11215.278364024347</v>
      </c>
      <c r="AU37" s="2">
        <f>'主翼（空力）'!L81</f>
        <v>0</v>
      </c>
      <c r="AV37" s="27"/>
      <c r="AW37" s="27"/>
      <c r="AX37" s="27"/>
      <c r="AY37" s="27"/>
      <c r="AZ37" s="1"/>
      <c r="BA37" s="2" t="e">
        <f>IF((AF37-AF36)&gt;0,(AN36+AN37+SQRT(AN36*AN37))*(AF37-AF36)/3*10^-6*#REF!,0)</f>
        <v>#REF!</v>
      </c>
    </row>
    <row r="38" spans="2:53">
      <c r="AC38" s="1"/>
      <c r="AD38" s="196">
        <v>31</v>
      </c>
      <c r="AE38" s="97" t="str">
        <f t="shared" si="1"/>
        <v>2</v>
      </c>
      <c r="AF38" s="75">
        <f>VLOOKUP(AD38,'主翼（空力）'!B82:C181,2)</f>
        <v>5.3500000000000014</v>
      </c>
      <c r="AG38" s="76">
        <v>41.449999999999989</v>
      </c>
      <c r="AH38" s="76">
        <v>42.071749999999987</v>
      </c>
      <c r="AI38" s="76">
        <v>43.213999999999992</v>
      </c>
      <c r="AJ38" s="76">
        <v>43.247749999999989</v>
      </c>
      <c r="AK38" s="181">
        <v>385913.81542393169</v>
      </c>
      <c r="AL38" s="181">
        <v>321855.83689636615</v>
      </c>
      <c r="AM38" s="181">
        <v>693958.03127332451</v>
      </c>
      <c r="AN38" s="182">
        <v>392.21193276935566</v>
      </c>
      <c r="AO38" s="182">
        <v>5673.3158955587596</v>
      </c>
      <c r="AP38" s="76">
        <v>267.01959172803515</v>
      </c>
      <c r="AQ38" s="76">
        <v>85.903385282820111</v>
      </c>
      <c r="AR38" s="179">
        <v>15.275785656728447</v>
      </c>
      <c r="AS38" s="25">
        <f t="shared" si="2"/>
        <v>33151.303172325133</v>
      </c>
      <c r="AT38" s="180">
        <f t="shared" si="3"/>
        <v>10600.754140496561</v>
      </c>
      <c r="AU38" s="2">
        <f>'主翼（空力）'!L82</f>
        <v>0</v>
      </c>
      <c r="AV38" s="27"/>
      <c r="AW38" s="27"/>
      <c r="AX38" s="27"/>
      <c r="AY38" s="27"/>
      <c r="AZ38" s="1"/>
      <c r="BA38" s="2" t="e">
        <f>IF((AF38-AF37)&gt;0,(AN37+AN38+SQRT(AN37*AN38))*(AF38-AF37)/3*10^-6*#REF!,0)</f>
        <v>#REF!</v>
      </c>
    </row>
    <row r="39" spans="2:53">
      <c r="AC39" s="1"/>
      <c r="AD39" s="196">
        <v>32</v>
      </c>
      <c r="AE39" s="97" t="str">
        <f t="shared" ref="AE39:AE67" si="6">IF(AF39&lt;$H$7,"0",IF(AF39&lt;$H$8,"0-1接合",IF(AF39&lt;$H$9,"1",IF(AF39&lt;$H$10,"1-2接合",IF(AF39&lt;$H$11,"2",IF(AF39&lt;$H$12,"2-3接合",IF(AF39&lt;$H$13,"3","ウィングレット")))))))</f>
        <v>2</v>
      </c>
      <c r="AF39" s="75">
        <f>VLOOKUP(AD39,'主翼（空力）'!B83:C182,2)</f>
        <v>5.5000000000000018</v>
      </c>
      <c r="AG39" s="76">
        <v>40.649999999999984</v>
      </c>
      <c r="AH39" s="76">
        <v>41.259749999999983</v>
      </c>
      <c r="AI39" s="76">
        <v>42.413999999999987</v>
      </c>
      <c r="AJ39" s="76">
        <v>42.435749999999985</v>
      </c>
      <c r="AK39" s="181">
        <v>364436.13093970093</v>
      </c>
      <c r="AL39" s="181">
        <v>303838.45259820495</v>
      </c>
      <c r="AM39" s="181">
        <v>655226.38616846048</v>
      </c>
      <c r="AN39" s="182">
        <v>384.77832307116546</v>
      </c>
      <c r="AO39" s="182">
        <v>5460.1532294113968</v>
      </c>
      <c r="AP39" s="76">
        <v>261.95508271774122</v>
      </c>
      <c r="AQ39" s="76">
        <v>85.903385282820111</v>
      </c>
      <c r="AR39" s="179">
        <v>15.275785656728447</v>
      </c>
      <c r="AS39" s="25">
        <f t="shared" si="2"/>
        <v>31306.297367093408</v>
      </c>
      <c r="AT39" s="180">
        <f t="shared" si="3"/>
        <v>10009.097831742183</v>
      </c>
      <c r="AU39" s="2">
        <f>'主翼（空力）'!L83</f>
        <v>0</v>
      </c>
      <c r="AV39" s="27"/>
      <c r="AW39" s="27"/>
      <c r="AX39" s="27"/>
      <c r="AY39" s="27"/>
      <c r="AZ39" s="1"/>
      <c r="BA39" s="2" t="e">
        <f>IF((AF39-AF38)&gt;0,(AN38+AN39+SQRT(AN38*AN39))*(AF39-AF38)/3*10^-6*#REF!,0)</f>
        <v>#REF!</v>
      </c>
    </row>
    <row r="40" spans="2:53">
      <c r="AC40" s="1"/>
      <c r="AD40" s="196">
        <v>33</v>
      </c>
      <c r="AE40" s="97" t="str">
        <f t="shared" si="6"/>
        <v>2</v>
      </c>
      <c r="AF40" s="75">
        <f>VLOOKUP(AD40,'主翼（空力）'!B84:C183,2)</f>
        <v>5.6500000000000021</v>
      </c>
      <c r="AG40" s="76">
        <v>39.84999999999998</v>
      </c>
      <c r="AH40" s="76">
        <v>40.447749999999978</v>
      </c>
      <c r="AI40" s="76">
        <v>41.613999999999983</v>
      </c>
      <c r="AJ40" s="76">
        <v>41.62374999999998</v>
      </c>
      <c r="AK40" s="181">
        <v>343770.48565603327</v>
      </c>
      <c r="AL40" s="181">
        <v>286506.34019381233</v>
      </c>
      <c r="AM40" s="181">
        <v>617963.36059582047</v>
      </c>
      <c r="AN40" s="182">
        <v>377.34471250844575</v>
      </c>
      <c r="AO40" s="182">
        <v>5251.0721204395777</v>
      </c>
      <c r="AP40" s="76">
        <v>256.89057501761584</v>
      </c>
      <c r="AQ40" s="76">
        <v>85.903385282820111</v>
      </c>
      <c r="AR40" s="179">
        <v>15.275785656728447</v>
      </c>
      <c r="AS40" s="25">
        <f t="shared" si="2"/>
        <v>29531.048478172412</v>
      </c>
      <c r="AT40" s="180">
        <f t="shared" si="3"/>
        <v>9439.875840173343</v>
      </c>
      <c r="AU40" s="2">
        <f>'主翼（空力）'!L84</f>
        <v>0</v>
      </c>
      <c r="AV40" s="27"/>
      <c r="AW40" s="27"/>
      <c r="AX40" s="27"/>
      <c r="AY40" s="27"/>
      <c r="AZ40" s="1"/>
      <c r="BA40" s="2" t="e">
        <f>IF((AF40-AF39)&gt;0,(AN39+AN40+SQRT(AN39*AN40))*(AF40-AF39)/3*10^-6*#REF!,0)</f>
        <v>#REF!</v>
      </c>
    </row>
    <row r="41" spans="2:53">
      <c r="AC41" s="1"/>
      <c r="AD41" s="196">
        <v>34</v>
      </c>
      <c r="AE41" s="97" t="str">
        <f t="shared" si="6"/>
        <v>2</v>
      </c>
      <c r="AF41" s="75">
        <f>VLOOKUP(AD41,'主翼（空力）'!B85:C184,2)</f>
        <v>5.8000000000000025</v>
      </c>
      <c r="AG41" s="76">
        <v>39.049999999999983</v>
      </c>
      <c r="AH41" s="76">
        <v>39.63574999999998</v>
      </c>
      <c r="AI41" s="76">
        <v>40.813999999999986</v>
      </c>
      <c r="AJ41" s="76">
        <v>40.811749999999982</v>
      </c>
      <c r="AK41" s="181">
        <v>323901.23086980585</v>
      </c>
      <c r="AL41" s="181">
        <v>269846.21362264972</v>
      </c>
      <c r="AM41" s="181">
        <v>582140.56992117164</v>
      </c>
      <c r="AN41" s="182">
        <v>369.91110103102119</v>
      </c>
      <c r="AO41" s="182">
        <v>5046.0725686433052</v>
      </c>
      <c r="AP41" s="76">
        <v>251.82606870669193</v>
      </c>
      <c r="AQ41" s="76">
        <v>85.903385282820111</v>
      </c>
      <c r="AR41" s="179">
        <v>15.275785656728447</v>
      </c>
      <c r="AS41" s="25">
        <f t="shared" si="2"/>
        <v>27824.212228988599</v>
      </c>
      <c r="AT41" s="180">
        <f t="shared" si="3"/>
        <v>8892.6545682015567</v>
      </c>
      <c r="AU41" s="2">
        <f>'主翼（空力）'!L85</f>
        <v>0</v>
      </c>
      <c r="AV41" s="27"/>
      <c r="AW41" s="27"/>
      <c r="AX41" s="27"/>
      <c r="AY41" s="27"/>
      <c r="AZ41" s="1"/>
      <c r="BA41" s="2" t="e">
        <f>IF((AF41-AF40)&gt;0,(AN40+AN41+SQRT(AN40*AN41))*(AF41-AF40)/3*10^-6*#REF!,0)</f>
        <v>#REF!</v>
      </c>
    </row>
    <row r="42" spans="2:53">
      <c r="B42" t="s">
        <v>938</v>
      </c>
      <c r="F42" t="s">
        <v>1217</v>
      </c>
      <c r="N42" t="s">
        <v>1212</v>
      </c>
      <c r="R42" t="s">
        <v>1213</v>
      </c>
      <c r="AC42" s="1"/>
      <c r="AD42" s="196">
        <v>35</v>
      </c>
      <c r="AE42" s="97" t="str">
        <f t="shared" si="6"/>
        <v>2</v>
      </c>
      <c r="AF42" s="75">
        <f>VLOOKUP(AD42,'主翼（空力）'!B86:C185,2)</f>
        <v>5.9500000000000028</v>
      </c>
      <c r="AG42" s="76">
        <v>38.249999999999986</v>
      </c>
      <c r="AH42" s="76">
        <v>38.823749999999983</v>
      </c>
      <c r="AI42" s="76">
        <v>40.013999999999989</v>
      </c>
      <c r="AJ42" s="76">
        <v>39.999749999999985</v>
      </c>
      <c r="AK42" s="181">
        <v>304812.71787787491</v>
      </c>
      <c r="AL42" s="181">
        <v>253844.78682415155</v>
      </c>
      <c r="AM42" s="181">
        <v>547729.62951030489</v>
      </c>
      <c r="AN42" s="182">
        <v>362.47748858476467</v>
      </c>
      <c r="AO42" s="182">
        <v>4845.1545740225756</v>
      </c>
      <c r="AP42" s="76">
        <v>246.76156387050486</v>
      </c>
      <c r="AQ42" s="76">
        <v>85.903385282820111</v>
      </c>
      <c r="AR42" s="179">
        <v>15.275785656728447</v>
      </c>
      <c r="AS42" s="25">
        <f t="shared" si="2"/>
        <v>26184.444342966639</v>
      </c>
      <c r="AT42" s="180">
        <f t="shared" si="3"/>
        <v>8367.000418238702</v>
      </c>
      <c r="AU42" s="2">
        <f>'主翼（空力）'!L86</f>
        <v>0</v>
      </c>
      <c r="AV42" s="27"/>
      <c r="AW42" s="27"/>
      <c r="AX42" s="27"/>
      <c r="AY42" s="27"/>
      <c r="AZ42" s="1"/>
      <c r="BA42" s="2" t="e">
        <f>IF((AF42-AF41)&gt;0,(AN41+AN42+SQRT(AN41*AN42))*(AF42-AF41)/3*10^-6*#REF!,0)</f>
        <v>#REF!</v>
      </c>
    </row>
    <row r="43" spans="2:53">
      <c r="B43" s="29" t="s">
        <v>1295</v>
      </c>
      <c r="C43" s="29">
        <v>3500</v>
      </c>
      <c r="D43" s="29" t="s">
        <v>765</v>
      </c>
      <c r="F43" s="29" t="s">
        <v>1219</v>
      </c>
      <c r="G43" s="117">
        <v>870</v>
      </c>
      <c r="H43" s="29" t="s">
        <v>765</v>
      </c>
      <c r="J43" s="29" t="s">
        <v>856</v>
      </c>
      <c r="K43" s="29">
        <f>(G43-G44)*G45+G44</f>
        <v>4190</v>
      </c>
      <c r="L43" s="29" t="s">
        <v>765</v>
      </c>
      <c r="N43" s="29" t="s">
        <v>858</v>
      </c>
      <c r="O43" s="29">
        <f>K43-G46*2</f>
        <v>4090</v>
      </c>
      <c r="P43" s="29" t="s">
        <v>765</v>
      </c>
      <c r="R43" s="29" t="s">
        <v>1214</v>
      </c>
      <c r="S43" s="29"/>
      <c r="T43" s="29" t="s">
        <v>36</v>
      </c>
      <c r="AC43" s="1"/>
      <c r="AD43" s="196">
        <v>36</v>
      </c>
      <c r="AE43" s="97" t="str">
        <f t="shared" si="6"/>
        <v>2</v>
      </c>
      <c r="AF43" s="75">
        <f>VLOOKUP(AD43,'主翼（空力）'!B87:C186,2)</f>
        <v>6.1000000000000032</v>
      </c>
      <c r="AG43" s="76">
        <v>37.449999999999982</v>
      </c>
      <c r="AH43" s="76">
        <v>38.011749999999978</v>
      </c>
      <c r="AI43" s="76">
        <v>39.213999999999984</v>
      </c>
      <c r="AJ43" s="76">
        <v>39.18774999999998</v>
      </c>
      <c r="AK43" s="181">
        <v>286489.29797711386</v>
      </c>
      <c r="AL43" s="181">
        <v>238488.77373775723</v>
      </c>
      <c r="AM43" s="181">
        <v>514702.15472897846</v>
      </c>
      <c r="AN43" s="182">
        <v>355.04387511119108</v>
      </c>
      <c r="AO43" s="182">
        <v>4648.318136577388</v>
      </c>
      <c r="AP43" s="76">
        <v>241.69706060175457</v>
      </c>
      <c r="AQ43" s="76">
        <v>85.903385282820111</v>
      </c>
      <c r="AR43" s="179">
        <v>15.275785656728447</v>
      </c>
      <c r="AS43" s="25">
        <f t="shared" si="2"/>
        <v>24610.400543532669</v>
      </c>
      <c r="AT43" s="180">
        <f t="shared" si="3"/>
        <v>7862.4797926961546</v>
      </c>
      <c r="AU43" s="2">
        <f>'主翼（空力）'!L87</f>
        <v>0</v>
      </c>
      <c r="AV43" s="27"/>
      <c r="AW43" s="27"/>
      <c r="AX43" s="27"/>
      <c r="AY43" s="27"/>
      <c r="AZ43" s="1"/>
      <c r="BA43" s="2" t="e">
        <f>IF((AF43-AF42)&gt;0,(AN42+AN43+SQRT(AN42*AN43))*(AF43-AF42)/3*10^-6*#REF!,0)</f>
        <v>#REF!</v>
      </c>
    </row>
    <row r="44" spans="2:53">
      <c r="B44" s="29" t="s">
        <v>1296</v>
      </c>
      <c r="C44" s="29"/>
      <c r="D44" s="29" t="s">
        <v>708</v>
      </c>
      <c r="F44" s="29" t="s">
        <v>845</v>
      </c>
      <c r="G44" s="117">
        <v>40</v>
      </c>
      <c r="H44" s="29" t="s">
        <v>765</v>
      </c>
      <c r="J44" s="29" t="s">
        <v>1297</v>
      </c>
      <c r="K44" s="29">
        <f>O43-C43</f>
        <v>590</v>
      </c>
      <c r="L44" s="29" t="s">
        <v>765</v>
      </c>
      <c r="N44" s="238"/>
      <c r="O44" s="29" t="s">
        <v>1210</v>
      </c>
      <c r="P44" s="29" t="s">
        <v>1209</v>
      </c>
      <c r="R44" s="29" t="s">
        <v>998</v>
      </c>
      <c r="S44" s="117"/>
      <c r="T44" s="29" t="s">
        <v>6</v>
      </c>
      <c r="AC44" s="1"/>
      <c r="AD44" s="196">
        <v>37</v>
      </c>
      <c r="AE44" s="97" t="str">
        <f t="shared" si="6"/>
        <v>2</v>
      </c>
      <c r="AF44" s="75">
        <f>VLOOKUP(AD44,'主翼（空力）'!B88:C187,2)</f>
        <v>6.2500000000000036</v>
      </c>
      <c r="AG44" s="76">
        <v>36.649999999999977</v>
      </c>
      <c r="AH44" s="76">
        <v>37.199749999999973</v>
      </c>
      <c r="AI44" s="76">
        <v>38.41399999999998</v>
      </c>
      <c r="AJ44" s="76">
        <v>38.375749999999975</v>
      </c>
      <c r="AK44" s="181">
        <v>268915.32246437855</v>
      </c>
      <c r="AL44" s="181">
        <v>223764.88830290662</v>
      </c>
      <c r="AM44" s="181">
        <v>483029.76094297785</v>
      </c>
      <c r="AN44" s="182">
        <v>347.61026054702086</v>
      </c>
      <c r="AO44" s="182">
        <v>4455.5632563077461</v>
      </c>
      <c r="AP44" s="76">
        <v>236.63255900107742</v>
      </c>
      <c r="AQ44" s="76">
        <v>85.903385282820111</v>
      </c>
      <c r="AR44" s="179">
        <v>15.275785656728447</v>
      </c>
      <c r="AS44" s="25">
        <f t="shared" si="2"/>
        <v>23100.736554111321</v>
      </c>
      <c r="AT44" s="180">
        <f t="shared" si="3"/>
        <v>7378.6590939857115</v>
      </c>
      <c r="AU44" s="2">
        <f>'主翼（空力）'!L88</f>
        <v>0</v>
      </c>
      <c r="AV44" s="27"/>
      <c r="AW44" s="27"/>
      <c r="AX44" s="27"/>
      <c r="AY44" s="27"/>
      <c r="AZ44" s="1"/>
      <c r="BA44" s="2" t="e">
        <f>IF((AF44-AF43)&gt;0,(AN43+AN44+SQRT(AN43*AN44))*(AF44-AF43)/3*10^-6*#REF!,0)</f>
        <v>#REF!</v>
      </c>
    </row>
    <row r="45" spans="2:53">
      <c r="B45" s="29" t="s">
        <v>1201</v>
      </c>
      <c r="C45" s="29"/>
      <c r="D45" s="29" t="s">
        <v>1203</v>
      </c>
      <c r="F45" s="29" t="s">
        <v>1218</v>
      </c>
      <c r="G45" s="117">
        <v>5</v>
      </c>
      <c r="H45" s="29" t="s">
        <v>847</v>
      </c>
      <c r="N45" s="29" t="s">
        <v>1205</v>
      </c>
      <c r="O45" s="123" t="e">
        <f>C50-#REF!*G44</f>
        <v>#REF!</v>
      </c>
      <c r="P45" s="123" t="e">
        <f>O45+#REF!*(#REF!+#REF!)*2</f>
        <v>#REF!</v>
      </c>
      <c r="R45" s="29" t="s">
        <v>1215</v>
      </c>
      <c r="S45" s="29"/>
      <c r="T45" s="29" t="s">
        <v>36</v>
      </c>
      <c r="AC45" s="1"/>
      <c r="AD45" s="196">
        <v>38</v>
      </c>
      <c r="AE45" s="97" t="str">
        <f t="shared" si="6"/>
        <v>2</v>
      </c>
      <c r="AF45" s="75">
        <f>VLOOKUP(AD45,'主翼（空力）'!B89:C188,2)</f>
        <v>6.4000000000000039</v>
      </c>
      <c r="AG45" s="76">
        <v>35.84999999999998</v>
      </c>
      <c r="AH45" s="76">
        <v>36.387749999999976</v>
      </c>
      <c r="AI45" s="76">
        <v>37.613999999999983</v>
      </c>
      <c r="AJ45" s="76">
        <v>37.563749999999978</v>
      </c>
      <c r="AK45" s="181">
        <v>252075.14263653546</v>
      </c>
      <c r="AL45" s="181">
        <v>209659.84445903162</v>
      </c>
      <c r="AM45" s="181">
        <v>452684.06351806998</v>
      </c>
      <c r="AN45" s="182">
        <v>340.17664482366717</v>
      </c>
      <c r="AO45" s="182">
        <v>4266.8899332136489</v>
      </c>
      <c r="AP45" s="76">
        <v>231.56805917790666</v>
      </c>
      <c r="AQ45" s="76">
        <v>85.903385282820111</v>
      </c>
      <c r="AR45" s="179">
        <v>15.275785656728447</v>
      </c>
      <c r="AS45" s="25">
        <f t="shared" si="2"/>
        <v>21654.108098128141</v>
      </c>
      <c r="AT45" s="180">
        <f t="shared" si="3"/>
        <v>6915.104724518882</v>
      </c>
      <c r="AU45" s="2">
        <f>'主翼（空力）'!L89</f>
        <v>0</v>
      </c>
      <c r="AV45" s="27"/>
      <c r="AW45" s="27"/>
      <c r="AX45" s="27"/>
      <c r="AY45" s="27"/>
      <c r="AZ45" s="1"/>
      <c r="BA45" s="2" t="e">
        <f>IF((AF45-AF44)&gt;0,(AN44+AN45+SQRT(AN44*AN45))*(AF45-AF44)/3*10^-6*#REF!,0)</f>
        <v>#REF!</v>
      </c>
    </row>
    <row r="46" spans="2:53">
      <c r="B46" s="29" t="s">
        <v>1202</v>
      </c>
      <c r="C46" s="29"/>
      <c r="D46" s="29" t="s">
        <v>1203</v>
      </c>
      <c r="F46" s="29" t="s">
        <v>1220</v>
      </c>
      <c r="G46" s="117">
        <v>50</v>
      </c>
      <c r="H46" s="29" t="s">
        <v>765</v>
      </c>
      <c r="N46" s="29" t="s">
        <v>1206</v>
      </c>
      <c r="O46" s="123" t="e">
        <f>O45*#REF!</f>
        <v>#REF!</v>
      </c>
      <c r="P46" s="123" t="e">
        <f>O46+#REF!*#REF!*2</f>
        <v>#REF!</v>
      </c>
      <c r="R46" s="29" t="s">
        <v>998</v>
      </c>
      <c r="S46" s="117"/>
      <c r="T46" s="29" t="s">
        <v>6</v>
      </c>
      <c r="AC46" s="1"/>
      <c r="AD46" s="196">
        <v>39</v>
      </c>
      <c r="AE46" s="97" t="str">
        <f t="shared" si="6"/>
        <v>2</v>
      </c>
      <c r="AF46" s="75">
        <f>VLOOKUP(AD46,'主翼（空力）'!B90:C189,2)</f>
        <v>6.5500000000000043</v>
      </c>
      <c r="AG46" s="76">
        <v>35.049999999999983</v>
      </c>
      <c r="AH46" s="76">
        <v>35.575749999999978</v>
      </c>
      <c r="AI46" s="76">
        <v>36.813999999999986</v>
      </c>
      <c r="AJ46" s="76">
        <v>36.75174999999998</v>
      </c>
      <c r="AK46" s="181">
        <v>235953.10979043774</v>
      </c>
      <c r="AL46" s="181">
        <v>196160.356145567</v>
      </c>
      <c r="AM46" s="181">
        <v>423636.67782002658</v>
      </c>
      <c r="AN46" s="182">
        <v>332.74302786667636</v>
      </c>
      <c r="AO46" s="182">
        <v>4082.2981672950941</v>
      </c>
      <c r="AP46" s="76">
        <v>226.50356125147474</v>
      </c>
      <c r="AQ46" s="76">
        <v>85.903385282820111</v>
      </c>
      <c r="AR46" s="179">
        <v>15.275785656728447</v>
      </c>
      <c r="AS46" s="25">
        <f t="shared" si="2"/>
        <v>20269.170899007524</v>
      </c>
      <c r="AT46" s="180">
        <f t="shared" si="3"/>
        <v>6471.383086707252</v>
      </c>
      <c r="AU46" s="2">
        <f>'主翼（空力）'!L90</f>
        <v>0</v>
      </c>
      <c r="AV46" s="27"/>
      <c r="AW46" s="27"/>
      <c r="AX46" s="27"/>
      <c r="AY46" s="27"/>
      <c r="AZ46" s="1"/>
      <c r="BA46" s="2" t="e">
        <f>IF((AF46-AF45)&gt;0,(AN45+AN46+SQRT(AN45*AN46))*(AF46-AF45)/3*10^-6*#REF!,0)</f>
        <v>#REF!</v>
      </c>
    </row>
    <row r="47" spans="2:53">
      <c r="N47" s="29" t="s">
        <v>1207</v>
      </c>
      <c r="O47" s="123" t="e">
        <f>J52+G44*#REF!</f>
        <v>#REF!</v>
      </c>
      <c r="P47" s="123" t="e">
        <f>O47+#REF!*(#REF!+#REF!)*2</f>
        <v>#REF!</v>
      </c>
      <c r="R47" s="29" t="s">
        <v>1216</v>
      </c>
      <c r="S47" s="29"/>
      <c r="T47" s="29" t="s">
        <v>6</v>
      </c>
      <c r="AC47" s="1"/>
      <c r="AD47" s="196">
        <v>40</v>
      </c>
      <c r="AE47" s="97" t="str">
        <f t="shared" si="6"/>
        <v>2</v>
      </c>
      <c r="AF47" s="75">
        <f>VLOOKUP(AD47,'主翼（空力）'!B91:C190,2)</f>
        <v>6.7000000000000046</v>
      </c>
      <c r="AG47" s="76">
        <v>34.249999999999986</v>
      </c>
      <c r="AH47" s="76">
        <v>34.76374999999998</v>
      </c>
      <c r="AI47" s="76">
        <v>38.375999999999991</v>
      </c>
      <c r="AJ47" s="76">
        <v>38.375999999999991</v>
      </c>
      <c r="AK47" s="181">
        <v>602333.69292182894</v>
      </c>
      <c r="AL47" s="181">
        <v>573642.09817685559</v>
      </c>
      <c r="AM47" s="181">
        <v>1173587.872951318</v>
      </c>
      <c r="AN47" s="182">
        <v>885.72366594038681</v>
      </c>
      <c r="AO47" s="182">
        <v>4171.9152577882542</v>
      </c>
      <c r="AP47" s="76">
        <v>228.97671479633405</v>
      </c>
      <c r="AQ47" s="76">
        <v>85.477862278174257</v>
      </c>
      <c r="AR47" s="179">
        <v>13.866312449637391</v>
      </c>
      <c r="AS47" s="25">
        <f t="shared" si="2"/>
        <v>51486.196449076197</v>
      </c>
      <c r="AT47" s="180">
        <f t="shared" si="3"/>
        <v>16273.336133448327</v>
      </c>
      <c r="AU47" s="2">
        <f>'主翼（空力）'!L91</f>
        <v>0</v>
      </c>
      <c r="AV47" s="27"/>
      <c r="AW47" s="27"/>
      <c r="AX47" s="27"/>
      <c r="AY47" s="27"/>
      <c r="AZ47" s="1"/>
      <c r="BA47" s="2" t="e">
        <f>IF((AF47-AF46)&gt;0,(AN46+AN47+SQRT(AN46*AN47))*(AF47-AF46)/3*10^-6*#REF!,0)</f>
        <v>#REF!</v>
      </c>
    </row>
    <row r="48" spans="2:53">
      <c r="N48" s="29" t="s">
        <v>1208</v>
      </c>
      <c r="O48" s="123" t="e">
        <f>O47*#REF!</f>
        <v>#REF!</v>
      </c>
      <c r="P48" s="123" t="e">
        <f>O48+#REF!*#REF!*2</f>
        <v>#REF!</v>
      </c>
      <c r="R48" s="29" t="s">
        <v>1204</v>
      </c>
      <c r="S48" s="117"/>
      <c r="T48" s="29" t="s">
        <v>6</v>
      </c>
      <c r="AC48" s="1"/>
      <c r="AD48" s="196">
        <v>41</v>
      </c>
      <c r="AE48" s="97" t="str">
        <f t="shared" si="6"/>
        <v>2</v>
      </c>
      <c r="AF48" s="75">
        <f>VLOOKUP(AD48,'主翼（空力）'!B92:C191,2)</f>
        <v>6.850000000000005</v>
      </c>
      <c r="AG48" s="76">
        <v>33.449999999999989</v>
      </c>
      <c r="AH48" s="76">
        <v>33.951749999999983</v>
      </c>
      <c r="AI48" s="76">
        <v>37.525999999999996</v>
      </c>
      <c r="AJ48" s="76">
        <v>37.525999999999996</v>
      </c>
      <c r="AK48" s="181">
        <v>555596.40273045574</v>
      </c>
      <c r="AL48" s="181">
        <v>529551.70814734278</v>
      </c>
      <c r="AM48" s="181">
        <v>1082999.2013643503</v>
      </c>
      <c r="AN48" s="182">
        <v>855.75769410050168</v>
      </c>
      <c r="AO48" s="182">
        <v>3984.4857198927471</v>
      </c>
      <c r="AP48" s="76">
        <v>223.77404446313724</v>
      </c>
      <c r="AQ48" s="76">
        <v>85.477862278174257</v>
      </c>
      <c r="AR48" s="179">
        <v>13.866312449637391</v>
      </c>
      <c r="AS48" s="25">
        <f t="shared" si="2"/>
        <v>47491.192794842937</v>
      </c>
      <c r="AT48" s="180">
        <f t="shared" si="3"/>
        <v>15017.205308825842</v>
      </c>
      <c r="AU48" s="2">
        <f>'主翼（空力）'!L92</f>
        <v>0</v>
      </c>
      <c r="AV48" s="27"/>
      <c r="AW48" s="27"/>
      <c r="AX48" s="27"/>
      <c r="AY48" s="27"/>
      <c r="AZ48" s="1"/>
      <c r="BA48" s="2" t="e">
        <f>IF((AF48-AF47)&gt;0,(AN47+AN48+SQRT(AN47*AN48))*(AF48-AF47)/3*10^-6*#REF!,0)</f>
        <v>#REF!</v>
      </c>
    </row>
    <row r="49" spans="2:53">
      <c r="B49" s="31" t="s">
        <v>849</v>
      </c>
      <c r="C49" s="31">
        <v>1</v>
      </c>
      <c r="D49" s="31">
        <v>2</v>
      </c>
      <c r="E49" s="31">
        <v>3</v>
      </c>
      <c r="F49" s="31">
        <v>4</v>
      </c>
      <c r="G49" s="31">
        <v>5</v>
      </c>
      <c r="H49" s="31">
        <v>6</v>
      </c>
      <c r="I49" s="31">
        <v>7</v>
      </c>
      <c r="J49" s="31">
        <v>8</v>
      </c>
      <c r="K49" s="31">
        <v>9</v>
      </c>
      <c r="L49" s="31"/>
      <c r="AC49" s="1"/>
      <c r="AD49" s="196">
        <v>42</v>
      </c>
      <c r="AE49" s="97" t="str">
        <f t="shared" si="6"/>
        <v>2</v>
      </c>
      <c r="AF49" s="75">
        <f>VLOOKUP(AD49,'主翼（空力）'!B93:C192,2)</f>
        <v>7.0000000000000053</v>
      </c>
      <c r="AG49" s="76">
        <v>35.499999999999993</v>
      </c>
      <c r="AH49" s="76">
        <v>35.499999999999993</v>
      </c>
      <c r="AI49" s="76">
        <v>36.675999999999995</v>
      </c>
      <c r="AJ49" s="76">
        <v>36.675999999999995</v>
      </c>
      <c r="AK49" s="181">
        <v>173643.64390936267</v>
      </c>
      <c r="AL49" s="181">
        <v>173643.64390936503</v>
      </c>
      <c r="AM49" s="181">
        <v>347287.28814223426</v>
      </c>
      <c r="AN49" s="182">
        <v>266.66330561240511</v>
      </c>
      <c r="AO49" s="182">
        <v>4091.4335385990248</v>
      </c>
      <c r="AP49" s="76">
        <v>226.75451157534059</v>
      </c>
      <c r="AQ49" s="76">
        <v>85.052339273528418</v>
      </c>
      <c r="AR49" s="179">
        <v>12.456839242546334</v>
      </c>
      <c r="AS49" s="25">
        <f t="shared" si="2"/>
        <v>14768.79811447087</v>
      </c>
      <c r="AT49" s="180">
        <f t="shared" si="3"/>
        <v>4326.1019193676793</v>
      </c>
      <c r="AU49" s="2">
        <f>'主翼（空力）'!L93</f>
        <v>0</v>
      </c>
      <c r="AV49" s="27"/>
      <c r="AW49" s="27"/>
      <c r="AX49" s="27"/>
      <c r="AY49" s="27"/>
      <c r="AZ49" s="1"/>
      <c r="BA49" s="2" t="e">
        <f>IF((AF49-AF48)&gt;0,(AN48+AN49+SQRT(AN48*AN49))*(AF49-AF48)/3*10^-6*#REF!,0)</f>
        <v>#REF!</v>
      </c>
    </row>
    <row r="50" spans="2:53">
      <c r="B50" s="31" t="s">
        <v>1205</v>
      </c>
      <c r="C50" s="122" t="e">
        <f>#REF!+$N$7*(#REF!-$H$4)/2</f>
        <v>#REF!</v>
      </c>
      <c r="D50" s="122" t="e">
        <f t="shared" ref="D50:K50" si="7">C52+$N$7*$H$6</f>
        <v>#REF!</v>
      </c>
      <c r="E50" s="122" t="e">
        <f t="shared" si="7"/>
        <v>#REF!</v>
      </c>
      <c r="F50" s="122" t="e">
        <f t="shared" si="7"/>
        <v>#REF!</v>
      </c>
      <c r="G50" s="122" t="e">
        <f t="shared" si="7"/>
        <v>#REF!</v>
      </c>
      <c r="H50" s="122" t="e">
        <f t="shared" si="7"/>
        <v>#REF!</v>
      </c>
      <c r="I50" s="122" t="e">
        <f t="shared" si="7"/>
        <v>#REF!</v>
      </c>
      <c r="J50" s="122" t="e">
        <f t="shared" si="7"/>
        <v>#REF!</v>
      </c>
      <c r="K50" s="122" t="e">
        <f t="shared" si="7"/>
        <v>#REF!</v>
      </c>
      <c r="L50" s="122"/>
      <c r="AC50" s="1"/>
      <c r="AD50" s="196">
        <v>43</v>
      </c>
      <c r="AE50" s="97" t="str">
        <f t="shared" si="6"/>
        <v>2</v>
      </c>
      <c r="AF50" s="75">
        <f>VLOOKUP(AD50,'主翼（空力）'!B94:C193,2)</f>
        <v>7.1500000000000057</v>
      </c>
      <c r="AG50" s="76">
        <v>34.65</v>
      </c>
      <c r="AH50" s="76">
        <v>34.65</v>
      </c>
      <c r="AI50" s="76">
        <v>35.826000000000001</v>
      </c>
      <c r="AJ50" s="76">
        <v>35.826000000000001</v>
      </c>
      <c r="AK50" s="181">
        <v>161660.60595430189</v>
      </c>
      <c r="AL50" s="181">
        <v>161660.60595430166</v>
      </c>
      <c r="AM50" s="181">
        <v>323321.21220957884</v>
      </c>
      <c r="AN50" s="182">
        <v>260.38244189672696</v>
      </c>
      <c r="AO50" s="182">
        <v>3900.9678866305726</v>
      </c>
      <c r="AP50" s="76">
        <v>221.41364106857873</v>
      </c>
      <c r="AQ50" s="76">
        <v>85.052339273528418</v>
      </c>
      <c r="AR50" s="179">
        <v>12.456839242546334</v>
      </c>
      <c r="AS50" s="25">
        <f t="shared" si="2"/>
        <v>13749.612704789473</v>
      </c>
      <c r="AT50" s="180">
        <f t="shared" si="3"/>
        <v>4027.5603641999328</v>
      </c>
      <c r="AU50" s="2">
        <f>'主翼（空力）'!L94</f>
        <v>0</v>
      </c>
      <c r="AV50" s="27"/>
      <c r="AW50" s="27"/>
      <c r="AX50" s="27"/>
      <c r="AY50" s="27"/>
      <c r="AZ50" s="1"/>
      <c r="BA50" s="2" t="e">
        <f>IF((AF50-AF49)&gt;0,(AN49+AN50+SQRT(AN49*AN50))*(AF50-AF49)/3*10^-6*#REF!,0)</f>
        <v>#REF!</v>
      </c>
    </row>
    <row r="51" spans="2:53">
      <c r="B51" s="31" t="s">
        <v>1221</v>
      </c>
      <c r="C51" s="122" t="e">
        <f>C50*#REF!</f>
        <v>#REF!</v>
      </c>
      <c r="D51" s="122" t="e">
        <f t="shared" ref="D51:K51" si="8">D50*$N$4</f>
        <v>#REF!</v>
      </c>
      <c r="E51" s="122" t="e">
        <f t="shared" si="8"/>
        <v>#REF!</v>
      </c>
      <c r="F51" s="122" t="e">
        <f t="shared" si="8"/>
        <v>#REF!</v>
      </c>
      <c r="G51" s="122" t="e">
        <f t="shared" si="8"/>
        <v>#REF!</v>
      </c>
      <c r="H51" s="122" t="e">
        <f t="shared" si="8"/>
        <v>#REF!</v>
      </c>
      <c r="I51" s="122" t="e">
        <f t="shared" si="8"/>
        <v>#REF!</v>
      </c>
      <c r="J51" s="122" t="e">
        <f t="shared" si="8"/>
        <v>#REF!</v>
      </c>
      <c r="K51" s="122" t="e">
        <f t="shared" si="8"/>
        <v>#REF!</v>
      </c>
      <c r="L51" s="122"/>
      <c r="AC51" s="1"/>
      <c r="AD51" s="196">
        <v>44</v>
      </c>
      <c r="AE51" s="97" t="str">
        <f t="shared" si="6"/>
        <v>2</v>
      </c>
      <c r="AF51" s="75">
        <f>VLOOKUP(AD51,'主翼（空力）'!B95:C194,2)</f>
        <v>7.300000000000006</v>
      </c>
      <c r="AG51" s="76">
        <v>33.799999999999997</v>
      </c>
      <c r="AH51" s="76">
        <v>33.799999999999997</v>
      </c>
      <c r="AI51" s="76">
        <v>34.975999999999999</v>
      </c>
      <c r="AJ51" s="76">
        <v>34.975999999999999</v>
      </c>
      <c r="AK51" s="181">
        <v>150241.94694205312</v>
      </c>
      <c r="AL51" s="181">
        <v>150241.94694205097</v>
      </c>
      <c r="AM51" s="181">
        <v>300483.89416411839</v>
      </c>
      <c r="AN51" s="182">
        <v>254.10157818104358</v>
      </c>
      <c r="AO51" s="182">
        <v>3715.0418360465555</v>
      </c>
      <c r="AP51" s="76">
        <v>216.07277056230714</v>
      </c>
      <c r="AQ51" s="76">
        <v>85.052339273528418</v>
      </c>
      <c r="AR51" s="179">
        <v>12.456839242546334</v>
      </c>
      <c r="AS51" s="25">
        <f t="shared" si="2"/>
        <v>12778.429044430959</v>
      </c>
      <c r="AT51" s="180">
        <f t="shared" si="3"/>
        <v>3743.0795645767294</v>
      </c>
      <c r="AU51" s="2">
        <f>'主翼（空力）'!L95</f>
        <v>0</v>
      </c>
      <c r="AV51" s="27"/>
      <c r="AW51" s="27"/>
      <c r="AX51" s="27"/>
      <c r="AY51" s="27"/>
      <c r="AZ51" s="1"/>
      <c r="BA51" s="2" t="e">
        <f>IF((AF51-AF50)&gt;0,(AN50+AN51+SQRT(AN50*AN51))*(AF51-AF50)/3*10^-6*#REF!,0)</f>
        <v>#REF!</v>
      </c>
    </row>
    <row r="52" spans="2:53">
      <c r="B52" s="31" t="s">
        <v>1222</v>
      </c>
      <c r="C52" s="122" t="e">
        <f t="shared" ref="C52:K52" si="9">C50-$N$7*$H$5</f>
        <v>#REF!</v>
      </c>
      <c r="D52" s="122" t="e">
        <f t="shared" si="9"/>
        <v>#REF!</v>
      </c>
      <c r="E52" s="122" t="e">
        <f t="shared" si="9"/>
        <v>#REF!</v>
      </c>
      <c r="F52" s="122" t="e">
        <f t="shared" si="9"/>
        <v>#REF!</v>
      </c>
      <c r="G52" s="122" t="e">
        <f t="shared" si="9"/>
        <v>#REF!</v>
      </c>
      <c r="H52" s="122" t="e">
        <f t="shared" si="9"/>
        <v>#REF!</v>
      </c>
      <c r="I52" s="122" t="e">
        <f t="shared" si="9"/>
        <v>#REF!</v>
      </c>
      <c r="J52" s="122" t="e">
        <f t="shared" si="9"/>
        <v>#REF!</v>
      </c>
      <c r="K52" s="122" t="e">
        <f t="shared" si="9"/>
        <v>#REF!</v>
      </c>
      <c r="L52" s="122"/>
      <c r="AC52" s="1"/>
      <c r="AD52" s="196">
        <v>45</v>
      </c>
      <c r="AE52" s="97" t="str">
        <f t="shared" si="6"/>
        <v>2</v>
      </c>
      <c r="AF52" s="75">
        <f>VLOOKUP(AD52,'主翼（空力）'!B96:C195,2)</f>
        <v>7.5000000000000062</v>
      </c>
      <c r="AG52" s="76">
        <v>32.950000000000003</v>
      </c>
      <c r="AH52" s="76">
        <v>32.950000000000003</v>
      </c>
      <c r="AI52" s="76">
        <v>34.126000000000005</v>
      </c>
      <c r="AJ52" s="76">
        <v>34.126000000000005</v>
      </c>
      <c r="AK52" s="181">
        <v>139374.05310051149</v>
      </c>
      <c r="AL52" s="181">
        <v>139374.05310051152</v>
      </c>
      <c r="AM52" s="181">
        <v>278748.10646056669</v>
      </c>
      <c r="AN52" s="182">
        <v>247.82071446538842</v>
      </c>
      <c r="AO52" s="182">
        <v>3533.6553868469778</v>
      </c>
      <c r="AP52" s="76">
        <v>210.7319000555658</v>
      </c>
      <c r="AQ52" s="76">
        <v>85.052339273528418</v>
      </c>
      <c r="AR52" s="179">
        <v>12.456839242546334</v>
      </c>
      <c r="AS52" s="25">
        <f t="shared" si="2"/>
        <v>11854.089250231469</v>
      </c>
      <c r="AT52" s="180">
        <f t="shared" si="3"/>
        <v>3472.3203513434701</v>
      </c>
      <c r="AU52" s="2">
        <f>'主翼（空力）'!L96</f>
        <v>0</v>
      </c>
      <c r="AV52" s="27"/>
      <c r="AW52" s="27"/>
      <c r="AX52" s="27"/>
      <c r="AY52" s="27"/>
      <c r="AZ52" s="1"/>
      <c r="BA52" s="2" t="e">
        <f>IF((AF52-AF51)&gt;0,(AN51+AN52+SQRT(AN51*AN52))*(AF52-AF51)/3*10^-6*#REF!,0)</f>
        <v>#REF!</v>
      </c>
    </row>
    <row r="53" spans="2:53">
      <c r="B53" s="31" t="s">
        <v>1208</v>
      </c>
      <c r="C53" s="122" t="e">
        <f t="shared" ref="C53:K53" si="10">C52*$N$4</f>
        <v>#REF!</v>
      </c>
      <c r="D53" s="122" t="e">
        <f t="shared" si="10"/>
        <v>#REF!</v>
      </c>
      <c r="E53" s="122" t="e">
        <f t="shared" si="10"/>
        <v>#REF!</v>
      </c>
      <c r="F53" s="122" t="e">
        <f t="shared" si="10"/>
        <v>#REF!</v>
      </c>
      <c r="G53" s="122" t="e">
        <f t="shared" si="10"/>
        <v>#REF!</v>
      </c>
      <c r="H53" s="122" t="e">
        <f t="shared" si="10"/>
        <v>#REF!</v>
      </c>
      <c r="I53" s="122" t="e">
        <f t="shared" si="10"/>
        <v>#REF!</v>
      </c>
      <c r="J53" s="122" t="e">
        <f t="shared" si="10"/>
        <v>#REF!</v>
      </c>
      <c r="K53" s="122" t="e">
        <f t="shared" si="10"/>
        <v>#REF!</v>
      </c>
      <c r="L53" s="122"/>
      <c r="AC53" s="1"/>
      <c r="AD53" s="196">
        <v>46</v>
      </c>
      <c r="AE53" s="97" t="str">
        <f t="shared" si="6"/>
        <v>2</v>
      </c>
      <c r="AF53" s="75">
        <f>VLOOKUP(AD53,'主翼（空力）'!B97:C196,2)</f>
        <v>7.6500000000000066</v>
      </c>
      <c r="AG53" s="76">
        <v>32.100000000000009</v>
      </c>
      <c r="AH53" s="76">
        <v>32.100000000000009</v>
      </c>
      <c r="AI53" s="76">
        <v>33.27600000000001</v>
      </c>
      <c r="AJ53" s="76">
        <v>33.27600000000001</v>
      </c>
      <c r="AK53" s="181">
        <v>129043.31065757385</v>
      </c>
      <c r="AL53" s="181">
        <v>129043.3106575729</v>
      </c>
      <c r="AM53" s="181">
        <v>258086.62155568425</v>
      </c>
      <c r="AN53" s="182">
        <v>241.53985074970598</v>
      </c>
      <c r="AO53" s="182">
        <v>3356.808539031837</v>
      </c>
      <c r="AP53" s="76">
        <v>205.39102954915421</v>
      </c>
      <c r="AQ53" s="76">
        <v>85.052339273528418</v>
      </c>
      <c r="AR53" s="179">
        <v>12.456839242546334</v>
      </c>
      <c r="AS53" s="25">
        <f t="shared" si="2"/>
        <v>10975.435439027297</v>
      </c>
      <c r="AT53" s="180">
        <f t="shared" si="3"/>
        <v>3214.9435553710523</v>
      </c>
      <c r="AU53" s="2">
        <f>'主翼（空力）'!L97</f>
        <v>0</v>
      </c>
      <c r="AV53" s="27"/>
      <c r="AW53" s="27"/>
      <c r="AX53" s="27"/>
      <c r="AY53" s="27"/>
      <c r="AZ53" s="1"/>
      <c r="BA53" s="2" t="e">
        <f>IF((AF53-AF52)&gt;0,(AN52+AN53+SQRT(AN52*AN53))*(AF53-AF52)/3*10^-6*#REF!,0)</f>
        <v>#REF!</v>
      </c>
    </row>
    <row r="54" spans="2:53">
      <c r="AC54" s="1"/>
      <c r="AD54" s="196">
        <v>47</v>
      </c>
      <c r="AE54" s="97" t="str">
        <f t="shared" si="6"/>
        <v>2</v>
      </c>
      <c r="AF54" s="75">
        <f>VLOOKUP(AD54,'主翼（空力）'!B98:C197,2)</f>
        <v>7.8000000000000069</v>
      </c>
      <c r="AG54" s="76">
        <v>31.250000000000007</v>
      </c>
      <c r="AH54" s="76">
        <v>31.250000000000007</v>
      </c>
      <c r="AI54" s="76">
        <v>32.426000000000009</v>
      </c>
      <c r="AJ54" s="76">
        <v>32.426000000000009</v>
      </c>
      <c r="AK54" s="181">
        <v>119236.1058411363</v>
      </c>
      <c r="AL54" s="181">
        <v>119236.10584113518</v>
      </c>
      <c r="AM54" s="181">
        <v>238472.21190441577</v>
      </c>
      <c r="AN54" s="182">
        <v>235.2589870340297</v>
      </c>
      <c r="AO54" s="182">
        <v>3184.5012926011318</v>
      </c>
      <c r="AP54" s="76">
        <v>200.0501590427312</v>
      </c>
      <c r="AQ54" s="76">
        <v>85.052339273528418</v>
      </c>
      <c r="AR54" s="179">
        <v>12.456839242546334</v>
      </c>
      <c r="AS54" s="25">
        <f t="shared" si="2"/>
        <v>10141.309727654669</v>
      </c>
      <c r="AT54" s="180">
        <f t="shared" si="3"/>
        <v>2970.6100075077511</v>
      </c>
      <c r="AU54" s="2">
        <f>'主翼（空力）'!L98</f>
        <v>0</v>
      </c>
      <c r="AV54" s="27"/>
      <c r="AW54" s="27"/>
      <c r="AX54" s="27"/>
      <c r="AY54" s="27"/>
      <c r="AZ54" s="1"/>
      <c r="BA54" s="2" t="e">
        <f>IF((AF54-AF53)&gt;0,(AN53+AN54+SQRT(AN53*AN54))*(AF54-AF53)/3*10^-6*#REF!,0)</f>
        <v>#REF!</v>
      </c>
    </row>
    <row r="55" spans="2:53">
      <c r="AC55" s="1"/>
      <c r="AD55" s="196">
        <v>48</v>
      </c>
      <c r="AE55" s="97" t="str">
        <f t="shared" si="6"/>
        <v>2</v>
      </c>
      <c r="AF55" s="75">
        <f>VLOOKUP(AD55,'主翼（空力）'!B99:C198,2)</f>
        <v>7.9500000000000073</v>
      </c>
      <c r="AG55" s="76">
        <v>30.400000000000013</v>
      </c>
      <c r="AH55" s="76">
        <v>30.400000000000013</v>
      </c>
      <c r="AI55" s="76">
        <v>31.576000000000011</v>
      </c>
      <c r="AJ55" s="76">
        <v>31.576000000000011</v>
      </c>
      <c r="AK55" s="181">
        <v>109938.8248790951</v>
      </c>
      <c r="AL55" s="181">
        <v>109938.82487909358</v>
      </c>
      <c r="AM55" s="181">
        <v>219877.64996291313</v>
      </c>
      <c r="AN55" s="182">
        <v>228.97812331834791</v>
      </c>
      <c r="AO55" s="182">
        <v>3016.7336475548655</v>
      </c>
      <c r="AP55" s="76">
        <v>194.7092885360114</v>
      </c>
      <c r="AQ55" s="76">
        <v>85.052339273528418</v>
      </c>
      <c r="AR55" s="179">
        <v>12.456839242546334</v>
      </c>
      <c r="AS55" s="25">
        <f t="shared" si="2"/>
        <v>9350.5542329498239</v>
      </c>
      <c r="AT55" s="180">
        <f t="shared" si="3"/>
        <v>2738.9805386168828</v>
      </c>
      <c r="AU55" s="2">
        <f>'主翼（空力）'!L99</f>
        <v>0</v>
      </c>
      <c r="AV55" s="27"/>
      <c r="AW55" s="27"/>
      <c r="AX55" s="27"/>
      <c r="AY55" s="27"/>
      <c r="AZ55" s="1"/>
      <c r="BA55" s="2" t="e">
        <f>IF((AF55-AF54)&gt;0,(AN54+AN55+SQRT(AN54*AN55))*(AF55-AF54)/3*10^-6*#REF!,0)</f>
        <v>#REF!</v>
      </c>
    </row>
    <row r="56" spans="2:53">
      <c r="AC56" s="1"/>
      <c r="AD56" s="196">
        <v>49</v>
      </c>
      <c r="AE56" s="97" t="str">
        <f t="shared" si="6"/>
        <v>2</v>
      </c>
      <c r="AF56" s="75">
        <f>VLOOKUP(AD56,'主翼（空力）'!B100:C199,2)</f>
        <v>8.1000000000000068</v>
      </c>
      <c r="AG56" s="76">
        <v>29.550000000000015</v>
      </c>
      <c r="AH56" s="76">
        <v>29.550000000000015</v>
      </c>
      <c r="AI56" s="76">
        <v>30.726000000000013</v>
      </c>
      <c r="AJ56" s="76">
        <v>30.726000000000013</v>
      </c>
      <c r="AK56" s="181">
        <v>101137.85399934588</v>
      </c>
      <c r="AL56" s="181">
        <v>101137.85399934708</v>
      </c>
      <c r="AM56" s="181">
        <v>202275.70818720915</v>
      </c>
      <c r="AN56" s="182">
        <v>222.69725960279808</v>
      </c>
      <c r="AO56" s="182">
        <v>2853.5056038930347</v>
      </c>
      <c r="AP56" s="76">
        <v>189.36841802972947</v>
      </c>
      <c r="AQ56" s="76">
        <v>85.052339273528418</v>
      </c>
      <c r="AR56" s="179">
        <v>12.456839242546334</v>
      </c>
      <c r="AS56" s="25">
        <f t="shared" si="2"/>
        <v>8602.0110717489497</v>
      </c>
      <c r="AT56" s="180">
        <f t="shared" si="3"/>
        <v>2519.7159795602779</v>
      </c>
      <c r="AU56" s="2">
        <f>'主翼（空力）'!L100</f>
        <v>0</v>
      </c>
      <c r="AV56" s="27"/>
      <c r="AW56" s="27"/>
      <c r="AX56" s="27"/>
      <c r="AY56" s="27"/>
      <c r="AZ56" s="1"/>
      <c r="BA56" s="2" t="e">
        <f>IF((AF56-AF55)&gt;0,(AN55+AN56+SQRT(AN55*AN56))*(AF56-AF55)/3*10^-6*#REF!,0)</f>
        <v>#REF!</v>
      </c>
    </row>
    <row r="57" spans="2:53">
      <c r="AC57" s="1"/>
      <c r="AD57" s="196">
        <v>50</v>
      </c>
      <c r="AE57" s="97" t="str">
        <f t="shared" si="6"/>
        <v>2</v>
      </c>
      <c r="AF57" s="75">
        <f>VLOOKUP(AD57,'主翼（空力）'!B101:C200,2)</f>
        <v>8.2500000000000071</v>
      </c>
      <c r="AG57" s="76">
        <v>28.700000000000017</v>
      </c>
      <c r="AH57" s="76">
        <v>28.700000000000017</v>
      </c>
      <c r="AI57" s="76">
        <v>29.876000000000015</v>
      </c>
      <c r="AJ57" s="76">
        <v>29.876000000000015</v>
      </c>
      <c r="AK57" s="181">
        <v>92819.579429787424</v>
      </c>
      <c r="AL57" s="181">
        <v>92819.579429787511</v>
      </c>
      <c r="AM57" s="181">
        <v>185639.15903248076</v>
      </c>
      <c r="AN57" s="182">
        <v>216.41639588712061</v>
      </c>
      <c r="AO57" s="182">
        <v>2694.8171616156428</v>
      </c>
      <c r="AP57" s="76">
        <v>184.02754752303656</v>
      </c>
      <c r="AQ57" s="76">
        <v>85.052339273528418</v>
      </c>
      <c r="AR57" s="179">
        <v>12.456839242546334</v>
      </c>
      <c r="AS57" s="25">
        <f t="shared" si="2"/>
        <v>7894.5223608884999</v>
      </c>
      <c r="AT57" s="180">
        <f t="shared" si="3"/>
        <v>2312.477161189106</v>
      </c>
      <c r="AU57" s="2">
        <f>'主翼（空力）'!L101</f>
        <v>0</v>
      </c>
      <c r="AV57" s="27"/>
      <c r="AW57" s="27"/>
      <c r="AX57" s="27"/>
      <c r="AY57" s="27"/>
      <c r="AZ57" s="1"/>
      <c r="BA57" s="2" t="e">
        <f>IF((AF57-AF56)&gt;0,(AN56+AN57+SQRT(AN56*AN57))*(AF57-AF56)/3*10^-6*#REF!,0)</f>
        <v>#REF!</v>
      </c>
    </row>
    <row r="58" spans="2:53">
      <c r="AC58" s="1"/>
      <c r="AD58" s="196">
        <v>51</v>
      </c>
      <c r="AE58" s="97" t="str">
        <f t="shared" si="6"/>
        <v>2-3接合</v>
      </c>
      <c r="AF58" s="75">
        <f>VLOOKUP(AD58,'主翼（空力）'!B102:C201,2)</f>
        <v>8.4000000000000075</v>
      </c>
      <c r="AG58" s="76">
        <v>27.850000000000023</v>
      </c>
      <c r="AH58" s="76">
        <v>27.850000000000023</v>
      </c>
      <c r="AI58" s="76">
        <v>29.026000000000021</v>
      </c>
      <c r="AJ58" s="76">
        <v>29.026000000000021</v>
      </c>
      <c r="AK58" s="181">
        <v>84970.387398313265</v>
      </c>
      <c r="AL58" s="181">
        <v>84970.387398314153</v>
      </c>
      <c r="AM58" s="181">
        <v>169940.77495503944</v>
      </c>
      <c r="AN58" s="182">
        <v>210.1355321714521</v>
      </c>
      <c r="AO58" s="182">
        <v>2540.6683207226879</v>
      </c>
      <c r="AP58" s="76">
        <v>178.68667701657924</v>
      </c>
      <c r="AQ58" s="76">
        <v>85.052339273528418</v>
      </c>
      <c r="AR58" s="179">
        <v>12.456839242546334</v>
      </c>
      <c r="AS58" s="25">
        <f t="shared" si="2"/>
        <v>7226.9302172044836</v>
      </c>
      <c r="AT58" s="180">
        <f t="shared" si="3"/>
        <v>2116.9249143686707</v>
      </c>
      <c r="AU58" s="2">
        <f>'主翼（空力）'!L102</f>
        <v>0</v>
      </c>
      <c r="AV58" s="27"/>
      <c r="AW58" s="27"/>
      <c r="AX58" s="27"/>
      <c r="AY58" s="27"/>
      <c r="AZ58" s="1"/>
      <c r="BA58" s="2" t="e">
        <f>IF((AF58-AF57)&gt;0,(AN57+AN58+SQRT(AN57*AN58))*(AF58-AF57)/3*10^-6*#REF!,0)</f>
        <v>#REF!</v>
      </c>
    </row>
    <row r="59" spans="2:53">
      <c r="AC59" s="1"/>
      <c r="AD59" s="196">
        <v>52</v>
      </c>
      <c r="AE59" s="97" t="str">
        <f t="shared" si="6"/>
        <v>2-3接合</v>
      </c>
      <c r="AF59" s="75">
        <f>VLOOKUP(AD59,'主翼（空力）'!B103:C202,2)</f>
        <v>8.5500000000000078</v>
      </c>
      <c r="AG59" s="76">
        <v>27.000000000000025</v>
      </c>
      <c r="AH59" s="76">
        <v>27.000000000000025</v>
      </c>
      <c r="AI59" s="76">
        <v>28.176000000000023</v>
      </c>
      <c r="AJ59" s="76">
        <v>28.176000000000023</v>
      </c>
      <c r="AK59" s="181">
        <v>77576.66413282312</v>
      </c>
      <c r="AL59" s="181">
        <v>77576.664132823091</v>
      </c>
      <c r="AM59" s="181">
        <v>155153.32841003747</v>
      </c>
      <c r="AN59" s="182">
        <v>203.85466845581075</v>
      </c>
      <c r="AO59" s="182">
        <v>2391.0590812141691</v>
      </c>
      <c r="AP59" s="76">
        <v>173.3458065101529</v>
      </c>
      <c r="AQ59" s="76">
        <v>85.052339273528418</v>
      </c>
      <c r="AR59" s="179">
        <v>12.456839242546334</v>
      </c>
      <c r="AS59" s="25">
        <f t="shared" si="2"/>
        <v>6598.0767575334348</v>
      </c>
      <c r="AT59" s="180">
        <f t="shared" si="3"/>
        <v>1932.7200699498337</v>
      </c>
      <c r="AU59" s="2">
        <f>'主翼（空力）'!L103</f>
        <v>0</v>
      </c>
      <c r="AV59" s="27"/>
      <c r="AW59" s="27"/>
      <c r="AX59" s="27"/>
      <c r="AY59" s="27"/>
      <c r="AZ59" s="1"/>
      <c r="BA59" s="2" t="e">
        <f>IF((AF59-AF58)&gt;0,(AN58+AN59+SQRT(AN58*AN59))*(AF59-AF58)/3*10^-6*#REF!,0)</f>
        <v>#REF!</v>
      </c>
    </row>
    <row r="60" spans="2:53">
      <c r="AC60" s="1"/>
      <c r="AD60" s="196">
        <v>53</v>
      </c>
      <c r="AE60" s="97" t="str">
        <f t="shared" si="6"/>
        <v>3</v>
      </c>
      <c r="AF60" s="75">
        <f>VLOOKUP(AD60,'主翼（空力）'!B104:C203,2)</f>
        <v>8.7000000000000082</v>
      </c>
      <c r="AG60" s="76">
        <v>26.150000000000027</v>
      </c>
      <c r="AH60" s="76">
        <v>26.150000000000027</v>
      </c>
      <c r="AI60" s="76">
        <v>27.326000000000025</v>
      </c>
      <c r="AJ60" s="76">
        <v>27.326000000000025</v>
      </c>
      <c r="AK60" s="181">
        <v>70624.795861208884</v>
      </c>
      <c r="AL60" s="181">
        <v>70624.795861209495</v>
      </c>
      <c r="AM60" s="181">
        <v>141249.59185394619</v>
      </c>
      <c r="AN60" s="182">
        <v>197.57380474013647</v>
      </c>
      <c r="AO60" s="182">
        <v>2245.9894430900886</v>
      </c>
      <c r="AP60" s="76">
        <v>168.00493600362259</v>
      </c>
      <c r="AQ60" s="76">
        <v>85.052339273528418</v>
      </c>
      <c r="AR60" s="179">
        <v>12.456839242546334</v>
      </c>
      <c r="AS60" s="25">
        <f t="shared" si="2"/>
        <v>6006.8040987112236</v>
      </c>
      <c r="AT60" s="180">
        <f t="shared" si="3"/>
        <v>1759.5234587998898</v>
      </c>
      <c r="AU60" s="2">
        <f>'主翼（空力）'!L104</f>
        <v>0</v>
      </c>
      <c r="AV60" s="27"/>
      <c r="AW60" s="27"/>
      <c r="AX60" s="27"/>
      <c r="AY60" s="27"/>
      <c r="AZ60" s="1"/>
      <c r="BA60" s="2" t="e">
        <f>IF((AF60-AF59)&gt;0,(AN59+AN60+SQRT(AN59*AN60))*(AF60-AF59)/3*10^-6*#REF!,0)</f>
        <v>#REF!</v>
      </c>
    </row>
    <row r="61" spans="2:53">
      <c r="AC61" s="1"/>
      <c r="AD61" s="196">
        <v>54</v>
      </c>
      <c r="AE61" s="97" t="str">
        <f t="shared" si="6"/>
        <v>3</v>
      </c>
      <c r="AF61" s="75">
        <f>VLOOKUP(AD61,'主翼（空力）'!B105:C204,2)</f>
        <v>8.8500000000000085</v>
      </c>
      <c r="AG61" s="76">
        <v>25.300000000000029</v>
      </c>
      <c r="AH61" s="76">
        <v>25.300000000000029</v>
      </c>
      <c r="AI61" s="76">
        <v>26.476000000000028</v>
      </c>
      <c r="AJ61" s="76">
        <v>26.476000000000028</v>
      </c>
      <c r="AK61" s="181">
        <v>64101.168811369578</v>
      </c>
      <c r="AL61" s="181">
        <v>64101.16881136944</v>
      </c>
      <c r="AM61" s="181">
        <v>128202.33774211223</v>
      </c>
      <c r="AN61" s="182">
        <v>191.29294102447028</v>
      </c>
      <c r="AO61" s="182">
        <v>2105.4594063504442</v>
      </c>
      <c r="AP61" s="76">
        <v>162.66406549714401</v>
      </c>
      <c r="AQ61" s="76">
        <v>85.052339273528418</v>
      </c>
      <c r="AR61" s="179">
        <v>12.456839242546334</v>
      </c>
      <c r="AS61" s="25">
        <f t="shared" si="2"/>
        <v>5451.9543575743246</v>
      </c>
      <c r="AT61" s="180">
        <f t="shared" si="3"/>
        <v>1596.9959117721226</v>
      </c>
      <c r="AU61" s="2">
        <f>'主翼（空力）'!L105</f>
        <v>0</v>
      </c>
      <c r="AV61" s="27"/>
      <c r="AW61" s="27"/>
      <c r="AX61" s="27"/>
      <c r="AY61" s="27"/>
      <c r="AZ61" s="1"/>
      <c r="BA61" s="2" t="e">
        <f>IF((AF61-AF60)&gt;0,(AN60+AN61+SQRT(AN60*AN61))*(AF61-AF60)/3*10^-6*#REF!,0)</f>
        <v>#REF!</v>
      </c>
    </row>
    <row r="62" spans="2:53">
      <c r="AC62" s="1"/>
      <c r="AD62" s="196">
        <v>55</v>
      </c>
      <c r="AE62" s="97" t="str">
        <f t="shared" si="6"/>
        <v>3</v>
      </c>
      <c r="AF62" s="75">
        <f>VLOOKUP(AD62,'主翼（空力）'!B106:C205,2)</f>
        <v>9.0000000000000089</v>
      </c>
      <c r="AG62" s="76">
        <v>24.450000000000031</v>
      </c>
      <c r="AH62" s="76">
        <v>24.450000000000031</v>
      </c>
      <c r="AI62" s="76">
        <v>25.62600000000003</v>
      </c>
      <c r="AJ62" s="76">
        <v>25.62600000000003</v>
      </c>
      <c r="AK62" s="181">
        <v>57992.169211201763</v>
      </c>
      <c r="AL62" s="181">
        <v>57992.169211201406</v>
      </c>
      <c r="AM62" s="181">
        <v>115984.33853040471</v>
      </c>
      <c r="AN62" s="182">
        <v>185.01207730879807</v>
      </c>
      <c r="AO62" s="182">
        <v>1969.4689709952384</v>
      </c>
      <c r="AP62" s="76">
        <v>157.32319499051556</v>
      </c>
      <c r="AQ62" s="76">
        <v>85.052339273528418</v>
      </c>
      <c r="AR62" s="179">
        <v>12.456839242546334</v>
      </c>
      <c r="AS62" s="25">
        <f t="shared" si="2"/>
        <v>4932.3696509590009</v>
      </c>
      <c r="AT62" s="180">
        <f t="shared" si="3"/>
        <v>1444.7982597263242</v>
      </c>
      <c r="AU62" s="2">
        <f>'主翼（空力）'!L106</f>
        <v>0</v>
      </c>
      <c r="AV62" s="27"/>
      <c r="AW62" s="27"/>
      <c r="AX62" s="27"/>
      <c r="AY62" s="27"/>
      <c r="AZ62" s="1"/>
      <c r="BA62" s="2" t="e">
        <f>IF((AF62-AF61)&gt;0,(AN61+AN62+SQRT(AN61*AN62))*(AF62-AF61)/3*10^-6*#REF!,0)</f>
        <v>#REF!</v>
      </c>
    </row>
    <row r="63" spans="2:53">
      <c r="AC63" s="1"/>
      <c r="AD63" s="196">
        <v>56</v>
      </c>
      <c r="AE63" s="97" t="str">
        <f t="shared" si="6"/>
        <v>3</v>
      </c>
      <c r="AF63" s="75">
        <f>VLOOKUP(AD63,'主翼（空力）'!B107:C206,2)</f>
        <v>9.1500000000000092</v>
      </c>
      <c r="AG63" s="76">
        <v>23.600000000000037</v>
      </c>
      <c r="AH63" s="76">
        <v>23.600000000000037</v>
      </c>
      <c r="AI63" s="76">
        <v>24.776000000000035</v>
      </c>
      <c r="AJ63" s="76">
        <v>24.776000000000035</v>
      </c>
      <c r="AK63" s="181">
        <v>52284.183288600289</v>
      </c>
      <c r="AL63" s="181">
        <v>52284.183288600027</v>
      </c>
      <c r="AM63" s="181">
        <v>104568.36667457869</v>
      </c>
      <c r="AN63" s="182">
        <v>178.73121359338845</v>
      </c>
      <c r="AO63" s="182">
        <v>1838.0181370244693</v>
      </c>
      <c r="AP63" s="76">
        <v>151.98232448401427</v>
      </c>
      <c r="AQ63" s="76">
        <v>85.052339273528418</v>
      </c>
      <c r="AR63" s="179">
        <v>12.456839242546334</v>
      </c>
      <c r="AS63" s="25">
        <f t="shared" si="2"/>
        <v>4446.892095701377</v>
      </c>
      <c r="AT63" s="180">
        <f t="shared" si="3"/>
        <v>1302.5913335208661</v>
      </c>
      <c r="AU63" s="2">
        <f>'主翼（空力）'!L107</f>
        <v>0</v>
      </c>
      <c r="AV63" s="27"/>
      <c r="AW63" s="27"/>
      <c r="AX63" s="27"/>
      <c r="AY63" s="27"/>
      <c r="AZ63" s="1"/>
      <c r="BA63" s="2" t="e">
        <f>IF((AF63-AF62)&gt;0,(AN62+AN63+SQRT(AN62*AN63))*(AF63-AF62)/3*10^-6*#REF!,0)</f>
        <v>#REF!</v>
      </c>
    </row>
    <row r="64" spans="2:53">
      <c r="AC64" s="1"/>
      <c r="AD64" s="196">
        <v>57</v>
      </c>
      <c r="AE64" s="97" t="str">
        <f t="shared" si="6"/>
        <v>3</v>
      </c>
      <c r="AF64" s="75">
        <f>VLOOKUP(AD64,'主翼（空力）'!B108:C207,2)</f>
        <v>9.3000000000000096</v>
      </c>
      <c r="AG64" s="76">
        <v>22.750000000000039</v>
      </c>
      <c r="AH64" s="76">
        <v>22.750000000000039</v>
      </c>
      <c r="AI64" s="76">
        <v>23.926000000000037</v>
      </c>
      <c r="AJ64" s="76">
        <v>23.926000000000037</v>
      </c>
      <c r="AK64" s="181">
        <v>46963.597271462182</v>
      </c>
      <c r="AL64" s="181">
        <v>46963.597271462881</v>
      </c>
      <c r="AM64" s="181">
        <v>93927.194630422644</v>
      </c>
      <c r="AN64" s="182">
        <v>172.45034987769384</v>
      </c>
      <c r="AO64" s="182">
        <v>1711.1069044381368</v>
      </c>
      <c r="AP64" s="76">
        <v>146.64145397752742</v>
      </c>
      <c r="AQ64" s="76">
        <v>85.052339273528418</v>
      </c>
      <c r="AR64" s="179">
        <v>12.456839242546334</v>
      </c>
      <c r="AS64" s="25">
        <f t="shared" si="2"/>
        <v>3994.363808637755</v>
      </c>
      <c r="AT64" s="180">
        <f t="shared" si="3"/>
        <v>1170.0359640145359</v>
      </c>
      <c r="AU64" s="2">
        <f>'主翼（空力）'!L108</f>
        <v>0</v>
      </c>
      <c r="AV64" s="27"/>
      <c r="AW64" s="27"/>
      <c r="AX64" s="27"/>
      <c r="AY64" s="27"/>
      <c r="AZ64" s="1"/>
      <c r="BA64" s="2" t="e">
        <f>IF((AF64-AF63)&gt;0,(AN63+AN64+SQRT(AN63*AN64))*(AF64-AF63)/3*10^-6*#REF!,0)</f>
        <v>#REF!</v>
      </c>
    </row>
    <row r="65" spans="29:53">
      <c r="AC65" s="1"/>
      <c r="AD65" s="196">
        <v>58</v>
      </c>
      <c r="AE65" s="97" t="str">
        <f t="shared" si="6"/>
        <v>3</v>
      </c>
      <c r="AF65" s="75">
        <f>VLOOKUP(AD65,'主翼（空力）'!B109:C208,2)</f>
        <v>9.4500000000000099</v>
      </c>
      <c r="AG65" s="76">
        <v>21.900000000000041</v>
      </c>
      <c r="AH65" s="76">
        <v>21.900000000000041</v>
      </c>
      <c r="AI65" s="76">
        <v>23.07600000000004</v>
      </c>
      <c r="AJ65" s="76">
        <v>23.07600000000004</v>
      </c>
      <c r="AK65" s="181">
        <v>42016.797387684179</v>
      </c>
      <c r="AL65" s="181">
        <v>42016.797387683924</v>
      </c>
      <c r="AM65" s="181">
        <v>84033.594853667557</v>
      </c>
      <c r="AN65" s="182">
        <v>166.16948616200702</v>
      </c>
      <c r="AO65" s="182">
        <v>1588.7352732362424</v>
      </c>
      <c r="AP65" s="76">
        <v>141.30058347109832</v>
      </c>
      <c r="AQ65" s="76">
        <v>85.052339273528418</v>
      </c>
      <c r="AR65" s="179">
        <v>12.456839242546334</v>
      </c>
      <c r="AS65" s="25">
        <f t="shared" si="2"/>
        <v>3573.6269066044174</v>
      </c>
      <c r="AT65" s="180">
        <f t="shared" si="3"/>
        <v>1046.7929820654058</v>
      </c>
      <c r="AU65" s="2">
        <f>'主翼（空力）'!L109</f>
        <v>0</v>
      </c>
      <c r="AV65" s="27"/>
      <c r="AW65" s="27"/>
      <c r="AX65" s="27"/>
      <c r="AY65" s="27"/>
      <c r="AZ65" s="1"/>
      <c r="BA65" s="2" t="e">
        <f>IF((AF65-AF64)&gt;0,(AN64+AN65+SQRT(AN64*AN65))*(AF65-AF64)/3*10^-6*#REF!,0)</f>
        <v>#REF!</v>
      </c>
    </row>
    <row r="66" spans="29:53">
      <c r="AC66" s="1"/>
      <c r="AD66" s="196">
        <v>59</v>
      </c>
      <c r="AE66" s="97" t="str">
        <f t="shared" si="6"/>
        <v>3</v>
      </c>
      <c r="AF66" s="75">
        <f>VLOOKUP(AD66,'主翼（空力）'!B110:C209,2)</f>
        <v>9.6000000000000103</v>
      </c>
      <c r="AG66" s="76">
        <v>21.050000000000047</v>
      </c>
      <c r="AH66" s="76">
        <v>21.050000000000047</v>
      </c>
      <c r="AI66" s="76">
        <v>22.226000000000045</v>
      </c>
      <c r="AJ66" s="76">
        <v>22.226000000000045</v>
      </c>
      <c r="AK66" s="181">
        <v>37430.16986516225</v>
      </c>
      <c r="AL66" s="181">
        <v>37430.169865162316</v>
      </c>
      <c r="AM66" s="181">
        <v>74860.339800101676</v>
      </c>
      <c r="AN66" s="182">
        <v>159.88862244631213</v>
      </c>
      <c r="AO66" s="182">
        <v>1470.903243418785</v>
      </c>
      <c r="AP66" s="76">
        <v>135.95971296460743</v>
      </c>
      <c r="AQ66" s="76">
        <v>85.052339273528418</v>
      </c>
      <c r="AR66" s="179">
        <v>12.456839242546334</v>
      </c>
      <c r="AS66" s="25">
        <f t="shared" si="2"/>
        <v>3183.5235064375793</v>
      </c>
      <c r="AT66" s="180">
        <f t="shared" si="3"/>
        <v>932.52321853225976</v>
      </c>
      <c r="AU66" s="2">
        <f>'主翼（空力）'!L110</f>
        <v>0</v>
      </c>
      <c r="AV66" s="27"/>
      <c r="AW66" s="27"/>
      <c r="AX66" s="27"/>
      <c r="AY66" s="27"/>
      <c r="AZ66" s="1"/>
      <c r="BA66" s="2" t="e">
        <f>IF((AF66-AF65)&gt;0,(AN65+AN66+SQRT(AN65*AN66))*(AF66-AF65)/3*10^-6*#REF!,0)</f>
        <v>#REF!</v>
      </c>
    </row>
    <row r="67" spans="29:53">
      <c r="AC67" s="1"/>
      <c r="AD67" s="196">
        <v>60</v>
      </c>
      <c r="AE67" s="97" t="str">
        <f t="shared" si="6"/>
        <v>3</v>
      </c>
      <c r="AF67" s="75">
        <f>VLOOKUP(AD67,'主翼（空力）'!B111:C210,2)</f>
        <v>9.7500000000000107</v>
      </c>
      <c r="AG67" s="76">
        <v>10</v>
      </c>
      <c r="AH67" s="76">
        <v>10</v>
      </c>
      <c r="AI67" s="76">
        <v>10</v>
      </c>
      <c r="AJ67" s="76">
        <v>10</v>
      </c>
      <c r="AK67" s="181">
        <v>3141.6885332410543</v>
      </c>
      <c r="AL67" s="181">
        <v>3141.6885332410707</v>
      </c>
      <c r="AM67" s="181">
        <v>6283.3770723367443</v>
      </c>
      <c r="AN67" s="182">
        <v>62.833770664800838</v>
      </c>
      <c r="AO67" s="182">
        <v>314.15926535897933</v>
      </c>
      <c r="AP67" s="76">
        <v>62.833770664800838</v>
      </c>
      <c r="AQ67" s="76">
        <v>85.052339273528418</v>
      </c>
      <c r="AR67" s="179">
        <v>12.456839242546334</v>
      </c>
      <c r="AS67" s="25">
        <f>AQ67*AK67*10^-3</f>
        <v>267.207959020972</v>
      </c>
      <c r="AT67" s="180">
        <f>AR67*AM67*10^-3</f>
        <v>78.271018090400247</v>
      </c>
      <c r="AU67" s="2">
        <f>'主翼（空力）'!L111</f>
        <v>0</v>
      </c>
      <c r="AV67" s="27"/>
      <c r="AW67" s="27"/>
      <c r="AX67" s="27"/>
      <c r="AY67" s="27"/>
      <c r="AZ67" s="1"/>
      <c r="BA67" s="2" t="e">
        <f>IF((AF67-AF66)&gt;0,(AN66+AN67+SQRT(AN66*AN67))*(AF67-AF66)/3*10^-6*#REF!,0)</f>
        <v>#REF!</v>
      </c>
    </row>
    <row r="68" spans="29:53">
      <c r="AC68" s="1"/>
      <c r="AD68" s="196"/>
      <c r="AE68" s="97"/>
      <c r="AF68" s="75"/>
      <c r="AG68" s="76"/>
      <c r="AH68" s="76"/>
      <c r="AI68" s="76"/>
      <c r="AJ68" s="76"/>
      <c r="AK68" s="181"/>
      <c r="AL68" s="181"/>
      <c r="AM68" s="181"/>
      <c r="AN68" s="182"/>
      <c r="AO68" s="182"/>
      <c r="AP68" s="76"/>
      <c r="AQ68" s="76"/>
      <c r="AR68" s="179"/>
      <c r="AS68" s="25"/>
      <c r="AT68" s="180"/>
      <c r="AU68" s="2">
        <f>'主翼（空力）'!L112</f>
        <v>0</v>
      </c>
      <c r="AV68" s="27"/>
      <c r="AW68" s="27"/>
      <c r="AX68" s="27"/>
      <c r="AY68" s="27"/>
      <c r="AZ68" s="1"/>
      <c r="BA68" s="2">
        <f>IF((AF68-AF67)&gt;0,(AN67+AN68+SQRT(AN67*AN68))*(AF68-AF67)/3*10^-6*#REF!,0)</f>
        <v>0</v>
      </c>
    </row>
    <row r="69" spans="29:53">
      <c r="AF69" s="3"/>
      <c r="AH69"/>
    </row>
    <row r="70" spans="29:53">
      <c r="AF70"/>
      <c r="AH70"/>
      <c r="AM70" s="3"/>
    </row>
    <row r="71" spans="29:53">
      <c r="AF71"/>
      <c r="AH71"/>
      <c r="AM71" s="3"/>
    </row>
    <row r="72" spans="29:53">
      <c r="AF72"/>
      <c r="AH72"/>
      <c r="AJ72" s="3"/>
    </row>
    <row r="73" spans="29:53">
      <c r="AF73"/>
      <c r="AH73"/>
      <c r="AJ73" s="3"/>
    </row>
    <row r="74" spans="29:53">
      <c r="AF74"/>
      <c r="AH74"/>
      <c r="AJ74" s="3"/>
    </row>
    <row r="75" spans="29:53">
      <c r="AF75"/>
      <c r="AH75"/>
      <c r="AJ75" s="3"/>
    </row>
    <row r="76" spans="29:53">
      <c r="AF76"/>
      <c r="AH76"/>
      <c r="AJ76" s="3"/>
    </row>
    <row r="77" spans="29:53">
      <c r="AF77"/>
      <c r="AH77"/>
      <c r="AJ77" s="3"/>
    </row>
    <row r="78" spans="29:53">
      <c r="AF78"/>
      <c r="AH78"/>
      <c r="AJ78" s="3"/>
    </row>
    <row r="79" spans="29:53">
      <c r="AF79"/>
      <c r="AH79"/>
      <c r="AJ79" s="3"/>
    </row>
    <row r="80" spans="29:53">
      <c r="AF80"/>
      <c r="AH80"/>
      <c r="AJ80" s="3"/>
    </row>
    <row r="81" spans="32:32">
      <c r="AF81"/>
    </row>
    <row r="82" spans="32:32">
      <c r="AF82"/>
    </row>
    <row r="83" spans="32:32">
      <c r="AF83"/>
    </row>
    <row r="84" spans="32:32">
      <c r="AF84"/>
    </row>
    <row r="85" spans="32:32">
      <c r="AF85"/>
    </row>
    <row r="86" spans="32:32">
      <c r="AF86"/>
    </row>
    <row r="87" spans="32:32">
      <c r="AF87"/>
    </row>
    <row r="88" spans="32:32">
      <c r="AF88"/>
    </row>
    <row r="89" spans="32:32">
      <c r="AF89"/>
    </row>
    <row r="90" spans="32:32">
      <c r="AF90"/>
    </row>
    <row r="91" spans="32:32">
      <c r="AF91"/>
    </row>
    <row r="92" spans="32:32">
      <c r="AF92"/>
    </row>
    <row r="93" spans="32:32">
      <c r="AF93"/>
    </row>
    <row r="94" spans="32:32">
      <c r="AF94"/>
    </row>
    <row r="95" spans="32:32">
      <c r="AF95"/>
    </row>
    <row r="96" spans="32:32">
      <c r="AF96"/>
    </row>
    <row r="97" spans="32:32">
      <c r="AF97"/>
    </row>
    <row r="98" spans="32:32">
      <c r="AF98"/>
    </row>
    <row r="99" spans="32:32">
      <c r="AF99"/>
    </row>
    <row r="100" spans="32:32">
      <c r="AF100"/>
    </row>
    <row r="101" spans="32:32">
      <c r="AF101"/>
    </row>
    <row r="102" spans="32:32">
      <c r="AF102"/>
    </row>
    <row r="103" spans="32:32">
      <c r="AF103"/>
    </row>
    <row r="104" spans="32:32">
      <c r="AF104"/>
    </row>
    <row r="105" spans="32:32">
      <c r="AF105"/>
    </row>
    <row r="106" spans="32:32">
      <c r="AF106"/>
    </row>
    <row r="107" spans="32:32">
      <c r="AF107"/>
    </row>
    <row r="108" spans="32:32">
      <c r="AF108"/>
    </row>
    <row r="109" spans="32:32">
      <c r="AF109"/>
    </row>
    <row r="110" spans="32:32">
      <c r="AF110"/>
    </row>
    <row r="111" spans="32:32">
      <c r="AF111"/>
    </row>
    <row r="112" spans="32:32">
      <c r="AF112"/>
    </row>
    <row r="113" spans="32:32">
      <c r="AF113"/>
    </row>
    <row r="114" spans="32:32">
      <c r="AF114"/>
    </row>
    <row r="115" spans="32:32">
      <c r="AF115"/>
    </row>
    <row r="116" spans="32:32">
      <c r="AF116"/>
    </row>
    <row r="117" spans="32:32">
      <c r="AF117"/>
    </row>
    <row r="118" spans="32:32">
      <c r="AF118"/>
    </row>
    <row r="119" spans="32:32">
      <c r="AF119"/>
    </row>
    <row r="120" spans="32:32">
      <c r="AF120"/>
    </row>
    <row r="121" spans="32:32">
      <c r="AF121"/>
    </row>
    <row r="122" spans="32:32">
      <c r="AF122"/>
    </row>
    <row r="123" spans="32:32">
      <c r="AF123"/>
    </row>
    <row r="124" spans="32:32">
      <c r="AF124"/>
    </row>
    <row r="125" spans="32:32">
      <c r="AF125"/>
    </row>
    <row r="126" spans="32:32">
      <c r="AF126"/>
    </row>
    <row r="127" spans="32:32">
      <c r="AF127"/>
    </row>
    <row r="128" spans="32:32">
      <c r="AF128"/>
    </row>
    <row r="129" spans="32:32">
      <c r="AF129"/>
    </row>
    <row r="130" spans="32:32">
      <c r="AF130"/>
    </row>
    <row r="131" spans="32:32">
      <c r="AF131"/>
    </row>
    <row r="132" spans="32:32">
      <c r="AF132"/>
    </row>
    <row r="133" spans="32:32">
      <c r="AF133"/>
    </row>
    <row r="134" spans="32:32">
      <c r="AF134"/>
    </row>
    <row r="135" spans="32:32">
      <c r="AF135"/>
    </row>
    <row r="136" spans="32:32">
      <c r="AF136"/>
    </row>
    <row r="137" spans="32:32">
      <c r="AF137"/>
    </row>
    <row r="138" spans="32:32">
      <c r="AF138"/>
    </row>
    <row r="139" spans="32:32">
      <c r="AF139"/>
    </row>
    <row r="140" spans="32:32">
      <c r="AF140"/>
    </row>
    <row r="141" spans="32:32">
      <c r="AF141"/>
    </row>
    <row r="142" spans="32:32">
      <c r="AF142"/>
    </row>
    <row r="143" spans="32:32">
      <c r="AF143"/>
    </row>
    <row r="144" spans="32:32">
      <c r="AF144"/>
    </row>
    <row r="145" spans="32:32">
      <c r="AF145"/>
    </row>
    <row r="146" spans="32:32">
      <c r="AF146"/>
    </row>
    <row r="147" spans="32:32">
      <c r="AF147"/>
    </row>
    <row r="148" spans="32:32">
      <c r="AF148"/>
    </row>
    <row r="149" spans="32:32">
      <c r="AF149"/>
    </row>
    <row r="150" spans="32:32">
      <c r="AF150"/>
    </row>
    <row r="151" spans="32:32">
      <c r="AF151"/>
    </row>
    <row r="152" spans="32:32">
      <c r="AF152"/>
    </row>
    <row r="153" spans="32:32">
      <c r="AF153"/>
    </row>
    <row r="154" spans="32:32">
      <c r="AF154"/>
    </row>
    <row r="155" spans="32:32">
      <c r="AF155"/>
    </row>
    <row r="156" spans="32:32">
      <c r="AF156"/>
    </row>
    <row r="157" spans="32:32">
      <c r="AF157"/>
    </row>
    <row r="158" spans="32:32">
      <c r="AF158"/>
    </row>
    <row r="159" spans="32:32">
      <c r="AF159"/>
    </row>
    <row r="160" spans="32:32">
      <c r="AF160"/>
    </row>
    <row r="161" spans="32:32">
      <c r="AF161"/>
    </row>
    <row r="162" spans="32:32">
      <c r="AF162"/>
    </row>
    <row r="163" spans="32:32">
      <c r="AF163"/>
    </row>
    <row r="164" spans="32:32">
      <c r="AF164"/>
    </row>
    <row r="165" spans="32:32">
      <c r="AF165"/>
    </row>
    <row r="166" spans="32:32">
      <c r="AF166"/>
    </row>
    <row r="167" spans="32:32">
      <c r="AF167"/>
    </row>
    <row r="168" spans="32:32">
      <c r="AF168"/>
    </row>
    <row r="169" spans="32:32">
      <c r="AF169"/>
    </row>
    <row r="170" spans="32:32">
      <c r="AF170"/>
    </row>
    <row r="171" spans="32:32">
      <c r="AF171"/>
    </row>
    <row r="172" spans="32:32">
      <c r="AF172"/>
    </row>
    <row r="173" spans="32:32">
      <c r="AF173"/>
    </row>
    <row r="174" spans="32:32">
      <c r="AF174"/>
    </row>
    <row r="175" spans="32:32">
      <c r="AF175"/>
    </row>
    <row r="176" spans="32:32">
      <c r="AF176"/>
    </row>
    <row r="177" spans="32:32">
      <c r="AF177"/>
    </row>
    <row r="178" spans="32:32">
      <c r="AF178"/>
    </row>
    <row r="179" spans="32:32">
      <c r="AF179"/>
    </row>
    <row r="180" spans="32:32">
      <c r="AF180"/>
    </row>
    <row r="181" spans="32:32">
      <c r="AF181"/>
    </row>
    <row r="182" spans="32:32">
      <c r="AF182"/>
    </row>
    <row r="183" spans="32:32">
      <c r="AF183"/>
    </row>
    <row r="184" spans="32:32">
      <c r="AF184"/>
    </row>
    <row r="185" spans="32:32">
      <c r="AF185"/>
    </row>
    <row r="186" spans="32:32">
      <c r="AF186"/>
    </row>
    <row r="187" spans="32:32">
      <c r="AF187"/>
    </row>
    <row r="188" spans="32:32">
      <c r="AF188"/>
    </row>
    <row r="189" spans="32:32">
      <c r="AF189"/>
    </row>
    <row r="190" spans="32:32">
      <c r="AF190"/>
    </row>
    <row r="191" spans="32:32">
      <c r="AF191"/>
    </row>
    <row r="192" spans="32:32">
      <c r="AF192"/>
    </row>
    <row r="193" spans="32:32">
      <c r="AF193"/>
    </row>
    <row r="194" spans="32:32">
      <c r="AF194"/>
    </row>
    <row r="195" spans="32:32">
      <c r="AF195"/>
    </row>
    <row r="196" spans="32:32">
      <c r="AF196"/>
    </row>
    <row r="197" spans="32:32">
      <c r="AF197"/>
    </row>
    <row r="198" spans="32:32">
      <c r="AF198"/>
    </row>
    <row r="199" spans="32:32">
      <c r="AF199"/>
    </row>
    <row r="200" spans="32:32">
      <c r="AF200"/>
    </row>
    <row r="201" spans="32:32">
      <c r="AF201"/>
    </row>
    <row r="202" spans="32:32">
      <c r="AF202"/>
    </row>
    <row r="203" spans="32:32">
      <c r="AF203"/>
    </row>
    <row r="204" spans="32:32">
      <c r="AF204"/>
    </row>
    <row r="205" spans="32:32">
      <c r="AF205"/>
    </row>
    <row r="206" spans="32:32">
      <c r="AF206"/>
    </row>
    <row r="207" spans="32:32">
      <c r="AF207"/>
    </row>
    <row r="208" spans="32:32">
      <c r="AF208"/>
    </row>
    <row r="209" spans="32:32">
      <c r="AF209"/>
    </row>
    <row r="210" spans="32:32">
      <c r="AF210"/>
    </row>
    <row r="211" spans="32:32">
      <c r="AF211"/>
    </row>
    <row r="212" spans="32:32">
      <c r="AF212"/>
    </row>
    <row r="213" spans="32:32">
      <c r="AF213"/>
    </row>
    <row r="214" spans="32:32">
      <c r="AF214"/>
    </row>
    <row r="215" spans="32:32">
      <c r="AF215"/>
    </row>
    <row r="216" spans="32:32">
      <c r="AF216"/>
    </row>
    <row r="217" spans="32:32">
      <c r="AF217"/>
    </row>
    <row r="218" spans="32:32">
      <c r="AF218"/>
    </row>
    <row r="219" spans="32:32">
      <c r="AF219"/>
    </row>
    <row r="220" spans="32:32">
      <c r="AF220"/>
    </row>
    <row r="221" spans="32:32">
      <c r="AF221"/>
    </row>
    <row r="222" spans="32:32">
      <c r="AF222"/>
    </row>
    <row r="223" spans="32:32">
      <c r="AF223"/>
    </row>
    <row r="224" spans="32:32">
      <c r="AF224"/>
    </row>
    <row r="225" spans="32:32">
      <c r="AF225"/>
    </row>
    <row r="226" spans="32:32">
      <c r="AF226"/>
    </row>
    <row r="227" spans="32:32">
      <c r="AF227"/>
    </row>
    <row r="228" spans="32:32">
      <c r="AF228"/>
    </row>
    <row r="229" spans="32:32">
      <c r="AF229"/>
    </row>
    <row r="230" spans="32:32">
      <c r="AF230"/>
    </row>
    <row r="231" spans="32:32">
      <c r="AF231"/>
    </row>
    <row r="232" spans="32:32">
      <c r="AF232"/>
    </row>
    <row r="233" spans="32:32">
      <c r="AF233"/>
    </row>
    <row r="234" spans="32:32">
      <c r="AF234"/>
    </row>
    <row r="235" spans="32:32">
      <c r="AF235"/>
    </row>
    <row r="236" spans="32:32">
      <c r="AF236"/>
    </row>
    <row r="237" spans="32:32">
      <c r="AF237"/>
    </row>
    <row r="238" spans="32:32">
      <c r="AF238"/>
    </row>
    <row r="239" spans="32:32">
      <c r="AF239"/>
    </row>
    <row r="240" spans="32:32">
      <c r="AF240"/>
    </row>
    <row r="241" spans="32:32">
      <c r="AF241"/>
    </row>
    <row r="242" spans="32:32">
      <c r="AF242"/>
    </row>
    <row r="243" spans="32:32">
      <c r="AF243"/>
    </row>
    <row r="244" spans="32:32">
      <c r="AF244"/>
    </row>
    <row r="245" spans="32:32">
      <c r="AF245"/>
    </row>
    <row r="246" spans="32:32">
      <c r="AF246"/>
    </row>
    <row r="247" spans="32:32">
      <c r="AF247"/>
    </row>
    <row r="248" spans="32:32">
      <c r="AF248"/>
    </row>
    <row r="249" spans="32:32">
      <c r="AF249"/>
    </row>
    <row r="250" spans="32:32">
      <c r="AF250"/>
    </row>
    <row r="251" spans="32:32">
      <c r="AF251"/>
    </row>
    <row r="252" spans="32:32">
      <c r="AF252"/>
    </row>
    <row r="253" spans="32:32">
      <c r="AF253"/>
    </row>
    <row r="254" spans="32:32">
      <c r="AF254"/>
    </row>
    <row r="255" spans="32:32">
      <c r="AF255"/>
    </row>
    <row r="256" spans="32:32">
      <c r="AF256"/>
    </row>
    <row r="257" spans="32:32">
      <c r="AF257"/>
    </row>
    <row r="258" spans="32:32">
      <c r="AF258"/>
    </row>
    <row r="259" spans="32:32">
      <c r="AF259"/>
    </row>
    <row r="260" spans="32:32">
      <c r="AF260"/>
    </row>
    <row r="261" spans="32:32">
      <c r="AF261"/>
    </row>
    <row r="262" spans="32:32">
      <c r="AF262"/>
    </row>
    <row r="263" spans="32:32">
      <c r="AF263"/>
    </row>
    <row r="264" spans="32:32">
      <c r="AF264"/>
    </row>
    <row r="265" spans="32:32">
      <c r="AF265"/>
    </row>
    <row r="266" spans="32:32">
      <c r="AF266"/>
    </row>
    <row r="267" spans="32:32">
      <c r="AF267"/>
    </row>
    <row r="268" spans="32:32">
      <c r="AF268"/>
    </row>
    <row r="269" spans="32:32">
      <c r="AF269"/>
    </row>
    <row r="270" spans="32:32">
      <c r="AF270"/>
    </row>
    <row r="271" spans="32:32">
      <c r="AF271"/>
    </row>
    <row r="272" spans="32:32">
      <c r="AF272"/>
    </row>
    <row r="273" spans="32:32">
      <c r="AF273"/>
    </row>
    <row r="274" spans="32:32">
      <c r="AF274"/>
    </row>
    <row r="275" spans="32:32">
      <c r="AF275"/>
    </row>
    <row r="276" spans="32:32">
      <c r="AF276"/>
    </row>
    <row r="277" spans="32:32">
      <c r="AF277"/>
    </row>
    <row r="278" spans="32:32">
      <c r="AF278"/>
    </row>
    <row r="279" spans="32:32">
      <c r="AF279"/>
    </row>
    <row r="280" spans="32:32">
      <c r="AF280"/>
    </row>
    <row r="281" spans="32:32">
      <c r="AF281"/>
    </row>
    <row r="282" spans="32:32">
      <c r="AF282"/>
    </row>
    <row r="283" spans="32:32">
      <c r="AF283"/>
    </row>
    <row r="284" spans="32:32">
      <c r="AF284"/>
    </row>
    <row r="285" spans="32:32">
      <c r="AF285"/>
    </row>
    <row r="286" spans="32:32">
      <c r="AF286"/>
    </row>
    <row r="287" spans="32:32">
      <c r="AF287"/>
    </row>
    <row r="288" spans="32:32">
      <c r="AF288"/>
    </row>
    <row r="289" spans="32:32">
      <c r="AF289"/>
    </row>
    <row r="290" spans="32:32">
      <c r="AF290"/>
    </row>
    <row r="291" spans="32:32">
      <c r="AF291"/>
    </row>
    <row r="292" spans="32:32">
      <c r="AF292"/>
    </row>
    <row r="293" spans="32:32">
      <c r="AF293"/>
    </row>
    <row r="294" spans="32:32">
      <c r="AF294"/>
    </row>
    <row r="295" spans="32:32">
      <c r="AF295"/>
    </row>
    <row r="296" spans="32:32">
      <c r="AF296"/>
    </row>
    <row r="297" spans="32:32">
      <c r="AF297"/>
    </row>
    <row r="298" spans="32:32">
      <c r="AF298"/>
    </row>
    <row r="299" spans="32:32">
      <c r="AF299"/>
    </row>
    <row r="300" spans="32:32">
      <c r="AF300"/>
    </row>
    <row r="301" spans="32:32">
      <c r="AF301"/>
    </row>
    <row r="302" spans="32:32">
      <c r="AF302"/>
    </row>
    <row r="303" spans="32:32">
      <c r="AF303"/>
    </row>
    <row r="304" spans="32:32">
      <c r="AF304"/>
    </row>
    <row r="305" spans="32:32">
      <c r="AF305"/>
    </row>
    <row r="306" spans="32:32">
      <c r="AF306"/>
    </row>
    <row r="307" spans="32:32">
      <c r="AF307"/>
    </row>
    <row r="308" spans="32:32">
      <c r="AF308"/>
    </row>
    <row r="309" spans="32:32">
      <c r="AF309"/>
    </row>
    <row r="310" spans="32:32">
      <c r="AF310"/>
    </row>
    <row r="311" spans="32:32">
      <c r="AF311"/>
    </row>
    <row r="312" spans="32:32">
      <c r="AF312"/>
    </row>
    <row r="313" spans="32:32">
      <c r="AF313"/>
    </row>
    <row r="314" spans="32:32">
      <c r="AF314"/>
    </row>
    <row r="315" spans="32:32">
      <c r="AF315"/>
    </row>
    <row r="316" spans="32:32">
      <c r="AF316"/>
    </row>
    <row r="317" spans="32:32">
      <c r="AF317"/>
    </row>
    <row r="318" spans="32:32">
      <c r="AF318"/>
    </row>
    <row r="319" spans="32:32">
      <c r="AF319"/>
    </row>
    <row r="320" spans="32:32">
      <c r="AF320"/>
    </row>
    <row r="321" spans="32:32">
      <c r="AF321"/>
    </row>
    <row r="322" spans="32:32">
      <c r="AF322"/>
    </row>
    <row r="323" spans="32:32">
      <c r="AF323"/>
    </row>
    <row r="324" spans="32:32">
      <c r="AF324"/>
    </row>
    <row r="325" spans="32:32">
      <c r="AF325"/>
    </row>
    <row r="326" spans="32:32">
      <c r="AF326"/>
    </row>
    <row r="327" spans="32:32">
      <c r="AF327"/>
    </row>
    <row r="328" spans="32:32">
      <c r="AF328"/>
    </row>
    <row r="329" spans="32:32">
      <c r="AF329"/>
    </row>
    <row r="330" spans="32:32">
      <c r="AF330"/>
    </row>
    <row r="331" spans="32:32">
      <c r="AF331"/>
    </row>
    <row r="332" spans="32:32">
      <c r="AF332"/>
    </row>
    <row r="333" spans="32:32">
      <c r="AF333"/>
    </row>
    <row r="334" spans="32:32">
      <c r="AF334"/>
    </row>
    <row r="335" spans="32:32">
      <c r="AF335"/>
    </row>
    <row r="336" spans="32:32">
      <c r="AF336"/>
    </row>
    <row r="337" spans="32:32">
      <c r="AF337"/>
    </row>
    <row r="338" spans="32:32">
      <c r="AF338"/>
    </row>
    <row r="339" spans="32:32">
      <c r="AF339"/>
    </row>
    <row r="340" spans="32:32">
      <c r="AF340"/>
    </row>
    <row r="341" spans="32:32">
      <c r="AF341"/>
    </row>
    <row r="342" spans="32:32">
      <c r="AF342"/>
    </row>
    <row r="343" spans="32:32">
      <c r="AF343"/>
    </row>
    <row r="344" spans="32:32">
      <c r="AF344"/>
    </row>
    <row r="345" spans="32:32">
      <c r="AF345"/>
    </row>
    <row r="346" spans="32:32">
      <c r="AF346"/>
    </row>
    <row r="347" spans="32:32">
      <c r="AF347"/>
    </row>
    <row r="348" spans="32:32">
      <c r="AF348"/>
    </row>
    <row r="349" spans="32:32">
      <c r="AF349"/>
    </row>
    <row r="350" spans="32:32">
      <c r="AF350"/>
    </row>
    <row r="351" spans="32:32">
      <c r="AF351"/>
    </row>
    <row r="352" spans="32:32">
      <c r="AF352"/>
    </row>
    <row r="353" spans="32:32">
      <c r="AF353"/>
    </row>
    <row r="354" spans="32:32">
      <c r="AF354"/>
    </row>
    <row r="355" spans="32:32">
      <c r="AF355"/>
    </row>
    <row r="356" spans="32:32">
      <c r="AF356"/>
    </row>
    <row r="357" spans="32:32">
      <c r="AF357"/>
    </row>
    <row r="358" spans="32:32">
      <c r="AF358"/>
    </row>
    <row r="359" spans="32:32">
      <c r="AF359"/>
    </row>
    <row r="360" spans="32:32">
      <c r="AF360"/>
    </row>
    <row r="361" spans="32:32">
      <c r="AF361"/>
    </row>
    <row r="362" spans="32:32">
      <c r="AF362"/>
    </row>
    <row r="363" spans="32:32">
      <c r="AF363"/>
    </row>
    <row r="364" spans="32:32">
      <c r="AF364"/>
    </row>
    <row r="365" spans="32:32">
      <c r="AF365"/>
    </row>
    <row r="366" spans="32:32">
      <c r="AF366"/>
    </row>
    <row r="367" spans="32:32">
      <c r="AF367"/>
    </row>
    <row r="368" spans="32:32">
      <c r="AF368"/>
    </row>
    <row r="369" spans="32:32">
      <c r="AF369"/>
    </row>
    <row r="370" spans="32:32">
      <c r="AF370"/>
    </row>
    <row r="371" spans="32:32">
      <c r="AF371"/>
    </row>
    <row r="372" spans="32:32">
      <c r="AF372"/>
    </row>
    <row r="373" spans="32:32">
      <c r="AF373"/>
    </row>
    <row r="374" spans="32:32">
      <c r="AF374"/>
    </row>
    <row r="375" spans="32:32">
      <c r="AF375"/>
    </row>
    <row r="376" spans="32:32">
      <c r="AF376"/>
    </row>
    <row r="377" spans="32:32">
      <c r="AF377"/>
    </row>
    <row r="378" spans="32:32">
      <c r="AF378"/>
    </row>
    <row r="379" spans="32:32">
      <c r="AF379"/>
    </row>
    <row r="380" spans="32:32">
      <c r="AF380"/>
    </row>
    <row r="381" spans="32:32">
      <c r="AF381"/>
    </row>
    <row r="382" spans="32:32">
      <c r="AF382"/>
    </row>
    <row r="383" spans="32:32">
      <c r="AF383"/>
    </row>
    <row r="384" spans="32:32">
      <c r="AF384"/>
    </row>
    <row r="385" spans="32:32">
      <c r="AF385"/>
    </row>
    <row r="386" spans="32:32">
      <c r="AF386"/>
    </row>
    <row r="387" spans="32:32">
      <c r="AF387"/>
    </row>
    <row r="388" spans="32:32">
      <c r="AF388"/>
    </row>
    <row r="389" spans="32:32">
      <c r="AF389"/>
    </row>
    <row r="390" spans="32:32">
      <c r="AF390"/>
    </row>
    <row r="391" spans="32:32">
      <c r="AF391"/>
    </row>
    <row r="392" spans="32:32">
      <c r="AF392"/>
    </row>
    <row r="393" spans="32:32">
      <c r="AF393"/>
    </row>
    <row r="394" spans="32:32">
      <c r="AF394"/>
    </row>
    <row r="395" spans="32:32">
      <c r="AF395"/>
    </row>
    <row r="396" spans="32:32">
      <c r="AF396"/>
    </row>
    <row r="397" spans="32:32">
      <c r="AF397"/>
    </row>
    <row r="398" spans="32:32">
      <c r="AF398"/>
    </row>
    <row r="399" spans="32:32">
      <c r="AF399"/>
    </row>
    <row r="400" spans="32:32">
      <c r="AF400"/>
    </row>
    <row r="401" spans="32:32">
      <c r="AF401"/>
    </row>
    <row r="402" spans="32:32">
      <c r="AF402"/>
    </row>
    <row r="403" spans="32:32">
      <c r="AF403"/>
    </row>
    <row r="404" spans="32:32">
      <c r="AF404"/>
    </row>
    <row r="405" spans="32:32">
      <c r="AF405"/>
    </row>
    <row r="406" spans="32:32">
      <c r="AF406"/>
    </row>
    <row r="407" spans="32:32">
      <c r="AF407"/>
    </row>
    <row r="408" spans="32:32">
      <c r="AF408"/>
    </row>
    <row r="409" spans="32:32">
      <c r="AF409"/>
    </row>
    <row r="410" spans="32:32">
      <c r="AF410"/>
    </row>
    <row r="411" spans="32:32">
      <c r="AF411"/>
    </row>
    <row r="412" spans="32:32">
      <c r="AF412"/>
    </row>
    <row r="413" spans="32:32">
      <c r="AF413"/>
    </row>
    <row r="414" spans="32:32">
      <c r="AF414"/>
    </row>
    <row r="415" spans="32:32">
      <c r="AF415"/>
    </row>
    <row r="416" spans="32:32">
      <c r="AF416"/>
    </row>
    <row r="417" spans="32:32">
      <c r="AF417"/>
    </row>
    <row r="418" spans="32:32">
      <c r="AF418"/>
    </row>
    <row r="419" spans="32:32">
      <c r="AF419"/>
    </row>
    <row r="420" spans="32:32">
      <c r="AF420"/>
    </row>
    <row r="421" spans="32:32">
      <c r="AF421"/>
    </row>
    <row r="422" spans="32:32">
      <c r="AF422"/>
    </row>
    <row r="423" spans="32:32">
      <c r="AF423"/>
    </row>
    <row r="424" spans="32:32">
      <c r="AF424"/>
    </row>
    <row r="425" spans="32:32">
      <c r="AF425"/>
    </row>
    <row r="426" spans="32:32">
      <c r="AF426"/>
    </row>
    <row r="427" spans="32:32">
      <c r="AF427"/>
    </row>
    <row r="428" spans="32:32">
      <c r="AF428"/>
    </row>
    <row r="429" spans="32:32">
      <c r="AF429"/>
    </row>
    <row r="430" spans="32:32">
      <c r="AF430"/>
    </row>
    <row r="431" spans="32:32">
      <c r="AF431"/>
    </row>
    <row r="432" spans="32:32">
      <c r="AF432"/>
    </row>
    <row r="433" spans="32:32">
      <c r="AF433"/>
    </row>
    <row r="434" spans="32:32">
      <c r="AF434"/>
    </row>
    <row r="435" spans="32:32">
      <c r="AF435"/>
    </row>
    <row r="436" spans="32:32">
      <c r="AF436"/>
    </row>
    <row r="437" spans="32:32">
      <c r="AF437"/>
    </row>
    <row r="438" spans="32:32">
      <c r="AF438"/>
    </row>
    <row r="439" spans="32:32">
      <c r="AF439"/>
    </row>
    <row r="440" spans="32:32">
      <c r="AF440"/>
    </row>
    <row r="441" spans="32:32">
      <c r="AF441"/>
    </row>
    <row r="442" spans="32:32">
      <c r="AF442"/>
    </row>
    <row r="443" spans="32:32">
      <c r="AF443"/>
    </row>
    <row r="444" spans="32:32">
      <c r="AF444"/>
    </row>
    <row r="445" spans="32:32">
      <c r="AF445"/>
    </row>
    <row r="446" spans="32:32">
      <c r="AF446"/>
    </row>
    <row r="447" spans="32:32">
      <c r="AF447"/>
    </row>
    <row r="448" spans="32:32">
      <c r="AF448"/>
    </row>
    <row r="449" spans="32:32">
      <c r="AF449"/>
    </row>
    <row r="450" spans="32:32">
      <c r="AF450"/>
    </row>
    <row r="451" spans="32:32">
      <c r="AF451"/>
    </row>
    <row r="452" spans="32:32">
      <c r="AF452"/>
    </row>
    <row r="453" spans="32:32">
      <c r="AF453"/>
    </row>
    <row r="454" spans="32:32">
      <c r="AF454"/>
    </row>
    <row r="455" spans="32:32">
      <c r="AF455"/>
    </row>
    <row r="456" spans="32:32">
      <c r="AF456"/>
    </row>
    <row r="457" spans="32:32">
      <c r="AF457"/>
    </row>
    <row r="458" spans="32:32">
      <c r="AF458"/>
    </row>
    <row r="459" spans="32:32">
      <c r="AF459"/>
    </row>
    <row r="460" spans="32:32">
      <c r="AF460"/>
    </row>
    <row r="461" spans="32:32">
      <c r="AF461"/>
    </row>
    <row r="462" spans="32:32">
      <c r="AF462"/>
    </row>
    <row r="463" spans="32:32">
      <c r="AF463"/>
    </row>
    <row r="464" spans="32:32">
      <c r="AF464"/>
    </row>
    <row r="465" spans="32:32">
      <c r="AF465"/>
    </row>
    <row r="466" spans="32:32">
      <c r="AF466"/>
    </row>
    <row r="467" spans="32:32">
      <c r="AF467"/>
    </row>
    <row r="468" spans="32:32">
      <c r="AF468"/>
    </row>
    <row r="469" spans="32:32">
      <c r="AF469"/>
    </row>
    <row r="470" spans="32:32">
      <c r="AF470"/>
    </row>
    <row r="471" spans="32:32">
      <c r="AF471"/>
    </row>
    <row r="472" spans="32:32">
      <c r="AF472"/>
    </row>
    <row r="473" spans="32:32">
      <c r="AF473"/>
    </row>
    <row r="474" spans="32:32">
      <c r="AF474"/>
    </row>
    <row r="475" spans="32:32">
      <c r="AF475"/>
    </row>
    <row r="476" spans="32:32">
      <c r="AF476"/>
    </row>
    <row r="477" spans="32:32">
      <c r="AF477"/>
    </row>
    <row r="478" spans="32:32">
      <c r="AF478"/>
    </row>
    <row r="479" spans="32:32">
      <c r="AF479"/>
    </row>
    <row r="480" spans="32:32">
      <c r="AF480"/>
    </row>
    <row r="481" spans="32:32">
      <c r="AF481"/>
    </row>
    <row r="482" spans="32:32">
      <c r="AF482"/>
    </row>
    <row r="483" spans="32:32">
      <c r="AF483"/>
    </row>
    <row r="484" spans="32:32">
      <c r="AF484"/>
    </row>
    <row r="485" spans="32:32">
      <c r="AF485"/>
    </row>
    <row r="486" spans="32:32">
      <c r="AF486"/>
    </row>
    <row r="487" spans="32:32">
      <c r="AF487"/>
    </row>
    <row r="488" spans="32:32">
      <c r="AF488"/>
    </row>
    <row r="489" spans="32:32">
      <c r="AF489"/>
    </row>
    <row r="490" spans="32:32">
      <c r="AF490"/>
    </row>
    <row r="491" spans="32:32">
      <c r="AF491"/>
    </row>
    <row r="492" spans="32:32">
      <c r="AF492"/>
    </row>
    <row r="493" spans="32:32">
      <c r="AF493"/>
    </row>
    <row r="494" spans="32:32">
      <c r="AF494"/>
    </row>
    <row r="495" spans="32:32">
      <c r="AF495"/>
    </row>
    <row r="496" spans="32:32">
      <c r="AF496"/>
    </row>
    <row r="497" spans="32:32">
      <c r="AF497"/>
    </row>
    <row r="498" spans="32:32">
      <c r="AF498"/>
    </row>
    <row r="499" spans="32:32">
      <c r="AF499"/>
    </row>
    <row r="500" spans="32:32">
      <c r="AF500"/>
    </row>
    <row r="501" spans="32:32">
      <c r="AF501"/>
    </row>
    <row r="502" spans="32:32">
      <c r="AF502"/>
    </row>
    <row r="503" spans="32:32">
      <c r="AF503"/>
    </row>
    <row r="504" spans="32:32">
      <c r="AF504"/>
    </row>
    <row r="505" spans="32:32">
      <c r="AF505"/>
    </row>
    <row r="506" spans="32:32">
      <c r="AF506"/>
    </row>
    <row r="507" spans="32:32">
      <c r="AF507"/>
    </row>
    <row r="508" spans="32:32">
      <c r="AF508"/>
    </row>
    <row r="509" spans="32:32">
      <c r="AF509"/>
    </row>
    <row r="510" spans="32:32">
      <c r="AF510"/>
    </row>
    <row r="511" spans="32:32">
      <c r="AF511"/>
    </row>
    <row r="512" spans="32:32">
      <c r="AF512"/>
    </row>
    <row r="513" spans="32:32">
      <c r="AF513"/>
    </row>
    <row r="514" spans="32:32">
      <c r="AF514"/>
    </row>
    <row r="515" spans="32:32">
      <c r="AF515"/>
    </row>
    <row r="516" spans="32:32">
      <c r="AF516"/>
    </row>
    <row r="517" spans="32:32">
      <c r="AF517"/>
    </row>
    <row r="518" spans="32:32">
      <c r="AF518"/>
    </row>
    <row r="519" spans="32:32">
      <c r="AF519"/>
    </row>
    <row r="520" spans="32:32">
      <c r="AF520"/>
    </row>
    <row r="521" spans="32:32">
      <c r="AF521"/>
    </row>
    <row r="522" spans="32:32">
      <c r="AF522"/>
    </row>
    <row r="523" spans="32:32">
      <c r="AF523"/>
    </row>
    <row r="524" spans="32:32">
      <c r="AF524"/>
    </row>
    <row r="525" spans="32:32">
      <c r="AF525"/>
    </row>
    <row r="526" spans="32:32">
      <c r="AF526"/>
    </row>
    <row r="527" spans="32:32">
      <c r="AF527"/>
    </row>
    <row r="528" spans="32:32">
      <c r="AF528"/>
    </row>
    <row r="529" spans="32:32">
      <c r="AF529"/>
    </row>
    <row r="530" spans="32:32">
      <c r="AF530"/>
    </row>
    <row r="531" spans="32:32">
      <c r="AF531"/>
    </row>
    <row r="532" spans="32:32">
      <c r="AF532"/>
    </row>
    <row r="533" spans="32:32">
      <c r="AF533"/>
    </row>
    <row r="534" spans="32:32">
      <c r="AF534"/>
    </row>
    <row r="535" spans="32:32">
      <c r="AF535"/>
    </row>
    <row r="536" spans="32:32">
      <c r="AF536"/>
    </row>
    <row r="537" spans="32:32">
      <c r="AF537"/>
    </row>
    <row r="538" spans="32:32">
      <c r="AF538"/>
    </row>
    <row r="539" spans="32:32">
      <c r="AF539"/>
    </row>
    <row r="540" spans="32:32">
      <c r="AF540"/>
    </row>
    <row r="541" spans="32:32">
      <c r="AF541"/>
    </row>
    <row r="542" spans="32:32">
      <c r="AF542"/>
    </row>
    <row r="543" spans="32:32">
      <c r="AF543"/>
    </row>
    <row r="544" spans="32:32">
      <c r="AF544"/>
    </row>
    <row r="545" spans="32:32">
      <c r="AF545"/>
    </row>
    <row r="546" spans="32:32">
      <c r="AF546"/>
    </row>
    <row r="547" spans="32:32">
      <c r="AF547"/>
    </row>
    <row r="548" spans="32:32">
      <c r="AF548"/>
    </row>
    <row r="549" spans="32:32">
      <c r="AF549"/>
    </row>
    <row r="550" spans="32:32">
      <c r="AF550"/>
    </row>
    <row r="551" spans="32:32">
      <c r="AF551"/>
    </row>
    <row r="552" spans="32:32">
      <c r="AF552"/>
    </row>
    <row r="553" spans="32:32">
      <c r="AF553"/>
    </row>
    <row r="554" spans="32:32">
      <c r="AF554"/>
    </row>
    <row r="555" spans="32:32">
      <c r="AF555"/>
    </row>
    <row r="556" spans="32:32">
      <c r="AF556"/>
    </row>
    <row r="557" spans="32:32">
      <c r="AF557"/>
    </row>
    <row r="558" spans="32:32">
      <c r="AF558"/>
    </row>
    <row r="559" spans="32:32">
      <c r="AF559"/>
    </row>
    <row r="560" spans="32:32">
      <c r="AF560"/>
    </row>
    <row r="561" spans="32:32">
      <c r="AF561"/>
    </row>
    <row r="562" spans="32:32">
      <c r="AF562"/>
    </row>
    <row r="563" spans="32:32">
      <c r="AF563"/>
    </row>
    <row r="564" spans="32:32">
      <c r="AF564"/>
    </row>
    <row r="565" spans="32:32">
      <c r="AF565"/>
    </row>
    <row r="566" spans="32:32">
      <c r="AF566"/>
    </row>
    <row r="567" spans="32:32">
      <c r="AF567"/>
    </row>
    <row r="568" spans="32:32">
      <c r="AF568"/>
    </row>
    <row r="569" spans="32:32">
      <c r="AF569"/>
    </row>
    <row r="570" spans="32:32">
      <c r="AF570"/>
    </row>
    <row r="571" spans="32:32">
      <c r="AF571"/>
    </row>
    <row r="572" spans="32:32">
      <c r="AF572"/>
    </row>
    <row r="573" spans="32:32">
      <c r="AF573"/>
    </row>
    <row r="574" spans="32:32">
      <c r="AF574"/>
    </row>
    <row r="575" spans="32:32">
      <c r="AF575"/>
    </row>
    <row r="576" spans="32:32">
      <c r="AF576"/>
    </row>
    <row r="577" spans="32:32">
      <c r="AF577"/>
    </row>
    <row r="578" spans="32:32">
      <c r="AF578"/>
    </row>
    <row r="579" spans="32:32">
      <c r="AF579"/>
    </row>
    <row r="580" spans="32:32">
      <c r="AF580"/>
    </row>
    <row r="581" spans="32:32">
      <c r="AF581"/>
    </row>
    <row r="582" spans="32:32">
      <c r="AF582"/>
    </row>
    <row r="583" spans="32:32">
      <c r="AF583"/>
    </row>
    <row r="584" spans="32:32">
      <c r="AF584"/>
    </row>
    <row r="585" spans="32:32">
      <c r="AF585"/>
    </row>
    <row r="586" spans="32:32">
      <c r="AF586"/>
    </row>
    <row r="587" spans="32:32">
      <c r="AF587"/>
    </row>
    <row r="588" spans="32:32">
      <c r="AF588"/>
    </row>
    <row r="589" spans="32:32">
      <c r="AF589"/>
    </row>
    <row r="590" spans="32:32">
      <c r="AF590"/>
    </row>
    <row r="591" spans="32:32">
      <c r="AF591"/>
    </row>
    <row r="592" spans="32:32">
      <c r="AF592"/>
    </row>
    <row r="593" spans="32:32">
      <c r="AF593"/>
    </row>
    <row r="594" spans="32:32">
      <c r="AF594"/>
    </row>
    <row r="595" spans="32:32">
      <c r="AF595"/>
    </row>
    <row r="596" spans="32:32">
      <c r="AF596"/>
    </row>
    <row r="597" spans="32:32">
      <c r="AF597"/>
    </row>
    <row r="598" spans="32:32">
      <c r="AF598"/>
    </row>
    <row r="599" spans="32:32">
      <c r="AF599"/>
    </row>
    <row r="600" spans="32:32">
      <c r="AF600"/>
    </row>
    <row r="601" spans="32:32">
      <c r="AF601"/>
    </row>
    <row r="602" spans="32:32">
      <c r="AF602"/>
    </row>
    <row r="603" spans="32:32">
      <c r="AF603"/>
    </row>
    <row r="604" spans="32:32">
      <c r="AF604"/>
    </row>
    <row r="605" spans="32:32">
      <c r="AF605"/>
    </row>
    <row r="606" spans="32:32">
      <c r="AF606"/>
    </row>
    <row r="607" spans="32:32">
      <c r="AF607"/>
    </row>
    <row r="608" spans="32:32">
      <c r="AF608"/>
    </row>
    <row r="609" spans="32:32">
      <c r="AF609"/>
    </row>
    <row r="610" spans="32:32">
      <c r="AF610"/>
    </row>
    <row r="611" spans="32:32">
      <c r="AF611"/>
    </row>
    <row r="612" spans="32:32">
      <c r="AF612"/>
    </row>
    <row r="613" spans="32:32">
      <c r="AF613"/>
    </row>
    <row r="614" spans="32:32">
      <c r="AF614"/>
    </row>
    <row r="615" spans="32:32">
      <c r="AF615"/>
    </row>
    <row r="616" spans="32:32">
      <c r="AF616"/>
    </row>
    <row r="617" spans="32:32">
      <c r="AF617"/>
    </row>
    <row r="618" spans="32:32">
      <c r="AF618"/>
    </row>
    <row r="619" spans="32:32">
      <c r="AF619"/>
    </row>
    <row r="620" spans="32:32">
      <c r="AF620"/>
    </row>
    <row r="621" spans="32:32">
      <c r="AF621"/>
    </row>
    <row r="622" spans="32:32">
      <c r="AF622"/>
    </row>
    <row r="623" spans="32:32">
      <c r="AF623"/>
    </row>
    <row r="624" spans="32:32">
      <c r="AF624"/>
    </row>
    <row r="625" spans="32:32">
      <c r="AF625"/>
    </row>
    <row r="626" spans="32:32">
      <c r="AF626"/>
    </row>
    <row r="627" spans="32:32">
      <c r="AF627"/>
    </row>
    <row r="628" spans="32:32">
      <c r="AF628"/>
    </row>
    <row r="629" spans="32:32">
      <c r="AF629"/>
    </row>
    <row r="630" spans="32:32">
      <c r="AF630"/>
    </row>
    <row r="631" spans="32:32">
      <c r="AF631"/>
    </row>
    <row r="632" spans="32:32">
      <c r="AF632"/>
    </row>
    <row r="633" spans="32:32">
      <c r="AF633"/>
    </row>
    <row r="634" spans="32:32">
      <c r="AF634"/>
    </row>
    <row r="635" spans="32:32">
      <c r="AF635"/>
    </row>
    <row r="636" spans="32:32">
      <c r="AF636"/>
    </row>
    <row r="637" spans="32:32">
      <c r="AF637"/>
    </row>
    <row r="638" spans="32:32">
      <c r="AF638"/>
    </row>
    <row r="639" spans="32:32">
      <c r="AF639"/>
    </row>
    <row r="640" spans="32:32">
      <c r="AF640"/>
    </row>
    <row r="641" spans="32:32">
      <c r="AF641"/>
    </row>
    <row r="642" spans="32:32">
      <c r="AF642"/>
    </row>
    <row r="643" spans="32:32">
      <c r="AF643"/>
    </row>
    <row r="644" spans="32:32">
      <c r="AF644"/>
    </row>
    <row r="645" spans="32:32">
      <c r="AF645"/>
    </row>
    <row r="646" spans="32:32">
      <c r="AF646"/>
    </row>
    <row r="647" spans="32:32">
      <c r="AF647"/>
    </row>
    <row r="648" spans="32:32">
      <c r="AF648"/>
    </row>
    <row r="649" spans="32:32">
      <c r="AF649"/>
    </row>
    <row r="650" spans="32:32">
      <c r="AF650"/>
    </row>
    <row r="651" spans="32:32">
      <c r="AF651"/>
    </row>
    <row r="652" spans="32:32">
      <c r="AF652"/>
    </row>
    <row r="653" spans="32:32">
      <c r="AF653"/>
    </row>
    <row r="654" spans="32:32">
      <c r="AF654"/>
    </row>
    <row r="655" spans="32:32">
      <c r="AF655"/>
    </row>
    <row r="656" spans="32:32">
      <c r="AF656"/>
    </row>
    <row r="657" spans="32:32">
      <c r="AF657"/>
    </row>
    <row r="658" spans="32:32">
      <c r="AF658"/>
    </row>
    <row r="659" spans="32:32">
      <c r="AF659"/>
    </row>
    <row r="660" spans="32:32">
      <c r="AF660"/>
    </row>
    <row r="661" spans="32:32">
      <c r="AF661"/>
    </row>
    <row r="662" spans="32:32">
      <c r="AF662"/>
    </row>
    <row r="663" spans="32:32">
      <c r="AF663"/>
    </row>
    <row r="664" spans="32:32">
      <c r="AF664"/>
    </row>
    <row r="665" spans="32:32">
      <c r="AF665"/>
    </row>
    <row r="666" spans="32:32">
      <c r="AF666"/>
    </row>
    <row r="667" spans="32:32">
      <c r="AF667"/>
    </row>
    <row r="668" spans="32:32">
      <c r="AF668"/>
    </row>
    <row r="669" spans="32:32">
      <c r="AF669"/>
    </row>
    <row r="670" spans="32:32">
      <c r="AF670"/>
    </row>
    <row r="671" spans="32:32">
      <c r="AF671"/>
    </row>
    <row r="672" spans="32:32">
      <c r="AF672"/>
    </row>
    <row r="673" spans="32:32">
      <c r="AF673"/>
    </row>
    <row r="674" spans="32:32">
      <c r="AF674"/>
    </row>
    <row r="675" spans="32:32">
      <c r="AF675"/>
    </row>
    <row r="676" spans="32:32">
      <c r="AF676"/>
    </row>
    <row r="677" spans="32:32">
      <c r="AF677"/>
    </row>
    <row r="678" spans="32:32">
      <c r="AF678"/>
    </row>
    <row r="679" spans="32:32">
      <c r="AF679"/>
    </row>
    <row r="680" spans="32:32">
      <c r="AF680"/>
    </row>
    <row r="681" spans="32:32">
      <c r="AF681"/>
    </row>
    <row r="682" spans="32:32">
      <c r="AF682"/>
    </row>
    <row r="683" spans="32:32">
      <c r="AF683"/>
    </row>
    <row r="684" spans="32:32">
      <c r="AF684"/>
    </row>
    <row r="685" spans="32:32">
      <c r="AF685"/>
    </row>
    <row r="686" spans="32:32">
      <c r="AF686"/>
    </row>
    <row r="687" spans="32:32">
      <c r="AF687"/>
    </row>
    <row r="688" spans="32:32">
      <c r="AF688"/>
    </row>
    <row r="689" spans="32:32">
      <c r="AF689"/>
    </row>
    <row r="690" spans="32:32">
      <c r="AF690"/>
    </row>
    <row r="691" spans="32:32">
      <c r="AF691"/>
    </row>
    <row r="692" spans="32:32">
      <c r="AF692"/>
    </row>
    <row r="693" spans="32:32">
      <c r="AF693"/>
    </row>
    <row r="694" spans="32:32">
      <c r="AF694"/>
    </row>
    <row r="695" spans="32:32">
      <c r="AF695"/>
    </row>
    <row r="696" spans="32:32">
      <c r="AF696"/>
    </row>
    <row r="697" spans="32:32">
      <c r="AF697"/>
    </row>
    <row r="698" spans="32:32">
      <c r="AF698"/>
    </row>
    <row r="699" spans="32:32">
      <c r="AF699"/>
    </row>
    <row r="700" spans="32:32">
      <c r="AF700"/>
    </row>
    <row r="701" spans="32:32">
      <c r="AF701"/>
    </row>
    <row r="702" spans="32:32">
      <c r="AF702"/>
    </row>
    <row r="703" spans="32:32">
      <c r="AF703"/>
    </row>
    <row r="704" spans="32:32">
      <c r="AF704"/>
    </row>
    <row r="705" spans="32:32">
      <c r="AF705"/>
    </row>
    <row r="706" spans="32:32">
      <c r="AF706"/>
    </row>
    <row r="707" spans="32:32">
      <c r="AF707"/>
    </row>
    <row r="708" spans="32:32">
      <c r="AF708"/>
    </row>
    <row r="709" spans="32:32">
      <c r="AF709"/>
    </row>
    <row r="710" spans="32:32">
      <c r="AF710"/>
    </row>
    <row r="711" spans="32:32">
      <c r="AF711"/>
    </row>
    <row r="712" spans="32:32">
      <c r="AF712"/>
    </row>
    <row r="713" spans="32:32">
      <c r="AF713"/>
    </row>
    <row r="714" spans="32:32">
      <c r="AF714"/>
    </row>
    <row r="715" spans="32:32">
      <c r="AF715"/>
    </row>
    <row r="716" spans="32:32">
      <c r="AF716"/>
    </row>
    <row r="717" spans="32:32">
      <c r="AF717"/>
    </row>
    <row r="718" spans="32:32">
      <c r="AF718"/>
    </row>
    <row r="719" spans="32:32">
      <c r="AF719"/>
    </row>
    <row r="720" spans="32:32">
      <c r="AF720"/>
    </row>
    <row r="721" spans="32:32">
      <c r="AF721"/>
    </row>
    <row r="722" spans="32:32">
      <c r="AF722"/>
    </row>
    <row r="723" spans="32:32">
      <c r="AF723"/>
    </row>
    <row r="724" spans="32:32">
      <c r="AF724"/>
    </row>
    <row r="725" spans="32:32">
      <c r="AF725"/>
    </row>
    <row r="726" spans="32:32">
      <c r="AF726"/>
    </row>
    <row r="727" spans="32:32">
      <c r="AF727"/>
    </row>
    <row r="728" spans="32:32">
      <c r="AF728"/>
    </row>
    <row r="729" spans="32:32">
      <c r="AF729"/>
    </row>
    <row r="730" spans="32:32">
      <c r="AF730"/>
    </row>
    <row r="731" spans="32:32">
      <c r="AF731"/>
    </row>
    <row r="732" spans="32:32">
      <c r="AF732"/>
    </row>
    <row r="733" spans="32:32">
      <c r="AF733"/>
    </row>
    <row r="734" spans="32:32">
      <c r="AF734"/>
    </row>
    <row r="735" spans="32:32">
      <c r="AF735"/>
    </row>
    <row r="736" spans="32:32">
      <c r="AF736"/>
    </row>
    <row r="737" spans="32:32">
      <c r="AF737"/>
    </row>
    <row r="738" spans="32:32">
      <c r="AF738"/>
    </row>
    <row r="739" spans="32:32">
      <c r="AF739"/>
    </row>
    <row r="740" spans="32:32">
      <c r="AF740"/>
    </row>
    <row r="741" spans="32:32">
      <c r="AF741"/>
    </row>
    <row r="742" spans="32:32">
      <c r="AF742"/>
    </row>
    <row r="743" spans="32:32">
      <c r="AF743"/>
    </row>
    <row r="744" spans="32:32">
      <c r="AF744"/>
    </row>
    <row r="745" spans="32:32">
      <c r="AF745"/>
    </row>
    <row r="746" spans="32:32">
      <c r="AF746"/>
    </row>
    <row r="747" spans="32:32">
      <c r="AF747"/>
    </row>
    <row r="748" spans="32:32">
      <c r="AF748"/>
    </row>
    <row r="749" spans="32:32">
      <c r="AF749"/>
    </row>
    <row r="750" spans="32:32">
      <c r="AF750"/>
    </row>
    <row r="751" spans="32:32">
      <c r="AF751"/>
    </row>
    <row r="752" spans="32:32">
      <c r="AF752"/>
    </row>
    <row r="753" spans="32:32">
      <c r="AF753"/>
    </row>
    <row r="754" spans="32:32">
      <c r="AF754"/>
    </row>
    <row r="755" spans="32:32">
      <c r="AF755"/>
    </row>
    <row r="756" spans="32:32">
      <c r="AF756"/>
    </row>
    <row r="757" spans="32:32">
      <c r="AF757"/>
    </row>
    <row r="758" spans="32:32">
      <c r="AF758"/>
    </row>
    <row r="759" spans="32:32">
      <c r="AF759"/>
    </row>
    <row r="760" spans="32:32">
      <c r="AF760"/>
    </row>
    <row r="761" spans="32:32">
      <c r="AF761"/>
    </row>
    <row r="762" spans="32:32">
      <c r="AF762"/>
    </row>
    <row r="763" spans="32:32">
      <c r="AF763"/>
    </row>
    <row r="764" spans="32:32">
      <c r="AF764"/>
    </row>
    <row r="765" spans="32:32">
      <c r="AF765"/>
    </row>
    <row r="766" spans="32:32">
      <c r="AF766"/>
    </row>
    <row r="767" spans="32:32">
      <c r="AF767"/>
    </row>
    <row r="768" spans="32:32">
      <c r="AF768"/>
    </row>
    <row r="769" spans="32:32">
      <c r="AF769"/>
    </row>
    <row r="770" spans="32:32">
      <c r="AF770"/>
    </row>
    <row r="771" spans="32:32">
      <c r="AF771"/>
    </row>
    <row r="772" spans="32:32">
      <c r="AF772"/>
    </row>
    <row r="773" spans="32:32">
      <c r="AF773"/>
    </row>
    <row r="774" spans="32:32">
      <c r="AF774"/>
    </row>
    <row r="775" spans="32:32">
      <c r="AF775"/>
    </row>
    <row r="776" spans="32:32">
      <c r="AF776"/>
    </row>
    <row r="777" spans="32:32">
      <c r="AF777"/>
    </row>
    <row r="778" spans="32:32">
      <c r="AF778"/>
    </row>
    <row r="779" spans="32:32">
      <c r="AF779"/>
    </row>
    <row r="780" spans="32:32">
      <c r="AF780"/>
    </row>
    <row r="781" spans="32:32">
      <c r="AF781"/>
    </row>
    <row r="782" spans="32:32">
      <c r="AF782"/>
    </row>
    <row r="783" spans="32:32">
      <c r="AF783"/>
    </row>
    <row r="784" spans="32:32">
      <c r="AF784"/>
    </row>
    <row r="785" spans="32:32">
      <c r="AF785"/>
    </row>
    <row r="786" spans="32:32">
      <c r="AF786"/>
    </row>
    <row r="787" spans="32:32">
      <c r="AF787"/>
    </row>
    <row r="788" spans="32:32">
      <c r="AF788"/>
    </row>
    <row r="789" spans="32:32">
      <c r="AF789"/>
    </row>
    <row r="790" spans="32:32">
      <c r="AF790"/>
    </row>
    <row r="791" spans="32:32">
      <c r="AF791"/>
    </row>
    <row r="792" spans="32:32">
      <c r="AF792"/>
    </row>
    <row r="793" spans="32:32">
      <c r="AF793"/>
    </row>
    <row r="794" spans="32:32">
      <c r="AF794"/>
    </row>
    <row r="795" spans="32:32">
      <c r="AF795"/>
    </row>
    <row r="796" spans="32:32">
      <c r="AF796"/>
    </row>
    <row r="797" spans="32:32">
      <c r="AF797"/>
    </row>
    <row r="798" spans="32:32">
      <c r="AF798"/>
    </row>
    <row r="799" spans="32:32">
      <c r="AF799"/>
    </row>
    <row r="800" spans="32:32">
      <c r="AF800"/>
    </row>
    <row r="801" spans="32:32">
      <c r="AF801"/>
    </row>
    <row r="802" spans="32:32">
      <c r="AF802"/>
    </row>
    <row r="803" spans="32:32">
      <c r="AF803"/>
    </row>
    <row r="804" spans="32:32">
      <c r="AF804"/>
    </row>
    <row r="805" spans="32:32">
      <c r="AF805"/>
    </row>
    <row r="806" spans="32:32">
      <c r="AF806"/>
    </row>
    <row r="807" spans="32:32">
      <c r="AF807"/>
    </row>
    <row r="808" spans="32:32">
      <c r="AF808"/>
    </row>
    <row r="809" spans="32:32">
      <c r="AF809"/>
    </row>
    <row r="810" spans="32:32">
      <c r="AF810"/>
    </row>
    <row r="811" spans="32:32">
      <c r="AF811"/>
    </row>
    <row r="812" spans="32:32">
      <c r="AF812"/>
    </row>
    <row r="813" spans="32:32">
      <c r="AF813"/>
    </row>
    <row r="814" spans="32:32">
      <c r="AF814"/>
    </row>
    <row r="815" spans="32:32">
      <c r="AF815"/>
    </row>
    <row r="816" spans="32:32">
      <c r="AF816"/>
    </row>
    <row r="817" spans="32:32">
      <c r="AF817"/>
    </row>
    <row r="818" spans="32:32">
      <c r="AF818"/>
    </row>
    <row r="819" spans="32:32">
      <c r="AF819"/>
    </row>
    <row r="820" spans="32:32">
      <c r="AF820"/>
    </row>
    <row r="821" spans="32:32">
      <c r="AF821"/>
    </row>
    <row r="822" spans="32:32">
      <c r="AF822"/>
    </row>
    <row r="823" spans="32:32">
      <c r="AF823"/>
    </row>
    <row r="824" spans="32:32">
      <c r="AF824"/>
    </row>
    <row r="825" spans="32:32">
      <c r="AF825"/>
    </row>
    <row r="826" spans="32:32">
      <c r="AF826"/>
    </row>
    <row r="827" spans="32:32">
      <c r="AF827"/>
    </row>
    <row r="828" spans="32:32">
      <c r="AF828"/>
    </row>
    <row r="829" spans="32:32">
      <c r="AF829"/>
    </row>
    <row r="830" spans="32:32">
      <c r="AF830"/>
    </row>
    <row r="831" spans="32:32">
      <c r="AF831"/>
    </row>
    <row r="832" spans="32:32">
      <c r="AF832"/>
    </row>
    <row r="833" spans="32:32">
      <c r="AF833"/>
    </row>
    <row r="834" spans="32:32">
      <c r="AF834"/>
    </row>
    <row r="835" spans="32:32">
      <c r="AF835"/>
    </row>
    <row r="836" spans="32:32">
      <c r="AF836"/>
    </row>
    <row r="837" spans="32:32">
      <c r="AF837"/>
    </row>
    <row r="838" spans="32:32">
      <c r="AF838"/>
    </row>
    <row r="839" spans="32:32">
      <c r="AF839"/>
    </row>
    <row r="840" spans="32:32">
      <c r="AF840"/>
    </row>
    <row r="841" spans="32:32">
      <c r="AF841"/>
    </row>
    <row r="842" spans="32:32">
      <c r="AF842"/>
    </row>
    <row r="843" spans="32:32">
      <c r="AF843"/>
    </row>
    <row r="844" spans="32:32">
      <c r="AF844"/>
    </row>
    <row r="845" spans="32:32">
      <c r="AF845"/>
    </row>
    <row r="846" spans="32:32">
      <c r="AF846"/>
    </row>
    <row r="847" spans="32:32">
      <c r="AF847"/>
    </row>
    <row r="848" spans="32:32">
      <c r="AF848"/>
    </row>
    <row r="849" spans="32:32">
      <c r="AF849"/>
    </row>
    <row r="850" spans="32:32">
      <c r="AF850"/>
    </row>
    <row r="851" spans="32:32">
      <c r="AF851"/>
    </row>
    <row r="852" spans="32:32">
      <c r="AF852"/>
    </row>
    <row r="853" spans="32:32">
      <c r="AF853"/>
    </row>
    <row r="854" spans="32:32">
      <c r="AF854"/>
    </row>
    <row r="855" spans="32:32">
      <c r="AF855"/>
    </row>
    <row r="856" spans="32:32">
      <c r="AF856"/>
    </row>
    <row r="857" spans="32:32">
      <c r="AF857"/>
    </row>
    <row r="858" spans="32:32">
      <c r="AF858"/>
    </row>
    <row r="859" spans="32:32">
      <c r="AF859"/>
    </row>
    <row r="860" spans="32:32">
      <c r="AF860"/>
    </row>
    <row r="861" spans="32:32">
      <c r="AF861"/>
    </row>
    <row r="862" spans="32:32">
      <c r="AF862"/>
    </row>
    <row r="863" spans="32:32">
      <c r="AF863"/>
    </row>
    <row r="864" spans="32:32">
      <c r="AF864"/>
    </row>
    <row r="865" spans="32:32">
      <c r="AF865"/>
    </row>
    <row r="866" spans="32:32">
      <c r="AF866"/>
    </row>
    <row r="867" spans="32:32">
      <c r="AF867"/>
    </row>
    <row r="868" spans="32:32">
      <c r="AF868"/>
    </row>
    <row r="869" spans="32:32">
      <c r="AF869"/>
    </row>
    <row r="870" spans="32:32">
      <c r="AF870"/>
    </row>
    <row r="871" spans="32:32">
      <c r="AF871"/>
    </row>
    <row r="872" spans="32:32">
      <c r="AF872"/>
    </row>
    <row r="873" spans="32:32">
      <c r="AF873"/>
    </row>
    <row r="874" spans="32:32">
      <c r="AF874"/>
    </row>
    <row r="875" spans="32:32">
      <c r="AF875"/>
    </row>
    <row r="876" spans="32:32">
      <c r="AF876"/>
    </row>
    <row r="877" spans="32:32">
      <c r="AF877"/>
    </row>
    <row r="878" spans="32:32">
      <c r="AF878"/>
    </row>
    <row r="879" spans="32:32">
      <c r="AF879"/>
    </row>
    <row r="880" spans="32:32">
      <c r="AF880"/>
    </row>
    <row r="881" spans="32:32">
      <c r="AF881"/>
    </row>
    <row r="882" spans="32:32">
      <c r="AF882"/>
    </row>
    <row r="883" spans="32:32">
      <c r="AF883"/>
    </row>
    <row r="884" spans="32:32">
      <c r="AF884"/>
    </row>
    <row r="885" spans="32:32">
      <c r="AF885"/>
    </row>
    <row r="886" spans="32:32">
      <c r="AF886"/>
    </row>
    <row r="887" spans="32:32">
      <c r="AF887"/>
    </row>
    <row r="888" spans="32:32">
      <c r="AF888"/>
    </row>
    <row r="889" spans="32:32">
      <c r="AF889"/>
    </row>
    <row r="890" spans="32:32">
      <c r="AF890"/>
    </row>
    <row r="891" spans="32:32">
      <c r="AF891"/>
    </row>
    <row r="892" spans="32:32">
      <c r="AF892"/>
    </row>
    <row r="893" spans="32:32">
      <c r="AF893"/>
    </row>
    <row r="894" spans="32:32">
      <c r="AF894"/>
    </row>
    <row r="895" spans="32:32">
      <c r="AF895"/>
    </row>
    <row r="896" spans="32:32">
      <c r="AF896"/>
    </row>
    <row r="897" spans="32:32">
      <c r="AF897"/>
    </row>
    <row r="898" spans="32:32">
      <c r="AF898"/>
    </row>
    <row r="899" spans="32:32">
      <c r="AF899"/>
    </row>
    <row r="900" spans="32:32">
      <c r="AF900"/>
    </row>
    <row r="901" spans="32:32">
      <c r="AF901"/>
    </row>
    <row r="902" spans="32:32">
      <c r="AF902"/>
    </row>
    <row r="903" spans="32:32">
      <c r="AF903"/>
    </row>
    <row r="904" spans="32:32">
      <c r="AF904"/>
    </row>
    <row r="905" spans="32:32">
      <c r="AF905"/>
    </row>
    <row r="906" spans="32:32">
      <c r="AF906"/>
    </row>
    <row r="907" spans="32:32">
      <c r="AF907"/>
    </row>
    <row r="908" spans="32:32">
      <c r="AF908"/>
    </row>
    <row r="909" spans="32:32">
      <c r="AF909"/>
    </row>
    <row r="910" spans="32:32">
      <c r="AF910"/>
    </row>
    <row r="911" spans="32:32">
      <c r="AF911"/>
    </row>
    <row r="912" spans="32:32">
      <c r="AF912"/>
    </row>
    <row r="913" spans="32:32">
      <c r="AF913"/>
    </row>
    <row r="914" spans="32:32">
      <c r="AF914"/>
    </row>
    <row r="915" spans="32:32">
      <c r="AF915"/>
    </row>
    <row r="916" spans="32:32">
      <c r="AF916"/>
    </row>
    <row r="917" spans="32:32">
      <c r="AF917"/>
    </row>
    <row r="918" spans="32:32">
      <c r="AF918"/>
    </row>
    <row r="919" spans="32:32">
      <c r="AF919"/>
    </row>
    <row r="920" spans="32:32">
      <c r="AF920"/>
    </row>
    <row r="921" spans="32:32">
      <c r="AF921"/>
    </row>
    <row r="922" spans="32:32">
      <c r="AF922"/>
    </row>
    <row r="923" spans="32:32">
      <c r="AF923"/>
    </row>
    <row r="924" spans="32:32">
      <c r="AF924"/>
    </row>
    <row r="925" spans="32:32">
      <c r="AF925"/>
    </row>
    <row r="926" spans="32:32">
      <c r="AF926"/>
    </row>
    <row r="927" spans="32:32">
      <c r="AF927"/>
    </row>
    <row r="928" spans="32:32">
      <c r="AF928"/>
    </row>
    <row r="929" spans="32:32">
      <c r="AF929"/>
    </row>
    <row r="930" spans="32:32">
      <c r="AF930"/>
    </row>
    <row r="931" spans="32:32">
      <c r="AF931"/>
    </row>
    <row r="932" spans="32:32">
      <c r="AF932"/>
    </row>
    <row r="933" spans="32:32">
      <c r="AF933"/>
    </row>
    <row r="934" spans="32:32">
      <c r="AF934"/>
    </row>
    <row r="935" spans="32:32">
      <c r="AF935"/>
    </row>
    <row r="936" spans="32:32">
      <c r="AF936"/>
    </row>
    <row r="937" spans="32:32">
      <c r="AF937"/>
    </row>
    <row r="938" spans="32:32">
      <c r="AF938"/>
    </row>
    <row r="939" spans="32:32">
      <c r="AF939"/>
    </row>
    <row r="940" spans="32:32">
      <c r="AF940"/>
    </row>
    <row r="941" spans="32:32">
      <c r="AF941"/>
    </row>
    <row r="942" spans="32:32">
      <c r="AF942"/>
    </row>
    <row r="943" spans="32:32">
      <c r="AF943"/>
    </row>
    <row r="944" spans="32:32">
      <c r="AF944"/>
    </row>
    <row r="945" spans="32:32">
      <c r="AF945"/>
    </row>
    <row r="946" spans="32:32">
      <c r="AF946"/>
    </row>
    <row r="947" spans="32:32">
      <c r="AF947"/>
    </row>
    <row r="948" spans="32:32">
      <c r="AF948"/>
    </row>
    <row r="949" spans="32:32">
      <c r="AF949"/>
    </row>
    <row r="950" spans="32:32">
      <c r="AF950"/>
    </row>
    <row r="951" spans="32:32">
      <c r="AF951"/>
    </row>
    <row r="952" spans="32:32">
      <c r="AF952"/>
    </row>
    <row r="953" spans="32:32">
      <c r="AF953"/>
    </row>
    <row r="954" spans="32:32">
      <c r="AF954"/>
    </row>
    <row r="955" spans="32:32">
      <c r="AF955"/>
    </row>
    <row r="956" spans="32:32">
      <c r="AF956"/>
    </row>
    <row r="957" spans="32:32">
      <c r="AF957"/>
    </row>
    <row r="958" spans="32:32">
      <c r="AF958"/>
    </row>
    <row r="959" spans="32:32">
      <c r="AF959"/>
    </row>
    <row r="960" spans="32:32">
      <c r="AF960"/>
    </row>
    <row r="961" spans="32:32">
      <c r="AF961"/>
    </row>
    <row r="962" spans="32:32">
      <c r="AF962"/>
    </row>
    <row r="963" spans="32:32">
      <c r="AF963"/>
    </row>
    <row r="964" spans="32:32">
      <c r="AF964"/>
    </row>
    <row r="965" spans="32:32">
      <c r="AF965"/>
    </row>
    <row r="966" spans="32:32">
      <c r="AF966"/>
    </row>
    <row r="967" spans="32:32">
      <c r="AF967"/>
    </row>
    <row r="968" spans="32:32">
      <c r="AF968"/>
    </row>
    <row r="969" spans="32:32">
      <c r="AF969"/>
    </row>
    <row r="970" spans="32:32">
      <c r="AF970"/>
    </row>
    <row r="971" spans="32:32">
      <c r="AF971"/>
    </row>
    <row r="972" spans="32:32">
      <c r="AF972"/>
    </row>
    <row r="973" spans="32:32">
      <c r="AF973"/>
    </row>
    <row r="974" spans="32:32">
      <c r="AF974"/>
    </row>
    <row r="975" spans="32:32">
      <c r="AF975"/>
    </row>
    <row r="976" spans="32:32">
      <c r="AF976"/>
    </row>
    <row r="977" spans="32:32">
      <c r="AF977"/>
    </row>
    <row r="978" spans="32:32">
      <c r="AF978"/>
    </row>
    <row r="979" spans="32:32">
      <c r="AF979"/>
    </row>
    <row r="980" spans="32:32">
      <c r="AF980"/>
    </row>
    <row r="981" spans="32:32">
      <c r="AF981"/>
    </row>
    <row r="982" spans="32:32">
      <c r="AF982"/>
    </row>
    <row r="983" spans="32:32">
      <c r="AF983"/>
    </row>
    <row r="984" spans="32:32">
      <c r="AF984"/>
    </row>
    <row r="985" spans="32:32">
      <c r="AF985"/>
    </row>
    <row r="986" spans="32:32">
      <c r="AF986"/>
    </row>
    <row r="987" spans="32:32">
      <c r="AF987"/>
    </row>
    <row r="988" spans="32:32">
      <c r="AF988"/>
    </row>
    <row r="989" spans="32:32">
      <c r="AF989"/>
    </row>
    <row r="990" spans="32:32">
      <c r="AF990"/>
    </row>
    <row r="991" spans="32:32">
      <c r="AF991"/>
    </row>
    <row r="992" spans="32:32">
      <c r="AF992"/>
    </row>
    <row r="993" spans="32:32">
      <c r="AF993"/>
    </row>
    <row r="994" spans="32:32">
      <c r="AF994"/>
    </row>
    <row r="995" spans="32:32">
      <c r="AF995"/>
    </row>
    <row r="996" spans="32:32">
      <c r="AF996"/>
    </row>
    <row r="997" spans="32:32">
      <c r="AF997"/>
    </row>
    <row r="998" spans="32:32">
      <c r="AF998"/>
    </row>
    <row r="999" spans="32:32">
      <c r="AF999"/>
    </row>
    <row r="1000" spans="32:32">
      <c r="AF1000"/>
    </row>
    <row r="1001" spans="32:32">
      <c r="AF1001"/>
    </row>
    <row r="1002" spans="32:32">
      <c r="AF1002"/>
    </row>
    <row r="1003" spans="32:32">
      <c r="AF1003"/>
    </row>
    <row r="1004" spans="32:32">
      <c r="AF1004"/>
    </row>
    <row r="1005" spans="32:32">
      <c r="AF1005"/>
    </row>
    <row r="1006" spans="32:32">
      <c r="AF1006"/>
    </row>
    <row r="1007" spans="32:32">
      <c r="AF1007"/>
    </row>
    <row r="1008" spans="32:32">
      <c r="AF1008"/>
    </row>
    <row r="1009" spans="32:32">
      <c r="AF1009"/>
    </row>
    <row r="1010" spans="32:32">
      <c r="AF1010"/>
    </row>
    <row r="1011" spans="32:32">
      <c r="AF1011"/>
    </row>
    <row r="1012" spans="32:32">
      <c r="AF1012"/>
    </row>
    <row r="1013" spans="32:32">
      <c r="AF1013"/>
    </row>
    <row r="1014" spans="32:32">
      <c r="AF1014"/>
    </row>
    <row r="1015" spans="32:32">
      <c r="AF1015"/>
    </row>
    <row r="1016" spans="32:32">
      <c r="AF1016"/>
    </row>
    <row r="1017" spans="32:32">
      <c r="AF1017"/>
    </row>
    <row r="1018" spans="32:32">
      <c r="AF1018"/>
    </row>
    <row r="1019" spans="32:32">
      <c r="AF1019"/>
    </row>
    <row r="1020" spans="32:32">
      <c r="AF1020"/>
    </row>
    <row r="1021" spans="32:32">
      <c r="AF1021"/>
    </row>
    <row r="1022" spans="32:32">
      <c r="AF1022"/>
    </row>
    <row r="1023" spans="32:32">
      <c r="AF1023"/>
    </row>
    <row r="1024" spans="32:32">
      <c r="AF1024"/>
    </row>
    <row r="1025" spans="32:32">
      <c r="AF1025"/>
    </row>
    <row r="1026" spans="32:32">
      <c r="AF1026"/>
    </row>
    <row r="1027" spans="32:32">
      <c r="AF1027"/>
    </row>
    <row r="1028" spans="32:32">
      <c r="AF1028"/>
    </row>
    <row r="1029" spans="32:32">
      <c r="AF1029"/>
    </row>
    <row r="1030" spans="32:32">
      <c r="AF1030"/>
    </row>
    <row r="1031" spans="32:32">
      <c r="AF1031"/>
    </row>
    <row r="1032" spans="32:32">
      <c r="AF1032"/>
    </row>
    <row r="1033" spans="32:32">
      <c r="AF1033"/>
    </row>
    <row r="1034" spans="32:32">
      <c r="AF1034"/>
    </row>
    <row r="1035" spans="32:32">
      <c r="AF1035"/>
    </row>
    <row r="1036" spans="32:32">
      <c r="AF1036"/>
    </row>
    <row r="1037" spans="32:32">
      <c r="AF1037"/>
    </row>
    <row r="1038" spans="32:32">
      <c r="AF1038"/>
    </row>
    <row r="1039" spans="32:32">
      <c r="AF1039"/>
    </row>
    <row r="1040" spans="32:32">
      <c r="AF1040"/>
    </row>
    <row r="1041" spans="32:32">
      <c r="AF1041"/>
    </row>
    <row r="1042" spans="32:32">
      <c r="AF1042"/>
    </row>
    <row r="1043" spans="32:32">
      <c r="AF1043"/>
    </row>
    <row r="1044" spans="32:32">
      <c r="AF1044"/>
    </row>
    <row r="1045" spans="32:32">
      <c r="AF1045"/>
    </row>
    <row r="1046" spans="32:32">
      <c r="AF1046"/>
    </row>
    <row r="1047" spans="32:32">
      <c r="AF1047"/>
    </row>
    <row r="1048" spans="32:32">
      <c r="AF1048"/>
    </row>
    <row r="1049" spans="32:32">
      <c r="AF1049"/>
    </row>
    <row r="1050" spans="32:32">
      <c r="AF1050"/>
    </row>
    <row r="1051" spans="32:32">
      <c r="AF1051"/>
    </row>
    <row r="1052" spans="32:32">
      <c r="AF1052"/>
    </row>
    <row r="1053" spans="32:32">
      <c r="AF1053"/>
    </row>
    <row r="1054" spans="32:32">
      <c r="AF1054"/>
    </row>
    <row r="1055" spans="32:32">
      <c r="AF1055"/>
    </row>
    <row r="1056" spans="32:32">
      <c r="AF1056"/>
    </row>
    <row r="1057" spans="32:32">
      <c r="AF1057"/>
    </row>
    <row r="1058" spans="32:32">
      <c r="AF1058"/>
    </row>
    <row r="1059" spans="32:32">
      <c r="AF1059"/>
    </row>
    <row r="1060" spans="32:32">
      <c r="AF1060"/>
    </row>
    <row r="1061" spans="32:32">
      <c r="AF1061"/>
    </row>
    <row r="1062" spans="32:32">
      <c r="AF1062"/>
    </row>
    <row r="1063" spans="32:32">
      <c r="AF1063"/>
    </row>
    <row r="1064" spans="32:32">
      <c r="AF1064"/>
    </row>
    <row r="1065" spans="32:32">
      <c r="AF1065"/>
    </row>
    <row r="1066" spans="32:32">
      <c r="AF1066"/>
    </row>
    <row r="1067" spans="32:32">
      <c r="AF1067"/>
    </row>
    <row r="1068" spans="32:32">
      <c r="AF1068"/>
    </row>
    <row r="1069" spans="32:32">
      <c r="AF1069"/>
    </row>
    <row r="1070" spans="32:32">
      <c r="AF1070"/>
    </row>
    <row r="1071" spans="32:32">
      <c r="AF1071"/>
    </row>
    <row r="1072" spans="32:32">
      <c r="AF1072"/>
    </row>
    <row r="1073" spans="32:32">
      <c r="AF1073"/>
    </row>
    <row r="1074" spans="32:32">
      <c r="AF1074"/>
    </row>
    <row r="1075" spans="32:32">
      <c r="AF1075"/>
    </row>
    <row r="1076" spans="32:32">
      <c r="AF1076"/>
    </row>
    <row r="1077" spans="32:32">
      <c r="AF1077"/>
    </row>
    <row r="1078" spans="32:32">
      <c r="AF1078"/>
    </row>
    <row r="1079" spans="32:32">
      <c r="AF1079"/>
    </row>
    <row r="1080" spans="32:32">
      <c r="AF1080"/>
    </row>
    <row r="1081" spans="32:32">
      <c r="AF1081"/>
    </row>
    <row r="1082" spans="32:32">
      <c r="AF1082"/>
    </row>
    <row r="1083" spans="32:32">
      <c r="AF1083"/>
    </row>
    <row r="1084" spans="32:32">
      <c r="AF1084"/>
    </row>
    <row r="1085" spans="32:32">
      <c r="AF1085"/>
    </row>
    <row r="1086" spans="32:32">
      <c r="AF1086"/>
    </row>
    <row r="1087" spans="32:32">
      <c r="AF1087"/>
    </row>
    <row r="1088" spans="32:32">
      <c r="AF1088"/>
    </row>
    <row r="1089" spans="32:32">
      <c r="AF1089"/>
    </row>
    <row r="1090" spans="32:32">
      <c r="AF1090"/>
    </row>
    <row r="1091" spans="32:32">
      <c r="AF1091"/>
    </row>
    <row r="1092" spans="32:32">
      <c r="AF1092"/>
    </row>
    <row r="1093" spans="32:32">
      <c r="AF1093"/>
    </row>
    <row r="1094" spans="32:32">
      <c r="AF1094"/>
    </row>
    <row r="1095" spans="32:32">
      <c r="AF1095"/>
    </row>
    <row r="1096" spans="32:32">
      <c r="AF1096"/>
    </row>
    <row r="1097" spans="32:32">
      <c r="AF1097"/>
    </row>
    <row r="1098" spans="32:32">
      <c r="AF1098"/>
    </row>
    <row r="1099" spans="32:32">
      <c r="AF1099"/>
    </row>
    <row r="1100" spans="32:32">
      <c r="AF1100"/>
    </row>
    <row r="1101" spans="32:32">
      <c r="AF1101"/>
    </row>
    <row r="1102" spans="32:32">
      <c r="AF1102"/>
    </row>
    <row r="1103" spans="32:32">
      <c r="AF1103"/>
    </row>
    <row r="1104" spans="32:32">
      <c r="AF1104"/>
    </row>
    <row r="1105" spans="32:32">
      <c r="AF1105"/>
    </row>
    <row r="1106" spans="32:32">
      <c r="AF1106"/>
    </row>
    <row r="1107" spans="32:32">
      <c r="AF1107"/>
    </row>
    <row r="1108" spans="32:32">
      <c r="AF1108"/>
    </row>
    <row r="1109" spans="32:32">
      <c r="AF1109"/>
    </row>
    <row r="1110" spans="32:32">
      <c r="AF1110"/>
    </row>
    <row r="1111" spans="32:32">
      <c r="AF1111"/>
    </row>
    <row r="1112" spans="32:32">
      <c r="AF1112"/>
    </row>
    <row r="1113" spans="32:32">
      <c r="AF1113"/>
    </row>
    <row r="1114" spans="32:32">
      <c r="AF1114"/>
    </row>
    <row r="1115" spans="32:32">
      <c r="AF1115"/>
    </row>
    <row r="1116" spans="32:32">
      <c r="AF1116"/>
    </row>
    <row r="1117" spans="32:32">
      <c r="AF1117"/>
    </row>
    <row r="1118" spans="32:32">
      <c r="AF1118"/>
    </row>
    <row r="1119" spans="32:32">
      <c r="AF1119"/>
    </row>
    <row r="1120" spans="32:32">
      <c r="AF1120"/>
    </row>
    <row r="1121" spans="32:32">
      <c r="AF1121"/>
    </row>
    <row r="1122" spans="32:32">
      <c r="AF1122"/>
    </row>
    <row r="1123" spans="32:32">
      <c r="AF1123"/>
    </row>
    <row r="1124" spans="32:32">
      <c r="AF1124"/>
    </row>
    <row r="1125" spans="32:32">
      <c r="AF1125"/>
    </row>
    <row r="1126" spans="32:32">
      <c r="AF1126"/>
    </row>
    <row r="1127" spans="32:32">
      <c r="AF1127"/>
    </row>
    <row r="1128" spans="32:32">
      <c r="AF1128"/>
    </row>
    <row r="1129" spans="32:32">
      <c r="AF1129"/>
    </row>
    <row r="1130" spans="32:32">
      <c r="AF1130"/>
    </row>
    <row r="1131" spans="32:32">
      <c r="AF1131"/>
    </row>
    <row r="1132" spans="32:32">
      <c r="AF1132"/>
    </row>
    <row r="1133" spans="32:32">
      <c r="AF1133"/>
    </row>
    <row r="1134" spans="32:32">
      <c r="AF1134"/>
    </row>
    <row r="1135" spans="32:32">
      <c r="AF1135"/>
    </row>
    <row r="1136" spans="32:32">
      <c r="AF1136"/>
    </row>
    <row r="1137" spans="32:32">
      <c r="AF1137"/>
    </row>
    <row r="1138" spans="32:32">
      <c r="AF1138"/>
    </row>
    <row r="1139" spans="32:32">
      <c r="AF1139"/>
    </row>
    <row r="1140" spans="32:32">
      <c r="AF1140"/>
    </row>
    <row r="1141" spans="32:32">
      <c r="AF1141"/>
    </row>
    <row r="1142" spans="32:32">
      <c r="AF1142"/>
    </row>
    <row r="1143" spans="32:32">
      <c r="AF1143"/>
    </row>
    <row r="1144" spans="32:32">
      <c r="AF1144"/>
    </row>
    <row r="1145" spans="32:32">
      <c r="AF1145"/>
    </row>
    <row r="1146" spans="32:32">
      <c r="AF1146"/>
    </row>
    <row r="1147" spans="32:32">
      <c r="AF1147"/>
    </row>
    <row r="1148" spans="32:32">
      <c r="AF1148"/>
    </row>
    <row r="1149" spans="32:32">
      <c r="AF1149"/>
    </row>
    <row r="1150" spans="32:32">
      <c r="AF1150"/>
    </row>
    <row r="1151" spans="32:32">
      <c r="AF1151"/>
    </row>
    <row r="1152" spans="32:32">
      <c r="AF1152"/>
    </row>
    <row r="1153" spans="32:32">
      <c r="AF1153"/>
    </row>
    <row r="1154" spans="32:32">
      <c r="AF1154"/>
    </row>
    <row r="1155" spans="32:32">
      <c r="AF1155"/>
    </row>
    <row r="1156" spans="32:32">
      <c r="AF1156"/>
    </row>
    <row r="1157" spans="32:32">
      <c r="AF1157"/>
    </row>
    <row r="1158" spans="32:32">
      <c r="AF1158"/>
    </row>
    <row r="1159" spans="32:32">
      <c r="AF1159"/>
    </row>
    <row r="1160" spans="32:32">
      <c r="AF1160"/>
    </row>
    <row r="1161" spans="32:32">
      <c r="AF1161"/>
    </row>
    <row r="1162" spans="32:32">
      <c r="AF1162"/>
    </row>
    <row r="1163" spans="32:32">
      <c r="AF1163"/>
    </row>
    <row r="1164" spans="32:32">
      <c r="AF1164"/>
    </row>
    <row r="1165" spans="32:32">
      <c r="AF1165"/>
    </row>
    <row r="1166" spans="32:32">
      <c r="AF1166"/>
    </row>
    <row r="1167" spans="32:32">
      <c r="AF1167"/>
    </row>
    <row r="1168" spans="32:32">
      <c r="AF1168"/>
    </row>
    <row r="1169" spans="32:32">
      <c r="AF1169"/>
    </row>
    <row r="1170" spans="32:32">
      <c r="AF1170"/>
    </row>
    <row r="1171" spans="32:32">
      <c r="AF1171"/>
    </row>
    <row r="1172" spans="32:32">
      <c r="AF1172"/>
    </row>
    <row r="1173" spans="32:32">
      <c r="AF1173"/>
    </row>
    <row r="1174" spans="32:32">
      <c r="AF1174"/>
    </row>
    <row r="1175" spans="32:32">
      <c r="AF1175"/>
    </row>
    <row r="1176" spans="32:32">
      <c r="AF1176"/>
    </row>
    <row r="1177" spans="32:32">
      <c r="AF1177"/>
    </row>
    <row r="1178" spans="32:32">
      <c r="AF1178"/>
    </row>
    <row r="1179" spans="32:32">
      <c r="AF1179"/>
    </row>
    <row r="1180" spans="32:32">
      <c r="AF1180"/>
    </row>
    <row r="1181" spans="32:32">
      <c r="AF1181"/>
    </row>
    <row r="1182" spans="32:32">
      <c r="AF1182"/>
    </row>
    <row r="1183" spans="32:32">
      <c r="AF1183"/>
    </row>
    <row r="1184" spans="32:32">
      <c r="AF1184"/>
    </row>
    <row r="1185" spans="32:32">
      <c r="AF1185"/>
    </row>
    <row r="1186" spans="32:32">
      <c r="AF1186"/>
    </row>
    <row r="1187" spans="32:32">
      <c r="AF1187"/>
    </row>
    <row r="1188" spans="32:32">
      <c r="AF1188"/>
    </row>
    <row r="1189" spans="32:32">
      <c r="AF1189"/>
    </row>
    <row r="1190" spans="32:32">
      <c r="AF1190"/>
    </row>
    <row r="1191" spans="32:32">
      <c r="AF1191"/>
    </row>
    <row r="1192" spans="32:32">
      <c r="AF1192"/>
    </row>
    <row r="1193" spans="32:32">
      <c r="AF1193"/>
    </row>
    <row r="1194" spans="32:32">
      <c r="AF1194"/>
    </row>
    <row r="1195" spans="32:32">
      <c r="AF1195"/>
    </row>
    <row r="1196" spans="32:32">
      <c r="AF1196"/>
    </row>
    <row r="1197" spans="32:32">
      <c r="AF1197"/>
    </row>
    <row r="1198" spans="32:32">
      <c r="AF1198"/>
    </row>
    <row r="1199" spans="32:32">
      <c r="AF1199"/>
    </row>
    <row r="1200" spans="32:32">
      <c r="AF1200"/>
    </row>
    <row r="1201" spans="32:32">
      <c r="AF1201"/>
    </row>
    <row r="1202" spans="32:32">
      <c r="AF1202"/>
    </row>
    <row r="1203" spans="32:32">
      <c r="AF1203"/>
    </row>
    <row r="1204" spans="32:32">
      <c r="AF1204"/>
    </row>
    <row r="1205" spans="32:32">
      <c r="AF1205"/>
    </row>
    <row r="1206" spans="32:32">
      <c r="AF1206"/>
    </row>
    <row r="1207" spans="32:32">
      <c r="AF1207"/>
    </row>
    <row r="1208" spans="32:32">
      <c r="AF1208"/>
    </row>
    <row r="1209" spans="32:32">
      <c r="AF1209"/>
    </row>
    <row r="1210" spans="32:32">
      <c r="AF1210"/>
    </row>
    <row r="1211" spans="32:32">
      <c r="AF1211"/>
    </row>
    <row r="1212" spans="32:32">
      <c r="AF1212"/>
    </row>
    <row r="1213" spans="32:32">
      <c r="AF1213"/>
    </row>
    <row r="1214" spans="32:32">
      <c r="AF1214"/>
    </row>
    <row r="1215" spans="32:32">
      <c r="AF1215"/>
    </row>
    <row r="1216" spans="32:32">
      <c r="AF1216"/>
    </row>
    <row r="1217" spans="32:32">
      <c r="AF1217"/>
    </row>
    <row r="1218" spans="32:32">
      <c r="AF1218"/>
    </row>
    <row r="1219" spans="32:32">
      <c r="AF1219"/>
    </row>
    <row r="1220" spans="32:32">
      <c r="AF1220"/>
    </row>
    <row r="1221" spans="32:32">
      <c r="AF1221"/>
    </row>
    <row r="1222" spans="32:32">
      <c r="AF1222"/>
    </row>
    <row r="1223" spans="32:32">
      <c r="AF1223"/>
    </row>
    <row r="1224" spans="32:32">
      <c r="AF1224"/>
    </row>
    <row r="1225" spans="32:32">
      <c r="AF1225"/>
    </row>
    <row r="1226" spans="32:32">
      <c r="AF1226"/>
    </row>
    <row r="1227" spans="32:32">
      <c r="AF1227"/>
    </row>
    <row r="1228" spans="32:32">
      <c r="AF1228"/>
    </row>
    <row r="1229" spans="32:32">
      <c r="AF1229"/>
    </row>
    <row r="1230" spans="32:32">
      <c r="AF1230"/>
    </row>
    <row r="1231" spans="32:32">
      <c r="AF1231"/>
    </row>
    <row r="1232" spans="32:32">
      <c r="AF1232"/>
    </row>
    <row r="1233" spans="32:32">
      <c r="AF1233"/>
    </row>
    <row r="1234" spans="32:32">
      <c r="AF1234"/>
    </row>
    <row r="1235" spans="32:32">
      <c r="AF1235"/>
    </row>
    <row r="1236" spans="32:32">
      <c r="AF1236"/>
    </row>
    <row r="1237" spans="32:32">
      <c r="AF1237"/>
    </row>
    <row r="1238" spans="32:32">
      <c r="AF1238"/>
    </row>
    <row r="1239" spans="32:32">
      <c r="AF1239"/>
    </row>
    <row r="1240" spans="32:32">
      <c r="AF1240"/>
    </row>
    <row r="1241" spans="32:32">
      <c r="AF1241"/>
    </row>
    <row r="1242" spans="32:32">
      <c r="AF1242"/>
    </row>
    <row r="1243" spans="32:32">
      <c r="AF1243"/>
    </row>
    <row r="1244" spans="32:32">
      <c r="AF1244"/>
    </row>
    <row r="1245" spans="32:32">
      <c r="AF1245"/>
    </row>
    <row r="1246" spans="32:32">
      <c r="AF1246"/>
    </row>
    <row r="1247" spans="32:32">
      <c r="AF1247"/>
    </row>
    <row r="1248" spans="32:32">
      <c r="AF1248"/>
    </row>
    <row r="1249" spans="32:32">
      <c r="AF1249"/>
    </row>
    <row r="1250" spans="32:32">
      <c r="AF1250"/>
    </row>
    <row r="1251" spans="32:32">
      <c r="AF1251"/>
    </row>
    <row r="1252" spans="32:32">
      <c r="AF1252"/>
    </row>
    <row r="1253" spans="32:32">
      <c r="AF1253"/>
    </row>
    <row r="1254" spans="32:32">
      <c r="AF1254"/>
    </row>
    <row r="1255" spans="32:32">
      <c r="AF1255"/>
    </row>
    <row r="1256" spans="32:32">
      <c r="AF1256"/>
    </row>
    <row r="1257" spans="32:32">
      <c r="AF1257"/>
    </row>
    <row r="1258" spans="32:32">
      <c r="AF1258"/>
    </row>
    <row r="1259" spans="32:32">
      <c r="AF1259"/>
    </row>
    <row r="1260" spans="32:32">
      <c r="AF1260"/>
    </row>
    <row r="1261" spans="32:32">
      <c r="AF1261"/>
    </row>
    <row r="1262" spans="32:32">
      <c r="AF1262"/>
    </row>
    <row r="1263" spans="32:32">
      <c r="AF1263"/>
    </row>
    <row r="1264" spans="32:32">
      <c r="AF1264"/>
    </row>
    <row r="1265" spans="32:32">
      <c r="AF1265"/>
    </row>
    <row r="1266" spans="32:32">
      <c r="AF1266"/>
    </row>
    <row r="1267" spans="32:32">
      <c r="AF1267"/>
    </row>
    <row r="1268" spans="32:32">
      <c r="AF1268"/>
    </row>
    <row r="1269" spans="32:32">
      <c r="AF1269"/>
    </row>
    <row r="1270" spans="32:32">
      <c r="AF1270"/>
    </row>
    <row r="1271" spans="32:32">
      <c r="AF1271"/>
    </row>
    <row r="1272" spans="32:32">
      <c r="AF1272"/>
    </row>
    <row r="1273" spans="32:32">
      <c r="AF1273"/>
    </row>
    <row r="1274" spans="32:32">
      <c r="AF1274"/>
    </row>
    <row r="1275" spans="32:32">
      <c r="AF1275"/>
    </row>
    <row r="1276" spans="32:32">
      <c r="AF1276"/>
    </row>
    <row r="1277" spans="32:32">
      <c r="AF1277"/>
    </row>
    <row r="1278" spans="32:32">
      <c r="AF1278"/>
    </row>
    <row r="1279" spans="32:32">
      <c r="AF1279"/>
    </row>
    <row r="1280" spans="32:32">
      <c r="AF1280"/>
    </row>
    <row r="1281" spans="32:32">
      <c r="AF1281"/>
    </row>
    <row r="1282" spans="32:32">
      <c r="AF1282"/>
    </row>
    <row r="1283" spans="32:32">
      <c r="AF1283"/>
    </row>
    <row r="1284" spans="32:32">
      <c r="AF1284"/>
    </row>
    <row r="1285" spans="32:32">
      <c r="AF1285"/>
    </row>
    <row r="1286" spans="32:32">
      <c r="AF1286"/>
    </row>
    <row r="1287" spans="32:32">
      <c r="AF1287"/>
    </row>
    <row r="1288" spans="32:32">
      <c r="AF1288"/>
    </row>
  </sheetData>
  <phoneticPr fontId="3"/>
  <conditionalFormatting sqref="AU7:AU68">
    <cfRule type="cellIs" dxfId="0" priority="1" operator="lessThan">
      <formula>10</formula>
    </cfRule>
  </conditionalFormatting>
  <pageMargins left="0.7" right="0.7" top="0.75" bottom="0.75" header="0.3" footer="0.3"/>
  <pageSetup paperSize="9" orientation="portrait" horizontalDpi="0" verticalDpi="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A5CFD-42A2-8F40-922C-1D750A7F23EC}">
  <sheetPr codeName="Sheet2">
    <tabColor theme="8" tint="0.59999389629810485"/>
  </sheetPr>
  <dimension ref="B2:AA50"/>
  <sheetViews>
    <sheetView zoomScale="55" zoomScaleNormal="55" workbookViewId="0">
      <selection activeCell="G29" sqref="G29"/>
    </sheetView>
  </sheetViews>
  <sheetFormatPr baseColWidth="10" defaultColWidth="11.5703125" defaultRowHeight="20"/>
  <sheetData>
    <row r="2" spans="2:25">
      <c r="B2" s="3"/>
      <c r="C2" s="3"/>
      <c r="D2" s="3"/>
      <c r="E2" s="3"/>
      <c r="F2" s="3" t="s">
        <v>595</v>
      </c>
      <c r="G2" s="3"/>
      <c r="H2" s="3"/>
      <c r="I2" s="3"/>
      <c r="J2" s="3" t="s">
        <v>596</v>
      </c>
      <c r="K2" s="3"/>
      <c r="L2" s="3"/>
      <c r="M2" s="3"/>
      <c r="N2" s="3" t="s">
        <v>597</v>
      </c>
      <c r="O2" s="3"/>
      <c r="P2" s="3"/>
      <c r="Q2" s="3"/>
      <c r="R2" s="3" t="s">
        <v>56</v>
      </c>
      <c r="S2" s="3"/>
      <c r="T2" s="3"/>
      <c r="U2" s="3"/>
      <c r="V2" s="3" t="s">
        <v>57</v>
      </c>
      <c r="W2" s="3"/>
      <c r="X2" s="3"/>
      <c r="Y2" s="3"/>
    </row>
    <row r="3" spans="2:25">
      <c r="B3" s="96"/>
      <c r="C3" s="96" t="s">
        <v>158</v>
      </c>
      <c r="D3" s="96" t="s">
        <v>158</v>
      </c>
      <c r="E3" s="96" t="s">
        <v>158</v>
      </c>
      <c r="F3" s="96" t="s">
        <v>587</v>
      </c>
      <c r="G3" s="96" t="s">
        <v>588</v>
      </c>
      <c r="H3" s="96" t="s">
        <v>589</v>
      </c>
      <c r="I3" s="96" t="s">
        <v>590</v>
      </c>
      <c r="J3" s="96" t="s">
        <v>587</v>
      </c>
      <c r="K3" s="96" t="s">
        <v>588</v>
      </c>
      <c r="L3" s="96" t="s">
        <v>589</v>
      </c>
      <c r="M3" s="96" t="s">
        <v>590</v>
      </c>
      <c r="N3" s="96" t="s">
        <v>587</v>
      </c>
      <c r="O3" s="96" t="s">
        <v>588</v>
      </c>
      <c r="P3" s="96" t="s">
        <v>589</v>
      </c>
      <c r="Q3" s="96" t="s">
        <v>590</v>
      </c>
      <c r="R3" s="96" t="s">
        <v>587</v>
      </c>
      <c r="S3" s="96" t="s">
        <v>588</v>
      </c>
      <c r="T3" s="96" t="s">
        <v>589</v>
      </c>
      <c r="U3" s="96" t="s">
        <v>590</v>
      </c>
      <c r="V3" s="96" t="s">
        <v>587</v>
      </c>
      <c r="W3" s="96" t="s">
        <v>588</v>
      </c>
      <c r="X3" s="96" t="s">
        <v>589</v>
      </c>
      <c r="Y3" s="96" t="s">
        <v>590</v>
      </c>
    </row>
    <row r="4" spans="2:25">
      <c r="B4" s="96"/>
      <c r="C4" s="1" t="s">
        <v>20</v>
      </c>
      <c r="D4" s="1" t="s">
        <v>22</v>
      </c>
      <c r="E4" s="1" t="s">
        <v>23</v>
      </c>
      <c r="F4" s="1" t="s">
        <v>598</v>
      </c>
      <c r="G4" s="1" t="s">
        <v>599</v>
      </c>
      <c r="H4" s="1" t="s">
        <v>600</v>
      </c>
      <c r="I4" s="1" t="s">
        <v>598</v>
      </c>
      <c r="J4" s="1" t="s">
        <v>599</v>
      </c>
      <c r="K4" s="1" t="s">
        <v>600</v>
      </c>
      <c r="L4" s="1" t="s">
        <v>601</v>
      </c>
      <c r="M4" s="1" t="s">
        <v>602</v>
      </c>
      <c r="N4" s="1" t="s">
        <v>603</v>
      </c>
      <c r="O4" s="1" t="s">
        <v>604</v>
      </c>
      <c r="P4" s="1" t="s">
        <v>605</v>
      </c>
      <c r="Q4" s="1" t="s">
        <v>602</v>
      </c>
      <c r="R4" s="1" t="s">
        <v>603</v>
      </c>
      <c r="S4" s="1" t="s">
        <v>604</v>
      </c>
      <c r="T4" s="1" t="s">
        <v>605</v>
      </c>
      <c r="U4" s="1" t="s">
        <v>602</v>
      </c>
      <c r="V4" s="1" t="s">
        <v>603</v>
      </c>
      <c r="W4" s="1" t="s">
        <v>604</v>
      </c>
      <c r="X4" s="1" t="s">
        <v>605</v>
      </c>
      <c r="Y4" s="1" t="s">
        <v>602</v>
      </c>
    </row>
    <row r="5" spans="2:25">
      <c r="B5" s="96"/>
      <c r="C5" s="1" t="s">
        <v>37</v>
      </c>
      <c r="D5" s="1" t="s">
        <v>37</v>
      </c>
      <c r="E5" s="1" t="s">
        <v>37</v>
      </c>
      <c r="F5" s="1" t="s">
        <v>607</v>
      </c>
      <c r="G5" s="1" t="s">
        <v>607</v>
      </c>
      <c r="H5" s="1" t="s">
        <v>607</v>
      </c>
      <c r="I5" s="1" t="s">
        <v>607</v>
      </c>
      <c r="J5" s="1" t="s">
        <v>607</v>
      </c>
      <c r="K5" s="1" t="s">
        <v>607</v>
      </c>
      <c r="L5" s="1" t="s">
        <v>607</v>
      </c>
      <c r="M5" s="1" t="s">
        <v>607</v>
      </c>
      <c r="N5" s="1" t="s">
        <v>607</v>
      </c>
      <c r="O5" s="1" t="s">
        <v>607</v>
      </c>
      <c r="P5" s="1" t="s">
        <v>607</v>
      </c>
      <c r="Q5" s="1" t="s">
        <v>607</v>
      </c>
      <c r="R5" s="1" t="s">
        <v>607</v>
      </c>
      <c r="S5" s="1" t="s">
        <v>607</v>
      </c>
      <c r="T5" s="1" t="s">
        <v>607</v>
      </c>
      <c r="U5" s="1" t="s">
        <v>607</v>
      </c>
      <c r="V5" s="1" t="s">
        <v>607</v>
      </c>
      <c r="W5" s="1" t="s">
        <v>607</v>
      </c>
      <c r="X5" s="1" t="s">
        <v>607</v>
      </c>
      <c r="Y5" s="1" t="s">
        <v>607</v>
      </c>
    </row>
    <row r="6" spans="2:25">
      <c r="B6" s="96" t="s">
        <v>1358</v>
      </c>
      <c r="C6" s="21">
        <v>0</v>
      </c>
      <c r="D6" s="21">
        <v>0.23499999999999999</v>
      </c>
      <c r="E6" s="21">
        <v>0</v>
      </c>
      <c r="F6" s="1">
        <f>H6+2*$D$27*$C$6</f>
        <v>97.942000000000007</v>
      </c>
      <c r="G6" s="1">
        <f>I6+2*$D$27*$D$6</f>
        <v>0</v>
      </c>
      <c r="H6" s="21">
        <f>100-2.058</f>
        <v>97.942000000000007</v>
      </c>
      <c r="I6" s="1">
        <f>H6*$D$20</f>
        <v>0</v>
      </c>
      <c r="J6" s="1"/>
      <c r="K6" s="1"/>
      <c r="L6" s="1"/>
      <c r="M6" s="1"/>
      <c r="N6" s="1"/>
      <c r="O6" s="1"/>
      <c r="P6" s="1"/>
      <c r="Q6" s="1"/>
      <c r="R6" s="1"/>
      <c r="S6" s="1"/>
      <c r="T6" s="1"/>
      <c r="U6" s="1"/>
      <c r="V6" s="1"/>
      <c r="W6" s="1"/>
      <c r="X6" s="1"/>
      <c r="Y6" s="1"/>
    </row>
    <row r="7" spans="2:25">
      <c r="B7" s="96" t="s">
        <v>1359</v>
      </c>
      <c r="C7" s="21">
        <v>0.25</v>
      </c>
      <c r="D7" s="21">
        <v>0.16250000000000001</v>
      </c>
      <c r="E7" s="21">
        <v>0.32</v>
      </c>
      <c r="F7" s="1">
        <f>H7+2*$D$27*$C$6</f>
        <v>73.456500000000005</v>
      </c>
      <c r="G7" s="1">
        <f>I7+2*$D$27*$D$6</f>
        <v>0</v>
      </c>
      <c r="H7" s="1">
        <f>H6-$F$6*(C7-C6)</f>
        <v>73.456500000000005</v>
      </c>
      <c r="I7" s="1">
        <f>H7*$D$20</f>
        <v>0</v>
      </c>
      <c r="J7" s="1">
        <f>L7+2*$D$27*$C$7</f>
        <v>97.942000000000007</v>
      </c>
      <c r="K7" s="1">
        <f>M7+2*$D$27*$D$7</f>
        <v>0</v>
      </c>
      <c r="L7" s="21">
        <f>100-2.058</f>
        <v>97.942000000000007</v>
      </c>
      <c r="M7" s="1">
        <f>L7*$D$19</f>
        <v>0</v>
      </c>
      <c r="N7" s="1">
        <f>P7+2*$D$27*$C$8</f>
        <v>97.942000000000007</v>
      </c>
      <c r="O7" s="1">
        <f>Q7+2*$D$27*$D$8</f>
        <v>0</v>
      </c>
      <c r="P7" s="21">
        <f>100-2.058</f>
        <v>97.942000000000007</v>
      </c>
      <c r="Q7" s="1">
        <f>P7*$D$19</f>
        <v>0</v>
      </c>
      <c r="R7" s="1"/>
      <c r="S7" s="1"/>
      <c r="T7" s="1"/>
      <c r="U7" s="1"/>
      <c r="V7" s="1"/>
      <c r="W7" s="1"/>
      <c r="X7" s="1"/>
      <c r="Y7" s="1"/>
    </row>
    <row r="8" spans="2:25">
      <c r="B8" s="96" t="s">
        <v>608</v>
      </c>
      <c r="C8" s="21">
        <v>0.45</v>
      </c>
      <c r="D8" s="21">
        <v>0</v>
      </c>
      <c r="E8" s="21">
        <v>0.32</v>
      </c>
      <c r="F8" s="1"/>
      <c r="G8" s="1"/>
      <c r="H8" s="1"/>
      <c r="I8" s="1"/>
      <c r="J8" s="1"/>
      <c r="K8" s="1"/>
      <c r="L8" s="1"/>
      <c r="M8" s="1"/>
      <c r="N8" s="1">
        <f>P8+2*$D$27*$C$8</f>
        <v>97.942000000000007</v>
      </c>
      <c r="O8" s="1">
        <f>Q8+2*$D$27*$D$8</f>
        <v>0</v>
      </c>
      <c r="P8" s="1">
        <f>P7-$F$8*(C8-C7)</f>
        <v>97.942000000000007</v>
      </c>
      <c r="Q8" s="1">
        <f>P8*$D$19</f>
        <v>0</v>
      </c>
      <c r="R8" s="1">
        <f>T8+2*$D$27*$C$9</f>
        <v>105</v>
      </c>
      <c r="S8" s="1">
        <f>U8+2*$D$27*$D$9</f>
        <v>0</v>
      </c>
      <c r="T8" s="21">
        <v>105</v>
      </c>
      <c r="U8" s="1">
        <f>T8*$D$19</f>
        <v>0</v>
      </c>
      <c r="V8" s="1"/>
      <c r="W8" s="1"/>
      <c r="Y8" s="1"/>
    </row>
    <row r="9" spans="2:25">
      <c r="B9" s="96" t="s">
        <v>609</v>
      </c>
      <c r="C9" s="21">
        <v>0.85</v>
      </c>
      <c r="D9" s="21">
        <v>0</v>
      </c>
      <c r="E9" s="21">
        <v>0.32</v>
      </c>
      <c r="F9" s="1"/>
      <c r="G9" s="1"/>
      <c r="H9" s="1"/>
      <c r="I9" s="1"/>
      <c r="J9" s="1"/>
      <c r="K9" s="1"/>
      <c r="L9" s="1"/>
      <c r="M9" s="1"/>
      <c r="N9" s="1">
        <f>P9+2*$D$27*$C$8</f>
        <v>97.942000000000007</v>
      </c>
      <c r="O9" s="1">
        <f>Q9+2*$D$27*$D$8</f>
        <v>0</v>
      </c>
      <c r="P9" s="1">
        <f>P8-$F$8*(C9-C8)</f>
        <v>97.942000000000007</v>
      </c>
      <c r="Q9" s="1">
        <f>P9*$D$19</f>
        <v>0</v>
      </c>
      <c r="R9" s="1">
        <f>T9+2*$D$27*$C$9</f>
        <v>105</v>
      </c>
      <c r="S9" s="1">
        <f>U9+2*$D$27*$D$9</f>
        <v>0</v>
      </c>
      <c r="T9" s="1">
        <f>T8-$F$9*(C9-C8)</f>
        <v>105</v>
      </c>
      <c r="U9" s="1">
        <f>T9*$D$19</f>
        <v>0</v>
      </c>
      <c r="V9" s="1"/>
      <c r="W9" s="1"/>
      <c r="X9" s="1"/>
      <c r="Y9" s="1"/>
    </row>
    <row r="10" spans="2:25">
      <c r="B10" s="96" t="s">
        <v>1360</v>
      </c>
      <c r="C10" s="21">
        <v>3.2</v>
      </c>
      <c r="D10" s="21">
        <v>0</v>
      </c>
      <c r="E10" s="21">
        <v>0.32</v>
      </c>
      <c r="F10" s="1"/>
      <c r="G10" s="1"/>
      <c r="H10" s="1"/>
      <c r="I10" s="1"/>
      <c r="J10" s="1"/>
      <c r="K10" s="1"/>
      <c r="L10" s="1"/>
      <c r="M10" s="1"/>
      <c r="N10" s="1"/>
      <c r="O10" s="1"/>
      <c r="P10" s="1"/>
      <c r="Q10" s="1"/>
      <c r="R10" s="1">
        <f>T10+2*$D$27*$C$9</f>
        <v>105</v>
      </c>
      <c r="S10" s="1">
        <f>U10+2*$D$27*$D$9</f>
        <v>0</v>
      </c>
      <c r="T10" s="1">
        <f>T9-$F$9*(C10-C9)</f>
        <v>105</v>
      </c>
      <c r="U10" s="1">
        <f>T10*$D$19</f>
        <v>0</v>
      </c>
      <c r="V10" s="1">
        <f>X10+2*$D$27*$C$9</f>
        <v>0</v>
      </c>
      <c r="W10" s="1">
        <f>Y10+2*$D$27*$D$9</f>
        <v>0</v>
      </c>
      <c r="X10" s="1">
        <f>X9-$F$9*(G10-G9)</f>
        <v>0</v>
      </c>
      <c r="Y10" s="1">
        <f>X10*$D$19</f>
        <v>0</v>
      </c>
    </row>
    <row r="11" spans="2:25">
      <c r="B11" s="96" t="s">
        <v>610</v>
      </c>
      <c r="C11" s="21">
        <v>3.2</v>
      </c>
      <c r="D11" s="21">
        <v>0</v>
      </c>
      <c r="E11" s="21">
        <v>0.32</v>
      </c>
      <c r="F11" s="1"/>
      <c r="G11" s="1"/>
      <c r="H11" s="1"/>
      <c r="I11" s="1"/>
      <c r="J11" s="1"/>
      <c r="K11" s="1"/>
      <c r="L11" s="1"/>
      <c r="M11" s="1"/>
      <c r="N11" s="1"/>
      <c r="O11" s="1"/>
      <c r="P11" s="1"/>
      <c r="Q11" s="1"/>
      <c r="R11" s="1">
        <f t="shared" ref="R11" si="0">T11+2*$D$27*$C$9</f>
        <v>105</v>
      </c>
      <c r="S11" s="1">
        <f t="shared" ref="S11" si="1">U11+2*$D$27*$D$9</f>
        <v>0</v>
      </c>
      <c r="T11" s="1">
        <f t="shared" ref="T11" si="2">T10-$F$9*(C11-C10)</f>
        <v>105</v>
      </c>
      <c r="U11" s="1">
        <f t="shared" ref="U11" si="3">T11*$D$19</f>
        <v>0</v>
      </c>
      <c r="V11" s="1">
        <f t="shared" ref="V11" si="4">X11+2*$D$27*$C$9</f>
        <v>0</v>
      </c>
      <c r="W11" s="1">
        <f t="shared" ref="W11" si="5">Y11+2*$D$27*$D$9</f>
        <v>0</v>
      </c>
      <c r="X11" s="1">
        <f t="shared" ref="X11" si="6">X10-$F$9*(G11-G10)</f>
        <v>0</v>
      </c>
      <c r="Y11" s="1">
        <f t="shared" ref="Y11:Y12" si="7">X11*$D$19</f>
        <v>0</v>
      </c>
    </row>
    <row r="12" spans="2:25">
      <c r="B12" s="96" t="s">
        <v>1361</v>
      </c>
      <c r="C12" s="21">
        <v>3.2</v>
      </c>
      <c r="D12" s="21">
        <v>0</v>
      </c>
      <c r="E12" s="21">
        <v>0.32</v>
      </c>
      <c r="F12" s="1"/>
      <c r="G12" s="1"/>
      <c r="H12" s="1"/>
      <c r="I12" s="1"/>
      <c r="J12" s="1"/>
      <c r="K12" s="1"/>
      <c r="L12" s="1"/>
      <c r="M12" s="1"/>
      <c r="N12" s="1"/>
      <c r="O12" s="1"/>
      <c r="P12" s="1"/>
      <c r="Q12" s="1"/>
      <c r="R12" s="1"/>
      <c r="S12" s="1"/>
      <c r="T12" s="1"/>
      <c r="U12" s="1"/>
      <c r="V12" s="1">
        <f t="shared" ref="V12" si="8">X12+2*$D$27*$C$9</f>
        <v>0</v>
      </c>
      <c r="W12" s="1">
        <f t="shared" ref="W12" si="9">Y12+2*$D$27*$D$9</f>
        <v>0</v>
      </c>
      <c r="X12" s="1">
        <f t="shared" ref="X12" si="10">X11-$F$9*(G12-G11)</f>
        <v>0</v>
      </c>
      <c r="Y12" s="1">
        <f t="shared" si="7"/>
        <v>0</v>
      </c>
    </row>
    <row r="14" spans="2:25">
      <c r="L14" t="s">
        <v>1130</v>
      </c>
    </row>
    <row r="15" spans="2:25">
      <c r="L15" t="s">
        <v>1019</v>
      </c>
      <c r="M15" t="s">
        <v>9</v>
      </c>
      <c r="N15" t="s">
        <v>1133</v>
      </c>
      <c r="O15" t="s">
        <v>1362</v>
      </c>
      <c r="P15" t="s">
        <v>1363</v>
      </c>
      <c r="Q15" t="s">
        <v>1134</v>
      </c>
    </row>
    <row r="16" spans="2:25">
      <c r="K16" t="s">
        <v>1132</v>
      </c>
      <c r="L16">
        <v>0</v>
      </c>
      <c r="M16">
        <f>O16-0.35</f>
        <v>2.6999999999999997</v>
      </c>
      <c r="N16">
        <f>P16-0.257</f>
        <v>2.8749999999999996</v>
      </c>
      <c r="O16">
        <f>3.05</f>
        <v>3.05</v>
      </c>
      <c r="P16">
        <f>O16+0.082</f>
        <v>3.1319999999999997</v>
      </c>
      <c r="Q16">
        <v>3.7</v>
      </c>
    </row>
    <row r="17" spans="2:27">
      <c r="K17" t="s">
        <v>1131</v>
      </c>
      <c r="L17" s="3">
        <f t="shared" ref="L17:Q17" si="11">L16+$C$8</f>
        <v>0.45</v>
      </c>
      <c r="M17" s="3">
        <f t="shared" si="11"/>
        <v>3.15</v>
      </c>
      <c r="N17" s="3">
        <f t="shared" si="11"/>
        <v>3.3249999999999997</v>
      </c>
      <c r="O17" s="3">
        <f t="shared" si="11"/>
        <v>3.5</v>
      </c>
      <c r="P17" s="3">
        <f t="shared" si="11"/>
        <v>3.5819999999999999</v>
      </c>
      <c r="Q17" s="3">
        <f t="shared" si="11"/>
        <v>4.1500000000000004</v>
      </c>
    </row>
    <row r="19" spans="2:27">
      <c r="Q19">
        <f>(P17+Q17)/2</f>
        <v>3.8660000000000001</v>
      </c>
    </row>
    <row r="21" spans="2:27">
      <c r="N21">
        <f>DEGREES(ATAN(0.54/4.15))</f>
        <v>7.4137004062125156</v>
      </c>
    </row>
    <row r="22" spans="2:27">
      <c r="N22">
        <f>4.15*TAN(RADIANS(5))</f>
        <v>0.36307795363258466</v>
      </c>
    </row>
    <row r="23" spans="2:27">
      <c r="N23">
        <f>DEGREES(ATAN(4/1000))</f>
        <v>0.22918189575410042</v>
      </c>
    </row>
    <row r="26" spans="2:27">
      <c r="B26" t="s">
        <v>736</v>
      </c>
    </row>
    <row r="28" spans="2:27">
      <c r="B28" s="31" t="s">
        <v>631</v>
      </c>
      <c r="C28" s="31" t="s">
        <v>729</v>
      </c>
      <c r="D28" s="31" t="s">
        <v>742</v>
      </c>
      <c r="E28" s="31" t="s">
        <v>737</v>
      </c>
    </row>
    <row r="29" spans="2:27">
      <c r="B29" s="29" t="s">
        <v>45</v>
      </c>
      <c r="C29" s="29" t="s">
        <v>37</v>
      </c>
      <c r="D29" s="29" t="s">
        <v>37</v>
      </c>
      <c r="E29" s="29" t="s">
        <v>36</v>
      </c>
    </row>
    <row r="30" spans="2:27">
      <c r="B30" s="117" t="s">
        <v>501</v>
      </c>
      <c r="C30" s="117">
        <v>0</v>
      </c>
      <c r="D30" s="117">
        <v>0</v>
      </c>
      <c r="E30" s="29">
        <v>0</v>
      </c>
    </row>
    <row r="31" spans="2:27">
      <c r="S31" t="s">
        <v>842</v>
      </c>
      <c r="W31" s="3" t="s">
        <v>768</v>
      </c>
      <c r="X31" s="3"/>
      <c r="Y31" s="3"/>
      <c r="Z31" s="3"/>
    </row>
    <row r="32" spans="2:27">
      <c r="B32" s="10" t="s">
        <v>624</v>
      </c>
      <c r="C32" s="10" t="s">
        <v>843</v>
      </c>
      <c r="D32" s="10" t="s">
        <v>585</v>
      </c>
      <c r="E32" s="10" t="s">
        <v>397</v>
      </c>
      <c r="F32" s="10" t="s">
        <v>586</v>
      </c>
      <c r="G32" s="10" t="s">
        <v>738</v>
      </c>
      <c r="H32" s="10" t="s">
        <v>739</v>
      </c>
      <c r="I32" s="10" t="s">
        <v>740</v>
      </c>
      <c r="J32" s="10" t="s">
        <v>741</v>
      </c>
      <c r="K32" s="10" t="s">
        <v>743</v>
      </c>
      <c r="L32" s="10" t="s">
        <v>577</v>
      </c>
      <c r="M32" s="10" t="s">
        <v>744</v>
      </c>
      <c r="N32" s="10"/>
      <c r="O32" s="10" t="s">
        <v>745</v>
      </c>
      <c r="P32" s="10" t="s">
        <v>702</v>
      </c>
      <c r="Q32" s="10" t="s">
        <v>746</v>
      </c>
      <c r="R32" s="10" t="s">
        <v>747</v>
      </c>
      <c r="S32" s="10" t="s">
        <v>748</v>
      </c>
      <c r="T32" s="10" t="s">
        <v>749</v>
      </c>
      <c r="U32" s="10" t="s">
        <v>750</v>
      </c>
      <c r="V32" s="10" t="s">
        <v>751</v>
      </c>
      <c r="W32" s="96" t="s">
        <v>769</v>
      </c>
      <c r="X32" s="96" t="s">
        <v>770</v>
      </c>
      <c r="Y32" s="96" t="s">
        <v>771</v>
      </c>
      <c r="Z32" s="96" t="s">
        <v>772</v>
      </c>
      <c r="AA32" s="96" t="s">
        <v>773</v>
      </c>
    </row>
    <row r="33" spans="2:27">
      <c r="B33" s="1" t="s">
        <v>465</v>
      </c>
      <c r="C33" s="1" t="s">
        <v>45</v>
      </c>
      <c r="D33" s="1" t="s">
        <v>578</v>
      </c>
      <c r="E33" s="1" t="s">
        <v>46</v>
      </c>
      <c r="F33" s="1" t="s">
        <v>46</v>
      </c>
      <c r="G33" s="1" t="s">
        <v>46</v>
      </c>
      <c r="H33" s="1" t="s">
        <v>46</v>
      </c>
      <c r="I33" s="1" t="s">
        <v>46</v>
      </c>
      <c r="J33" s="1" t="s">
        <v>46</v>
      </c>
      <c r="K33" s="1" t="s">
        <v>46</v>
      </c>
      <c r="L33" s="1" t="s">
        <v>583</v>
      </c>
      <c r="M33" s="1" t="s">
        <v>752</v>
      </c>
      <c r="N33" s="1" t="s">
        <v>753</v>
      </c>
      <c r="O33" s="1" t="s">
        <v>754</v>
      </c>
      <c r="P33" s="1" t="s">
        <v>755</v>
      </c>
      <c r="Q33" s="1" t="s">
        <v>756</v>
      </c>
      <c r="R33" s="1" t="s">
        <v>757</v>
      </c>
      <c r="S33" s="1" t="s">
        <v>758</v>
      </c>
      <c r="T33" s="1" t="s">
        <v>759</v>
      </c>
      <c r="U33" s="1" t="s">
        <v>760</v>
      </c>
      <c r="V33" s="1" t="s">
        <v>761</v>
      </c>
      <c r="W33" s="1" t="s">
        <v>774</v>
      </c>
      <c r="X33" s="1" t="s">
        <v>775</v>
      </c>
      <c r="Y33" s="1" t="s">
        <v>776</v>
      </c>
      <c r="Z33" s="1" t="s">
        <v>777</v>
      </c>
      <c r="AA33" s="1" t="s">
        <v>778</v>
      </c>
    </row>
    <row r="34" spans="2:27" ht="21" thickBot="1">
      <c r="B34" s="19" t="s">
        <v>5</v>
      </c>
      <c r="C34" s="19" t="s">
        <v>45</v>
      </c>
      <c r="D34" s="19" t="s">
        <v>591</v>
      </c>
      <c r="E34" s="19" t="s">
        <v>591</v>
      </c>
      <c r="F34" s="19" t="s">
        <v>606</v>
      </c>
      <c r="G34" s="19" t="s">
        <v>607</v>
      </c>
      <c r="H34" s="19" t="s">
        <v>607</v>
      </c>
      <c r="I34" s="19" t="s">
        <v>607</v>
      </c>
      <c r="J34" s="19" t="s">
        <v>607</v>
      </c>
      <c r="K34" s="19" t="s">
        <v>45</v>
      </c>
      <c r="L34" s="19" t="s">
        <v>592</v>
      </c>
      <c r="M34" s="19" t="s">
        <v>762</v>
      </c>
      <c r="N34" s="19" t="s">
        <v>762</v>
      </c>
      <c r="O34" s="19" t="s">
        <v>762</v>
      </c>
      <c r="P34" s="19" t="s">
        <v>763</v>
      </c>
      <c r="Q34" s="19" t="s">
        <v>764</v>
      </c>
      <c r="R34" s="19" t="s">
        <v>765</v>
      </c>
      <c r="S34" s="19" t="s">
        <v>766</v>
      </c>
      <c r="T34" s="19" t="s">
        <v>766</v>
      </c>
      <c r="U34" s="19" t="s">
        <v>767</v>
      </c>
      <c r="V34" s="19" t="s">
        <v>767</v>
      </c>
      <c r="W34" s="19" t="s">
        <v>779</v>
      </c>
      <c r="X34" s="19" t="s">
        <v>780</v>
      </c>
      <c r="Y34" s="19" t="s">
        <v>781</v>
      </c>
      <c r="Z34" s="19" t="s">
        <v>779</v>
      </c>
      <c r="AA34" s="19" t="s">
        <v>651</v>
      </c>
    </row>
    <row r="35" spans="2:27" ht="21" thickTop="1">
      <c r="B35" s="4">
        <v>0</v>
      </c>
      <c r="C35" s="118" t="s">
        <v>501</v>
      </c>
      <c r="D35" s="97">
        <v>15</v>
      </c>
      <c r="E35" s="97">
        <v>15</v>
      </c>
      <c r="F35" s="97">
        <v>0</v>
      </c>
      <c r="G35" s="118">
        <v>0</v>
      </c>
      <c r="H35" s="118">
        <v>0</v>
      </c>
      <c r="I35" s="97">
        <v>0</v>
      </c>
      <c r="J35" s="97">
        <v>0</v>
      </c>
      <c r="K35" s="97">
        <v>0</v>
      </c>
      <c r="L35" s="2">
        <v>0</v>
      </c>
      <c r="M35" s="1">
        <v>128.55212654337893</v>
      </c>
      <c r="N35" s="1">
        <v>16.303408580287435</v>
      </c>
      <c r="O35" s="27">
        <v>-1041.8410000000001</v>
      </c>
      <c r="P35" s="27">
        <v>-1041.8410000000001</v>
      </c>
      <c r="Q35" s="27">
        <v>-1041.8410000000001</v>
      </c>
      <c r="R35" s="27">
        <v>-1041.8410000000001</v>
      </c>
      <c r="S35" s="27">
        <v>-1041.8410000000001</v>
      </c>
      <c r="T35" s="27">
        <v>-1041.8410000000001</v>
      </c>
      <c r="U35" s="27">
        <v>-1041.8410000000001</v>
      </c>
      <c r="V35" s="27">
        <v>-1041.8410000000001</v>
      </c>
      <c r="W35" s="27">
        <v>-1041.8410000000001</v>
      </c>
      <c r="X35" s="27">
        <v>-1041.8410000000001</v>
      </c>
      <c r="Y35" s="27">
        <v>-1041.8410000000001</v>
      </c>
      <c r="Z35" s="27">
        <v>-1041.8410000000001</v>
      </c>
      <c r="AA35" s="27">
        <v>-1041.8410000000001</v>
      </c>
    </row>
    <row r="36" spans="2:27">
      <c r="B36" s="21">
        <v>3.5</v>
      </c>
      <c r="C36" s="26"/>
      <c r="D36" s="27"/>
      <c r="E36" s="27"/>
      <c r="F36" s="27"/>
      <c r="G36" s="26"/>
      <c r="H36" s="26"/>
      <c r="I36" s="27"/>
      <c r="J36" s="27"/>
      <c r="K36" s="27"/>
      <c r="L36" s="1"/>
      <c r="M36" s="1"/>
      <c r="N36" s="1"/>
      <c r="O36" s="27"/>
      <c r="P36" s="27"/>
      <c r="Q36" s="27"/>
      <c r="R36" s="27"/>
      <c r="S36" s="27"/>
      <c r="T36" s="27"/>
      <c r="U36" s="27"/>
      <c r="V36" s="27"/>
      <c r="W36" s="27"/>
      <c r="X36" s="27"/>
      <c r="Y36" s="27"/>
      <c r="Z36" s="27"/>
      <c r="AA36" s="27"/>
    </row>
    <row r="37" spans="2:27">
      <c r="B37" s="21"/>
      <c r="C37" s="26"/>
      <c r="D37" s="27"/>
      <c r="E37" s="27"/>
      <c r="F37" s="27"/>
      <c r="G37" s="26"/>
      <c r="H37" s="26"/>
      <c r="I37" s="27"/>
      <c r="J37" s="27"/>
      <c r="K37" s="27"/>
      <c r="L37" s="1"/>
      <c r="M37" s="1"/>
      <c r="N37" s="1"/>
      <c r="O37" s="27"/>
      <c r="P37" s="27"/>
      <c r="Q37" s="27"/>
      <c r="R37" s="27"/>
      <c r="S37" s="27"/>
      <c r="T37" s="27"/>
      <c r="U37" s="27"/>
      <c r="V37" s="27"/>
      <c r="W37" s="27"/>
      <c r="X37" s="27"/>
      <c r="Y37" s="27"/>
      <c r="Z37" s="27"/>
      <c r="AA37" s="27"/>
    </row>
    <row r="38" spans="2:27">
      <c r="B38" s="21"/>
      <c r="C38" s="26"/>
      <c r="D38" s="27"/>
      <c r="E38" s="27"/>
      <c r="F38" s="27"/>
      <c r="G38" s="26"/>
      <c r="H38" s="26"/>
      <c r="I38" s="27"/>
      <c r="J38" s="27"/>
      <c r="K38" s="27"/>
      <c r="L38" s="1"/>
      <c r="M38" s="1"/>
      <c r="N38" s="1"/>
      <c r="O38" s="27"/>
      <c r="P38" s="27"/>
      <c r="Q38" s="27"/>
      <c r="R38" s="27"/>
      <c r="S38" s="27"/>
      <c r="T38" s="27"/>
      <c r="U38" s="27"/>
      <c r="V38" s="27"/>
      <c r="W38" s="27"/>
      <c r="X38" s="27"/>
      <c r="Y38" s="27"/>
      <c r="Z38" s="27"/>
      <c r="AA38" s="27"/>
    </row>
    <row r="40" spans="2:27">
      <c r="B40" s="29" t="s">
        <v>844</v>
      </c>
      <c r="C40" s="117">
        <v>500</v>
      </c>
      <c r="D40" s="29" t="s">
        <v>765</v>
      </c>
      <c r="F40" s="29" t="s">
        <v>856</v>
      </c>
      <c r="G40" s="29">
        <f>(C38-C39)*(C40-1)+C38</f>
        <v>0</v>
      </c>
      <c r="H40" s="29" t="s">
        <v>765</v>
      </c>
    </row>
    <row r="41" spans="2:27">
      <c r="B41" s="29" t="s">
        <v>845</v>
      </c>
      <c r="C41" s="117">
        <v>40</v>
      </c>
      <c r="D41" s="29" t="s">
        <v>765</v>
      </c>
      <c r="F41" s="29" t="s">
        <v>858</v>
      </c>
      <c r="G41" s="29">
        <f>G40-C41*2</f>
        <v>-80</v>
      </c>
      <c r="H41" s="29" t="s">
        <v>765</v>
      </c>
      <c r="J41" s="1" t="s">
        <v>863</v>
      </c>
      <c r="K41" s="21">
        <v>10</v>
      </c>
      <c r="L41" s="1" t="s">
        <v>765</v>
      </c>
      <c r="Q41" t="s">
        <v>854</v>
      </c>
      <c r="R41" t="s">
        <v>855</v>
      </c>
    </row>
    <row r="42" spans="2:27">
      <c r="B42" s="29" t="s">
        <v>846</v>
      </c>
      <c r="C42" s="117">
        <v>9</v>
      </c>
      <c r="D42" s="29" t="s">
        <v>847</v>
      </c>
      <c r="F42" s="29" t="s">
        <v>860</v>
      </c>
      <c r="G42" s="29">
        <f>(G41-C37)/2</f>
        <v>-40</v>
      </c>
      <c r="H42" s="29" t="s">
        <v>765</v>
      </c>
      <c r="J42" s="1" t="s">
        <v>864</v>
      </c>
      <c r="K42" s="21">
        <v>10</v>
      </c>
      <c r="L42" s="1" t="s">
        <v>765</v>
      </c>
      <c r="O42" t="s">
        <v>857</v>
      </c>
      <c r="P42" s="29" t="s">
        <v>850</v>
      </c>
      <c r="Q42" s="123">
        <f>G38</f>
        <v>0</v>
      </c>
      <c r="R42" s="123">
        <f>Q42+K40*(K37+K38)*2</f>
        <v>0</v>
      </c>
    </row>
    <row r="43" spans="2:27">
      <c r="B43" s="29" t="s">
        <v>848</v>
      </c>
      <c r="C43" s="117">
        <v>50</v>
      </c>
      <c r="D43" s="29" t="s">
        <v>765</v>
      </c>
      <c r="F43" s="29" t="s">
        <v>866</v>
      </c>
      <c r="G43" s="29"/>
      <c r="H43" s="29" t="s">
        <v>36</v>
      </c>
      <c r="J43" s="1" t="s">
        <v>865</v>
      </c>
      <c r="K43" s="26">
        <v>1000</v>
      </c>
      <c r="L43" s="1" t="s">
        <v>765</v>
      </c>
      <c r="P43" s="29" t="s">
        <v>859</v>
      </c>
      <c r="Q43" s="123">
        <f>G38*G37</f>
        <v>0</v>
      </c>
      <c r="R43" s="123">
        <f>Q43+K40*K37*2</f>
        <v>0</v>
      </c>
    </row>
    <row r="44" spans="2:27">
      <c r="P44" s="29" t="s">
        <v>861</v>
      </c>
      <c r="Q44" s="123">
        <f>G39</f>
        <v>0</v>
      </c>
      <c r="R44" s="123">
        <f>Q44+K40*(K37+K38)*2</f>
        <v>0</v>
      </c>
    </row>
    <row r="45" spans="2:27">
      <c r="P45" s="29" t="s">
        <v>853</v>
      </c>
      <c r="Q45" s="123">
        <f>G39*G37</f>
        <v>0</v>
      </c>
      <c r="R45" s="123">
        <f>Q45+K40*K37*2</f>
        <v>0</v>
      </c>
    </row>
    <row r="46" spans="2:27">
      <c r="B46" s="31" t="s">
        <v>849</v>
      </c>
      <c r="C46" s="31">
        <v>1</v>
      </c>
      <c r="D46" s="31">
        <v>2</v>
      </c>
      <c r="E46" s="31">
        <v>3</v>
      </c>
      <c r="F46" s="31">
        <v>4</v>
      </c>
      <c r="G46" s="31">
        <v>5</v>
      </c>
      <c r="H46" s="31">
        <v>6</v>
      </c>
      <c r="I46" s="31">
        <v>7</v>
      </c>
      <c r="J46" s="31">
        <v>8</v>
      </c>
      <c r="K46" s="31">
        <v>9</v>
      </c>
      <c r="L46" s="31"/>
      <c r="M46" s="31"/>
      <c r="O46" t="s">
        <v>862</v>
      </c>
      <c r="P46" s="29" t="s">
        <v>850</v>
      </c>
      <c r="Q46" s="123" t="e">
        <f>C47-#REF!*C41</f>
        <v>#REF!</v>
      </c>
      <c r="R46" s="123" t="e">
        <f>Q46+K40*(K37+K38)*2</f>
        <v>#REF!</v>
      </c>
    </row>
    <row r="47" spans="2:27">
      <c r="B47" s="31" t="s">
        <v>850</v>
      </c>
      <c r="C47" s="122" t="e">
        <f>G38+$G$7*(#REF!-$C$4)/2</f>
        <v>#REF!</v>
      </c>
      <c r="D47" s="122" t="e">
        <f t="shared" ref="D47:K47" si="12">C49+$G$7*$C$6</f>
        <v>#REF!</v>
      </c>
      <c r="E47" s="122" t="e">
        <f t="shared" si="12"/>
        <v>#REF!</v>
      </c>
      <c r="F47" s="122" t="e">
        <f t="shared" si="12"/>
        <v>#REF!</v>
      </c>
      <c r="G47" s="122" t="e">
        <f t="shared" si="12"/>
        <v>#REF!</v>
      </c>
      <c r="H47" s="122" t="e">
        <f t="shared" si="12"/>
        <v>#REF!</v>
      </c>
      <c r="I47" s="122" t="e">
        <f t="shared" si="12"/>
        <v>#REF!</v>
      </c>
      <c r="J47" s="122" t="e">
        <f t="shared" si="12"/>
        <v>#REF!</v>
      </c>
      <c r="K47" s="122" t="e">
        <f t="shared" si="12"/>
        <v>#REF!</v>
      </c>
      <c r="L47" s="122"/>
      <c r="M47" s="122"/>
      <c r="P47" s="29" t="s">
        <v>859</v>
      </c>
      <c r="Q47" s="123" t="e">
        <f>Q46*G37</f>
        <v>#REF!</v>
      </c>
      <c r="R47" s="123" t="e">
        <f>Q47+K40*K37*2</f>
        <v>#REF!</v>
      </c>
    </row>
    <row r="48" spans="2:27">
      <c r="B48" s="31" t="s">
        <v>851</v>
      </c>
      <c r="C48" s="122" t="e">
        <f>C47*G37</f>
        <v>#REF!</v>
      </c>
      <c r="D48" s="122" t="e">
        <f t="shared" ref="D48:K48" si="13">D47*$G$4</f>
        <v>#REF!</v>
      </c>
      <c r="E48" s="122" t="e">
        <f t="shared" si="13"/>
        <v>#REF!</v>
      </c>
      <c r="F48" s="122" t="e">
        <f t="shared" si="13"/>
        <v>#REF!</v>
      </c>
      <c r="G48" s="122" t="e">
        <f t="shared" si="13"/>
        <v>#REF!</v>
      </c>
      <c r="H48" s="122" t="e">
        <f t="shared" si="13"/>
        <v>#REF!</v>
      </c>
      <c r="I48" s="122" t="e">
        <f t="shared" si="13"/>
        <v>#REF!</v>
      </c>
      <c r="J48" s="122" t="e">
        <f t="shared" si="13"/>
        <v>#REF!</v>
      </c>
      <c r="K48" s="122" t="e">
        <f t="shared" si="13"/>
        <v>#REF!</v>
      </c>
      <c r="L48" s="122"/>
      <c r="M48" s="122"/>
      <c r="P48" s="29" t="s">
        <v>861</v>
      </c>
      <c r="Q48" s="123" t="e">
        <f>J49+C41*#REF!</f>
        <v>#REF!</v>
      </c>
      <c r="R48" s="123" t="e">
        <f>Q48+K40*(K37+K38)*2</f>
        <v>#REF!</v>
      </c>
    </row>
    <row r="49" spans="2:18">
      <c r="B49" s="31" t="s">
        <v>852</v>
      </c>
      <c r="C49" s="122" t="e">
        <f t="shared" ref="C49:K49" si="14">C47-$G$7*$C$5</f>
        <v>#REF!</v>
      </c>
      <c r="D49" s="122" t="e">
        <f t="shared" si="14"/>
        <v>#REF!</v>
      </c>
      <c r="E49" s="122" t="e">
        <f t="shared" si="14"/>
        <v>#REF!</v>
      </c>
      <c r="F49" s="122" t="e">
        <f t="shared" si="14"/>
        <v>#REF!</v>
      </c>
      <c r="G49" s="122" t="e">
        <f t="shared" si="14"/>
        <v>#REF!</v>
      </c>
      <c r="H49" s="122" t="e">
        <f t="shared" si="14"/>
        <v>#REF!</v>
      </c>
      <c r="I49" s="122" t="e">
        <f t="shared" si="14"/>
        <v>#REF!</v>
      </c>
      <c r="J49" s="122" t="e">
        <f t="shared" si="14"/>
        <v>#REF!</v>
      </c>
      <c r="K49" s="122" t="e">
        <f t="shared" si="14"/>
        <v>#REF!</v>
      </c>
      <c r="L49" s="122"/>
      <c r="M49" s="122"/>
      <c r="P49" s="29" t="s">
        <v>853</v>
      </c>
      <c r="Q49" s="123" t="e">
        <f>Q48*G37</f>
        <v>#REF!</v>
      </c>
      <c r="R49" s="123" t="e">
        <f>Q49+K40*K37*2</f>
        <v>#REF!</v>
      </c>
    </row>
    <row r="50" spans="2:18">
      <c r="B50" s="31" t="s">
        <v>853</v>
      </c>
      <c r="C50" s="122" t="e">
        <f t="shared" ref="C50:K50" si="15">C49*$G$4</f>
        <v>#REF!</v>
      </c>
      <c r="D50" s="122" t="e">
        <f t="shared" si="15"/>
        <v>#REF!</v>
      </c>
      <c r="E50" s="122" t="e">
        <f t="shared" si="15"/>
        <v>#REF!</v>
      </c>
      <c r="F50" s="122" t="e">
        <f t="shared" si="15"/>
        <v>#REF!</v>
      </c>
      <c r="G50" s="122" t="e">
        <f t="shared" si="15"/>
        <v>#REF!</v>
      </c>
      <c r="H50" s="122" t="e">
        <f t="shared" si="15"/>
        <v>#REF!</v>
      </c>
      <c r="I50" s="122" t="e">
        <f t="shared" si="15"/>
        <v>#REF!</v>
      </c>
      <c r="J50" s="122" t="e">
        <f t="shared" si="15"/>
        <v>#REF!</v>
      </c>
      <c r="K50" s="122" t="e">
        <f t="shared" si="15"/>
        <v>#REF!</v>
      </c>
      <c r="L50" s="122"/>
      <c r="M50" s="122"/>
    </row>
  </sheetData>
  <phoneticPr fontId="3"/>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0A3F-BDE6-4CDA-8AAA-D79EF301F6ED}">
  <sheetPr codeName="Sheet5">
    <tabColor theme="8" tint="0.59999389629810485"/>
  </sheetPr>
  <dimension ref="B1:AY107"/>
  <sheetViews>
    <sheetView zoomScale="69" zoomScaleNormal="60" workbookViewId="0">
      <selection activeCell="N37" sqref="N37"/>
    </sheetView>
  </sheetViews>
  <sheetFormatPr baseColWidth="10" defaultColWidth="8.7109375" defaultRowHeight="20"/>
  <cols>
    <col min="1" max="16384" width="8.7109375" style="131"/>
  </cols>
  <sheetData>
    <row r="1" spans="2:46">
      <c r="P1" s="132"/>
      <c r="R1" s="132"/>
      <c r="AG1" s="132"/>
      <c r="AH1" s="132"/>
    </row>
    <row r="2" spans="2:46">
      <c r="B2" s="132"/>
      <c r="C2" s="132"/>
      <c r="D2" s="132"/>
      <c r="E2" s="132"/>
      <c r="G2" s="132" t="s">
        <v>834</v>
      </c>
      <c r="H2" s="132"/>
      <c r="I2" s="132"/>
      <c r="J2" s="132"/>
      <c r="K2" s="132"/>
      <c r="L2" s="132"/>
      <c r="M2" s="132"/>
      <c r="N2" s="132"/>
      <c r="O2" s="132"/>
      <c r="P2" s="132"/>
      <c r="R2" s="131" t="s">
        <v>717</v>
      </c>
      <c r="U2" s="132" t="s">
        <v>695</v>
      </c>
      <c r="AF2" s="132"/>
      <c r="AG2" s="132" t="s">
        <v>828</v>
      </c>
      <c r="AH2" s="132"/>
      <c r="AI2" s="132"/>
      <c r="AJ2" s="132"/>
    </row>
    <row r="3" spans="2:46" ht="21" thickBot="1">
      <c r="B3" s="133" t="s">
        <v>59</v>
      </c>
      <c r="C3" s="133" t="s">
        <v>60</v>
      </c>
      <c r="D3" s="133" t="s">
        <v>61</v>
      </c>
      <c r="E3" s="133" t="s">
        <v>62</v>
      </c>
      <c r="G3" s="134" t="s">
        <v>448</v>
      </c>
      <c r="H3" s="134" t="s">
        <v>637</v>
      </c>
      <c r="I3" s="134" t="s">
        <v>618</v>
      </c>
      <c r="J3" s="134" t="s">
        <v>826</v>
      </c>
      <c r="K3" s="134" t="s">
        <v>827</v>
      </c>
      <c r="L3" s="134" t="s">
        <v>635</v>
      </c>
      <c r="M3" s="134" t="s">
        <v>634</v>
      </c>
      <c r="N3" s="134" t="s">
        <v>617</v>
      </c>
      <c r="O3" s="134" t="s">
        <v>577</v>
      </c>
      <c r="P3" s="134" t="s">
        <v>611</v>
      </c>
      <c r="R3" s="130" t="s">
        <v>867</v>
      </c>
      <c r="S3" s="135"/>
      <c r="U3" s="134" t="s">
        <v>448</v>
      </c>
      <c r="V3" s="134" t="s">
        <v>150</v>
      </c>
      <c r="W3" s="134" t="s">
        <v>151</v>
      </c>
      <c r="X3" s="134" t="s">
        <v>152</v>
      </c>
      <c r="AF3" s="132"/>
      <c r="AG3" s="133" t="s">
        <v>59</v>
      </c>
      <c r="AH3" s="133" t="s">
        <v>60</v>
      </c>
      <c r="AI3" s="133" t="s">
        <v>61</v>
      </c>
      <c r="AJ3" s="133" t="s">
        <v>62</v>
      </c>
      <c r="AM3" s="132"/>
    </row>
    <row r="4" spans="2:46" ht="21" thickTop="1">
      <c r="B4" s="135" t="s">
        <v>818</v>
      </c>
      <c r="C4" s="135" t="s">
        <v>368</v>
      </c>
      <c r="D4" s="135"/>
      <c r="E4" s="135" t="s">
        <v>364</v>
      </c>
      <c r="G4" s="130" t="s">
        <v>150</v>
      </c>
      <c r="H4" s="130" t="s">
        <v>579</v>
      </c>
      <c r="I4" s="130" t="s">
        <v>580</v>
      </c>
      <c r="J4" s="136" t="s">
        <v>581</v>
      </c>
      <c r="K4" s="136" t="s">
        <v>582</v>
      </c>
      <c r="L4" s="130" t="s">
        <v>45</v>
      </c>
      <c r="M4" s="136" t="s">
        <v>46</v>
      </c>
      <c r="N4" s="130" t="s">
        <v>578</v>
      </c>
      <c r="O4" s="130" t="s">
        <v>583</v>
      </c>
      <c r="P4" s="130" t="s">
        <v>584</v>
      </c>
      <c r="R4" s="130" t="s">
        <v>868</v>
      </c>
      <c r="S4" s="135"/>
      <c r="U4" s="137" t="s">
        <v>697</v>
      </c>
      <c r="V4" s="137" t="s">
        <v>698</v>
      </c>
      <c r="W4" s="138">
        <f>10*10^-3</f>
        <v>0.01</v>
      </c>
      <c r="X4" s="137" t="s">
        <v>652</v>
      </c>
      <c r="AF4" s="132" t="s">
        <v>556</v>
      </c>
      <c r="AG4" s="130" t="s">
        <v>557</v>
      </c>
      <c r="AH4" s="130" t="s">
        <v>450</v>
      </c>
      <c r="AI4" s="130"/>
      <c r="AJ4" s="130" t="s">
        <v>398</v>
      </c>
      <c r="AM4" s="132" t="s">
        <v>113</v>
      </c>
    </row>
    <row r="5" spans="2:46" ht="21" thickBot="1">
      <c r="B5" s="135" t="s">
        <v>685</v>
      </c>
      <c r="C5" s="135" t="s">
        <v>363</v>
      </c>
      <c r="D5" s="135"/>
      <c r="E5" s="135" t="s">
        <v>364</v>
      </c>
      <c r="G5" s="139" t="s">
        <v>152</v>
      </c>
      <c r="H5" s="139" t="s">
        <v>5</v>
      </c>
      <c r="I5" s="139" t="s">
        <v>5</v>
      </c>
      <c r="J5" s="140" t="s">
        <v>312</v>
      </c>
      <c r="K5" s="140" t="s">
        <v>312</v>
      </c>
      <c r="L5" s="139" t="s">
        <v>636</v>
      </c>
      <c r="M5" s="140" t="s">
        <v>46</v>
      </c>
      <c r="N5" s="139" t="s">
        <v>46</v>
      </c>
      <c r="O5" s="139" t="s">
        <v>46</v>
      </c>
      <c r="P5" s="139" t="s">
        <v>5</v>
      </c>
      <c r="U5" s="130" t="s">
        <v>699</v>
      </c>
      <c r="V5" s="130" t="s">
        <v>698</v>
      </c>
      <c r="W5" s="141">
        <f>2*10^-3</f>
        <v>2E-3</v>
      </c>
      <c r="X5" s="130" t="s">
        <v>652</v>
      </c>
      <c r="AF5" s="132"/>
      <c r="AG5" s="130" t="s">
        <v>470</v>
      </c>
      <c r="AH5" s="130" t="s">
        <v>558</v>
      </c>
      <c r="AI5" s="130"/>
      <c r="AJ5" s="130" t="s">
        <v>5</v>
      </c>
      <c r="AM5" s="132"/>
    </row>
    <row r="6" spans="2:46" ht="21" thickTop="1">
      <c r="B6" s="130" t="s">
        <v>819</v>
      </c>
      <c r="C6" s="135" t="s">
        <v>360</v>
      </c>
      <c r="D6" s="135"/>
      <c r="E6" s="135" t="s">
        <v>45</v>
      </c>
      <c r="G6" s="142" t="s">
        <v>626</v>
      </c>
      <c r="H6" s="138">
        <v>0</v>
      </c>
      <c r="I6" s="138">
        <v>0.93</v>
      </c>
      <c r="J6" s="138">
        <v>2</v>
      </c>
      <c r="K6" s="138">
        <v>0</v>
      </c>
      <c r="L6" s="138">
        <v>35</v>
      </c>
      <c r="M6" s="138" t="s">
        <v>638</v>
      </c>
      <c r="N6" s="143">
        <v>0</v>
      </c>
      <c r="O6" s="137">
        <f t="shared" ref="O6:O11" si="0">I7/I6</f>
        <v>1</v>
      </c>
      <c r="P6" s="137">
        <f t="shared" ref="P6:P11" si="1">H7-H6</f>
        <v>1.6</v>
      </c>
      <c r="R6" s="131" t="s">
        <v>718</v>
      </c>
      <c r="U6" s="137" t="s">
        <v>700</v>
      </c>
      <c r="V6" s="137" t="s">
        <v>701</v>
      </c>
      <c r="W6" s="144">
        <v>5</v>
      </c>
      <c r="X6" s="137" t="s">
        <v>651</v>
      </c>
      <c r="AF6" s="132"/>
      <c r="AG6" s="130" t="s">
        <v>535</v>
      </c>
      <c r="AH6" s="130" t="s">
        <v>540</v>
      </c>
      <c r="AI6" s="130"/>
      <c r="AJ6" s="130" t="s">
        <v>46</v>
      </c>
      <c r="AM6" s="132"/>
    </row>
    <row r="7" spans="2:46">
      <c r="B7" s="130" t="s">
        <v>534</v>
      </c>
      <c r="C7" s="130" t="s">
        <v>450</v>
      </c>
      <c r="D7" s="130"/>
      <c r="E7" s="130" t="s">
        <v>398</v>
      </c>
      <c r="G7" s="134" t="s">
        <v>645</v>
      </c>
      <c r="H7" s="141">
        <v>1.6</v>
      </c>
      <c r="I7" s="141">
        <v>0.93</v>
      </c>
      <c r="J7" s="141">
        <v>2</v>
      </c>
      <c r="K7" s="141">
        <v>0</v>
      </c>
      <c r="L7" s="141">
        <v>35</v>
      </c>
      <c r="M7" s="141" t="s">
        <v>638</v>
      </c>
      <c r="N7" s="145"/>
      <c r="O7" s="130">
        <f t="shared" si="0"/>
        <v>0.83870967741935487</v>
      </c>
      <c r="P7" s="130">
        <f t="shared" si="1"/>
        <v>3.6</v>
      </c>
      <c r="R7" s="135">
        <v>1</v>
      </c>
      <c r="S7" s="135"/>
      <c r="U7" s="130"/>
      <c r="V7" s="130" t="s">
        <v>702</v>
      </c>
      <c r="W7" s="141">
        <f>(F30*G30)*10^-6</f>
        <v>0</v>
      </c>
      <c r="X7" s="130" t="s">
        <v>696</v>
      </c>
      <c r="AF7" s="132"/>
      <c r="AG7" s="130" t="s">
        <v>559</v>
      </c>
      <c r="AH7" s="130" t="s">
        <v>560</v>
      </c>
      <c r="AI7" s="130"/>
      <c r="AJ7" s="130" t="s">
        <v>5</v>
      </c>
      <c r="AM7" s="132"/>
    </row>
    <row r="8" spans="2:46" ht="21" thickBot="1">
      <c r="B8" s="130" t="s">
        <v>537</v>
      </c>
      <c r="C8" s="130" t="s">
        <v>407</v>
      </c>
      <c r="D8" s="130"/>
      <c r="E8" s="130" t="s">
        <v>542</v>
      </c>
      <c r="G8" s="134" t="s">
        <v>646</v>
      </c>
      <c r="H8" s="141">
        <v>5.2</v>
      </c>
      <c r="I8" s="141">
        <v>0.78</v>
      </c>
      <c r="J8" s="141">
        <v>2</v>
      </c>
      <c r="K8" s="141">
        <v>0</v>
      </c>
      <c r="L8" s="141">
        <v>35</v>
      </c>
      <c r="M8" s="141" t="s">
        <v>638</v>
      </c>
      <c r="N8" s="145"/>
      <c r="O8" s="130">
        <f t="shared" si="0"/>
        <v>0.87179487179487181</v>
      </c>
      <c r="P8" s="130">
        <f t="shared" si="1"/>
        <v>2</v>
      </c>
      <c r="R8" s="135">
        <v>2</v>
      </c>
      <c r="S8" s="135"/>
      <c r="U8" s="130" t="s">
        <v>703</v>
      </c>
      <c r="V8" s="130" t="s">
        <v>698</v>
      </c>
      <c r="W8" s="141">
        <f>0.45*10^-3</f>
        <v>4.5000000000000004E-4</v>
      </c>
      <c r="X8" s="130" t="s">
        <v>652</v>
      </c>
      <c r="AF8" s="132"/>
      <c r="AG8" s="139" t="s">
        <v>561</v>
      </c>
      <c r="AH8" s="139" t="s">
        <v>409</v>
      </c>
      <c r="AI8" s="139"/>
      <c r="AJ8" s="139" t="s">
        <v>5</v>
      </c>
      <c r="AM8" s="132"/>
    </row>
    <row r="9" spans="2:46" ht="21" thickTop="1">
      <c r="B9" s="130" t="s">
        <v>535</v>
      </c>
      <c r="C9" s="130" t="s">
        <v>540</v>
      </c>
      <c r="D9" s="130"/>
      <c r="E9" s="130" t="s">
        <v>46</v>
      </c>
      <c r="G9" s="134" t="s">
        <v>647</v>
      </c>
      <c r="H9" s="141">
        <v>7.2</v>
      </c>
      <c r="I9" s="141">
        <v>0.68</v>
      </c>
      <c r="J9" s="141">
        <v>2</v>
      </c>
      <c r="K9" s="141">
        <v>6</v>
      </c>
      <c r="L9" s="141">
        <v>35</v>
      </c>
      <c r="M9" s="141" t="s">
        <v>638</v>
      </c>
      <c r="N9" s="145"/>
      <c r="O9" s="130">
        <f t="shared" si="0"/>
        <v>0.89705882352941169</v>
      </c>
      <c r="P9" s="130">
        <f t="shared" si="1"/>
        <v>1.3999999999999995</v>
      </c>
      <c r="R9" s="135">
        <v>3</v>
      </c>
      <c r="S9" s="135"/>
      <c r="U9" s="130" t="s">
        <v>704</v>
      </c>
      <c r="V9" s="130" t="s">
        <v>705</v>
      </c>
      <c r="W9" s="141">
        <v>0.02</v>
      </c>
      <c r="X9" s="130" t="s">
        <v>652</v>
      </c>
      <c r="AF9" s="132" t="s">
        <v>562</v>
      </c>
      <c r="AG9" s="130" t="s">
        <v>557</v>
      </c>
      <c r="AH9" s="130" t="s">
        <v>450</v>
      </c>
      <c r="AI9" s="130"/>
      <c r="AJ9" s="130" t="s">
        <v>398</v>
      </c>
      <c r="AM9" s="132"/>
    </row>
    <row r="10" spans="2:46">
      <c r="B10" s="130" t="s">
        <v>536</v>
      </c>
      <c r="C10" s="130" t="s">
        <v>541</v>
      </c>
      <c r="D10" s="130"/>
      <c r="E10" s="130" t="s">
        <v>5</v>
      </c>
      <c r="G10" s="134" t="s">
        <v>648</v>
      </c>
      <c r="H10" s="141">
        <v>8.6</v>
      </c>
      <c r="I10" s="141">
        <v>0.61</v>
      </c>
      <c r="J10" s="141">
        <v>2</v>
      </c>
      <c r="K10" s="141">
        <v>6</v>
      </c>
      <c r="L10" s="141">
        <v>35</v>
      </c>
      <c r="M10" s="141" t="s">
        <v>638</v>
      </c>
      <c r="N10" s="145"/>
      <c r="O10" s="130">
        <f t="shared" si="0"/>
        <v>0.85245901639344268</v>
      </c>
      <c r="P10" s="130">
        <f t="shared" si="1"/>
        <v>2.2000000000000011</v>
      </c>
      <c r="R10" s="135">
        <v>4</v>
      </c>
      <c r="S10" s="135"/>
      <c r="U10" s="130"/>
      <c r="V10" s="130" t="s">
        <v>698</v>
      </c>
      <c r="W10" s="141">
        <f>0.5*10^-3</f>
        <v>5.0000000000000001E-4</v>
      </c>
      <c r="X10" s="130" t="s">
        <v>652</v>
      </c>
      <c r="AF10" s="132"/>
      <c r="AG10" s="130" t="s">
        <v>470</v>
      </c>
      <c r="AH10" s="130" t="s">
        <v>558</v>
      </c>
      <c r="AI10" s="130"/>
      <c r="AJ10" s="130" t="s">
        <v>5</v>
      </c>
      <c r="AM10" s="132"/>
    </row>
    <row r="11" spans="2:46">
      <c r="B11" s="130" t="s">
        <v>782</v>
      </c>
      <c r="C11" s="130" t="s">
        <v>820</v>
      </c>
      <c r="D11" s="130"/>
      <c r="E11" s="130" t="s">
        <v>5</v>
      </c>
      <c r="G11" s="134" t="s">
        <v>649</v>
      </c>
      <c r="H11" s="141">
        <v>10.8</v>
      </c>
      <c r="I11" s="141">
        <v>0.52</v>
      </c>
      <c r="J11" s="141">
        <v>2</v>
      </c>
      <c r="K11" s="141">
        <v>6</v>
      </c>
      <c r="L11" s="141">
        <v>35</v>
      </c>
      <c r="M11" s="141" t="s">
        <v>639</v>
      </c>
      <c r="N11" s="145"/>
      <c r="O11" s="130">
        <f t="shared" si="0"/>
        <v>0.73076923076923073</v>
      </c>
      <c r="P11" s="130">
        <f t="shared" si="1"/>
        <v>1.5999999999999996</v>
      </c>
      <c r="R11" s="135">
        <v>5</v>
      </c>
      <c r="S11" s="135"/>
      <c r="U11" s="130" t="s">
        <v>706</v>
      </c>
      <c r="V11" s="130" t="s">
        <v>707</v>
      </c>
      <c r="W11" s="141">
        <v>7.4999999999999997E-3</v>
      </c>
      <c r="X11" s="130" t="s">
        <v>708</v>
      </c>
      <c r="AF11" s="132"/>
      <c r="AG11" s="130" t="s">
        <v>535</v>
      </c>
      <c r="AH11" s="130" t="s">
        <v>540</v>
      </c>
      <c r="AI11" s="130"/>
      <c r="AJ11" s="130" t="s">
        <v>46</v>
      </c>
      <c r="AM11" s="132"/>
    </row>
    <row r="12" spans="2:46">
      <c r="B12" s="130" t="s">
        <v>783</v>
      </c>
      <c r="C12" s="130" t="s">
        <v>821</v>
      </c>
      <c r="D12" s="130"/>
      <c r="E12" s="130" t="s">
        <v>260</v>
      </c>
      <c r="G12" s="134" t="s">
        <v>625</v>
      </c>
      <c r="H12" s="141">
        <v>12.4</v>
      </c>
      <c r="I12" s="141">
        <v>0.38</v>
      </c>
      <c r="J12" s="141">
        <v>0.5</v>
      </c>
      <c r="K12" s="141">
        <v>6</v>
      </c>
      <c r="L12" s="141">
        <v>35</v>
      </c>
      <c r="M12" s="141" t="s">
        <v>639</v>
      </c>
      <c r="N12" s="145"/>
      <c r="O12" s="130"/>
      <c r="P12" s="130"/>
      <c r="R12" s="135">
        <v>6</v>
      </c>
      <c r="S12" s="135"/>
      <c r="U12" s="146" t="s">
        <v>709</v>
      </c>
      <c r="V12" s="130" t="s">
        <v>710</v>
      </c>
      <c r="W12" s="141">
        <v>7.4999999999999997E-3</v>
      </c>
      <c r="X12" s="130" t="s">
        <v>708</v>
      </c>
      <c r="AF12" s="132"/>
      <c r="AG12" s="130" t="s">
        <v>559</v>
      </c>
      <c r="AH12" s="130" t="s">
        <v>541</v>
      </c>
      <c r="AI12" s="130"/>
      <c r="AJ12" s="130" t="s">
        <v>5</v>
      </c>
      <c r="AM12" s="132"/>
    </row>
    <row r="13" spans="2:46" ht="21" thickBot="1">
      <c r="R13" s="135">
        <v>7</v>
      </c>
      <c r="S13" s="135"/>
      <c r="U13" s="130" t="s">
        <v>711</v>
      </c>
      <c r="V13" s="130" t="s">
        <v>712</v>
      </c>
      <c r="W13" s="141">
        <v>0.03</v>
      </c>
      <c r="X13" s="130" t="s">
        <v>708</v>
      </c>
      <c r="AF13" s="132"/>
      <c r="AG13" s="139" t="s">
        <v>561</v>
      </c>
      <c r="AH13" s="139" t="s">
        <v>409</v>
      </c>
      <c r="AI13" s="139"/>
      <c r="AJ13" s="139" t="s">
        <v>5</v>
      </c>
      <c r="AM13" s="132"/>
    </row>
    <row r="14" spans="2:46" ht="21" thickTop="1">
      <c r="U14" s="130" t="s">
        <v>713</v>
      </c>
      <c r="V14" s="130" t="s">
        <v>714</v>
      </c>
      <c r="W14" s="141">
        <v>0.08</v>
      </c>
      <c r="X14" s="130" t="s">
        <v>652</v>
      </c>
      <c r="AF14" s="132" t="s">
        <v>563</v>
      </c>
      <c r="AG14" s="137" t="s">
        <v>564</v>
      </c>
      <c r="AH14" s="137" t="s">
        <v>565</v>
      </c>
      <c r="AI14" s="138"/>
      <c r="AJ14" s="137" t="s">
        <v>46</v>
      </c>
      <c r="AM14" s="147"/>
      <c r="AR14" s="132"/>
      <c r="AS14" s="132"/>
      <c r="AT14" s="132"/>
    </row>
    <row r="15" spans="2:46">
      <c r="AF15" s="132"/>
      <c r="AG15" s="130" t="s">
        <v>566</v>
      </c>
      <c r="AH15" s="145" t="s">
        <v>567</v>
      </c>
      <c r="AI15" s="130"/>
      <c r="AJ15" s="130" t="s">
        <v>46</v>
      </c>
    </row>
    <row r="16" spans="2:46">
      <c r="AF16" s="132"/>
      <c r="AG16" s="130" t="s">
        <v>568</v>
      </c>
      <c r="AH16" s="130" t="s">
        <v>569</v>
      </c>
      <c r="AI16" s="130"/>
      <c r="AJ16" s="130" t="s">
        <v>417</v>
      </c>
    </row>
    <row r="17" spans="32:36">
      <c r="AF17" s="132"/>
      <c r="AG17" s="130" t="s">
        <v>570</v>
      </c>
      <c r="AH17" s="130" t="s">
        <v>426</v>
      </c>
      <c r="AI17" s="130"/>
      <c r="AJ17" s="130" t="s">
        <v>417</v>
      </c>
    </row>
    <row r="18" spans="32:36">
      <c r="AF18" s="132"/>
      <c r="AG18" s="130" t="s">
        <v>414</v>
      </c>
      <c r="AH18" s="130" t="s">
        <v>415</v>
      </c>
      <c r="AI18" s="130"/>
      <c r="AJ18" s="130" t="s">
        <v>46</v>
      </c>
    </row>
    <row r="19" spans="32:36">
      <c r="AF19" s="132"/>
      <c r="AG19" s="130" t="s">
        <v>436</v>
      </c>
      <c r="AH19" s="130" t="s">
        <v>437</v>
      </c>
      <c r="AI19" s="130"/>
      <c r="AJ19" s="130" t="s">
        <v>46</v>
      </c>
    </row>
    <row r="20" spans="32:36">
      <c r="AF20" s="132"/>
      <c r="AG20" s="146" t="s">
        <v>166</v>
      </c>
      <c r="AH20" s="146" t="s">
        <v>163</v>
      </c>
      <c r="AI20" s="148"/>
      <c r="AJ20" s="146" t="s">
        <v>46</v>
      </c>
    </row>
    <row r="21" spans="32:36" ht="21" thickBot="1">
      <c r="AF21" s="132"/>
      <c r="AG21" s="139" t="s">
        <v>571</v>
      </c>
      <c r="AH21" s="139" t="s">
        <v>572</v>
      </c>
      <c r="AI21" s="139"/>
      <c r="AJ21" s="139" t="s">
        <v>312</v>
      </c>
    </row>
    <row r="22" spans="32:36" ht="21" thickTop="1"/>
    <row r="35" spans="2:51">
      <c r="O35" s="132"/>
      <c r="AR35" s="132"/>
    </row>
    <row r="36" spans="2:51">
      <c r="O36" s="132"/>
    </row>
    <row r="37" spans="2:51">
      <c r="B37" s="149" t="s">
        <v>810</v>
      </c>
      <c r="C37" s="150"/>
      <c r="D37" s="151" t="s">
        <v>45</v>
      </c>
    </row>
    <row r="38" spans="2:51">
      <c r="B38" s="149" t="s">
        <v>817</v>
      </c>
      <c r="C38" s="150"/>
      <c r="D38" s="151" t="s">
        <v>37</v>
      </c>
    </row>
    <row r="40" spans="2:51">
      <c r="B40" s="131" t="s">
        <v>640</v>
      </c>
      <c r="H40" s="131" t="s">
        <v>728</v>
      </c>
      <c r="K40" s="131" t="s">
        <v>654</v>
      </c>
      <c r="R40" s="131" t="s">
        <v>690</v>
      </c>
      <c r="T40" s="131" t="s">
        <v>729</v>
      </c>
      <c r="W40" s="131" t="s">
        <v>722</v>
      </c>
      <c r="AE40" s="132"/>
      <c r="AF40" s="131" t="s">
        <v>658</v>
      </c>
    </row>
    <row r="41" spans="2:51">
      <c r="B41" s="134" t="s">
        <v>641</v>
      </c>
      <c r="C41" s="134" t="s">
        <v>689</v>
      </c>
      <c r="D41" s="134" t="s">
        <v>715</v>
      </c>
      <c r="E41" s="134" t="s">
        <v>653</v>
      </c>
      <c r="F41" s="134" t="s">
        <v>637</v>
      </c>
      <c r="G41" s="134" t="s">
        <v>618</v>
      </c>
      <c r="H41" s="134" t="s">
        <v>635</v>
      </c>
      <c r="I41" s="134" t="s">
        <v>656</v>
      </c>
      <c r="J41" s="152" t="s">
        <v>657</v>
      </c>
      <c r="K41" s="134" t="s">
        <v>655</v>
      </c>
      <c r="L41" s="134" t="s">
        <v>634</v>
      </c>
      <c r="M41" s="134" t="s">
        <v>643</v>
      </c>
      <c r="N41" s="134" t="s">
        <v>644</v>
      </c>
      <c r="O41" s="134" t="s">
        <v>822</v>
      </c>
      <c r="P41" s="153" t="s">
        <v>333</v>
      </c>
      <c r="Q41" s="134" t="s">
        <v>642</v>
      </c>
      <c r="R41" s="134" t="s">
        <v>333</v>
      </c>
      <c r="S41" s="134" t="s">
        <v>642</v>
      </c>
      <c r="T41" s="152" t="s">
        <v>719</v>
      </c>
      <c r="U41" s="152" t="s">
        <v>720</v>
      </c>
      <c r="V41" s="152" t="s">
        <v>721</v>
      </c>
      <c r="W41" s="134" t="s">
        <v>697</v>
      </c>
      <c r="X41" s="134" t="s">
        <v>699</v>
      </c>
      <c r="Y41" s="134" t="s">
        <v>700</v>
      </c>
      <c r="Z41" s="134" t="s">
        <v>703</v>
      </c>
      <c r="AA41" s="134" t="s">
        <v>704</v>
      </c>
      <c r="AB41" s="134" t="s">
        <v>723</v>
      </c>
      <c r="AC41" s="134" t="s">
        <v>727</v>
      </c>
      <c r="AD41" s="134" t="s">
        <v>726</v>
      </c>
      <c r="AE41" s="134" t="s">
        <v>724</v>
      </c>
      <c r="AF41" s="134" t="s">
        <v>665</v>
      </c>
      <c r="AG41" s="134" t="s">
        <v>659</v>
      </c>
      <c r="AH41" s="134" t="s">
        <v>660</v>
      </c>
      <c r="AI41" s="134" t="s">
        <v>730</v>
      </c>
      <c r="AJ41" s="134" t="s">
        <v>336</v>
      </c>
      <c r="AK41" s="134" t="s">
        <v>349</v>
      </c>
      <c r="AL41" s="134" t="s">
        <v>733</v>
      </c>
      <c r="AM41" s="134" t="s">
        <v>361</v>
      </c>
      <c r="AN41" s="134" t="s">
        <v>735</v>
      </c>
      <c r="AO41" s="134" t="s">
        <v>343</v>
      </c>
      <c r="AP41" s="134" t="s">
        <v>661</v>
      </c>
      <c r="AQ41" s="134" t="s">
        <v>685</v>
      </c>
      <c r="AR41" s="134" t="s">
        <v>686</v>
      </c>
      <c r="AS41" s="134" t="s">
        <v>687</v>
      </c>
      <c r="AT41" s="134" t="s">
        <v>663</v>
      </c>
      <c r="AU41" s="134" t="s">
        <v>662</v>
      </c>
      <c r="AV41" s="134" t="s">
        <v>666</v>
      </c>
      <c r="AW41" s="134" t="s">
        <v>664</v>
      </c>
      <c r="AX41" s="134" t="s">
        <v>691</v>
      </c>
    </row>
    <row r="42" spans="2:51">
      <c r="B42" s="130" t="s">
        <v>650</v>
      </c>
      <c r="C42" s="136" t="s">
        <v>651</v>
      </c>
      <c r="D42" s="136" t="s">
        <v>651</v>
      </c>
      <c r="E42" s="130" t="s">
        <v>611</v>
      </c>
      <c r="F42" s="130" t="s">
        <v>824</v>
      </c>
      <c r="G42" s="130" t="s">
        <v>619</v>
      </c>
      <c r="H42" s="130" t="s">
        <v>651</v>
      </c>
      <c r="I42" s="130" t="s">
        <v>651</v>
      </c>
      <c r="J42" s="154" t="s">
        <v>651</v>
      </c>
      <c r="K42" s="130" t="s">
        <v>651</v>
      </c>
      <c r="L42" s="130" t="s">
        <v>651</v>
      </c>
      <c r="M42" s="130" t="s">
        <v>651</v>
      </c>
      <c r="N42" s="130" t="s">
        <v>651</v>
      </c>
      <c r="O42" s="130" t="s">
        <v>823</v>
      </c>
      <c r="P42" s="155" t="s">
        <v>651</v>
      </c>
      <c r="Q42" s="130" t="s">
        <v>825</v>
      </c>
      <c r="R42" s="136" t="s">
        <v>651</v>
      </c>
      <c r="S42" s="136" t="s">
        <v>675</v>
      </c>
      <c r="T42" s="154" t="s">
        <v>651</v>
      </c>
      <c r="U42" s="154" t="s">
        <v>651</v>
      </c>
      <c r="V42" s="154" t="s">
        <v>651</v>
      </c>
      <c r="W42" s="130" t="s">
        <v>45</v>
      </c>
      <c r="X42" s="130" t="s">
        <v>45</v>
      </c>
      <c r="Y42" s="130" t="s">
        <v>45</v>
      </c>
      <c r="Z42" s="130" t="s">
        <v>45</v>
      </c>
      <c r="AA42" s="130" t="s">
        <v>45</v>
      </c>
      <c r="AB42" s="130" t="s">
        <v>45</v>
      </c>
      <c r="AC42" s="130" t="s">
        <v>45</v>
      </c>
      <c r="AD42" s="130" t="s">
        <v>45</v>
      </c>
      <c r="AE42" s="136" t="s">
        <v>45</v>
      </c>
      <c r="AF42" s="136" t="s">
        <v>679</v>
      </c>
      <c r="AG42" s="136" t="s">
        <v>667</v>
      </c>
      <c r="AH42" s="136" t="s">
        <v>668</v>
      </c>
      <c r="AI42" s="136" t="s">
        <v>731</v>
      </c>
      <c r="AJ42" s="136" t="s">
        <v>669</v>
      </c>
      <c r="AK42" s="136" t="s">
        <v>670</v>
      </c>
      <c r="AL42" s="136" t="s">
        <v>734</v>
      </c>
      <c r="AM42" s="136" t="s">
        <v>671</v>
      </c>
      <c r="AN42" s="136" t="s">
        <v>674</v>
      </c>
      <c r="AO42" s="136" t="s">
        <v>672</v>
      </c>
      <c r="AP42" s="136" t="s">
        <v>673</v>
      </c>
      <c r="AQ42" s="136" t="s">
        <v>363</v>
      </c>
      <c r="AR42" s="136" t="s">
        <v>366</v>
      </c>
      <c r="AS42" s="136" t="s">
        <v>830</v>
      </c>
      <c r="AT42" s="136" t="s">
        <v>677</v>
      </c>
      <c r="AU42" s="136" t="s">
        <v>676</v>
      </c>
      <c r="AV42" s="136" t="s">
        <v>680</v>
      </c>
      <c r="AW42" s="136" t="s">
        <v>678</v>
      </c>
      <c r="AX42" s="136" t="s">
        <v>688</v>
      </c>
    </row>
    <row r="43" spans="2:51" ht="21" thickBot="1">
      <c r="B43" s="146" t="s">
        <v>651</v>
      </c>
      <c r="C43" s="156" t="s">
        <v>651</v>
      </c>
      <c r="D43" s="156" t="s">
        <v>651</v>
      </c>
      <c r="E43" s="146" t="s">
        <v>652</v>
      </c>
      <c r="F43" s="146" t="s">
        <v>652</v>
      </c>
      <c r="G43" s="146" t="s">
        <v>652</v>
      </c>
      <c r="H43" s="139" t="s">
        <v>636</v>
      </c>
      <c r="I43" s="146" t="s">
        <v>607</v>
      </c>
      <c r="J43" s="157" t="s">
        <v>607</v>
      </c>
      <c r="K43" s="146" t="s">
        <v>607</v>
      </c>
      <c r="L43" s="146" t="s">
        <v>45</v>
      </c>
      <c r="M43" s="139" t="s">
        <v>652</v>
      </c>
      <c r="N43" s="139" t="s">
        <v>652</v>
      </c>
      <c r="O43" s="139" t="s">
        <v>652</v>
      </c>
      <c r="P43" s="158" t="s">
        <v>260</v>
      </c>
      <c r="Q43" s="146" t="s">
        <v>260</v>
      </c>
      <c r="R43" s="156" t="s">
        <v>681</v>
      </c>
      <c r="S43" s="156" t="s">
        <v>681</v>
      </c>
      <c r="T43" s="157" t="s">
        <v>652</v>
      </c>
      <c r="U43" s="157" t="s">
        <v>652</v>
      </c>
      <c r="V43" s="157" t="s">
        <v>652</v>
      </c>
      <c r="W43" s="159" t="s">
        <v>725</v>
      </c>
      <c r="X43" s="159" t="s">
        <v>725</v>
      </c>
      <c r="Y43" s="159" t="s">
        <v>725</v>
      </c>
      <c r="Z43" s="139" t="s">
        <v>725</v>
      </c>
      <c r="AA43" s="139" t="s">
        <v>725</v>
      </c>
      <c r="AB43" s="139" t="s">
        <v>725</v>
      </c>
      <c r="AC43" s="139" t="s">
        <v>725</v>
      </c>
      <c r="AD43" s="139" t="s">
        <v>725</v>
      </c>
      <c r="AE43" s="156" t="s">
        <v>725</v>
      </c>
      <c r="AF43" s="156" t="s">
        <v>681</v>
      </c>
      <c r="AG43" s="156" t="s">
        <v>681</v>
      </c>
      <c r="AH43" s="156" t="s">
        <v>651</v>
      </c>
      <c r="AI43" s="156" t="s">
        <v>651</v>
      </c>
      <c r="AJ43" s="156" t="s">
        <v>651</v>
      </c>
      <c r="AK43" s="156" t="s">
        <v>651</v>
      </c>
      <c r="AL43" s="156" t="s">
        <v>651</v>
      </c>
      <c r="AM43" s="156" t="s">
        <v>651</v>
      </c>
      <c r="AN43" s="156" t="s">
        <v>651</v>
      </c>
      <c r="AO43" s="156" t="s">
        <v>682</v>
      </c>
      <c r="AP43" s="156" t="s">
        <v>682</v>
      </c>
      <c r="AQ43" s="156" t="s">
        <v>273</v>
      </c>
      <c r="AR43" s="156" t="s">
        <v>273</v>
      </c>
      <c r="AS43" s="156" t="s">
        <v>732</v>
      </c>
      <c r="AT43" s="156" t="s">
        <v>683</v>
      </c>
      <c r="AU43" s="156" t="s">
        <v>683</v>
      </c>
      <c r="AV43" s="156" t="s">
        <v>683</v>
      </c>
      <c r="AW43" s="156" t="s">
        <v>684</v>
      </c>
      <c r="AX43" s="156" t="s">
        <v>684</v>
      </c>
    </row>
    <row r="44" spans="2:51" ht="21" thickTop="1">
      <c r="B44" s="160">
        <v>1</v>
      </c>
      <c r="C44" s="161"/>
      <c r="D44" s="161"/>
      <c r="E44" s="161"/>
      <c r="F44" s="160"/>
      <c r="G44" s="160"/>
      <c r="H44" s="162"/>
      <c r="I44" s="160"/>
      <c r="J44" s="160"/>
      <c r="K44" s="160"/>
      <c r="L44" s="160"/>
      <c r="M44" s="160"/>
      <c r="N44" s="160"/>
      <c r="O44" s="160"/>
      <c r="P44" s="160"/>
      <c r="Q44" s="160"/>
      <c r="R44" s="160"/>
      <c r="S44" s="160"/>
      <c r="T44" s="160"/>
      <c r="U44" s="160"/>
      <c r="V44" s="160"/>
      <c r="W44" s="160"/>
      <c r="X44" s="160"/>
      <c r="Y44" s="160"/>
      <c r="Z44" s="160"/>
      <c r="AA44" s="160"/>
      <c r="AB44" s="160"/>
      <c r="AC44" s="160"/>
      <c r="AD44" s="160"/>
      <c r="AE44" s="160"/>
      <c r="AF44" s="160"/>
      <c r="AG44" s="160"/>
      <c r="AH44" s="160"/>
      <c r="AI44" s="160"/>
      <c r="AJ44" s="160"/>
      <c r="AK44" s="160"/>
      <c r="AL44" s="160"/>
      <c r="AM44" s="160"/>
      <c r="AN44" s="160"/>
      <c r="AO44" s="160"/>
      <c r="AP44" s="160"/>
      <c r="AQ44" s="160"/>
      <c r="AR44" s="160"/>
      <c r="AS44" s="160"/>
      <c r="AT44" s="160"/>
      <c r="AU44" s="160"/>
      <c r="AV44" s="160"/>
      <c r="AW44" s="160"/>
      <c r="AX44" s="160"/>
      <c r="AY44" s="160"/>
    </row>
    <row r="45" spans="2:51">
      <c r="B45" s="135">
        <v>2</v>
      </c>
      <c r="C45" s="163"/>
      <c r="D45" s="163"/>
      <c r="E45" s="163"/>
      <c r="F45" s="135"/>
      <c r="G45" s="135"/>
      <c r="H45" s="135"/>
      <c r="I45" s="135"/>
      <c r="J45" s="135"/>
      <c r="K45" s="135"/>
      <c r="L45" s="135"/>
      <c r="M45" s="135"/>
      <c r="N45" s="135"/>
      <c r="O45" s="135"/>
      <c r="P45" s="135"/>
      <c r="Q45" s="135"/>
      <c r="R45" s="135"/>
      <c r="S45" s="135"/>
      <c r="T45" s="135"/>
      <c r="U45" s="135"/>
      <c r="V45" s="135"/>
      <c r="W45" s="135"/>
      <c r="X45" s="135"/>
      <c r="Y45" s="135"/>
      <c r="Z45" s="135"/>
      <c r="AA45" s="135"/>
      <c r="AB45" s="135"/>
      <c r="AC45" s="135"/>
      <c r="AD45" s="135"/>
      <c r="AE45" s="135"/>
      <c r="AF45" s="135"/>
      <c r="AG45" s="135"/>
      <c r="AH45" s="135"/>
      <c r="AI45" s="135"/>
      <c r="AJ45" s="135"/>
      <c r="AK45" s="135"/>
      <c r="AL45" s="135"/>
      <c r="AM45" s="135"/>
      <c r="AN45" s="135"/>
      <c r="AO45" s="135"/>
      <c r="AP45" s="135"/>
      <c r="AQ45" s="135"/>
      <c r="AR45" s="135"/>
      <c r="AS45" s="135"/>
      <c r="AT45" s="135"/>
      <c r="AU45" s="135"/>
      <c r="AV45" s="135"/>
      <c r="AW45" s="135"/>
      <c r="AX45" s="135"/>
      <c r="AY45" s="135"/>
    </row>
    <row r="46" spans="2:51">
      <c r="B46" s="135">
        <v>3</v>
      </c>
      <c r="C46" s="163"/>
      <c r="D46" s="163"/>
      <c r="E46" s="163"/>
      <c r="F46" s="135"/>
      <c r="G46" s="135"/>
      <c r="H46" s="135"/>
      <c r="I46" s="135"/>
      <c r="J46" s="135"/>
      <c r="K46" s="135"/>
      <c r="L46" s="135"/>
      <c r="M46" s="135"/>
      <c r="N46" s="135"/>
      <c r="O46" s="135"/>
      <c r="P46" s="135"/>
      <c r="Q46" s="135"/>
      <c r="R46" s="135"/>
      <c r="S46" s="135"/>
      <c r="T46" s="135"/>
      <c r="U46" s="135"/>
      <c r="V46" s="135"/>
      <c r="W46" s="135"/>
      <c r="X46" s="135"/>
      <c r="Y46" s="135"/>
      <c r="Z46" s="135"/>
      <c r="AA46" s="135"/>
      <c r="AB46" s="135"/>
      <c r="AC46" s="135"/>
      <c r="AD46" s="135"/>
      <c r="AE46" s="135"/>
      <c r="AF46" s="135"/>
      <c r="AG46" s="135"/>
      <c r="AH46" s="135"/>
      <c r="AI46" s="135"/>
      <c r="AJ46" s="135"/>
      <c r="AK46" s="135"/>
      <c r="AL46" s="135"/>
      <c r="AM46" s="135"/>
      <c r="AN46" s="135"/>
      <c r="AO46" s="135"/>
      <c r="AP46" s="135"/>
      <c r="AQ46" s="135"/>
      <c r="AR46" s="135"/>
      <c r="AS46" s="135"/>
      <c r="AT46" s="135"/>
      <c r="AU46" s="135"/>
      <c r="AV46" s="135"/>
      <c r="AW46" s="135"/>
      <c r="AX46" s="135"/>
      <c r="AY46" s="135"/>
    </row>
    <row r="47" spans="2:51">
      <c r="B47" s="135">
        <v>4</v>
      </c>
      <c r="C47" s="163"/>
      <c r="D47" s="163"/>
      <c r="E47" s="163"/>
      <c r="F47" s="135"/>
      <c r="G47" s="135"/>
      <c r="H47" s="135"/>
      <c r="I47" s="135"/>
      <c r="J47" s="135"/>
      <c r="K47" s="135"/>
      <c r="L47" s="135"/>
      <c r="M47" s="135"/>
      <c r="N47" s="135"/>
      <c r="O47" s="135"/>
      <c r="P47" s="135"/>
      <c r="Q47" s="135"/>
      <c r="R47" s="135"/>
      <c r="S47" s="135"/>
      <c r="T47" s="135"/>
      <c r="U47" s="135"/>
      <c r="V47" s="135"/>
      <c r="W47" s="135"/>
      <c r="X47" s="135"/>
      <c r="Y47" s="135"/>
      <c r="Z47" s="135"/>
      <c r="AA47" s="135"/>
      <c r="AB47" s="135"/>
      <c r="AC47" s="135"/>
      <c r="AD47" s="135"/>
      <c r="AE47" s="135"/>
      <c r="AF47" s="135"/>
      <c r="AG47" s="135"/>
      <c r="AH47" s="135"/>
      <c r="AI47" s="135"/>
      <c r="AJ47" s="135"/>
      <c r="AK47" s="135"/>
      <c r="AL47" s="135"/>
      <c r="AM47" s="135"/>
      <c r="AN47" s="135"/>
      <c r="AO47" s="135"/>
      <c r="AP47" s="135"/>
      <c r="AQ47" s="135"/>
      <c r="AR47" s="135"/>
      <c r="AS47" s="135"/>
      <c r="AT47" s="135"/>
      <c r="AU47" s="135"/>
      <c r="AV47" s="135"/>
      <c r="AW47" s="135"/>
      <c r="AX47" s="135"/>
      <c r="AY47" s="135"/>
    </row>
    <row r="48" spans="2:51">
      <c r="B48" s="135">
        <v>5</v>
      </c>
      <c r="C48" s="163"/>
      <c r="D48" s="163"/>
      <c r="E48" s="163"/>
      <c r="F48" s="135"/>
      <c r="G48" s="135"/>
      <c r="H48" s="135"/>
      <c r="I48" s="135"/>
      <c r="J48" s="135"/>
      <c r="K48" s="135"/>
      <c r="L48" s="135"/>
      <c r="M48" s="135"/>
      <c r="N48" s="135"/>
      <c r="O48" s="135"/>
      <c r="P48" s="135"/>
      <c r="Q48" s="135"/>
      <c r="R48" s="135"/>
      <c r="S48" s="135"/>
      <c r="T48" s="135"/>
      <c r="U48" s="135"/>
      <c r="V48" s="135"/>
      <c r="W48" s="135"/>
      <c r="X48" s="135"/>
      <c r="Y48" s="135"/>
      <c r="Z48" s="135"/>
      <c r="AA48" s="135"/>
      <c r="AB48" s="135"/>
      <c r="AC48" s="135"/>
      <c r="AD48" s="135"/>
      <c r="AE48" s="135"/>
      <c r="AF48" s="135"/>
      <c r="AG48" s="135"/>
      <c r="AH48" s="135"/>
      <c r="AI48" s="135"/>
      <c r="AJ48" s="135"/>
      <c r="AK48" s="135"/>
      <c r="AL48" s="135"/>
      <c r="AM48" s="135"/>
      <c r="AN48" s="135"/>
      <c r="AO48" s="135"/>
      <c r="AP48" s="135"/>
      <c r="AQ48" s="135"/>
      <c r="AR48" s="135"/>
      <c r="AS48" s="135"/>
      <c r="AT48" s="135"/>
      <c r="AU48" s="135"/>
      <c r="AV48" s="135"/>
      <c r="AW48" s="135"/>
      <c r="AX48" s="135"/>
      <c r="AY48" s="135"/>
    </row>
    <row r="49" spans="2:51">
      <c r="B49" s="135">
        <v>6</v>
      </c>
      <c r="C49" s="163"/>
      <c r="D49" s="163"/>
      <c r="E49" s="163"/>
      <c r="F49" s="135"/>
      <c r="G49" s="135"/>
      <c r="H49" s="135"/>
      <c r="I49" s="135"/>
      <c r="J49" s="135"/>
      <c r="K49" s="135"/>
      <c r="L49" s="135"/>
      <c r="M49" s="135"/>
      <c r="N49" s="135"/>
      <c r="O49" s="135"/>
      <c r="P49" s="135"/>
      <c r="Q49" s="135"/>
      <c r="R49" s="135"/>
      <c r="S49" s="135"/>
      <c r="T49" s="135"/>
      <c r="U49" s="135"/>
      <c r="V49" s="135"/>
      <c r="W49" s="135"/>
      <c r="X49" s="135"/>
      <c r="Y49" s="135"/>
      <c r="Z49" s="135"/>
      <c r="AA49" s="135"/>
      <c r="AB49" s="135"/>
      <c r="AC49" s="135"/>
      <c r="AD49" s="135"/>
      <c r="AE49" s="135"/>
      <c r="AF49" s="135"/>
      <c r="AG49" s="135"/>
      <c r="AH49" s="135"/>
      <c r="AI49" s="135"/>
      <c r="AJ49" s="135"/>
      <c r="AK49" s="135"/>
      <c r="AL49" s="135"/>
      <c r="AM49" s="135"/>
      <c r="AN49" s="135"/>
      <c r="AO49" s="135"/>
      <c r="AP49" s="135"/>
      <c r="AQ49" s="135"/>
      <c r="AR49" s="135"/>
      <c r="AS49" s="135"/>
      <c r="AT49" s="135"/>
      <c r="AU49" s="135"/>
      <c r="AV49" s="135"/>
      <c r="AW49" s="135"/>
      <c r="AX49" s="135"/>
      <c r="AY49" s="135"/>
    </row>
    <row r="50" spans="2:51">
      <c r="B50" s="135">
        <v>7</v>
      </c>
      <c r="C50" s="163"/>
      <c r="D50" s="163"/>
      <c r="E50" s="163"/>
      <c r="F50" s="135"/>
      <c r="G50" s="135"/>
      <c r="H50" s="135"/>
      <c r="I50" s="135"/>
      <c r="J50" s="135"/>
      <c r="K50" s="135"/>
      <c r="L50" s="135"/>
      <c r="M50" s="135"/>
      <c r="N50" s="135"/>
      <c r="O50" s="135"/>
      <c r="P50" s="135"/>
      <c r="Q50" s="135"/>
      <c r="R50" s="135"/>
      <c r="S50" s="135"/>
      <c r="T50" s="135"/>
      <c r="U50" s="135"/>
      <c r="V50" s="135"/>
      <c r="W50" s="135"/>
      <c r="X50" s="135"/>
      <c r="Y50" s="135"/>
      <c r="Z50" s="135"/>
      <c r="AA50" s="135"/>
      <c r="AB50" s="135"/>
      <c r="AC50" s="135"/>
      <c r="AD50" s="135"/>
      <c r="AE50" s="135"/>
      <c r="AF50" s="135"/>
      <c r="AG50" s="135"/>
      <c r="AH50" s="135"/>
      <c r="AI50" s="135"/>
      <c r="AJ50" s="135"/>
      <c r="AK50" s="135"/>
      <c r="AL50" s="135"/>
      <c r="AM50" s="135"/>
      <c r="AN50" s="135"/>
      <c r="AO50" s="135"/>
      <c r="AP50" s="135"/>
      <c r="AQ50" s="135"/>
      <c r="AR50" s="135"/>
      <c r="AS50" s="135"/>
      <c r="AT50" s="135"/>
      <c r="AU50" s="135"/>
      <c r="AV50" s="135"/>
      <c r="AW50" s="135"/>
      <c r="AX50" s="135"/>
      <c r="AY50" s="135"/>
    </row>
    <row r="51" spans="2:51">
      <c r="B51" s="135">
        <v>8</v>
      </c>
      <c r="C51" s="163"/>
      <c r="D51" s="163"/>
      <c r="E51" s="163"/>
      <c r="F51" s="135"/>
      <c r="G51" s="135"/>
      <c r="H51" s="135"/>
      <c r="I51" s="135"/>
      <c r="J51" s="135"/>
      <c r="K51" s="135"/>
      <c r="L51" s="135"/>
      <c r="M51" s="135"/>
      <c r="N51" s="135"/>
      <c r="O51" s="135"/>
      <c r="P51" s="135"/>
      <c r="Q51" s="135"/>
      <c r="R51" s="135"/>
      <c r="S51" s="135"/>
      <c r="T51" s="135"/>
      <c r="U51" s="135"/>
      <c r="V51" s="135"/>
      <c r="W51" s="135"/>
      <c r="X51" s="135"/>
      <c r="Y51" s="135"/>
      <c r="Z51" s="135"/>
      <c r="AA51" s="135"/>
      <c r="AB51" s="135"/>
      <c r="AC51" s="135"/>
      <c r="AD51" s="135"/>
      <c r="AE51" s="135"/>
      <c r="AF51" s="135"/>
      <c r="AG51" s="135"/>
      <c r="AH51" s="135"/>
      <c r="AI51" s="135"/>
      <c r="AJ51" s="135"/>
      <c r="AK51" s="135"/>
      <c r="AL51" s="135"/>
      <c r="AM51" s="135"/>
      <c r="AN51" s="135"/>
      <c r="AO51" s="135"/>
      <c r="AP51" s="135"/>
      <c r="AQ51" s="135"/>
      <c r="AR51" s="135"/>
      <c r="AS51" s="135"/>
      <c r="AT51" s="135"/>
      <c r="AU51" s="135"/>
      <c r="AV51" s="135"/>
      <c r="AW51" s="135"/>
      <c r="AX51" s="135"/>
      <c r="AY51" s="135"/>
    </row>
    <row r="52" spans="2:51">
      <c r="B52" s="135">
        <v>9</v>
      </c>
      <c r="C52" s="163"/>
      <c r="D52" s="163"/>
      <c r="E52" s="163"/>
      <c r="F52" s="135"/>
      <c r="G52" s="135"/>
      <c r="H52" s="135"/>
      <c r="I52" s="135"/>
      <c r="J52" s="135"/>
      <c r="K52" s="135"/>
      <c r="L52" s="135"/>
      <c r="M52" s="135"/>
      <c r="N52" s="135"/>
      <c r="O52" s="135"/>
      <c r="P52" s="135"/>
      <c r="Q52" s="135"/>
      <c r="R52" s="135"/>
      <c r="S52" s="135"/>
      <c r="T52" s="135"/>
      <c r="U52" s="135"/>
      <c r="V52" s="135"/>
      <c r="W52" s="135"/>
      <c r="X52" s="135"/>
      <c r="Y52" s="135"/>
      <c r="Z52" s="135"/>
      <c r="AA52" s="135"/>
      <c r="AB52" s="135"/>
      <c r="AC52" s="135"/>
      <c r="AD52" s="135"/>
      <c r="AE52" s="135"/>
      <c r="AF52" s="135"/>
      <c r="AG52" s="135"/>
      <c r="AH52" s="135"/>
      <c r="AI52" s="135"/>
      <c r="AJ52" s="135"/>
      <c r="AK52" s="135"/>
      <c r="AL52" s="135"/>
      <c r="AM52" s="135"/>
      <c r="AN52" s="135"/>
      <c r="AO52" s="135"/>
      <c r="AP52" s="135"/>
      <c r="AQ52" s="135"/>
      <c r="AR52" s="135"/>
      <c r="AS52" s="135"/>
      <c r="AT52" s="135"/>
      <c r="AU52" s="135"/>
      <c r="AV52" s="135"/>
      <c r="AW52" s="135"/>
      <c r="AX52" s="135"/>
      <c r="AY52" s="135"/>
    </row>
    <row r="53" spans="2:51">
      <c r="B53" s="135">
        <v>10</v>
      </c>
      <c r="C53" s="163"/>
      <c r="D53" s="163"/>
      <c r="E53" s="163"/>
      <c r="F53" s="135"/>
      <c r="G53" s="135"/>
      <c r="H53" s="135"/>
      <c r="I53" s="135"/>
      <c r="J53" s="135"/>
      <c r="K53" s="135"/>
      <c r="L53" s="135"/>
      <c r="M53" s="135"/>
      <c r="N53" s="135"/>
      <c r="O53" s="135"/>
      <c r="P53" s="135"/>
      <c r="Q53" s="135"/>
      <c r="R53" s="135"/>
      <c r="S53" s="135"/>
      <c r="T53" s="135"/>
      <c r="U53" s="135"/>
      <c r="V53" s="135"/>
      <c r="W53" s="135"/>
      <c r="X53" s="135"/>
      <c r="Y53" s="135"/>
      <c r="Z53" s="135"/>
      <c r="AA53" s="135"/>
      <c r="AB53" s="135"/>
      <c r="AC53" s="135"/>
      <c r="AD53" s="135"/>
      <c r="AE53" s="135"/>
      <c r="AF53" s="135"/>
      <c r="AG53" s="135"/>
      <c r="AH53" s="135"/>
      <c r="AI53" s="135"/>
      <c r="AJ53" s="135"/>
      <c r="AK53" s="135"/>
      <c r="AL53" s="135"/>
      <c r="AM53" s="135"/>
      <c r="AN53" s="135"/>
      <c r="AO53" s="135"/>
      <c r="AP53" s="135"/>
      <c r="AQ53" s="135"/>
      <c r="AR53" s="135"/>
      <c r="AS53" s="135"/>
      <c r="AT53" s="135"/>
      <c r="AU53" s="135"/>
      <c r="AV53" s="135"/>
      <c r="AW53" s="135"/>
      <c r="AX53" s="135"/>
      <c r="AY53" s="135"/>
    </row>
    <row r="54" spans="2:51">
      <c r="B54" s="135">
        <v>11</v>
      </c>
      <c r="C54" s="163"/>
      <c r="D54" s="163"/>
      <c r="E54" s="163"/>
      <c r="F54" s="135"/>
      <c r="G54" s="135"/>
      <c r="H54" s="135"/>
      <c r="I54" s="135"/>
      <c r="J54" s="135"/>
      <c r="K54" s="135"/>
      <c r="L54" s="135"/>
      <c r="M54" s="135"/>
      <c r="N54" s="135"/>
      <c r="O54" s="135"/>
      <c r="P54" s="135"/>
      <c r="Q54" s="135"/>
      <c r="R54" s="135"/>
      <c r="S54" s="135"/>
      <c r="T54" s="135"/>
      <c r="U54" s="135"/>
      <c r="V54" s="135"/>
      <c r="W54" s="135"/>
      <c r="X54" s="135"/>
      <c r="Y54" s="135"/>
      <c r="Z54" s="135"/>
      <c r="AA54" s="135"/>
      <c r="AB54" s="135"/>
      <c r="AC54" s="135"/>
      <c r="AD54" s="135"/>
      <c r="AE54" s="135"/>
      <c r="AF54" s="135"/>
      <c r="AG54" s="135"/>
      <c r="AH54" s="135"/>
      <c r="AI54" s="135"/>
      <c r="AJ54" s="135"/>
      <c r="AK54" s="135"/>
      <c r="AL54" s="135"/>
      <c r="AM54" s="135"/>
      <c r="AN54" s="135"/>
      <c r="AO54" s="135"/>
      <c r="AP54" s="135"/>
      <c r="AQ54" s="135"/>
      <c r="AR54" s="135"/>
      <c r="AS54" s="135"/>
      <c r="AT54" s="135"/>
      <c r="AU54" s="135"/>
      <c r="AV54" s="135"/>
      <c r="AW54" s="135"/>
      <c r="AX54" s="135"/>
      <c r="AY54" s="135"/>
    </row>
    <row r="55" spans="2:51">
      <c r="B55" s="135">
        <v>12</v>
      </c>
      <c r="C55" s="163"/>
      <c r="D55" s="163"/>
      <c r="E55" s="163"/>
      <c r="F55" s="135"/>
      <c r="G55" s="135"/>
      <c r="H55" s="135"/>
      <c r="I55" s="135"/>
      <c r="J55" s="135"/>
      <c r="K55" s="135"/>
      <c r="L55" s="135"/>
      <c r="M55" s="135"/>
      <c r="N55" s="135"/>
      <c r="O55" s="135"/>
      <c r="P55" s="135"/>
      <c r="Q55" s="135"/>
      <c r="R55" s="135"/>
      <c r="S55" s="135"/>
      <c r="T55" s="135"/>
      <c r="U55" s="135"/>
      <c r="V55" s="135"/>
      <c r="W55" s="135"/>
      <c r="X55" s="135"/>
      <c r="Y55" s="135"/>
      <c r="Z55" s="135"/>
      <c r="AA55" s="135"/>
      <c r="AB55" s="135"/>
      <c r="AC55" s="135"/>
      <c r="AD55" s="135"/>
      <c r="AE55" s="135"/>
      <c r="AF55" s="135"/>
      <c r="AG55" s="135"/>
      <c r="AH55" s="135"/>
      <c r="AI55" s="135"/>
      <c r="AJ55" s="135"/>
      <c r="AK55" s="135"/>
      <c r="AL55" s="135"/>
      <c r="AM55" s="135"/>
      <c r="AN55" s="135"/>
      <c r="AO55" s="135"/>
      <c r="AP55" s="135"/>
      <c r="AQ55" s="135"/>
      <c r="AR55" s="135"/>
      <c r="AS55" s="135"/>
      <c r="AT55" s="135"/>
      <c r="AU55" s="135"/>
      <c r="AV55" s="135"/>
      <c r="AW55" s="135"/>
      <c r="AX55" s="135"/>
      <c r="AY55" s="135"/>
    </row>
    <row r="56" spans="2:51">
      <c r="B56" s="135">
        <v>13</v>
      </c>
      <c r="C56" s="163"/>
      <c r="D56" s="163"/>
      <c r="E56" s="163"/>
      <c r="F56" s="135"/>
      <c r="G56" s="135"/>
      <c r="H56" s="135"/>
      <c r="I56" s="135"/>
      <c r="J56" s="135"/>
      <c r="K56" s="135"/>
      <c r="L56" s="135"/>
      <c r="M56" s="135"/>
      <c r="N56" s="135"/>
      <c r="O56" s="135"/>
      <c r="P56" s="135"/>
      <c r="Q56" s="135"/>
      <c r="R56" s="135"/>
      <c r="S56" s="135"/>
      <c r="T56" s="135"/>
      <c r="U56" s="135"/>
      <c r="V56" s="135"/>
      <c r="W56" s="135"/>
      <c r="X56" s="135"/>
      <c r="Y56" s="135"/>
      <c r="Z56" s="135"/>
      <c r="AA56" s="135"/>
      <c r="AB56" s="135"/>
      <c r="AC56" s="135"/>
      <c r="AD56" s="135"/>
      <c r="AE56" s="135"/>
      <c r="AF56" s="135"/>
      <c r="AG56" s="135"/>
      <c r="AH56" s="135"/>
      <c r="AI56" s="135"/>
      <c r="AJ56" s="135"/>
      <c r="AK56" s="135"/>
      <c r="AL56" s="135"/>
      <c r="AM56" s="135"/>
      <c r="AN56" s="135"/>
      <c r="AO56" s="135"/>
      <c r="AP56" s="135"/>
      <c r="AQ56" s="135"/>
      <c r="AR56" s="135"/>
      <c r="AS56" s="135"/>
      <c r="AT56" s="135"/>
      <c r="AU56" s="135"/>
      <c r="AV56" s="135"/>
      <c r="AW56" s="135"/>
      <c r="AX56" s="135"/>
      <c r="AY56" s="135"/>
    </row>
    <row r="57" spans="2:51">
      <c r="B57" s="135">
        <v>14</v>
      </c>
      <c r="C57" s="163"/>
      <c r="D57" s="163"/>
      <c r="E57" s="163"/>
      <c r="F57" s="135"/>
      <c r="G57" s="135"/>
      <c r="H57" s="135"/>
      <c r="I57" s="135"/>
      <c r="J57" s="135"/>
      <c r="K57" s="135"/>
      <c r="L57" s="135"/>
      <c r="M57" s="135"/>
      <c r="N57" s="135"/>
      <c r="O57" s="135"/>
      <c r="P57" s="135"/>
      <c r="Q57" s="135"/>
      <c r="R57" s="135"/>
      <c r="S57" s="135"/>
      <c r="T57" s="135"/>
      <c r="U57" s="135"/>
      <c r="V57" s="135"/>
      <c r="W57" s="135"/>
      <c r="X57" s="135"/>
      <c r="Y57" s="135"/>
      <c r="Z57" s="135"/>
      <c r="AA57" s="135"/>
      <c r="AB57" s="135"/>
      <c r="AC57" s="135"/>
      <c r="AD57" s="135"/>
      <c r="AE57" s="135"/>
      <c r="AF57" s="135"/>
      <c r="AG57" s="135"/>
      <c r="AH57" s="135"/>
      <c r="AI57" s="135"/>
      <c r="AJ57" s="135"/>
      <c r="AK57" s="135"/>
      <c r="AL57" s="135"/>
      <c r="AM57" s="135"/>
      <c r="AN57" s="135"/>
      <c r="AO57" s="135"/>
      <c r="AP57" s="135"/>
      <c r="AQ57" s="135"/>
      <c r="AR57" s="135"/>
      <c r="AS57" s="135"/>
      <c r="AT57" s="135"/>
      <c r="AU57" s="135"/>
      <c r="AV57" s="135"/>
      <c r="AW57" s="135"/>
      <c r="AX57" s="135"/>
      <c r="AY57" s="135"/>
    </row>
    <row r="58" spans="2:51">
      <c r="B58" s="135">
        <v>15</v>
      </c>
      <c r="C58" s="163"/>
      <c r="D58" s="163"/>
      <c r="E58" s="163"/>
      <c r="F58" s="135"/>
      <c r="G58" s="135"/>
      <c r="H58" s="135"/>
      <c r="I58" s="135"/>
      <c r="J58" s="135"/>
      <c r="K58" s="135"/>
      <c r="L58" s="135"/>
      <c r="M58" s="135"/>
      <c r="N58" s="135"/>
      <c r="O58" s="135"/>
      <c r="P58" s="135"/>
      <c r="Q58" s="135"/>
      <c r="R58" s="135"/>
      <c r="S58" s="135"/>
      <c r="T58" s="135"/>
      <c r="U58" s="135"/>
      <c r="V58" s="135"/>
      <c r="W58" s="135"/>
      <c r="X58" s="135"/>
      <c r="Y58" s="135"/>
      <c r="Z58" s="135"/>
      <c r="AA58" s="135"/>
      <c r="AB58" s="135"/>
      <c r="AC58" s="135"/>
      <c r="AD58" s="135"/>
      <c r="AE58" s="135"/>
      <c r="AF58" s="135"/>
      <c r="AG58" s="135"/>
      <c r="AH58" s="135"/>
      <c r="AI58" s="135"/>
      <c r="AJ58" s="135"/>
      <c r="AK58" s="135"/>
      <c r="AL58" s="135"/>
      <c r="AM58" s="135"/>
      <c r="AN58" s="135"/>
      <c r="AO58" s="135"/>
      <c r="AP58" s="135"/>
      <c r="AQ58" s="135"/>
      <c r="AR58" s="135"/>
      <c r="AS58" s="135"/>
      <c r="AT58" s="135"/>
      <c r="AU58" s="135"/>
      <c r="AV58" s="135"/>
      <c r="AW58" s="135"/>
      <c r="AX58" s="135"/>
      <c r="AY58" s="135"/>
    </row>
    <row r="59" spans="2:51">
      <c r="B59" s="135">
        <v>16</v>
      </c>
      <c r="C59" s="163"/>
      <c r="D59" s="163"/>
      <c r="E59" s="163"/>
      <c r="F59" s="135"/>
      <c r="G59" s="135"/>
      <c r="H59" s="135"/>
      <c r="I59" s="135"/>
      <c r="J59" s="135"/>
      <c r="K59" s="135"/>
      <c r="L59" s="135"/>
      <c r="M59" s="135"/>
      <c r="N59" s="135"/>
      <c r="O59" s="135"/>
      <c r="P59" s="135"/>
      <c r="Q59" s="135"/>
      <c r="R59" s="135"/>
      <c r="S59" s="135"/>
      <c r="T59" s="135"/>
      <c r="U59" s="135"/>
      <c r="V59" s="135"/>
      <c r="W59" s="135"/>
      <c r="X59" s="135"/>
      <c r="Y59" s="135"/>
      <c r="Z59" s="135"/>
      <c r="AA59" s="135"/>
      <c r="AB59" s="135"/>
      <c r="AC59" s="135"/>
      <c r="AD59" s="135"/>
      <c r="AE59" s="135"/>
      <c r="AF59" s="135"/>
      <c r="AG59" s="135"/>
      <c r="AH59" s="135"/>
      <c r="AI59" s="135"/>
      <c r="AJ59" s="135"/>
      <c r="AK59" s="135"/>
      <c r="AL59" s="135"/>
      <c r="AM59" s="135"/>
      <c r="AN59" s="135"/>
      <c r="AO59" s="135"/>
      <c r="AP59" s="135"/>
      <c r="AQ59" s="135"/>
      <c r="AR59" s="135"/>
      <c r="AS59" s="135"/>
      <c r="AT59" s="135"/>
      <c r="AU59" s="135"/>
      <c r="AV59" s="135"/>
      <c r="AW59" s="135"/>
      <c r="AX59" s="135"/>
      <c r="AY59" s="135"/>
    </row>
    <row r="60" spans="2:51">
      <c r="B60" s="135">
        <v>17</v>
      </c>
      <c r="C60" s="163"/>
      <c r="D60" s="163"/>
      <c r="E60" s="163"/>
      <c r="F60" s="135"/>
      <c r="G60" s="135"/>
      <c r="H60" s="135"/>
      <c r="I60" s="135"/>
      <c r="J60" s="135"/>
      <c r="K60" s="135"/>
      <c r="L60" s="135"/>
      <c r="M60" s="135"/>
      <c r="N60" s="135"/>
      <c r="O60" s="135"/>
      <c r="P60" s="135"/>
      <c r="Q60" s="135"/>
      <c r="R60" s="135"/>
      <c r="S60" s="135"/>
      <c r="T60" s="135"/>
      <c r="U60" s="135"/>
      <c r="V60" s="135"/>
      <c r="W60" s="135"/>
      <c r="X60" s="135"/>
      <c r="Y60" s="135"/>
      <c r="Z60" s="135"/>
      <c r="AA60" s="135"/>
      <c r="AB60" s="135"/>
      <c r="AC60" s="135"/>
      <c r="AD60" s="135"/>
      <c r="AE60" s="135"/>
      <c r="AF60" s="135"/>
      <c r="AG60" s="135"/>
      <c r="AH60" s="135"/>
      <c r="AI60" s="135"/>
      <c r="AJ60" s="135"/>
      <c r="AK60" s="135"/>
      <c r="AL60" s="135"/>
      <c r="AM60" s="135"/>
      <c r="AN60" s="135"/>
      <c r="AO60" s="135"/>
      <c r="AP60" s="135"/>
      <c r="AQ60" s="135"/>
      <c r="AR60" s="135"/>
      <c r="AS60" s="135"/>
      <c r="AT60" s="135"/>
      <c r="AU60" s="135"/>
      <c r="AV60" s="135"/>
      <c r="AW60" s="135"/>
      <c r="AX60" s="135"/>
      <c r="AY60" s="135"/>
    </row>
    <row r="61" spans="2:51">
      <c r="B61" s="135">
        <v>18</v>
      </c>
      <c r="C61" s="163"/>
      <c r="D61" s="163"/>
      <c r="E61" s="163"/>
      <c r="F61" s="135"/>
      <c r="G61" s="135"/>
      <c r="H61" s="135"/>
      <c r="I61" s="135"/>
      <c r="J61" s="135"/>
      <c r="K61" s="135"/>
      <c r="L61" s="135"/>
      <c r="M61" s="135"/>
      <c r="N61" s="135"/>
      <c r="O61" s="135"/>
      <c r="P61" s="135"/>
      <c r="Q61" s="135"/>
      <c r="R61" s="135"/>
      <c r="S61" s="135"/>
      <c r="T61" s="135"/>
      <c r="U61" s="135"/>
      <c r="V61" s="135"/>
      <c r="W61" s="135"/>
      <c r="X61" s="135"/>
      <c r="Y61" s="135"/>
      <c r="Z61" s="135"/>
      <c r="AA61" s="135"/>
      <c r="AB61" s="135"/>
      <c r="AC61" s="135"/>
      <c r="AD61" s="135"/>
      <c r="AE61" s="135"/>
      <c r="AF61" s="135"/>
      <c r="AG61" s="135"/>
      <c r="AH61" s="135"/>
      <c r="AI61" s="135"/>
      <c r="AJ61" s="135"/>
      <c r="AK61" s="135"/>
      <c r="AL61" s="135"/>
      <c r="AM61" s="135"/>
      <c r="AN61" s="135"/>
      <c r="AO61" s="135"/>
      <c r="AP61" s="135"/>
      <c r="AQ61" s="135"/>
      <c r="AR61" s="135"/>
      <c r="AS61" s="135"/>
      <c r="AT61" s="135"/>
      <c r="AU61" s="135"/>
      <c r="AV61" s="135"/>
      <c r="AW61" s="135"/>
      <c r="AX61" s="135"/>
      <c r="AY61" s="135"/>
    </row>
    <row r="62" spans="2:51">
      <c r="B62" s="135">
        <v>19</v>
      </c>
      <c r="C62" s="163"/>
      <c r="D62" s="163"/>
      <c r="E62" s="163"/>
      <c r="F62" s="135"/>
      <c r="G62" s="135"/>
      <c r="H62" s="135"/>
      <c r="I62" s="135"/>
      <c r="J62" s="135"/>
      <c r="K62" s="135"/>
      <c r="L62" s="135"/>
      <c r="M62" s="135"/>
      <c r="N62" s="135"/>
      <c r="O62" s="135"/>
      <c r="P62" s="135"/>
      <c r="Q62" s="135"/>
      <c r="R62" s="135"/>
      <c r="S62" s="135"/>
      <c r="T62" s="135"/>
      <c r="U62" s="135"/>
      <c r="V62" s="135"/>
      <c r="W62" s="135"/>
      <c r="X62" s="135"/>
      <c r="Y62" s="135"/>
      <c r="Z62" s="135"/>
      <c r="AA62" s="135"/>
      <c r="AB62" s="135"/>
      <c r="AC62" s="135"/>
      <c r="AD62" s="135"/>
      <c r="AE62" s="135"/>
      <c r="AF62" s="135"/>
      <c r="AG62" s="135"/>
      <c r="AH62" s="135"/>
      <c r="AI62" s="135"/>
      <c r="AJ62" s="135"/>
      <c r="AK62" s="135"/>
      <c r="AL62" s="135"/>
      <c r="AM62" s="135"/>
      <c r="AN62" s="135"/>
      <c r="AO62" s="135"/>
      <c r="AP62" s="135"/>
      <c r="AQ62" s="135"/>
      <c r="AR62" s="135"/>
      <c r="AS62" s="135"/>
      <c r="AT62" s="135"/>
      <c r="AU62" s="135"/>
      <c r="AV62" s="135"/>
      <c r="AW62" s="135"/>
      <c r="AX62" s="135"/>
      <c r="AY62" s="135"/>
    </row>
    <row r="63" spans="2:51">
      <c r="B63" s="135">
        <v>20</v>
      </c>
      <c r="C63" s="163"/>
      <c r="D63" s="163"/>
      <c r="E63" s="163"/>
      <c r="F63" s="135"/>
      <c r="G63" s="135"/>
      <c r="H63" s="135"/>
      <c r="I63" s="135"/>
      <c r="J63" s="135"/>
      <c r="K63" s="135"/>
      <c r="L63" s="135"/>
      <c r="M63" s="135"/>
      <c r="N63" s="135"/>
      <c r="O63" s="135"/>
      <c r="P63" s="135"/>
      <c r="Q63" s="135"/>
      <c r="R63" s="135"/>
      <c r="S63" s="135"/>
      <c r="T63" s="135"/>
      <c r="U63" s="135"/>
      <c r="V63" s="135"/>
      <c r="W63" s="135"/>
      <c r="X63" s="135"/>
      <c r="Y63" s="135"/>
      <c r="Z63" s="135"/>
      <c r="AA63" s="135"/>
      <c r="AB63" s="135"/>
      <c r="AC63" s="135"/>
      <c r="AD63" s="135"/>
      <c r="AE63" s="135"/>
      <c r="AF63" s="135"/>
      <c r="AG63" s="135"/>
      <c r="AH63" s="135"/>
      <c r="AI63" s="135"/>
      <c r="AJ63" s="135"/>
      <c r="AK63" s="135"/>
      <c r="AL63" s="135"/>
      <c r="AM63" s="135"/>
      <c r="AN63" s="135"/>
      <c r="AO63" s="135"/>
      <c r="AP63" s="135"/>
      <c r="AQ63" s="135"/>
      <c r="AR63" s="135"/>
      <c r="AS63" s="135"/>
      <c r="AT63" s="135"/>
      <c r="AU63" s="135"/>
      <c r="AV63" s="135"/>
      <c r="AW63" s="135"/>
      <c r="AX63" s="135"/>
      <c r="AY63" s="135"/>
    </row>
    <row r="64" spans="2:51">
      <c r="B64" s="135">
        <v>21</v>
      </c>
      <c r="C64" s="163"/>
      <c r="D64" s="163"/>
      <c r="E64" s="163"/>
      <c r="F64" s="135"/>
      <c r="G64" s="135"/>
      <c r="H64" s="135"/>
      <c r="I64" s="135"/>
      <c r="J64" s="135"/>
      <c r="K64" s="135"/>
      <c r="L64" s="135"/>
      <c r="M64" s="135"/>
      <c r="N64" s="135"/>
      <c r="O64" s="135"/>
      <c r="P64" s="135"/>
      <c r="Q64" s="135"/>
      <c r="R64" s="135"/>
      <c r="S64" s="135"/>
      <c r="T64" s="135"/>
      <c r="U64" s="135"/>
      <c r="V64" s="135"/>
      <c r="W64" s="135"/>
      <c r="X64" s="135"/>
      <c r="Y64" s="135"/>
      <c r="Z64" s="135"/>
      <c r="AA64" s="135"/>
      <c r="AB64" s="135"/>
      <c r="AC64" s="135"/>
      <c r="AD64" s="135"/>
      <c r="AE64" s="135"/>
      <c r="AF64" s="135"/>
      <c r="AG64" s="135"/>
      <c r="AH64" s="135"/>
      <c r="AI64" s="135"/>
      <c r="AJ64" s="135"/>
      <c r="AK64" s="135"/>
      <c r="AL64" s="135"/>
      <c r="AM64" s="135"/>
      <c r="AN64" s="135"/>
      <c r="AO64" s="135"/>
      <c r="AP64" s="135"/>
      <c r="AQ64" s="135"/>
      <c r="AR64" s="135"/>
      <c r="AS64" s="135"/>
      <c r="AT64" s="135"/>
      <c r="AU64" s="135"/>
      <c r="AV64" s="135"/>
      <c r="AW64" s="135"/>
      <c r="AX64" s="135"/>
      <c r="AY64" s="135"/>
    </row>
    <row r="65" spans="2:51">
      <c r="B65" s="135">
        <v>22</v>
      </c>
      <c r="C65" s="163"/>
      <c r="D65" s="163"/>
      <c r="E65" s="163"/>
      <c r="F65" s="135"/>
      <c r="G65" s="135"/>
      <c r="H65" s="135"/>
      <c r="I65" s="135"/>
      <c r="J65" s="135"/>
      <c r="K65" s="135"/>
      <c r="L65" s="135"/>
      <c r="M65" s="135"/>
      <c r="N65" s="135"/>
      <c r="O65" s="135"/>
      <c r="P65" s="135"/>
      <c r="Q65" s="135"/>
      <c r="R65" s="135"/>
      <c r="S65" s="135"/>
      <c r="T65" s="135"/>
      <c r="U65" s="135"/>
      <c r="V65" s="135"/>
      <c r="W65" s="135"/>
      <c r="X65" s="135"/>
      <c r="Y65" s="135"/>
      <c r="Z65" s="135"/>
      <c r="AA65" s="135"/>
      <c r="AB65" s="135"/>
      <c r="AC65" s="135"/>
      <c r="AD65" s="135"/>
      <c r="AE65" s="135"/>
      <c r="AF65" s="135"/>
      <c r="AG65" s="135"/>
      <c r="AH65" s="135"/>
      <c r="AI65" s="135"/>
      <c r="AJ65" s="135"/>
      <c r="AK65" s="135"/>
      <c r="AL65" s="135"/>
      <c r="AM65" s="135"/>
      <c r="AN65" s="135"/>
      <c r="AO65" s="135"/>
      <c r="AP65" s="135"/>
      <c r="AQ65" s="135"/>
      <c r="AR65" s="135"/>
      <c r="AS65" s="135"/>
      <c r="AT65" s="135"/>
      <c r="AU65" s="135"/>
      <c r="AV65" s="135"/>
      <c r="AW65" s="135"/>
      <c r="AX65" s="135"/>
      <c r="AY65" s="135"/>
    </row>
    <row r="66" spans="2:51">
      <c r="B66" s="135">
        <v>23</v>
      </c>
      <c r="C66" s="163"/>
      <c r="D66" s="163"/>
      <c r="E66" s="163"/>
      <c r="F66" s="135"/>
      <c r="G66" s="135"/>
      <c r="H66" s="135"/>
      <c r="I66" s="135"/>
      <c r="J66" s="135"/>
      <c r="K66" s="135"/>
      <c r="L66" s="135"/>
      <c r="M66" s="135"/>
      <c r="N66" s="135"/>
      <c r="O66" s="135"/>
      <c r="P66" s="135"/>
      <c r="Q66" s="135"/>
      <c r="R66" s="135"/>
      <c r="S66" s="135"/>
      <c r="T66" s="135"/>
      <c r="U66" s="135"/>
      <c r="V66" s="135"/>
      <c r="W66" s="135"/>
      <c r="X66" s="135"/>
      <c r="Y66" s="135"/>
      <c r="Z66" s="135"/>
      <c r="AA66" s="135"/>
      <c r="AB66" s="135"/>
      <c r="AC66" s="135"/>
      <c r="AD66" s="135"/>
      <c r="AE66" s="135"/>
      <c r="AF66" s="135"/>
      <c r="AG66" s="135"/>
      <c r="AH66" s="135"/>
      <c r="AI66" s="135"/>
      <c r="AJ66" s="135"/>
      <c r="AK66" s="135"/>
      <c r="AL66" s="135"/>
      <c r="AM66" s="135"/>
      <c r="AN66" s="135"/>
      <c r="AO66" s="135"/>
      <c r="AP66" s="135"/>
      <c r="AQ66" s="135"/>
      <c r="AR66" s="135"/>
      <c r="AS66" s="135"/>
      <c r="AT66" s="135"/>
      <c r="AU66" s="135"/>
      <c r="AV66" s="135"/>
      <c r="AW66" s="135"/>
      <c r="AX66" s="135"/>
      <c r="AY66" s="135"/>
    </row>
    <row r="67" spans="2:51">
      <c r="B67" s="135">
        <v>24</v>
      </c>
      <c r="C67" s="163"/>
      <c r="D67" s="163"/>
      <c r="E67" s="163"/>
      <c r="F67" s="135"/>
      <c r="G67" s="135"/>
      <c r="H67" s="135"/>
      <c r="I67" s="135"/>
      <c r="J67" s="135"/>
      <c r="K67" s="135"/>
      <c r="L67" s="135"/>
      <c r="M67" s="135"/>
      <c r="N67" s="135"/>
      <c r="O67" s="135"/>
      <c r="P67" s="135"/>
      <c r="Q67" s="135"/>
      <c r="R67" s="135"/>
      <c r="S67" s="135"/>
      <c r="T67" s="135"/>
      <c r="U67" s="135"/>
      <c r="V67" s="135"/>
      <c r="W67" s="135"/>
      <c r="X67" s="135"/>
      <c r="Y67" s="135"/>
      <c r="Z67" s="135"/>
      <c r="AA67" s="135"/>
      <c r="AB67" s="135"/>
      <c r="AC67" s="135"/>
      <c r="AD67" s="135"/>
      <c r="AE67" s="135"/>
      <c r="AF67" s="135"/>
      <c r="AG67" s="135"/>
      <c r="AH67" s="135"/>
      <c r="AI67" s="135"/>
      <c r="AJ67" s="135"/>
      <c r="AK67" s="135"/>
      <c r="AL67" s="135"/>
      <c r="AM67" s="135"/>
      <c r="AN67" s="135"/>
      <c r="AO67" s="135"/>
      <c r="AP67" s="135"/>
      <c r="AQ67" s="135"/>
      <c r="AR67" s="135"/>
      <c r="AS67" s="135"/>
      <c r="AT67" s="135"/>
      <c r="AU67" s="135"/>
      <c r="AV67" s="135"/>
      <c r="AW67" s="135"/>
      <c r="AX67" s="135"/>
      <c r="AY67" s="135"/>
    </row>
    <row r="68" spans="2:51">
      <c r="B68" s="135">
        <v>25</v>
      </c>
      <c r="C68" s="163"/>
      <c r="D68" s="163"/>
      <c r="E68" s="163"/>
      <c r="F68" s="135"/>
      <c r="G68" s="135"/>
      <c r="H68" s="135"/>
      <c r="I68" s="135"/>
      <c r="J68" s="135"/>
      <c r="K68" s="135"/>
      <c r="L68" s="135"/>
      <c r="M68" s="135"/>
      <c r="N68" s="135"/>
      <c r="O68" s="135"/>
      <c r="P68" s="135"/>
      <c r="Q68" s="135"/>
      <c r="R68" s="135"/>
      <c r="S68" s="135"/>
      <c r="T68" s="135"/>
      <c r="U68" s="135"/>
      <c r="V68" s="135"/>
      <c r="W68" s="135"/>
      <c r="X68" s="135"/>
      <c r="Y68" s="135"/>
      <c r="Z68" s="135"/>
      <c r="AA68" s="135"/>
      <c r="AB68" s="135"/>
      <c r="AC68" s="135"/>
      <c r="AD68" s="135"/>
      <c r="AE68" s="135"/>
      <c r="AF68" s="135"/>
      <c r="AG68" s="135"/>
      <c r="AH68" s="135"/>
      <c r="AI68" s="135"/>
      <c r="AJ68" s="135"/>
      <c r="AK68" s="135"/>
      <c r="AL68" s="135"/>
      <c r="AM68" s="135"/>
      <c r="AN68" s="135"/>
      <c r="AO68" s="135"/>
      <c r="AP68" s="135"/>
      <c r="AQ68" s="135"/>
      <c r="AR68" s="135"/>
      <c r="AS68" s="135"/>
      <c r="AT68" s="135"/>
      <c r="AU68" s="135"/>
      <c r="AV68" s="135"/>
      <c r="AW68" s="135"/>
      <c r="AX68" s="135"/>
      <c r="AY68" s="135"/>
    </row>
    <row r="69" spans="2:51">
      <c r="B69" s="135">
        <v>26</v>
      </c>
      <c r="C69" s="163"/>
      <c r="D69" s="163"/>
      <c r="E69" s="163"/>
      <c r="F69" s="135"/>
      <c r="G69" s="135"/>
      <c r="H69" s="135"/>
      <c r="I69" s="135"/>
      <c r="J69" s="135"/>
      <c r="K69" s="135"/>
      <c r="L69" s="135"/>
      <c r="M69" s="135"/>
      <c r="N69" s="135"/>
      <c r="O69" s="135"/>
      <c r="P69" s="135"/>
      <c r="Q69" s="135"/>
      <c r="R69" s="135"/>
      <c r="S69" s="135"/>
      <c r="T69" s="135"/>
      <c r="U69" s="135"/>
      <c r="V69" s="135"/>
      <c r="W69" s="135"/>
      <c r="X69" s="135"/>
      <c r="Y69" s="135"/>
      <c r="Z69" s="135"/>
      <c r="AA69" s="135"/>
      <c r="AB69" s="135"/>
      <c r="AC69" s="135"/>
      <c r="AD69" s="135"/>
      <c r="AE69" s="135"/>
      <c r="AF69" s="135"/>
      <c r="AG69" s="135"/>
      <c r="AH69" s="135"/>
      <c r="AI69" s="135"/>
      <c r="AJ69" s="135"/>
      <c r="AK69" s="135"/>
      <c r="AL69" s="135"/>
      <c r="AM69" s="135"/>
      <c r="AN69" s="135"/>
      <c r="AO69" s="135"/>
      <c r="AP69" s="135"/>
      <c r="AQ69" s="135"/>
      <c r="AR69" s="135"/>
      <c r="AS69" s="135"/>
      <c r="AT69" s="135"/>
      <c r="AU69" s="135"/>
      <c r="AV69" s="135"/>
      <c r="AW69" s="135"/>
      <c r="AX69" s="135"/>
      <c r="AY69" s="135"/>
    </row>
    <row r="70" spans="2:51">
      <c r="B70" s="135">
        <v>27</v>
      </c>
      <c r="C70" s="163"/>
      <c r="D70" s="163"/>
      <c r="E70" s="163"/>
      <c r="F70" s="135"/>
      <c r="G70" s="135"/>
      <c r="H70" s="135"/>
      <c r="I70" s="135"/>
      <c r="J70" s="135"/>
      <c r="K70" s="135"/>
      <c r="L70" s="135"/>
      <c r="M70" s="135"/>
      <c r="N70" s="135"/>
      <c r="O70" s="135"/>
      <c r="P70" s="135"/>
      <c r="Q70" s="135"/>
      <c r="R70" s="135"/>
      <c r="S70" s="135"/>
      <c r="T70" s="135"/>
      <c r="U70" s="135"/>
      <c r="V70" s="135"/>
      <c r="W70" s="135"/>
      <c r="X70" s="135"/>
      <c r="Y70" s="135"/>
      <c r="Z70" s="135"/>
      <c r="AA70" s="135"/>
      <c r="AB70" s="135"/>
      <c r="AC70" s="135"/>
      <c r="AD70" s="135"/>
      <c r="AE70" s="135"/>
      <c r="AF70" s="135"/>
      <c r="AG70" s="135"/>
      <c r="AH70" s="135"/>
      <c r="AI70" s="135"/>
      <c r="AJ70" s="135"/>
      <c r="AK70" s="135"/>
      <c r="AL70" s="135"/>
      <c r="AM70" s="135"/>
      <c r="AN70" s="135"/>
      <c r="AO70" s="135"/>
      <c r="AP70" s="135"/>
      <c r="AQ70" s="135"/>
      <c r="AR70" s="135"/>
      <c r="AS70" s="135"/>
      <c r="AT70" s="135"/>
      <c r="AU70" s="135"/>
      <c r="AV70" s="135"/>
      <c r="AW70" s="135"/>
      <c r="AX70" s="135"/>
      <c r="AY70" s="135"/>
    </row>
    <row r="71" spans="2:51">
      <c r="B71" s="135">
        <v>28</v>
      </c>
      <c r="C71" s="163"/>
      <c r="D71" s="163"/>
      <c r="E71" s="163"/>
      <c r="F71" s="135"/>
      <c r="G71" s="135"/>
      <c r="H71" s="135"/>
      <c r="I71" s="135"/>
      <c r="J71" s="135"/>
      <c r="K71" s="135"/>
      <c r="L71" s="135"/>
      <c r="M71" s="135"/>
      <c r="N71" s="135"/>
      <c r="O71" s="135"/>
      <c r="P71" s="135"/>
      <c r="Q71" s="135"/>
      <c r="R71" s="135"/>
      <c r="S71" s="135"/>
      <c r="T71" s="135"/>
      <c r="U71" s="135"/>
      <c r="V71" s="135"/>
      <c r="W71" s="135"/>
      <c r="X71" s="135"/>
      <c r="Y71" s="135"/>
      <c r="Z71" s="135"/>
      <c r="AA71" s="135"/>
      <c r="AB71" s="135"/>
      <c r="AC71" s="135"/>
      <c r="AD71" s="135"/>
      <c r="AE71" s="135"/>
      <c r="AF71" s="135"/>
      <c r="AG71" s="135"/>
      <c r="AH71" s="135"/>
      <c r="AI71" s="135"/>
      <c r="AJ71" s="135"/>
      <c r="AK71" s="135"/>
      <c r="AL71" s="135"/>
      <c r="AM71" s="135"/>
      <c r="AN71" s="135"/>
      <c r="AO71" s="135"/>
      <c r="AP71" s="135"/>
      <c r="AQ71" s="135"/>
      <c r="AR71" s="135"/>
      <c r="AS71" s="135"/>
      <c r="AT71" s="135"/>
      <c r="AU71" s="135"/>
      <c r="AV71" s="135"/>
      <c r="AW71" s="135"/>
      <c r="AX71" s="135"/>
      <c r="AY71" s="135"/>
    </row>
    <row r="72" spans="2:51">
      <c r="B72" s="135">
        <v>29</v>
      </c>
      <c r="C72" s="163"/>
      <c r="D72" s="163"/>
      <c r="E72" s="163"/>
      <c r="F72" s="135"/>
      <c r="G72" s="135"/>
      <c r="H72" s="135"/>
      <c r="I72" s="135"/>
      <c r="J72" s="135"/>
      <c r="K72" s="135"/>
      <c r="L72" s="135"/>
      <c r="M72" s="135"/>
      <c r="N72" s="135"/>
      <c r="O72" s="135"/>
      <c r="P72" s="135"/>
      <c r="Q72" s="135"/>
      <c r="R72" s="135"/>
      <c r="S72" s="135"/>
      <c r="T72" s="135"/>
      <c r="U72" s="135"/>
      <c r="V72" s="135"/>
      <c r="W72" s="135"/>
      <c r="X72" s="135"/>
      <c r="Y72" s="135"/>
      <c r="Z72" s="135"/>
      <c r="AA72" s="135"/>
      <c r="AB72" s="135"/>
      <c r="AC72" s="135"/>
      <c r="AD72" s="135"/>
      <c r="AE72" s="135"/>
      <c r="AF72" s="135"/>
      <c r="AG72" s="135"/>
      <c r="AH72" s="135"/>
      <c r="AI72" s="135"/>
      <c r="AJ72" s="135"/>
      <c r="AK72" s="135"/>
      <c r="AL72" s="135"/>
      <c r="AM72" s="135"/>
      <c r="AN72" s="135"/>
      <c r="AO72" s="135"/>
      <c r="AP72" s="135"/>
      <c r="AQ72" s="135"/>
      <c r="AR72" s="135"/>
      <c r="AS72" s="135"/>
      <c r="AT72" s="135"/>
      <c r="AU72" s="135"/>
      <c r="AV72" s="135"/>
      <c r="AW72" s="135"/>
      <c r="AX72" s="135"/>
      <c r="AY72" s="135"/>
    </row>
    <row r="73" spans="2:51">
      <c r="B73" s="135">
        <v>30</v>
      </c>
      <c r="C73" s="163"/>
      <c r="D73" s="163"/>
      <c r="E73" s="163"/>
      <c r="F73" s="135"/>
      <c r="G73" s="135"/>
      <c r="H73" s="135"/>
      <c r="I73" s="135"/>
      <c r="J73" s="135"/>
      <c r="K73" s="135"/>
      <c r="L73" s="135"/>
      <c r="M73" s="135"/>
      <c r="N73" s="135"/>
      <c r="O73" s="135"/>
      <c r="P73" s="135"/>
      <c r="Q73" s="135"/>
      <c r="R73" s="135"/>
      <c r="S73" s="135"/>
      <c r="T73" s="135"/>
      <c r="U73" s="135"/>
      <c r="V73" s="135"/>
      <c r="W73" s="135"/>
      <c r="X73" s="135"/>
      <c r="Y73" s="135"/>
      <c r="Z73" s="135"/>
      <c r="AA73" s="135"/>
      <c r="AB73" s="135"/>
      <c r="AC73" s="135"/>
      <c r="AD73" s="135"/>
      <c r="AE73" s="135"/>
      <c r="AF73" s="135"/>
      <c r="AG73" s="135"/>
      <c r="AH73" s="135"/>
      <c r="AI73" s="135"/>
      <c r="AJ73" s="135"/>
      <c r="AK73" s="135"/>
      <c r="AL73" s="135"/>
      <c r="AM73" s="135"/>
      <c r="AN73" s="135"/>
      <c r="AO73" s="135"/>
      <c r="AP73" s="135"/>
      <c r="AQ73" s="135"/>
      <c r="AR73" s="135"/>
      <c r="AS73" s="135"/>
      <c r="AT73" s="135"/>
      <c r="AU73" s="135"/>
      <c r="AV73" s="135"/>
      <c r="AW73" s="135"/>
      <c r="AX73" s="135"/>
      <c r="AY73" s="135"/>
    </row>
    <row r="74" spans="2:51">
      <c r="B74" s="135">
        <v>31</v>
      </c>
      <c r="C74" s="163"/>
      <c r="D74" s="163"/>
      <c r="E74" s="163"/>
      <c r="F74" s="135"/>
      <c r="G74" s="135"/>
      <c r="H74" s="135"/>
      <c r="I74" s="135"/>
      <c r="J74" s="135"/>
      <c r="K74" s="135"/>
      <c r="L74" s="135"/>
      <c r="M74" s="135"/>
      <c r="N74" s="135"/>
      <c r="O74" s="135"/>
      <c r="P74" s="135"/>
      <c r="Q74" s="135"/>
      <c r="R74" s="135"/>
      <c r="S74" s="135"/>
      <c r="T74" s="135"/>
      <c r="U74" s="135"/>
      <c r="V74" s="135"/>
      <c r="W74" s="135"/>
      <c r="X74" s="135"/>
      <c r="Y74" s="135"/>
      <c r="Z74" s="135"/>
      <c r="AA74" s="135"/>
      <c r="AB74" s="135"/>
      <c r="AC74" s="135"/>
      <c r="AD74" s="135"/>
      <c r="AE74" s="135"/>
      <c r="AF74" s="135"/>
      <c r="AG74" s="135"/>
      <c r="AH74" s="135"/>
      <c r="AI74" s="135"/>
      <c r="AJ74" s="135"/>
      <c r="AK74" s="135"/>
      <c r="AL74" s="135"/>
      <c r="AM74" s="135"/>
      <c r="AN74" s="135"/>
      <c r="AO74" s="135"/>
      <c r="AP74" s="135"/>
      <c r="AQ74" s="135"/>
      <c r="AR74" s="135"/>
      <c r="AS74" s="135"/>
      <c r="AT74" s="135"/>
      <c r="AU74" s="135"/>
      <c r="AV74" s="135"/>
      <c r="AW74" s="135"/>
      <c r="AX74" s="135"/>
      <c r="AY74" s="135"/>
    </row>
    <row r="75" spans="2:51">
      <c r="B75" s="135">
        <v>32</v>
      </c>
      <c r="C75" s="163"/>
      <c r="D75" s="163"/>
      <c r="E75" s="163"/>
      <c r="F75" s="135"/>
      <c r="G75" s="135"/>
      <c r="H75" s="135"/>
      <c r="I75" s="135"/>
      <c r="J75" s="135"/>
      <c r="K75" s="135"/>
      <c r="L75" s="135"/>
      <c r="M75" s="135"/>
      <c r="N75" s="135"/>
      <c r="O75" s="135"/>
      <c r="P75" s="135"/>
      <c r="Q75" s="135"/>
      <c r="R75" s="135"/>
      <c r="S75" s="135"/>
      <c r="T75" s="135"/>
      <c r="U75" s="135"/>
      <c r="V75" s="135"/>
      <c r="W75" s="135"/>
      <c r="X75" s="135"/>
      <c r="Y75" s="135"/>
      <c r="Z75" s="135"/>
      <c r="AA75" s="135"/>
      <c r="AB75" s="135"/>
      <c r="AC75" s="135"/>
      <c r="AD75" s="135"/>
      <c r="AE75" s="135"/>
      <c r="AF75" s="135"/>
      <c r="AG75" s="135"/>
      <c r="AH75" s="135"/>
      <c r="AI75" s="135"/>
      <c r="AJ75" s="135"/>
      <c r="AK75" s="135"/>
      <c r="AL75" s="135"/>
      <c r="AM75" s="135"/>
      <c r="AN75" s="135"/>
      <c r="AO75" s="135"/>
      <c r="AP75" s="135"/>
      <c r="AQ75" s="135"/>
      <c r="AR75" s="135"/>
      <c r="AS75" s="135"/>
      <c r="AT75" s="135"/>
      <c r="AU75" s="135"/>
      <c r="AV75" s="135"/>
      <c r="AW75" s="135"/>
      <c r="AX75" s="135"/>
      <c r="AY75" s="135"/>
    </row>
    <row r="76" spans="2:51">
      <c r="B76" s="135">
        <v>33</v>
      </c>
      <c r="C76" s="163"/>
      <c r="D76" s="163"/>
      <c r="E76" s="163"/>
      <c r="F76" s="135"/>
      <c r="G76" s="135"/>
      <c r="H76" s="135"/>
      <c r="I76" s="135"/>
      <c r="J76" s="135"/>
      <c r="K76" s="135"/>
      <c r="L76" s="135"/>
      <c r="M76" s="135"/>
      <c r="N76" s="135"/>
      <c r="O76" s="135"/>
      <c r="P76" s="135"/>
      <c r="Q76" s="135"/>
      <c r="R76" s="135"/>
      <c r="S76" s="135"/>
      <c r="T76" s="135"/>
      <c r="U76" s="135"/>
      <c r="V76" s="135"/>
      <c r="W76" s="135"/>
      <c r="X76" s="135"/>
      <c r="Y76" s="135"/>
      <c r="Z76" s="135"/>
      <c r="AA76" s="135"/>
      <c r="AB76" s="135"/>
      <c r="AC76" s="135"/>
      <c r="AD76" s="135"/>
      <c r="AE76" s="135"/>
      <c r="AF76" s="135"/>
      <c r="AG76" s="135"/>
      <c r="AH76" s="135"/>
      <c r="AI76" s="135"/>
      <c r="AJ76" s="135"/>
      <c r="AK76" s="135"/>
      <c r="AL76" s="135"/>
      <c r="AM76" s="135"/>
      <c r="AN76" s="135"/>
      <c r="AO76" s="135"/>
      <c r="AP76" s="135"/>
      <c r="AQ76" s="135"/>
      <c r="AR76" s="135"/>
      <c r="AS76" s="135"/>
      <c r="AT76" s="135"/>
      <c r="AU76" s="135"/>
      <c r="AV76" s="135"/>
      <c r="AW76" s="135"/>
      <c r="AX76" s="135"/>
      <c r="AY76" s="135"/>
    </row>
    <row r="77" spans="2:51">
      <c r="B77" s="135">
        <v>34</v>
      </c>
      <c r="C77" s="163"/>
      <c r="D77" s="163"/>
      <c r="E77" s="163"/>
      <c r="F77" s="135"/>
      <c r="G77" s="135"/>
      <c r="H77" s="135"/>
      <c r="I77" s="135"/>
      <c r="J77" s="135"/>
      <c r="K77" s="135"/>
      <c r="L77" s="135"/>
      <c r="M77" s="135"/>
      <c r="N77" s="135"/>
      <c r="O77" s="135"/>
      <c r="P77" s="135"/>
      <c r="Q77" s="135"/>
      <c r="R77" s="135"/>
      <c r="S77" s="135"/>
      <c r="T77" s="135"/>
      <c r="U77" s="135"/>
      <c r="V77" s="135"/>
      <c r="W77" s="135"/>
      <c r="X77" s="135"/>
      <c r="Y77" s="135"/>
      <c r="Z77" s="135"/>
      <c r="AA77" s="135"/>
      <c r="AB77" s="135"/>
      <c r="AC77" s="135"/>
      <c r="AD77" s="135"/>
      <c r="AE77" s="135"/>
      <c r="AF77" s="135"/>
      <c r="AG77" s="135"/>
      <c r="AH77" s="135"/>
      <c r="AI77" s="135"/>
      <c r="AJ77" s="135"/>
      <c r="AK77" s="135"/>
      <c r="AL77" s="135"/>
      <c r="AM77" s="135"/>
      <c r="AN77" s="135"/>
      <c r="AO77" s="135"/>
      <c r="AP77" s="135"/>
      <c r="AQ77" s="135"/>
      <c r="AR77" s="135"/>
      <c r="AS77" s="135"/>
      <c r="AT77" s="135"/>
      <c r="AU77" s="135"/>
      <c r="AV77" s="135"/>
      <c r="AW77" s="135"/>
      <c r="AX77" s="135"/>
      <c r="AY77" s="135"/>
    </row>
    <row r="78" spans="2:51">
      <c r="B78" s="135">
        <v>35</v>
      </c>
      <c r="C78" s="163"/>
      <c r="D78" s="163"/>
      <c r="E78" s="163"/>
      <c r="F78" s="135"/>
      <c r="G78" s="135"/>
      <c r="H78" s="135"/>
      <c r="I78" s="135"/>
      <c r="J78" s="135"/>
      <c r="K78" s="135"/>
      <c r="L78" s="135"/>
      <c r="M78" s="135"/>
      <c r="N78" s="135"/>
      <c r="O78" s="135"/>
      <c r="P78" s="135"/>
      <c r="Q78" s="135"/>
      <c r="R78" s="135"/>
      <c r="S78" s="135"/>
      <c r="T78" s="135"/>
      <c r="U78" s="135"/>
      <c r="V78" s="135"/>
      <c r="W78" s="135"/>
      <c r="X78" s="135"/>
      <c r="Y78" s="135"/>
      <c r="Z78" s="135"/>
      <c r="AA78" s="135"/>
      <c r="AB78" s="135"/>
      <c r="AC78" s="135"/>
      <c r="AD78" s="135"/>
      <c r="AE78" s="135"/>
      <c r="AF78" s="135"/>
      <c r="AG78" s="135"/>
      <c r="AH78" s="135"/>
      <c r="AI78" s="135"/>
      <c r="AJ78" s="135"/>
      <c r="AK78" s="135"/>
      <c r="AL78" s="135"/>
      <c r="AM78" s="135"/>
      <c r="AN78" s="135"/>
      <c r="AO78" s="135"/>
      <c r="AP78" s="135"/>
      <c r="AQ78" s="135"/>
      <c r="AR78" s="135"/>
      <c r="AS78" s="135"/>
      <c r="AT78" s="135"/>
      <c r="AU78" s="135"/>
      <c r="AV78" s="135"/>
      <c r="AW78" s="135"/>
      <c r="AX78" s="135"/>
      <c r="AY78" s="135"/>
    </row>
    <row r="79" spans="2:51">
      <c r="B79" s="135">
        <v>36</v>
      </c>
      <c r="C79" s="163"/>
      <c r="D79" s="163"/>
      <c r="E79" s="163"/>
      <c r="F79" s="135"/>
      <c r="G79" s="135"/>
      <c r="H79" s="135"/>
      <c r="I79" s="135"/>
      <c r="J79" s="135"/>
      <c r="K79" s="135"/>
      <c r="L79" s="135"/>
      <c r="M79" s="135"/>
      <c r="N79" s="135"/>
      <c r="O79" s="135"/>
      <c r="P79" s="135"/>
      <c r="Q79" s="135"/>
      <c r="R79" s="135"/>
      <c r="S79" s="135"/>
      <c r="T79" s="135"/>
      <c r="U79" s="135"/>
      <c r="V79" s="135"/>
      <c r="W79" s="135"/>
      <c r="X79" s="135"/>
      <c r="Y79" s="135"/>
      <c r="Z79" s="135"/>
      <c r="AA79" s="135"/>
      <c r="AB79" s="135"/>
      <c r="AC79" s="135"/>
      <c r="AD79" s="135"/>
      <c r="AE79" s="135"/>
      <c r="AF79" s="135"/>
      <c r="AG79" s="135"/>
      <c r="AH79" s="135"/>
      <c r="AI79" s="135"/>
      <c r="AJ79" s="135"/>
      <c r="AK79" s="135"/>
      <c r="AL79" s="135"/>
      <c r="AM79" s="135"/>
      <c r="AN79" s="135"/>
      <c r="AO79" s="135"/>
      <c r="AP79" s="135"/>
      <c r="AQ79" s="135"/>
      <c r="AR79" s="135"/>
      <c r="AS79" s="135"/>
      <c r="AT79" s="135"/>
      <c r="AU79" s="135"/>
      <c r="AV79" s="135"/>
      <c r="AW79" s="135"/>
      <c r="AX79" s="135"/>
      <c r="AY79" s="135"/>
    </row>
    <row r="80" spans="2:51">
      <c r="B80" s="135">
        <v>37</v>
      </c>
      <c r="C80" s="163"/>
      <c r="D80" s="163"/>
      <c r="E80" s="163"/>
      <c r="F80" s="135"/>
      <c r="G80" s="135"/>
      <c r="H80" s="135"/>
      <c r="I80" s="135"/>
      <c r="J80" s="135"/>
      <c r="K80" s="135"/>
      <c r="L80" s="135"/>
      <c r="M80" s="135"/>
      <c r="N80" s="135"/>
      <c r="O80" s="135"/>
      <c r="P80" s="135"/>
      <c r="Q80" s="135"/>
      <c r="R80" s="135"/>
      <c r="S80" s="135"/>
      <c r="T80" s="135"/>
      <c r="U80" s="135"/>
      <c r="V80" s="135"/>
      <c r="W80" s="135"/>
      <c r="X80" s="135"/>
      <c r="Y80" s="135"/>
      <c r="Z80" s="135"/>
      <c r="AA80" s="135"/>
      <c r="AB80" s="135"/>
      <c r="AC80" s="135"/>
      <c r="AD80" s="135"/>
      <c r="AE80" s="135"/>
      <c r="AF80" s="135"/>
      <c r="AG80" s="135"/>
      <c r="AH80" s="135"/>
      <c r="AI80" s="135"/>
      <c r="AJ80" s="135"/>
      <c r="AK80" s="135"/>
      <c r="AL80" s="135"/>
      <c r="AM80" s="135"/>
      <c r="AN80" s="135"/>
      <c r="AO80" s="135"/>
      <c r="AP80" s="135"/>
      <c r="AQ80" s="135"/>
      <c r="AR80" s="135"/>
      <c r="AS80" s="135"/>
      <c r="AT80" s="135"/>
      <c r="AU80" s="135"/>
      <c r="AV80" s="135"/>
      <c r="AW80" s="135"/>
      <c r="AX80" s="135"/>
      <c r="AY80" s="135"/>
    </row>
    <row r="81" spans="2:51">
      <c r="B81" s="135">
        <v>38</v>
      </c>
      <c r="C81" s="163"/>
      <c r="D81" s="163"/>
      <c r="E81" s="163"/>
      <c r="F81" s="135"/>
      <c r="G81" s="135"/>
      <c r="H81" s="135"/>
      <c r="I81" s="135"/>
      <c r="J81" s="135"/>
      <c r="K81" s="135"/>
      <c r="L81" s="135"/>
      <c r="M81" s="135"/>
      <c r="N81" s="135"/>
      <c r="O81" s="135"/>
      <c r="P81" s="135"/>
      <c r="Q81" s="135"/>
      <c r="R81" s="135"/>
      <c r="S81" s="135"/>
      <c r="T81" s="135"/>
      <c r="U81" s="135"/>
      <c r="V81" s="135"/>
      <c r="W81" s="135"/>
      <c r="X81" s="135"/>
      <c r="Y81" s="135"/>
      <c r="Z81" s="135"/>
      <c r="AA81" s="135"/>
      <c r="AB81" s="135"/>
      <c r="AC81" s="135"/>
      <c r="AD81" s="135"/>
      <c r="AE81" s="135"/>
      <c r="AF81" s="135"/>
      <c r="AG81" s="135"/>
      <c r="AH81" s="135"/>
      <c r="AI81" s="135"/>
      <c r="AJ81" s="135"/>
      <c r="AK81" s="135"/>
      <c r="AL81" s="135"/>
      <c r="AM81" s="135"/>
      <c r="AN81" s="135"/>
      <c r="AO81" s="135"/>
      <c r="AP81" s="135"/>
      <c r="AQ81" s="135"/>
      <c r="AR81" s="135"/>
      <c r="AS81" s="135"/>
      <c r="AT81" s="135"/>
      <c r="AU81" s="135"/>
      <c r="AV81" s="135"/>
      <c r="AW81" s="135"/>
      <c r="AX81" s="135"/>
      <c r="AY81" s="135"/>
    </row>
    <row r="82" spans="2:51">
      <c r="B82" s="135">
        <v>39</v>
      </c>
      <c r="C82" s="163"/>
      <c r="D82" s="163"/>
      <c r="E82" s="163"/>
      <c r="F82" s="135"/>
      <c r="G82" s="135"/>
      <c r="H82" s="135"/>
      <c r="I82" s="135"/>
      <c r="J82" s="135"/>
      <c r="K82" s="135"/>
      <c r="L82" s="135"/>
      <c r="M82" s="135"/>
      <c r="N82" s="135"/>
      <c r="O82" s="135"/>
      <c r="P82" s="135"/>
      <c r="Q82" s="135"/>
      <c r="R82" s="135"/>
      <c r="S82" s="135"/>
      <c r="T82" s="135"/>
      <c r="U82" s="135"/>
      <c r="V82" s="135"/>
      <c r="W82" s="135"/>
      <c r="X82" s="135"/>
      <c r="Y82" s="135"/>
      <c r="Z82" s="135"/>
      <c r="AA82" s="135"/>
      <c r="AB82" s="135"/>
      <c r="AC82" s="135"/>
      <c r="AD82" s="135"/>
      <c r="AE82" s="135"/>
      <c r="AF82" s="135"/>
      <c r="AG82" s="135"/>
      <c r="AH82" s="135"/>
      <c r="AI82" s="135"/>
      <c r="AJ82" s="135"/>
      <c r="AK82" s="135"/>
      <c r="AL82" s="135"/>
      <c r="AM82" s="135"/>
      <c r="AN82" s="135"/>
      <c r="AO82" s="135"/>
      <c r="AP82" s="135"/>
      <c r="AQ82" s="135"/>
      <c r="AR82" s="135"/>
      <c r="AS82" s="135"/>
      <c r="AT82" s="135"/>
      <c r="AU82" s="135"/>
      <c r="AV82" s="135"/>
      <c r="AW82" s="135"/>
      <c r="AX82" s="135"/>
      <c r="AY82" s="135"/>
    </row>
    <row r="83" spans="2:51">
      <c r="B83" s="135">
        <v>40</v>
      </c>
      <c r="C83" s="163"/>
      <c r="D83" s="163"/>
      <c r="E83" s="163"/>
      <c r="F83" s="135"/>
      <c r="G83" s="135"/>
      <c r="H83" s="135"/>
      <c r="I83" s="135"/>
      <c r="J83" s="135"/>
      <c r="K83" s="135"/>
      <c r="L83" s="135"/>
      <c r="M83" s="135"/>
      <c r="N83" s="135"/>
      <c r="O83" s="135"/>
      <c r="P83" s="135"/>
      <c r="Q83" s="135"/>
      <c r="R83" s="135"/>
      <c r="S83" s="135"/>
      <c r="T83" s="135"/>
      <c r="U83" s="135"/>
      <c r="V83" s="135"/>
      <c r="W83" s="135"/>
      <c r="X83" s="135"/>
      <c r="Y83" s="135"/>
      <c r="Z83" s="135"/>
      <c r="AA83" s="135"/>
      <c r="AB83" s="135"/>
      <c r="AC83" s="135"/>
      <c r="AD83" s="135"/>
      <c r="AE83" s="135"/>
      <c r="AF83" s="135"/>
      <c r="AG83" s="135"/>
      <c r="AH83" s="135"/>
      <c r="AI83" s="135"/>
      <c r="AJ83" s="135"/>
      <c r="AK83" s="135"/>
      <c r="AL83" s="135"/>
      <c r="AM83" s="135"/>
      <c r="AN83" s="135"/>
      <c r="AO83" s="135"/>
      <c r="AP83" s="135"/>
      <c r="AQ83" s="135"/>
      <c r="AR83" s="135"/>
      <c r="AS83" s="135"/>
      <c r="AT83" s="135"/>
      <c r="AU83" s="135"/>
      <c r="AV83" s="135"/>
      <c r="AW83" s="135"/>
      <c r="AX83" s="135"/>
      <c r="AY83" s="135"/>
    </row>
    <row r="84" spans="2:51">
      <c r="B84" s="135">
        <v>41</v>
      </c>
      <c r="C84" s="163"/>
      <c r="D84" s="163"/>
      <c r="E84" s="163"/>
      <c r="F84" s="135"/>
      <c r="G84" s="135"/>
      <c r="H84" s="135"/>
      <c r="I84" s="135"/>
      <c r="J84" s="135"/>
      <c r="K84" s="135"/>
      <c r="L84" s="135"/>
      <c r="M84" s="135"/>
      <c r="N84" s="135"/>
      <c r="O84" s="135"/>
      <c r="P84" s="135"/>
      <c r="Q84" s="135"/>
      <c r="R84" s="135"/>
      <c r="S84" s="135"/>
      <c r="T84" s="135"/>
      <c r="U84" s="135"/>
      <c r="V84" s="135"/>
      <c r="W84" s="135"/>
      <c r="X84" s="135"/>
      <c r="Y84" s="135"/>
      <c r="Z84" s="135"/>
      <c r="AA84" s="135"/>
      <c r="AB84" s="135"/>
      <c r="AC84" s="135"/>
      <c r="AD84" s="135"/>
      <c r="AE84" s="135"/>
      <c r="AF84" s="135"/>
      <c r="AG84" s="135"/>
      <c r="AH84" s="135"/>
      <c r="AI84" s="135"/>
      <c r="AJ84" s="135"/>
      <c r="AK84" s="135"/>
      <c r="AL84" s="135"/>
      <c r="AM84" s="135"/>
      <c r="AN84" s="135"/>
      <c r="AO84" s="135"/>
      <c r="AP84" s="135"/>
      <c r="AQ84" s="135"/>
      <c r="AR84" s="135"/>
      <c r="AS84" s="135"/>
      <c r="AT84" s="135"/>
      <c r="AU84" s="135"/>
      <c r="AV84" s="135"/>
      <c r="AW84" s="135"/>
      <c r="AX84" s="135"/>
      <c r="AY84" s="135"/>
    </row>
    <row r="85" spans="2:51">
      <c r="B85" s="135">
        <v>42</v>
      </c>
      <c r="C85" s="163"/>
      <c r="D85" s="163"/>
      <c r="E85" s="163"/>
      <c r="F85" s="135"/>
      <c r="G85" s="135"/>
      <c r="H85" s="135"/>
      <c r="I85" s="135"/>
      <c r="J85" s="135"/>
      <c r="K85" s="135"/>
      <c r="L85" s="135"/>
      <c r="M85" s="135"/>
      <c r="N85" s="135"/>
      <c r="O85" s="135"/>
      <c r="P85" s="135"/>
      <c r="Q85" s="135"/>
      <c r="R85" s="135"/>
      <c r="S85" s="135"/>
      <c r="T85" s="135"/>
      <c r="U85" s="135"/>
      <c r="V85" s="135"/>
      <c r="W85" s="135"/>
      <c r="X85" s="135"/>
      <c r="Y85" s="135"/>
      <c r="Z85" s="135"/>
      <c r="AA85" s="135"/>
      <c r="AB85" s="135"/>
      <c r="AC85" s="135"/>
      <c r="AD85" s="135"/>
      <c r="AE85" s="135"/>
      <c r="AF85" s="135"/>
      <c r="AG85" s="135"/>
      <c r="AH85" s="135"/>
      <c r="AI85" s="135"/>
      <c r="AJ85" s="135"/>
      <c r="AK85" s="135"/>
      <c r="AL85" s="135"/>
      <c r="AM85" s="135"/>
      <c r="AN85" s="135"/>
      <c r="AO85" s="135"/>
      <c r="AP85" s="135"/>
      <c r="AQ85" s="135"/>
      <c r="AR85" s="135"/>
      <c r="AS85" s="135"/>
      <c r="AT85" s="135"/>
      <c r="AU85" s="135"/>
      <c r="AV85" s="135"/>
      <c r="AW85" s="135"/>
      <c r="AX85" s="135"/>
      <c r="AY85" s="135"/>
    </row>
    <row r="86" spans="2:51">
      <c r="B86" s="135">
        <v>43</v>
      </c>
      <c r="C86" s="163"/>
      <c r="D86" s="163"/>
      <c r="E86" s="163"/>
      <c r="F86" s="135"/>
      <c r="G86" s="135"/>
      <c r="H86" s="135"/>
      <c r="I86" s="135"/>
      <c r="J86" s="135"/>
      <c r="K86" s="135"/>
      <c r="L86" s="135"/>
      <c r="M86" s="135"/>
      <c r="N86" s="135"/>
      <c r="O86" s="135"/>
      <c r="P86" s="135"/>
      <c r="Q86" s="135"/>
      <c r="R86" s="135"/>
      <c r="S86" s="135"/>
      <c r="T86" s="135"/>
      <c r="U86" s="135"/>
      <c r="V86" s="135"/>
      <c r="W86" s="135"/>
      <c r="X86" s="135"/>
      <c r="Y86" s="135"/>
      <c r="Z86" s="135"/>
      <c r="AA86" s="135"/>
      <c r="AB86" s="135"/>
      <c r="AC86" s="135"/>
      <c r="AD86" s="135"/>
      <c r="AE86" s="135"/>
      <c r="AF86" s="135"/>
      <c r="AG86" s="135"/>
      <c r="AH86" s="135"/>
      <c r="AI86" s="135"/>
      <c r="AJ86" s="135"/>
      <c r="AK86" s="135"/>
      <c r="AL86" s="135"/>
      <c r="AM86" s="135"/>
      <c r="AN86" s="135"/>
      <c r="AO86" s="135"/>
      <c r="AP86" s="135"/>
      <c r="AQ86" s="135"/>
      <c r="AR86" s="135"/>
      <c r="AS86" s="135"/>
      <c r="AT86" s="135"/>
      <c r="AU86" s="135"/>
      <c r="AV86" s="135"/>
      <c r="AW86" s="135"/>
      <c r="AX86" s="135"/>
      <c r="AY86" s="135"/>
    </row>
    <row r="87" spans="2:51">
      <c r="B87" s="135">
        <v>44</v>
      </c>
      <c r="C87" s="163"/>
      <c r="D87" s="163"/>
      <c r="E87" s="163"/>
      <c r="F87" s="135"/>
      <c r="G87" s="135"/>
      <c r="H87" s="135"/>
      <c r="I87" s="135"/>
      <c r="J87" s="135"/>
      <c r="K87" s="135"/>
      <c r="L87" s="135"/>
      <c r="M87" s="135"/>
      <c r="N87" s="135"/>
      <c r="O87" s="135"/>
      <c r="P87" s="135"/>
      <c r="Q87" s="135"/>
      <c r="R87" s="135"/>
      <c r="S87" s="135"/>
      <c r="T87" s="135"/>
      <c r="U87" s="135"/>
      <c r="V87" s="135"/>
      <c r="W87" s="135"/>
      <c r="X87" s="135"/>
      <c r="Y87" s="135"/>
      <c r="Z87" s="135"/>
      <c r="AA87" s="135"/>
      <c r="AB87" s="135"/>
      <c r="AC87" s="135"/>
      <c r="AD87" s="135"/>
      <c r="AE87" s="135"/>
      <c r="AF87" s="135"/>
      <c r="AG87" s="135"/>
      <c r="AH87" s="135"/>
      <c r="AI87" s="135"/>
      <c r="AJ87" s="135"/>
      <c r="AK87" s="135"/>
      <c r="AL87" s="135"/>
      <c r="AM87" s="135"/>
      <c r="AN87" s="135"/>
      <c r="AO87" s="135"/>
      <c r="AP87" s="135"/>
      <c r="AQ87" s="135"/>
      <c r="AR87" s="135"/>
      <c r="AS87" s="135"/>
      <c r="AT87" s="135"/>
      <c r="AU87" s="135"/>
      <c r="AV87" s="135"/>
      <c r="AW87" s="135"/>
      <c r="AX87" s="135"/>
      <c r="AY87" s="135"/>
    </row>
    <row r="88" spans="2:51">
      <c r="B88" s="135">
        <v>45</v>
      </c>
      <c r="C88" s="163"/>
      <c r="D88" s="163"/>
      <c r="E88" s="163"/>
      <c r="F88" s="135"/>
      <c r="G88" s="135"/>
      <c r="H88" s="135"/>
      <c r="I88" s="135"/>
      <c r="J88" s="135"/>
      <c r="K88" s="135"/>
      <c r="L88" s="135"/>
      <c r="M88" s="135"/>
      <c r="N88" s="135"/>
      <c r="O88" s="135"/>
      <c r="P88" s="135"/>
      <c r="Q88" s="135"/>
      <c r="R88" s="135"/>
      <c r="S88" s="135"/>
      <c r="T88" s="135"/>
      <c r="U88" s="135"/>
      <c r="V88" s="135"/>
      <c r="W88" s="135"/>
      <c r="X88" s="135"/>
      <c r="Y88" s="135"/>
      <c r="Z88" s="135"/>
      <c r="AA88" s="135"/>
      <c r="AB88" s="135"/>
      <c r="AC88" s="135"/>
      <c r="AD88" s="135"/>
      <c r="AE88" s="135"/>
      <c r="AF88" s="135"/>
      <c r="AG88" s="135"/>
      <c r="AH88" s="135"/>
      <c r="AI88" s="135"/>
      <c r="AJ88" s="135"/>
      <c r="AK88" s="135"/>
      <c r="AL88" s="135"/>
      <c r="AM88" s="135"/>
      <c r="AN88" s="135"/>
      <c r="AO88" s="135"/>
      <c r="AP88" s="135"/>
      <c r="AQ88" s="135"/>
      <c r="AR88" s="135"/>
      <c r="AS88" s="135"/>
      <c r="AT88" s="135"/>
      <c r="AU88" s="135"/>
      <c r="AV88" s="135"/>
      <c r="AW88" s="135"/>
      <c r="AX88" s="135"/>
      <c r="AY88" s="135"/>
    </row>
    <row r="89" spans="2:51">
      <c r="B89" s="135">
        <v>46</v>
      </c>
      <c r="C89" s="163"/>
      <c r="D89" s="163"/>
      <c r="E89" s="163"/>
      <c r="F89" s="135"/>
      <c r="G89" s="135"/>
      <c r="H89" s="135"/>
      <c r="I89" s="135"/>
      <c r="J89" s="135"/>
      <c r="K89" s="135"/>
      <c r="L89" s="135"/>
      <c r="M89" s="135"/>
      <c r="N89" s="135"/>
      <c r="O89" s="135"/>
      <c r="P89" s="135"/>
      <c r="Q89" s="135"/>
      <c r="R89" s="135"/>
      <c r="S89" s="135"/>
      <c r="T89" s="135"/>
      <c r="U89" s="135"/>
      <c r="V89" s="135"/>
      <c r="W89" s="135"/>
      <c r="X89" s="135"/>
      <c r="Y89" s="135"/>
      <c r="Z89" s="135"/>
      <c r="AA89" s="135"/>
      <c r="AB89" s="135"/>
      <c r="AC89" s="135"/>
      <c r="AD89" s="135"/>
      <c r="AE89" s="135"/>
      <c r="AF89" s="135"/>
      <c r="AG89" s="135"/>
      <c r="AH89" s="135"/>
      <c r="AI89" s="135"/>
      <c r="AJ89" s="135"/>
      <c r="AK89" s="135"/>
      <c r="AL89" s="135"/>
      <c r="AM89" s="135"/>
      <c r="AN89" s="135"/>
      <c r="AO89" s="135"/>
      <c r="AP89" s="135"/>
      <c r="AQ89" s="135"/>
      <c r="AR89" s="135"/>
      <c r="AS89" s="135"/>
      <c r="AT89" s="135"/>
      <c r="AU89" s="135"/>
      <c r="AV89" s="135"/>
      <c r="AW89" s="135"/>
      <c r="AX89" s="135"/>
      <c r="AY89" s="135"/>
    </row>
    <row r="90" spans="2:51">
      <c r="B90" s="135">
        <v>47</v>
      </c>
      <c r="C90" s="163"/>
      <c r="D90" s="163"/>
      <c r="E90" s="163"/>
      <c r="F90" s="135"/>
      <c r="G90" s="135"/>
      <c r="H90" s="135"/>
      <c r="I90" s="135"/>
      <c r="J90" s="135"/>
      <c r="K90" s="135"/>
      <c r="L90" s="135"/>
      <c r="M90" s="135"/>
      <c r="N90" s="135"/>
      <c r="O90" s="135"/>
      <c r="P90" s="135"/>
      <c r="Q90" s="135"/>
      <c r="R90" s="135"/>
      <c r="S90" s="135"/>
      <c r="T90" s="135"/>
      <c r="U90" s="135"/>
      <c r="V90" s="135"/>
      <c r="W90" s="135"/>
      <c r="X90" s="135"/>
      <c r="Y90" s="135"/>
      <c r="Z90" s="135"/>
      <c r="AA90" s="135"/>
      <c r="AB90" s="135"/>
      <c r="AC90" s="135"/>
      <c r="AD90" s="135"/>
      <c r="AE90" s="135"/>
      <c r="AF90" s="135"/>
      <c r="AG90" s="135"/>
      <c r="AH90" s="135"/>
      <c r="AI90" s="135"/>
      <c r="AJ90" s="135"/>
      <c r="AK90" s="135"/>
      <c r="AL90" s="135"/>
      <c r="AM90" s="135"/>
      <c r="AN90" s="135"/>
      <c r="AO90" s="135"/>
      <c r="AP90" s="135"/>
      <c r="AQ90" s="135"/>
      <c r="AR90" s="135"/>
      <c r="AS90" s="135"/>
      <c r="AT90" s="135"/>
      <c r="AU90" s="135"/>
      <c r="AV90" s="135"/>
      <c r="AW90" s="135"/>
      <c r="AX90" s="135"/>
      <c r="AY90" s="135"/>
    </row>
    <row r="91" spans="2:51">
      <c r="B91" s="135">
        <v>48</v>
      </c>
      <c r="C91" s="163"/>
      <c r="D91" s="163"/>
      <c r="E91" s="163"/>
      <c r="F91" s="135"/>
      <c r="G91" s="135"/>
      <c r="H91" s="135"/>
      <c r="I91" s="135"/>
      <c r="J91" s="135"/>
      <c r="K91" s="135"/>
      <c r="L91" s="135"/>
      <c r="M91" s="135"/>
      <c r="N91" s="135"/>
      <c r="O91" s="135"/>
      <c r="P91" s="135"/>
      <c r="Q91" s="135"/>
      <c r="R91" s="135"/>
      <c r="S91" s="135"/>
      <c r="T91" s="135"/>
      <c r="U91" s="135"/>
      <c r="V91" s="135"/>
      <c r="W91" s="135"/>
      <c r="X91" s="135"/>
      <c r="Y91" s="135"/>
      <c r="Z91" s="135"/>
      <c r="AA91" s="135"/>
      <c r="AB91" s="135"/>
      <c r="AC91" s="135"/>
      <c r="AD91" s="135"/>
      <c r="AE91" s="135"/>
      <c r="AF91" s="135"/>
      <c r="AG91" s="135"/>
      <c r="AH91" s="135"/>
      <c r="AI91" s="135"/>
      <c r="AJ91" s="135"/>
      <c r="AK91" s="135"/>
      <c r="AL91" s="135"/>
      <c r="AM91" s="135"/>
      <c r="AN91" s="135"/>
      <c r="AO91" s="135"/>
      <c r="AP91" s="135"/>
      <c r="AQ91" s="135"/>
      <c r="AR91" s="135"/>
      <c r="AS91" s="135"/>
      <c r="AT91" s="135"/>
      <c r="AU91" s="135"/>
      <c r="AV91" s="135"/>
      <c r="AW91" s="135"/>
      <c r="AX91" s="135"/>
      <c r="AY91" s="135"/>
    </row>
    <row r="92" spans="2:51">
      <c r="B92" s="135">
        <v>49</v>
      </c>
      <c r="C92" s="163"/>
      <c r="D92" s="163"/>
      <c r="E92" s="163"/>
      <c r="F92" s="135"/>
      <c r="G92" s="135"/>
      <c r="H92" s="135"/>
      <c r="I92" s="135"/>
      <c r="J92" s="135"/>
      <c r="K92" s="135"/>
      <c r="L92" s="135"/>
      <c r="M92" s="135"/>
      <c r="N92" s="135"/>
      <c r="O92" s="135"/>
      <c r="P92" s="135"/>
      <c r="Q92" s="135"/>
      <c r="R92" s="135"/>
      <c r="S92" s="135"/>
      <c r="T92" s="135"/>
      <c r="U92" s="135"/>
      <c r="V92" s="135"/>
      <c r="W92" s="135"/>
      <c r="X92" s="135"/>
      <c r="Y92" s="135"/>
      <c r="Z92" s="135"/>
      <c r="AA92" s="135"/>
      <c r="AB92" s="135"/>
      <c r="AC92" s="135"/>
      <c r="AD92" s="135"/>
      <c r="AE92" s="135"/>
      <c r="AF92" s="135"/>
      <c r="AG92" s="135"/>
      <c r="AH92" s="135"/>
      <c r="AI92" s="135"/>
      <c r="AJ92" s="135"/>
      <c r="AK92" s="135"/>
      <c r="AL92" s="135"/>
      <c r="AM92" s="135"/>
      <c r="AN92" s="135"/>
      <c r="AO92" s="135"/>
      <c r="AP92" s="135"/>
      <c r="AQ92" s="135"/>
      <c r="AR92" s="135"/>
      <c r="AS92" s="135"/>
      <c r="AT92" s="135"/>
      <c r="AU92" s="135"/>
      <c r="AV92" s="135"/>
      <c r="AW92" s="135"/>
      <c r="AX92" s="135"/>
      <c r="AY92" s="135"/>
    </row>
    <row r="93" spans="2:51">
      <c r="B93" s="135">
        <v>50</v>
      </c>
      <c r="C93" s="163"/>
      <c r="D93" s="163"/>
      <c r="E93" s="163"/>
      <c r="F93" s="135"/>
      <c r="G93" s="135"/>
      <c r="H93" s="135"/>
      <c r="I93" s="135"/>
      <c r="J93" s="135"/>
      <c r="K93" s="135"/>
      <c r="L93" s="135"/>
      <c r="M93" s="135"/>
      <c r="N93" s="135"/>
      <c r="O93" s="135"/>
      <c r="P93" s="135"/>
      <c r="Q93" s="135"/>
      <c r="R93" s="135"/>
      <c r="S93" s="135"/>
      <c r="T93" s="135"/>
      <c r="U93" s="135"/>
      <c r="V93" s="135"/>
      <c r="W93" s="135"/>
      <c r="X93" s="135"/>
      <c r="Y93" s="135"/>
      <c r="Z93" s="135"/>
      <c r="AA93" s="135"/>
      <c r="AB93" s="135"/>
      <c r="AC93" s="135"/>
      <c r="AD93" s="135"/>
      <c r="AE93" s="135"/>
      <c r="AF93" s="135"/>
      <c r="AG93" s="135"/>
      <c r="AH93" s="135"/>
      <c r="AI93" s="135"/>
      <c r="AJ93" s="135"/>
      <c r="AK93" s="135"/>
      <c r="AL93" s="135"/>
      <c r="AM93" s="135"/>
      <c r="AN93" s="135"/>
      <c r="AO93" s="135"/>
      <c r="AP93" s="135"/>
      <c r="AQ93" s="135"/>
      <c r="AR93" s="135"/>
      <c r="AS93" s="135"/>
      <c r="AT93" s="135"/>
      <c r="AU93" s="135"/>
      <c r="AV93" s="135"/>
      <c r="AW93" s="135"/>
      <c r="AX93" s="135"/>
      <c r="AY93" s="135"/>
    </row>
    <row r="94" spans="2:51">
      <c r="B94" s="135">
        <v>51</v>
      </c>
      <c r="C94" s="163"/>
      <c r="D94" s="163"/>
      <c r="E94" s="163"/>
      <c r="F94" s="135"/>
      <c r="G94" s="135"/>
      <c r="H94" s="135"/>
      <c r="I94" s="135"/>
      <c r="J94" s="135"/>
      <c r="K94" s="135"/>
      <c r="L94" s="135"/>
      <c r="M94" s="135"/>
      <c r="N94" s="135"/>
      <c r="O94" s="135"/>
      <c r="P94" s="135"/>
      <c r="Q94" s="135"/>
      <c r="R94" s="135"/>
      <c r="S94" s="135"/>
      <c r="T94" s="135"/>
      <c r="U94" s="135"/>
      <c r="V94" s="135"/>
      <c r="W94" s="135"/>
      <c r="X94" s="135"/>
      <c r="Y94" s="135"/>
      <c r="Z94" s="135"/>
      <c r="AA94" s="135"/>
      <c r="AB94" s="135"/>
      <c r="AC94" s="135"/>
      <c r="AD94" s="135"/>
      <c r="AE94" s="135"/>
      <c r="AF94" s="135"/>
      <c r="AG94" s="135"/>
      <c r="AH94" s="135"/>
      <c r="AI94" s="135"/>
      <c r="AJ94" s="135"/>
      <c r="AK94" s="135"/>
      <c r="AL94" s="135"/>
      <c r="AM94" s="135"/>
      <c r="AN94" s="135"/>
      <c r="AO94" s="135"/>
      <c r="AP94" s="135"/>
      <c r="AQ94" s="135"/>
      <c r="AR94" s="135"/>
      <c r="AS94" s="135"/>
      <c r="AT94" s="135"/>
      <c r="AU94" s="135"/>
      <c r="AV94" s="135"/>
      <c r="AW94" s="135"/>
      <c r="AX94" s="135"/>
      <c r="AY94" s="135"/>
    </row>
    <row r="95" spans="2:51">
      <c r="B95" s="135">
        <v>52</v>
      </c>
      <c r="C95" s="163"/>
      <c r="D95" s="163"/>
      <c r="E95" s="163"/>
      <c r="F95" s="135"/>
      <c r="G95" s="135"/>
      <c r="H95" s="135"/>
      <c r="I95" s="135"/>
      <c r="J95" s="135"/>
      <c r="K95" s="135"/>
      <c r="L95" s="135"/>
      <c r="M95" s="135"/>
      <c r="N95" s="135"/>
      <c r="O95" s="135"/>
      <c r="P95" s="135"/>
      <c r="Q95" s="135"/>
      <c r="R95" s="135"/>
      <c r="S95" s="135"/>
      <c r="T95" s="135"/>
      <c r="U95" s="135"/>
      <c r="V95" s="135"/>
      <c r="W95" s="135"/>
      <c r="X95" s="135"/>
      <c r="Y95" s="135"/>
      <c r="Z95" s="135"/>
      <c r="AA95" s="135"/>
      <c r="AB95" s="135"/>
      <c r="AC95" s="135"/>
      <c r="AD95" s="135"/>
      <c r="AE95" s="135"/>
      <c r="AF95" s="135"/>
      <c r="AG95" s="135"/>
      <c r="AH95" s="135"/>
      <c r="AI95" s="135"/>
      <c r="AJ95" s="135"/>
      <c r="AK95" s="135"/>
      <c r="AL95" s="135"/>
      <c r="AM95" s="135"/>
      <c r="AN95" s="135"/>
      <c r="AO95" s="135"/>
      <c r="AP95" s="135"/>
      <c r="AQ95" s="135"/>
      <c r="AR95" s="135"/>
      <c r="AS95" s="135"/>
      <c r="AT95" s="135"/>
      <c r="AU95" s="135"/>
      <c r="AV95" s="135"/>
      <c r="AW95" s="135"/>
      <c r="AX95" s="135"/>
      <c r="AY95" s="135"/>
    </row>
    <row r="96" spans="2:51">
      <c r="B96" s="135">
        <v>53</v>
      </c>
      <c r="C96" s="163"/>
      <c r="D96" s="163"/>
      <c r="E96" s="163"/>
      <c r="F96" s="135"/>
      <c r="G96" s="135"/>
      <c r="H96" s="135"/>
      <c r="I96" s="135"/>
      <c r="J96" s="135"/>
      <c r="K96" s="135"/>
      <c r="L96" s="135"/>
      <c r="M96" s="135"/>
      <c r="N96" s="135"/>
      <c r="O96" s="135"/>
      <c r="P96" s="135"/>
      <c r="Q96" s="135"/>
      <c r="R96" s="135"/>
      <c r="S96" s="135"/>
      <c r="T96" s="135"/>
      <c r="U96" s="135"/>
      <c r="V96" s="135"/>
      <c r="W96" s="135"/>
      <c r="X96" s="135"/>
      <c r="Y96" s="135"/>
      <c r="Z96" s="135"/>
      <c r="AA96" s="135"/>
      <c r="AB96" s="135"/>
      <c r="AC96" s="135"/>
      <c r="AD96" s="135"/>
      <c r="AE96" s="135"/>
      <c r="AF96" s="135"/>
      <c r="AG96" s="135"/>
      <c r="AH96" s="135"/>
      <c r="AI96" s="135"/>
      <c r="AJ96" s="135"/>
      <c r="AK96" s="135"/>
      <c r="AL96" s="135"/>
      <c r="AM96" s="135"/>
      <c r="AN96" s="135"/>
      <c r="AO96" s="135"/>
      <c r="AP96" s="135"/>
      <c r="AQ96" s="135"/>
      <c r="AR96" s="135"/>
      <c r="AS96" s="135"/>
      <c r="AT96" s="135"/>
      <c r="AU96" s="135"/>
      <c r="AV96" s="135"/>
      <c r="AW96" s="135"/>
      <c r="AX96" s="135"/>
      <c r="AY96" s="135"/>
    </row>
    <row r="97" spans="2:51">
      <c r="B97" s="135">
        <v>54</v>
      </c>
      <c r="C97" s="163"/>
      <c r="D97" s="163"/>
      <c r="E97" s="163"/>
      <c r="F97" s="135"/>
      <c r="G97" s="135"/>
      <c r="H97" s="135"/>
      <c r="I97" s="135"/>
      <c r="J97" s="135"/>
      <c r="K97" s="135"/>
      <c r="L97" s="135"/>
      <c r="M97" s="135"/>
      <c r="N97" s="135"/>
      <c r="O97" s="135"/>
      <c r="P97" s="135"/>
      <c r="Q97" s="135"/>
      <c r="R97" s="135"/>
      <c r="S97" s="135"/>
      <c r="T97" s="135"/>
      <c r="U97" s="135"/>
      <c r="V97" s="135"/>
      <c r="W97" s="135"/>
      <c r="X97" s="135"/>
      <c r="Y97" s="135"/>
      <c r="Z97" s="135"/>
      <c r="AA97" s="135"/>
      <c r="AB97" s="135"/>
      <c r="AC97" s="135"/>
      <c r="AD97" s="135"/>
      <c r="AE97" s="135"/>
      <c r="AF97" s="135"/>
      <c r="AG97" s="135"/>
      <c r="AH97" s="135"/>
      <c r="AI97" s="135"/>
      <c r="AJ97" s="135"/>
      <c r="AK97" s="135"/>
      <c r="AL97" s="135"/>
      <c r="AM97" s="135"/>
      <c r="AN97" s="135"/>
      <c r="AO97" s="135"/>
      <c r="AP97" s="135"/>
      <c r="AQ97" s="135"/>
      <c r="AR97" s="135"/>
      <c r="AS97" s="135"/>
      <c r="AT97" s="135"/>
      <c r="AU97" s="135"/>
      <c r="AV97" s="135"/>
      <c r="AW97" s="135"/>
      <c r="AX97" s="135"/>
      <c r="AY97" s="135"/>
    </row>
    <row r="98" spans="2:51">
      <c r="B98" s="135">
        <v>55</v>
      </c>
      <c r="C98" s="163"/>
      <c r="D98" s="163"/>
      <c r="E98" s="163"/>
      <c r="F98" s="135"/>
      <c r="G98" s="135"/>
      <c r="H98" s="135"/>
      <c r="I98" s="135"/>
      <c r="J98" s="135"/>
      <c r="K98" s="135"/>
      <c r="L98" s="135"/>
      <c r="M98" s="135"/>
      <c r="N98" s="135"/>
      <c r="O98" s="135"/>
      <c r="P98" s="135"/>
      <c r="Q98" s="135"/>
      <c r="R98" s="135"/>
      <c r="S98" s="135"/>
      <c r="T98" s="135"/>
      <c r="U98" s="135"/>
      <c r="V98" s="135"/>
      <c r="W98" s="135"/>
      <c r="X98" s="135"/>
      <c r="Y98" s="135"/>
      <c r="Z98" s="135"/>
      <c r="AA98" s="135"/>
      <c r="AB98" s="135"/>
      <c r="AC98" s="135"/>
      <c r="AD98" s="135"/>
      <c r="AE98" s="135"/>
      <c r="AF98" s="135"/>
      <c r="AG98" s="135"/>
      <c r="AH98" s="135"/>
      <c r="AI98" s="135"/>
      <c r="AJ98" s="135"/>
      <c r="AK98" s="135"/>
      <c r="AL98" s="135"/>
      <c r="AM98" s="135"/>
      <c r="AN98" s="135"/>
      <c r="AO98" s="135"/>
      <c r="AP98" s="135"/>
      <c r="AQ98" s="135"/>
      <c r="AR98" s="135"/>
      <c r="AS98" s="135"/>
      <c r="AT98" s="135"/>
      <c r="AU98" s="135"/>
      <c r="AV98" s="135"/>
      <c r="AW98" s="135"/>
      <c r="AX98" s="135"/>
      <c r="AY98" s="135"/>
    </row>
    <row r="99" spans="2:51">
      <c r="B99" s="135">
        <v>56</v>
      </c>
      <c r="C99" s="163"/>
      <c r="D99" s="163"/>
      <c r="E99" s="163"/>
      <c r="F99" s="135"/>
      <c r="G99" s="135"/>
      <c r="H99" s="135"/>
      <c r="I99" s="135"/>
      <c r="J99" s="135"/>
      <c r="K99" s="135"/>
      <c r="L99" s="135"/>
      <c r="M99" s="135"/>
      <c r="N99" s="135"/>
      <c r="O99" s="135"/>
      <c r="P99" s="135"/>
      <c r="Q99" s="135"/>
      <c r="R99" s="135"/>
      <c r="S99" s="135"/>
      <c r="T99" s="135"/>
      <c r="U99" s="135"/>
      <c r="V99" s="135"/>
      <c r="W99" s="135"/>
      <c r="X99" s="135"/>
      <c r="Y99" s="135"/>
      <c r="Z99" s="135"/>
      <c r="AA99" s="135"/>
      <c r="AB99" s="135"/>
      <c r="AC99" s="135"/>
      <c r="AD99" s="135"/>
      <c r="AE99" s="135"/>
      <c r="AF99" s="135"/>
      <c r="AG99" s="135"/>
      <c r="AH99" s="135"/>
      <c r="AI99" s="135"/>
      <c r="AJ99" s="135"/>
      <c r="AK99" s="135"/>
      <c r="AL99" s="135"/>
      <c r="AM99" s="135"/>
      <c r="AN99" s="135"/>
      <c r="AO99" s="135"/>
      <c r="AP99" s="135"/>
      <c r="AQ99" s="135"/>
      <c r="AR99" s="135"/>
      <c r="AS99" s="135"/>
      <c r="AT99" s="135"/>
      <c r="AU99" s="135"/>
      <c r="AV99" s="135"/>
      <c r="AW99" s="135"/>
      <c r="AX99" s="135"/>
      <c r="AY99" s="135"/>
    </row>
    <row r="100" spans="2:51">
      <c r="B100" s="135">
        <v>57</v>
      </c>
      <c r="C100" s="163"/>
      <c r="D100" s="163"/>
      <c r="E100" s="163"/>
      <c r="F100" s="135"/>
      <c r="G100" s="135"/>
      <c r="H100" s="135"/>
      <c r="I100" s="135"/>
      <c r="J100" s="135"/>
      <c r="K100" s="135"/>
      <c r="L100" s="135"/>
      <c r="M100" s="135"/>
      <c r="N100" s="135"/>
      <c r="O100" s="135"/>
      <c r="P100" s="135"/>
      <c r="Q100" s="135"/>
      <c r="R100" s="135"/>
      <c r="S100" s="135"/>
      <c r="T100" s="135"/>
      <c r="U100" s="135"/>
      <c r="V100" s="135"/>
      <c r="W100" s="135"/>
      <c r="X100" s="135"/>
      <c r="Y100" s="135"/>
      <c r="Z100" s="135"/>
      <c r="AA100" s="135"/>
      <c r="AB100" s="135"/>
      <c r="AC100" s="135"/>
      <c r="AD100" s="135"/>
      <c r="AE100" s="135"/>
      <c r="AF100" s="135"/>
      <c r="AG100" s="135"/>
      <c r="AH100" s="135"/>
      <c r="AI100" s="135"/>
      <c r="AJ100" s="135"/>
      <c r="AK100" s="135"/>
      <c r="AL100" s="135"/>
      <c r="AM100" s="135"/>
      <c r="AN100" s="135"/>
      <c r="AO100" s="135"/>
      <c r="AP100" s="135"/>
      <c r="AQ100" s="135"/>
      <c r="AR100" s="135"/>
      <c r="AS100" s="135"/>
      <c r="AT100" s="135"/>
      <c r="AU100" s="135"/>
      <c r="AV100" s="135"/>
      <c r="AW100" s="135"/>
      <c r="AX100" s="135"/>
      <c r="AY100" s="135"/>
    </row>
    <row r="101" spans="2:51">
      <c r="B101" s="135">
        <v>58</v>
      </c>
      <c r="C101" s="163"/>
      <c r="D101" s="163"/>
      <c r="E101" s="163"/>
      <c r="F101" s="135"/>
      <c r="G101" s="135"/>
      <c r="H101" s="135"/>
      <c r="I101" s="135"/>
      <c r="J101" s="135"/>
      <c r="K101" s="135"/>
      <c r="L101" s="135"/>
      <c r="M101" s="135"/>
      <c r="N101" s="135"/>
      <c r="O101" s="135"/>
      <c r="P101" s="135"/>
      <c r="Q101" s="135"/>
      <c r="R101" s="135"/>
      <c r="S101" s="135"/>
      <c r="T101" s="135"/>
      <c r="U101" s="135"/>
      <c r="V101" s="135"/>
      <c r="W101" s="135"/>
      <c r="X101" s="135"/>
      <c r="Y101" s="135"/>
      <c r="Z101" s="135"/>
      <c r="AA101" s="135"/>
      <c r="AB101" s="135"/>
      <c r="AC101" s="135"/>
      <c r="AD101" s="135"/>
      <c r="AE101" s="135"/>
      <c r="AF101" s="135"/>
      <c r="AG101" s="135"/>
      <c r="AH101" s="135"/>
      <c r="AI101" s="135"/>
      <c r="AJ101" s="135"/>
      <c r="AK101" s="135"/>
      <c r="AL101" s="135"/>
      <c r="AM101" s="135"/>
      <c r="AN101" s="135"/>
      <c r="AO101" s="135"/>
      <c r="AP101" s="135"/>
      <c r="AQ101" s="135"/>
      <c r="AR101" s="135"/>
      <c r="AS101" s="135"/>
      <c r="AT101" s="135"/>
      <c r="AU101" s="135"/>
      <c r="AV101" s="135"/>
      <c r="AW101" s="135"/>
      <c r="AX101" s="135"/>
      <c r="AY101" s="135"/>
    </row>
    <row r="102" spans="2:51">
      <c r="B102" s="135">
        <v>59</v>
      </c>
      <c r="C102" s="163"/>
      <c r="D102" s="163"/>
      <c r="E102" s="163"/>
      <c r="F102" s="135"/>
      <c r="G102" s="135"/>
      <c r="H102" s="135"/>
      <c r="I102" s="135"/>
      <c r="J102" s="135"/>
      <c r="K102" s="135"/>
      <c r="L102" s="135"/>
      <c r="M102" s="135"/>
      <c r="N102" s="135"/>
      <c r="O102" s="135"/>
      <c r="P102" s="135"/>
      <c r="Q102" s="135"/>
      <c r="R102" s="135"/>
      <c r="S102" s="135"/>
      <c r="T102" s="135"/>
      <c r="U102" s="135"/>
      <c r="V102" s="135"/>
      <c r="W102" s="135"/>
      <c r="X102" s="135"/>
      <c r="Y102" s="135"/>
      <c r="Z102" s="135"/>
      <c r="AA102" s="135"/>
      <c r="AB102" s="135"/>
      <c r="AC102" s="135"/>
      <c r="AD102" s="135"/>
      <c r="AE102" s="135"/>
      <c r="AF102" s="135"/>
      <c r="AG102" s="135"/>
      <c r="AH102" s="135"/>
      <c r="AI102" s="135"/>
      <c r="AJ102" s="135"/>
      <c r="AK102" s="135"/>
      <c r="AL102" s="135"/>
      <c r="AM102" s="135"/>
      <c r="AN102" s="135"/>
      <c r="AO102" s="135"/>
      <c r="AP102" s="135"/>
      <c r="AQ102" s="135"/>
      <c r="AR102" s="135"/>
      <c r="AS102" s="135"/>
      <c r="AT102" s="135"/>
      <c r="AU102" s="135"/>
      <c r="AV102" s="135"/>
      <c r="AW102" s="135"/>
      <c r="AX102" s="135"/>
      <c r="AY102" s="135"/>
    </row>
    <row r="103" spans="2:51">
      <c r="B103" s="135">
        <v>60</v>
      </c>
      <c r="C103" s="163"/>
      <c r="D103" s="163"/>
      <c r="E103" s="163"/>
      <c r="F103" s="135"/>
      <c r="G103" s="135"/>
      <c r="H103" s="135"/>
      <c r="I103" s="135"/>
      <c r="J103" s="135"/>
      <c r="K103" s="135"/>
      <c r="L103" s="135"/>
      <c r="M103" s="135"/>
      <c r="N103" s="135"/>
      <c r="O103" s="135"/>
      <c r="P103" s="135"/>
      <c r="Q103" s="135"/>
      <c r="R103" s="135"/>
      <c r="S103" s="135"/>
      <c r="T103" s="135"/>
      <c r="U103" s="135"/>
      <c r="V103" s="135"/>
      <c r="W103" s="135"/>
      <c r="X103" s="135"/>
      <c r="Y103" s="135"/>
      <c r="Z103" s="135"/>
      <c r="AA103" s="135"/>
      <c r="AB103" s="135"/>
      <c r="AC103" s="135"/>
      <c r="AD103" s="135"/>
      <c r="AE103" s="135"/>
      <c r="AF103" s="135"/>
      <c r="AG103" s="135"/>
      <c r="AH103" s="135"/>
      <c r="AI103" s="135"/>
      <c r="AJ103" s="135"/>
      <c r="AK103" s="135"/>
      <c r="AL103" s="135"/>
      <c r="AM103" s="135"/>
      <c r="AN103" s="135"/>
      <c r="AO103" s="135"/>
      <c r="AP103" s="135"/>
      <c r="AQ103" s="135"/>
      <c r="AR103" s="135"/>
      <c r="AS103" s="135"/>
      <c r="AT103" s="135"/>
      <c r="AU103" s="135"/>
      <c r="AV103" s="135"/>
      <c r="AW103" s="135"/>
      <c r="AX103" s="135"/>
      <c r="AY103" s="135"/>
    </row>
    <row r="104" spans="2:51">
      <c r="B104" s="135">
        <v>61</v>
      </c>
      <c r="C104" s="163"/>
      <c r="D104" s="163"/>
      <c r="E104" s="163"/>
      <c r="F104" s="135"/>
      <c r="G104" s="135"/>
      <c r="H104" s="135"/>
      <c r="I104" s="135"/>
      <c r="J104" s="135"/>
      <c r="K104" s="135"/>
      <c r="L104" s="135"/>
      <c r="M104" s="135"/>
      <c r="N104" s="135"/>
      <c r="O104" s="135"/>
      <c r="P104" s="135"/>
      <c r="Q104" s="135"/>
      <c r="R104" s="135"/>
      <c r="S104" s="135"/>
      <c r="T104" s="135"/>
      <c r="U104" s="135"/>
      <c r="V104" s="135"/>
      <c r="W104" s="135"/>
      <c r="X104" s="135"/>
      <c r="Y104" s="135"/>
      <c r="Z104" s="135"/>
      <c r="AA104" s="135"/>
      <c r="AB104" s="135"/>
      <c r="AC104" s="135"/>
      <c r="AD104" s="135"/>
      <c r="AE104" s="135"/>
      <c r="AF104" s="135"/>
      <c r="AG104" s="135"/>
      <c r="AH104" s="135"/>
      <c r="AI104" s="135"/>
      <c r="AJ104" s="135"/>
      <c r="AK104" s="135"/>
      <c r="AL104" s="135"/>
      <c r="AM104" s="135"/>
      <c r="AN104" s="135"/>
      <c r="AO104" s="135"/>
      <c r="AP104" s="135"/>
      <c r="AQ104" s="135"/>
      <c r="AR104" s="135"/>
      <c r="AS104" s="135"/>
      <c r="AT104" s="135"/>
      <c r="AU104" s="135"/>
      <c r="AV104" s="135"/>
      <c r="AW104" s="135"/>
      <c r="AX104" s="135"/>
      <c r="AY104" s="135"/>
    </row>
    <row r="105" spans="2:51">
      <c r="B105" s="135">
        <v>62</v>
      </c>
      <c r="C105" s="163"/>
      <c r="D105" s="163"/>
      <c r="E105" s="163"/>
      <c r="F105" s="135"/>
      <c r="G105" s="135"/>
      <c r="H105" s="135"/>
      <c r="I105" s="135"/>
      <c r="J105" s="135"/>
      <c r="K105" s="135"/>
      <c r="L105" s="135"/>
      <c r="M105" s="135"/>
      <c r="N105" s="135"/>
      <c r="O105" s="135"/>
      <c r="P105" s="135"/>
      <c r="Q105" s="135"/>
      <c r="R105" s="135"/>
      <c r="S105" s="135"/>
      <c r="T105" s="135"/>
      <c r="U105" s="135"/>
      <c r="V105" s="135"/>
      <c r="W105" s="135"/>
      <c r="X105" s="135"/>
      <c r="Y105" s="135"/>
      <c r="Z105" s="135"/>
      <c r="AA105" s="135"/>
      <c r="AB105" s="135"/>
      <c r="AC105" s="135"/>
      <c r="AD105" s="135"/>
      <c r="AE105" s="135"/>
      <c r="AF105" s="135"/>
      <c r="AG105" s="135"/>
      <c r="AH105" s="135"/>
      <c r="AI105" s="135"/>
      <c r="AJ105" s="135"/>
      <c r="AK105" s="135"/>
      <c r="AL105" s="135"/>
      <c r="AM105" s="135"/>
      <c r="AN105" s="135"/>
      <c r="AO105" s="135"/>
      <c r="AP105" s="135"/>
      <c r="AQ105" s="135"/>
      <c r="AR105" s="135"/>
      <c r="AS105" s="135"/>
      <c r="AT105" s="135"/>
      <c r="AU105" s="135"/>
      <c r="AV105" s="135"/>
      <c r="AW105" s="135"/>
      <c r="AX105" s="135"/>
      <c r="AY105" s="135"/>
    </row>
    <row r="106" spans="2:51">
      <c r="B106" s="135">
        <v>63</v>
      </c>
      <c r="C106" s="163"/>
      <c r="D106" s="163"/>
      <c r="E106" s="163"/>
      <c r="F106" s="135"/>
      <c r="G106" s="135"/>
      <c r="H106" s="135"/>
      <c r="I106" s="135"/>
      <c r="J106" s="135"/>
      <c r="K106" s="135"/>
      <c r="L106" s="135"/>
      <c r="M106" s="135"/>
      <c r="N106" s="135"/>
      <c r="O106" s="135"/>
      <c r="P106" s="135"/>
      <c r="Q106" s="135"/>
      <c r="R106" s="135"/>
      <c r="S106" s="135"/>
      <c r="T106" s="135"/>
      <c r="U106" s="135"/>
      <c r="V106" s="135"/>
      <c r="W106" s="135"/>
      <c r="X106" s="135"/>
      <c r="Y106" s="135"/>
      <c r="Z106" s="135"/>
      <c r="AA106" s="135"/>
      <c r="AB106" s="135"/>
      <c r="AC106" s="135"/>
      <c r="AD106" s="135"/>
      <c r="AE106" s="135"/>
      <c r="AF106" s="135"/>
      <c r="AG106" s="135"/>
      <c r="AH106" s="135"/>
      <c r="AI106" s="135"/>
      <c r="AJ106" s="135"/>
      <c r="AK106" s="135"/>
      <c r="AL106" s="135"/>
      <c r="AM106" s="135"/>
      <c r="AN106" s="135"/>
      <c r="AO106" s="135"/>
      <c r="AP106" s="135"/>
      <c r="AQ106" s="135"/>
      <c r="AR106" s="135"/>
      <c r="AS106" s="135"/>
      <c r="AT106" s="135"/>
      <c r="AU106" s="135"/>
      <c r="AV106" s="135"/>
      <c r="AW106" s="135"/>
      <c r="AX106" s="135"/>
      <c r="AY106" s="135"/>
    </row>
    <row r="107" spans="2:51">
      <c r="B107" s="135">
        <v>64</v>
      </c>
      <c r="C107" s="163"/>
      <c r="D107" s="163"/>
      <c r="E107" s="163"/>
      <c r="F107" s="135"/>
      <c r="G107" s="135"/>
      <c r="H107" s="135"/>
      <c r="I107" s="135"/>
      <c r="J107" s="135"/>
      <c r="K107" s="135"/>
      <c r="L107" s="135"/>
      <c r="M107" s="135"/>
      <c r="N107" s="135"/>
      <c r="O107" s="135"/>
      <c r="P107" s="135"/>
      <c r="Q107" s="135"/>
      <c r="R107" s="135"/>
      <c r="S107" s="135"/>
      <c r="T107" s="135"/>
      <c r="U107" s="135"/>
      <c r="V107" s="135"/>
      <c r="W107" s="135"/>
      <c r="X107" s="135"/>
      <c r="Y107" s="135"/>
      <c r="Z107" s="135"/>
      <c r="AA107" s="135"/>
      <c r="AB107" s="135"/>
      <c r="AC107" s="135"/>
      <c r="AD107" s="135"/>
      <c r="AE107" s="135"/>
      <c r="AF107" s="135"/>
      <c r="AG107" s="135"/>
      <c r="AH107" s="135"/>
      <c r="AI107" s="135"/>
      <c r="AJ107" s="135"/>
      <c r="AK107" s="135"/>
      <c r="AL107" s="135"/>
      <c r="AM107" s="135"/>
      <c r="AN107" s="135"/>
      <c r="AO107" s="135"/>
      <c r="AP107" s="135"/>
      <c r="AQ107" s="135"/>
      <c r="AR107" s="135"/>
      <c r="AS107" s="135"/>
      <c r="AT107" s="135"/>
      <c r="AU107" s="135"/>
      <c r="AV107" s="135"/>
      <c r="AW107" s="135"/>
      <c r="AX107" s="135"/>
      <c r="AY107" s="135"/>
    </row>
  </sheetData>
  <phoneticPr fontId="3"/>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01427-7052-4B5B-AD21-5E4BA79CC701}">
  <sheetPr codeName="Sheet6">
    <tabColor theme="8" tint="0.59999389629810485"/>
  </sheetPr>
  <dimension ref="B2:AI47"/>
  <sheetViews>
    <sheetView zoomScale="70" zoomScaleNormal="70" workbookViewId="0">
      <selection activeCell="B18" sqref="B18"/>
    </sheetView>
  </sheetViews>
  <sheetFormatPr baseColWidth="10" defaultColWidth="8.7109375" defaultRowHeight="20"/>
  <sheetData>
    <row r="2" spans="2:30" ht="21" thickBot="1">
      <c r="B2" t="s">
        <v>1169</v>
      </c>
      <c r="G2" s="3" t="s">
        <v>874</v>
      </c>
      <c r="H2" s="3"/>
      <c r="I2" s="3"/>
      <c r="J2" s="3"/>
      <c r="K2" s="3"/>
      <c r="S2" s="3"/>
      <c r="U2" s="3"/>
    </row>
    <row r="3" spans="2:30">
      <c r="B3" s="303" t="s">
        <v>1170</v>
      </c>
      <c r="C3" s="304"/>
      <c r="D3" s="304"/>
      <c r="E3" s="305"/>
      <c r="G3" s="1"/>
      <c r="H3" s="10" t="s">
        <v>822</v>
      </c>
      <c r="I3" s="10" t="s">
        <v>618</v>
      </c>
      <c r="J3" s="10" t="s">
        <v>634</v>
      </c>
      <c r="K3" s="10" t="s">
        <v>881</v>
      </c>
    </row>
    <row r="4" spans="2:30">
      <c r="B4" s="306"/>
      <c r="C4" s="307"/>
      <c r="D4" s="307"/>
      <c r="E4" s="308"/>
      <c r="G4" s="1"/>
      <c r="H4" s="1" t="s">
        <v>872</v>
      </c>
      <c r="I4" s="1" t="s">
        <v>870</v>
      </c>
      <c r="J4" s="57" t="s">
        <v>651</v>
      </c>
      <c r="K4" s="57" t="s">
        <v>871</v>
      </c>
    </row>
    <row r="5" spans="2:30">
      <c r="B5" s="306"/>
      <c r="C5" s="307"/>
      <c r="D5" s="307"/>
      <c r="E5" s="308"/>
      <c r="G5" s="1"/>
      <c r="H5" s="1" t="s">
        <v>652</v>
      </c>
      <c r="I5" s="1" t="s">
        <v>652</v>
      </c>
      <c r="J5" s="57" t="s">
        <v>651</v>
      </c>
      <c r="K5" s="57" t="s">
        <v>651</v>
      </c>
    </row>
    <row r="6" spans="2:30">
      <c r="B6" s="306"/>
      <c r="C6" s="307"/>
      <c r="D6" s="307"/>
      <c r="E6" s="308"/>
      <c r="G6" s="10" t="s">
        <v>873</v>
      </c>
      <c r="H6" s="21">
        <v>0</v>
      </c>
      <c r="I6" s="21">
        <v>0.95</v>
      </c>
      <c r="J6" s="21" t="s">
        <v>623</v>
      </c>
      <c r="K6" s="21">
        <v>0.71499999999999997</v>
      </c>
    </row>
    <row r="7" spans="2:30">
      <c r="B7" s="306"/>
      <c r="C7" s="307"/>
      <c r="D7" s="307"/>
      <c r="E7" s="308"/>
      <c r="G7" s="10" t="s">
        <v>625</v>
      </c>
      <c r="H7" s="21">
        <v>0.85</v>
      </c>
      <c r="I7" s="21">
        <v>0.7</v>
      </c>
      <c r="J7" s="21" t="s">
        <v>623</v>
      </c>
      <c r="K7" s="21">
        <v>0.65</v>
      </c>
    </row>
    <row r="8" spans="2:30">
      <c r="B8" s="306"/>
      <c r="C8" s="307"/>
      <c r="D8" s="307"/>
      <c r="E8" s="308"/>
    </row>
    <row r="9" spans="2:30">
      <c r="B9" s="306"/>
      <c r="C9" s="307"/>
      <c r="D9" s="307"/>
      <c r="E9" s="308"/>
    </row>
    <row r="10" spans="2:30" ht="21" thickBot="1">
      <c r="B10" s="309"/>
      <c r="C10" s="310"/>
      <c r="D10" s="310"/>
      <c r="E10" s="311"/>
    </row>
    <row r="11" spans="2:30">
      <c r="G11" s="3" t="s">
        <v>875</v>
      </c>
      <c r="H11" s="3"/>
      <c r="I11" s="3"/>
      <c r="J11" s="3"/>
      <c r="K11" s="3"/>
    </row>
    <row r="12" spans="2:30">
      <c r="G12" s="1"/>
      <c r="H12" s="10" t="s">
        <v>822</v>
      </c>
      <c r="I12" s="10" t="s">
        <v>869</v>
      </c>
      <c r="J12" s="10" t="s">
        <v>634</v>
      </c>
      <c r="K12" s="10" t="s">
        <v>881</v>
      </c>
    </row>
    <row r="13" spans="2:30">
      <c r="G13" s="1"/>
      <c r="H13" s="1" t="s">
        <v>872</v>
      </c>
      <c r="I13" s="1" t="s">
        <v>870</v>
      </c>
      <c r="J13" s="57" t="s">
        <v>651</v>
      </c>
      <c r="K13" s="57" t="s">
        <v>871</v>
      </c>
      <c r="AD13" s="3" t="s">
        <v>1106</v>
      </c>
    </row>
    <row r="14" spans="2:30">
      <c r="G14" s="1"/>
      <c r="H14" s="1" t="s">
        <v>652</v>
      </c>
      <c r="I14" s="1" t="s">
        <v>652</v>
      </c>
      <c r="J14" s="57" t="s">
        <v>651</v>
      </c>
      <c r="K14" s="57" t="s">
        <v>651</v>
      </c>
    </row>
    <row r="15" spans="2:30">
      <c r="G15" s="10" t="s">
        <v>873</v>
      </c>
      <c r="H15" s="21">
        <v>0</v>
      </c>
      <c r="I15" s="21">
        <v>0.95</v>
      </c>
      <c r="J15" s="1">
        <v>1</v>
      </c>
      <c r="K15" s="21">
        <v>0.71499999999999997</v>
      </c>
    </row>
    <row r="16" spans="2:30">
      <c r="B16" t="s">
        <v>879</v>
      </c>
      <c r="G16" s="10" t="s">
        <v>876</v>
      </c>
      <c r="H16" s="21">
        <v>0</v>
      </c>
      <c r="I16" s="21">
        <v>0.95</v>
      </c>
      <c r="J16" s="1">
        <v>1</v>
      </c>
      <c r="K16" s="21">
        <v>0.71499999999999997</v>
      </c>
    </row>
    <row r="17" spans="2:33">
      <c r="B17" s="29"/>
      <c r="C17" s="29"/>
      <c r="D17" s="29"/>
      <c r="E17" s="29"/>
      <c r="G17" s="10" t="s">
        <v>625</v>
      </c>
      <c r="H17" s="21">
        <v>0.85</v>
      </c>
      <c r="I17" s="21">
        <v>0.7</v>
      </c>
      <c r="J17" s="1">
        <v>1</v>
      </c>
      <c r="K17" s="21">
        <v>0.65</v>
      </c>
    </row>
    <row r="18" spans="2:33">
      <c r="B18" s="29" t="s">
        <v>877</v>
      </c>
      <c r="C18" s="29"/>
      <c r="D18" s="29"/>
      <c r="E18" s="29"/>
    </row>
    <row r="19" spans="2:33">
      <c r="B19" s="29" t="s">
        <v>878</v>
      </c>
      <c r="C19" s="29"/>
      <c r="D19" s="29"/>
      <c r="E19" s="29"/>
    </row>
    <row r="20" spans="2:33">
      <c r="B20" s="29" t="s">
        <v>880</v>
      </c>
      <c r="C20" s="29"/>
      <c r="D20" s="29"/>
      <c r="E20" s="29"/>
    </row>
    <row r="22" spans="2:33">
      <c r="B22" t="s">
        <v>620</v>
      </c>
      <c r="G22" t="s">
        <v>1303</v>
      </c>
      <c r="X22" t="s">
        <v>842</v>
      </c>
      <c r="AB22" s="3" t="s">
        <v>768</v>
      </c>
      <c r="AC22" s="3"/>
      <c r="AE22" s="3"/>
      <c r="AF22" s="3"/>
      <c r="AG22" t="s">
        <v>1318</v>
      </c>
    </row>
    <row r="23" spans="2:33">
      <c r="B23" s="29"/>
      <c r="C23" s="29"/>
      <c r="D23" s="29"/>
      <c r="E23" s="29"/>
      <c r="G23" s="10" t="s">
        <v>822</v>
      </c>
      <c r="H23" s="10" t="s">
        <v>843</v>
      </c>
      <c r="I23" s="10" t="s">
        <v>585</v>
      </c>
      <c r="J23" s="10" t="s">
        <v>397</v>
      </c>
      <c r="K23" s="10" t="s">
        <v>586</v>
      </c>
      <c r="L23" s="10" t="s">
        <v>738</v>
      </c>
      <c r="M23" s="10" t="s">
        <v>739</v>
      </c>
      <c r="N23" s="10" t="s">
        <v>740</v>
      </c>
      <c r="O23" s="10" t="s">
        <v>741</v>
      </c>
      <c r="P23" s="10" t="s">
        <v>743</v>
      </c>
      <c r="Q23" s="10" t="s">
        <v>577</v>
      </c>
      <c r="R23" s="10" t="s">
        <v>744</v>
      </c>
      <c r="S23" s="10"/>
      <c r="T23" s="10" t="s">
        <v>745</v>
      </c>
      <c r="U23" s="10" t="s">
        <v>702</v>
      </c>
      <c r="V23" s="10" t="s">
        <v>746</v>
      </c>
      <c r="W23" s="10" t="s">
        <v>747</v>
      </c>
      <c r="X23" s="10" t="s">
        <v>748</v>
      </c>
      <c r="Y23" s="10" t="s">
        <v>749</v>
      </c>
      <c r="Z23" s="10" t="s">
        <v>750</v>
      </c>
      <c r="AA23" s="10" t="s">
        <v>751</v>
      </c>
      <c r="AB23" s="96" t="s">
        <v>769</v>
      </c>
      <c r="AC23" s="96" t="s">
        <v>770</v>
      </c>
      <c r="AD23" s="96" t="s">
        <v>771</v>
      </c>
      <c r="AE23" s="96" t="s">
        <v>772</v>
      </c>
      <c r="AF23" s="96" t="s">
        <v>773</v>
      </c>
    </row>
    <row r="24" spans="2:33">
      <c r="B24" s="29"/>
      <c r="C24" s="29"/>
      <c r="D24" s="29"/>
      <c r="E24" s="29"/>
      <c r="G24" s="1" t="s">
        <v>872</v>
      </c>
      <c r="H24" s="1" t="s">
        <v>45</v>
      </c>
      <c r="I24" s="1" t="s">
        <v>578</v>
      </c>
      <c r="J24" s="1" t="s">
        <v>46</v>
      </c>
      <c r="K24" s="1" t="s">
        <v>46</v>
      </c>
      <c r="L24" s="1" t="s">
        <v>46</v>
      </c>
      <c r="M24" s="1" t="s">
        <v>46</v>
      </c>
      <c r="N24" s="1" t="s">
        <v>46</v>
      </c>
      <c r="O24" s="1" t="s">
        <v>46</v>
      </c>
      <c r="P24" s="1" t="s">
        <v>46</v>
      </c>
      <c r="Q24" s="1" t="s">
        <v>583</v>
      </c>
      <c r="R24" s="1" t="s">
        <v>752</v>
      </c>
      <c r="S24" s="1" t="s">
        <v>753</v>
      </c>
      <c r="T24" s="1" t="s">
        <v>754</v>
      </c>
      <c r="U24" s="1" t="s">
        <v>755</v>
      </c>
      <c r="V24" s="1" t="s">
        <v>756</v>
      </c>
      <c r="W24" s="1" t="s">
        <v>757</v>
      </c>
      <c r="X24" s="1" t="s">
        <v>758</v>
      </c>
      <c r="Y24" s="1" t="s">
        <v>759</v>
      </c>
      <c r="Z24" s="1" t="s">
        <v>760</v>
      </c>
      <c r="AA24" s="1" t="s">
        <v>761</v>
      </c>
      <c r="AB24" s="1" t="s">
        <v>774</v>
      </c>
      <c r="AC24" s="1" t="s">
        <v>775</v>
      </c>
      <c r="AD24" s="1" t="s">
        <v>776</v>
      </c>
      <c r="AE24" s="1" t="s">
        <v>777</v>
      </c>
      <c r="AF24" s="1" t="s">
        <v>778</v>
      </c>
    </row>
    <row r="25" spans="2:33" ht="21" thickBot="1">
      <c r="B25" s="29"/>
      <c r="C25" s="29"/>
      <c r="D25" s="29"/>
      <c r="E25" s="29"/>
      <c r="G25" s="19" t="s">
        <v>5</v>
      </c>
      <c r="H25" s="19" t="s">
        <v>45</v>
      </c>
      <c r="I25" s="19" t="s">
        <v>591</v>
      </c>
      <c r="J25" s="19" t="s">
        <v>591</v>
      </c>
      <c r="K25" s="19" t="s">
        <v>606</v>
      </c>
      <c r="L25" s="19" t="s">
        <v>607</v>
      </c>
      <c r="M25" s="19" t="s">
        <v>607</v>
      </c>
      <c r="N25" s="19" t="s">
        <v>607</v>
      </c>
      <c r="O25" s="19" t="s">
        <v>607</v>
      </c>
      <c r="P25" s="19" t="s">
        <v>45</v>
      </c>
      <c r="Q25" s="19" t="s">
        <v>592</v>
      </c>
      <c r="R25" s="19" t="s">
        <v>762</v>
      </c>
      <c r="S25" s="19" t="s">
        <v>762</v>
      </c>
      <c r="T25" s="19" t="s">
        <v>762</v>
      </c>
      <c r="U25" s="19" t="s">
        <v>763</v>
      </c>
      <c r="V25" s="19" t="s">
        <v>764</v>
      </c>
      <c r="W25" s="19" t="s">
        <v>765</v>
      </c>
      <c r="X25" s="19" t="s">
        <v>766</v>
      </c>
      <c r="Y25" s="19" t="s">
        <v>766</v>
      </c>
      <c r="Z25" s="19" t="s">
        <v>767</v>
      </c>
      <c r="AA25" s="19" t="s">
        <v>767</v>
      </c>
      <c r="AB25" s="19" t="s">
        <v>779</v>
      </c>
      <c r="AC25" s="19" t="s">
        <v>780</v>
      </c>
      <c r="AD25" s="19" t="s">
        <v>781</v>
      </c>
      <c r="AE25" s="19" t="s">
        <v>779</v>
      </c>
      <c r="AF25" s="19" t="s">
        <v>651</v>
      </c>
    </row>
    <row r="26" spans="2:33" ht="21" thickTop="1">
      <c r="B26" s="29"/>
      <c r="C26" s="29"/>
      <c r="D26" s="29"/>
      <c r="E26" s="29"/>
      <c r="G26" s="4">
        <v>0</v>
      </c>
      <c r="H26" s="118" t="s">
        <v>501</v>
      </c>
      <c r="I26" s="97">
        <v>15</v>
      </c>
      <c r="J26" s="97">
        <v>15</v>
      </c>
      <c r="K26" s="97">
        <v>0</v>
      </c>
      <c r="L26" s="118">
        <v>0</v>
      </c>
      <c r="M26" s="118">
        <v>0</v>
      </c>
      <c r="N26" s="97">
        <v>0</v>
      </c>
      <c r="O26" s="97">
        <v>0</v>
      </c>
      <c r="P26" s="97">
        <v>0</v>
      </c>
      <c r="Q26" s="2">
        <v>0</v>
      </c>
      <c r="R26" s="1">
        <v>128.55212654337893</v>
      </c>
      <c r="S26" s="1">
        <v>16.303408580287435</v>
      </c>
      <c r="T26" s="27">
        <v>-1041.8410000000001</v>
      </c>
      <c r="U26" s="27">
        <v>-1041.8410000000001</v>
      </c>
      <c r="V26" s="27">
        <v>-1041.8410000000001</v>
      </c>
      <c r="W26" s="27">
        <v>-1041.8410000000001</v>
      </c>
      <c r="X26" s="27">
        <v>-1041.8410000000001</v>
      </c>
      <c r="Y26" s="27">
        <v>-1041.8410000000001</v>
      </c>
      <c r="Z26" s="27">
        <v>-1041.8410000000001</v>
      </c>
      <c r="AA26" s="27">
        <v>-1041.8410000000001</v>
      </c>
      <c r="AB26" s="27">
        <v>-1041.8410000000001</v>
      </c>
      <c r="AC26" s="27">
        <v>-1041.8410000000001</v>
      </c>
      <c r="AD26" s="27">
        <v>-1041.8410000000001</v>
      </c>
      <c r="AE26" s="27">
        <v>-1041.8410000000001</v>
      </c>
      <c r="AF26" s="27">
        <v>-1041.8410000000001</v>
      </c>
    </row>
    <row r="27" spans="2:33">
      <c r="B27" s="29"/>
      <c r="C27" s="29"/>
      <c r="D27" s="29"/>
      <c r="E27" s="29"/>
      <c r="G27" s="21">
        <v>3.5</v>
      </c>
      <c r="H27" s="26"/>
      <c r="I27" s="27"/>
      <c r="J27" s="27"/>
      <c r="K27" s="27"/>
      <c r="L27" s="26"/>
      <c r="M27" s="26"/>
      <c r="N27" s="27"/>
      <c r="O27" s="27"/>
      <c r="P27" s="27"/>
      <c r="Q27" s="1"/>
      <c r="R27" s="1"/>
      <c r="S27" s="1"/>
      <c r="T27" s="27"/>
      <c r="U27" s="27"/>
      <c r="V27" s="27"/>
      <c r="W27" s="27"/>
      <c r="X27" s="27"/>
      <c r="Y27" s="27"/>
      <c r="Z27" s="27"/>
      <c r="AA27" s="27"/>
      <c r="AB27" s="27"/>
      <c r="AC27" s="27"/>
      <c r="AD27" s="27"/>
      <c r="AE27" s="27"/>
      <c r="AF27" s="27"/>
    </row>
    <row r="28" spans="2:33">
      <c r="B28" s="29"/>
      <c r="C28" s="29"/>
      <c r="D28" s="29"/>
      <c r="E28" s="29"/>
    </row>
    <row r="29" spans="2:33">
      <c r="B29" s="29"/>
      <c r="C29" s="29"/>
      <c r="D29" s="29"/>
      <c r="E29" s="29"/>
      <c r="G29" s="29" t="s">
        <v>844</v>
      </c>
      <c r="H29" s="117">
        <v>500</v>
      </c>
      <c r="I29" s="29" t="s">
        <v>765</v>
      </c>
      <c r="K29" s="29" t="s">
        <v>856</v>
      </c>
      <c r="L29" s="29" t="e">
        <f>(#REF!-H28)*(H29-1)+#REF!</f>
        <v>#REF!</v>
      </c>
      <c r="M29" s="29" t="s">
        <v>765</v>
      </c>
      <c r="S29" t="s">
        <v>1116</v>
      </c>
    </row>
    <row r="30" spans="2:33">
      <c r="B30" s="29"/>
      <c r="C30" s="29"/>
      <c r="D30" s="29"/>
      <c r="E30" s="29"/>
      <c r="G30" s="29" t="s">
        <v>845</v>
      </c>
      <c r="H30" s="117">
        <v>40</v>
      </c>
      <c r="I30" s="29" t="s">
        <v>765</v>
      </c>
      <c r="K30" s="29" t="s">
        <v>858</v>
      </c>
      <c r="L30" s="29" t="e">
        <f>L29-H30*2</f>
        <v>#REF!</v>
      </c>
      <c r="M30" s="29" t="s">
        <v>765</v>
      </c>
      <c r="O30" s="1" t="s">
        <v>863</v>
      </c>
      <c r="P30" s="21">
        <v>10</v>
      </c>
      <c r="Q30" s="1" t="s">
        <v>765</v>
      </c>
      <c r="V30" t="s">
        <v>854</v>
      </c>
      <c r="W30" t="s">
        <v>855</v>
      </c>
    </row>
    <row r="31" spans="2:33">
      <c r="B31" s="29"/>
      <c r="C31" s="29"/>
      <c r="D31" s="29"/>
      <c r="E31" s="29"/>
      <c r="G31" s="29" t="s">
        <v>846</v>
      </c>
      <c r="H31" s="117">
        <v>9</v>
      </c>
      <c r="I31" s="29" t="s">
        <v>847</v>
      </c>
      <c r="K31" s="29" t="s">
        <v>860</v>
      </c>
      <c r="L31" s="29" t="e">
        <f>(L30-#REF!)/2</f>
        <v>#REF!</v>
      </c>
      <c r="M31" s="29" t="s">
        <v>765</v>
      </c>
      <c r="O31" s="1" t="s">
        <v>864</v>
      </c>
      <c r="P31" s="21">
        <v>10</v>
      </c>
      <c r="Q31" s="1" t="s">
        <v>765</v>
      </c>
      <c r="T31" t="s">
        <v>857</v>
      </c>
      <c r="U31" s="29" t="s">
        <v>850</v>
      </c>
      <c r="V31" s="123" t="e">
        <f>#REF!</f>
        <v>#REF!</v>
      </c>
      <c r="W31" s="123" t="e">
        <f>V31+P29*(#REF!+#REF!)*2</f>
        <v>#REF!</v>
      </c>
    </row>
    <row r="32" spans="2:33">
      <c r="B32" s="29"/>
      <c r="C32" s="29"/>
      <c r="D32" s="29"/>
      <c r="E32" s="29"/>
      <c r="G32" s="29" t="s">
        <v>848</v>
      </c>
      <c r="H32" s="117">
        <v>50</v>
      </c>
      <c r="I32" s="29" t="s">
        <v>765</v>
      </c>
      <c r="K32" s="29" t="s">
        <v>866</v>
      </c>
      <c r="L32" s="29"/>
      <c r="M32" s="29" t="s">
        <v>36</v>
      </c>
      <c r="O32" s="1" t="s">
        <v>865</v>
      </c>
      <c r="P32" s="26">
        <v>1000</v>
      </c>
      <c r="Q32" s="1" t="s">
        <v>765</v>
      </c>
      <c r="U32" s="29" t="s">
        <v>859</v>
      </c>
      <c r="V32" s="123" t="e">
        <f>#REF!*#REF!</f>
        <v>#REF!</v>
      </c>
      <c r="W32" s="123" t="e">
        <f>V32+P29*#REF!*2</f>
        <v>#REF!</v>
      </c>
    </row>
    <row r="33" spans="2:35">
      <c r="B33" s="29"/>
      <c r="C33" s="29"/>
      <c r="D33" s="29"/>
      <c r="E33" s="29"/>
      <c r="U33" s="29" t="s">
        <v>861</v>
      </c>
      <c r="V33" s="123">
        <f>L28</f>
        <v>0</v>
      </c>
      <c r="W33" s="123" t="e">
        <f>V33+P29*(#REF!+#REF!)*2</f>
        <v>#REF!</v>
      </c>
    </row>
    <row r="34" spans="2:35">
      <c r="B34" s="29"/>
      <c r="C34" s="29"/>
      <c r="D34" s="29"/>
      <c r="E34" s="29"/>
      <c r="U34" s="29" t="s">
        <v>853</v>
      </c>
      <c r="V34" s="123" t="e">
        <f>L28*#REF!</f>
        <v>#REF!</v>
      </c>
      <c r="W34" s="123" t="e">
        <f>V34+P29*#REF!*2</f>
        <v>#REF!</v>
      </c>
    </row>
    <row r="35" spans="2:35">
      <c r="B35" s="29"/>
      <c r="C35" s="29"/>
      <c r="D35" s="29"/>
      <c r="E35" s="29"/>
      <c r="T35" t="s">
        <v>862</v>
      </c>
      <c r="U35" s="29" t="s">
        <v>850</v>
      </c>
      <c r="V35" s="123" t="e">
        <f>H36-#REF!*H30</f>
        <v>#REF!</v>
      </c>
      <c r="W35" s="123" t="e">
        <f>V35+P29*(#REF!+#REF!)*2</f>
        <v>#REF!</v>
      </c>
    </row>
    <row r="36" spans="2:35">
      <c r="B36" s="29"/>
      <c r="C36" s="29"/>
      <c r="D36" s="29"/>
      <c r="E36" s="29"/>
      <c r="U36" s="29" t="s">
        <v>859</v>
      </c>
      <c r="V36" s="123" t="e">
        <f>V35*#REF!</f>
        <v>#REF!</v>
      </c>
      <c r="W36" s="123" t="e">
        <f>V36+P29*#REF!*2</f>
        <v>#REF!</v>
      </c>
    </row>
    <row r="37" spans="2:35">
      <c r="B37" s="29"/>
      <c r="C37" s="29"/>
      <c r="D37" s="29"/>
      <c r="E37" s="29"/>
      <c r="U37" s="29" t="s">
        <v>861</v>
      </c>
      <c r="V37" s="123" t="e">
        <f>O38+H30*#REF!</f>
        <v>#REF!</v>
      </c>
      <c r="W37" s="123" t="e">
        <f>V37+P29*(#REF!+#REF!)*2</f>
        <v>#REF!</v>
      </c>
    </row>
    <row r="38" spans="2:35">
      <c r="B38" s="29"/>
      <c r="C38" s="29"/>
      <c r="D38" s="29"/>
      <c r="E38" s="29"/>
      <c r="U38" s="29" t="s">
        <v>853</v>
      </c>
      <c r="V38" s="123" t="e">
        <f>V37*#REF!</f>
        <v>#REF!</v>
      </c>
      <c r="W38" s="123" t="e">
        <f>V38+P29*#REF!*2</f>
        <v>#REF!</v>
      </c>
    </row>
    <row r="39" spans="2:35">
      <c r="B39" s="29"/>
      <c r="C39" s="29"/>
      <c r="D39" s="29"/>
      <c r="E39" s="29"/>
    </row>
    <row r="40" spans="2:35">
      <c r="B40" s="29"/>
      <c r="C40" s="29"/>
      <c r="D40" s="29"/>
      <c r="E40" s="29"/>
    </row>
    <row r="41" spans="2:35">
      <c r="B41" s="29"/>
      <c r="C41" s="29"/>
      <c r="D41" s="29"/>
      <c r="E41" s="29"/>
    </row>
    <row r="42" spans="2:35">
      <c r="B42" s="29"/>
      <c r="C42" s="29"/>
      <c r="D42" s="29"/>
      <c r="E42" s="29"/>
      <c r="G42" t="s">
        <v>882</v>
      </c>
      <c r="H42" t="s">
        <v>722</v>
      </c>
      <c r="P42" s="3"/>
      <c r="Q42" t="s">
        <v>658</v>
      </c>
    </row>
    <row r="43" spans="2:35">
      <c r="B43" s="29"/>
      <c r="C43" s="29"/>
      <c r="D43" s="29"/>
      <c r="E43" s="29"/>
      <c r="G43" s="10" t="s">
        <v>624</v>
      </c>
      <c r="H43" s="10" t="s">
        <v>697</v>
      </c>
      <c r="I43" s="10" t="s">
        <v>699</v>
      </c>
      <c r="J43" s="10" t="s">
        <v>700</v>
      </c>
      <c r="K43" s="10" t="s">
        <v>703</v>
      </c>
      <c r="L43" s="10" t="s">
        <v>704</v>
      </c>
      <c r="M43" s="10" t="s">
        <v>723</v>
      </c>
      <c r="N43" s="10" t="s">
        <v>727</v>
      </c>
      <c r="O43" s="10" t="s">
        <v>726</v>
      </c>
      <c r="P43" s="10" t="s">
        <v>724</v>
      </c>
      <c r="Q43" s="10" t="s">
        <v>665</v>
      </c>
      <c r="R43" s="10" t="s">
        <v>659</v>
      </c>
      <c r="S43" s="10" t="s">
        <v>660</v>
      </c>
      <c r="T43" s="10" t="s">
        <v>730</v>
      </c>
      <c r="U43" s="10" t="s">
        <v>336</v>
      </c>
      <c r="V43" s="10" t="s">
        <v>349</v>
      </c>
      <c r="W43" s="10" t="s">
        <v>733</v>
      </c>
      <c r="X43" s="10" t="s">
        <v>361</v>
      </c>
      <c r="Y43" s="10" t="s">
        <v>735</v>
      </c>
      <c r="Z43" s="10" t="s">
        <v>343</v>
      </c>
      <c r="AA43" s="10" t="s">
        <v>661</v>
      </c>
      <c r="AB43" s="10" t="s">
        <v>685</v>
      </c>
      <c r="AC43" s="10" t="s">
        <v>686</v>
      </c>
      <c r="AD43" s="10" t="s">
        <v>687</v>
      </c>
      <c r="AE43" s="10" t="s">
        <v>663</v>
      </c>
      <c r="AF43" s="10" t="s">
        <v>662</v>
      </c>
      <c r="AG43" s="10" t="s">
        <v>666</v>
      </c>
      <c r="AH43" s="10" t="s">
        <v>664</v>
      </c>
      <c r="AI43" s="10" t="s">
        <v>691</v>
      </c>
    </row>
    <row r="44" spans="2:35">
      <c r="B44" s="29"/>
      <c r="C44" s="29"/>
      <c r="D44" s="29"/>
      <c r="E44" s="29"/>
      <c r="G44" s="1" t="s">
        <v>465</v>
      </c>
      <c r="H44" s="1" t="s">
        <v>45</v>
      </c>
      <c r="I44" s="1" t="s">
        <v>45</v>
      </c>
      <c r="J44" s="1" t="s">
        <v>45</v>
      </c>
      <c r="K44" s="1" t="s">
        <v>45</v>
      </c>
      <c r="L44" s="1" t="s">
        <v>45</v>
      </c>
      <c r="M44" s="1" t="s">
        <v>45</v>
      </c>
      <c r="N44" s="1" t="s">
        <v>45</v>
      </c>
      <c r="O44" s="1" t="s">
        <v>45</v>
      </c>
      <c r="P44" s="57" t="s">
        <v>45</v>
      </c>
      <c r="Q44" s="57" t="s">
        <v>679</v>
      </c>
      <c r="R44" s="57" t="s">
        <v>667</v>
      </c>
      <c r="S44" s="57" t="s">
        <v>668</v>
      </c>
      <c r="T44" s="57" t="s">
        <v>731</v>
      </c>
      <c r="U44" s="57" t="s">
        <v>669</v>
      </c>
      <c r="V44" s="57" t="s">
        <v>670</v>
      </c>
      <c r="W44" s="57" t="s">
        <v>734</v>
      </c>
      <c r="X44" s="57" t="s">
        <v>671</v>
      </c>
      <c r="Y44" s="57" t="s">
        <v>674</v>
      </c>
      <c r="Z44" s="57" t="s">
        <v>672</v>
      </c>
      <c r="AA44" s="57" t="s">
        <v>673</v>
      </c>
      <c r="AB44" s="57" t="s">
        <v>363</v>
      </c>
      <c r="AC44" s="57" t="s">
        <v>366</v>
      </c>
      <c r="AD44" s="57" t="s">
        <v>830</v>
      </c>
      <c r="AE44" s="57" t="s">
        <v>677</v>
      </c>
      <c r="AF44" s="57" t="s">
        <v>676</v>
      </c>
      <c r="AG44" s="57" t="s">
        <v>680</v>
      </c>
      <c r="AH44" s="57" t="s">
        <v>678</v>
      </c>
      <c r="AI44" s="57" t="s">
        <v>688</v>
      </c>
    </row>
    <row r="45" spans="2:35" ht="21" thickBot="1">
      <c r="B45" s="29"/>
      <c r="C45" s="29"/>
      <c r="D45" s="29"/>
      <c r="E45" s="29"/>
      <c r="G45" s="19" t="s">
        <v>5</v>
      </c>
      <c r="H45" s="120" t="s">
        <v>725</v>
      </c>
      <c r="I45" s="120" t="s">
        <v>725</v>
      </c>
      <c r="J45" s="120" t="s">
        <v>725</v>
      </c>
      <c r="K45" s="19" t="s">
        <v>725</v>
      </c>
      <c r="L45" s="19" t="s">
        <v>725</v>
      </c>
      <c r="M45" s="19" t="s">
        <v>725</v>
      </c>
      <c r="N45" s="19" t="s">
        <v>725</v>
      </c>
      <c r="O45" s="19" t="s">
        <v>725</v>
      </c>
      <c r="P45" s="114" t="s">
        <v>725</v>
      </c>
      <c r="Q45" s="114" t="s">
        <v>681</v>
      </c>
      <c r="R45" s="114" t="s">
        <v>681</v>
      </c>
      <c r="S45" s="114" t="s">
        <v>651</v>
      </c>
      <c r="T45" s="114" t="s">
        <v>651</v>
      </c>
      <c r="U45" s="114" t="s">
        <v>651</v>
      </c>
      <c r="V45" s="114" t="s">
        <v>651</v>
      </c>
      <c r="W45" s="114" t="s">
        <v>651</v>
      </c>
      <c r="X45" s="114" t="s">
        <v>651</v>
      </c>
      <c r="Y45" s="114" t="s">
        <v>651</v>
      </c>
      <c r="Z45" s="114" t="s">
        <v>682</v>
      </c>
      <c r="AA45" s="114" t="s">
        <v>682</v>
      </c>
      <c r="AB45" s="114" t="s">
        <v>273</v>
      </c>
      <c r="AC45" s="114" t="s">
        <v>273</v>
      </c>
      <c r="AD45" s="114" t="s">
        <v>732</v>
      </c>
      <c r="AE45" s="114" t="s">
        <v>683</v>
      </c>
      <c r="AF45" s="114" t="s">
        <v>683</v>
      </c>
      <c r="AG45" s="114" t="s">
        <v>683</v>
      </c>
      <c r="AH45" s="114" t="s">
        <v>684</v>
      </c>
      <c r="AI45" s="114" t="s">
        <v>684</v>
      </c>
    </row>
    <row r="46" spans="2:35" ht="21" thickTop="1">
      <c r="B46" s="29"/>
      <c r="C46" s="29"/>
      <c r="D46" s="29"/>
      <c r="E46" s="29"/>
      <c r="G46" s="4">
        <v>0</v>
      </c>
      <c r="H46" s="28"/>
      <c r="I46" s="28"/>
      <c r="J46" s="28"/>
      <c r="K46" s="28"/>
      <c r="L46" s="28"/>
      <c r="M46" s="28"/>
      <c r="N46" s="28"/>
      <c r="O46" s="28"/>
      <c r="P46" s="28"/>
      <c r="Q46" s="28"/>
      <c r="R46" s="28"/>
      <c r="S46" s="28"/>
      <c r="T46" s="28"/>
      <c r="U46" s="28"/>
      <c r="V46" s="28"/>
      <c r="W46" s="28"/>
      <c r="X46" s="28"/>
      <c r="Y46" s="28"/>
      <c r="Z46" s="28"/>
      <c r="AA46" s="28"/>
      <c r="AB46" s="28"/>
      <c r="AC46" s="28"/>
      <c r="AD46" s="28"/>
      <c r="AE46" s="28"/>
      <c r="AF46" s="28"/>
      <c r="AG46" s="28"/>
      <c r="AH46" s="28"/>
      <c r="AI46" s="28"/>
    </row>
    <row r="47" spans="2:35">
      <c r="B47" s="29"/>
      <c r="C47" s="29"/>
      <c r="D47" s="29"/>
      <c r="E47" s="29"/>
      <c r="G47" s="21">
        <v>3.5</v>
      </c>
    </row>
  </sheetData>
  <mergeCells count="1">
    <mergeCell ref="B3:E10"/>
  </mergeCells>
  <phoneticPr fontId="3"/>
  <pageMargins left="0.7" right="0.7" top="0.75" bottom="0.75" header="0.3" footer="0.3"/>
  <pageSetup paperSize="9" orientation="portrait" horizontalDpi="0" verticalDpi="0"/>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EC04BF-E47B-4828-B631-BFB602073A0F}">
  <sheetPr codeName="Sheet7">
    <tabColor theme="8" tint="0.59999389629810485"/>
  </sheetPr>
  <dimension ref="B2:E17"/>
  <sheetViews>
    <sheetView zoomScale="70" zoomScaleNormal="70" workbookViewId="0">
      <selection activeCell="S37" sqref="S37"/>
    </sheetView>
  </sheetViews>
  <sheetFormatPr baseColWidth="10" defaultColWidth="8.7109375" defaultRowHeight="20"/>
  <sheetData>
    <row r="2" spans="2:5">
      <c r="B2" s="3" t="s">
        <v>784</v>
      </c>
      <c r="C2" s="3"/>
      <c r="D2" s="3"/>
      <c r="E2" s="3"/>
    </row>
    <row r="3" spans="2:5">
      <c r="B3" s="10" t="s">
        <v>177</v>
      </c>
      <c r="C3" s="10" t="s">
        <v>178</v>
      </c>
      <c r="D3" s="10" t="s">
        <v>785</v>
      </c>
      <c r="E3" s="10" t="s">
        <v>179</v>
      </c>
    </row>
    <row r="4" spans="2:5">
      <c r="B4" s="1" t="s">
        <v>786</v>
      </c>
      <c r="C4" s="1" t="s">
        <v>787</v>
      </c>
      <c r="D4" s="21">
        <v>3.5209999999999999</v>
      </c>
      <c r="E4" s="1" t="s">
        <v>652</v>
      </c>
    </row>
    <row r="5" spans="2:5">
      <c r="B5" s="1" t="s">
        <v>643</v>
      </c>
      <c r="C5" s="1" t="s">
        <v>788</v>
      </c>
      <c r="D5" s="21">
        <v>-1.5</v>
      </c>
      <c r="E5" s="1" t="s">
        <v>652</v>
      </c>
    </row>
    <row r="6" spans="2:5">
      <c r="B6" s="1"/>
      <c r="C6" s="1" t="s">
        <v>789</v>
      </c>
      <c r="D6" s="21">
        <v>0</v>
      </c>
      <c r="E6" s="1" t="s">
        <v>652</v>
      </c>
    </row>
    <row r="7" spans="2:5">
      <c r="B7" s="1"/>
      <c r="C7" s="1" t="s">
        <v>790</v>
      </c>
      <c r="D7" s="21">
        <v>4.5999999999999999E-2</v>
      </c>
      <c r="E7" s="1" t="s">
        <v>652</v>
      </c>
    </row>
    <row r="8" spans="2:5">
      <c r="B8" s="1" t="s">
        <v>333</v>
      </c>
      <c r="C8" s="1" t="s">
        <v>667</v>
      </c>
      <c r="D8" s="21">
        <v>-5.2380000000000004</v>
      </c>
      <c r="E8" s="1" t="s">
        <v>681</v>
      </c>
    </row>
    <row r="9" spans="2:5">
      <c r="B9" s="1" t="s">
        <v>791</v>
      </c>
      <c r="C9" s="1" t="s">
        <v>792</v>
      </c>
      <c r="D9" s="26">
        <v>73</v>
      </c>
      <c r="E9" s="1" t="s">
        <v>651</v>
      </c>
    </row>
    <row r="10" spans="2:5">
      <c r="B10" s="1" t="s">
        <v>793</v>
      </c>
      <c r="C10" s="1" t="s">
        <v>794</v>
      </c>
      <c r="D10" s="26">
        <v>90</v>
      </c>
      <c r="E10" s="1" t="s">
        <v>651</v>
      </c>
    </row>
    <row r="11" spans="2:5">
      <c r="B11" s="1" t="s">
        <v>795</v>
      </c>
      <c r="C11" s="1" t="s">
        <v>651</v>
      </c>
      <c r="D11" s="27" t="s">
        <v>796</v>
      </c>
      <c r="E11" s="1" t="s">
        <v>651</v>
      </c>
    </row>
    <row r="12" spans="2:5">
      <c r="B12" s="1" t="s">
        <v>797</v>
      </c>
      <c r="C12" s="1" t="s">
        <v>651</v>
      </c>
      <c r="D12" s="27" t="s">
        <v>798</v>
      </c>
      <c r="E12" s="1" t="s">
        <v>651</v>
      </c>
    </row>
    <row r="13" spans="2:5">
      <c r="B13" s="1" t="s">
        <v>799</v>
      </c>
      <c r="C13" s="1" t="s">
        <v>800</v>
      </c>
      <c r="D13" s="1">
        <v>0.46397713446944971</v>
      </c>
      <c r="E13" s="1" t="s">
        <v>696</v>
      </c>
    </row>
    <row r="14" spans="2:5">
      <c r="B14" s="1" t="s">
        <v>801</v>
      </c>
      <c r="C14" s="1" t="s">
        <v>802</v>
      </c>
      <c r="D14" s="1">
        <v>0.95184732967148733</v>
      </c>
      <c r="E14" s="1" t="s">
        <v>803</v>
      </c>
    </row>
    <row r="15" spans="2:5">
      <c r="B15" s="1" t="s">
        <v>804</v>
      </c>
      <c r="C15" s="1" t="s">
        <v>805</v>
      </c>
      <c r="D15" s="1">
        <v>2.901613310275148</v>
      </c>
      <c r="E15" s="1" t="s">
        <v>696</v>
      </c>
    </row>
    <row r="16" spans="2:5">
      <c r="B16" s="1" t="s">
        <v>806</v>
      </c>
      <c r="C16" s="1" t="s">
        <v>807</v>
      </c>
      <c r="D16" s="1"/>
      <c r="E16" s="1"/>
    </row>
    <row r="17" spans="2:5">
      <c r="B17" s="1" t="s">
        <v>808</v>
      </c>
      <c r="C17" s="1" t="s">
        <v>809</v>
      </c>
      <c r="D17" s="1"/>
      <c r="E17" s="1"/>
    </row>
  </sheetData>
  <phoneticPr fontId="3"/>
  <dataValidations count="1">
    <dataValidation type="list" allowBlank="1" showInputMessage="1" showErrorMessage="1" sqref="D11:D12" xr:uid="{F45DE845-AECD-614E-9ACE-A88114B74641}">
      <formula1>"あり,なし"</formula1>
    </dataValidation>
  </dataValidation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E2E6E9-1CD5-4340-A6DF-17E3A04DE9BE}">
  <sheetPr codeName="Sheet13">
    <tabColor theme="2" tint="-0.249977111117893"/>
  </sheetPr>
  <dimension ref="A2:AL102"/>
  <sheetViews>
    <sheetView zoomScale="70" zoomScaleNormal="70" workbookViewId="0">
      <selection activeCell="H31" sqref="H31"/>
    </sheetView>
  </sheetViews>
  <sheetFormatPr baseColWidth="10" defaultColWidth="8.7109375" defaultRowHeight="20"/>
  <cols>
    <col min="2" max="2" width="15.7109375" customWidth="1"/>
    <col min="3" max="4" width="8.7109375" customWidth="1"/>
    <col min="6" max="6" width="33.28515625" customWidth="1"/>
    <col min="8" max="8" width="8.7109375" customWidth="1"/>
    <col min="12" max="13" width="8.7109375" customWidth="1"/>
    <col min="14" max="14" width="17.7109375" customWidth="1"/>
  </cols>
  <sheetData>
    <row r="2" spans="2:23">
      <c r="B2" s="3" t="s">
        <v>58</v>
      </c>
      <c r="C2" s="3"/>
      <c r="D2" s="3"/>
      <c r="E2" s="3"/>
      <c r="F2" s="24"/>
      <c r="G2" s="24"/>
      <c r="I2" s="3" t="s">
        <v>1177</v>
      </c>
      <c r="K2" s="3"/>
      <c r="L2" s="3"/>
      <c r="O2" s="3"/>
      <c r="S2" s="3"/>
      <c r="T2" s="3"/>
      <c r="U2" s="3"/>
      <c r="V2" s="3"/>
      <c r="W2" s="3"/>
    </row>
    <row r="3" spans="2:23" ht="21" thickBot="1">
      <c r="B3" s="11" t="s">
        <v>59</v>
      </c>
      <c r="C3" s="11" t="s">
        <v>60</v>
      </c>
      <c r="D3" s="11" t="s">
        <v>61</v>
      </c>
      <c r="E3" s="11" t="s">
        <v>62</v>
      </c>
      <c r="F3" s="11" t="s">
        <v>63</v>
      </c>
      <c r="I3" s="11" t="s">
        <v>59</v>
      </c>
      <c r="J3" s="11" t="s">
        <v>547</v>
      </c>
      <c r="K3" s="11" t="s">
        <v>61</v>
      </c>
      <c r="L3" s="315" t="s">
        <v>63</v>
      </c>
      <c r="M3" s="316"/>
      <c r="N3" s="317"/>
    </row>
    <row r="4" spans="2:23" ht="21" thickTop="1">
      <c r="B4" s="2" t="s">
        <v>64</v>
      </c>
      <c r="C4" s="2" t="s">
        <v>65</v>
      </c>
      <c r="D4" s="2">
        <f>D11/(D12*D9)</f>
        <v>1.1528198974645434</v>
      </c>
      <c r="E4" s="2" t="s">
        <v>66</v>
      </c>
      <c r="F4" s="229" t="s">
        <v>67</v>
      </c>
      <c r="G4" s="234" t="s">
        <v>1184</v>
      </c>
      <c r="I4" s="2" t="s">
        <v>1186</v>
      </c>
      <c r="J4" s="2" t="s">
        <v>1103</v>
      </c>
      <c r="K4" s="4" t="s">
        <v>1016</v>
      </c>
      <c r="L4" s="318"/>
      <c r="M4" s="319"/>
      <c r="N4" s="320"/>
    </row>
    <row r="5" spans="2:23">
      <c r="B5" s="1" t="s">
        <v>68</v>
      </c>
      <c r="C5" s="1" t="s">
        <v>69</v>
      </c>
      <c r="D5" s="21">
        <v>9.7970000000000006</v>
      </c>
      <c r="E5" s="1" t="s">
        <v>70</v>
      </c>
      <c r="F5" s="230" t="s">
        <v>71</v>
      </c>
      <c r="G5" s="234" t="s">
        <v>1184</v>
      </c>
      <c r="I5" s="1"/>
      <c r="J5" s="1" t="s">
        <v>1100</v>
      </c>
      <c r="K5" s="223" t="s">
        <v>798</v>
      </c>
      <c r="L5" s="312"/>
      <c r="M5" s="313"/>
      <c r="N5" s="314"/>
      <c r="Q5" s="3"/>
    </row>
    <row r="6" spans="2:23">
      <c r="B6" s="1" t="s">
        <v>72</v>
      </c>
      <c r="C6" s="1" t="s">
        <v>73</v>
      </c>
      <c r="D6" s="25">
        <f>(1.458*(10^-6)*(D9^(3/2)))/(D9+110.4)</f>
        <v>1.8608692424914869E-5</v>
      </c>
      <c r="E6" s="1" t="s">
        <v>74</v>
      </c>
      <c r="F6" s="231" t="s">
        <v>75</v>
      </c>
      <c r="G6" s="234" t="s">
        <v>1184</v>
      </c>
      <c r="I6" s="1"/>
      <c r="J6" s="1" t="s">
        <v>1101</v>
      </c>
      <c r="K6" s="223" t="s">
        <v>798</v>
      </c>
      <c r="L6" s="312"/>
      <c r="M6" s="313"/>
      <c r="N6" s="314"/>
      <c r="Q6" s="3"/>
    </row>
    <row r="7" spans="2:23">
      <c r="B7" s="1" t="s">
        <v>76</v>
      </c>
      <c r="C7" s="1" t="s">
        <v>77</v>
      </c>
      <c r="D7" s="25">
        <f>D6/D4</f>
        <v>1.6141890390547503E-5</v>
      </c>
      <c r="E7" s="1" t="s">
        <v>78</v>
      </c>
      <c r="F7" s="231" t="s">
        <v>75</v>
      </c>
      <c r="G7" s="234" t="s">
        <v>1184</v>
      </c>
      <c r="I7" s="1"/>
      <c r="J7" s="1" t="s">
        <v>1102</v>
      </c>
      <c r="K7" s="223" t="s">
        <v>798</v>
      </c>
      <c r="L7" s="312"/>
      <c r="M7" s="313"/>
      <c r="N7" s="314"/>
      <c r="Q7" s="3"/>
    </row>
    <row r="8" spans="2:23">
      <c r="B8" s="1" t="s">
        <v>79</v>
      </c>
      <c r="C8" s="1" t="s">
        <v>80</v>
      </c>
      <c r="D8" s="21">
        <v>30</v>
      </c>
      <c r="E8" s="1" t="s">
        <v>81</v>
      </c>
      <c r="F8" s="231"/>
      <c r="I8" s="1" t="s">
        <v>1187</v>
      </c>
      <c r="J8" s="1" t="s">
        <v>1182</v>
      </c>
      <c r="K8" s="223" t="s">
        <v>796</v>
      </c>
      <c r="L8" s="312" t="s">
        <v>1188</v>
      </c>
      <c r="M8" s="313"/>
      <c r="N8" s="314"/>
      <c r="Q8" s="3"/>
    </row>
    <row r="9" spans="2:23">
      <c r="B9" s="1"/>
      <c r="C9" s="1"/>
      <c r="D9" s="1">
        <f>273.15+D8</f>
        <v>303.14999999999998</v>
      </c>
      <c r="E9" s="1" t="s">
        <v>82</v>
      </c>
      <c r="F9" s="231"/>
      <c r="I9" s="1"/>
      <c r="J9" s="1"/>
      <c r="K9" s="21"/>
      <c r="L9" s="312"/>
      <c r="M9" s="313"/>
      <c r="N9" s="314"/>
      <c r="Q9" s="3"/>
    </row>
    <row r="10" spans="2:23">
      <c r="B10" s="1" t="s">
        <v>83</v>
      </c>
      <c r="C10" s="1" t="s">
        <v>84</v>
      </c>
      <c r="D10" s="26">
        <v>1003</v>
      </c>
      <c r="E10" s="1" t="s">
        <v>85</v>
      </c>
      <c r="F10" s="232" t="s">
        <v>1165</v>
      </c>
      <c r="I10" s="1" t="s">
        <v>1178</v>
      </c>
      <c r="J10" s="1"/>
      <c r="K10" s="26"/>
      <c r="L10" s="312"/>
      <c r="M10" s="313"/>
      <c r="N10" s="314"/>
      <c r="Q10" s="3"/>
    </row>
    <row r="11" spans="2:23">
      <c r="B11" s="1"/>
      <c r="C11" s="1"/>
      <c r="D11" s="27">
        <f>D10*100</f>
        <v>100300</v>
      </c>
      <c r="E11" s="1" t="s">
        <v>86</v>
      </c>
      <c r="F11" s="231"/>
      <c r="I11" s="1"/>
      <c r="J11" s="1"/>
      <c r="K11" s="26"/>
      <c r="L11" s="312"/>
      <c r="M11" s="313"/>
      <c r="N11" s="314"/>
      <c r="Q11" s="3"/>
    </row>
    <row r="12" spans="2:23">
      <c r="B12" s="1" t="s">
        <v>87</v>
      </c>
      <c r="C12" s="1" t="s">
        <v>88</v>
      </c>
      <c r="D12" s="21">
        <v>287</v>
      </c>
      <c r="E12" s="1" t="s">
        <v>89</v>
      </c>
      <c r="F12" s="231" t="s">
        <v>75</v>
      </c>
      <c r="G12" s="234" t="s">
        <v>1184</v>
      </c>
      <c r="I12" s="1"/>
      <c r="J12" s="1"/>
      <c r="K12" s="21"/>
      <c r="L12" s="312"/>
      <c r="M12" s="313"/>
      <c r="N12" s="314"/>
    </row>
    <row r="13" spans="2:23">
      <c r="B13" s="1" t="s">
        <v>90</v>
      </c>
      <c r="C13" s="1" t="s">
        <v>91</v>
      </c>
      <c r="D13" s="21">
        <v>1.4</v>
      </c>
      <c r="E13" s="1" t="s">
        <v>46</v>
      </c>
      <c r="F13" s="231" t="s">
        <v>75</v>
      </c>
      <c r="G13" s="234" t="s">
        <v>1184</v>
      </c>
      <c r="I13" s="1"/>
      <c r="J13" s="1"/>
      <c r="K13" s="21"/>
      <c r="L13" s="312"/>
      <c r="M13" s="313"/>
      <c r="N13" s="314"/>
    </row>
    <row r="14" spans="2:23">
      <c r="B14" s="1" t="s">
        <v>92</v>
      </c>
      <c r="C14" s="1" t="s">
        <v>93</v>
      </c>
      <c r="D14" s="1">
        <f>SQRT(D13*D12*D9)</f>
        <v>349.00669048028288</v>
      </c>
      <c r="E14" s="1" t="s">
        <v>94</v>
      </c>
      <c r="F14" s="231" t="s">
        <v>75</v>
      </c>
      <c r="G14" s="234" t="s">
        <v>1184</v>
      </c>
      <c r="I14" s="1"/>
      <c r="J14" s="1"/>
      <c r="K14" s="21"/>
      <c r="L14" s="312"/>
      <c r="M14" s="313"/>
      <c r="N14" s="314"/>
    </row>
    <row r="15" spans="2:23">
      <c r="B15" s="1" t="s">
        <v>95</v>
      </c>
      <c r="C15" s="1" t="s">
        <v>96</v>
      </c>
      <c r="D15" s="21">
        <v>0.4</v>
      </c>
      <c r="E15" s="1" t="s">
        <v>46</v>
      </c>
      <c r="F15" s="233" t="s">
        <v>97</v>
      </c>
      <c r="I15" s="1"/>
      <c r="J15" s="1"/>
      <c r="K15" s="21"/>
      <c r="L15" s="312"/>
      <c r="M15" s="313"/>
      <c r="N15" s="314"/>
    </row>
    <row r="16" spans="2:23">
      <c r="B16" s="1" t="s">
        <v>98</v>
      </c>
      <c r="C16" s="1" t="s">
        <v>99</v>
      </c>
      <c r="D16" s="21">
        <v>0.01</v>
      </c>
      <c r="E16" s="1" t="s">
        <v>46</v>
      </c>
      <c r="F16" s="233" t="s">
        <v>97</v>
      </c>
      <c r="I16" s="1"/>
      <c r="J16" s="1"/>
      <c r="K16" s="21"/>
      <c r="L16" s="312"/>
      <c r="M16" s="313"/>
      <c r="N16" s="314"/>
    </row>
    <row r="17" spans="1:36">
      <c r="B17" s="3"/>
      <c r="C17" s="3"/>
      <c r="D17" s="3"/>
      <c r="E17" s="3"/>
      <c r="F17" s="3"/>
      <c r="H17" s="3"/>
      <c r="I17" s="3"/>
      <c r="J17" s="3"/>
      <c r="K17" s="3"/>
      <c r="L17" s="3"/>
      <c r="M17" s="3"/>
      <c r="N17" s="3"/>
    </row>
    <row r="18" spans="1:36">
      <c r="C18" s="3"/>
      <c r="D18" s="3"/>
      <c r="E18" s="3"/>
      <c r="F18" s="3"/>
      <c r="H18" s="3"/>
      <c r="I18" s="3"/>
      <c r="J18" s="3"/>
      <c r="K18" s="3"/>
      <c r="L18" s="3"/>
      <c r="M18" s="3"/>
      <c r="N18" s="3"/>
      <c r="V18" s="3"/>
      <c r="W18" s="3"/>
    </row>
    <row r="19" spans="1:36">
      <c r="A19" s="3"/>
      <c r="B19" s="3" t="s">
        <v>897</v>
      </c>
      <c r="C19" s="3"/>
      <c r="D19" s="3"/>
      <c r="E19" s="3"/>
      <c r="F19" s="3"/>
      <c r="I19" s="3" t="s">
        <v>17</v>
      </c>
      <c r="J19" s="3"/>
      <c r="K19" s="3"/>
      <c r="L19" s="3"/>
      <c r="M19" s="3"/>
      <c r="N19" s="3"/>
      <c r="O19" s="3"/>
      <c r="S19" s="3"/>
      <c r="T19" s="3"/>
      <c r="U19" s="3"/>
      <c r="V19" s="3"/>
      <c r="W19" s="3"/>
      <c r="X19" s="3"/>
      <c r="Y19" s="3"/>
      <c r="Z19" s="3"/>
      <c r="AA19" s="3"/>
      <c r="AB19" s="3"/>
      <c r="AC19" s="3"/>
      <c r="AD19" s="3"/>
      <c r="AE19" s="3"/>
      <c r="AF19" s="3"/>
      <c r="AG19" s="3"/>
      <c r="AH19" s="3"/>
      <c r="AI19" s="3"/>
      <c r="AJ19" s="3"/>
    </row>
    <row r="20" spans="1:36" ht="21" thickBot="1">
      <c r="A20" s="3"/>
      <c r="B20" s="10" t="s">
        <v>996</v>
      </c>
      <c r="C20" s="10" t="s">
        <v>134</v>
      </c>
      <c r="D20" s="10" t="s">
        <v>135</v>
      </c>
      <c r="E20" s="10" t="s">
        <v>62</v>
      </c>
      <c r="F20" s="11" t="s">
        <v>63</v>
      </c>
      <c r="I20" s="10" t="s">
        <v>996</v>
      </c>
      <c r="J20" s="10" t="s">
        <v>134</v>
      </c>
      <c r="K20" s="10" t="s">
        <v>135</v>
      </c>
      <c r="L20" s="10" t="s">
        <v>144</v>
      </c>
      <c r="M20" s="10" t="s">
        <v>1185</v>
      </c>
      <c r="N20" s="10" t="s">
        <v>63</v>
      </c>
      <c r="O20" s="3"/>
      <c r="S20" s="3"/>
      <c r="T20" s="3"/>
      <c r="U20" s="3"/>
      <c r="V20" s="3"/>
      <c r="W20" s="3"/>
      <c r="X20" s="3"/>
      <c r="Y20" s="3"/>
      <c r="Z20" s="3"/>
      <c r="AA20" s="3"/>
      <c r="AB20" s="3"/>
      <c r="AC20" s="3"/>
      <c r="AD20" s="3"/>
      <c r="AE20" s="3"/>
      <c r="AF20" s="3"/>
      <c r="AG20" s="3"/>
      <c r="AH20" s="3"/>
      <c r="AI20" s="3"/>
      <c r="AJ20" s="3"/>
    </row>
    <row r="21" spans="1:36" ht="22" thickTop="1" thickBot="1">
      <c r="A21" s="3"/>
      <c r="B21" s="23" t="s">
        <v>136</v>
      </c>
      <c r="C21" s="23" t="s">
        <v>1181</v>
      </c>
      <c r="D21" s="43">
        <v>1500</v>
      </c>
      <c r="E21" s="23" t="s">
        <v>66</v>
      </c>
      <c r="F21" s="2"/>
      <c r="I21" s="30" t="s">
        <v>46</v>
      </c>
      <c r="J21" s="30" t="s">
        <v>46</v>
      </c>
      <c r="K21" s="30" t="s">
        <v>66</v>
      </c>
      <c r="L21" s="30" t="s">
        <v>86</v>
      </c>
      <c r="M21" s="30" t="s">
        <v>86</v>
      </c>
      <c r="N21" s="30" t="s">
        <v>46</v>
      </c>
      <c r="O21" s="3"/>
      <c r="S21" s="3"/>
      <c r="T21" s="3"/>
      <c r="U21" s="3"/>
      <c r="V21" s="3"/>
      <c r="W21" s="3"/>
      <c r="X21" s="3"/>
      <c r="Y21" s="3"/>
      <c r="Z21" s="3"/>
      <c r="AA21" s="3"/>
      <c r="AB21" s="3"/>
      <c r="AC21" s="3"/>
      <c r="AD21" s="3"/>
      <c r="AE21" s="3"/>
      <c r="AF21" s="3"/>
      <c r="AG21" s="3"/>
      <c r="AH21" s="3"/>
      <c r="AI21" s="3"/>
      <c r="AJ21" s="3"/>
    </row>
    <row r="22" spans="1:36" ht="21" thickTop="1">
      <c r="A22" s="3"/>
      <c r="B22" s="1" t="s">
        <v>137</v>
      </c>
      <c r="C22" s="1"/>
      <c r="D22" s="21">
        <v>20</v>
      </c>
      <c r="E22" s="228" t="s">
        <v>66</v>
      </c>
      <c r="F22" s="1"/>
      <c r="I22" s="23" t="s">
        <v>901</v>
      </c>
      <c r="J22" s="23"/>
      <c r="K22" s="43"/>
      <c r="L22" s="43"/>
      <c r="M22" s="43"/>
      <c r="N22" s="23"/>
      <c r="O22" s="3"/>
      <c r="S22" s="3"/>
      <c r="T22" s="3"/>
      <c r="U22" s="3"/>
      <c r="V22" s="3"/>
      <c r="W22" s="3"/>
      <c r="X22" s="3"/>
      <c r="Y22" s="3"/>
      <c r="Z22" s="3"/>
      <c r="AA22" s="3"/>
      <c r="AB22" s="3"/>
      <c r="AC22" s="3"/>
      <c r="AD22" s="3"/>
      <c r="AE22" s="3"/>
      <c r="AF22" s="3"/>
      <c r="AG22" s="3"/>
      <c r="AH22" s="3"/>
      <c r="AI22" s="3"/>
      <c r="AJ22" s="3"/>
    </row>
    <row r="23" spans="1:36">
      <c r="A23" s="3"/>
      <c r="B23" s="1" t="s">
        <v>138</v>
      </c>
      <c r="C23" s="1"/>
      <c r="D23" s="21">
        <v>33</v>
      </c>
      <c r="E23" s="228" t="s">
        <v>66</v>
      </c>
      <c r="F23" s="1"/>
      <c r="I23" s="1" t="s">
        <v>902</v>
      </c>
      <c r="J23" s="1"/>
      <c r="K23" s="21"/>
      <c r="L23" s="21"/>
      <c r="M23" s="21"/>
      <c r="N23" s="1"/>
      <c r="O23" s="3"/>
      <c r="S23" s="3"/>
      <c r="T23" s="3"/>
      <c r="U23" s="3"/>
      <c r="V23" s="3"/>
      <c r="W23" s="3"/>
      <c r="X23" s="3"/>
      <c r="Y23" s="3"/>
      <c r="Z23" s="3"/>
      <c r="AA23" s="3"/>
      <c r="AB23" s="3"/>
      <c r="AC23" s="3"/>
      <c r="AD23" s="3"/>
      <c r="AE23" s="3"/>
      <c r="AF23" s="3"/>
      <c r="AG23" s="3"/>
      <c r="AH23" s="3"/>
      <c r="AI23" s="3"/>
      <c r="AJ23" s="3"/>
    </row>
    <row r="24" spans="1:36">
      <c r="A24" s="3"/>
      <c r="B24" s="1" t="s">
        <v>905</v>
      </c>
      <c r="C24" s="1"/>
      <c r="D24" s="21">
        <v>33</v>
      </c>
      <c r="E24" s="228" t="s">
        <v>66</v>
      </c>
      <c r="F24" s="1"/>
      <c r="I24" s="1" t="s">
        <v>903</v>
      </c>
      <c r="J24" s="1"/>
      <c r="K24" s="21"/>
      <c r="L24" s="21"/>
      <c r="M24" s="21"/>
      <c r="N24" s="1"/>
      <c r="O24" s="3"/>
      <c r="S24" s="3"/>
      <c r="T24" s="3"/>
      <c r="U24" s="3"/>
      <c r="V24" s="3"/>
      <c r="W24" s="3"/>
      <c r="X24" s="3"/>
      <c r="Y24" s="3"/>
      <c r="Z24" s="3"/>
      <c r="AA24" s="3"/>
      <c r="AB24" s="3"/>
      <c r="AC24" s="3"/>
      <c r="AD24" s="3"/>
      <c r="AE24" s="3"/>
      <c r="AF24" s="3"/>
      <c r="AG24" s="3"/>
      <c r="AH24" s="3"/>
      <c r="AI24" s="3"/>
      <c r="AJ24" s="3"/>
    </row>
    <row r="25" spans="1:36">
      <c r="A25" s="3"/>
      <c r="B25" s="1" t="s">
        <v>997</v>
      </c>
      <c r="C25" s="1"/>
      <c r="D25" s="21">
        <v>33</v>
      </c>
      <c r="E25" s="228" t="s">
        <v>66</v>
      </c>
      <c r="F25" s="1"/>
      <c r="I25" s="1" t="s">
        <v>906</v>
      </c>
      <c r="J25" s="1"/>
      <c r="K25" s="21"/>
      <c r="L25" s="21"/>
      <c r="M25" s="21"/>
      <c r="N25" s="1"/>
      <c r="O25" s="3"/>
      <c r="S25" s="3"/>
      <c r="T25" s="3"/>
      <c r="U25" s="3"/>
      <c r="V25" s="3"/>
      <c r="W25" s="3"/>
      <c r="X25" s="3"/>
      <c r="Y25" s="3"/>
      <c r="Z25" s="3"/>
      <c r="AA25" s="3"/>
      <c r="AB25" s="3"/>
      <c r="AC25" s="3"/>
      <c r="AD25" s="3"/>
      <c r="AE25" s="3"/>
      <c r="AF25" s="3"/>
      <c r="AG25" s="3"/>
      <c r="AH25" s="3"/>
      <c r="AI25" s="3"/>
      <c r="AJ25" s="3"/>
    </row>
    <row r="26" spans="1:36">
      <c r="A26" s="3"/>
      <c r="B26" s="1" t="s">
        <v>139</v>
      </c>
      <c r="C26" s="1"/>
      <c r="D26" s="21">
        <v>510</v>
      </c>
      <c r="E26" s="228" t="s">
        <v>66</v>
      </c>
      <c r="F26" s="1"/>
      <c r="I26" s="1" t="s">
        <v>904</v>
      </c>
      <c r="J26" s="1"/>
      <c r="K26" s="21"/>
      <c r="L26" s="21"/>
      <c r="M26" s="21"/>
      <c r="N26" s="1"/>
      <c r="O26" s="3"/>
      <c r="S26" s="3"/>
      <c r="T26" s="3"/>
      <c r="U26" s="3"/>
      <c r="V26" s="3"/>
      <c r="W26" s="3"/>
      <c r="X26" s="3"/>
      <c r="Y26" s="3"/>
      <c r="Z26" s="3"/>
      <c r="AA26" s="3"/>
      <c r="AB26" s="3"/>
      <c r="AC26" s="3"/>
      <c r="AD26" s="3"/>
      <c r="AE26" s="3"/>
      <c r="AF26" s="3"/>
      <c r="AG26" s="3"/>
      <c r="AH26" s="3"/>
      <c r="AI26" s="3"/>
      <c r="AJ26" s="3"/>
    </row>
    <row r="27" spans="1:36" ht="19.5" customHeight="1">
      <c r="A27" s="3"/>
      <c r="B27" s="1" t="s">
        <v>500</v>
      </c>
      <c r="C27" s="1"/>
      <c r="D27" s="21"/>
      <c r="E27" s="228" t="s">
        <v>66</v>
      </c>
      <c r="F27" s="1"/>
      <c r="I27" s="1"/>
      <c r="J27" s="1"/>
      <c r="K27" s="21"/>
      <c r="L27" s="21"/>
      <c r="M27" s="21"/>
      <c r="N27" s="1"/>
      <c r="O27" s="3"/>
      <c r="S27" s="3"/>
      <c r="T27" s="3"/>
      <c r="U27" s="3"/>
      <c r="V27" s="3"/>
      <c r="W27" s="3"/>
      <c r="X27" s="3"/>
      <c r="Y27" s="3"/>
      <c r="Z27" s="3"/>
      <c r="AA27" s="3"/>
      <c r="AB27" s="3"/>
      <c r="AC27" s="3"/>
      <c r="AD27" s="3"/>
      <c r="AE27" s="3"/>
      <c r="AF27" s="3"/>
      <c r="AG27" s="3"/>
      <c r="AH27" s="3"/>
      <c r="AI27" s="3"/>
      <c r="AJ27" s="3"/>
    </row>
    <row r="28" spans="1:36">
      <c r="A28" s="3"/>
      <c r="B28" s="1" t="s">
        <v>142</v>
      </c>
      <c r="C28" s="1"/>
      <c r="D28" s="21">
        <v>85</v>
      </c>
      <c r="E28" s="228" t="s">
        <v>66</v>
      </c>
      <c r="F28" s="1"/>
      <c r="I28" s="1"/>
      <c r="J28" s="1"/>
      <c r="K28" s="21"/>
      <c r="L28" s="21"/>
      <c r="M28" s="21"/>
      <c r="N28" s="1"/>
      <c r="O28" s="3"/>
      <c r="S28" s="3"/>
      <c r="T28" s="3"/>
      <c r="U28" s="3"/>
      <c r="V28" s="3"/>
      <c r="W28" s="3"/>
      <c r="X28" s="3"/>
      <c r="Y28" s="3"/>
      <c r="Z28" s="3"/>
      <c r="AA28" s="3"/>
      <c r="AB28" s="3"/>
      <c r="AC28" s="3"/>
      <c r="AD28" s="3"/>
      <c r="AE28" s="3"/>
      <c r="AF28" s="3"/>
      <c r="AG28" s="3"/>
      <c r="AH28" s="3"/>
      <c r="AI28" s="3"/>
      <c r="AJ28" s="3"/>
    </row>
    <row r="29" spans="1:36">
      <c r="A29" s="3"/>
      <c r="B29" s="1" t="s">
        <v>143</v>
      </c>
      <c r="C29" s="1"/>
      <c r="D29" s="21"/>
      <c r="E29" s="228" t="s">
        <v>66</v>
      </c>
      <c r="F29" s="1"/>
      <c r="I29" s="1"/>
      <c r="J29" s="1"/>
      <c r="K29" s="21"/>
      <c r="L29" s="21"/>
      <c r="M29" s="21"/>
      <c r="N29" s="1"/>
      <c r="O29" s="3"/>
      <c r="S29" s="3"/>
      <c r="T29" s="3"/>
      <c r="U29" s="3"/>
      <c r="V29" s="3"/>
      <c r="W29" s="3"/>
      <c r="X29" s="3"/>
      <c r="Y29" s="3"/>
      <c r="Z29" s="3"/>
      <c r="AA29" s="3"/>
      <c r="AB29" s="3"/>
      <c r="AC29" s="3"/>
      <c r="AD29" s="3"/>
      <c r="AE29" s="3"/>
      <c r="AF29" s="3"/>
      <c r="AG29" s="3"/>
      <c r="AH29" s="3"/>
      <c r="AI29" s="3"/>
      <c r="AJ29" s="3"/>
    </row>
    <row r="30" spans="1:36">
      <c r="A30" s="3"/>
      <c r="B30" s="1"/>
      <c r="C30" s="1"/>
      <c r="D30" s="21"/>
      <c r="E30" s="228" t="s">
        <v>66</v>
      </c>
      <c r="F30" s="1"/>
      <c r="I30" s="1"/>
      <c r="J30" s="1"/>
      <c r="K30" s="21"/>
      <c r="L30" s="21"/>
      <c r="M30" s="21"/>
      <c r="N30" s="1"/>
      <c r="O30" s="3"/>
      <c r="S30" s="3"/>
      <c r="T30" s="3"/>
      <c r="U30" s="3"/>
      <c r="V30" s="3"/>
      <c r="W30" s="3"/>
      <c r="X30" s="3"/>
      <c r="Y30" s="3"/>
      <c r="Z30" s="3"/>
      <c r="AA30" s="3"/>
      <c r="AB30" s="3"/>
      <c r="AC30" s="3"/>
      <c r="AD30" s="3"/>
      <c r="AE30" s="3"/>
      <c r="AF30" s="3"/>
      <c r="AG30" s="3"/>
      <c r="AH30" s="3"/>
      <c r="AI30" s="3"/>
      <c r="AJ30" s="3"/>
    </row>
    <row r="31" spans="1:36">
      <c r="A31" s="3"/>
      <c r="B31" s="1"/>
      <c r="C31" s="1"/>
      <c r="D31" s="21"/>
      <c r="E31" s="228" t="s">
        <v>66</v>
      </c>
      <c r="F31" s="1"/>
      <c r="I31" s="1"/>
      <c r="J31" s="1"/>
      <c r="K31" s="21"/>
      <c r="L31" s="21"/>
      <c r="M31" s="21"/>
      <c r="N31" s="1"/>
      <c r="O31" s="3"/>
      <c r="S31" s="3"/>
      <c r="T31" s="3"/>
      <c r="U31" s="3"/>
      <c r="V31" s="3"/>
      <c r="W31" s="3"/>
      <c r="X31" s="3"/>
      <c r="Y31" s="3"/>
      <c r="Z31" s="3"/>
      <c r="AA31" s="3"/>
      <c r="AB31" s="3"/>
      <c r="AC31" s="3"/>
      <c r="AD31" s="3"/>
      <c r="AE31" s="3"/>
      <c r="AF31" s="3"/>
      <c r="AG31" s="3"/>
      <c r="AH31" s="3"/>
      <c r="AI31" s="3"/>
      <c r="AJ31" s="3"/>
    </row>
    <row r="32" spans="1:36">
      <c r="A32" s="3"/>
      <c r="B32" s="1"/>
      <c r="C32" s="1"/>
      <c r="D32" s="21"/>
      <c r="E32" s="228" t="s">
        <v>66</v>
      </c>
      <c r="F32" s="1"/>
      <c r="I32" s="1"/>
      <c r="J32" s="1"/>
      <c r="K32" s="21"/>
      <c r="L32" s="21"/>
      <c r="M32" s="21"/>
      <c r="N32" s="1"/>
      <c r="O32" s="3"/>
      <c r="S32" s="3"/>
      <c r="T32" s="3"/>
      <c r="U32" s="3"/>
      <c r="V32" s="3"/>
      <c r="W32" s="3"/>
      <c r="X32" s="3"/>
      <c r="Y32" s="3"/>
      <c r="Z32" s="3"/>
      <c r="AA32" s="3"/>
      <c r="AB32" s="3"/>
      <c r="AC32" s="3"/>
      <c r="AD32" s="3"/>
      <c r="AE32" s="3"/>
      <c r="AF32" s="3"/>
      <c r="AG32" s="3"/>
      <c r="AH32" s="3"/>
      <c r="AI32" s="3"/>
      <c r="AJ32" s="3"/>
    </row>
    <row r="33" spans="1:36">
      <c r="A33" s="3"/>
      <c r="B33" s="1"/>
      <c r="C33" s="1"/>
      <c r="D33" s="21"/>
      <c r="E33" s="228" t="s">
        <v>66</v>
      </c>
      <c r="F33" s="1"/>
      <c r="I33" s="1"/>
      <c r="J33" s="1"/>
      <c r="K33" s="21"/>
      <c r="L33" s="21"/>
      <c r="M33" s="21"/>
      <c r="N33" s="1"/>
      <c r="O33" s="3"/>
      <c r="S33" s="3"/>
      <c r="T33" s="3"/>
      <c r="U33" s="3"/>
      <c r="V33" s="3"/>
      <c r="W33" s="3"/>
      <c r="X33" s="3"/>
      <c r="Y33" s="3"/>
      <c r="Z33" s="3"/>
      <c r="AA33" s="3"/>
      <c r="AB33" s="3"/>
      <c r="AC33" s="3"/>
      <c r="AD33" s="3"/>
      <c r="AE33" s="3"/>
      <c r="AF33" s="3"/>
      <c r="AG33" s="3"/>
      <c r="AH33" s="3"/>
      <c r="AI33" s="3"/>
      <c r="AJ33" s="3"/>
    </row>
    <row r="34" spans="1:36">
      <c r="A34" s="3"/>
      <c r="B34" s="1"/>
      <c r="C34" s="1"/>
      <c r="D34" s="21"/>
      <c r="E34" s="1"/>
      <c r="F34" s="1"/>
      <c r="I34" s="1"/>
      <c r="J34" s="1"/>
      <c r="K34" s="21"/>
      <c r="L34" s="21"/>
      <c r="M34" s="21"/>
      <c r="N34" s="1"/>
      <c r="O34" s="3"/>
      <c r="S34" s="3"/>
      <c r="T34" s="3"/>
      <c r="U34" s="3"/>
      <c r="V34" s="3"/>
      <c r="W34" s="3"/>
      <c r="X34" s="3"/>
      <c r="Y34" s="3"/>
      <c r="Z34" s="3"/>
      <c r="AA34" s="3"/>
      <c r="AB34" s="3"/>
      <c r="AC34" s="3"/>
      <c r="AD34" s="3"/>
      <c r="AE34" s="3"/>
      <c r="AF34" s="3"/>
      <c r="AG34" s="3"/>
      <c r="AH34" s="3"/>
      <c r="AI34" s="3"/>
      <c r="AJ34" s="3"/>
    </row>
    <row r="35" spans="1:36">
      <c r="A35" s="3"/>
      <c r="B35" s="1" t="s">
        <v>1180</v>
      </c>
      <c r="C35" s="1"/>
      <c r="D35" s="21"/>
      <c r="E35" s="1" t="s">
        <v>408</v>
      </c>
      <c r="F35" s="1" t="s">
        <v>1183</v>
      </c>
      <c r="I35" s="1"/>
      <c r="J35" s="1"/>
      <c r="K35" s="21"/>
      <c r="L35" s="21"/>
      <c r="M35" s="21"/>
      <c r="N35" s="1"/>
      <c r="O35" s="3"/>
      <c r="S35" s="3"/>
      <c r="T35" s="3"/>
      <c r="U35" s="3"/>
      <c r="V35" s="3"/>
      <c r="W35" s="3"/>
      <c r="X35" s="3"/>
      <c r="Y35" s="3"/>
      <c r="Z35" s="3"/>
      <c r="AA35" s="3"/>
      <c r="AB35" s="3"/>
      <c r="AC35" s="3"/>
      <c r="AD35" s="3"/>
      <c r="AE35" s="3"/>
      <c r="AF35" s="3"/>
      <c r="AG35" s="3"/>
      <c r="AH35" s="3"/>
      <c r="AI35" s="3"/>
      <c r="AJ35" s="3"/>
    </row>
    <row r="36" spans="1:36">
      <c r="A36" s="3"/>
      <c r="B36" s="1" t="s">
        <v>140</v>
      </c>
      <c r="C36" s="1"/>
      <c r="D36" s="21"/>
      <c r="E36" s="1" t="s">
        <v>408</v>
      </c>
      <c r="F36" s="1"/>
      <c r="I36" s="1"/>
      <c r="J36" s="1"/>
      <c r="K36" s="21"/>
      <c r="L36" s="21"/>
      <c r="M36" s="21"/>
      <c r="N36" s="1"/>
      <c r="O36" s="3"/>
      <c r="S36" s="3"/>
      <c r="T36" s="3"/>
      <c r="U36" s="3"/>
      <c r="V36" s="3"/>
      <c r="W36" s="3"/>
      <c r="X36" s="3"/>
      <c r="Y36" s="3"/>
      <c r="Z36" s="3"/>
      <c r="AA36" s="3"/>
      <c r="AB36" s="3"/>
      <c r="AC36" s="3"/>
      <c r="AD36" s="3"/>
      <c r="AE36" s="3"/>
      <c r="AF36" s="3"/>
      <c r="AG36" s="3"/>
      <c r="AH36" s="3"/>
      <c r="AI36" s="3"/>
      <c r="AJ36" s="3"/>
    </row>
    <row r="37" spans="1:36">
      <c r="A37" s="3"/>
      <c r="B37" s="1" t="s">
        <v>141</v>
      </c>
      <c r="C37" s="1"/>
      <c r="D37" s="21"/>
      <c r="E37" s="1" t="s">
        <v>408</v>
      </c>
      <c r="F37" s="1"/>
      <c r="I37" s="1"/>
      <c r="J37" s="1"/>
      <c r="K37" s="21"/>
      <c r="L37" s="21"/>
      <c r="M37" s="21"/>
      <c r="N37" s="1"/>
      <c r="O37" s="3"/>
      <c r="S37" s="3"/>
      <c r="T37" s="3"/>
      <c r="U37" s="3"/>
      <c r="V37" s="3"/>
      <c r="W37" s="3"/>
      <c r="X37" s="3"/>
      <c r="Y37" s="3"/>
      <c r="Z37" s="3"/>
      <c r="AA37" s="3"/>
      <c r="AB37" s="3"/>
      <c r="AC37" s="3"/>
      <c r="AD37" s="3"/>
      <c r="AE37" s="3"/>
      <c r="AF37" s="3"/>
      <c r="AG37" s="3"/>
      <c r="AH37" s="3"/>
      <c r="AI37" s="3"/>
      <c r="AJ37" s="3"/>
    </row>
    <row r="38" spans="1:36">
      <c r="A38" s="3"/>
      <c r="B38" s="1" t="s">
        <v>1179</v>
      </c>
      <c r="C38" s="1"/>
      <c r="D38" s="21"/>
      <c r="E38" s="1" t="s">
        <v>408</v>
      </c>
      <c r="F38" s="1"/>
      <c r="I38" s="1"/>
      <c r="J38" s="1"/>
      <c r="K38" s="21"/>
      <c r="L38" s="21"/>
      <c r="M38" s="21"/>
      <c r="N38" s="1"/>
      <c r="O38" s="3"/>
      <c r="S38" s="3"/>
      <c r="T38" s="3"/>
      <c r="U38" s="3"/>
      <c r="V38" s="3"/>
      <c r="W38" s="3"/>
      <c r="X38" s="3"/>
      <c r="Y38" s="3"/>
      <c r="Z38" s="3"/>
      <c r="AA38" s="3"/>
      <c r="AB38" s="3"/>
      <c r="AC38" s="3"/>
      <c r="AD38" s="3"/>
      <c r="AE38" s="3"/>
      <c r="AF38" s="3"/>
      <c r="AG38" s="3"/>
      <c r="AH38" s="3"/>
      <c r="AI38" s="3"/>
      <c r="AJ38" s="3"/>
    </row>
    <row r="39" spans="1:36">
      <c r="A39" s="3"/>
      <c r="B39" s="1"/>
      <c r="C39" s="1"/>
      <c r="D39" s="21"/>
      <c r="E39" s="1" t="s">
        <v>408</v>
      </c>
      <c r="F39" s="1"/>
      <c r="I39" s="1"/>
      <c r="J39" s="1"/>
      <c r="K39" s="21"/>
      <c r="L39" s="21"/>
      <c r="M39" s="21"/>
      <c r="N39" s="1"/>
      <c r="O39" s="3"/>
      <c r="S39" s="3"/>
      <c r="T39" s="3"/>
      <c r="U39" s="3"/>
      <c r="V39" s="3"/>
      <c r="W39" s="3"/>
      <c r="X39" s="3"/>
      <c r="Y39" s="3"/>
      <c r="Z39" s="3"/>
      <c r="AA39" s="3"/>
      <c r="AB39" s="3"/>
      <c r="AC39" s="3"/>
      <c r="AD39" s="3"/>
      <c r="AE39" s="3"/>
      <c r="AF39" s="3"/>
      <c r="AG39" s="3"/>
      <c r="AH39" s="3"/>
      <c r="AI39" s="3"/>
      <c r="AJ39" s="3"/>
    </row>
    <row r="40" spans="1:36">
      <c r="A40" s="3"/>
      <c r="B40" s="1"/>
      <c r="C40" s="1"/>
      <c r="D40" s="21"/>
      <c r="E40" s="1" t="s">
        <v>408</v>
      </c>
      <c r="F40" s="1"/>
      <c r="I40" s="1"/>
      <c r="J40" s="1"/>
      <c r="K40" s="21"/>
      <c r="L40" s="21"/>
      <c r="M40" s="21"/>
      <c r="N40" s="1"/>
      <c r="O40" s="3"/>
      <c r="S40" s="3"/>
      <c r="T40" s="3"/>
      <c r="U40" s="3"/>
      <c r="V40" s="3"/>
      <c r="W40" s="3"/>
      <c r="X40" s="3"/>
      <c r="Y40" s="3"/>
      <c r="Z40" s="3"/>
      <c r="AA40" s="3"/>
      <c r="AB40" s="3"/>
      <c r="AC40" s="3"/>
      <c r="AD40" s="3"/>
      <c r="AE40" s="3"/>
      <c r="AF40" s="3"/>
      <c r="AG40" s="3"/>
      <c r="AH40" s="3"/>
      <c r="AI40" s="3"/>
      <c r="AJ40" s="3"/>
    </row>
    <row r="41" spans="1:36">
      <c r="A41" s="3"/>
      <c r="B41" s="1"/>
      <c r="C41" s="1"/>
      <c r="D41" s="21"/>
      <c r="E41" s="1" t="s">
        <v>408</v>
      </c>
      <c r="F41" s="1"/>
      <c r="I41" s="1"/>
      <c r="J41" s="1"/>
      <c r="K41" s="21"/>
      <c r="L41" s="21"/>
      <c r="M41" s="21"/>
      <c r="N41" s="1"/>
      <c r="O41" s="3"/>
      <c r="S41" s="3"/>
      <c r="T41" s="3"/>
      <c r="U41" s="3"/>
      <c r="V41" s="3"/>
      <c r="W41" s="3"/>
      <c r="X41" s="3"/>
      <c r="Y41" s="3"/>
      <c r="Z41" s="3"/>
      <c r="AA41" s="3"/>
      <c r="AB41" s="3"/>
      <c r="AC41" s="3"/>
      <c r="AD41" s="3"/>
      <c r="AE41" s="3"/>
      <c r="AF41" s="3"/>
      <c r="AG41" s="3"/>
      <c r="AH41" s="3"/>
      <c r="AI41" s="3"/>
      <c r="AJ41" s="3"/>
    </row>
    <row r="42" spans="1:36">
      <c r="A42" s="3"/>
      <c r="B42" s="1"/>
      <c r="C42" s="1"/>
      <c r="D42" s="21"/>
      <c r="E42" s="1"/>
      <c r="F42" s="1"/>
      <c r="I42" s="1"/>
      <c r="J42" s="1"/>
      <c r="K42" s="21"/>
      <c r="L42" s="21"/>
      <c r="M42" s="21"/>
      <c r="N42" s="1"/>
      <c r="O42" s="3"/>
      <c r="S42" s="3"/>
      <c r="T42" s="3"/>
      <c r="U42" s="3"/>
      <c r="V42" s="3"/>
      <c r="W42" s="3"/>
      <c r="X42" s="3"/>
      <c r="Y42" s="3"/>
      <c r="Z42" s="3"/>
      <c r="AA42" s="3"/>
      <c r="AB42" s="3"/>
      <c r="AC42" s="3"/>
      <c r="AD42" s="3"/>
      <c r="AE42" s="3"/>
      <c r="AF42" s="3"/>
      <c r="AG42" s="3"/>
      <c r="AH42" s="3"/>
      <c r="AI42" s="3"/>
      <c r="AJ42" s="3"/>
    </row>
    <row r="43" spans="1:36">
      <c r="A43" s="3"/>
      <c r="B43" s="1"/>
      <c r="C43" s="1"/>
      <c r="D43" s="21"/>
      <c r="E43" s="1"/>
      <c r="F43" s="1"/>
      <c r="I43" s="1"/>
      <c r="J43" s="1"/>
      <c r="K43" s="21"/>
      <c r="L43" s="21"/>
      <c r="M43" s="21"/>
      <c r="N43" s="1"/>
      <c r="O43" s="3"/>
      <c r="S43" s="3"/>
      <c r="T43" s="3"/>
      <c r="U43" s="3"/>
      <c r="V43" s="3"/>
      <c r="W43" s="3"/>
      <c r="X43" s="3"/>
      <c r="Y43" s="3"/>
      <c r="Z43" s="3"/>
      <c r="AA43" s="3"/>
      <c r="AB43" s="3"/>
      <c r="AC43" s="3"/>
      <c r="AD43" s="3"/>
      <c r="AE43" s="3"/>
      <c r="AF43" s="3"/>
      <c r="AG43" s="3"/>
      <c r="AH43" s="3"/>
      <c r="AI43" s="3"/>
      <c r="AJ43" s="3"/>
    </row>
    <row r="44" spans="1:36">
      <c r="A44" s="3"/>
      <c r="B44" s="1"/>
      <c r="C44" s="1"/>
      <c r="D44" s="21"/>
      <c r="E44" s="1"/>
      <c r="F44" s="1"/>
      <c r="I44" s="1"/>
      <c r="J44" s="1"/>
      <c r="K44" s="21"/>
      <c r="L44" s="21"/>
      <c r="M44" s="21"/>
      <c r="N44" s="1"/>
      <c r="O44" s="3"/>
      <c r="S44" s="3"/>
      <c r="T44" s="3"/>
      <c r="U44" s="3"/>
      <c r="V44" s="3"/>
      <c r="W44" s="3"/>
      <c r="X44" s="3"/>
      <c r="Y44" s="3"/>
      <c r="Z44" s="3"/>
      <c r="AA44" s="3"/>
      <c r="AB44" s="3"/>
      <c r="AC44" s="3"/>
      <c r="AD44" s="3"/>
      <c r="AE44" s="3"/>
      <c r="AF44" s="3"/>
      <c r="AG44" s="3"/>
      <c r="AH44" s="3"/>
      <c r="AI44" s="3"/>
      <c r="AJ44" s="3"/>
    </row>
    <row r="45" spans="1:36">
      <c r="A45" s="3"/>
      <c r="B45" s="1"/>
      <c r="C45" s="1"/>
      <c r="D45" s="21"/>
      <c r="E45" s="1"/>
      <c r="F45" s="1"/>
      <c r="I45" s="1"/>
      <c r="J45" s="1"/>
      <c r="K45" s="21"/>
      <c r="L45" s="21"/>
      <c r="M45" s="21"/>
      <c r="N45" s="1"/>
      <c r="O45" s="3"/>
      <c r="S45" s="3"/>
      <c r="T45" s="3"/>
      <c r="U45" s="3"/>
      <c r="V45" s="3"/>
      <c r="W45" s="3"/>
      <c r="X45" s="3"/>
      <c r="Y45" s="3"/>
      <c r="Z45" s="3"/>
      <c r="AA45" s="3"/>
      <c r="AB45" s="3"/>
      <c r="AC45" s="3"/>
      <c r="AD45" s="3"/>
      <c r="AE45" s="3"/>
      <c r="AF45" s="3"/>
      <c r="AG45" s="3"/>
      <c r="AH45" s="3"/>
      <c r="AI45" s="3"/>
      <c r="AJ45" s="3"/>
    </row>
    <row r="46" spans="1:36">
      <c r="A46" s="3"/>
      <c r="B46" s="1"/>
      <c r="C46" s="1"/>
      <c r="D46" s="21"/>
      <c r="E46" s="1"/>
      <c r="F46" s="1"/>
      <c r="I46" s="1"/>
      <c r="J46" s="1"/>
      <c r="K46" s="21"/>
      <c r="L46" s="21"/>
      <c r="M46" s="21"/>
      <c r="N46" s="1"/>
      <c r="O46" s="3"/>
      <c r="S46" s="3"/>
      <c r="T46" s="3"/>
      <c r="U46" s="3"/>
      <c r="V46" s="3"/>
      <c r="W46" s="3"/>
      <c r="X46" s="3"/>
      <c r="Y46" s="3"/>
      <c r="Z46" s="3"/>
      <c r="AA46" s="3"/>
      <c r="AB46" s="3"/>
      <c r="AC46" s="3"/>
      <c r="AD46" s="3"/>
      <c r="AE46" s="3"/>
      <c r="AF46" s="3"/>
      <c r="AG46" s="3"/>
      <c r="AH46" s="3"/>
      <c r="AI46" s="3"/>
      <c r="AJ46" s="3"/>
    </row>
    <row r="47" spans="1:36">
      <c r="A47" s="3"/>
      <c r="B47" s="1"/>
      <c r="C47" s="1"/>
      <c r="D47" s="21"/>
      <c r="E47" s="1"/>
      <c r="F47" s="1"/>
      <c r="I47" s="1"/>
      <c r="J47" s="1"/>
      <c r="K47" s="21"/>
      <c r="L47" s="21"/>
      <c r="M47" s="21"/>
      <c r="N47" s="1"/>
      <c r="O47" s="3"/>
      <c r="S47" s="3"/>
      <c r="T47" s="3"/>
      <c r="U47" s="3"/>
      <c r="V47" s="3"/>
      <c r="W47" s="3"/>
      <c r="X47" s="3"/>
      <c r="Y47" s="3"/>
      <c r="Z47" s="3"/>
      <c r="AA47" s="3"/>
      <c r="AB47" s="3"/>
      <c r="AC47" s="3"/>
      <c r="AD47" s="3"/>
      <c r="AE47" s="3"/>
      <c r="AF47" s="3"/>
      <c r="AG47" s="3"/>
      <c r="AH47" s="3"/>
      <c r="AI47" s="3"/>
      <c r="AJ47" s="3"/>
    </row>
    <row r="48" spans="1:36">
      <c r="A48" s="3"/>
      <c r="B48" s="1"/>
      <c r="C48" s="1"/>
      <c r="D48" s="21"/>
      <c r="E48" s="1"/>
      <c r="F48" s="1"/>
      <c r="I48" s="1"/>
      <c r="J48" s="1"/>
      <c r="K48" s="21"/>
      <c r="L48" s="21"/>
      <c r="M48" s="21"/>
      <c r="N48" s="1"/>
      <c r="O48" s="3"/>
      <c r="S48" s="3"/>
      <c r="T48" s="3"/>
      <c r="U48" s="3"/>
      <c r="V48" s="3"/>
      <c r="W48" s="3"/>
      <c r="X48" s="3"/>
      <c r="Y48" s="3"/>
      <c r="Z48" s="3"/>
      <c r="AA48" s="3"/>
      <c r="AB48" s="3"/>
      <c r="AC48" s="3"/>
      <c r="AD48" s="3"/>
      <c r="AE48" s="3"/>
      <c r="AF48" s="3"/>
      <c r="AG48" s="3"/>
      <c r="AH48" s="3"/>
      <c r="AI48" s="3"/>
      <c r="AJ48" s="3"/>
    </row>
    <row r="49" spans="1:38">
      <c r="A49" s="3"/>
      <c r="I49" s="1"/>
      <c r="J49" s="1"/>
      <c r="K49" s="21"/>
      <c r="L49" s="21"/>
      <c r="M49" s="21"/>
      <c r="N49" s="1"/>
      <c r="O49" s="3"/>
      <c r="S49" s="3"/>
      <c r="T49" s="3"/>
      <c r="U49" s="3"/>
      <c r="V49" s="3"/>
      <c r="W49" s="3"/>
      <c r="X49" s="3"/>
      <c r="Y49" s="3"/>
      <c r="Z49" s="3"/>
      <c r="AA49" s="3"/>
      <c r="AB49" s="3"/>
      <c r="AC49" s="3"/>
      <c r="AD49" s="3"/>
      <c r="AE49" s="3"/>
      <c r="AF49" s="3"/>
      <c r="AG49" s="3"/>
      <c r="AH49" s="3"/>
      <c r="AI49" s="3"/>
      <c r="AJ49" s="3"/>
    </row>
    <row r="50" spans="1:38">
      <c r="A50" s="3"/>
      <c r="B50" s="3"/>
      <c r="C50" s="3"/>
      <c r="D50" s="3"/>
      <c r="E50" s="3"/>
      <c r="F50" s="3"/>
      <c r="G50" s="3"/>
      <c r="H50" s="3"/>
      <c r="I50" s="3"/>
      <c r="J50" s="3"/>
      <c r="K50" s="3"/>
      <c r="L50" s="3"/>
      <c r="M50" s="3"/>
      <c r="N50" s="3"/>
      <c r="O50" s="3"/>
      <c r="S50" s="3"/>
      <c r="T50" s="3"/>
      <c r="U50" s="3"/>
      <c r="V50" s="3"/>
      <c r="W50" s="3"/>
      <c r="X50" s="3"/>
      <c r="Y50" s="3"/>
      <c r="Z50" s="3"/>
      <c r="AA50" s="3"/>
      <c r="AB50" s="3"/>
      <c r="AC50" s="3"/>
      <c r="AD50" s="3"/>
      <c r="AE50" s="3"/>
      <c r="AF50" s="3"/>
      <c r="AG50" s="3"/>
      <c r="AH50" s="3"/>
      <c r="AI50" s="3"/>
      <c r="AJ50" s="3"/>
    </row>
    <row r="51" spans="1:38">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row>
    <row r="52" spans="1:38">
      <c r="A52" s="3"/>
      <c r="B52" s="3" t="s">
        <v>100</v>
      </c>
      <c r="C52" s="3"/>
      <c r="D52" s="3"/>
      <c r="E52" s="3"/>
      <c r="F52" s="3"/>
      <c r="G52" s="3"/>
      <c r="H52" s="3"/>
      <c r="I52" s="3" t="s">
        <v>147</v>
      </c>
      <c r="J52" s="3"/>
      <c r="K52" s="3"/>
      <c r="L52" s="3" t="s">
        <v>146</v>
      </c>
      <c r="M52" s="3"/>
      <c r="N52" s="3"/>
      <c r="O52" s="3" t="s">
        <v>145</v>
      </c>
      <c r="P52" s="3"/>
      <c r="Q52" s="3"/>
      <c r="R52" s="3" t="s">
        <v>148</v>
      </c>
      <c r="S52" s="3"/>
      <c r="T52" s="3"/>
      <c r="U52" s="3" t="s">
        <v>127</v>
      </c>
      <c r="V52" s="3"/>
      <c r="W52" s="3" t="s">
        <v>130</v>
      </c>
      <c r="X52" s="3"/>
      <c r="Y52" s="3"/>
      <c r="Z52" s="3"/>
      <c r="AA52" s="3"/>
      <c r="AB52" s="3"/>
      <c r="AC52" s="3"/>
      <c r="AD52" s="3"/>
      <c r="AE52" s="3"/>
      <c r="AF52" s="3"/>
      <c r="AG52" s="3"/>
      <c r="AH52" s="3"/>
      <c r="AI52" s="3"/>
      <c r="AJ52" s="3"/>
    </row>
    <row r="53" spans="1:38">
      <c r="A53" s="3"/>
      <c r="B53" s="10" t="s">
        <v>101</v>
      </c>
      <c r="C53" s="10" t="s">
        <v>134</v>
      </c>
      <c r="D53" s="10" t="s">
        <v>104</v>
      </c>
      <c r="E53" s="10" t="s">
        <v>107</v>
      </c>
      <c r="F53" s="12" t="s">
        <v>112</v>
      </c>
      <c r="G53" s="10" t="s">
        <v>109</v>
      </c>
      <c r="H53" s="10" t="s">
        <v>111</v>
      </c>
      <c r="I53" s="13" t="s">
        <v>114</v>
      </c>
      <c r="J53" s="10" t="s">
        <v>117</v>
      </c>
      <c r="K53" s="37" t="s">
        <v>119</v>
      </c>
      <c r="L53" s="13" t="s">
        <v>114</v>
      </c>
      <c r="M53" s="10" t="s">
        <v>117</v>
      </c>
      <c r="N53" s="37" t="s">
        <v>119</v>
      </c>
      <c r="O53" s="13" t="s">
        <v>114</v>
      </c>
      <c r="P53" s="10" t="s">
        <v>117</v>
      </c>
      <c r="Q53" s="37" t="s">
        <v>119</v>
      </c>
      <c r="R53" s="13" t="s">
        <v>114</v>
      </c>
      <c r="S53" s="10" t="s">
        <v>117</v>
      </c>
      <c r="T53" s="37" t="s">
        <v>119</v>
      </c>
      <c r="U53" s="13" t="s">
        <v>114</v>
      </c>
      <c r="V53" s="37" t="s">
        <v>117</v>
      </c>
      <c r="W53" s="38" t="s">
        <v>114</v>
      </c>
      <c r="X53" s="14" t="s">
        <v>131</v>
      </c>
      <c r="Y53" s="3"/>
      <c r="Z53" s="3"/>
      <c r="AA53" s="3"/>
      <c r="AB53" s="3"/>
      <c r="AC53" s="3"/>
      <c r="AD53" s="3"/>
      <c r="AE53" s="3"/>
      <c r="AF53" s="3"/>
      <c r="AG53" s="3"/>
      <c r="AH53" s="3"/>
      <c r="AI53" s="3"/>
      <c r="AJ53" s="3"/>
    </row>
    <row r="54" spans="1:38">
      <c r="A54" s="3"/>
      <c r="B54" s="10" t="s">
        <v>46</v>
      </c>
      <c r="C54" s="10" t="s">
        <v>46</v>
      </c>
      <c r="D54" s="10" t="s">
        <v>46</v>
      </c>
      <c r="E54" s="10" t="s">
        <v>46</v>
      </c>
      <c r="F54" s="12" t="s">
        <v>46</v>
      </c>
      <c r="G54" s="10" t="s">
        <v>109</v>
      </c>
      <c r="H54" s="10" t="s">
        <v>111</v>
      </c>
      <c r="I54" s="13" t="s">
        <v>115</v>
      </c>
      <c r="J54" s="10" t="s">
        <v>118</v>
      </c>
      <c r="K54" s="37" t="s">
        <v>120</v>
      </c>
      <c r="L54" s="13" t="s">
        <v>121</v>
      </c>
      <c r="M54" s="10" t="s">
        <v>928</v>
      </c>
      <c r="N54" s="37" t="s">
        <v>122</v>
      </c>
      <c r="O54" s="13" t="s">
        <v>123</v>
      </c>
      <c r="P54" s="10" t="s">
        <v>929</v>
      </c>
      <c r="Q54" s="37" t="s">
        <v>124</v>
      </c>
      <c r="R54" s="13" t="s">
        <v>125</v>
      </c>
      <c r="S54" s="10" t="s">
        <v>930</v>
      </c>
      <c r="T54" s="37" t="s">
        <v>149</v>
      </c>
      <c r="U54" s="13" t="s">
        <v>126</v>
      </c>
      <c r="V54" s="37" t="s">
        <v>128</v>
      </c>
      <c r="W54" s="38" t="s">
        <v>129</v>
      </c>
      <c r="X54" s="14" t="s">
        <v>132</v>
      </c>
      <c r="Y54" s="3"/>
      <c r="Z54" s="3"/>
      <c r="AA54" s="3"/>
      <c r="AB54" s="3"/>
      <c r="AC54" s="3"/>
      <c r="AD54" s="3"/>
      <c r="AE54" s="3"/>
      <c r="AF54" s="3"/>
      <c r="AG54" s="3"/>
      <c r="AH54" s="3"/>
      <c r="AI54" s="3"/>
      <c r="AJ54" s="3"/>
    </row>
    <row r="55" spans="1:38" ht="21" thickBot="1">
      <c r="A55" s="3"/>
      <c r="B55" s="11" t="s">
        <v>46</v>
      </c>
      <c r="C55" s="11" t="s">
        <v>46</v>
      </c>
      <c r="D55" s="11" t="s">
        <v>46</v>
      </c>
      <c r="E55" s="11" t="s">
        <v>46</v>
      </c>
      <c r="F55" s="15" t="s">
        <v>46</v>
      </c>
      <c r="G55" s="11" t="s">
        <v>110</v>
      </c>
      <c r="H55" s="11" t="s">
        <v>154</v>
      </c>
      <c r="I55" s="16" t="s">
        <v>116</v>
      </c>
      <c r="J55" s="11" t="s">
        <v>116</v>
      </c>
      <c r="K55" s="39" t="s">
        <v>46</v>
      </c>
      <c r="L55" s="16" t="s">
        <v>116</v>
      </c>
      <c r="M55" s="11" t="s">
        <v>116</v>
      </c>
      <c r="N55" s="39" t="s">
        <v>46</v>
      </c>
      <c r="O55" s="16" t="s">
        <v>116</v>
      </c>
      <c r="P55" s="11" t="s">
        <v>116</v>
      </c>
      <c r="Q55" s="39" t="s">
        <v>46</v>
      </c>
      <c r="R55" s="16" t="s">
        <v>116</v>
      </c>
      <c r="S55" s="11" t="s">
        <v>116</v>
      </c>
      <c r="T55" s="39" t="s">
        <v>46</v>
      </c>
      <c r="U55" s="16" t="s">
        <v>116</v>
      </c>
      <c r="V55" s="39" t="s">
        <v>116</v>
      </c>
      <c r="W55" s="40" t="s">
        <v>116</v>
      </c>
      <c r="X55" s="17" t="s">
        <v>133</v>
      </c>
      <c r="Y55" s="3"/>
      <c r="Z55" s="3"/>
      <c r="AA55" s="3"/>
      <c r="AB55" s="3"/>
      <c r="AC55" s="3"/>
      <c r="AD55" s="3"/>
      <c r="AE55" s="3"/>
      <c r="AF55" s="3"/>
      <c r="AG55" s="3"/>
      <c r="AH55" s="3"/>
      <c r="AI55" s="3"/>
      <c r="AJ55" s="3"/>
    </row>
    <row r="56" spans="1:38" ht="21" thickTop="1">
      <c r="A56" s="3"/>
      <c r="B56" s="23" t="s">
        <v>102</v>
      </c>
      <c r="C56" s="23" t="s">
        <v>153</v>
      </c>
      <c r="D56" s="23" t="s">
        <v>105</v>
      </c>
      <c r="E56" s="23" t="s">
        <v>108</v>
      </c>
      <c r="F56" s="23" t="s">
        <v>155</v>
      </c>
      <c r="G56" s="23">
        <v>150</v>
      </c>
      <c r="H56" s="23">
        <v>33</v>
      </c>
      <c r="I56" s="43">
        <v>3.1819999999999999</v>
      </c>
      <c r="J56" s="43">
        <v>166</v>
      </c>
      <c r="K56" s="43">
        <v>0.33</v>
      </c>
      <c r="L56" s="43">
        <v>7.5999999999999998E-2</v>
      </c>
      <c r="M56" s="43">
        <v>8</v>
      </c>
      <c r="N56" s="43">
        <v>0.02</v>
      </c>
      <c r="O56" s="43">
        <v>-1.4690000000000001</v>
      </c>
      <c r="P56" s="43">
        <v>147</v>
      </c>
      <c r="Q56" s="43">
        <v>0.36</v>
      </c>
      <c r="R56" s="43">
        <v>-0.18099999999999999</v>
      </c>
      <c r="S56" s="43">
        <v>9.1</v>
      </c>
      <c r="T56" s="43">
        <v>0.02</v>
      </c>
      <c r="U56" s="43">
        <v>0.125</v>
      </c>
      <c r="V56" s="43">
        <v>4</v>
      </c>
      <c r="W56" s="43">
        <v>8.5999999999999993E-2</v>
      </c>
      <c r="X56" s="43">
        <v>0.14699999999999999</v>
      </c>
      <c r="Y56" s="3"/>
      <c r="Z56" s="3"/>
      <c r="AA56" s="3"/>
      <c r="AB56" s="3"/>
      <c r="AC56" s="3"/>
      <c r="AD56" s="3"/>
      <c r="AE56" s="3"/>
      <c r="AF56" s="3"/>
      <c r="AG56" s="3"/>
      <c r="AH56" s="3"/>
      <c r="AI56" s="3"/>
      <c r="AJ56" s="3"/>
    </row>
    <row r="57" spans="1:38">
      <c r="A57" s="3"/>
      <c r="B57" s="1" t="s">
        <v>103</v>
      </c>
      <c r="C57" s="1" t="s">
        <v>156</v>
      </c>
      <c r="D57" s="1" t="s">
        <v>106</v>
      </c>
      <c r="E57" s="1" t="s">
        <v>108</v>
      </c>
      <c r="F57" s="1"/>
      <c r="G57" s="1">
        <v>116</v>
      </c>
      <c r="H57" s="1">
        <v>33</v>
      </c>
      <c r="I57" s="21">
        <v>2.2549999999999999</v>
      </c>
      <c r="J57" s="21">
        <v>215.74600000000001</v>
      </c>
      <c r="K57" s="21">
        <v>0.3</v>
      </c>
      <c r="L57" s="21">
        <v>4.9000000000000002E-2</v>
      </c>
      <c r="M57" s="21">
        <v>7.8449999999999998</v>
      </c>
      <c r="N57" s="21">
        <v>1.0908661110750603E-2</v>
      </c>
      <c r="O57" s="21">
        <v>-1.2258</v>
      </c>
      <c r="P57" s="21">
        <v>194.17140000000001</v>
      </c>
      <c r="Q57" s="21">
        <v>0.3</v>
      </c>
      <c r="R57" s="21">
        <v>-0.18099999999999999</v>
      </c>
      <c r="S57" s="21">
        <v>8.6295000000000002</v>
      </c>
      <c r="T57" s="21">
        <v>1.0908661110750603E-2</v>
      </c>
      <c r="U57" s="21">
        <v>0.125</v>
      </c>
      <c r="V57" s="21">
        <v>4.1188000000000002</v>
      </c>
      <c r="W57" s="21">
        <v>8.8300000000000003E-2</v>
      </c>
      <c r="X57" s="21">
        <v>0.113</v>
      </c>
      <c r="Y57" s="3"/>
      <c r="Z57" s="3"/>
      <c r="AA57" s="3"/>
      <c r="AB57" s="3"/>
      <c r="AC57" s="3"/>
      <c r="AD57" s="3"/>
      <c r="AE57" s="3"/>
      <c r="AF57" s="3"/>
      <c r="AG57" s="3"/>
      <c r="AH57" s="3"/>
      <c r="AI57" s="3"/>
      <c r="AJ57" s="3"/>
    </row>
    <row r="58" spans="1:38">
      <c r="A58" s="3"/>
      <c r="B58" s="1"/>
      <c r="C58" s="1"/>
      <c r="D58" s="1"/>
      <c r="E58" s="1"/>
      <c r="F58" s="1"/>
      <c r="G58" s="1"/>
      <c r="H58" s="1"/>
      <c r="I58" s="21"/>
      <c r="J58" s="21"/>
      <c r="K58" s="21"/>
      <c r="L58" s="21"/>
      <c r="M58" s="21"/>
      <c r="N58" s="21"/>
      <c r="O58" s="21"/>
      <c r="P58" s="21"/>
      <c r="Q58" s="21"/>
      <c r="R58" s="21"/>
      <c r="S58" s="21"/>
      <c r="T58" s="21"/>
      <c r="U58" s="21"/>
      <c r="V58" s="21"/>
      <c r="W58" s="21"/>
      <c r="X58" s="21"/>
      <c r="AL58" s="3"/>
    </row>
    <row r="59" spans="1:38">
      <c r="A59" s="3"/>
      <c r="B59" s="1"/>
      <c r="C59" s="1"/>
      <c r="D59" s="1"/>
      <c r="E59" s="1"/>
      <c r="F59" s="1"/>
      <c r="G59" s="1"/>
      <c r="H59" s="1"/>
      <c r="I59" s="21"/>
      <c r="J59" s="21"/>
      <c r="K59" s="21"/>
      <c r="L59" s="21"/>
      <c r="M59" s="21"/>
      <c r="N59" s="21"/>
      <c r="O59" s="21"/>
      <c r="P59" s="21"/>
      <c r="Q59" s="21"/>
      <c r="R59" s="21"/>
      <c r="S59" s="21"/>
      <c r="T59" s="21"/>
      <c r="U59" s="21"/>
      <c r="V59" s="21"/>
      <c r="W59" s="21"/>
      <c r="X59" s="21"/>
      <c r="AL59" s="3"/>
    </row>
    <row r="60" spans="1:38">
      <c r="A60" s="3"/>
      <c r="B60" s="1"/>
      <c r="C60" s="1"/>
      <c r="D60" s="1"/>
      <c r="E60" s="1"/>
      <c r="F60" s="1"/>
      <c r="G60" s="1"/>
      <c r="H60" s="1"/>
      <c r="I60" s="21"/>
      <c r="J60" s="21"/>
      <c r="K60" s="21"/>
      <c r="L60" s="21"/>
      <c r="M60" s="21"/>
      <c r="N60" s="21"/>
      <c r="O60" s="21"/>
      <c r="P60" s="21"/>
      <c r="Q60" s="21"/>
      <c r="R60" s="21"/>
      <c r="S60" s="21"/>
      <c r="T60" s="21"/>
      <c r="U60" s="21"/>
      <c r="V60" s="21"/>
      <c r="W60" s="21"/>
      <c r="X60" s="21"/>
      <c r="AL60" s="3"/>
    </row>
    <row r="61" spans="1:38">
      <c r="A61" s="3"/>
      <c r="B61" s="3"/>
      <c r="C61" s="3"/>
      <c r="D61" s="3"/>
      <c r="E61" s="3"/>
      <c r="F61" s="3"/>
      <c r="G61" s="3"/>
      <c r="H61" s="3"/>
      <c r="I61" s="3"/>
      <c r="J61" s="3"/>
      <c r="K61" s="3"/>
      <c r="L61" s="3"/>
      <c r="M61" s="3"/>
      <c r="N61" s="3"/>
      <c r="O61" s="3"/>
      <c r="P61" s="3"/>
      <c r="AL61" s="3"/>
    </row>
    <row r="62" spans="1:38">
      <c r="A62" s="3"/>
      <c r="B62" s="3"/>
      <c r="C62" s="3"/>
      <c r="D62" s="3"/>
      <c r="E62" s="3"/>
      <c r="F62" s="3"/>
      <c r="G62" s="3"/>
      <c r="H62" s="3"/>
      <c r="I62" s="3"/>
      <c r="J62" s="3"/>
      <c r="K62" s="3"/>
      <c r="L62" s="3"/>
      <c r="M62" s="3"/>
      <c r="N62" s="3"/>
      <c r="O62" s="3"/>
      <c r="P62" s="3"/>
      <c r="Q62" s="3"/>
      <c r="R62" s="3"/>
      <c r="S62" s="3"/>
      <c r="T62" s="3"/>
      <c r="U62" s="3"/>
      <c r="AL62" s="3"/>
    </row>
    <row r="63" spans="1:38">
      <c r="A63" s="3"/>
      <c r="B63" s="3"/>
      <c r="C63" s="41"/>
      <c r="D63" s="41"/>
      <c r="E63" s="41"/>
      <c r="F63" s="41"/>
      <c r="G63" s="41"/>
      <c r="H63" s="41"/>
      <c r="I63" s="3"/>
      <c r="J63" s="3"/>
      <c r="K63" s="3"/>
      <c r="L63" s="3"/>
      <c r="M63" s="41"/>
      <c r="N63" s="41"/>
      <c r="O63" s="41"/>
      <c r="P63" s="41"/>
      <c r="Q63" s="41"/>
      <c r="R63" s="41"/>
      <c r="S63" s="3"/>
      <c r="T63" s="3"/>
      <c r="U63" s="3"/>
      <c r="AL63" s="3"/>
    </row>
    <row r="64" spans="1:38">
      <c r="A64" s="3"/>
      <c r="B64" s="3"/>
      <c r="C64" s="41"/>
      <c r="D64" s="41"/>
      <c r="E64" s="41"/>
      <c r="F64" s="41"/>
      <c r="G64" s="41"/>
      <c r="H64" s="41"/>
      <c r="I64" s="3"/>
      <c r="J64" s="3"/>
      <c r="K64" s="3"/>
      <c r="L64" s="3"/>
      <c r="M64" s="41"/>
      <c r="N64" s="41"/>
      <c r="O64" s="41"/>
      <c r="P64" s="41"/>
      <c r="Q64" s="41"/>
      <c r="R64" s="41"/>
      <c r="S64" s="3"/>
      <c r="T64" s="3"/>
      <c r="U64" s="3"/>
      <c r="AL64" s="3"/>
    </row>
    <row r="65" spans="1:38">
      <c r="A65" s="3"/>
      <c r="B65" s="24"/>
      <c r="C65" s="24"/>
      <c r="D65" s="24"/>
      <c r="E65" s="24"/>
      <c r="F65" s="24"/>
      <c r="G65" s="24"/>
      <c r="H65" s="24"/>
      <c r="I65" s="3"/>
      <c r="J65" s="3"/>
      <c r="K65" s="3"/>
      <c r="L65" s="24"/>
      <c r="M65" s="24"/>
      <c r="N65" s="24"/>
      <c r="O65" s="24"/>
      <c r="P65" s="24"/>
      <c r="Q65" s="24"/>
      <c r="R65" s="24"/>
      <c r="S65" s="3"/>
      <c r="T65" s="3"/>
      <c r="U65" s="3"/>
      <c r="AL65" s="3"/>
    </row>
    <row r="66" spans="1:38">
      <c r="A66" s="3"/>
      <c r="B66" s="24"/>
      <c r="C66" s="24"/>
      <c r="D66" s="24"/>
      <c r="E66" s="24"/>
      <c r="F66" s="24"/>
      <c r="G66" s="24"/>
      <c r="H66" s="24"/>
      <c r="I66" s="3"/>
      <c r="J66" s="3"/>
      <c r="K66" s="3"/>
      <c r="L66" s="24"/>
      <c r="M66" s="24"/>
      <c r="N66" s="24"/>
      <c r="O66" s="24"/>
      <c r="P66" s="24"/>
      <c r="Q66" s="24"/>
      <c r="R66" s="24"/>
      <c r="S66" s="3"/>
      <c r="T66" s="3"/>
      <c r="U66" s="3"/>
      <c r="AL66" s="3"/>
    </row>
    <row r="67" spans="1:38">
      <c r="A67" s="3"/>
      <c r="B67" s="24"/>
      <c r="C67" s="24"/>
      <c r="D67" s="24"/>
      <c r="E67" s="24"/>
      <c r="F67" s="24"/>
      <c r="G67" s="24"/>
      <c r="H67" s="24"/>
      <c r="I67" s="3"/>
      <c r="J67" s="3"/>
      <c r="K67" s="3"/>
      <c r="L67" s="24"/>
      <c r="M67" s="24"/>
      <c r="N67" s="24"/>
      <c r="O67" s="24"/>
      <c r="P67" s="24"/>
      <c r="Q67" s="24"/>
      <c r="R67" s="24"/>
      <c r="S67" s="3"/>
      <c r="T67" s="3"/>
      <c r="U67" s="3"/>
      <c r="AL67" s="3"/>
    </row>
    <row r="68" spans="1:38">
      <c r="A68" s="3"/>
      <c r="B68" s="3"/>
      <c r="C68" s="3"/>
      <c r="D68" s="24"/>
      <c r="E68" s="24"/>
      <c r="F68" s="24"/>
      <c r="G68" s="24"/>
      <c r="H68" s="24"/>
      <c r="I68" s="3"/>
      <c r="J68" s="3"/>
      <c r="K68" s="3"/>
      <c r="L68" s="3"/>
      <c r="M68" s="3"/>
      <c r="N68" s="24"/>
      <c r="O68" s="24"/>
      <c r="P68" s="24"/>
      <c r="Q68" s="24"/>
      <c r="R68" s="24"/>
      <c r="S68" s="3"/>
      <c r="T68" s="3"/>
      <c r="U68" s="3"/>
      <c r="AL68" s="3"/>
    </row>
    <row r="69" spans="1:38">
      <c r="A69" s="3"/>
      <c r="B69" s="3"/>
      <c r="C69" s="3"/>
      <c r="D69" s="24"/>
      <c r="E69" s="24"/>
      <c r="F69" s="24"/>
      <c r="G69" s="24"/>
      <c r="H69" s="24"/>
      <c r="I69" s="3"/>
      <c r="J69" s="3"/>
      <c r="K69" s="3"/>
      <c r="L69" s="3"/>
      <c r="M69" s="3"/>
      <c r="N69" s="24"/>
      <c r="O69" s="24"/>
      <c r="P69" s="24"/>
      <c r="Q69" s="24"/>
      <c r="R69" s="24"/>
      <c r="S69" s="3"/>
      <c r="T69" s="3"/>
      <c r="U69" s="3"/>
      <c r="AL69" s="3"/>
    </row>
    <row r="70" spans="1:38">
      <c r="A70" s="24"/>
      <c r="B70" s="42"/>
      <c r="C70" s="42"/>
      <c r="D70" s="42"/>
      <c r="E70" s="42"/>
      <c r="F70" s="42"/>
      <c r="G70" s="42"/>
      <c r="H70" s="42"/>
      <c r="I70" s="3"/>
      <c r="J70" s="3"/>
      <c r="K70" s="24"/>
      <c r="L70" s="42"/>
      <c r="M70" s="42"/>
      <c r="N70" s="42"/>
      <c r="O70" s="42"/>
      <c r="P70" s="42"/>
      <c r="Q70" s="42"/>
      <c r="R70" s="42"/>
      <c r="S70" s="3"/>
      <c r="T70" s="3"/>
      <c r="U70" s="3"/>
      <c r="AL70" s="3"/>
    </row>
    <row r="71" spans="1:38">
      <c r="A71" s="24"/>
      <c r="B71" s="42"/>
      <c r="C71" s="42"/>
      <c r="D71" s="42"/>
      <c r="E71" s="42"/>
      <c r="F71" s="42"/>
      <c r="G71" s="42"/>
      <c r="H71" s="42"/>
      <c r="I71" s="3"/>
      <c r="J71" s="3"/>
      <c r="K71" s="24"/>
      <c r="L71" s="42"/>
      <c r="M71" s="42"/>
      <c r="N71" s="42"/>
      <c r="O71" s="42"/>
      <c r="P71" s="42"/>
      <c r="Q71" s="42"/>
      <c r="R71" s="42"/>
      <c r="S71" s="3"/>
      <c r="T71" s="3"/>
      <c r="U71" s="3"/>
      <c r="AL71" s="3"/>
    </row>
    <row r="72" spans="1:38">
      <c r="A72" s="24"/>
      <c r="B72" s="42"/>
      <c r="C72" s="42"/>
      <c r="D72" s="42"/>
      <c r="E72" s="42"/>
      <c r="F72" s="42"/>
      <c r="G72" s="42"/>
      <c r="H72" s="42"/>
      <c r="I72" s="3"/>
      <c r="J72" s="3"/>
      <c r="K72" s="24"/>
      <c r="L72" s="42"/>
      <c r="M72" s="42"/>
      <c r="N72" s="42"/>
      <c r="O72" s="42"/>
      <c r="P72" s="42"/>
      <c r="Q72" s="42"/>
      <c r="R72" s="42"/>
      <c r="S72" s="3"/>
      <c r="T72" s="3"/>
      <c r="U72" s="3"/>
      <c r="AL72" s="3"/>
    </row>
    <row r="73" spans="1:38">
      <c r="A73" s="3"/>
      <c r="B73" s="3"/>
      <c r="C73" s="3"/>
      <c r="D73" s="3"/>
      <c r="E73" s="3"/>
      <c r="F73" s="3"/>
      <c r="G73" s="3"/>
      <c r="H73" s="3"/>
      <c r="I73" s="3"/>
      <c r="J73" s="3"/>
      <c r="K73" s="3"/>
      <c r="L73" s="3"/>
      <c r="M73" s="3"/>
      <c r="N73" s="3"/>
      <c r="O73" s="3"/>
      <c r="P73" s="3"/>
      <c r="Q73" s="3"/>
      <c r="R73" s="3"/>
      <c r="S73" s="3"/>
      <c r="T73" s="3"/>
      <c r="U73" s="3"/>
      <c r="AL73" s="3"/>
    </row>
    <row r="74" spans="1:38">
      <c r="A74" s="3"/>
      <c r="B74" s="3"/>
      <c r="C74" s="3"/>
      <c r="D74" s="3"/>
      <c r="E74" s="3"/>
      <c r="F74" s="3"/>
      <c r="G74" s="3"/>
      <c r="H74" s="3"/>
      <c r="I74" s="3"/>
      <c r="J74" s="3"/>
      <c r="K74" s="3"/>
      <c r="L74" s="3"/>
      <c r="M74" s="3"/>
      <c r="N74" s="3"/>
      <c r="O74" s="3"/>
      <c r="P74" s="3"/>
      <c r="Q74" s="3"/>
      <c r="R74" s="3"/>
      <c r="S74" s="3"/>
      <c r="T74" s="3"/>
      <c r="U74" s="3"/>
      <c r="AL74" s="3"/>
    </row>
    <row r="75" spans="1:38">
      <c r="A75" s="3"/>
      <c r="B75" s="3"/>
      <c r="C75" s="3"/>
      <c r="D75" s="3"/>
      <c r="E75" s="3"/>
      <c r="F75" s="3"/>
      <c r="G75" s="3"/>
      <c r="H75" s="3"/>
      <c r="I75" s="3"/>
      <c r="J75" s="3"/>
      <c r="K75" s="3"/>
      <c r="L75" s="3"/>
      <c r="M75" s="3"/>
      <c r="N75" s="3"/>
      <c r="O75" s="24"/>
      <c r="P75" s="24"/>
      <c r="Q75" s="24"/>
      <c r="R75" s="24"/>
      <c r="S75" s="3"/>
      <c r="T75" s="3"/>
      <c r="U75" s="3"/>
      <c r="AL75" s="3"/>
    </row>
    <row r="76" spans="1:38">
      <c r="A76" s="3"/>
      <c r="B76" s="3"/>
      <c r="C76" s="3"/>
      <c r="D76" s="3"/>
      <c r="E76" s="3"/>
      <c r="F76" s="3"/>
      <c r="G76" s="3"/>
      <c r="H76" s="3"/>
      <c r="I76" s="3"/>
      <c r="J76" s="3"/>
      <c r="K76" s="3"/>
      <c r="L76" s="3"/>
      <c r="M76" s="3"/>
      <c r="N76" s="3"/>
      <c r="O76" s="24"/>
      <c r="P76" s="24"/>
      <c r="Q76" s="24"/>
      <c r="R76" s="24"/>
      <c r="S76" s="3"/>
      <c r="T76" s="3"/>
      <c r="U76" s="3"/>
      <c r="AL76" s="3"/>
    </row>
    <row r="77" spans="1:38">
      <c r="A77" s="3"/>
      <c r="B77" s="3"/>
      <c r="C77" s="3"/>
      <c r="D77" s="3"/>
      <c r="E77" s="3"/>
      <c r="F77" s="3"/>
      <c r="G77" s="3"/>
      <c r="H77" s="3"/>
      <c r="I77" s="3"/>
      <c r="J77" s="3"/>
      <c r="K77" s="3"/>
      <c r="L77" s="3"/>
      <c r="M77" s="3"/>
      <c r="N77" s="3"/>
      <c r="O77" s="24"/>
      <c r="P77" s="24"/>
      <c r="Q77" s="24"/>
      <c r="R77" s="24"/>
      <c r="S77" s="3"/>
      <c r="T77" s="3"/>
      <c r="U77" s="3"/>
      <c r="AL77" s="3"/>
    </row>
    <row r="78" spans="1:38">
      <c r="A78" s="3"/>
      <c r="B78" s="3"/>
      <c r="C78" s="3"/>
      <c r="D78" s="3"/>
      <c r="E78" s="3"/>
      <c r="F78" s="3"/>
      <c r="G78" s="3"/>
      <c r="H78" s="3"/>
      <c r="I78" s="3"/>
      <c r="J78" s="3"/>
      <c r="K78" s="3"/>
      <c r="L78" s="3"/>
      <c r="M78" s="3"/>
      <c r="N78" s="3"/>
      <c r="O78" s="24"/>
      <c r="P78" s="24"/>
      <c r="Q78" s="24"/>
      <c r="R78" s="24"/>
      <c r="S78" s="3"/>
      <c r="T78" s="3"/>
      <c r="U78" s="3"/>
      <c r="AL78" s="3"/>
    </row>
    <row r="79" spans="1:38">
      <c r="A79" s="3"/>
      <c r="B79" s="3"/>
      <c r="C79" s="3"/>
      <c r="D79" s="3"/>
      <c r="E79" s="3"/>
      <c r="F79" s="3"/>
      <c r="G79" s="3"/>
      <c r="H79" s="3"/>
      <c r="I79" s="3"/>
      <c r="J79" s="3"/>
      <c r="K79" s="3"/>
      <c r="L79" s="3"/>
      <c r="M79" s="3"/>
      <c r="N79" s="3"/>
      <c r="O79" s="24"/>
      <c r="P79" s="24"/>
      <c r="Q79" s="24"/>
      <c r="R79" s="24"/>
      <c r="S79" s="3"/>
      <c r="T79" s="3"/>
      <c r="U79" s="3"/>
      <c r="AL79" s="3"/>
    </row>
    <row r="80" spans="1:38">
      <c r="A80" s="3"/>
      <c r="B80" s="3"/>
      <c r="C80" s="3"/>
      <c r="D80" s="3"/>
      <c r="E80" s="3"/>
      <c r="F80" s="3"/>
      <c r="G80" s="3"/>
      <c r="H80" s="3"/>
      <c r="I80" s="3"/>
      <c r="J80" s="3"/>
      <c r="K80" s="3"/>
      <c r="L80" s="3"/>
      <c r="M80" s="3"/>
      <c r="N80" s="3"/>
      <c r="O80" s="24"/>
      <c r="P80" s="24"/>
      <c r="Q80" s="24"/>
      <c r="R80" s="24"/>
      <c r="S80" s="3"/>
      <c r="T80" s="3"/>
      <c r="U80" s="3"/>
      <c r="AL80" s="3"/>
    </row>
    <row r="81" spans="1:38">
      <c r="A81" s="3"/>
      <c r="B81" s="3"/>
      <c r="C81" s="3"/>
      <c r="D81" s="3"/>
      <c r="E81" s="3"/>
      <c r="F81" s="3"/>
      <c r="G81" s="3"/>
      <c r="H81" s="3"/>
      <c r="I81" s="3"/>
      <c r="J81" s="3"/>
      <c r="K81" s="3"/>
      <c r="L81" s="3"/>
      <c r="M81" s="3"/>
      <c r="N81" s="3"/>
      <c r="O81" s="24"/>
      <c r="P81" s="24"/>
      <c r="Q81" s="24"/>
      <c r="R81" s="24"/>
      <c r="S81" s="3"/>
      <c r="T81" s="3"/>
      <c r="U81" s="3"/>
      <c r="AL81" s="3"/>
    </row>
    <row r="82" spans="1:38">
      <c r="A82" s="3"/>
      <c r="B82" s="3"/>
      <c r="C82" s="3"/>
      <c r="D82" s="3"/>
      <c r="E82" s="3"/>
      <c r="F82" s="3"/>
      <c r="G82" s="3"/>
      <c r="H82" s="3"/>
      <c r="I82" s="3"/>
      <c r="J82" s="3"/>
      <c r="K82" s="3"/>
      <c r="L82" s="3"/>
      <c r="M82" s="3"/>
      <c r="N82" s="3"/>
      <c r="O82" s="24"/>
      <c r="P82" s="24"/>
      <c r="Q82" s="24"/>
      <c r="R82" s="24"/>
      <c r="S82" s="3"/>
      <c r="T82" s="3"/>
      <c r="U82" s="3"/>
      <c r="AL82" s="3"/>
    </row>
    <row r="83" spans="1:38">
      <c r="A83" s="3"/>
      <c r="B83" s="3"/>
      <c r="C83" s="3"/>
      <c r="D83" s="3"/>
      <c r="E83" s="3"/>
      <c r="F83" s="3"/>
      <c r="G83" s="3"/>
      <c r="H83" s="3"/>
      <c r="I83" s="3"/>
      <c r="J83" s="3"/>
      <c r="K83" s="3"/>
      <c r="L83" s="3"/>
      <c r="M83" s="3"/>
      <c r="N83" s="3"/>
      <c r="O83" s="24"/>
      <c r="P83" s="24"/>
      <c r="Q83" s="24"/>
      <c r="R83" s="24"/>
      <c r="S83" s="3"/>
      <c r="T83" s="3"/>
      <c r="U83" s="3"/>
      <c r="AL83" s="3"/>
    </row>
    <row r="84" spans="1:38">
      <c r="A84" s="3"/>
      <c r="B84" s="3"/>
      <c r="C84" s="3"/>
      <c r="D84" s="3"/>
      <c r="E84" s="3"/>
      <c r="F84" s="3"/>
      <c r="G84" s="3"/>
      <c r="H84" s="3"/>
      <c r="I84" s="3"/>
      <c r="J84" s="3"/>
      <c r="K84" s="3"/>
      <c r="L84" s="3"/>
      <c r="M84" s="3"/>
      <c r="N84" s="3"/>
      <c r="O84" s="24"/>
      <c r="P84" s="24"/>
      <c r="Q84" s="24"/>
      <c r="R84" s="24"/>
      <c r="S84" s="3"/>
      <c r="T84" s="3"/>
      <c r="U84" s="3"/>
      <c r="AL84" s="3"/>
    </row>
    <row r="85" spans="1:38">
      <c r="A85" s="3"/>
      <c r="B85" s="3"/>
      <c r="C85" s="3"/>
      <c r="D85" s="3"/>
      <c r="E85" s="3"/>
      <c r="F85" s="3"/>
      <c r="G85" s="3"/>
      <c r="H85" s="3"/>
      <c r="I85" s="3"/>
      <c r="J85" s="3"/>
      <c r="K85" s="3"/>
      <c r="L85" s="3"/>
      <c r="M85" s="3"/>
      <c r="N85" s="3"/>
      <c r="O85" s="24"/>
      <c r="P85" s="24"/>
      <c r="Q85" s="24"/>
      <c r="R85" s="24"/>
      <c r="S85" s="3"/>
      <c r="T85" s="3"/>
      <c r="U85" s="3"/>
      <c r="AL85" s="3"/>
    </row>
    <row r="86" spans="1:38">
      <c r="A86" s="3"/>
      <c r="B86" s="3"/>
      <c r="C86" s="3"/>
      <c r="D86" s="3"/>
      <c r="E86" s="3"/>
      <c r="F86" s="3"/>
      <c r="G86" s="3"/>
      <c r="H86" s="3"/>
      <c r="I86" s="3"/>
      <c r="J86" s="3"/>
      <c r="K86" s="3"/>
      <c r="L86" s="3"/>
      <c r="M86" s="3"/>
      <c r="N86" s="3"/>
      <c r="O86" s="24"/>
      <c r="P86" s="24"/>
      <c r="Q86" s="24"/>
      <c r="R86" s="24"/>
      <c r="S86" s="3"/>
      <c r="T86" s="3"/>
      <c r="U86" s="3"/>
      <c r="AL86" s="3"/>
    </row>
    <row r="87" spans="1:38">
      <c r="A87" s="3"/>
      <c r="B87" s="3"/>
      <c r="C87" s="3"/>
      <c r="D87" s="3"/>
      <c r="E87" s="3"/>
      <c r="F87" s="3"/>
      <c r="G87" s="3"/>
      <c r="H87" s="3"/>
      <c r="I87" s="3"/>
      <c r="J87" s="3"/>
      <c r="K87" s="3"/>
      <c r="L87" s="3"/>
      <c r="M87" s="3"/>
      <c r="N87" s="3"/>
      <c r="O87" s="24"/>
      <c r="P87" s="24"/>
      <c r="Q87" s="24"/>
      <c r="R87" s="24"/>
      <c r="S87" s="3"/>
      <c r="T87" s="3"/>
      <c r="U87" s="3"/>
      <c r="AL87" s="3"/>
    </row>
    <row r="88" spans="1:38">
      <c r="A88" s="3"/>
      <c r="B88" s="3"/>
      <c r="C88" s="3"/>
      <c r="D88" s="3"/>
      <c r="E88" s="3"/>
      <c r="F88" s="3"/>
      <c r="G88" s="3"/>
      <c r="H88" s="3"/>
      <c r="I88" s="3"/>
      <c r="J88" s="3"/>
      <c r="K88" s="3"/>
      <c r="L88" s="3"/>
      <c r="M88" s="3"/>
      <c r="N88" s="3"/>
      <c r="O88" s="24"/>
      <c r="P88" s="24"/>
      <c r="Q88" s="24"/>
      <c r="R88" s="24"/>
      <c r="S88" s="3"/>
      <c r="T88" s="3"/>
      <c r="U88" s="3"/>
      <c r="V88" s="3"/>
      <c r="W88" s="3"/>
      <c r="X88" s="3"/>
      <c r="Y88" s="3"/>
      <c r="Z88" s="3"/>
      <c r="AA88" s="3"/>
      <c r="AB88" s="3"/>
      <c r="AC88" s="3"/>
      <c r="AD88" s="3"/>
      <c r="AE88" s="3"/>
      <c r="AF88" s="3"/>
      <c r="AG88" s="3"/>
      <c r="AH88" s="3"/>
      <c r="AI88" s="3"/>
      <c r="AJ88" s="3"/>
    </row>
    <row r="89" spans="1:38">
      <c r="A89" s="3"/>
      <c r="B89" s="3"/>
      <c r="C89" s="3"/>
      <c r="D89" s="3"/>
      <c r="E89" s="3"/>
      <c r="F89" s="3"/>
      <c r="G89" s="3"/>
      <c r="H89" s="3"/>
      <c r="I89" s="3"/>
      <c r="J89" s="3"/>
      <c r="K89" s="3"/>
      <c r="L89" s="3"/>
      <c r="M89" s="3"/>
      <c r="N89" s="3"/>
      <c r="O89" s="24"/>
      <c r="P89" s="24"/>
      <c r="Q89" s="24"/>
      <c r="R89" s="24"/>
      <c r="S89" s="3"/>
      <c r="T89" s="3"/>
      <c r="U89" s="3"/>
      <c r="V89" s="3"/>
      <c r="W89" s="3"/>
      <c r="X89" s="3"/>
      <c r="Y89" s="3"/>
      <c r="Z89" s="3"/>
      <c r="AA89" s="3"/>
      <c r="AB89" s="3"/>
      <c r="AC89" s="3"/>
      <c r="AD89" s="3"/>
      <c r="AE89" s="3"/>
      <c r="AF89" s="3"/>
      <c r="AG89" s="3"/>
      <c r="AH89" s="3"/>
      <c r="AI89" s="3"/>
      <c r="AJ89" s="3"/>
    </row>
    <row r="90" spans="1:38">
      <c r="A90" s="3"/>
      <c r="B90" s="3"/>
      <c r="C90" s="3"/>
      <c r="D90" s="3"/>
      <c r="E90" s="3"/>
      <c r="F90" s="3"/>
      <c r="G90" s="3"/>
      <c r="H90" s="3"/>
      <c r="I90" s="3"/>
      <c r="J90" s="3"/>
      <c r="K90" s="3"/>
      <c r="L90" s="3"/>
      <c r="M90" s="3"/>
      <c r="N90" s="3"/>
      <c r="O90" s="24"/>
      <c r="P90" s="24"/>
      <c r="Q90" s="24"/>
      <c r="R90" s="24"/>
      <c r="S90" s="3"/>
      <c r="T90" s="3"/>
      <c r="U90" s="3"/>
      <c r="V90" s="3"/>
      <c r="W90" s="3"/>
      <c r="X90" s="3"/>
      <c r="Y90" s="3"/>
      <c r="Z90" s="3"/>
      <c r="AA90" s="3"/>
      <c r="AB90" s="3"/>
      <c r="AC90" s="3"/>
      <c r="AD90" s="3"/>
      <c r="AE90" s="3"/>
      <c r="AF90" s="3"/>
      <c r="AG90" s="3"/>
      <c r="AH90" s="3"/>
      <c r="AI90" s="3"/>
      <c r="AJ90" s="3"/>
    </row>
    <row r="91" spans="1:38">
      <c r="A91" s="3"/>
      <c r="B91" s="3"/>
      <c r="C91" s="3"/>
      <c r="D91" s="3"/>
      <c r="E91" s="3"/>
      <c r="F91" s="3"/>
      <c r="G91" s="3"/>
      <c r="H91" s="3"/>
      <c r="I91" s="3"/>
      <c r="J91" s="3"/>
      <c r="K91" s="3"/>
      <c r="L91" s="3"/>
      <c r="M91" s="3"/>
      <c r="N91" s="3"/>
      <c r="O91" s="24"/>
      <c r="P91" s="24"/>
      <c r="Q91" s="24"/>
      <c r="R91" s="24"/>
      <c r="S91" s="3"/>
      <c r="T91" s="3"/>
      <c r="U91" s="3"/>
      <c r="V91" s="3"/>
      <c r="W91" s="3"/>
      <c r="X91" s="3"/>
      <c r="Y91" s="3"/>
      <c r="Z91" s="3"/>
      <c r="AA91" s="3"/>
      <c r="AB91" s="3"/>
      <c r="AC91" s="3"/>
      <c r="AD91" s="3"/>
      <c r="AE91" s="3"/>
      <c r="AF91" s="3"/>
      <c r="AG91" s="3"/>
      <c r="AH91" s="3"/>
      <c r="AI91" s="3"/>
      <c r="AJ91" s="3"/>
    </row>
    <row r="92" spans="1:38">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row>
    <row r="93" spans="1:38">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row>
    <row r="94" spans="1:38">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row>
    <row r="95" spans="1:38">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row>
    <row r="96" spans="1:38">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row>
    <row r="97" spans="1:36">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row>
    <row r="98" spans="1:36">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row>
    <row r="99" spans="1:36">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row>
    <row r="100" spans="1:36">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row>
    <row r="101" spans="1:36">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row>
    <row r="102" spans="1:36">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row>
  </sheetData>
  <mergeCells count="14">
    <mergeCell ref="L3:N3"/>
    <mergeCell ref="L4:N4"/>
    <mergeCell ref="L5:N5"/>
    <mergeCell ref="L6:N6"/>
    <mergeCell ref="L7:N7"/>
    <mergeCell ref="L13:N13"/>
    <mergeCell ref="L14:N14"/>
    <mergeCell ref="L15:N15"/>
    <mergeCell ref="L16:N16"/>
    <mergeCell ref="L8:N8"/>
    <mergeCell ref="L9:N9"/>
    <mergeCell ref="L10:N10"/>
    <mergeCell ref="L11:N11"/>
    <mergeCell ref="L12:N12"/>
  </mergeCells>
  <phoneticPr fontId="3"/>
  <dataValidations count="1">
    <dataValidation type="list" allowBlank="1" showInputMessage="1" showErrorMessage="1" sqref="K5:K8" xr:uid="{9869AF96-81CB-474A-B168-728E116357DC}">
      <formula1>"あり,なし"</formula1>
    </dataValidation>
  </dataValidations>
  <hyperlinks>
    <hyperlink ref="F4" r:id="rId1" xr:uid="{C6B42BBF-4995-429F-A45D-BE567FE19C78}"/>
    <hyperlink ref="F5" r:id="rId2" xr:uid="{BAD3EEDA-54CC-4BFD-B693-7660153C2744}"/>
  </hyperlinks>
  <pageMargins left="0.7" right="0.7" top="0.75" bottom="0.75" header="0.3" footer="0.3"/>
  <pageSetup paperSize="9" orientation="portrait" horizontalDpi="0" verticalDpi="0"/>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260ECE-5828-4F7D-879E-163C00AEC315}">
  <sheetPr codeName="Sheet16">
    <tabColor theme="2" tint="-0.249977111117893"/>
  </sheetPr>
  <dimension ref="B2:AA107"/>
  <sheetViews>
    <sheetView zoomScale="70" zoomScaleNormal="70" workbookViewId="0">
      <selection activeCell="B5" sqref="B5"/>
    </sheetView>
  </sheetViews>
  <sheetFormatPr baseColWidth="10" defaultColWidth="8.7109375" defaultRowHeight="20"/>
  <sheetData>
    <row r="2" spans="2:27">
      <c r="B2" s="24"/>
      <c r="C2" s="10" t="s">
        <v>177</v>
      </c>
      <c r="D2" s="10" t="s">
        <v>178</v>
      </c>
      <c r="E2" s="10" t="s">
        <v>179</v>
      </c>
      <c r="K2" s="45"/>
      <c r="L2" s="45"/>
      <c r="M2" s="45"/>
      <c r="N2" s="45"/>
      <c r="O2" s="45"/>
      <c r="P2" s="45"/>
      <c r="S2" s="45"/>
      <c r="T2" s="45"/>
      <c r="U2" s="45"/>
      <c r="V2" s="45"/>
      <c r="W2" s="45"/>
      <c r="X2" s="45"/>
      <c r="Y2" s="45"/>
      <c r="Z2" s="45"/>
      <c r="AA2" s="45"/>
    </row>
    <row r="3" spans="2:27">
      <c r="B3" s="46"/>
      <c r="C3" s="325" t="s">
        <v>180</v>
      </c>
      <c r="D3" s="325"/>
      <c r="E3" s="325"/>
      <c r="F3" s="47">
        <v>2024</v>
      </c>
      <c r="G3" s="47">
        <v>2023</v>
      </c>
      <c r="H3" s="47">
        <v>2022</v>
      </c>
      <c r="I3" s="47">
        <v>2021</v>
      </c>
      <c r="J3" s="47">
        <v>2020</v>
      </c>
      <c r="K3" s="47">
        <v>2019</v>
      </c>
      <c r="L3" s="47">
        <v>2018</v>
      </c>
      <c r="M3" s="47">
        <v>2017</v>
      </c>
      <c r="N3" s="47">
        <v>2016</v>
      </c>
      <c r="O3" s="47">
        <v>2015</v>
      </c>
      <c r="P3" s="47">
        <v>2014</v>
      </c>
      <c r="Q3" s="47">
        <v>2013</v>
      </c>
      <c r="R3" s="47">
        <v>2012</v>
      </c>
      <c r="S3" s="47">
        <v>2011</v>
      </c>
      <c r="T3" s="47">
        <v>2010</v>
      </c>
      <c r="U3" s="47">
        <v>2009</v>
      </c>
      <c r="V3" s="47">
        <v>2008</v>
      </c>
      <c r="W3" s="47">
        <v>2007</v>
      </c>
      <c r="X3" s="47">
        <v>2006</v>
      </c>
      <c r="Y3" s="47">
        <v>2005</v>
      </c>
      <c r="Z3" s="47">
        <v>2004</v>
      </c>
      <c r="AA3" s="47">
        <v>2003</v>
      </c>
    </row>
    <row r="4" spans="2:27">
      <c r="B4" s="24"/>
      <c r="C4" s="326" t="s">
        <v>181</v>
      </c>
      <c r="D4" s="326"/>
      <c r="E4" s="326"/>
      <c r="F4" s="1" t="s">
        <v>1336</v>
      </c>
      <c r="G4" s="1" t="s">
        <v>182</v>
      </c>
      <c r="H4" s="48" t="s">
        <v>183</v>
      </c>
      <c r="I4" s="48" t="s">
        <v>184</v>
      </c>
      <c r="J4" s="48" t="s">
        <v>185</v>
      </c>
      <c r="K4" s="48" t="s">
        <v>186</v>
      </c>
      <c r="L4" s="48" t="s">
        <v>187</v>
      </c>
      <c r="M4" s="48" t="s">
        <v>188</v>
      </c>
      <c r="N4" s="48" t="s">
        <v>189</v>
      </c>
      <c r="O4" s="48" t="s">
        <v>190</v>
      </c>
      <c r="P4" s="48" t="s">
        <v>191</v>
      </c>
      <c r="Q4" s="48" t="s">
        <v>192</v>
      </c>
      <c r="R4" s="48" t="s">
        <v>193</v>
      </c>
      <c r="S4" s="48" t="s">
        <v>194</v>
      </c>
      <c r="T4" s="48" t="s">
        <v>195</v>
      </c>
      <c r="U4" s="48" t="s">
        <v>196</v>
      </c>
      <c r="V4" s="48" t="s">
        <v>197</v>
      </c>
      <c r="W4" s="48" t="s">
        <v>198</v>
      </c>
      <c r="X4" s="48" t="s">
        <v>199</v>
      </c>
      <c r="Y4" s="48" t="s">
        <v>200</v>
      </c>
      <c r="Z4" s="48" t="s">
        <v>201</v>
      </c>
      <c r="AA4" s="48" t="s">
        <v>202</v>
      </c>
    </row>
    <row r="5" spans="2:27">
      <c r="B5" s="24"/>
      <c r="C5" s="326" t="s">
        <v>47</v>
      </c>
      <c r="D5" s="326"/>
      <c r="E5" s="326"/>
      <c r="F5" s="1" t="s">
        <v>1337</v>
      </c>
      <c r="G5" s="1" t="s">
        <v>203</v>
      </c>
      <c r="H5" s="48" t="s">
        <v>204</v>
      </c>
      <c r="I5" s="48" t="s">
        <v>205</v>
      </c>
      <c r="J5" s="48" t="s">
        <v>206</v>
      </c>
      <c r="K5" s="48" t="s">
        <v>207</v>
      </c>
      <c r="L5" s="48" t="s">
        <v>207</v>
      </c>
      <c r="M5" s="48" t="s">
        <v>208</v>
      </c>
      <c r="N5" s="48" t="s">
        <v>208</v>
      </c>
      <c r="O5" s="48" t="s">
        <v>209</v>
      </c>
      <c r="P5" s="48" t="s">
        <v>209</v>
      </c>
      <c r="Q5" s="48" t="s">
        <v>209</v>
      </c>
      <c r="R5" s="48" t="s">
        <v>210</v>
      </c>
      <c r="S5" s="48" t="s">
        <v>210</v>
      </c>
      <c r="T5" s="48" t="s">
        <v>210</v>
      </c>
      <c r="U5" s="48" t="s">
        <v>210</v>
      </c>
      <c r="V5" s="48" t="s">
        <v>211</v>
      </c>
      <c r="W5" s="48" t="s">
        <v>212</v>
      </c>
      <c r="X5" s="48" t="s">
        <v>212</v>
      </c>
      <c r="Y5" s="48" t="s">
        <v>212</v>
      </c>
      <c r="Z5" s="48" t="s">
        <v>213</v>
      </c>
      <c r="AA5" s="48" t="s">
        <v>213</v>
      </c>
    </row>
    <row r="6" spans="2:27">
      <c r="B6" s="24"/>
      <c r="C6" s="326" t="s">
        <v>214</v>
      </c>
      <c r="D6" s="326"/>
      <c r="E6" s="326"/>
      <c r="F6" s="1" t="s">
        <v>1338</v>
      </c>
      <c r="G6" s="1" t="s">
        <v>215</v>
      </c>
      <c r="H6" s="48" t="s">
        <v>216</v>
      </c>
      <c r="I6" s="48" t="s">
        <v>217</v>
      </c>
      <c r="J6" s="48" t="s">
        <v>218</v>
      </c>
      <c r="K6" s="48" t="s">
        <v>219</v>
      </c>
      <c r="L6" s="48" t="s">
        <v>220</v>
      </c>
      <c r="M6" s="48" t="s">
        <v>221</v>
      </c>
      <c r="N6" s="48" t="s">
        <v>222</v>
      </c>
      <c r="O6" s="48" t="s">
        <v>223</v>
      </c>
      <c r="P6" s="48" t="s">
        <v>224</v>
      </c>
      <c r="Q6" s="48" t="s">
        <v>225</v>
      </c>
      <c r="R6" s="48" t="s">
        <v>226</v>
      </c>
      <c r="S6" s="48" t="s">
        <v>227</v>
      </c>
      <c r="T6" s="48" t="s">
        <v>228</v>
      </c>
      <c r="U6" s="48" t="s">
        <v>229</v>
      </c>
      <c r="V6" s="48" t="s">
        <v>230</v>
      </c>
      <c r="W6" s="48" t="s">
        <v>231</v>
      </c>
      <c r="X6" s="48" t="s">
        <v>232</v>
      </c>
      <c r="Y6" s="48" t="s">
        <v>233</v>
      </c>
      <c r="Z6" s="48" t="s">
        <v>234</v>
      </c>
      <c r="AA6" s="48" t="s">
        <v>235</v>
      </c>
    </row>
    <row r="7" spans="2:27">
      <c r="B7" s="24"/>
      <c r="C7" s="326" t="s">
        <v>236</v>
      </c>
      <c r="D7" s="326"/>
      <c r="E7" s="326"/>
      <c r="F7" s="1" t="s">
        <v>1339</v>
      </c>
      <c r="G7" s="1" t="s">
        <v>237</v>
      </c>
      <c r="H7" s="48" t="s">
        <v>217</v>
      </c>
      <c r="I7" s="48" t="s">
        <v>218</v>
      </c>
      <c r="J7" s="48" t="s">
        <v>238</v>
      </c>
      <c r="K7" s="48" t="s">
        <v>239</v>
      </c>
      <c r="L7" s="48" t="s">
        <v>240</v>
      </c>
      <c r="M7" s="48" t="s">
        <v>241</v>
      </c>
      <c r="N7" s="48" t="s">
        <v>223</v>
      </c>
      <c r="O7" s="48" t="s">
        <v>242</v>
      </c>
      <c r="P7" s="48" t="s">
        <v>225</v>
      </c>
      <c r="Q7" s="48" t="s">
        <v>243</v>
      </c>
      <c r="R7" s="48" t="s">
        <v>244</v>
      </c>
      <c r="S7" s="48" t="s">
        <v>244</v>
      </c>
      <c r="T7" s="48" t="s">
        <v>245</v>
      </c>
      <c r="U7" s="48" t="s">
        <v>229</v>
      </c>
      <c r="V7" s="48" t="s">
        <v>212</v>
      </c>
      <c r="W7" s="48" t="s">
        <v>231</v>
      </c>
      <c r="X7" s="48" t="s">
        <v>232</v>
      </c>
      <c r="Y7" s="48" t="s">
        <v>233</v>
      </c>
      <c r="Z7" s="48" t="s">
        <v>234</v>
      </c>
      <c r="AA7" s="48" t="s">
        <v>235</v>
      </c>
    </row>
    <row r="8" spans="2:27">
      <c r="B8" s="24"/>
      <c r="C8" s="326" t="s">
        <v>246</v>
      </c>
      <c r="D8" s="326"/>
      <c r="E8" s="326"/>
      <c r="F8" s="1"/>
      <c r="G8" s="1">
        <v>14.72</v>
      </c>
      <c r="H8" s="48">
        <v>91.55</v>
      </c>
      <c r="I8" s="48">
        <v>161.54</v>
      </c>
      <c r="J8" s="48" t="s">
        <v>1340</v>
      </c>
      <c r="K8" s="48">
        <v>317.57</v>
      </c>
      <c r="L8" s="48">
        <v>127.75</v>
      </c>
      <c r="M8" s="48">
        <v>352.44</v>
      </c>
      <c r="N8" s="48">
        <v>332.91</v>
      </c>
      <c r="O8" s="48">
        <v>373.75</v>
      </c>
      <c r="P8" s="48">
        <v>350.77</v>
      </c>
      <c r="Q8" s="48">
        <v>390.73</v>
      </c>
      <c r="R8" s="48">
        <v>369.38</v>
      </c>
      <c r="S8" s="48">
        <v>27.18</v>
      </c>
      <c r="T8" s="48">
        <v>371.8</v>
      </c>
      <c r="U8" s="48" t="s">
        <v>248</v>
      </c>
      <c r="V8" s="48">
        <v>341.14</v>
      </c>
      <c r="W8" s="48">
        <v>241.56</v>
      </c>
      <c r="X8" s="48">
        <v>40.92</v>
      </c>
      <c r="Y8" s="48">
        <v>37.67</v>
      </c>
      <c r="Z8" s="48">
        <v>34.96</v>
      </c>
      <c r="AA8" s="48">
        <v>41.96</v>
      </c>
    </row>
    <row r="9" spans="2:27">
      <c r="B9" s="46"/>
      <c r="C9" s="325" t="s">
        <v>249</v>
      </c>
      <c r="D9" s="325"/>
      <c r="E9" s="325"/>
      <c r="F9" s="49"/>
      <c r="G9" s="49">
        <v>15</v>
      </c>
      <c r="H9" s="49">
        <v>9</v>
      </c>
      <c r="I9" s="49">
        <v>6</v>
      </c>
      <c r="J9" s="49" t="s">
        <v>247</v>
      </c>
      <c r="K9" s="49">
        <v>2</v>
      </c>
      <c r="L9" s="49">
        <v>5</v>
      </c>
      <c r="M9" s="49">
        <v>3</v>
      </c>
      <c r="N9" s="49">
        <v>3</v>
      </c>
      <c r="O9" s="49">
        <v>1</v>
      </c>
      <c r="P9" s="49">
        <v>4</v>
      </c>
      <c r="Q9" s="49">
        <v>2</v>
      </c>
      <c r="R9" s="49">
        <v>2</v>
      </c>
      <c r="S9" s="49">
        <v>15</v>
      </c>
      <c r="T9" s="49">
        <v>2</v>
      </c>
      <c r="U9" s="49" t="s">
        <v>250</v>
      </c>
      <c r="V9" s="49">
        <v>2</v>
      </c>
      <c r="W9" s="49">
        <v>5</v>
      </c>
      <c r="X9" s="49" t="s">
        <v>45</v>
      </c>
      <c r="Y9" s="49" t="s">
        <v>45</v>
      </c>
      <c r="Z9" s="49">
        <v>6</v>
      </c>
      <c r="AA9" s="49">
        <v>8</v>
      </c>
    </row>
    <row r="10" spans="2:27">
      <c r="B10" s="24"/>
      <c r="C10" s="48" t="s">
        <v>1342</v>
      </c>
      <c r="D10" s="326" t="s">
        <v>251</v>
      </c>
      <c r="E10" s="326"/>
      <c r="F10" s="1" t="s">
        <v>1341</v>
      </c>
      <c r="G10" s="1" t="s">
        <v>1341</v>
      </c>
      <c r="H10" s="48" t="s">
        <v>1341</v>
      </c>
      <c r="I10" s="48"/>
      <c r="J10" s="48"/>
      <c r="K10" s="48"/>
      <c r="L10" s="48" t="s">
        <v>252</v>
      </c>
      <c r="M10" s="48" t="s">
        <v>253</v>
      </c>
      <c r="N10" s="48" t="s">
        <v>253</v>
      </c>
      <c r="O10" s="48" t="s">
        <v>253</v>
      </c>
      <c r="P10" s="48" t="s">
        <v>253</v>
      </c>
      <c r="Q10" s="48" t="s">
        <v>253</v>
      </c>
      <c r="R10" s="48" t="s">
        <v>253</v>
      </c>
      <c r="S10" s="48" t="s">
        <v>253</v>
      </c>
      <c r="T10" s="48" t="s">
        <v>253</v>
      </c>
      <c r="U10" s="48" t="s">
        <v>253</v>
      </c>
      <c r="V10" s="48" t="s">
        <v>253</v>
      </c>
      <c r="W10" s="48" t="s">
        <v>253</v>
      </c>
      <c r="X10" s="48" t="s">
        <v>253</v>
      </c>
      <c r="Y10" s="48" t="s">
        <v>253</v>
      </c>
      <c r="Z10" s="48" t="s">
        <v>253</v>
      </c>
      <c r="AA10" s="48" t="s">
        <v>253</v>
      </c>
    </row>
    <row r="11" spans="2:27">
      <c r="B11" s="24"/>
      <c r="C11" s="48"/>
      <c r="D11" s="326" t="s">
        <v>254</v>
      </c>
      <c r="E11" s="326"/>
      <c r="F11" s="1" t="s">
        <v>255</v>
      </c>
      <c r="G11" s="1" t="s">
        <v>255</v>
      </c>
      <c r="H11" s="48" t="s">
        <v>255</v>
      </c>
      <c r="I11" s="48" t="s">
        <v>256</v>
      </c>
      <c r="J11" s="48" t="s">
        <v>256</v>
      </c>
      <c r="K11" s="48" t="s">
        <v>257</v>
      </c>
      <c r="L11" s="48" t="s">
        <v>257</v>
      </c>
      <c r="M11" s="48"/>
      <c r="N11" s="48"/>
      <c r="O11" s="48" t="s">
        <v>256</v>
      </c>
      <c r="P11" s="48" t="s">
        <v>256</v>
      </c>
      <c r="Q11" s="48"/>
      <c r="R11" s="48"/>
      <c r="S11" s="48"/>
      <c r="T11" s="48"/>
      <c r="U11" s="48"/>
      <c r="V11" s="48"/>
      <c r="W11" s="48"/>
      <c r="X11" s="48"/>
      <c r="Y11" s="48"/>
      <c r="Z11" s="48"/>
      <c r="AA11" s="48"/>
    </row>
    <row r="12" spans="2:27">
      <c r="B12" s="321" t="s">
        <v>258</v>
      </c>
      <c r="C12" s="48" t="s">
        <v>259</v>
      </c>
      <c r="D12" s="48" t="s">
        <v>176</v>
      </c>
      <c r="E12" s="48" t="s">
        <v>260</v>
      </c>
      <c r="F12" s="48"/>
      <c r="G12" s="48">
        <v>1.5764761738534672</v>
      </c>
      <c r="H12" s="1">
        <v>1.4620544906879693</v>
      </c>
      <c r="I12" s="48">
        <v>1.1974377391693776</v>
      </c>
      <c r="J12" s="48">
        <v>1.245531064274104</v>
      </c>
      <c r="K12" s="48">
        <v>2.8</v>
      </c>
      <c r="L12" s="48">
        <v>0.6</v>
      </c>
      <c r="M12" s="48">
        <v>-0.55000000000000004</v>
      </c>
      <c r="N12" s="48">
        <v>-0.1</v>
      </c>
      <c r="O12" s="48">
        <v>-0.25</v>
      </c>
      <c r="P12" s="48">
        <v>-1</v>
      </c>
      <c r="Q12" s="48">
        <v>-0.5</v>
      </c>
      <c r="R12" s="48"/>
      <c r="S12" s="48"/>
      <c r="T12" s="48"/>
      <c r="U12" s="48"/>
      <c r="V12" s="48"/>
      <c r="W12" s="48"/>
      <c r="X12" s="48"/>
      <c r="Y12" s="48"/>
      <c r="Z12" s="48"/>
      <c r="AA12" s="48"/>
    </row>
    <row r="13" spans="2:27">
      <c r="B13" s="321"/>
      <c r="C13" s="48" t="s">
        <v>261</v>
      </c>
      <c r="D13" s="48" t="s">
        <v>262</v>
      </c>
      <c r="E13" s="48" t="s">
        <v>260</v>
      </c>
      <c r="F13" s="48"/>
      <c r="G13" s="48">
        <v>0</v>
      </c>
      <c r="H13" s="1">
        <v>0</v>
      </c>
      <c r="I13" s="48">
        <v>0</v>
      </c>
      <c r="J13" s="48">
        <v>0</v>
      </c>
      <c r="K13" s="48">
        <v>0</v>
      </c>
      <c r="L13" s="48">
        <v>0</v>
      </c>
      <c r="M13" s="48">
        <v>0</v>
      </c>
      <c r="N13" s="48">
        <v>0</v>
      </c>
      <c r="O13" s="48">
        <v>0</v>
      </c>
      <c r="P13" s="48">
        <v>0</v>
      </c>
      <c r="Q13" s="48">
        <v>0</v>
      </c>
      <c r="R13" s="48"/>
      <c r="S13" s="48"/>
      <c r="T13" s="48"/>
      <c r="U13" s="48"/>
      <c r="V13" s="48"/>
      <c r="W13" s="48"/>
      <c r="X13" s="48"/>
      <c r="Y13" s="48"/>
      <c r="Z13" s="48"/>
      <c r="AA13" s="48"/>
    </row>
    <row r="14" spans="2:27">
      <c r="B14" s="321"/>
      <c r="C14" s="48" t="s">
        <v>263</v>
      </c>
      <c r="D14" s="48" t="s">
        <v>264</v>
      </c>
      <c r="E14" s="48" t="s">
        <v>265</v>
      </c>
      <c r="F14" s="48"/>
      <c r="G14" s="48">
        <v>10.5</v>
      </c>
      <c r="H14" s="1">
        <v>9.5</v>
      </c>
      <c r="I14" s="48">
        <v>11</v>
      </c>
      <c r="J14" s="48">
        <v>9.6</v>
      </c>
      <c r="K14" s="48">
        <v>8.3000000000000007</v>
      </c>
      <c r="L14" s="48">
        <v>10</v>
      </c>
      <c r="M14" s="48">
        <v>11</v>
      </c>
      <c r="N14" s="48">
        <v>10.5</v>
      </c>
      <c r="O14" s="48">
        <v>10</v>
      </c>
      <c r="P14" s="48">
        <v>9.5</v>
      </c>
      <c r="Q14" s="48">
        <v>9</v>
      </c>
      <c r="R14" s="48">
        <v>8.8000000000000007</v>
      </c>
      <c r="S14" s="48">
        <v>9</v>
      </c>
      <c r="T14" s="48">
        <v>8.8000000000000007</v>
      </c>
      <c r="U14" s="48">
        <v>9.11</v>
      </c>
      <c r="V14" s="48">
        <v>8.76</v>
      </c>
      <c r="W14" s="48">
        <v>8.5</v>
      </c>
      <c r="X14" s="48">
        <v>8.5299999999999994</v>
      </c>
      <c r="Y14" s="48">
        <v>7.69</v>
      </c>
      <c r="Z14" s="48">
        <v>8</v>
      </c>
      <c r="AA14" s="48">
        <v>7.6</v>
      </c>
    </row>
    <row r="15" spans="2:27" ht="21" thickBot="1">
      <c r="B15" s="322"/>
      <c r="C15" s="50" t="s">
        <v>266</v>
      </c>
      <c r="D15" s="50" t="s">
        <v>267</v>
      </c>
      <c r="E15" s="50" t="s">
        <v>37</v>
      </c>
      <c r="F15" s="50"/>
      <c r="G15" s="50">
        <v>100</v>
      </c>
      <c r="H15" s="19">
        <v>100</v>
      </c>
      <c r="I15" s="50">
        <v>2</v>
      </c>
      <c r="J15" s="50">
        <v>2</v>
      </c>
      <c r="K15" s="50">
        <v>2</v>
      </c>
      <c r="L15" s="50">
        <v>2</v>
      </c>
      <c r="M15" s="50">
        <v>2</v>
      </c>
      <c r="N15" s="50">
        <v>2</v>
      </c>
      <c r="O15" s="50">
        <v>2</v>
      </c>
      <c r="P15" s="50">
        <v>2</v>
      </c>
      <c r="Q15" s="50">
        <v>2</v>
      </c>
      <c r="R15" s="50"/>
      <c r="S15" s="50"/>
      <c r="T15" s="50"/>
      <c r="U15" s="50"/>
      <c r="V15" s="50"/>
      <c r="W15" s="50"/>
      <c r="X15" s="50"/>
      <c r="Y15" s="50"/>
      <c r="Z15" s="50"/>
      <c r="AA15" s="50"/>
    </row>
    <row r="16" spans="2:27" ht="21" thickTop="1">
      <c r="B16" s="321" t="s">
        <v>19</v>
      </c>
      <c r="C16" s="51" t="s">
        <v>268</v>
      </c>
      <c r="D16" s="48" t="s">
        <v>45</v>
      </c>
      <c r="E16" s="48" t="s">
        <v>36</v>
      </c>
      <c r="F16" s="48"/>
      <c r="G16" s="48">
        <v>42.574195183784404</v>
      </c>
      <c r="H16" s="2">
        <v>40.629999999999995</v>
      </c>
      <c r="I16" s="48">
        <v>44.93644280491565</v>
      </c>
      <c r="J16" s="48">
        <v>45.797063524200141</v>
      </c>
      <c r="K16" s="48">
        <v>44.512043873841378</v>
      </c>
      <c r="L16" s="48">
        <v>44.343872785418093</v>
      </c>
      <c r="M16" s="48">
        <v>38.544311560569746</v>
      </c>
      <c r="N16" s="48">
        <v>40.157903567729356</v>
      </c>
      <c r="O16" s="48">
        <v>38.481598500930382</v>
      </c>
      <c r="P16" s="48">
        <v>39.1303852973776</v>
      </c>
      <c r="Q16" s="48">
        <v>39.785132411188641</v>
      </c>
      <c r="R16" s="48">
        <v>36</v>
      </c>
      <c r="S16" s="48">
        <v>35</v>
      </c>
      <c r="T16" s="48">
        <v>36</v>
      </c>
      <c r="U16" s="48">
        <v>36</v>
      </c>
      <c r="V16" s="48">
        <v>34</v>
      </c>
      <c r="W16" s="48">
        <v>36.5</v>
      </c>
      <c r="X16" s="48">
        <v>40</v>
      </c>
      <c r="Y16" s="48">
        <v>40</v>
      </c>
      <c r="Z16" s="48">
        <v>37.5</v>
      </c>
      <c r="AA16" s="48">
        <v>37.5</v>
      </c>
    </row>
    <row r="17" spans="2:27">
      <c r="B17" s="321"/>
      <c r="C17" s="51" t="s">
        <v>269</v>
      </c>
      <c r="D17" s="48" t="s">
        <v>45</v>
      </c>
      <c r="E17" s="48" t="s">
        <v>36</v>
      </c>
      <c r="F17" s="48"/>
      <c r="G17" s="48">
        <v>61</v>
      </c>
      <c r="H17" s="1">
        <v>58.5</v>
      </c>
      <c r="I17" s="48">
        <v>65</v>
      </c>
      <c r="J17" s="48">
        <v>53</v>
      </c>
      <c r="K17" s="48">
        <v>53</v>
      </c>
      <c r="L17" s="48">
        <v>51</v>
      </c>
      <c r="M17" s="48">
        <v>53</v>
      </c>
      <c r="N17" s="48">
        <v>55</v>
      </c>
      <c r="O17" s="48">
        <v>49</v>
      </c>
      <c r="P17" s="48">
        <v>49</v>
      </c>
      <c r="Q17" s="48">
        <v>49</v>
      </c>
      <c r="R17" s="48"/>
      <c r="S17" s="48"/>
      <c r="T17" s="48"/>
      <c r="U17" s="48"/>
      <c r="V17" s="48"/>
      <c r="W17" s="48"/>
      <c r="X17" s="48"/>
      <c r="Y17" s="48"/>
      <c r="Z17" s="48"/>
      <c r="AA17" s="48"/>
    </row>
    <row r="18" spans="2:27">
      <c r="B18" s="321"/>
      <c r="C18" s="51" t="s">
        <v>270</v>
      </c>
      <c r="D18" s="48" t="s">
        <v>37</v>
      </c>
      <c r="E18" s="48" t="s">
        <v>36</v>
      </c>
      <c r="F18" s="48"/>
      <c r="G18" s="48">
        <v>103.57419518378441</v>
      </c>
      <c r="H18" s="1">
        <v>99.13</v>
      </c>
      <c r="I18" s="48">
        <v>109.93644280491566</v>
      </c>
      <c r="J18" s="48">
        <v>98.797063524200141</v>
      </c>
      <c r="K18" s="48">
        <v>97.512043873841378</v>
      </c>
      <c r="L18" s="48">
        <v>95.343872785418085</v>
      </c>
      <c r="M18" s="48">
        <v>91.544311560569753</v>
      </c>
      <c r="N18" s="48">
        <v>95.157903567729363</v>
      </c>
      <c r="O18" s="48">
        <v>87.481598500930374</v>
      </c>
      <c r="P18" s="48">
        <v>88.1303852973776</v>
      </c>
      <c r="Q18" s="48">
        <v>88.785132411188641</v>
      </c>
      <c r="R18" s="48">
        <v>85</v>
      </c>
      <c r="S18" s="48">
        <v>84</v>
      </c>
      <c r="T18" s="48">
        <v>86</v>
      </c>
      <c r="U18" s="48">
        <v>88</v>
      </c>
      <c r="V18" s="48">
        <v>86</v>
      </c>
      <c r="W18" s="48">
        <v>91.5</v>
      </c>
      <c r="X18" s="48">
        <v>96</v>
      </c>
      <c r="Y18" s="48">
        <v>96</v>
      </c>
      <c r="Z18" s="48">
        <v>89</v>
      </c>
      <c r="AA18" s="48">
        <v>89</v>
      </c>
    </row>
    <row r="19" spans="2:27">
      <c r="B19" s="321"/>
      <c r="C19" s="51" t="s">
        <v>271</v>
      </c>
      <c r="D19" s="48" t="s">
        <v>272</v>
      </c>
      <c r="E19" s="48" t="s">
        <v>273</v>
      </c>
      <c r="F19" s="48"/>
      <c r="G19" s="48">
        <v>1014.716390215536</v>
      </c>
      <c r="H19" s="1">
        <v>970.97834999999998</v>
      </c>
      <c r="I19" s="48">
        <v>1076.8274572741489</v>
      </c>
      <c r="J19" s="48">
        <v>967.71723721954038</v>
      </c>
      <c r="K19" s="48">
        <v>955.1304697442763</v>
      </c>
      <c r="L19" s="48">
        <v>933.89323393317011</v>
      </c>
      <c r="M19" s="48">
        <v>896.67653173578071</v>
      </c>
      <c r="N19" s="48">
        <v>932.07166544590916</v>
      </c>
      <c r="O19" s="48">
        <v>856.88225731661305</v>
      </c>
      <c r="P19" s="48">
        <v>863.23712398781356</v>
      </c>
      <c r="Q19" s="48">
        <v>869.65037196759272</v>
      </c>
      <c r="R19" s="48"/>
      <c r="S19" s="48"/>
      <c r="T19" s="48"/>
      <c r="U19" s="48"/>
      <c r="V19" s="48"/>
      <c r="W19" s="48"/>
      <c r="X19" s="48"/>
      <c r="Y19" s="48"/>
      <c r="Z19" s="48"/>
      <c r="AA19" s="48"/>
    </row>
    <row r="20" spans="2:27" ht="21" thickBot="1">
      <c r="B20" s="322"/>
      <c r="C20" s="50" t="s">
        <v>274</v>
      </c>
      <c r="D20" s="50" t="s">
        <v>275</v>
      </c>
      <c r="E20" s="50" t="s">
        <v>276</v>
      </c>
      <c r="F20" s="50"/>
      <c r="G20" s="50">
        <v>5.8642150459954827</v>
      </c>
      <c r="H20" s="19">
        <v>5.2592371024187807</v>
      </c>
      <c r="I20" s="50">
        <v>5.7667803807721114</v>
      </c>
      <c r="J20" s="50">
        <v>5.2494263298141739</v>
      </c>
      <c r="K20" s="50">
        <v>5.3211758695686999</v>
      </c>
      <c r="L20" s="50">
        <v>5.2796190648854795</v>
      </c>
      <c r="M20" s="50">
        <v>4.9932308466401985</v>
      </c>
      <c r="N20" s="50">
        <v>5.3626377908957457</v>
      </c>
      <c r="O20" s="50">
        <v>4.7387905392098775</v>
      </c>
      <c r="P20" s="50">
        <v>4.7065826929369603</v>
      </c>
      <c r="Q20" s="50">
        <v>4.7787575826698534</v>
      </c>
      <c r="R20" s="50">
        <v>4.4800000000000004</v>
      </c>
      <c r="S20" s="50">
        <v>5.21</v>
      </c>
      <c r="T20" s="50">
        <v>4.66</v>
      </c>
      <c r="U20" s="50">
        <v>4.6100000000000003</v>
      </c>
      <c r="V20" s="50">
        <v>4.51</v>
      </c>
      <c r="W20" s="50">
        <v>4.83</v>
      </c>
      <c r="X20" s="50">
        <v>4.01</v>
      </c>
      <c r="Y20" s="50">
        <v>4.0199999999999996</v>
      </c>
      <c r="Z20" s="50">
        <v>4.3600000000000003</v>
      </c>
      <c r="AA20" s="50">
        <v>4.03</v>
      </c>
    </row>
    <row r="21" spans="2:27" ht="21" thickTop="1">
      <c r="B21" s="321" t="s">
        <v>277</v>
      </c>
      <c r="C21" s="48" t="s">
        <v>278</v>
      </c>
      <c r="D21" s="48" t="s">
        <v>279</v>
      </c>
      <c r="E21" s="48" t="s">
        <v>37</v>
      </c>
      <c r="F21" s="48"/>
      <c r="G21" s="48">
        <v>0.23544509320633827</v>
      </c>
      <c r="H21" s="2">
        <v>0.2492959690889035</v>
      </c>
      <c r="I21" s="48">
        <v>0.27955130115864996</v>
      </c>
      <c r="J21" s="48">
        <v>0.28948775014121375</v>
      </c>
      <c r="K21" s="48">
        <v>0.2817978091561667</v>
      </c>
      <c r="L21" s="48">
        <v>0.21242587219432632</v>
      </c>
      <c r="M21" s="48">
        <v>0.22847891878415774</v>
      </c>
      <c r="N21" s="48">
        <v>0.22279182074093792</v>
      </c>
      <c r="O21" s="48">
        <v>0.23342359262169821</v>
      </c>
      <c r="P21" s="48">
        <v>0.23788263073181701</v>
      </c>
      <c r="Q21" s="48">
        <v>0.22527494420692037</v>
      </c>
      <c r="R21" s="48"/>
      <c r="S21" s="48"/>
      <c r="T21" s="48"/>
      <c r="U21" s="48"/>
      <c r="V21" s="48"/>
      <c r="W21" s="48"/>
      <c r="X21" s="48"/>
      <c r="Y21" s="48"/>
      <c r="Z21" s="48"/>
      <c r="AA21" s="48"/>
    </row>
    <row r="22" spans="2:27">
      <c r="B22" s="321"/>
      <c r="C22" s="48" t="s">
        <v>278</v>
      </c>
      <c r="D22" s="48" t="s">
        <v>280</v>
      </c>
      <c r="E22" s="48" t="s">
        <v>45</v>
      </c>
      <c r="F22" s="48"/>
      <c r="G22" s="48">
        <v>0.35</v>
      </c>
      <c r="H22" s="1">
        <v>0.33</v>
      </c>
      <c r="I22" s="48">
        <v>0.33</v>
      </c>
      <c r="J22" s="48">
        <v>0.32319999999999999</v>
      </c>
      <c r="K22" s="48">
        <v>0.32319999999999999</v>
      </c>
      <c r="L22" s="48">
        <v>0.32319999999999999</v>
      </c>
      <c r="M22" s="48">
        <v>0.32319999999999999</v>
      </c>
      <c r="N22" s="48">
        <v>0.32319999999999999</v>
      </c>
      <c r="O22" s="48">
        <v>0.32319999999999999</v>
      </c>
      <c r="P22" s="48">
        <v>0.32319999999999999</v>
      </c>
      <c r="Q22" s="48">
        <v>0.32319999999999999</v>
      </c>
      <c r="R22" s="48">
        <v>33</v>
      </c>
      <c r="S22" s="48">
        <v>33</v>
      </c>
      <c r="T22" s="48">
        <v>33</v>
      </c>
      <c r="U22" s="48">
        <v>33</v>
      </c>
      <c r="V22" s="48">
        <v>30</v>
      </c>
      <c r="W22" s="48">
        <v>33</v>
      </c>
      <c r="X22" s="48">
        <v>30</v>
      </c>
      <c r="Y22" s="48">
        <v>25</v>
      </c>
      <c r="Z22" s="48">
        <v>25</v>
      </c>
      <c r="AA22" s="48">
        <v>25</v>
      </c>
    </row>
    <row r="23" spans="2:27" ht="21" thickBot="1">
      <c r="B23" s="322"/>
      <c r="C23" s="50" t="s">
        <v>281</v>
      </c>
      <c r="D23" s="50" t="s">
        <v>282</v>
      </c>
      <c r="E23" s="50" t="s">
        <v>45</v>
      </c>
      <c r="F23" s="50"/>
      <c r="G23" s="50">
        <v>0.55274022409528079</v>
      </c>
      <c r="H23" s="19">
        <v>0.51724507324221358</v>
      </c>
      <c r="I23" s="50">
        <v>0.5231483199220881</v>
      </c>
      <c r="J23" s="50">
        <v>0.52800508218192999</v>
      </c>
      <c r="K23" s="50">
        <v>0.49513467835370822</v>
      </c>
      <c r="L23" s="50">
        <v>0.49508048406814709</v>
      </c>
      <c r="M23" s="50">
        <v>0.50801579155783205</v>
      </c>
      <c r="N23" s="50">
        <v>0.49050073651817705</v>
      </c>
      <c r="O23" s="50">
        <v>0.50150590032370146</v>
      </c>
      <c r="P23" s="50">
        <v>0.49779989846597406</v>
      </c>
      <c r="Q23" s="50">
        <v>0.50245945268494019</v>
      </c>
      <c r="R23" s="50"/>
      <c r="S23" s="50"/>
      <c r="T23" s="50"/>
      <c r="U23" s="50"/>
      <c r="V23" s="50"/>
      <c r="W23" s="50"/>
      <c r="X23" s="50"/>
      <c r="Y23" s="50"/>
      <c r="Z23" s="50"/>
      <c r="AA23" s="50"/>
    </row>
    <row r="24" spans="2:27" ht="21" thickTop="1">
      <c r="B24" s="323" t="s">
        <v>283</v>
      </c>
      <c r="C24" s="52" t="s">
        <v>284</v>
      </c>
      <c r="D24" s="52" t="s">
        <v>285</v>
      </c>
      <c r="E24" s="52" t="s">
        <v>286</v>
      </c>
      <c r="F24" s="53"/>
      <c r="G24" s="53">
        <v>17.662073162632822</v>
      </c>
      <c r="H24" s="2">
        <v>18.848741380077545</v>
      </c>
      <c r="I24" s="53">
        <v>19.063747107739921</v>
      </c>
      <c r="J24" s="53">
        <v>18.820544820884741</v>
      </c>
      <c r="K24" s="52">
        <v>18.32528115289395</v>
      </c>
      <c r="L24" s="52">
        <v>18.058854552508553</v>
      </c>
      <c r="M24" s="52">
        <v>18.333683014508992</v>
      </c>
      <c r="N24" s="52">
        <v>17.744607649854849</v>
      </c>
      <c r="O24" s="52">
        <v>18.460743891735003</v>
      </c>
      <c r="P24" s="52">
        <v>18.724920190955629</v>
      </c>
      <c r="Q24" s="52">
        <v>18.579124568521241</v>
      </c>
      <c r="R24" s="52">
        <v>19</v>
      </c>
      <c r="S24" s="52">
        <v>19.2</v>
      </c>
      <c r="T24" s="52">
        <v>19</v>
      </c>
      <c r="U24" s="52">
        <v>19.2</v>
      </c>
      <c r="V24" s="52">
        <v>19.05</v>
      </c>
      <c r="W24" s="52">
        <v>19.100000000000001</v>
      </c>
      <c r="X24" s="52">
        <v>22.4</v>
      </c>
      <c r="Y24" s="52">
        <v>23.8</v>
      </c>
      <c r="Z24" s="52">
        <v>20.2</v>
      </c>
      <c r="AA24" s="52">
        <v>20.37</v>
      </c>
    </row>
    <row r="25" spans="2:27">
      <c r="B25" s="321"/>
      <c r="C25" s="48" t="s">
        <v>287</v>
      </c>
      <c r="D25" s="48" t="s">
        <v>288</v>
      </c>
      <c r="E25" s="48" t="s">
        <v>286</v>
      </c>
      <c r="F25" s="54"/>
      <c r="G25" s="54">
        <v>1.54</v>
      </c>
      <c r="H25" s="1">
        <v>1.353</v>
      </c>
      <c r="I25" s="54">
        <v>1.6703999999999999</v>
      </c>
      <c r="J25" s="54">
        <v>1.5264</v>
      </c>
      <c r="K25" s="48">
        <v>1.5475999999999996</v>
      </c>
      <c r="L25" s="48">
        <v>1.375</v>
      </c>
      <c r="M25" s="48">
        <v>1.254</v>
      </c>
      <c r="N25" s="48">
        <v>1.3559999999999999</v>
      </c>
      <c r="O25" s="48">
        <v>1.254</v>
      </c>
      <c r="P25" s="48">
        <v>1.254</v>
      </c>
      <c r="Q25" s="48">
        <v>1.254</v>
      </c>
      <c r="R25" s="48">
        <v>1.32</v>
      </c>
      <c r="S25" s="48">
        <v>1.3</v>
      </c>
      <c r="T25" s="48">
        <v>1.3</v>
      </c>
      <c r="U25" s="48">
        <v>1.4</v>
      </c>
      <c r="V25" s="48">
        <v>1.38</v>
      </c>
      <c r="W25" s="48">
        <v>1.39</v>
      </c>
      <c r="X25" s="48">
        <v>2.1</v>
      </c>
      <c r="Y25" s="48">
        <v>2.16</v>
      </c>
      <c r="Z25" s="48">
        <v>1.69</v>
      </c>
      <c r="AA25" s="48">
        <v>1.7</v>
      </c>
    </row>
    <row r="26" spans="2:27" ht="21" thickBot="1">
      <c r="B26" s="322"/>
      <c r="C26" s="50" t="s">
        <v>289</v>
      </c>
      <c r="D26" s="50" t="s">
        <v>290</v>
      </c>
      <c r="E26" s="50" t="s">
        <v>286</v>
      </c>
      <c r="F26" s="55"/>
      <c r="G26" s="55">
        <v>0.70125000000000004</v>
      </c>
      <c r="H26" s="19">
        <v>0.62600000000000011</v>
      </c>
      <c r="I26" s="55">
        <v>0.63319999999999999</v>
      </c>
      <c r="J26" s="55">
        <v>0.63319999999999999</v>
      </c>
      <c r="K26" s="50">
        <v>0.55503775834658209</v>
      </c>
      <c r="L26" s="50">
        <v>0.57000000000000006</v>
      </c>
      <c r="M26" s="50">
        <v>0.4</v>
      </c>
      <c r="N26" s="50">
        <v>0.36000000000000004</v>
      </c>
      <c r="O26" s="50">
        <v>0.4</v>
      </c>
      <c r="P26" s="50">
        <v>0.4</v>
      </c>
      <c r="Q26" s="50">
        <v>0.4</v>
      </c>
      <c r="R26" s="50">
        <v>0.4</v>
      </c>
      <c r="S26" s="50">
        <v>0.45</v>
      </c>
      <c r="T26" s="50">
        <v>0.38300000000000001</v>
      </c>
      <c r="U26" s="50">
        <v>0.72199999999999998</v>
      </c>
      <c r="V26" s="50">
        <v>0.73</v>
      </c>
      <c r="W26" s="50">
        <v>0.92</v>
      </c>
      <c r="X26" s="50">
        <v>1.32</v>
      </c>
      <c r="Y26" s="50">
        <v>1.24</v>
      </c>
      <c r="Z26" s="50">
        <v>1.05</v>
      </c>
      <c r="AA26" s="50">
        <v>1.05</v>
      </c>
    </row>
    <row r="27" spans="2:27" ht="21" thickTop="1">
      <c r="B27" s="324" t="s">
        <v>40</v>
      </c>
      <c r="C27" s="56" t="s">
        <v>291</v>
      </c>
      <c r="D27" s="56" t="s">
        <v>292</v>
      </c>
      <c r="E27" s="56" t="s">
        <v>37</v>
      </c>
      <c r="F27" s="56"/>
      <c r="G27" s="56">
        <v>24.585465220630464</v>
      </c>
      <c r="H27" s="2">
        <v>26.522536724685345</v>
      </c>
      <c r="I27" s="56">
        <v>25.696443303325886</v>
      </c>
      <c r="J27" s="56">
        <v>26.687812794039022</v>
      </c>
      <c r="K27" s="56">
        <v>26.482901442796813</v>
      </c>
      <c r="L27" s="56">
        <v>25.157304326023652</v>
      </c>
      <c r="M27" s="56">
        <v>26.797336910170205</v>
      </c>
      <c r="N27" s="56">
        <v>25.901214194796381</v>
      </c>
      <c r="O27" s="56">
        <v>26.665379765339125</v>
      </c>
      <c r="P27" s="56">
        <v>27.831659171718915</v>
      </c>
      <c r="Q27" s="56">
        <v>26.704262449297481</v>
      </c>
      <c r="R27" s="56">
        <v>25</v>
      </c>
      <c r="S27" s="56">
        <v>25</v>
      </c>
      <c r="T27" s="56">
        <v>25</v>
      </c>
      <c r="U27" s="56">
        <v>25</v>
      </c>
      <c r="V27" s="56">
        <v>24.2</v>
      </c>
      <c r="W27" s="56">
        <v>24.6</v>
      </c>
      <c r="X27" s="56">
        <v>24</v>
      </c>
      <c r="Y27" s="56">
        <v>25</v>
      </c>
      <c r="Z27" s="56">
        <v>23</v>
      </c>
      <c r="AA27" s="56">
        <v>22.9</v>
      </c>
    </row>
    <row r="28" spans="2:27">
      <c r="B28" s="321"/>
      <c r="C28" s="48" t="s">
        <v>293</v>
      </c>
      <c r="D28" s="48" t="s">
        <v>294</v>
      </c>
      <c r="E28" s="48" t="s">
        <v>45</v>
      </c>
      <c r="F28" s="48"/>
      <c r="G28" s="48">
        <v>34.222771842755051</v>
      </c>
      <c r="H28" s="1">
        <v>37.320526613824697</v>
      </c>
      <c r="I28" s="48">
        <v>34.636800137416621</v>
      </c>
      <c r="J28" s="48">
        <v>37.843715923638761</v>
      </c>
      <c r="K28" s="48">
        <v>38.271940439949674</v>
      </c>
      <c r="L28" s="48">
        <v>35.045963691216159</v>
      </c>
      <c r="M28" s="48">
        <v>39.168194678007659</v>
      </c>
      <c r="N28" s="48">
        <v>37.80714175273463</v>
      </c>
      <c r="O28" s="48">
        <v>38.516458610754881</v>
      </c>
      <c r="P28" s="48">
        <v>41.36739939884324</v>
      </c>
      <c r="Q28" s="48">
        <v>38.382735975041598</v>
      </c>
      <c r="R28" s="48">
        <v>32.9</v>
      </c>
      <c r="S28" s="48">
        <v>32.6</v>
      </c>
      <c r="T28" s="48">
        <v>32.799999999999997</v>
      </c>
      <c r="U28" s="48">
        <v>31</v>
      </c>
      <c r="V28" s="48">
        <v>29.3</v>
      </c>
      <c r="W28" s="48">
        <v>30.19</v>
      </c>
      <c r="X28" s="48">
        <v>25.7</v>
      </c>
      <c r="Y28" s="48">
        <v>26.2</v>
      </c>
      <c r="Z28" s="48">
        <v>26.2</v>
      </c>
      <c r="AA28" s="48">
        <v>25.74</v>
      </c>
    </row>
    <row r="29" spans="2:27">
      <c r="B29" s="321"/>
      <c r="C29" s="48" t="s">
        <v>295</v>
      </c>
      <c r="D29" s="48" t="s">
        <v>296</v>
      </c>
      <c r="E29" s="48" t="s">
        <v>37</v>
      </c>
      <c r="F29" s="48"/>
      <c r="G29" s="48">
        <v>0.75501262265133262</v>
      </c>
      <c r="H29" s="1">
        <v>0.77033183441003639</v>
      </c>
      <c r="I29" s="48">
        <v>0.79254432983788059</v>
      </c>
      <c r="J29" s="48">
        <v>0.75472648598482284</v>
      </c>
      <c r="K29" s="48">
        <v>0.74907663009657421</v>
      </c>
      <c r="L29" s="48">
        <v>0.76454669157292232</v>
      </c>
      <c r="M29" s="48">
        <v>0.7392500571267937</v>
      </c>
      <c r="N29" s="48">
        <v>0.73843862040532482</v>
      </c>
      <c r="O29" s="48">
        <v>0.7418913760048218</v>
      </c>
      <c r="P29" s="48">
        <v>0.73538366710057068</v>
      </c>
      <c r="Q29" s="48">
        <v>0.74501081421659832</v>
      </c>
      <c r="R29" s="48">
        <v>0.78300000000000003</v>
      </c>
      <c r="S29" s="48">
        <v>0.78700000000000003</v>
      </c>
      <c r="T29" s="48">
        <v>0.79400000000000004</v>
      </c>
      <c r="U29" s="48">
        <v>0.82799999999999996</v>
      </c>
      <c r="V29" s="48">
        <v>0.83599999999999997</v>
      </c>
      <c r="W29" s="48">
        <v>0.83399999999999996</v>
      </c>
      <c r="X29" s="48">
        <v>1.05</v>
      </c>
      <c r="Y29" s="48">
        <v>1.04</v>
      </c>
      <c r="Z29" s="48">
        <v>0.95</v>
      </c>
      <c r="AA29" s="48">
        <v>0.89</v>
      </c>
    </row>
    <row r="30" spans="2:27">
      <c r="B30" s="321"/>
      <c r="C30" s="48" t="s">
        <v>297</v>
      </c>
      <c r="D30" s="48" t="s">
        <v>298</v>
      </c>
      <c r="E30" s="48" t="s">
        <v>37</v>
      </c>
      <c r="F30" s="48"/>
      <c r="G30" s="48">
        <v>5.3518975325674409</v>
      </c>
      <c r="H30" s="1">
        <v>5.5528508888626043</v>
      </c>
      <c r="I30" s="48">
        <v>5.4785617201595151</v>
      </c>
      <c r="J30" s="48">
        <v>5.7156252767200275</v>
      </c>
      <c r="K30" s="48">
        <v>6.9413681054456706</v>
      </c>
      <c r="L30" s="48">
        <v>6.5208255603551191</v>
      </c>
      <c r="M30" s="48">
        <v>6.8168060737590235</v>
      </c>
      <c r="N30" s="48">
        <v>6.2937869269897311</v>
      </c>
      <c r="O30" s="48">
        <v>6.6913667016195841</v>
      </c>
      <c r="P30" s="48">
        <v>6.8903242022534164</v>
      </c>
      <c r="Q30" s="48">
        <v>6.8926165956630623</v>
      </c>
      <c r="R30" s="48"/>
      <c r="S30" s="48"/>
      <c r="T30" s="48"/>
      <c r="U30" s="48"/>
      <c r="V30" s="48"/>
      <c r="W30" s="48"/>
      <c r="X30" s="48"/>
      <c r="Y30" s="48"/>
      <c r="Z30" s="48"/>
      <c r="AA30" s="48"/>
    </row>
    <row r="31" spans="2:27">
      <c r="B31" s="321"/>
      <c r="C31" s="48" t="s">
        <v>299</v>
      </c>
      <c r="D31" s="48" t="s">
        <v>300</v>
      </c>
      <c r="E31" s="48" t="s">
        <v>45</v>
      </c>
      <c r="F31" s="48"/>
      <c r="G31" s="48">
        <v>0.25</v>
      </c>
      <c r="H31" s="1">
        <v>0.25</v>
      </c>
      <c r="I31" s="48">
        <v>0.25</v>
      </c>
      <c r="J31" s="48">
        <v>0.25</v>
      </c>
      <c r="K31" s="48">
        <v>0.25</v>
      </c>
      <c r="L31" s="48">
        <v>0.25</v>
      </c>
      <c r="M31" s="48">
        <v>0.25</v>
      </c>
      <c r="N31" s="48">
        <v>0.25</v>
      </c>
      <c r="O31" s="48">
        <v>0.25</v>
      </c>
      <c r="P31" s="48">
        <v>0.25</v>
      </c>
      <c r="Q31" s="48">
        <v>0.25</v>
      </c>
      <c r="R31" s="48"/>
      <c r="S31" s="48"/>
      <c r="T31" s="48"/>
      <c r="U31" s="48"/>
      <c r="V31" s="48"/>
      <c r="W31" s="48"/>
      <c r="X31" s="48"/>
      <c r="Y31" s="48"/>
      <c r="Z31" s="48"/>
      <c r="AA31" s="48"/>
    </row>
    <row r="32" spans="2:27">
      <c r="B32" s="321"/>
      <c r="C32" s="48" t="s">
        <v>301</v>
      </c>
      <c r="D32" s="48" t="s">
        <v>302</v>
      </c>
      <c r="E32" s="48" t="s">
        <v>45</v>
      </c>
      <c r="F32" s="48"/>
      <c r="G32" s="48">
        <v>1.0033821094050335</v>
      </c>
      <c r="H32" s="1">
        <v>0.99250802706810226</v>
      </c>
      <c r="I32" s="48">
        <v>1.7805617050996969</v>
      </c>
      <c r="J32" s="48">
        <v>1.7731267172912202</v>
      </c>
      <c r="K32" s="48">
        <v>1.7066097267535372</v>
      </c>
      <c r="L32" s="48">
        <v>1.9579540414279473</v>
      </c>
      <c r="M32" s="48">
        <v>1.9434745281125376</v>
      </c>
      <c r="N32" s="48">
        <v>1.9584644392092285</v>
      </c>
      <c r="O32" s="48">
        <v>1.9309507687771426</v>
      </c>
      <c r="P32" s="48">
        <v>1.9606085843940717</v>
      </c>
      <c r="Q32" s="48">
        <v>1.8703274241793417</v>
      </c>
      <c r="R32" s="48"/>
      <c r="S32" s="48"/>
      <c r="T32" s="48"/>
      <c r="U32" s="48"/>
      <c r="V32" s="48"/>
      <c r="W32" s="48"/>
      <c r="X32" s="48"/>
      <c r="Y32" s="48"/>
      <c r="Z32" s="48"/>
      <c r="AA32" s="48"/>
    </row>
    <row r="33" spans="2:27">
      <c r="B33" s="321"/>
      <c r="C33" s="48" t="s">
        <v>303</v>
      </c>
      <c r="D33" s="48" t="s">
        <v>304</v>
      </c>
      <c r="E33" s="48" t="s">
        <v>45</v>
      </c>
      <c r="F33" s="48"/>
      <c r="G33" s="48">
        <v>0.11093402044426547</v>
      </c>
      <c r="H33" s="1">
        <v>0.11758499978781374</v>
      </c>
      <c r="I33" s="48">
        <v>0.1170786455478971</v>
      </c>
      <c r="J33" s="48">
        <v>0.11419203368739703</v>
      </c>
      <c r="K33" s="48">
        <v>0.1108294313611778</v>
      </c>
      <c r="L33" s="48">
        <v>0.11609664028196555</v>
      </c>
      <c r="M33" s="48">
        <v>0.11480993359989657</v>
      </c>
      <c r="N33" s="48">
        <v>0.11779240220037493</v>
      </c>
      <c r="O33" s="48">
        <v>0.11645898497470911</v>
      </c>
      <c r="P33" s="48">
        <v>0.11806821332309325</v>
      </c>
      <c r="Q33" s="48">
        <v>0.11482817842248566</v>
      </c>
      <c r="R33" s="48"/>
      <c r="S33" s="48"/>
      <c r="T33" s="48"/>
      <c r="U33" s="48"/>
      <c r="V33" s="48"/>
      <c r="W33" s="48"/>
      <c r="X33" s="48"/>
      <c r="Y33" s="48"/>
      <c r="Z33" s="48"/>
      <c r="AA33" s="48"/>
    </row>
    <row r="34" spans="2:27">
      <c r="B34" s="321"/>
      <c r="C34" s="48" t="s">
        <v>305</v>
      </c>
      <c r="D34" s="48" t="s">
        <v>306</v>
      </c>
      <c r="E34" s="48" t="s">
        <v>260</v>
      </c>
      <c r="F34" s="48"/>
      <c r="G34" s="48">
        <v>0.10474185445756348</v>
      </c>
      <c r="H34" s="1">
        <v>0.11119553796618663</v>
      </c>
      <c r="I34" s="48">
        <v>0.11028019104580952</v>
      </c>
      <c r="J34" s="48">
        <v>0.10823561805284826</v>
      </c>
      <c r="K34" s="48">
        <v>0.10526973696124349</v>
      </c>
      <c r="L34" s="48">
        <v>0.10948213075902856</v>
      </c>
      <c r="M34" s="48">
        <v>0.10898379773170222</v>
      </c>
      <c r="N34" s="48">
        <v>0.11145907911771946</v>
      </c>
      <c r="O34" s="48">
        <v>0.11037258319132046</v>
      </c>
      <c r="P34" s="48">
        <v>0.11222646535285601</v>
      </c>
      <c r="Q34" s="48">
        <v>0.10888714601460912</v>
      </c>
      <c r="R34" s="48"/>
      <c r="S34" s="48"/>
      <c r="T34" s="48"/>
      <c r="U34" s="48"/>
      <c r="V34" s="48"/>
      <c r="W34" s="48"/>
      <c r="X34" s="48"/>
      <c r="Y34" s="48"/>
      <c r="Z34" s="48"/>
      <c r="AA34" s="48"/>
    </row>
    <row r="35" spans="2:27">
      <c r="B35" s="321"/>
      <c r="C35" s="48" t="s">
        <v>307</v>
      </c>
      <c r="D35" s="48" t="s">
        <v>45</v>
      </c>
      <c r="E35" s="48" t="s">
        <v>46</v>
      </c>
      <c r="F35" s="48"/>
      <c r="G35" s="48">
        <v>0.35</v>
      </c>
      <c r="H35" s="1">
        <v>0.33</v>
      </c>
      <c r="I35" s="48">
        <v>0.33</v>
      </c>
      <c r="J35" s="48">
        <v>0.32319999999999999</v>
      </c>
      <c r="K35" s="48">
        <v>0.32319999999999999</v>
      </c>
      <c r="L35" s="48">
        <v>0.32319999999999999</v>
      </c>
      <c r="M35" s="48">
        <v>0.32319999999999999</v>
      </c>
      <c r="N35" s="48">
        <v>0.32319999999999999</v>
      </c>
      <c r="O35" s="48">
        <v>0.32319999999999999</v>
      </c>
      <c r="P35" s="48">
        <v>0.32319999999999999</v>
      </c>
      <c r="Q35" s="48">
        <v>0.32319999999999999</v>
      </c>
      <c r="R35" s="48"/>
      <c r="S35" s="48"/>
      <c r="T35" s="48"/>
      <c r="U35" s="48"/>
      <c r="V35" s="48"/>
      <c r="W35" s="48"/>
      <c r="X35" s="48"/>
      <c r="Y35" s="48"/>
      <c r="Z35" s="48"/>
      <c r="AA35" s="48"/>
    </row>
    <row r="36" spans="2:27">
      <c r="B36" s="321"/>
      <c r="C36" s="48" t="s">
        <v>308</v>
      </c>
      <c r="D36" s="48" t="s">
        <v>309</v>
      </c>
      <c r="E36" s="48" t="s">
        <v>5</v>
      </c>
      <c r="F36" s="48"/>
      <c r="G36" s="48">
        <v>0.83746843256447934</v>
      </c>
      <c r="H36" s="1">
        <v>1.4360432109387011</v>
      </c>
      <c r="I36" s="48">
        <v>1.0377574932920675</v>
      </c>
      <c r="J36" s="48">
        <v>1.0222454839469268</v>
      </c>
      <c r="K36" s="48">
        <v>0.85529195385742918</v>
      </c>
      <c r="L36" s="48">
        <v>0.65958789862370848</v>
      </c>
      <c r="M36" s="48">
        <v>1.0432033827672182</v>
      </c>
      <c r="N36" s="48">
        <v>0.97342364555717686</v>
      </c>
      <c r="O36" s="48">
        <v>1.1320297023472368</v>
      </c>
      <c r="P36" s="48">
        <v>1.2815087284463602</v>
      </c>
      <c r="Q36" s="48">
        <v>0.96662922926928074</v>
      </c>
      <c r="R36" s="48"/>
      <c r="S36" s="48"/>
      <c r="T36" s="48"/>
      <c r="U36" s="48"/>
      <c r="V36" s="48"/>
      <c r="W36" s="48"/>
      <c r="X36" s="48"/>
      <c r="Y36" s="48"/>
      <c r="Z36" s="48"/>
      <c r="AA36" s="48"/>
    </row>
    <row r="37" spans="2:27" ht="21" thickBot="1">
      <c r="B37" s="322"/>
      <c r="C37" s="50" t="s">
        <v>310</v>
      </c>
      <c r="D37" s="50" t="s">
        <v>311</v>
      </c>
      <c r="E37" s="50" t="s">
        <v>312</v>
      </c>
      <c r="F37" s="50"/>
      <c r="G37" s="50">
        <v>-0.28010179717063205</v>
      </c>
      <c r="H37" s="19">
        <v>-0.5018358811952609</v>
      </c>
      <c r="I37" s="50">
        <v>-0.57805363370660279</v>
      </c>
      <c r="J37" s="50">
        <v>-0.65128744152501072</v>
      </c>
      <c r="K37" s="50">
        <v>-0.94594713681692288</v>
      </c>
      <c r="L37" s="50">
        <v>-1.361712510409832</v>
      </c>
      <c r="M37" s="50">
        <v>-2.5882887143491735</v>
      </c>
      <c r="N37" s="50">
        <v>-2.0481021907093688</v>
      </c>
      <c r="O37" s="50">
        <v>-2.3150464167749276</v>
      </c>
      <c r="P37" s="50">
        <v>-1.6910095810387213</v>
      </c>
      <c r="Q37" s="50">
        <v>-0.92332880559383013</v>
      </c>
      <c r="R37" s="50"/>
      <c r="S37" s="50"/>
      <c r="T37" s="50"/>
      <c r="U37" s="50"/>
      <c r="V37" s="50"/>
      <c r="W37" s="50"/>
      <c r="X37" s="50"/>
      <c r="Y37" s="50"/>
      <c r="Z37" s="50"/>
      <c r="AA37" s="50"/>
    </row>
    <row r="38" spans="2:27" ht="21" thickTop="1">
      <c r="B38" s="324" t="s">
        <v>50</v>
      </c>
      <c r="C38" s="56" t="s">
        <v>291</v>
      </c>
      <c r="D38" s="56" t="s">
        <v>292</v>
      </c>
      <c r="E38" s="56" t="s">
        <v>37</v>
      </c>
      <c r="F38" s="56"/>
      <c r="G38" s="56">
        <v>2.8000000000000003</v>
      </c>
      <c r="H38" s="2">
        <v>2.2000000000000002</v>
      </c>
      <c r="I38" s="56">
        <v>2.88</v>
      </c>
      <c r="J38" s="56">
        <v>2.88</v>
      </c>
      <c r="K38" s="56">
        <v>2.88</v>
      </c>
      <c r="L38" s="56">
        <v>2.2000000000000002</v>
      </c>
      <c r="M38" s="56">
        <v>2.2000000000000002</v>
      </c>
      <c r="N38" s="56">
        <v>2.4000000000000004</v>
      </c>
      <c r="O38" s="56">
        <v>2.2000000000000002</v>
      </c>
      <c r="P38" s="56">
        <v>2.2000000000000002</v>
      </c>
      <c r="Q38" s="56">
        <v>2.2000000000000002</v>
      </c>
      <c r="R38" s="56"/>
      <c r="S38" s="56"/>
      <c r="T38" s="56"/>
      <c r="U38" s="56"/>
      <c r="V38" s="56"/>
      <c r="W38" s="56"/>
      <c r="X38" s="56"/>
      <c r="Y38" s="56"/>
      <c r="Z38" s="56"/>
      <c r="AA38" s="56"/>
    </row>
    <row r="39" spans="2:27">
      <c r="B39" s="321"/>
      <c r="C39" s="48" t="s">
        <v>293</v>
      </c>
      <c r="D39" s="48" t="s">
        <v>294</v>
      </c>
      <c r="E39" s="48" t="s">
        <v>45</v>
      </c>
      <c r="F39" s="48"/>
      <c r="G39" s="48">
        <v>5.0909090909090917</v>
      </c>
      <c r="H39" s="1">
        <v>3.5772357723577244</v>
      </c>
      <c r="I39" s="48">
        <v>4.9655172413793105</v>
      </c>
      <c r="J39" s="48">
        <v>5.4339622641509431</v>
      </c>
      <c r="K39" s="48">
        <v>5.3595244249159997</v>
      </c>
      <c r="L39" s="48">
        <v>3.5200000000000005</v>
      </c>
      <c r="M39" s="48">
        <v>3.859649122807018</v>
      </c>
      <c r="N39" s="48">
        <v>4.2477876106194703</v>
      </c>
      <c r="O39" s="48">
        <v>3.859649122807018</v>
      </c>
      <c r="P39" s="48">
        <v>3.859649122807018</v>
      </c>
      <c r="Q39" s="48">
        <v>3.859649122807018</v>
      </c>
      <c r="R39" s="48"/>
      <c r="S39" s="48"/>
      <c r="T39" s="48"/>
      <c r="U39" s="48"/>
      <c r="V39" s="48"/>
      <c r="W39" s="48"/>
      <c r="X39" s="48"/>
      <c r="Y39" s="48"/>
      <c r="Z39" s="48"/>
      <c r="AA39" s="48"/>
    </row>
    <row r="40" spans="2:27">
      <c r="B40" s="321"/>
      <c r="C40" s="48" t="s">
        <v>295</v>
      </c>
      <c r="D40" s="48" t="s">
        <v>296</v>
      </c>
      <c r="E40" s="48" t="s">
        <v>37</v>
      </c>
      <c r="F40" s="48"/>
      <c r="G40" s="48">
        <v>0.55593692022263463</v>
      </c>
      <c r="H40" s="1">
        <v>0.6150000000000001</v>
      </c>
      <c r="I40" s="48">
        <v>0.57999999999999996</v>
      </c>
      <c r="J40" s="48">
        <v>0.52999999999999992</v>
      </c>
      <c r="K40" s="48">
        <v>0.59857456707159462</v>
      </c>
      <c r="L40" s="48">
        <v>0.68353719008264457</v>
      </c>
      <c r="M40" s="48">
        <v>0.62370305930114567</v>
      </c>
      <c r="N40" s="48">
        <v>0.61433894624713203</v>
      </c>
      <c r="O40" s="48">
        <v>0.62370305930114567</v>
      </c>
      <c r="P40" s="48">
        <v>0.62370305930114567</v>
      </c>
      <c r="Q40" s="48">
        <v>0.62370305930114567</v>
      </c>
      <c r="R40" s="48"/>
      <c r="S40" s="48"/>
      <c r="T40" s="48"/>
      <c r="U40" s="48"/>
      <c r="V40" s="48"/>
      <c r="W40" s="48"/>
      <c r="X40" s="48"/>
      <c r="Y40" s="48"/>
      <c r="Z40" s="48"/>
      <c r="AA40" s="48"/>
    </row>
    <row r="41" spans="2:27">
      <c r="B41" s="321"/>
      <c r="C41" s="48" t="s">
        <v>297</v>
      </c>
      <c r="D41" s="48" t="s">
        <v>298</v>
      </c>
      <c r="E41" s="48" t="s">
        <v>37</v>
      </c>
      <c r="F41" s="48"/>
      <c r="G41" s="48">
        <v>-0.65844155844155861</v>
      </c>
      <c r="H41" s="1">
        <v>-0.55000000000000004</v>
      </c>
      <c r="I41" s="48">
        <v>-0.72000000000000008</v>
      </c>
      <c r="J41" s="48">
        <v>-0.7200000000000002</v>
      </c>
      <c r="K41" s="48">
        <v>0.69998449211682623</v>
      </c>
      <c r="L41" s="48">
        <v>0.53545454545454541</v>
      </c>
      <c r="M41" s="48">
        <v>0.53405103668261578</v>
      </c>
      <c r="N41" s="48">
        <v>0.58066617502458218</v>
      </c>
      <c r="O41" s="48">
        <v>0.53405103668261578</v>
      </c>
      <c r="P41" s="48">
        <v>0.53405103668261578</v>
      </c>
      <c r="Q41" s="48">
        <v>0.53405103668261578</v>
      </c>
      <c r="R41" s="48"/>
      <c r="S41" s="48"/>
      <c r="T41" s="48"/>
      <c r="U41" s="48"/>
      <c r="V41" s="48"/>
      <c r="W41" s="48"/>
      <c r="X41" s="48"/>
      <c r="Y41" s="48"/>
      <c r="Z41" s="48"/>
      <c r="AA41" s="48"/>
    </row>
    <row r="42" spans="2:27">
      <c r="B42" s="321"/>
      <c r="C42" s="48" t="s">
        <v>299</v>
      </c>
      <c r="D42" s="48" t="s">
        <v>300</v>
      </c>
      <c r="E42" s="48" t="s">
        <v>45</v>
      </c>
      <c r="F42" s="48"/>
      <c r="G42" s="48">
        <v>0.25</v>
      </c>
      <c r="H42" s="1">
        <v>0.25</v>
      </c>
      <c r="I42" s="48">
        <v>0.25</v>
      </c>
      <c r="J42" s="48">
        <v>0.25</v>
      </c>
      <c r="K42" s="48">
        <v>0.25</v>
      </c>
      <c r="L42" s="48">
        <v>0.25</v>
      </c>
      <c r="M42" s="48">
        <v>0.25</v>
      </c>
      <c r="N42" s="48">
        <v>0.25</v>
      </c>
      <c r="O42" s="48">
        <v>0.25</v>
      </c>
      <c r="P42" s="48">
        <v>0.25</v>
      </c>
      <c r="Q42" s="48">
        <v>0.25</v>
      </c>
      <c r="R42" s="48"/>
      <c r="S42" s="48"/>
      <c r="T42" s="48"/>
      <c r="U42" s="48"/>
      <c r="V42" s="48"/>
      <c r="W42" s="48"/>
      <c r="X42" s="48"/>
      <c r="Y42" s="48"/>
      <c r="Z42" s="48"/>
      <c r="AA42" s="48"/>
    </row>
    <row r="43" spans="2:27">
      <c r="B43" s="321"/>
      <c r="C43" s="48" t="s">
        <v>301</v>
      </c>
      <c r="D43" s="48" t="s">
        <v>302</v>
      </c>
      <c r="E43" s="48" t="s">
        <v>45</v>
      </c>
      <c r="F43" s="48"/>
      <c r="G43" s="48">
        <v>1.0682092392323017</v>
      </c>
      <c r="H43" s="1">
        <v>1.0449706976611999</v>
      </c>
      <c r="I43" s="48">
        <v>1.0440102521550767</v>
      </c>
      <c r="J43" s="48">
        <v>1.0414860681499853</v>
      </c>
      <c r="K43" s="48">
        <v>1.0393368682673272</v>
      </c>
      <c r="L43" s="48">
        <v>1.0431606651390797</v>
      </c>
      <c r="M43" s="48">
        <v>1.0425708010062988</v>
      </c>
      <c r="N43" s="48">
        <v>1.0381114983534576</v>
      </c>
      <c r="O43" s="48">
        <v>1.0425708010062988</v>
      </c>
      <c r="P43" s="48">
        <v>1.0425708010062993</v>
      </c>
      <c r="Q43" s="48">
        <v>1.0425708010062988</v>
      </c>
      <c r="R43" s="48"/>
      <c r="S43" s="48"/>
      <c r="T43" s="48"/>
      <c r="U43" s="48"/>
      <c r="V43" s="48"/>
      <c r="W43" s="48"/>
      <c r="X43" s="48"/>
      <c r="Y43" s="48"/>
      <c r="Z43" s="48"/>
      <c r="AA43" s="48"/>
    </row>
    <row r="44" spans="2:27" ht="21" thickBot="1">
      <c r="B44" s="322"/>
      <c r="C44" s="50" t="s">
        <v>307</v>
      </c>
      <c r="D44" s="50" t="s">
        <v>45</v>
      </c>
      <c r="E44" s="50" t="s">
        <v>46</v>
      </c>
      <c r="F44" s="50"/>
      <c r="G44" s="50">
        <v>0.36</v>
      </c>
      <c r="H44" s="19">
        <v>0.36</v>
      </c>
      <c r="I44" s="50">
        <v>0.36</v>
      </c>
      <c r="J44" s="50">
        <v>0.36</v>
      </c>
      <c r="K44" s="50">
        <v>0.36</v>
      </c>
      <c r="L44" s="50">
        <v>0.36</v>
      </c>
      <c r="M44" s="50">
        <v>0.36</v>
      </c>
      <c r="N44" s="50">
        <v>0.36</v>
      </c>
      <c r="O44" s="50">
        <v>0.36</v>
      </c>
      <c r="P44" s="50">
        <v>0.36</v>
      </c>
      <c r="Q44" s="50">
        <v>0.36</v>
      </c>
      <c r="R44" s="50"/>
      <c r="S44" s="50"/>
      <c r="T44" s="50"/>
      <c r="U44" s="50"/>
      <c r="V44" s="50"/>
      <c r="W44" s="50"/>
      <c r="X44" s="50"/>
      <c r="Y44" s="50"/>
      <c r="Z44" s="50"/>
      <c r="AA44" s="50"/>
    </row>
    <row r="45" spans="2:27" ht="21" thickTop="1">
      <c r="B45" s="321" t="s">
        <v>51</v>
      </c>
      <c r="C45" s="48" t="s">
        <v>291</v>
      </c>
      <c r="D45" s="48" t="s">
        <v>292</v>
      </c>
      <c r="E45" s="48" t="s">
        <v>37</v>
      </c>
      <c r="F45" s="48"/>
      <c r="G45" s="48">
        <v>0.85</v>
      </c>
      <c r="H45" s="2">
        <v>0.8</v>
      </c>
      <c r="I45" s="48">
        <v>0.8</v>
      </c>
      <c r="J45" s="48">
        <v>0.8</v>
      </c>
      <c r="K45" s="48">
        <v>1</v>
      </c>
      <c r="L45" s="48">
        <v>1.1000000000000001</v>
      </c>
      <c r="M45" s="48">
        <v>0.8</v>
      </c>
      <c r="N45" s="48">
        <v>0.8</v>
      </c>
      <c r="O45" s="48">
        <v>0.8</v>
      </c>
      <c r="P45" s="48">
        <v>0.8</v>
      </c>
      <c r="Q45" s="48">
        <v>0.8</v>
      </c>
      <c r="R45" s="48"/>
      <c r="S45" s="48"/>
      <c r="T45" s="48"/>
      <c r="U45" s="48"/>
      <c r="V45" s="48"/>
      <c r="W45" s="48"/>
      <c r="X45" s="48"/>
      <c r="Y45" s="48"/>
      <c r="Z45" s="48"/>
      <c r="AA45" s="48"/>
    </row>
    <row r="46" spans="2:27">
      <c r="B46" s="321"/>
      <c r="C46" s="48" t="s">
        <v>293</v>
      </c>
      <c r="D46" s="48" t="s">
        <v>294</v>
      </c>
      <c r="E46" s="48" t="s">
        <v>45</v>
      </c>
      <c r="F46" s="48"/>
      <c r="G46" s="48">
        <v>1.0303030303030303</v>
      </c>
      <c r="H46" s="1">
        <v>1.0223642172523961</v>
      </c>
      <c r="I46" s="48">
        <v>1.0107391029690462</v>
      </c>
      <c r="J46" s="48">
        <v>1.0107391029690462</v>
      </c>
      <c r="K46" s="48">
        <v>1.8016792280563554</v>
      </c>
      <c r="L46" s="48">
        <v>2.1228070175438596</v>
      </c>
      <c r="M46" s="48">
        <v>1.6</v>
      </c>
      <c r="N46" s="48">
        <v>1.7777777777777777</v>
      </c>
      <c r="O46" s="48">
        <v>1.6</v>
      </c>
      <c r="P46" s="48">
        <v>1.6</v>
      </c>
      <c r="Q46" s="48">
        <v>1.6</v>
      </c>
      <c r="R46" s="48"/>
      <c r="S46" s="48"/>
      <c r="T46" s="48"/>
      <c r="U46" s="48"/>
      <c r="V46" s="48"/>
      <c r="W46" s="48"/>
      <c r="X46" s="48"/>
      <c r="Y46" s="48"/>
      <c r="Z46" s="48"/>
      <c r="AA46" s="48"/>
    </row>
    <row r="47" spans="2:27">
      <c r="B47" s="321"/>
      <c r="C47" s="48" t="s">
        <v>295</v>
      </c>
      <c r="D47" s="48" t="s">
        <v>296</v>
      </c>
      <c r="E47" s="48" t="s">
        <v>37</v>
      </c>
      <c r="F47" s="48"/>
      <c r="G47" s="48">
        <v>0.83131225752333027</v>
      </c>
      <c r="H47" s="1">
        <v>0.78608788438498378</v>
      </c>
      <c r="I47" s="48">
        <v>0.79512419555432723</v>
      </c>
      <c r="J47" s="48">
        <v>0.79512419555432723</v>
      </c>
      <c r="K47" s="48">
        <v>0.60333136917444674</v>
      </c>
      <c r="L47" s="48">
        <v>0.56002506265664143</v>
      </c>
      <c r="M47" s="48">
        <v>0.57187500000000002</v>
      </c>
      <c r="N47" s="48">
        <v>0.52968749999999987</v>
      </c>
      <c r="O47" s="48">
        <v>0.57187500000000002</v>
      </c>
      <c r="P47" s="48">
        <v>0.57187500000000002</v>
      </c>
      <c r="Q47" s="48">
        <v>0.57187500000000002</v>
      </c>
      <c r="R47" s="48"/>
      <c r="S47" s="48"/>
      <c r="T47" s="48"/>
      <c r="U47" s="48"/>
      <c r="V47" s="48"/>
      <c r="W47" s="48"/>
      <c r="X47" s="48"/>
      <c r="Y47" s="48"/>
      <c r="Z47" s="48"/>
      <c r="AA47" s="48"/>
    </row>
    <row r="48" spans="2:27" ht="21" thickBot="1">
      <c r="B48" s="322"/>
      <c r="C48" s="50" t="s">
        <v>297</v>
      </c>
      <c r="D48" s="50" t="s">
        <v>298</v>
      </c>
      <c r="E48" s="50" t="s">
        <v>37</v>
      </c>
      <c r="F48" s="50"/>
      <c r="G48" s="50">
        <v>0.40353832442067739</v>
      </c>
      <c r="H48" s="19">
        <v>0.38448482428115011</v>
      </c>
      <c r="I48" s="50">
        <v>0.38449542008843973</v>
      </c>
      <c r="J48" s="50">
        <v>0.38449542008843973</v>
      </c>
      <c r="K48" s="50">
        <v>0.51590672944377791</v>
      </c>
      <c r="L48" s="50">
        <v>0.52105263157894732</v>
      </c>
      <c r="M48" s="50">
        <v>0.37375000000000003</v>
      </c>
      <c r="N48" s="50">
        <v>0.35624999999999996</v>
      </c>
      <c r="O48" s="50">
        <v>0.37375000000000003</v>
      </c>
      <c r="P48" s="50">
        <v>0.37375000000000003</v>
      </c>
      <c r="Q48" s="50">
        <v>0.37375000000000003</v>
      </c>
      <c r="R48" s="50"/>
      <c r="S48" s="50"/>
      <c r="T48" s="50"/>
      <c r="U48" s="50"/>
      <c r="V48" s="50"/>
      <c r="W48" s="50"/>
      <c r="X48" s="50"/>
      <c r="Y48" s="50"/>
      <c r="Z48" s="50"/>
      <c r="AA48" s="50"/>
    </row>
    <row r="49" spans="2:27" ht="21" thickTop="1">
      <c r="B49" s="321" t="s">
        <v>313</v>
      </c>
      <c r="C49" s="48" t="s">
        <v>314</v>
      </c>
      <c r="D49" s="48" t="s">
        <v>315</v>
      </c>
      <c r="E49" s="48" t="s">
        <v>45</v>
      </c>
      <c r="F49" s="48"/>
      <c r="G49" s="48">
        <v>0.3695513620523892</v>
      </c>
      <c r="H49" s="2">
        <v>0.3913694173202345</v>
      </c>
      <c r="I49" s="48">
        <v>0.35378435870142183</v>
      </c>
      <c r="J49" s="48">
        <v>0.34387179305970833</v>
      </c>
      <c r="K49" s="48">
        <v>0.3607711533983225</v>
      </c>
      <c r="L49" s="48">
        <v>0.41827101965108376</v>
      </c>
      <c r="M49" s="48">
        <v>0.41635996685508009</v>
      </c>
      <c r="N49" s="48">
        <v>0.38807007439517721</v>
      </c>
      <c r="O49" s="48">
        <v>0.41202211795625671</v>
      </c>
      <c r="P49" s="48">
        <v>0.40980390739689798</v>
      </c>
      <c r="Q49" s="48">
        <v>0.40768264772815699</v>
      </c>
      <c r="R49" s="48">
        <v>0.40899999999999997</v>
      </c>
      <c r="S49" s="48">
        <v>0.36199999999999999</v>
      </c>
      <c r="T49" s="48">
        <v>0.36099999999999999</v>
      </c>
      <c r="U49" s="48">
        <v>0.39600000000000002</v>
      </c>
      <c r="V49" s="48">
        <v>0.39</v>
      </c>
      <c r="W49" s="48">
        <v>0.39</v>
      </c>
      <c r="X49" s="48">
        <v>0.4</v>
      </c>
      <c r="Y49" s="48">
        <v>0.39</v>
      </c>
      <c r="Z49" s="48">
        <v>0.4</v>
      </c>
      <c r="AA49" s="48">
        <v>0.4</v>
      </c>
    </row>
    <row r="50" spans="2:27">
      <c r="B50" s="321"/>
      <c r="C50" s="48"/>
      <c r="D50" s="48" t="s">
        <v>316</v>
      </c>
      <c r="E50" s="48" t="s">
        <v>45</v>
      </c>
      <c r="F50" s="48"/>
      <c r="G50" s="48" t="s">
        <v>45</v>
      </c>
      <c r="H50" s="1" t="s">
        <v>45</v>
      </c>
      <c r="I50" s="48" t="s">
        <v>45</v>
      </c>
      <c r="J50" s="48" t="s">
        <v>45</v>
      </c>
      <c r="K50" s="48">
        <v>0.36695301325928892</v>
      </c>
      <c r="L50" s="48">
        <v>0.42384446284524346</v>
      </c>
      <c r="M50" s="48">
        <v>0.42136675135808244</v>
      </c>
      <c r="N50" s="48">
        <v>0.39366384135574523</v>
      </c>
      <c r="O50" s="48">
        <v>0.41699444196109253</v>
      </c>
      <c r="P50" s="48">
        <v>0.41470608049370705</v>
      </c>
      <c r="Q50" s="48">
        <v>0.41262328955772543</v>
      </c>
      <c r="R50" s="48"/>
      <c r="S50" s="48"/>
      <c r="T50" s="48"/>
      <c r="U50" s="48"/>
      <c r="V50" s="48"/>
      <c r="W50" s="48"/>
      <c r="X50" s="48"/>
      <c r="Y50" s="48"/>
      <c r="Z50" s="48"/>
      <c r="AA50" s="48"/>
    </row>
    <row r="51" spans="2:27">
      <c r="B51" s="321"/>
      <c r="C51" s="48" t="s">
        <v>317</v>
      </c>
      <c r="D51" s="48" t="s">
        <v>318</v>
      </c>
      <c r="E51" s="48" t="s">
        <v>45</v>
      </c>
      <c r="F51" s="48"/>
      <c r="G51" s="48">
        <v>5.1677648361201567E-3</v>
      </c>
      <c r="H51" s="1">
        <v>5.259278978381356E-3</v>
      </c>
      <c r="I51" s="48">
        <v>4.1362768601852541E-3</v>
      </c>
      <c r="J51" s="48">
        <v>4.0340911854252481E-3</v>
      </c>
      <c r="K51" s="48">
        <v>3.659791094887305E-3</v>
      </c>
      <c r="L51" s="48">
        <v>4.3285221790316779E-3</v>
      </c>
      <c r="M51" s="48">
        <v>3.0531623930240884E-3</v>
      </c>
      <c r="N51" s="48">
        <v>3.5247513864828297E-3</v>
      </c>
      <c r="O51" s="48">
        <v>3.0471531926554761E-3</v>
      </c>
      <c r="P51" s="48">
        <v>2.8782743426983997E-3</v>
      </c>
      <c r="Q51" s="48">
        <v>3.0233291045002851E-3</v>
      </c>
      <c r="R51" s="48">
        <v>3.1900000000000001E-3</v>
      </c>
      <c r="S51" s="48">
        <v>3.0999999999999999E-3</v>
      </c>
      <c r="T51" s="48">
        <v>3.0100000000000001E-3</v>
      </c>
      <c r="U51" s="48">
        <v>5.8500000000000002E-3</v>
      </c>
      <c r="V51" s="48">
        <v>6.1999999999999998E-3</v>
      </c>
      <c r="W51" s="48">
        <v>8.0000000000000002E-3</v>
      </c>
      <c r="X51" s="48">
        <v>9.1999999999999998E-3</v>
      </c>
      <c r="Y51" s="48">
        <v>8.3000000000000001E-3</v>
      </c>
      <c r="Z51" s="48">
        <v>0.01</v>
      </c>
      <c r="AA51" s="48">
        <v>0.01</v>
      </c>
    </row>
    <row r="52" spans="2:27">
      <c r="B52" s="321"/>
      <c r="C52" s="48" t="s">
        <v>45</v>
      </c>
      <c r="D52" s="48" t="s">
        <v>319</v>
      </c>
      <c r="E52" s="48" t="s">
        <v>45</v>
      </c>
      <c r="F52" s="48"/>
      <c r="G52" s="48">
        <v>0</v>
      </c>
      <c r="H52" s="1">
        <v>0</v>
      </c>
      <c r="I52" s="48">
        <v>0</v>
      </c>
      <c r="J52" s="48">
        <v>0</v>
      </c>
      <c r="K52" s="48">
        <v>0.10032884463362519</v>
      </c>
      <c r="L52" s="48">
        <v>0.11394833660771307</v>
      </c>
      <c r="M52" s="48">
        <v>0.10149184283126518</v>
      </c>
      <c r="N52" s="48">
        <v>0.10753364333094993</v>
      </c>
      <c r="O52" s="48">
        <v>0.10452438315017795</v>
      </c>
      <c r="P52" s="48">
        <v>9.8955473379635589E-2</v>
      </c>
      <c r="Q52" s="48">
        <v>0.10347690766316585</v>
      </c>
      <c r="R52" s="48"/>
      <c r="S52" s="48"/>
      <c r="T52" s="48"/>
      <c r="U52" s="48"/>
      <c r="V52" s="48"/>
      <c r="W52" s="48"/>
      <c r="X52" s="48"/>
      <c r="Y52" s="48"/>
      <c r="Z52" s="48"/>
      <c r="AA52" s="48"/>
    </row>
    <row r="53" spans="2:27" ht="21" thickBot="1">
      <c r="B53" s="322"/>
      <c r="C53" s="50" t="s">
        <v>320</v>
      </c>
      <c r="D53" s="50" t="s">
        <v>45</v>
      </c>
      <c r="E53" s="50" t="s">
        <v>45</v>
      </c>
      <c r="F53" s="50"/>
      <c r="G53" s="50" t="s">
        <v>321</v>
      </c>
      <c r="H53" s="19" t="s">
        <v>321</v>
      </c>
      <c r="I53" s="50" t="s">
        <v>321</v>
      </c>
      <c r="J53" s="50" t="s">
        <v>321</v>
      </c>
      <c r="K53" s="50" t="s">
        <v>322</v>
      </c>
      <c r="L53" s="50" t="s">
        <v>322</v>
      </c>
      <c r="M53" s="50" t="s">
        <v>322</v>
      </c>
      <c r="N53" s="50" t="s">
        <v>322</v>
      </c>
      <c r="O53" s="50" t="s">
        <v>322</v>
      </c>
      <c r="P53" s="50" t="s">
        <v>322</v>
      </c>
      <c r="Q53" s="50" t="s">
        <v>322</v>
      </c>
      <c r="R53" s="50"/>
      <c r="S53" s="50"/>
      <c r="T53" s="50"/>
      <c r="U53" s="50"/>
      <c r="V53" s="50"/>
      <c r="W53" s="50"/>
      <c r="X53" s="50"/>
      <c r="Y53" s="50"/>
      <c r="Z53" s="50"/>
      <c r="AA53" s="50"/>
    </row>
    <row r="54" spans="2:27" ht="21" thickTop="1">
      <c r="B54" s="321" t="s">
        <v>323</v>
      </c>
      <c r="C54" s="48" t="s">
        <v>324</v>
      </c>
      <c r="D54" s="48" t="s">
        <v>325</v>
      </c>
      <c r="E54" s="48" t="s">
        <v>37</v>
      </c>
      <c r="F54" s="48"/>
      <c r="G54" s="48">
        <v>3.2</v>
      </c>
      <c r="H54" s="2">
        <v>4.2</v>
      </c>
      <c r="I54" s="48">
        <v>3.2</v>
      </c>
      <c r="J54" s="48">
        <v>3.2</v>
      </c>
      <c r="K54" s="48">
        <v>3.2</v>
      </c>
      <c r="L54" s="48">
        <v>4.2</v>
      </c>
      <c r="M54" s="48">
        <v>4.5</v>
      </c>
      <c r="N54" s="48">
        <v>3.75</v>
      </c>
      <c r="O54" s="48">
        <v>4.5</v>
      </c>
      <c r="P54" s="48">
        <v>4.5</v>
      </c>
      <c r="Q54" s="48">
        <v>4.5</v>
      </c>
      <c r="R54" s="48"/>
      <c r="S54" s="48"/>
      <c r="T54" s="48"/>
      <c r="U54" s="48"/>
      <c r="V54" s="48"/>
      <c r="W54" s="48"/>
      <c r="X54" s="48"/>
      <c r="Y54" s="48"/>
      <c r="Z54" s="48"/>
      <c r="AA54" s="48"/>
    </row>
    <row r="55" spans="2:27">
      <c r="B55" s="321"/>
      <c r="C55" s="48" t="s">
        <v>326</v>
      </c>
      <c r="D55" s="48" t="s">
        <v>327</v>
      </c>
      <c r="E55" s="48" t="s">
        <v>37</v>
      </c>
      <c r="F55" s="48"/>
      <c r="G55" s="48" t="s">
        <v>45</v>
      </c>
      <c r="H55" s="1" t="s">
        <v>45</v>
      </c>
      <c r="I55" s="48" t="s">
        <v>45</v>
      </c>
      <c r="J55" s="48" t="s">
        <v>45</v>
      </c>
      <c r="K55" s="48">
        <v>3.2548324093230696</v>
      </c>
      <c r="L55" s="48">
        <v>4.2559648178231377</v>
      </c>
      <c r="M55" s="48">
        <v>4.5541131041816811</v>
      </c>
      <c r="N55" s="48">
        <v>3.80405370701367</v>
      </c>
      <c r="O55" s="48">
        <v>4.5543064487235529</v>
      </c>
      <c r="P55" s="48">
        <v>4.5538300844317616</v>
      </c>
      <c r="Q55" s="48">
        <v>4.5545347916006547</v>
      </c>
      <c r="R55" s="48"/>
      <c r="S55" s="48"/>
      <c r="T55" s="48"/>
      <c r="U55" s="48"/>
      <c r="V55" s="48"/>
      <c r="W55" s="48"/>
      <c r="X55" s="48"/>
      <c r="Y55" s="48"/>
      <c r="Z55" s="48"/>
      <c r="AA55" s="48"/>
    </row>
    <row r="56" spans="2:27">
      <c r="B56" s="321"/>
      <c r="C56" s="48" t="s">
        <v>328</v>
      </c>
      <c r="D56" s="48" t="s">
        <v>329</v>
      </c>
      <c r="E56" s="48" t="s">
        <v>37</v>
      </c>
      <c r="F56" s="48"/>
      <c r="G56" s="48">
        <v>3.2</v>
      </c>
      <c r="H56" s="1">
        <v>4.2</v>
      </c>
      <c r="I56" s="48">
        <v>3.2</v>
      </c>
      <c r="J56" s="48">
        <v>3.2</v>
      </c>
      <c r="K56" s="48">
        <v>3.2</v>
      </c>
      <c r="L56" s="48">
        <v>3.45</v>
      </c>
      <c r="M56" s="48">
        <v>3.75</v>
      </c>
      <c r="N56" s="48">
        <v>4.5</v>
      </c>
      <c r="O56" s="48">
        <v>3.75</v>
      </c>
      <c r="P56" s="48">
        <v>3.75</v>
      </c>
      <c r="Q56" s="48">
        <v>3.75</v>
      </c>
      <c r="R56" s="48"/>
      <c r="S56" s="48"/>
      <c r="T56" s="48"/>
      <c r="U56" s="48"/>
      <c r="V56" s="48"/>
      <c r="W56" s="48"/>
      <c r="X56" s="48"/>
      <c r="Y56" s="48"/>
      <c r="Z56" s="48"/>
      <c r="AA56" s="48"/>
    </row>
    <row r="57" spans="2:27">
      <c r="B57" s="321"/>
      <c r="C57" s="48" t="s">
        <v>330</v>
      </c>
      <c r="D57" s="48" t="s">
        <v>331</v>
      </c>
      <c r="E57" s="48" t="s">
        <v>37</v>
      </c>
      <c r="F57" s="48"/>
      <c r="G57" s="48">
        <v>0.16455490679366175</v>
      </c>
      <c r="H57" s="1">
        <v>0.10070403091109648</v>
      </c>
      <c r="I57" s="48">
        <v>0.12044869884135007</v>
      </c>
      <c r="J57" s="48">
        <v>0.11051224985878627</v>
      </c>
      <c r="K57" s="48">
        <v>0.11820219084383332</v>
      </c>
      <c r="L57" s="48">
        <v>0.1875741278056737</v>
      </c>
      <c r="M57" s="48">
        <v>0.17152108121584228</v>
      </c>
      <c r="N57" s="48">
        <v>0.1772081792590621</v>
      </c>
      <c r="O57" s="48">
        <v>0.16657640737830182</v>
      </c>
      <c r="P57" s="48">
        <v>0.16211736926818301</v>
      </c>
      <c r="Q57" s="48">
        <v>0.17472505579307965</v>
      </c>
      <c r="R57" s="48"/>
      <c r="S57" s="48"/>
      <c r="T57" s="48"/>
      <c r="U57" s="48"/>
      <c r="V57" s="48"/>
      <c r="W57" s="48"/>
      <c r="X57" s="48"/>
      <c r="Y57" s="48"/>
      <c r="Z57" s="48"/>
      <c r="AA57" s="48"/>
    </row>
    <row r="58" spans="2:27">
      <c r="B58" s="321"/>
      <c r="C58" s="48" t="s">
        <v>332</v>
      </c>
      <c r="D58" s="48" t="s">
        <v>298</v>
      </c>
      <c r="E58" s="48" t="s">
        <v>37</v>
      </c>
      <c r="F58" s="48"/>
      <c r="G58" s="48">
        <v>0.40353832442067739</v>
      </c>
      <c r="H58" s="1">
        <v>0.38448482428115011</v>
      </c>
      <c r="I58" s="48">
        <v>0.38449542008843973</v>
      </c>
      <c r="J58" s="48">
        <v>0.38449542008843973</v>
      </c>
      <c r="K58" s="48">
        <v>0.51590672944377791</v>
      </c>
      <c r="L58" s="48">
        <v>0.52105263157894732</v>
      </c>
      <c r="M58" s="48">
        <v>0.37375000000000003</v>
      </c>
      <c r="N58" s="48">
        <v>0.35624999999999996</v>
      </c>
      <c r="O58" s="48">
        <v>0.37375000000000003</v>
      </c>
      <c r="P58" s="48">
        <v>0.37375000000000003</v>
      </c>
      <c r="Q58" s="48">
        <v>0.37375000000000003</v>
      </c>
      <c r="R58" s="48"/>
      <c r="S58" s="48"/>
      <c r="T58" s="48"/>
      <c r="U58" s="48"/>
      <c r="V58" s="48"/>
      <c r="W58" s="48"/>
      <c r="X58" s="48"/>
      <c r="Y58" s="48"/>
      <c r="Z58" s="48"/>
      <c r="AA58" s="48"/>
    </row>
    <row r="59" spans="2:27" ht="21" thickBot="1">
      <c r="B59" s="322"/>
      <c r="C59" s="50" t="s">
        <v>333</v>
      </c>
      <c r="D59" s="50" t="s">
        <v>334</v>
      </c>
      <c r="E59" s="50" t="s">
        <v>260</v>
      </c>
      <c r="F59" s="50"/>
      <c r="G59" s="50">
        <v>-3.6</v>
      </c>
      <c r="H59" s="19">
        <v>-2.94</v>
      </c>
      <c r="I59" s="50">
        <v>-2.5</v>
      </c>
      <c r="J59" s="50">
        <v>-3.3</v>
      </c>
      <c r="K59" s="50">
        <v>-2.4500000000000002</v>
      </c>
      <c r="L59" s="50">
        <v>-3.6</v>
      </c>
      <c r="M59" s="50">
        <v>-2.8</v>
      </c>
      <c r="N59" s="50">
        <v>-2.65</v>
      </c>
      <c r="O59" s="50">
        <v>-2.4</v>
      </c>
      <c r="P59" s="50">
        <v>-1.1200000000000001</v>
      </c>
      <c r="Q59" s="50">
        <v>-0.92</v>
      </c>
      <c r="R59" s="50"/>
      <c r="S59" s="50"/>
      <c r="T59" s="50"/>
      <c r="U59" s="50"/>
      <c r="V59" s="50"/>
      <c r="W59" s="50"/>
      <c r="X59" s="50"/>
      <c r="Y59" s="50"/>
      <c r="Z59" s="50"/>
      <c r="AA59" s="50"/>
    </row>
    <row r="60" spans="2:27" ht="21" thickTop="1">
      <c r="B60" s="321" t="s">
        <v>335</v>
      </c>
      <c r="C60" s="48" t="s">
        <v>336</v>
      </c>
      <c r="D60" s="48" t="s">
        <v>337</v>
      </c>
      <c r="E60" s="48" t="s">
        <v>45</v>
      </c>
      <c r="F60" s="48"/>
      <c r="G60" s="48">
        <v>0.89334209521379149</v>
      </c>
      <c r="H60" s="2">
        <v>0.99518048364603229</v>
      </c>
      <c r="I60" s="48">
        <v>0.80775540451913708</v>
      </c>
      <c r="J60" s="48">
        <v>0.96089613516659922</v>
      </c>
      <c r="K60" s="48">
        <v>1.30602091427374</v>
      </c>
      <c r="L60" s="48">
        <v>0.88960674611935719</v>
      </c>
      <c r="M60" s="48">
        <v>0.69702410295988126</v>
      </c>
      <c r="N60" s="48">
        <v>0.82370987878542834</v>
      </c>
      <c r="O60" s="48">
        <v>0.80156902974961186</v>
      </c>
      <c r="P60" s="48">
        <v>0.88292500309175725</v>
      </c>
      <c r="Q60" s="48">
        <v>1.0035204565390832</v>
      </c>
      <c r="R60" s="48"/>
      <c r="S60" s="48"/>
      <c r="T60" s="48"/>
      <c r="U60" s="48"/>
      <c r="V60" s="48"/>
      <c r="W60" s="48"/>
      <c r="X60" s="48"/>
      <c r="Y60" s="48"/>
      <c r="Z60" s="48"/>
      <c r="AA60" s="48"/>
    </row>
    <row r="61" spans="2:27">
      <c r="B61" s="321"/>
      <c r="C61" s="48" t="s">
        <v>338</v>
      </c>
      <c r="D61" s="48" t="s">
        <v>339</v>
      </c>
      <c r="E61" s="48" t="s">
        <v>45</v>
      </c>
      <c r="F61" s="48"/>
      <c r="G61" s="48">
        <v>1.6847046002102821</v>
      </c>
      <c r="H61" s="1">
        <v>1.5700690055057438</v>
      </c>
      <c r="I61" s="48">
        <v>1.5891699804771495</v>
      </c>
      <c r="J61" s="48">
        <v>1.6971035733910482</v>
      </c>
      <c r="K61" s="48">
        <v>1.4207165009077423</v>
      </c>
      <c r="L61" s="48">
        <v>0</v>
      </c>
      <c r="M61" s="48">
        <v>1.4207165009077423</v>
      </c>
      <c r="N61" s="48">
        <v>1.4207165009077423</v>
      </c>
      <c r="O61" s="48">
        <v>1.4207165009077423</v>
      </c>
      <c r="P61" s="48">
        <v>1.4207165009077423</v>
      </c>
      <c r="Q61" s="48">
        <v>1.4207165009077423</v>
      </c>
      <c r="R61" s="48"/>
      <c r="S61" s="48"/>
      <c r="T61" s="48"/>
      <c r="U61" s="48"/>
      <c r="V61" s="48"/>
      <c r="W61" s="48"/>
      <c r="X61" s="48"/>
      <c r="Y61" s="48"/>
      <c r="Z61" s="48"/>
      <c r="AA61" s="48"/>
    </row>
    <row r="62" spans="2:27">
      <c r="B62" s="321"/>
      <c r="C62" s="48" t="s">
        <v>284</v>
      </c>
      <c r="D62" s="48" t="s">
        <v>340</v>
      </c>
      <c r="E62" s="48" t="s">
        <v>45</v>
      </c>
      <c r="F62" s="48"/>
      <c r="G62" s="48">
        <v>0.90637713276099385</v>
      </c>
      <c r="H62" s="1">
        <v>1.0017730159086871</v>
      </c>
      <c r="I62" s="48">
        <v>0.81590850011517313</v>
      </c>
      <c r="J62" s="48">
        <v>0.97317771376468332</v>
      </c>
      <c r="K62" s="48">
        <v>1.325966844745778</v>
      </c>
      <c r="L62" s="48">
        <v>0.90647103754541036</v>
      </c>
      <c r="M62" s="48">
        <v>0.71342407448361023</v>
      </c>
      <c r="N62" s="48">
        <v>0.84026657875366129</v>
      </c>
      <c r="O62" s="48">
        <v>0.81526467001619241</v>
      </c>
      <c r="P62" s="48">
        <v>0.89408404389796436</v>
      </c>
      <c r="Q62" s="48">
        <v>1.0125387143621192</v>
      </c>
      <c r="R62" s="48"/>
      <c r="S62" s="48"/>
      <c r="T62" s="48"/>
      <c r="U62" s="48"/>
      <c r="V62" s="48"/>
      <c r="W62" s="48"/>
      <c r="X62" s="48"/>
      <c r="Y62" s="48"/>
      <c r="Z62" s="48"/>
      <c r="AA62" s="48"/>
    </row>
    <row r="63" spans="2:27">
      <c r="B63" s="321"/>
      <c r="C63" s="48" t="s">
        <v>287</v>
      </c>
      <c r="D63" s="48" t="s">
        <v>341</v>
      </c>
      <c r="E63" s="48" t="s">
        <v>45</v>
      </c>
      <c r="F63" s="48"/>
      <c r="G63" s="48">
        <v>-0.14949726417945014</v>
      </c>
      <c r="H63" s="1">
        <v>-9.1841046310862567E-2</v>
      </c>
      <c r="I63" s="48">
        <v>-9.3048702459326255E-2</v>
      </c>
      <c r="J63" s="48">
        <v>-0.15143212819474611</v>
      </c>
      <c r="K63" s="48">
        <v>-0.23618169020171326</v>
      </c>
      <c r="L63" s="48">
        <v>-0.22149075345033498</v>
      </c>
      <c r="M63" s="48">
        <v>-0.23977023872649147</v>
      </c>
      <c r="N63" s="48">
        <v>-0.21666087382939367</v>
      </c>
      <c r="O63" s="48">
        <v>-0.20162018133546727</v>
      </c>
      <c r="P63" s="48">
        <v>-0.16662850757882444</v>
      </c>
      <c r="Q63" s="48">
        <v>-0.1336135051716322</v>
      </c>
      <c r="R63" s="48"/>
      <c r="S63" s="48"/>
      <c r="T63" s="48"/>
      <c r="U63" s="48"/>
      <c r="V63" s="48"/>
      <c r="W63" s="48"/>
      <c r="X63" s="48"/>
      <c r="Y63" s="48"/>
      <c r="Z63" s="48"/>
      <c r="AA63" s="48"/>
    </row>
    <row r="64" spans="2:27">
      <c r="B64" s="321"/>
      <c r="C64" s="48" t="s">
        <v>289</v>
      </c>
      <c r="D64" s="48" t="s">
        <v>342</v>
      </c>
      <c r="E64" s="48" t="s">
        <v>45</v>
      </c>
      <c r="F64" s="48"/>
      <c r="G64" s="48">
        <v>1.0552889856616786E-10</v>
      </c>
      <c r="H64" s="1">
        <v>1.1551489497962747E-10</v>
      </c>
      <c r="I64" s="48">
        <v>1.144306420943344E-10</v>
      </c>
      <c r="J64" s="48">
        <v>1.1443064209433443E-10</v>
      </c>
      <c r="K64" s="48">
        <v>1.7255164367239104E-10</v>
      </c>
      <c r="L64" s="48">
        <v>1.9216568733856887E-10</v>
      </c>
      <c r="M64" s="48">
        <v>1.6213365045382322E-10</v>
      </c>
      <c r="N64" s="48">
        <v>1.7302477097702235E-10</v>
      </c>
      <c r="O64" s="48">
        <v>1.621336504538232E-10</v>
      </c>
      <c r="P64" s="48">
        <v>1.6213365045382317E-10</v>
      </c>
      <c r="Q64" s="48">
        <v>1.6213365045382322E-10</v>
      </c>
      <c r="R64" s="48"/>
      <c r="S64" s="48"/>
      <c r="T64" s="48"/>
      <c r="U64" s="48"/>
      <c r="V64" s="48"/>
      <c r="W64" s="48"/>
      <c r="X64" s="48"/>
      <c r="Y64" s="48"/>
      <c r="Z64" s="48"/>
      <c r="AA64" s="48"/>
    </row>
    <row r="65" spans="2:27">
      <c r="B65" s="321"/>
      <c r="C65" s="48" t="s">
        <v>343</v>
      </c>
      <c r="D65" s="48" t="s">
        <v>344</v>
      </c>
      <c r="E65" s="48" t="s">
        <v>345</v>
      </c>
      <c r="F65" s="48"/>
      <c r="G65" s="48">
        <v>0.1122234567979726</v>
      </c>
      <c r="H65" s="1">
        <v>0.1166459034194281</v>
      </c>
      <c r="I65" s="48">
        <v>0.11774072013896636</v>
      </c>
      <c r="J65" s="48">
        <v>0.11533241778015911</v>
      </c>
      <c r="K65" s="48">
        <v>0.11167813026207936</v>
      </c>
      <c r="L65" s="48">
        <v>0.11459456176974697</v>
      </c>
      <c r="M65" s="48">
        <v>0.11380768012303166</v>
      </c>
      <c r="N65" s="48">
        <v>0.117000046311916</v>
      </c>
      <c r="O65" s="48">
        <v>0.11514709501136162</v>
      </c>
      <c r="P65" s="48">
        <v>0.11696289055066557</v>
      </c>
      <c r="Q65" s="48">
        <v>0.11363678542164531</v>
      </c>
      <c r="R65" s="48"/>
      <c r="S65" s="48"/>
      <c r="T65" s="48"/>
      <c r="U65" s="48"/>
      <c r="V65" s="48"/>
      <c r="W65" s="48"/>
      <c r="X65" s="48"/>
      <c r="Y65" s="48"/>
      <c r="Z65" s="48"/>
      <c r="AA65" s="48"/>
    </row>
    <row r="66" spans="2:27">
      <c r="B66" s="321"/>
      <c r="C66" s="48" t="s">
        <v>284</v>
      </c>
      <c r="D66" s="48" t="s">
        <v>346</v>
      </c>
      <c r="E66" s="48" t="s">
        <v>345</v>
      </c>
      <c r="F66" s="48"/>
      <c r="G66" s="48">
        <v>0.10474185445756348</v>
      </c>
      <c r="H66" s="1">
        <v>0.11119553796618663</v>
      </c>
      <c r="I66" s="48">
        <v>0.11028019104580952</v>
      </c>
      <c r="J66" s="48">
        <v>0.10823561805284826</v>
      </c>
      <c r="K66" s="48">
        <v>0.10526973696124349</v>
      </c>
      <c r="L66" s="48">
        <v>0.10948213075902856</v>
      </c>
      <c r="M66" s="48">
        <v>0.10898379773170222</v>
      </c>
      <c r="N66" s="48">
        <v>0.11145907911771946</v>
      </c>
      <c r="O66" s="48">
        <v>0.11037258319132046</v>
      </c>
      <c r="P66" s="48">
        <v>0.11222646535285601</v>
      </c>
      <c r="Q66" s="48">
        <v>0.10888714601460912</v>
      </c>
      <c r="R66" s="48"/>
      <c r="S66" s="48"/>
      <c r="T66" s="48"/>
      <c r="U66" s="48"/>
      <c r="V66" s="48"/>
      <c r="W66" s="48"/>
      <c r="X66" s="48"/>
      <c r="Y66" s="48"/>
      <c r="Z66" s="48"/>
      <c r="AA66" s="48"/>
    </row>
    <row r="67" spans="2:27">
      <c r="B67" s="321"/>
      <c r="C67" s="48" t="s">
        <v>287</v>
      </c>
      <c r="D67" s="48" t="s">
        <v>347</v>
      </c>
      <c r="E67" s="48" t="s">
        <v>345</v>
      </c>
      <c r="F67" s="48"/>
      <c r="G67" s="48">
        <v>8.5805589551968084E-2</v>
      </c>
      <c r="H67" s="1">
        <v>7.5929437439067077E-2</v>
      </c>
      <c r="I67" s="48">
        <v>8.514465991491757E-2</v>
      </c>
      <c r="J67" s="48">
        <v>8.7503693234208854E-2</v>
      </c>
      <c r="K67" s="48">
        <v>8.4344600691053831E-2</v>
      </c>
      <c r="L67" s="48">
        <v>7.5780229689853401E-2</v>
      </c>
      <c r="M67" s="48">
        <v>7.8492266268236979E-2</v>
      </c>
      <c r="N67" s="48">
        <v>8.1245709757649165E-2</v>
      </c>
      <c r="O67" s="48">
        <v>7.8492266341715702E-2</v>
      </c>
      <c r="P67" s="48">
        <v>7.8492266341715702E-2</v>
      </c>
      <c r="Q67" s="48">
        <v>7.8492266341715702E-2</v>
      </c>
      <c r="R67" s="48"/>
      <c r="S67" s="48"/>
      <c r="T67" s="48"/>
      <c r="U67" s="48"/>
      <c r="V67" s="48"/>
      <c r="W67" s="48"/>
      <c r="X67" s="48"/>
      <c r="Y67" s="48"/>
      <c r="Z67" s="48"/>
      <c r="AA67" s="48"/>
    </row>
    <row r="68" spans="2:27">
      <c r="B68" s="321"/>
      <c r="C68" s="48" t="s">
        <v>289</v>
      </c>
      <c r="D68" s="48" t="s">
        <v>348</v>
      </c>
      <c r="E68" s="48" t="s">
        <v>345</v>
      </c>
      <c r="F68" s="48"/>
      <c r="G68" s="48">
        <v>3.8172620602696196E-2</v>
      </c>
      <c r="H68" s="1">
        <v>3.7973374933672942E-2</v>
      </c>
      <c r="I68" s="48">
        <v>4.4859693176593024E-2</v>
      </c>
      <c r="J68" s="48">
        <v>4.4859693176593024E-2</v>
      </c>
      <c r="K68" s="48">
        <v>5.4188314512789909E-2</v>
      </c>
      <c r="L68" s="48">
        <v>5.9091684649062455E-2</v>
      </c>
      <c r="M68" s="48">
        <v>5.0683925103064187E-2</v>
      </c>
      <c r="N68" s="48">
        <v>5.3791614430781218E-2</v>
      </c>
      <c r="O68" s="48">
        <v>5.0683925103064187E-2</v>
      </c>
      <c r="P68" s="48">
        <v>5.0683925103064187E-2</v>
      </c>
      <c r="Q68" s="48">
        <v>5.0683925103064187E-2</v>
      </c>
      <c r="R68" s="48"/>
      <c r="S68" s="48"/>
      <c r="T68" s="48"/>
      <c r="U68" s="48"/>
      <c r="V68" s="48"/>
      <c r="W68" s="48"/>
      <c r="X68" s="48"/>
      <c r="Y68" s="48"/>
      <c r="Z68" s="48"/>
      <c r="AA68" s="48"/>
    </row>
    <row r="69" spans="2:27">
      <c r="B69" s="321"/>
      <c r="C69" s="48" t="s">
        <v>349</v>
      </c>
      <c r="D69" s="48" t="s">
        <v>350</v>
      </c>
      <c r="E69" s="48" t="s">
        <v>45</v>
      </c>
      <c r="F69" s="48"/>
      <c r="G69" s="48">
        <v>2.4586244303371366E-2</v>
      </c>
      <c r="H69" s="1">
        <v>2.5400195265692326E-2</v>
      </c>
      <c r="I69" s="48">
        <v>1.6883925147005055E-2</v>
      </c>
      <c r="J69" s="48">
        <v>2.0891845066662008E-2</v>
      </c>
      <c r="K69" s="48">
        <v>2.700464340732707E-2</v>
      </c>
      <c r="L69" s="48">
        <v>1.9246178282943501E-2</v>
      </c>
      <c r="M69" s="48">
        <v>1.4609803781242738E-2</v>
      </c>
      <c r="N69" s="48">
        <v>1.7977683005341426E-2</v>
      </c>
      <c r="O69" s="48">
        <v>1.833623693228548E-2</v>
      </c>
      <c r="P69" s="48">
        <v>1.9029566101812397E-2</v>
      </c>
      <c r="Q69" s="48">
        <v>2.1598977553327306E-2</v>
      </c>
      <c r="R69" s="48"/>
      <c r="S69" s="48"/>
      <c r="T69" s="48"/>
      <c r="U69" s="48"/>
      <c r="V69" s="48"/>
      <c r="W69" s="48"/>
      <c r="X69" s="48"/>
      <c r="Y69" s="48"/>
      <c r="Z69" s="48"/>
      <c r="AA69" s="48"/>
    </row>
    <row r="70" spans="2:27">
      <c r="B70" s="321"/>
      <c r="C70" s="48" t="s">
        <v>284</v>
      </c>
      <c r="D70" s="48" t="s">
        <v>351</v>
      </c>
      <c r="E70" s="48" t="s">
        <v>45</v>
      </c>
      <c r="F70" s="48"/>
      <c r="G70" s="48">
        <v>1.7113168423305021E-2</v>
      </c>
      <c r="H70" s="1">
        <v>1.8476000854648834E-2</v>
      </c>
      <c r="I70" s="48">
        <v>1.0858153475370291E-2</v>
      </c>
      <c r="J70" s="48">
        <v>1.4480626253271449E-2</v>
      </c>
      <c r="K70" s="48">
        <v>2.16275929469061E-2</v>
      </c>
      <c r="L70" s="48">
        <v>1.4187463673077026E-2</v>
      </c>
      <c r="M70" s="48">
        <v>1.1964276319624713E-2</v>
      </c>
      <c r="N70" s="48">
        <v>1.3410295971976124E-2</v>
      </c>
      <c r="O70" s="48">
        <v>1.3999642604226066E-2</v>
      </c>
      <c r="P70" s="48">
        <v>1.5001352600841939E-2</v>
      </c>
      <c r="Q70" s="48">
        <v>1.7373362208508655E-2</v>
      </c>
      <c r="R70" s="48"/>
      <c r="S70" s="48"/>
      <c r="T70" s="48"/>
      <c r="U70" s="48"/>
      <c r="V70" s="48"/>
      <c r="W70" s="48"/>
      <c r="X70" s="48"/>
      <c r="Y70" s="48"/>
      <c r="Z70" s="48"/>
      <c r="AA70" s="48"/>
    </row>
    <row r="71" spans="2:27">
      <c r="B71" s="321"/>
      <c r="C71" s="48" t="s">
        <v>287</v>
      </c>
      <c r="D71" s="48" t="s">
        <v>352</v>
      </c>
      <c r="E71" s="48" t="s">
        <v>45</v>
      </c>
      <c r="F71" s="48"/>
      <c r="G71" s="48">
        <v>9.3619884584271104E-3</v>
      </c>
      <c r="H71" s="1">
        <v>8.4402488272241772E-3</v>
      </c>
      <c r="I71" s="48">
        <v>7.4624279567092455E-3</v>
      </c>
      <c r="J71" s="48">
        <v>1.0672391889346024E-2</v>
      </c>
      <c r="K71" s="48">
        <v>1.4315481593539282E-2</v>
      </c>
      <c r="L71" s="48">
        <v>1.2843563962288657E-2</v>
      </c>
      <c r="M71" s="48">
        <v>1.3450839511804251E-2</v>
      </c>
      <c r="N71" s="48">
        <v>1.247658728967543E-2</v>
      </c>
      <c r="O71" s="48">
        <v>1.2705848998838821E-2</v>
      </c>
      <c r="P71" s="48">
        <v>1.1778432817228986E-2</v>
      </c>
      <c r="Q71" s="48">
        <v>1.1340906504749983E-2</v>
      </c>
      <c r="R71" s="48"/>
      <c r="S71" s="48"/>
      <c r="T71" s="48"/>
      <c r="U71" s="48"/>
      <c r="V71" s="48"/>
      <c r="W71" s="48"/>
      <c r="X71" s="48"/>
      <c r="Y71" s="48"/>
      <c r="Z71" s="48"/>
      <c r="AA71" s="48"/>
    </row>
    <row r="72" spans="2:27">
      <c r="B72" s="321"/>
      <c r="C72" s="48" t="s">
        <v>289</v>
      </c>
      <c r="D72" s="48" t="s">
        <v>353</v>
      </c>
      <c r="E72" s="48" t="s">
        <v>45</v>
      </c>
      <c r="F72" s="48"/>
      <c r="G72" s="48">
        <v>8.867077996424633E-3</v>
      </c>
      <c r="H72" s="1">
        <v>1.2361311155327367E-2</v>
      </c>
      <c r="I72" s="48">
        <v>8.8474419386210413E-3</v>
      </c>
      <c r="J72" s="48">
        <v>1.1948743953588643E-2</v>
      </c>
      <c r="K72" s="48">
        <v>1.5964930119893229E-2</v>
      </c>
      <c r="L72" s="48">
        <v>1.5379800048954029E-2</v>
      </c>
      <c r="M72" s="48">
        <v>1.5111839261076759E-2</v>
      </c>
      <c r="N72" s="48">
        <v>1.5800325577597366E-2</v>
      </c>
      <c r="O72" s="48">
        <v>1.5607690220090443E-2</v>
      </c>
      <c r="P72" s="48">
        <v>1.583954007527542E-2</v>
      </c>
      <c r="Q72" s="48">
        <v>1.6075946859339992E-2</v>
      </c>
      <c r="R72" s="48"/>
      <c r="S72" s="48"/>
      <c r="T72" s="48"/>
      <c r="U72" s="48"/>
      <c r="V72" s="48"/>
      <c r="W72" s="48"/>
      <c r="X72" s="48"/>
      <c r="Y72" s="48"/>
      <c r="Z72" s="48"/>
      <c r="AA72" s="48"/>
    </row>
    <row r="73" spans="2:27">
      <c r="B73" s="321"/>
      <c r="C73" s="48" t="s">
        <v>41</v>
      </c>
      <c r="D73" s="48" t="s">
        <v>354</v>
      </c>
      <c r="E73" s="48" t="s">
        <v>45</v>
      </c>
      <c r="F73" s="48"/>
      <c r="G73" s="48">
        <v>0.2</v>
      </c>
      <c r="H73" s="1">
        <v>0.2</v>
      </c>
      <c r="I73" s="48">
        <v>0.20307417424463414</v>
      </c>
      <c r="J73" s="48">
        <v>0.20307417424463414</v>
      </c>
      <c r="K73" s="48">
        <v>0.11253363853407559</v>
      </c>
      <c r="L73" s="48">
        <v>0.10821367481029676</v>
      </c>
      <c r="M73" s="48">
        <v>4.2650289058750408E-2</v>
      </c>
      <c r="N73" s="48">
        <v>9.7400202198944769E-2</v>
      </c>
      <c r="O73" s="48">
        <v>9.6467577533459026E-2</v>
      </c>
      <c r="P73" s="48">
        <v>9.0536675891477375E-2</v>
      </c>
      <c r="Q73" s="48">
        <v>9.6427263948913433E-2</v>
      </c>
      <c r="R73" s="48"/>
      <c r="S73" s="48"/>
      <c r="T73" s="48"/>
      <c r="U73" s="48"/>
      <c r="V73" s="48"/>
      <c r="W73" s="48"/>
      <c r="X73" s="48"/>
      <c r="Y73" s="48"/>
      <c r="Z73" s="48"/>
      <c r="AA73" s="48"/>
    </row>
    <row r="74" spans="2:27">
      <c r="B74" s="321"/>
      <c r="C74" s="48" t="s">
        <v>355</v>
      </c>
      <c r="D74" s="48" t="s">
        <v>356</v>
      </c>
      <c r="E74" s="48" t="s">
        <v>45</v>
      </c>
      <c r="F74" s="48"/>
      <c r="G74" s="48">
        <v>0.20472728608752949</v>
      </c>
      <c r="H74" s="1">
        <v>0.20433083126946039</v>
      </c>
      <c r="I74" s="48">
        <v>0.20228944613939059</v>
      </c>
      <c r="J74" s="48">
        <v>0.20246292449307876</v>
      </c>
      <c r="K74" s="48">
        <v>1</v>
      </c>
      <c r="L74" s="48">
        <v>1</v>
      </c>
      <c r="M74" s="48">
        <v>1</v>
      </c>
      <c r="N74" s="48">
        <v>1</v>
      </c>
      <c r="O74" s="48">
        <v>1</v>
      </c>
      <c r="P74" s="48">
        <v>1</v>
      </c>
      <c r="Q74" s="48">
        <v>1</v>
      </c>
      <c r="R74" s="48"/>
      <c r="S74" s="48"/>
      <c r="T74" s="48"/>
      <c r="U74" s="48"/>
      <c r="V74" s="48"/>
      <c r="W74" s="48"/>
      <c r="X74" s="48"/>
      <c r="Y74" s="48"/>
      <c r="Z74" s="48"/>
      <c r="AA74" s="48"/>
    </row>
    <row r="75" spans="2:27">
      <c r="B75" s="321"/>
      <c r="C75" s="48" t="s">
        <v>357</v>
      </c>
      <c r="D75" s="48" t="s">
        <v>358</v>
      </c>
      <c r="E75" s="48" t="s">
        <v>45</v>
      </c>
      <c r="F75" s="48"/>
      <c r="G75" s="48">
        <v>1.2</v>
      </c>
      <c r="H75" s="1">
        <v>1.2</v>
      </c>
      <c r="I75" s="48">
        <v>1.2</v>
      </c>
      <c r="J75" s="48">
        <v>1.2</v>
      </c>
      <c r="K75" s="48">
        <v>1.2</v>
      </c>
      <c r="L75" s="48">
        <v>1.2</v>
      </c>
      <c r="M75" s="48">
        <v>1.2</v>
      </c>
      <c r="N75" s="48">
        <v>1.2</v>
      </c>
      <c r="O75" s="48">
        <v>1.2</v>
      </c>
      <c r="P75" s="48">
        <v>1.2</v>
      </c>
      <c r="Q75" s="48">
        <v>1.2</v>
      </c>
      <c r="R75" s="48"/>
      <c r="S75" s="48"/>
      <c r="T75" s="48"/>
      <c r="U75" s="48"/>
      <c r="V75" s="48"/>
      <c r="W75" s="48"/>
      <c r="X75" s="48"/>
      <c r="Y75" s="48"/>
      <c r="Z75" s="48"/>
      <c r="AA75" s="48"/>
    </row>
    <row r="76" spans="2:27">
      <c r="B76" s="321"/>
      <c r="C76" s="48" t="s">
        <v>359</v>
      </c>
      <c r="D76" s="48" t="s">
        <v>360</v>
      </c>
      <c r="E76" s="48" t="s">
        <v>45</v>
      </c>
      <c r="F76" s="48"/>
      <c r="G76" s="48">
        <v>48.86585600467933</v>
      </c>
      <c r="H76" s="1">
        <v>51.054795874434618</v>
      </c>
      <c r="I76" s="48">
        <v>68.419686714309421</v>
      </c>
      <c r="J76" s="48">
        <v>61.016281531367596</v>
      </c>
      <c r="K76" s="48">
        <v>56.004072703101656</v>
      </c>
      <c r="L76" s="48">
        <v>56.840933983222001</v>
      </c>
      <c r="M76" s="48">
        <v>52.748899444464207</v>
      </c>
      <c r="N76" s="48">
        <v>56.094667669967592</v>
      </c>
      <c r="O76" s="48">
        <v>52.731662474475193</v>
      </c>
      <c r="P76" s="48">
        <v>54.743115805968664</v>
      </c>
      <c r="Q76" s="48">
        <v>54.288584977975084</v>
      </c>
      <c r="R76" s="48"/>
      <c r="S76" s="48"/>
      <c r="T76" s="48"/>
      <c r="U76" s="48"/>
      <c r="V76" s="48"/>
      <c r="W76" s="48"/>
      <c r="X76" s="48"/>
      <c r="Y76" s="48"/>
      <c r="Z76" s="48"/>
      <c r="AA76" s="48"/>
    </row>
    <row r="77" spans="2:27">
      <c r="B77" s="321"/>
      <c r="C77" s="48" t="s">
        <v>361</v>
      </c>
      <c r="D77" s="48" t="s">
        <v>162</v>
      </c>
      <c r="E77" s="48" t="s">
        <v>45</v>
      </c>
      <c r="F77" s="48"/>
      <c r="G77" s="48">
        <v>7.9321225425896518E-4</v>
      </c>
      <c r="H77" s="1">
        <v>1.1196133917099668E-4</v>
      </c>
      <c r="I77" s="48">
        <v>5.0388112890804772E-4</v>
      </c>
      <c r="J77" s="48">
        <v>-3.1383800751981668E-4</v>
      </c>
      <c r="K77" s="48">
        <v>-1.2981101169055875E-4</v>
      </c>
      <c r="L77" s="48">
        <v>3.0913437415344691E-4</v>
      </c>
      <c r="M77" s="48">
        <v>-1.3604911429110356E-4</v>
      </c>
      <c r="N77" s="48">
        <v>-4.1431794856480741E-5</v>
      </c>
      <c r="O77" s="48">
        <v>-3.7852648738045946E-4</v>
      </c>
      <c r="P77" s="48">
        <v>-2.3021686617781534E-4</v>
      </c>
      <c r="Q77" s="48">
        <v>-4.3738887125700787E-5</v>
      </c>
      <c r="R77" s="48"/>
      <c r="S77" s="48"/>
      <c r="T77" s="48"/>
      <c r="U77" s="48"/>
      <c r="V77" s="48"/>
      <c r="W77" s="48"/>
      <c r="X77" s="48"/>
      <c r="Y77" s="48"/>
      <c r="Z77" s="48"/>
      <c r="AA77" s="48"/>
    </row>
    <row r="78" spans="2:27">
      <c r="B78" s="321"/>
      <c r="C78" s="48" t="s">
        <v>362</v>
      </c>
      <c r="D78" s="48" t="s">
        <v>363</v>
      </c>
      <c r="E78" s="48" t="s">
        <v>273</v>
      </c>
      <c r="F78" s="48"/>
      <c r="G78" s="48">
        <v>1012.6935801942534</v>
      </c>
      <c r="H78" s="1">
        <v>985.53351320983711</v>
      </c>
      <c r="I78" s="48">
        <v>1084.7096188961623</v>
      </c>
      <c r="J78" s="48">
        <v>970.26660603808079</v>
      </c>
      <c r="K78" s="48">
        <v>959.83579788656823</v>
      </c>
      <c r="L78" s="48">
        <v>935.25114416985036</v>
      </c>
      <c r="M78" s="48">
        <v>900.1665385883714</v>
      </c>
      <c r="N78" s="48">
        <v>938.12185616804322</v>
      </c>
      <c r="O78" s="48">
        <v>861.45006221899473</v>
      </c>
      <c r="P78" s="48">
        <v>868.62231422494881</v>
      </c>
      <c r="Q78" s="48">
        <v>879.17731923931979</v>
      </c>
      <c r="R78" s="48"/>
      <c r="S78" s="48"/>
      <c r="T78" s="48"/>
      <c r="U78" s="48"/>
      <c r="V78" s="48"/>
      <c r="W78" s="48"/>
      <c r="X78" s="48"/>
      <c r="Y78" s="48"/>
      <c r="Z78" s="48"/>
      <c r="AA78" s="48"/>
    </row>
    <row r="79" spans="2:27">
      <c r="B79" s="321"/>
      <c r="C79" s="48"/>
      <c r="D79" s="48"/>
      <c r="E79" s="48" t="s">
        <v>364</v>
      </c>
      <c r="F79" s="48"/>
      <c r="G79" s="48">
        <v>103.36772279210507</v>
      </c>
      <c r="H79" s="1">
        <v>100.61597888819163</v>
      </c>
      <c r="I79" s="48">
        <v>110.74115557898543</v>
      </c>
      <c r="J79" s="48">
        <v>99.057335991636634</v>
      </c>
      <c r="K79" s="48">
        <v>97.992424490716516</v>
      </c>
      <c r="L79" s="48">
        <v>95.482505785589623</v>
      </c>
      <c r="M79" s="48">
        <v>91.900616497026178</v>
      </c>
      <c r="N79" s="48">
        <v>95.775585111591951</v>
      </c>
      <c r="O79" s="48">
        <v>87.947938970800891</v>
      </c>
      <c r="P79" s="48">
        <v>88.680175010204067</v>
      </c>
      <c r="Q79" s="48">
        <v>89.757766129588546</v>
      </c>
      <c r="R79" s="48"/>
      <c r="S79" s="48"/>
      <c r="T79" s="48"/>
      <c r="U79" s="48"/>
      <c r="V79" s="48"/>
      <c r="W79" s="48"/>
      <c r="X79" s="48"/>
      <c r="Y79" s="48"/>
      <c r="Z79" s="48"/>
      <c r="AA79" s="48"/>
    </row>
    <row r="80" spans="2:27">
      <c r="B80" s="321"/>
      <c r="C80" s="48" t="s">
        <v>365</v>
      </c>
      <c r="D80" s="48" t="s">
        <v>366</v>
      </c>
      <c r="E80" s="48" t="s">
        <v>273</v>
      </c>
      <c r="F80" s="48"/>
      <c r="G80" s="48">
        <v>27.870993542684378</v>
      </c>
      <c r="H80" s="1">
        <v>25.153973663853844</v>
      </c>
      <c r="I80" s="48">
        <v>22.672898143692077</v>
      </c>
      <c r="J80" s="48">
        <v>21.095578247058995</v>
      </c>
      <c r="K80" s="48">
        <v>19.8465607772658</v>
      </c>
      <c r="L80" s="48">
        <v>20.233671044581762</v>
      </c>
      <c r="M80" s="48">
        <v>18.867721278748267</v>
      </c>
      <c r="N80" s="48">
        <v>20.474754261099356</v>
      </c>
      <c r="O80" s="48">
        <v>19.706041351315328</v>
      </c>
      <c r="P80" s="48">
        <v>18.721302135709376</v>
      </c>
      <c r="Q80" s="48">
        <v>18.922714589331328</v>
      </c>
      <c r="R80" s="48"/>
      <c r="S80" s="48"/>
      <c r="T80" s="48"/>
      <c r="U80" s="48"/>
      <c r="V80" s="48"/>
      <c r="W80" s="48"/>
      <c r="X80" s="48"/>
      <c r="Y80" s="48"/>
      <c r="Z80" s="48"/>
      <c r="AA80" s="48"/>
    </row>
    <row r="81" spans="2:27">
      <c r="B81" s="321"/>
      <c r="C81" s="48"/>
      <c r="D81" s="48"/>
      <c r="E81" s="48" t="s">
        <v>364</v>
      </c>
      <c r="F81" s="48"/>
      <c r="G81" s="48">
        <v>2.8448498053163598</v>
      </c>
      <c r="H81" s="1">
        <v>2.5680422321443435</v>
      </c>
      <c r="I81" s="48">
        <v>2.314742025900161</v>
      </c>
      <c r="J81" s="48">
        <v>2.1537088562592133</v>
      </c>
      <c r="K81" s="48">
        <v>2.0261930349429096</v>
      </c>
      <c r="L81" s="48">
        <v>2.0657142465116651</v>
      </c>
      <c r="M81" s="48">
        <v>1.9262604674577097</v>
      </c>
      <c r="N81" s="48">
        <v>2.0903271323225479</v>
      </c>
      <c r="O81" s="48">
        <v>2.0118469986028922</v>
      </c>
      <c r="P81" s="48">
        <v>1.9113121118641527</v>
      </c>
      <c r="Q81" s="48">
        <v>1.931874894265577</v>
      </c>
      <c r="R81" s="48"/>
      <c r="S81" s="48"/>
      <c r="T81" s="48"/>
      <c r="U81" s="48"/>
      <c r="V81" s="48"/>
      <c r="W81" s="48"/>
      <c r="X81" s="48"/>
      <c r="Y81" s="48"/>
      <c r="Z81" s="48"/>
      <c r="AA81" s="48"/>
    </row>
    <row r="82" spans="2:27" ht="21" thickBot="1">
      <c r="B82" s="322"/>
      <c r="C82" s="50" t="s">
        <v>367</v>
      </c>
      <c r="D82" s="50" t="s">
        <v>368</v>
      </c>
      <c r="E82" s="50" t="s">
        <v>364</v>
      </c>
      <c r="F82" s="50"/>
      <c r="G82" s="50">
        <v>-0.20647239167934117</v>
      </c>
      <c r="H82" s="19">
        <v>1.4859788881916387</v>
      </c>
      <c r="I82" s="50">
        <v>0.80471277406977038</v>
      </c>
      <c r="J82" s="50">
        <v>0.26027246743649357</v>
      </c>
      <c r="K82" s="50">
        <v>0.48038061687513789</v>
      </c>
      <c r="L82" s="50">
        <v>0.1386330001715379</v>
      </c>
      <c r="M82" s="50">
        <v>0.35630493645642503</v>
      </c>
      <c r="N82" s="50">
        <v>0.617681543862588</v>
      </c>
      <c r="O82" s="50">
        <v>0.46634046987051647</v>
      </c>
      <c r="P82" s="50">
        <v>0.54978971282646683</v>
      </c>
      <c r="Q82" s="50">
        <v>0.97263371839990498</v>
      </c>
      <c r="R82" s="50"/>
      <c r="S82" s="50"/>
      <c r="T82" s="50"/>
      <c r="U82" s="50"/>
      <c r="V82" s="50"/>
      <c r="W82" s="50"/>
      <c r="X82" s="50"/>
      <c r="Y82" s="50"/>
      <c r="Z82" s="50"/>
      <c r="AA82" s="50"/>
    </row>
    <row r="83" spans="2:27" ht="21" thickTop="1">
      <c r="B83" s="321" t="s">
        <v>24</v>
      </c>
      <c r="C83" s="48" t="s">
        <v>369</v>
      </c>
      <c r="D83" s="48" t="s">
        <v>25</v>
      </c>
      <c r="E83" s="48" t="s">
        <v>370</v>
      </c>
      <c r="F83" s="49"/>
      <c r="G83" s="49">
        <v>918.40715156383294</v>
      </c>
      <c r="H83" s="2">
        <v>833.81063889746554</v>
      </c>
      <c r="I83" s="49">
        <v>941.40599435392676</v>
      </c>
      <c r="J83" s="49">
        <v>1010.1455163950034</v>
      </c>
      <c r="K83" s="49">
        <v>904.52562693682296</v>
      </c>
      <c r="L83" s="49">
        <v>885.1284285239492</v>
      </c>
      <c r="M83" s="49">
        <v>805.38723643263461</v>
      </c>
      <c r="N83" s="49">
        <v>815.91501256870231</v>
      </c>
      <c r="O83" s="49">
        <v>832.47226848351579</v>
      </c>
      <c r="P83" s="49">
        <v>892.78855554089125</v>
      </c>
      <c r="Q83" s="49">
        <v>891.80653593857642</v>
      </c>
      <c r="R83" s="49"/>
      <c r="S83" s="49"/>
      <c r="T83" s="49"/>
      <c r="U83" s="49"/>
      <c r="V83" s="49"/>
      <c r="W83" s="49"/>
      <c r="X83" s="49"/>
      <c r="Y83" s="49"/>
      <c r="Z83" s="49"/>
      <c r="AA83" s="49"/>
    </row>
    <row r="84" spans="2:27">
      <c r="B84" s="321"/>
      <c r="C84" s="48"/>
      <c r="D84" s="48" t="s">
        <v>27</v>
      </c>
      <c r="E84" s="48" t="s">
        <v>370</v>
      </c>
      <c r="F84" s="49"/>
      <c r="G84" s="49">
        <v>55.530862171617095</v>
      </c>
      <c r="H84" s="1">
        <v>72.911848683691176</v>
      </c>
      <c r="I84" s="49">
        <v>58.680109429353045</v>
      </c>
      <c r="J84" s="49">
        <v>57.72518969576015</v>
      </c>
      <c r="K84" s="49">
        <v>52.359348891475904</v>
      </c>
      <c r="L84" s="49">
        <v>57.310584566883882</v>
      </c>
      <c r="M84" s="49">
        <v>61.608111818404758</v>
      </c>
      <c r="N84" s="49">
        <v>61.309209303595203</v>
      </c>
      <c r="O84" s="49">
        <v>61.555242693094755</v>
      </c>
      <c r="P84" s="49">
        <v>61.979275376536179</v>
      </c>
      <c r="Q84" s="49">
        <v>61.134686718395209</v>
      </c>
      <c r="R84" s="49"/>
      <c r="S84" s="49"/>
      <c r="T84" s="49"/>
      <c r="U84" s="49"/>
      <c r="V84" s="49"/>
      <c r="W84" s="49"/>
      <c r="X84" s="49"/>
      <c r="Y84" s="49"/>
      <c r="Z84" s="49"/>
      <c r="AA84" s="49"/>
    </row>
    <row r="85" spans="2:27">
      <c r="B85" s="321"/>
      <c r="C85" s="48"/>
      <c r="D85" s="48" t="s">
        <v>29</v>
      </c>
      <c r="E85" s="48" t="s">
        <v>370</v>
      </c>
      <c r="F85" s="49"/>
      <c r="G85" s="49">
        <v>963.51180413877057</v>
      </c>
      <c r="H85" s="1">
        <v>896.99496843978659</v>
      </c>
      <c r="I85" s="49">
        <v>982.70276637670884</v>
      </c>
      <c r="J85" s="49">
        <v>1050.537846066663</v>
      </c>
      <c r="K85" s="49">
        <v>938.77426688646835</v>
      </c>
      <c r="L85" s="49">
        <v>935.64369229074987</v>
      </c>
      <c r="M85" s="49">
        <v>859.90611138054135</v>
      </c>
      <c r="N85" s="49">
        <v>871.2826765478984</v>
      </c>
      <c r="O85" s="49">
        <v>887.03226452233321</v>
      </c>
      <c r="P85" s="49">
        <v>946.92451889626716</v>
      </c>
      <c r="Q85" s="49">
        <v>946.7870879520932</v>
      </c>
      <c r="R85" s="49"/>
      <c r="S85" s="49"/>
      <c r="T85" s="49"/>
      <c r="U85" s="49"/>
      <c r="V85" s="49"/>
      <c r="W85" s="49"/>
      <c r="X85" s="49"/>
      <c r="Y85" s="49"/>
      <c r="Z85" s="49"/>
      <c r="AA85" s="49"/>
    </row>
    <row r="86" spans="2:27">
      <c r="B86" s="321"/>
      <c r="C86" s="48"/>
      <c r="D86" s="48" t="s">
        <v>31</v>
      </c>
      <c r="E86" s="48" t="s">
        <v>370</v>
      </c>
      <c r="F86" s="48"/>
      <c r="G86" s="48">
        <v>0</v>
      </c>
      <c r="H86" s="1">
        <v>0</v>
      </c>
      <c r="I86" s="48">
        <v>0</v>
      </c>
      <c r="J86" s="48">
        <v>0</v>
      </c>
      <c r="K86" s="48">
        <v>0</v>
      </c>
      <c r="L86" s="48">
        <v>0</v>
      </c>
      <c r="M86" s="48">
        <v>0</v>
      </c>
      <c r="N86" s="48">
        <v>0</v>
      </c>
      <c r="O86" s="48">
        <v>0</v>
      </c>
      <c r="P86" s="48">
        <v>0</v>
      </c>
      <c r="Q86" s="48">
        <v>0</v>
      </c>
      <c r="R86" s="48"/>
      <c r="S86" s="48"/>
      <c r="T86" s="48"/>
      <c r="U86" s="48"/>
      <c r="V86" s="48"/>
      <c r="W86" s="48"/>
      <c r="X86" s="48"/>
      <c r="Y86" s="48"/>
      <c r="Z86" s="48"/>
      <c r="AA86" s="48"/>
    </row>
    <row r="87" spans="2:27">
      <c r="B87" s="321"/>
      <c r="C87" s="48"/>
      <c r="D87" s="48" t="s">
        <v>33</v>
      </c>
      <c r="E87" s="48" t="s">
        <v>370</v>
      </c>
      <c r="F87" s="48"/>
      <c r="G87" s="48">
        <v>0</v>
      </c>
      <c r="H87" s="1">
        <v>0</v>
      </c>
      <c r="I87" s="48">
        <v>0</v>
      </c>
      <c r="J87" s="48">
        <v>0</v>
      </c>
      <c r="K87" s="48">
        <v>0</v>
      </c>
      <c r="L87" s="48">
        <v>0</v>
      </c>
      <c r="M87" s="48">
        <v>0</v>
      </c>
      <c r="N87" s="48">
        <v>0</v>
      </c>
      <c r="O87" s="48">
        <v>0</v>
      </c>
      <c r="P87" s="48">
        <v>0</v>
      </c>
      <c r="Q87" s="48">
        <v>0</v>
      </c>
      <c r="R87" s="48"/>
      <c r="S87" s="48"/>
      <c r="T87" s="48"/>
      <c r="U87" s="48"/>
      <c r="V87" s="48"/>
      <c r="W87" s="48"/>
      <c r="X87" s="48"/>
      <c r="Y87" s="48"/>
      <c r="Z87" s="48"/>
      <c r="AA87" s="48"/>
    </row>
    <row r="88" spans="2:27" ht="21" thickBot="1">
      <c r="B88" s="322"/>
      <c r="C88" s="50"/>
      <c r="D88" s="50" t="s">
        <v>371</v>
      </c>
      <c r="E88" s="50" t="s">
        <v>370</v>
      </c>
      <c r="F88" s="50"/>
      <c r="G88" s="50">
        <v>-5.6196454676211225</v>
      </c>
      <c r="H88" s="19">
        <v>-6.0825334963457909</v>
      </c>
      <c r="I88" s="50">
        <v>-6.9131857565410044</v>
      </c>
      <c r="J88" s="50">
        <v>-6.5852125029812028</v>
      </c>
      <c r="K88" s="50">
        <v>-4.987654749548712</v>
      </c>
      <c r="L88" s="50">
        <v>-7.6748803539465982</v>
      </c>
      <c r="M88" s="50">
        <v>-5.784948570851979</v>
      </c>
      <c r="N88" s="50">
        <v>-5.6420922591709717</v>
      </c>
      <c r="O88" s="50">
        <v>-5.7208954706653863</v>
      </c>
      <c r="P88" s="50">
        <v>-5.6642768869536919</v>
      </c>
      <c r="Q88" s="50">
        <v>-5.8243628376211198</v>
      </c>
      <c r="R88" s="50"/>
      <c r="S88" s="50"/>
      <c r="T88" s="50"/>
      <c r="U88" s="50"/>
      <c r="V88" s="50"/>
      <c r="W88" s="50"/>
      <c r="X88" s="50"/>
      <c r="Y88" s="50"/>
      <c r="Z88" s="50"/>
      <c r="AA88" s="50"/>
    </row>
    <row r="89" spans="2:27" ht="21" thickTop="1">
      <c r="B89" s="321" t="s">
        <v>372</v>
      </c>
      <c r="C89" s="48"/>
      <c r="D89" s="48" t="s">
        <v>164</v>
      </c>
      <c r="E89" s="48" t="s">
        <v>345</v>
      </c>
      <c r="F89" s="48"/>
      <c r="G89" s="48">
        <v>-2.1235387044881707E-2</v>
      </c>
      <c r="H89" s="2">
        <v>-2.0820816650685955E-2</v>
      </c>
      <c r="I89" s="48">
        <v>-2.130043362118501E-2</v>
      </c>
      <c r="J89" s="48">
        <v>-2.2167204650325574E-2</v>
      </c>
      <c r="K89" s="48">
        <v>-2.0018827319272563E-2</v>
      </c>
      <c r="L89" s="48">
        <v>-2.0535400940715834E-2</v>
      </c>
      <c r="M89" s="48">
        <v>-2.1866528705799238E-2</v>
      </c>
      <c r="N89" s="48">
        <v>-2.0430634259647602E-2</v>
      </c>
      <c r="O89" s="48">
        <v>-2.1374283181142786E-2</v>
      </c>
      <c r="P89" s="48">
        <v>-2.1277877173263921E-2</v>
      </c>
      <c r="Q89" s="48">
        <v>-2.1202289228846573E-2</v>
      </c>
      <c r="R89" s="48"/>
      <c r="S89" s="48"/>
      <c r="T89" s="48"/>
      <c r="U89" s="48"/>
      <c r="V89" s="48"/>
      <c r="W89" s="48"/>
      <c r="X89" s="48"/>
      <c r="Y89" s="48"/>
      <c r="Z89" s="48"/>
      <c r="AA89" s="48"/>
    </row>
    <row r="90" spans="2:27">
      <c r="B90" s="321"/>
      <c r="C90" s="48"/>
      <c r="D90" s="48" t="s">
        <v>373</v>
      </c>
      <c r="E90" s="48" t="s">
        <v>345</v>
      </c>
      <c r="F90" s="48"/>
      <c r="G90" s="48">
        <v>-3.3102396725761384E-3</v>
      </c>
      <c r="H90" s="1">
        <v>-3.4932616092385018E-3</v>
      </c>
      <c r="I90" s="48">
        <v>-4.0605550085478061E-3</v>
      </c>
      <c r="J90" s="48">
        <v>-3.9301510675748665E-3</v>
      </c>
      <c r="K90" s="48">
        <v>-4.5244603596246253E-3</v>
      </c>
      <c r="L90" s="48">
        <v>-1.6261031494530539E-3</v>
      </c>
      <c r="M90" s="48">
        <v>-2.8747141341960475E-3</v>
      </c>
      <c r="N90" s="48">
        <v>-2.3232525096361562E-3</v>
      </c>
      <c r="O90" s="48">
        <v>-2.6407031537638032E-3</v>
      </c>
      <c r="P90" s="48">
        <v>-2.8537063442499789E-3</v>
      </c>
      <c r="Q90" s="48">
        <v>-2.1937912085889066E-3</v>
      </c>
      <c r="R90" s="48"/>
      <c r="S90" s="48"/>
      <c r="T90" s="48"/>
      <c r="U90" s="48"/>
      <c r="V90" s="48"/>
      <c r="W90" s="48"/>
      <c r="X90" s="48"/>
      <c r="Y90" s="48"/>
      <c r="Z90" s="48"/>
      <c r="AA90" s="48"/>
    </row>
    <row r="91" spans="2:27" ht="21" thickBot="1">
      <c r="B91" s="322"/>
      <c r="C91" s="50"/>
      <c r="D91" s="50" t="s">
        <v>374</v>
      </c>
      <c r="E91" s="50" t="s">
        <v>345</v>
      </c>
      <c r="F91" s="50"/>
      <c r="G91" s="50">
        <v>-3.1702415539934146E-4</v>
      </c>
      <c r="H91" s="19">
        <v>-3.7529757345022873E-4</v>
      </c>
      <c r="I91" s="50">
        <v>1.8555211084135206E-4</v>
      </c>
      <c r="J91" s="50">
        <v>1.8096809282457506E-4</v>
      </c>
      <c r="K91" s="50">
        <v>1.9831791090086103E-4</v>
      </c>
      <c r="L91" s="50">
        <v>2.557796675998126E-4</v>
      </c>
      <c r="M91" s="50">
        <v>1.5474625405552511E-4</v>
      </c>
      <c r="N91" s="50">
        <v>1.8960206754604588E-4</v>
      </c>
      <c r="O91" s="50">
        <v>1.5444168419411308E-4</v>
      </c>
      <c r="P91" s="50">
        <v>1.45882241211397E-4</v>
      </c>
      <c r="Q91" s="50">
        <v>1.5323418589440656E-4</v>
      </c>
      <c r="R91" s="50"/>
      <c r="S91" s="50"/>
      <c r="T91" s="50"/>
      <c r="U91" s="50"/>
      <c r="V91" s="50"/>
      <c r="W91" s="50"/>
      <c r="X91" s="50"/>
      <c r="Y91" s="50"/>
      <c r="Z91" s="50"/>
      <c r="AA91" s="50"/>
    </row>
    <row r="92" spans="2:27" ht="21" thickTop="1">
      <c r="B92" s="321" t="s">
        <v>375</v>
      </c>
      <c r="C92" s="48" t="s">
        <v>376</v>
      </c>
      <c r="D92" s="48" t="s">
        <v>377</v>
      </c>
      <c r="E92" s="48" t="s">
        <v>378</v>
      </c>
      <c r="F92" s="48"/>
      <c r="G92" s="48">
        <v>8.7453503909277899</v>
      </c>
      <c r="H92" s="2">
        <v>8.2104818110790951</v>
      </c>
      <c r="I92" s="48">
        <v>9.4963161479902265</v>
      </c>
      <c r="J92" s="48">
        <v>8.3860722086699404</v>
      </c>
      <c r="K92" s="48">
        <v>7.0458658976119821</v>
      </c>
      <c r="L92" s="48">
        <v>9.2901291803350876</v>
      </c>
      <c r="M92" s="48">
        <v>10.401330090247521</v>
      </c>
      <c r="N92" s="48">
        <v>8.7455376688500372</v>
      </c>
      <c r="O92" s="48">
        <v>9.7013471072537136</v>
      </c>
      <c r="P92" s="48">
        <v>9.2531089919488565</v>
      </c>
      <c r="Q92" s="48">
        <v>8.6584587070829002</v>
      </c>
      <c r="R92" s="48"/>
      <c r="S92" s="48"/>
      <c r="T92" s="48"/>
      <c r="U92" s="48"/>
      <c r="V92" s="48"/>
      <c r="W92" s="48"/>
      <c r="X92" s="48"/>
      <c r="Y92" s="48"/>
      <c r="Z92" s="48"/>
      <c r="AA92" s="48"/>
    </row>
    <row r="93" spans="2:27">
      <c r="B93" s="321"/>
      <c r="C93" s="48"/>
      <c r="D93" s="48" t="s">
        <v>379</v>
      </c>
      <c r="E93" s="48" t="s">
        <v>45</v>
      </c>
      <c r="F93" s="48"/>
      <c r="G93" s="48">
        <v>0.87466672375566978</v>
      </c>
      <c r="H93" s="1">
        <v>0.90435520631105559</v>
      </c>
      <c r="I93" s="48">
        <v>0.87289716628344272</v>
      </c>
      <c r="J93" s="48">
        <v>0.87324814934969552</v>
      </c>
      <c r="K93" s="48">
        <v>0.92923133755955545</v>
      </c>
      <c r="L93" s="48">
        <v>0.9925505543187817</v>
      </c>
      <c r="M93" s="48">
        <v>0.98803141841708864</v>
      </c>
      <c r="N93" s="48">
        <v>0.95074838866354594</v>
      </c>
      <c r="O93" s="48">
        <v>0.98825436767997343</v>
      </c>
      <c r="P93" s="48">
        <v>0.98368694325554928</v>
      </c>
      <c r="Q93" s="48">
        <v>0.98948080665334137</v>
      </c>
      <c r="R93" s="48"/>
      <c r="S93" s="48"/>
      <c r="T93" s="48"/>
      <c r="U93" s="48"/>
      <c r="V93" s="48"/>
      <c r="W93" s="48"/>
      <c r="X93" s="48"/>
      <c r="Y93" s="48"/>
      <c r="Z93" s="48"/>
      <c r="AA93" s="48"/>
    </row>
    <row r="94" spans="2:27">
      <c r="B94" s="321"/>
      <c r="C94" s="48"/>
      <c r="D94" s="48" t="s">
        <v>380</v>
      </c>
      <c r="E94" s="48" t="s">
        <v>378</v>
      </c>
      <c r="F94" s="48"/>
      <c r="G94" s="48">
        <v>4.2390881345512756</v>
      </c>
      <c r="H94" s="1">
        <v>3.5040741639495896</v>
      </c>
      <c r="I94" s="48">
        <v>4.6332928125957356</v>
      </c>
      <c r="J94" s="48">
        <v>4.0863297379258734</v>
      </c>
      <c r="K94" s="48">
        <v>2.6034366877272448</v>
      </c>
      <c r="L94" s="48">
        <v>1.1318487780818216</v>
      </c>
      <c r="M94" s="48">
        <v>1.6044339500554228</v>
      </c>
      <c r="N94" s="48">
        <v>2.7107993008886107</v>
      </c>
      <c r="O94" s="48">
        <v>1.4825393080339162</v>
      </c>
      <c r="P94" s="48">
        <v>1.6645311178490798</v>
      </c>
      <c r="Q94" s="48">
        <v>1.2525690769984914</v>
      </c>
      <c r="R94" s="48"/>
      <c r="S94" s="48"/>
      <c r="T94" s="48"/>
      <c r="U94" s="48"/>
      <c r="V94" s="48"/>
      <c r="W94" s="48"/>
      <c r="X94" s="48"/>
      <c r="Y94" s="48"/>
      <c r="Z94" s="48"/>
      <c r="AA94" s="48"/>
    </row>
    <row r="95" spans="2:27">
      <c r="B95" s="321"/>
      <c r="C95" s="48"/>
      <c r="D95" s="48" t="s">
        <v>381</v>
      </c>
      <c r="E95" s="48" t="s">
        <v>382</v>
      </c>
      <c r="F95" s="48"/>
      <c r="G95" s="48">
        <v>1.4822020934095739</v>
      </c>
      <c r="H95" s="1">
        <v>1.7931085397169628</v>
      </c>
      <c r="I95" s="48">
        <v>1.3560950195287835</v>
      </c>
      <c r="J95" s="48">
        <v>1.5376109394365189</v>
      </c>
      <c r="K95" s="48">
        <v>2.413419668240405</v>
      </c>
      <c r="L95" s="48">
        <v>5.5512586388332643</v>
      </c>
      <c r="M95" s="48">
        <v>3.9161383408538213</v>
      </c>
      <c r="N95" s="48">
        <v>2.3178349297640493</v>
      </c>
      <c r="O95" s="48">
        <v>4.2381239223343714</v>
      </c>
      <c r="P95" s="48">
        <v>3.7747478793299867</v>
      </c>
      <c r="Q95" s="48">
        <v>5.0162385632542277</v>
      </c>
      <c r="R95" s="48"/>
      <c r="S95" s="48"/>
      <c r="T95" s="48"/>
      <c r="U95" s="48"/>
      <c r="V95" s="48"/>
      <c r="W95" s="48"/>
      <c r="X95" s="48"/>
      <c r="Y95" s="48"/>
      <c r="Z95" s="48"/>
      <c r="AA95" s="48"/>
    </row>
    <row r="96" spans="2:27">
      <c r="B96" s="321"/>
      <c r="C96" s="48" t="s">
        <v>383</v>
      </c>
      <c r="D96" s="48" t="s">
        <v>384</v>
      </c>
      <c r="E96" s="48" t="s">
        <v>378</v>
      </c>
      <c r="F96" s="48"/>
      <c r="G96" s="48">
        <v>0.65326714854755707</v>
      </c>
      <c r="H96" s="1">
        <v>0.62732315975683761</v>
      </c>
      <c r="I96" s="48">
        <v>0.62382508504723611</v>
      </c>
      <c r="J96" s="48">
        <v>0.70448947113508698</v>
      </c>
      <c r="K96" s="48">
        <v>0.82248996349895132</v>
      </c>
      <c r="L96" s="48">
        <v>0.60563290975250206</v>
      </c>
      <c r="M96" s="48">
        <v>0.53340329177995904</v>
      </c>
      <c r="N96" s="48">
        <v>0.60440909762581829</v>
      </c>
      <c r="O96" s="48">
        <v>0.5686171003563496</v>
      </c>
      <c r="P96" s="48">
        <v>0.5943886699925105</v>
      </c>
      <c r="Q96" s="48">
        <v>0.64010513773290212</v>
      </c>
      <c r="R96" s="48"/>
      <c r="S96" s="48"/>
      <c r="T96" s="48"/>
      <c r="U96" s="48"/>
      <c r="V96" s="48"/>
      <c r="W96" s="48"/>
      <c r="X96" s="48"/>
      <c r="Y96" s="48"/>
      <c r="Z96" s="48"/>
      <c r="AA96" s="48"/>
    </row>
    <row r="97" spans="2:27">
      <c r="B97" s="321"/>
      <c r="C97" s="48"/>
      <c r="D97" s="48" t="s">
        <v>385</v>
      </c>
      <c r="E97" s="48" t="s">
        <v>45</v>
      </c>
      <c r="F97" s="48"/>
      <c r="G97" s="48">
        <v>3.9293704054904489E-2</v>
      </c>
      <c r="H97" s="1">
        <v>4.1935643099854196E-2</v>
      </c>
      <c r="I97" s="48">
        <v>2.9829612677350483E-2</v>
      </c>
      <c r="J97" s="48">
        <v>3.148157310602704E-2</v>
      </c>
      <c r="K97" s="48">
        <v>3.2163274407309643E-2</v>
      </c>
      <c r="L97" s="48">
        <v>3.7242807874262492E-2</v>
      </c>
      <c r="M97" s="48">
        <v>3.6480889219473393E-2</v>
      </c>
      <c r="N97" s="48">
        <v>3.5390909123463973E-2</v>
      </c>
      <c r="O97" s="48">
        <v>4.1291947701511719E-2</v>
      </c>
      <c r="P97" s="48">
        <v>3.9216782953523835E-2</v>
      </c>
      <c r="Q97" s="48">
        <v>3.8981032713419926E-2</v>
      </c>
      <c r="R97" s="48"/>
      <c r="S97" s="48"/>
      <c r="T97" s="48"/>
      <c r="U97" s="48"/>
      <c r="V97" s="48"/>
      <c r="W97" s="48"/>
      <c r="X97" s="48"/>
      <c r="Y97" s="48"/>
      <c r="Z97" s="48"/>
      <c r="AA97" s="48"/>
    </row>
    <row r="98" spans="2:27">
      <c r="B98" s="321"/>
      <c r="C98" s="48"/>
      <c r="D98" s="48" t="s">
        <v>386</v>
      </c>
      <c r="E98" s="48" t="s">
        <v>378</v>
      </c>
      <c r="F98" s="48"/>
      <c r="G98" s="48">
        <v>0.65276263306619364</v>
      </c>
      <c r="H98" s="1">
        <v>0.62677131235269212</v>
      </c>
      <c r="I98" s="48">
        <v>0.62354748169313978</v>
      </c>
      <c r="J98" s="48">
        <v>0.70414027855380978</v>
      </c>
      <c r="K98" s="48">
        <v>0.82206443026501153</v>
      </c>
      <c r="L98" s="48">
        <v>0.6052127494888383</v>
      </c>
      <c r="M98" s="48">
        <v>0.53304823231428844</v>
      </c>
      <c r="N98" s="48">
        <v>0.60403046285887607</v>
      </c>
      <c r="O98" s="48">
        <v>0.56813214038081983</v>
      </c>
      <c r="P98" s="48">
        <v>0.59393142228808504</v>
      </c>
      <c r="Q98" s="48">
        <v>0.63961862627541599</v>
      </c>
      <c r="R98" s="48"/>
      <c r="S98" s="48"/>
      <c r="T98" s="48"/>
      <c r="U98" s="48"/>
      <c r="V98" s="48"/>
      <c r="W98" s="48"/>
      <c r="X98" s="48"/>
      <c r="Y98" s="48"/>
      <c r="Z98" s="48"/>
      <c r="AA98" s="48"/>
    </row>
    <row r="99" spans="2:27">
      <c r="B99" s="321"/>
      <c r="C99" s="48"/>
      <c r="D99" s="48" t="s">
        <v>387</v>
      </c>
      <c r="E99" s="48" t="s">
        <v>382</v>
      </c>
      <c r="F99" s="48"/>
      <c r="G99" s="48">
        <v>9.6255284676236013</v>
      </c>
      <c r="H99" s="1">
        <v>10.024685532582192</v>
      </c>
      <c r="I99" s="48">
        <v>10.07651460658399</v>
      </c>
      <c r="J99" s="48">
        <v>8.9232010986280077</v>
      </c>
      <c r="K99" s="48">
        <v>7.6431786559042045</v>
      </c>
      <c r="L99" s="48">
        <v>10.381779485786369</v>
      </c>
      <c r="M99" s="48">
        <v>11.78727350787833</v>
      </c>
      <c r="N99" s="48">
        <v>10.402100048797656</v>
      </c>
      <c r="O99" s="48">
        <v>11.059373094026959</v>
      </c>
      <c r="P99" s="48">
        <v>10.57897439231956</v>
      </c>
      <c r="Q99" s="48">
        <v>9.8233307303250488</v>
      </c>
      <c r="R99" s="48"/>
      <c r="S99" s="48"/>
      <c r="T99" s="48"/>
      <c r="U99" s="48"/>
      <c r="V99" s="48"/>
      <c r="W99" s="48"/>
      <c r="X99" s="48"/>
      <c r="Y99" s="48"/>
      <c r="Z99" s="48"/>
      <c r="AA99" s="48"/>
    </row>
    <row r="100" spans="2:27">
      <c r="B100" s="321"/>
      <c r="C100" s="48" t="s">
        <v>388</v>
      </c>
      <c r="D100" s="48" t="s">
        <v>389</v>
      </c>
      <c r="E100" s="48" t="s">
        <v>378</v>
      </c>
      <c r="F100" s="48"/>
      <c r="G100" s="48">
        <v>0.71452193292878585</v>
      </c>
      <c r="H100" s="1">
        <v>0.72438011711662642</v>
      </c>
      <c r="I100" s="48">
        <v>1.2535547569359917</v>
      </c>
      <c r="J100" s="48">
        <v>1.1385918604631449</v>
      </c>
      <c r="K100" s="48">
        <v>1.2646822697445395</v>
      </c>
      <c r="L100" s="48">
        <v>0.92879097528311116</v>
      </c>
      <c r="M100" s="48">
        <v>1.0987067653094216</v>
      </c>
      <c r="N100" s="48">
        <v>1.0366318104894019</v>
      </c>
      <c r="O100" s="48">
        <v>1.0300195391903519</v>
      </c>
      <c r="P100" s="48">
        <v>1.0391027576319321</v>
      </c>
      <c r="Q100" s="48">
        <v>0.91300620956946987</v>
      </c>
      <c r="R100" s="48"/>
      <c r="S100" s="48"/>
      <c r="T100" s="48"/>
      <c r="U100" s="48"/>
      <c r="V100" s="48"/>
      <c r="W100" s="48"/>
      <c r="X100" s="48"/>
      <c r="Y100" s="48"/>
      <c r="Z100" s="48"/>
      <c r="AA100" s="48"/>
    </row>
    <row r="101" spans="2:27">
      <c r="B101" s="321"/>
      <c r="C101" s="48"/>
      <c r="D101" s="48" t="s">
        <v>390</v>
      </c>
      <c r="E101" s="48"/>
      <c r="F101" s="48"/>
      <c r="G101" s="48">
        <v>0.15159055837003976</v>
      </c>
      <c r="H101" s="1">
        <v>0.18493539126626099</v>
      </c>
      <c r="I101" s="48">
        <v>0.20060718601528893</v>
      </c>
      <c r="J101" s="48">
        <v>0.20270423647798141</v>
      </c>
      <c r="K101" s="48">
        <v>0.2034993555069157</v>
      </c>
      <c r="L101" s="48">
        <v>0.25141588908449458</v>
      </c>
      <c r="M101" s="48">
        <v>0.22647111129224112</v>
      </c>
      <c r="N101" s="48">
        <v>0.22202189401394098</v>
      </c>
      <c r="O101" s="48">
        <v>0.21710302695420797</v>
      </c>
      <c r="P101" s="48">
        <v>0.21427229647500562</v>
      </c>
      <c r="Q101" s="48">
        <v>0.21084076252157694</v>
      </c>
      <c r="R101" s="48"/>
      <c r="S101" s="48"/>
      <c r="T101" s="48"/>
      <c r="U101" s="48"/>
      <c r="V101" s="48"/>
      <c r="W101" s="48"/>
      <c r="X101" s="48"/>
      <c r="Y101" s="48"/>
      <c r="Z101" s="48"/>
      <c r="AA101" s="48"/>
    </row>
    <row r="102" spans="2:27">
      <c r="B102" s="321"/>
      <c r="C102" s="48"/>
      <c r="D102" s="48" t="s">
        <v>389</v>
      </c>
      <c r="E102" s="48" t="s">
        <v>378</v>
      </c>
      <c r="F102" s="48"/>
      <c r="G102" s="48">
        <v>0.70626446982278512</v>
      </c>
      <c r="H102" s="1">
        <v>0.71188505341810548</v>
      </c>
      <c r="I102" s="48">
        <v>1.2280721947135658</v>
      </c>
      <c r="J102" s="48">
        <v>1.1149547021103381</v>
      </c>
      <c r="K102" s="48">
        <v>1.2382188944449084</v>
      </c>
      <c r="L102" s="48">
        <v>0.8989574205057016</v>
      </c>
      <c r="M102" s="48">
        <v>1.070160037215744</v>
      </c>
      <c r="N102" s="48">
        <v>1.0107592224882171</v>
      </c>
      <c r="O102" s="48">
        <v>1.0054522294995805</v>
      </c>
      <c r="P102" s="48">
        <v>1.0149685228812946</v>
      </c>
      <c r="Q102" s="48">
        <v>0.89248221406783212</v>
      </c>
      <c r="R102" s="48"/>
      <c r="S102" s="48"/>
      <c r="T102" s="48"/>
      <c r="U102" s="48"/>
      <c r="V102" s="48"/>
      <c r="W102" s="48"/>
      <c r="X102" s="48"/>
      <c r="Y102" s="48"/>
      <c r="Z102" s="48"/>
      <c r="AA102" s="48"/>
    </row>
    <row r="103" spans="2:27">
      <c r="B103" s="321"/>
      <c r="C103" s="48"/>
      <c r="D103" s="48" t="s">
        <v>391</v>
      </c>
      <c r="E103" s="48" t="s">
        <v>382</v>
      </c>
      <c r="F103" s="48"/>
      <c r="G103" s="48">
        <v>8.8963632968201765</v>
      </c>
      <c r="H103" s="1">
        <v>8.8261233706354218</v>
      </c>
      <c r="I103" s="48">
        <v>5.1162996232848261</v>
      </c>
      <c r="J103" s="48">
        <v>5.635372715400047</v>
      </c>
      <c r="K103" s="48">
        <v>5.0743736308403919</v>
      </c>
      <c r="L103" s="48">
        <v>6.9894136961960092</v>
      </c>
      <c r="M103" s="48">
        <v>5.8712576518243669</v>
      </c>
      <c r="N103" s="48">
        <v>6.2163027231273489</v>
      </c>
      <c r="O103" s="48">
        <v>6.2491137050904593</v>
      </c>
      <c r="P103" s="48">
        <v>6.1905223320057923</v>
      </c>
      <c r="Q103" s="48">
        <v>7.0401238345597328</v>
      </c>
      <c r="R103" s="48"/>
      <c r="S103" s="48"/>
      <c r="T103" s="48"/>
      <c r="U103" s="48"/>
      <c r="V103" s="48"/>
      <c r="W103" s="48"/>
      <c r="X103" s="48"/>
      <c r="Y103" s="48"/>
      <c r="Z103" s="48"/>
      <c r="AA103" s="48"/>
    </row>
    <row r="104" spans="2:27">
      <c r="B104" s="321"/>
      <c r="C104" s="48" t="s">
        <v>392</v>
      </c>
      <c r="D104" s="48" t="s">
        <v>393</v>
      </c>
      <c r="E104" s="48"/>
      <c r="F104" s="48"/>
      <c r="G104" s="48">
        <v>0.24829176159103347</v>
      </c>
      <c r="H104" s="1">
        <v>0.36269510456588794</v>
      </c>
      <c r="I104" s="48">
        <v>-1.9216585040664196E-2</v>
      </c>
      <c r="J104" s="48">
        <v>-2.7297176747471005E-2</v>
      </c>
      <c r="K104" s="48">
        <v>-4.372860158895997E-2</v>
      </c>
      <c r="L104" s="48">
        <v>-9.0773124665995492E-2</v>
      </c>
      <c r="M104" s="48">
        <v>-8.6694976076733751E-3</v>
      </c>
      <c r="N104" s="48">
        <v>-3.4806930541028493E-2</v>
      </c>
      <c r="O104" s="48">
        <v>-2.1839647168287717E-2</v>
      </c>
      <c r="P104" s="48">
        <v>-1.7593155317140192E-2</v>
      </c>
      <c r="Q104" s="48">
        <v>-4.9245769222332134E-2</v>
      </c>
      <c r="R104" s="48"/>
      <c r="S104" s="48"/>
      <c r="T104" s="48"/>
      <c r="U104" s="48"/>
      <c r="V104" s="48"/>
      <c r="W104" s="48"/>
      <c r="X104" s="48"/>
      <c r="Y104" s="48"/>
      <c r="Z104" s="48"/>
      <c r="AA104" s="48"/>
    </row>
    <row r="105" spans="2:27">
      <c r="B105" s="321"/>
      <c r="C105" s="48"/>
      <c r="D105" s="48" t="s">
        <v>394</v>
      </c>
      <c r="E105" s="48" t="s">
        <v>382</v>
      </c>
      <c r="F105" s="48"/>
      <c r="G105" s="48">
        <v>-2.7916640331451772</v>
      </c>
      <c r="H105" s="1">
        <v>-1.9111015611572082</v>
      </c>
      <c r="I105" s="48">
        <v>36.070258013751001</v>
      </c>
      <c r="J105" s="48">
        <v>25.392632614439261</v>
      </c>
      <c r="K105" s="48">
        <v>15.851117012050578</v>
      </c>
      <c r="L105" s="48">
        <v>7.6360396660401078</v>
      </c>
      <c r="M105" s="48">
        <v>79.952404617591739</v>
      </c>
      <c r="N105" s="48">
        <v>19.914056476278528</v>
      </c>
      <c r="O105" s="48">
        <v>31.738021004589779</v>
      </c>
      <c r="P105" s="48">
        <v>39.398684776268887</v>
      </c>
      <c r="Q105" s="48">
        <v>14.075263550672991</v>
      </c>
      <c r="R105" s="48"/>
      <c r="S105" s="48"/>
      <c r="T105" s="48"/>
      <c r="U105" s="48"/>
      <c r="V105" s="48"/>
      <c r="W105" s="48"/>
      <c r="X105" s="48"/>
      <c r="Y105" s="48"/>
      <c r="Z105" s="48"/>
      <c r="AA105" s="48"/>
    </row>
    <row r="106" spans="2:27" ht="21" thickBot="1">
      <c r="B106" s="322"/>
      <c r="C106" s="50" t="s">
        <v>395</v>
      </c>
      <c r="D106" s="50" t="s">
        <v>396</v>
      </c>
      <c r="E106" s="50"/>
      <c r="F106" s="50"/>
      <c r="G106" s="50">
        <v>30.228339155625207</v>
      </c>
      <c r="H106" s="19">
        <v>36.246940958040639</v>
      </c>
      <c r="I106" s="50">
        <v>36.670209300235157</v>
      </c>
      <c r="J106" s="50">
        <v>30.660436314858401</v>
      </c>
      <c r="K106" s="50">
        <v>28.448149995144675</v>
      </c>
      <c r="L106" s="50">
        <v>33.360693861526748</v>
      </c>
      <c r="M106" s="50">
        <v>44.430982222470632</v>
      </c>
      <c r="N106" s="50">
        <v>39.510875685444965</v>
      </c>
      <c r="O106" s="50">
        <v>40.323482713556857</v>
      </c>
      <c r="P106" s="50">
        <v>39.16291360077927</v>
      </c>
      <c r="Q106" s="50">
        <v>33.317151314646928</v>
      </c>
      <c r="R106" s="50"/>
      <c r="S106" s="50"/>
      <c r="T106" s="50"/>
      <c r="U106" s="50"/>
      <c r="V106" s="50"/>
      <c r="W106" s="50"/>
      <c r="X106" s="50"/>
      <c r="Y106" s="50"/>
      <c r="Z106" s="50"/>
      <c r="AA106" s="50"/>
    </row>
    <row r="107" spans="2:27" ht="21" thickTop="1">
      <c r="B107" s="24"/>
      <c r="C107" s="3"/>
      <c r="D107" s="3"/>
      <c r="E107" s="3"/>
      <c r="F107" s="3"/>
      <c r="H107" s="3"/>
      <c r="I107" s="45"/>
      <c r="J107" s="45"/>
      <c r="K107" s="45"/>
      <c r="L107" s="45"/>
      <c r="M107" s="45"/>
      <c r="N107" s="45"/>
      <c r="O107" s="45"/>
      <c r="P107" s="45"/>
      <c r="Q107" s="45"/>
      <c r="R107" s="45"/>
      <c r="S107" s="45"/>
      <c r="T107" s="45"/>
      <c r="U107" s="45"/>
      <c r="V107" s="45"/>
      <c r="W107" s="45"/>
      <c r="X107" s="45"/>
      <c r="Y107" s="45"/>
      <c r="Z107" s="45"/>
      <c r="AA107" s="45"/>
    </row>
  </sheetData>
  <mergeCells count="22">
    <mergeCell ref="B21:B23"/>
    <mergeCell ref="C3:E3"/>
    <mergeCell ref="C4:E4"/>
    <mergeCell ref="C5:E5"/>
    <mergeCell ref="C6:E6"/>
    <mergeCell ref="C7:E7"/>
    <mergeCell ref="C8:E8"/>
    <mergeCell ref="C9:E9"/>
    <mergeCell ref="D10:E10"/>
    <mergeCell ref="D11:E11"/>
    <mergeCell ref="B12:B15"/>
    <mergeCell ref="B16:B20"/>
    <mergeCell ref="B60:B82"/>
    <mergeCell ref="B83:B88"/>
    <mergeCell ref="B89:B91"/>
    <mergeCell ref="B92:B106"/>
    <mergeCell ref="B24:B26"/>
    <mergeCell ref="B27:B37"/>
    <mergeCell ref="B38:B44"/>
    <mergeCell ref="B45:B48"/>
    <mergeCell ref="B49:B53"/>
    <mergeCell ref="B54:B59"/>
  </mergeCells>
  <phoneticPr fontId="3"/>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14</vt:i4>
      </vt:variant>
    </vt:vector>
  </HeadingPairs>
  <TitlesOfParts>
    <vt:vector size="14" baseType="lpstr">
      <vt:lpstr>使い方</vt:lpstr>
      <vt:lpstr>全機諸元</vt:lpstr>
      <vt:lpstr>機体重量</vt:lpstr>
      <vt:lpstr>経路解析</vt:lpstr>
      <vt:lpstr>翼型</vt:lpstr>
      <vt:lpstr>積層構成</vt:lpstr>
      <vt:lpstr>主翼（空力）</vt:lpstr>
      <vt:lpstr>主翼（構造）</vt:lpstr>
      <vt:lpstr>胴接</vt:lpstr>
      <vt:lpstr>水平尾翼</vt:lpstr>
      <vt:lpstr>垂直尾翼</vt:lpstr>
      <vt:lpstr>カウル・脚</vt:lpstr>
      <vt:lpstr>パラメータ</vt:lpstr>
      <vt:lpstr>歴代主要諸元</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mori hayato</cp:lastModifiedBy>
  <dcterms:created xsi:type="dcterms:W3CDTF">2023-05-20T09:09:36Z</dcterms:created>
  <dcterms:modified xsi:type="dcterms:W3CDTF">2024-03-23T10:43:40Z</dcterms:modified>
</cp:coreProperties>
</file>