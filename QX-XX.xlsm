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5.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6.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drawings/drawing7.xml" ContentType="application/vnd.openxmlformats-officedocument.drawing+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qu365-my.sharepoint.com/personal/mori_hayato_889_s_kyushu-u_ac_jp/Documents/AircraftDesign/QX-design/"/>
    </mc:Choice>
  </mc:AlternateContent>
  <xr:revisionPtr revIDLastSave="2424" documentId="8_{DEA1B11A-7801-4578-8F2B-52377CBFBC5D}" xr6:coauthVersionLast="47" xr6:coauthVersionMax="47" xr10:uidLastSave="{4029E523-6935-400D-87B8-15D16BC7F836}"/>
  <bookViews>
    <workbookView xWindow="1740" yWindow="1815" windowWidth="15615" windowHeight="12465" tabRatio="1000" activeTab="8" xr2:uid="{BFAAB446-3423-2144-9A78-B75F1F696C9D}"/>
  </bookViews>
  <sheets>
    <sheet name="全機諸元" sheetId="11" r:id="rId1"/>
    <sheet name="フライトプラン" sheetId="17" r:id="rId2"/>
    <sheet name="重量分布" sheetId="1" r:id="rId3"/>
    <sheet name="荷重評価" sheetId="7" r:id="rId4"/>
    <sheet name="主翼" sheetId="6" r:id="rId5"/>
    <sheet name="水平尾翼" sheetId="8" r:id="rId6"/>
    <sheet name="垂直尾翼" sheetId="9" r:id="rId7"/>
    <sheet name="カウル" sheetId="10" r:id="rId8"/>
    <sheet name="使用翼型" sheetId="4" r:id="rId9"/>
    <sheet name="桁寸法" sheetId="13" r:id="rId10"/>
    <sheet name="胴接寸法" sheetId="14" r:id="rId11"/>
    <sheet name="積層構成" sheetId="15" r:id="rId12"/>
    <sheet name="各種物性値" sheetId="2" r:id="rId13"/>
    <sheet name="簡易計算ツール" sheetId="3" r:id="rId14"/>
    <sheet name="歴代主要諸元" sheetId="5" r:id="rId15"/>
    <sheet name="垂直尾翼（通常配置）" sheetId="20" r:id="rId1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 l="1"/>
  <c r="D10" i="3"/>
  <c r="U50" i="1"/>
  <c r="T50" i="1"/>
  <c r="J6" i="1" a="1"/>
  <c r="J6" i="1" s="1"/>
  <c r="K12" i="4"/>
  <c r="BA116" i="14"/>
  <c r="BE116" i="14" s="1"/>
  <c r="AY116" i="14"/>
  <c r="BC116" i="14" s="1"/>
  <c r="AX116" i="14"/>
  <c r="BB116" i="14" s="1"/>
  <c r="AJ116" i="14"/>
  <c r="AK116" i="14" s="1"/>
  <c r="AI116" i="14" s="1"/>
  <c r="AH116" i="14"/>
  <c r="AU116" i="14" s="1"/>
  <c r="E116" i="14"/>
  <c r="D116" i="14"/>
  <c r="BJ115" i="14"/>
  <c r="BA115" i="14"/>
  <c r="BE115" i="14" s="1"/>
  <c r="AZ115" i="14"/>
  <c r="BD115" i="14" s="1"/>
  <c r="AR115" i="14"/>
  <c r="AP115" i="14" s="1"/>
  <c r="AW115" i="14" s="1"/>
  <c r="AO115" i="14"/>
  <c r="AN115" i="14"/>
  <c r="AL115" i="14" s="1"/>
  <c r="AV115" i="14" s="1"/>
  <c r="AM115" i="14"/>
  <c r="AF115" i="14"/>
  <c r="AD115" i="14"/>
  <c r="E115" i="14"/>
  <c r="D115" i="14"/>
  <c r="BA114" i="14"/>
  <c r="BE114" i="14" s="1"/>
  <c r="AY114" i="14"/>
  <c r="BC114" i="14" s="1"/>
  <c r="AN114" i="14"/>
  <c r="E114" i="14"/>
  <c r="BJ113" i="14"/>
  <c r="AZ113" i="14"/>
  <c r="BD113" i="14" s="1"/>
  <c r="AY113" i="14"/>
  <c r="BC113" i="14" s="1"/>
  <c r="AX113" i="14"/>
  <c r="BB113" i="14" s="1"/>
  <c r="AR113" i="14"/>
  <c r="AS113" i="14" s="1"/>
  <c r="AQ113" i="14"/>
  <c r="AP113" i="14"/>
  <c r="AW113" i="14" s="1"/>
  <c r="AJ113" i="14"/>
  <c r="AK113" i="14" s="1"/>
  <c r="AI113" i="14"/>
  <c r="AH113" i="14"/>
  <c r="AU113" i="14" s="1"/>
  <c r="AG113" i="14"/>
  <c r="AF113" i="14"/>
  <c r="AD113" i="14"/>
  <c r="E113" i="14"/>
  <c r="BJ112" i="14"/>
  <c r="BA112" i="14"/>
  <c r="BE112" i="14" s="1"/>
  <c r="AZ112" i="14"/>
  <c r="BD112" i="14" s="1"/>
  <c r="AX112" i="14"/>
  <c r="BB112" i="14" s="1"/>
  <c r="AR112" i="14"/>
  <c r="AO112" i="14"/>
  <c r="AM112" i="14"/>
  <c r="AL112" i="14"/>
  <c r="AV112" i="14" s="1"/>
  <c r="AJ112" i="14"/>
  <c r="AH112" i="14" s="1"/>
  <c r="AU112" i="14" s="1"/>
  <c r="AF112" i="14"/>
  <c r="E112" i="14"/>
  <c r="AN112" i="14" s="1"/>
  <c r="D112" i="14"/>
  <c r="AY111" i="14"/>
  <c r="BC111" i="14" s="1"/>
  <c r="AN111" i="14"/>
  <c r="AL111" i="14" s="1"/>
  <c r="AV111" i="14" s="1"/>
  <c r="AJ111" i="14"/>
  <c r="AH111" i="14" s="1"/>
  <c r="AU111" i="14" s="1"/>
  <c r="E111" i="14"/>
  <c r="D111" i="14"/>
  <c r="BJ110" i="14"/>
  <c r="BA110" i="14"/>
  <c r="BE110" i="14" s="1"/>
  <c r="AZ110" i="14"/>
  <c r="BD110" i="14" s="1"/>
  <c r="AY110" i="14"/>
  <c r="BC110" i="14" s="1"/>
  <c r="AX110" i="14"/>
  <c r="BB110" i="14" s="1"/>
  <c r="AR110" i="14"/>
  <c r="AS110" i="14" s="1"/>
  <c r="AQ110" i="14" s="1"/>
  <c r="AN110" i="14"/>
  <c r="AO110" i="14" s="1"/>
  <c r="AM110" i="14" s="1"/>
  <c r="AL110" i="14"/>
  <c r="AV110" i="14" s="1"/>
  <c r="AK110" i="14"/>
  <c r="AJ110" i="14"/>
  <c r="AI110" i="14"/>
  <c r="AH110" i="14"/>
  <c r="AU110" i="14" s="1"/>
  <c r="AF110" i="14"/>
  <c r="AG110" i="14" s="1"/>
  <c r="AE110" i="14" s="1"/>
  <c r="AD110" i="14"/>
  <c r="K110" i="14"/>
  <c r="E110" i="14"/>
  <c r="D110" i="14"/>
  <c r="AF109" i="14"/>
  <c r="AD109" i="14"/>
  <c r="E109" i="14"/>
  <c r="D109" i="14"/>
  <c r="AF108" i="14"/>
  <c r="F108" i="14"/>
  <c r="BM108" i="14" s="1"/>
  <c r="E108" i="14"/>
  <c r="AJ107" i="14"/>
  <c r="AK107" i="14" s="1"/>
  <c r="AI107" i="14" s="1"/>
  <c r="AH107" i="14"/>
  <c r="AU107" i="14" s="1"/>
  <c r="F107" i="14"/>
  <c r="BM107" i="14" s="1"/>
  <c r="E107" i="14"/>
  <c r="BJ106" i="14"/>
  <c r="AZ106" i="14"/>
  <c r="BD106" i="14" s="1"/>
  <c r="AY106" i="14"/>
  <c r="BC106" i="14" s="1"/>
  <c r="AX106" i="14"/>
  <c r="BB106" i="14" s="1"/>
  <c r="AJ106" i="14"/>
  <c r="E106" i="14"/>
  <c r="AX105" i="14"/>
  <c r="BB105" i="14" s="1"/>
  <c r="AR105" i="14"/>
  <c r="E105" i="14"/>
  <c r="AN105" i="14" s="1"/>
  <c r="AY104" i="14"/>
  <c r="BC104" i="14" s="1"/>
  <c r="E104" i="14"/>
  <c r="BJ103" i="14"/>
  <c r="AZ103" i="14"/>
  <c r="BD103" i="14" s="1"/>
  <c r="AY103" i="14"/>
  <c r="BC103" i="14" s="1"/>
  <c r="AX103" i="14"/>
  <c r="BB103" i="14" s="1"/>
  <c r="AN103" i="14"/>
  <c r="AJ103" i="14"/>
  <c r="AK103" i="14" s="1"/>
  <c r="AI103" i="14"/>
  <c r="AH103" i="14"/>
  <c r="AU103" i="14" s="1"/>
  <c r="AF103" i="14"/>
  <c r="AG103" i="14" s="1"/>
  <c r="AD103" i="14"/>
  <c r="E103" i="14"/>
  <c r="D103" i="14"/>
  <c r="BJ102" i="14"/>
  <c r="AZ102" i="14"/>
  <c r="BD102" i="14" s="1"/>
  <c r="AX102" i="14"/>
  <c r="BB102" i="14" s="1"/>
  <c r="AM102" i="14"/>
  <c r="AL102" i="14"/>
  <c r="AV102" i="14" s="1"/>
  <c r="AJ102" i="14"/>
  <c r="AK102" i="14" s="1"/>
  <c r="AI102" i="14"/>
  <c r="AH102" i="14"/>
  <c r="AU102" i="14" s="1"/>
  <c r="AF102" i="14"/>
  <c r="E102" i="14"/>
  <c r="AN102" i="14" s="1"/>
  <c r="AO102" i="14" s="1"/>
  <c r="D102" i="14"/>
  <c r="E101" i="14"/>
  <c r="D101" i="14"/>
  <c r="AZ100" i="14"/>
  <c r="BD100" i="14" s="1"/>
  <c r="AJ100" i="14"/>
  <c r="AF100" i="14"/>
  <c r="E100" i="14"/>
  <c r="D100" i="14" s="1"/>
  <c r="BJ99" i="14"/>
  <c r="AZ99" i="14"/>
  <c r="BD99" i="14" s="1"/>
  <c r="AN99" i="14"/>
  <c r="AO99" i="14" s="1"/>
  <c r="AM99" i="14"/>
  <c r="AL99" i="14"/>
  <c r="AV99" i="14" s="1"/>
  <c r="AJ99" i="14"/>
  <c r="AF99" i="14"/>
  <c r="AG99" i="14" s="1"/>
  <c r="AE99" i="14"/>
  <c r="AD99" i="14"/>
  <c r="E99" i="14"/>
  <c r="D99" i="14"/>
  <c r="BJ98" i="14"/>
  <c r="AZ98" i="14"/>
  <c r="BD98" i="14" s="1"/>
  <c r="AX98" i="14"/>
  <c r="BB98" i="14" s="1"/>
  <c r="AF98" i="14"/>
  <c r="E98" i="14"/>
  <c r="D98" i="14"/>
  <c r="AY97" i="14"/>
  <c r="BC97" i="14" s="1"/>
  <c r="AF97" i="14"/>
  <c r="E97" i="14"/>
  <c r="F97" i="14" s="1"/>
  <c r="BM97" i="14" s="1"/>
  <c r="BJ96" i="14"/>
  <c r="AZ96" i="14"/>
  <c r="BD96" i="14" s="1"/>
  <c r="AY96" i="14"/>
  <c r="BC96" i="14" s="1"/>
  <c r="AX96" i="14"/>
  <c r="BB96" i="14" s="1"/>
  <c r="AN96" i="14"/>
  <c r="AL96" i="14"/>
  <c r="AK96" i="14"/>
  <c r="AJ96" i="14"/>
  <c r="AH96" i="14" s="1"/>
  <c r="AU96" i="14" s="1"/>
  <c r="AF96" i="14"/>
  <c r="AG96" i="14" s="1"/>
  <c r="AE96" i="14"/>
  <c r="AD96" i="14"/>
  <c r="AT96" i="14" s="1"/>
  <c r="E96" i="14"/>
  <c r="D96" i="14"/>
  <c r="BJ95" i="14"/>
  <c r="AZ95" i="14"/>
  <c r="BD95" i="14" s="1"/>
  <c r="AY95" i="14"/>
  <c r="BC95" i="14" s="1"/>
  <c r="AX95" i="14"/>
  <c r="BB95" i="14" s="1"/>
  <c r="AN95" i="14"/>
  <c r="AL95" i="14" s="1"/>
  <c r="AV95" i="14" s="1"/>
  <c r="AJ95" i="14"/>
  <c r="AH95" i="14" s="1"/>
  <c r="AU95" i="14" s="1"/>
  <c r="AF95" i="14"/>
  <c r="AD95" i="14" s="1"/>
  <c r="AT95" i="14" s="1"/>
  <c r="E95" i="14"/>
  <c r="D95" i="14"/>
  <c r="AX94" i="14"/>
  <c r="BB94" i="14" s="1"/>
  <c r="E94" i="14"/>
  <c r="D94" i="14"/>
  <c r="E93" i="14"/>
  <c r="AY93" i="14" s="1"/>
  <c r="BC93" i="14" s="1"/>
  <c r="D93" i="14"/>
  <c r="BJ92" i="14"/>
  <c r="AZ92" i="14"/>
  <c r="BD92" i="14" s="1"/>
  <c r="AX92" i="14"/>
  <c r="BB92" i="14" s="1"/>
  <c r="AO92" i="14"/>
  <c r="AM92" i="14"/>
  <c r="AK92" i="14"/>
  <c r="AI92" i="14" s="1"/>
  <c r="AJ92" i="14"/>
  <c r="AH92" i="14"/>
  <c r="AU92" i="14" s="1"/>
  <c r="AF92" i="14"/>
  <c r="AD92" i="14"/>
  <c r="E92" i="14"/>
  <c r="AN92" i="14" s="1"/>
  <c r="AL92" i="14" s="1"/>
  <c r="AV92" i="14" s="1"/>
  <c r="D92" i="14"/>
  <c r="F91" i="14"/>
  <c r="BM91" i="14" s="1"/>
  <c r="E91" i="14"/>
  <c r="AZ90" i="14"/>
  <c r="BD90" i="14" s="1"/>
  <c r="AY90" i="14"/>
  <c r="BC90" i="14" s="1"/>
  <c r="AN90" i="14"/>
  <c r="AG90" i="14"/>
  <c r="AF90" i="14"/>
  <c r="AE90" i="14"/>
  <c r="E90" i="14"/>
  <c r="AX90" i="14" s="1"/>
  <c r="BB90" i="14" s="1"/>
  <c r="D90" i="14"/>
  <c r="BJ89" i="14"/>
  <c r="AY89" i="14"/>
  <c r="BC89" i="14" s="1"/>
  <c r="AX89" i="14"/>
  <c r="BB89" i="14" s="1"/>
  <c r="AF89" i="14"/>
  <c r="AD89" i="14"/>
  <c r="E89" i="14"/>
  <c r="D89" i="14"/>
  <c r="BJ88" i="14"/>
  <c r="AZ88" i="14"/>
  <c r="BD88" i="14" s="1"/>
  <c r="AY88" i="14"/>
  <c r="BC88" i="14" s="1"/>
  <c r="AX88" i="14"/>
  <c r="BB88" i="14" s="1"/>
  <c r="AR88" i="14"/>
  <c r="AG88" i="14"/>
  <c r="AF88" i="14"/>
  <c r="AE88" i="14"/>
  <c r="AD88" i="14"/>
  <c r="AT88" i="14" s="1"/>
  <c r="E88" i="14"/>
  <c r="D88" i="14"/>
  <c r="BJ87" i="14"/>
  <c r="AZ87" i="14"/>
  <c r="BD87" i="14" s="1"/>
  <c r="AJ87" i="14"/>
  <c r="AF87" i="14"/>
  <c r="E87" i="14"/>
  <c r="AY87" i="14" s="1"/>
  <c r="BC87" i="14" s="1"/>
  <c r="AZ86" i="14"/>
  <c r="BD86" i="14" s="1"/>
  <c r="AO86" i="14"/>
  <c r="AM86" i="14" s="1"/>
  <c r="AN86" i="14"/>
  <c r="AL86" i="14" s="1"/>
  <c r="AV86" i="14" s="1"/>
  <c r="AJ86" i="14"/>
  <c r="AK86" i="14" s="1"/>
  <c r="AI86" i="14"/>
  <c r="AH86" i="14"/>
  <c r="AU86" i="14" s="1"/>
  <c r="AF86" i="14"/>
  <c r="AG86" i="14" s="1"/>
  <c r="AE86" i="14"/>
  <c r="AD86" i="14"/>
  <c r="F86" i="14"/>
  <c r="BM86" i="14" s="1"/>
  <c r="E86" i="14"/>
  <c r="D86" i="14"/>
  <c r="AZ85" i="14"/>
  <c r="BD85" i="14" s="1"/>
  <c r="AY85" i="14"/>
  <c r="BC85" i="14" s="1"/>
  <c r="AX85" i="14"/>
  <c r="BB85" i="14" s="1"/>
  <c r="AJ85" i="14"/>
  <c r="AH85" i="14" s="1"/>
  <c r="AU85" i="14" s="1"/>
  <c r="AG85" i="14"/>
  <c r="AF85" i="14"/>
  <c r="AE85" i="14"/>
  <c r="AD85" i="14"/>
  <c r="AT85" i="14" s="1"/>
  <c r="E85" i="14"/>
  <c r="D85" i="14"/>
  <c r="AZ84" i="14"/>
  <c r="BD84" i="14" s="1"/>
  <c r="AY84" i="14"/>
  <c r="BC84" i="14" s="1"/>
  <c r="AK84" i="14"/>
  <c r="AI84" i="14" s="1"/>
  <c r="AJ84" i="14"/>
  <c r="AH84" i="14" s="1"/>
  <c r="AU84" i="14" s="1"/>
  <c r="E84" i="14"/>
  <c r="E83" i="14"/>
  <c r="F83" i="14" s="1"/>
  <c r="BM83" i="14" s="1"/>
  <c r="E82" i="14"/>
  <c r="BJ82" i="14" s="1"/>
  <c r="D82" i="14"/>
  <c r="AY81" i="14"/>
  <c r="BC81" i="14" s="1"/>
  <c r="AF81" i="14"/>
  <c r="E81" i="14"/>
  <c r="D81" i="14"/>
  <c r="BJ80" i="14"/>
  <c r="AZ80" i="14"/>
  <c r="BD80" i="14" s="1"/>
  <c r="AX80" i="14"/>
  <c r="BB80" i="14" s="1"/>
  <c r="AO80" i="14"/>
  <c r="AM80" i="14" s="1"/>
  <c r="AN80" i="14"/>
  <c r="AL80" i="14"/>
  <c r="AV80" i="14" s="1"/>
  <c r="AJ80" i="14"/>
  <c r="AK80" i="14" s="1"/>
  <c r="AI80" i="14" s="1"/>
  <c r="AH80" i="14"/>
  <c r="AU80" i="14" s="1"/>
  <c r="AG80" i="14"/>
  <c r="AF80" i="14"/>
  <c r="E80" i="14"/>
  <c r="AY80" i="14" s="1"/>
  <c r="BC80" i="14" s="1"/>
  <c r="D80" i="14"/>
  <c r="BJ79" i="14"/>
  <c r="AZ79" i="14"/>
  <c r="BD79" i="14" s="1"/>
  <c r="AY79" i="14"/>
  <c r="BC79" i="14" s="1"/>
  <c r="AX79" i="14"/>
  <c r="BB79" i="14" s="1"/>
  <c r="AN79" i="14"/>
  <c r="AO79" i="14" s="1"/>
  <c r="AM79" i="14"/>
  <c r="AL79" i="14"/>
  <c r="AV79" i="14" s="1"/>
  <c r="AJ79" i="14"/>
  <c r="F79" i="14"/>
  <c r="BM79" i="14" s="1"/>
  <c r="E79" i="14"/>
  <c r="D79" i="14"/>
  <c r="BJ78" i="14"/>
  <c r="AZ78" i="14"/>
  <c r="BD78" i="14" s="1"/>
  <c r="AY78" i="14"/>
  <c r="BC78" i="14" s="1"/>
  <c r="AX78" i="14"/>
  <c r="BB78" i="14" s="1"/>
  <c r="AN78" i="14"/>
  <c r="AJ78" i="14"/>
  <c r="E78" i="14"/>
  <c r="D78" i="14"/>
  <c r="AZ77" i="14"/>
  <c r="BD77" i="14" s="1"/>
  <c r="AY77" i="14"/>
  <c r="BC77" i="14" s="1"/>
  <c r="E77" i="14"/>
  <c r="BJ77" i="14" s="1"/>
  <c r="D77" i="14"/>
  <c r="BJ76" i="14"/>
  <c r="AX76" i="14"/>
  <c r="BB76" i="14" s="1"/>
  <c r="AN76" i="14"/>
  <c r="AO76" i="14" s="1"/>
  <c r="AM76" i="14" s="1"/>
  <c r="E76" i="14"/>
  <c r="D76" i="14"/>
  <c r="AZ75" i="14"/>
  <c r="BD75" i="14" s="1"/>
  <c r="AX75" i="14"/>
  <c r="BB75" i="14" s="1"/>
  <c r="AN75" i="14"/>
  <c r="AJ75" i="14"/>
  <c r="E75" i="14"/>
  <c r="D75" i="14"/>
  <c r="AJ74" i="14"/>
  <c r="AK74" i="14" s="1"/>
  <c r="AI74" i="14" s="1"/>
  <c r="AH74" i="14"/>
  <c r="AU74" i="14" s="1"/>
  <c r="E74" i="14"/>
  <c r="BJ73" i="14"/>
  <c r="AZ73" i="14"/>
  <c r="BD73" i="14" s="1"/>
  <c r="AX73" i="14"/>
  <c r="BB73" i="14" s="1"/>
  <c r="AN73" i="14"/>
  <c r="AJ73" i="14"/>
  <c r="AH73" i="14" s="1"/>
  <c r="AU73" i="14" s="1"/>
  <c r="AF73" i="14"/>
  <c r="AD73" i="14" s="1"/>
  <c r="AT73" i="14" s="1"/>
  <c r="F73" i="14"/>
  <c r="BM73" i="14" s="1"/>
  <c r="E73" i="14"/>
  <c r="AY73" i="14" s="1"/>
  <c r="BC73" i="14" s="1"/>
  <c r="D73" i="14"/>
  <c r="AY72" i="14"/>
  <c r="BC72" i="14" s="1"/>
  <c r="AX72" i="14"/>
  <c r="BB72" i="14" s="1"/>
  <c r="AN72" i="14"/>
  <c r="AO72" i="14" s="1"/>
  <c r="AM72" i="14" s="1"/>
  <c r="AL72" i="14"/>
  <c r="AV72" i="14" s="1"/>
  <c r="AK72" i="14"/>
  <c r="AJ72" i="14"/>
  <c r="AI72" i="14"/>
  <c r="AH72" i="14"/>
  <c r="AU72" i="14" s="1"/>
  <c r="AF72" i="14"/>
  <c r="E72" i="14"/>
  <c r="D72" i="14"/>
  <c r="BJ71" i="14"/>
  <c r="AZ71" i="14"/>
  <c r="BD71" i="14" s="1"/>
  <c r="AY71" i="14"/>
  <c r="BC71" i="14" s="1"/>
  <c r="AX71" i="14"/>
  <c r="BB71" i="14" s="1"/>
  <c r="AO71" i="14"/>
  <c r="AN71" i="14"/>
  <c r="AM71" i="14"/>
  <c r="AL71" i="14"/>
  <c r="AV71" i="14" s="1"/>
  <c r="AJ71" i="14"/>
  <c r="AK71" i="14" s="1"/>
  <c r="AI71" i="14"/>
  <c r="AH71" i="14"/>
  <c r="AU71" i="14" s="1"/>
  <c r="E71" i="14"/>
  <c r="D71" i="14"/>
  <c r="BJ70" i="14"/>
  <c r="AZ70" i="14"/>
  <c r="BD70" i="14" s="1"/>
  <c r="AX70" i="14"/>
  <c r="BB70" i="14" s="1"/>
  <c r="AO70" i="14"/>
  <c r="AN70" i="14"/>
  <c r="AM70" i="14"/>
  <c r="AL70" i="14"/>
  <c r="AV70" i="14" s="1"/>
  <c r="AK70" i="14"/>
  <c r="AJ70" i="14"/>
  <c r="AI70" i="14"/>
  <c r="AH70" i="14"/>
  <c r="AU70" i="14" s="1"/>
  <c r="AG70" i="14"/>
  <c r="AE70" i="14" s="1"/>
  <c r="AF70" i="14"/>
  <c r="AD70" i="14"/>
  <c r="AT70" i="14" s="1"/>
  <c r="F70" i="14"/>
  <c r="BM70" i="14" s="1"/>
  <c r="E70" i="14"/>
  <c r="AY70" i="14" s="1"/>
  <c r="BC70" i="14" s="1"/>
  <c r="D70" i="14"/>
  <c r="AN69" i="14"/>
  <c r="AL69" i="14" s="1"/>
  <c r="AV69" i="14" s="1"/>
  <c r="F69" i="14"/>
  <c r="BM69" i="14" s="1"/>
  <c r="E69" i="14"/>
  <c r="AZ68" i="14"/>
  <c r="BD68" i="14" s="1"/>
  <c r="AY68" i="14"/>
  <c r="BC68" i="14" s="1"/>
  <c r="AX68" i="14"/>
  <c r="BB68" i="14" s="1"/>
  <c r="AN68" i="14"/>
  <c r="AL68" i="14" s="1"/>
  <c r="AV68" i="14" s="1"/>
  <c r="AK68" i="14"/>
  <c r="AI68" i="14" s="1"/>
  <c r="AJ68" i="14"/>
  <c r="AH68" i="14" s="1"/>
  <c r="AU68" i="14" s="1"/>
  <c r="AF68" i="14"/>
  <c r="E68" i="14"/>
  <c r="D68" i="14"/>
  <c r="BJ67" i="14"/>
  <c r="AX67" i="14"/>
  <c r="BB67" i="14" s="1"/>
  <c r="AF67" i="14"/>
  <c r="AD67" i="14"/>
  <c r="AT67" i="14" s="1"/>
  <c r="E67" i="14"/>
  <c r="AX66" i="14"/>
  <c r="BB66" i="14" s="1"/>
  <c r="AN66" i="14"/>
  <c r="AL66" i="14" s="1"/>
  <c r="AV66" i="14" s="1"/>
  <c r="E66" i="14"/>
  <c r="D66" i="14"/>
  <c r="AZ65" i="14"/>
  <c r="BD65" i="14" s="1"/>
  <c r="AY65" i="14"/>
  <c r="BC65" i="14" s="1"/>
  <c r="F65" i="14"/>
  <c r="BM65" i="14" s="1"/>
  <c r="E65" i="14"/>
  <c r="BJ64" i="14"/>
  <c r="AZ64" i="14"/>
  <c r="BD64" i="14" s="1"/>
  <c r="AY64" i="14"/>
  <c r="BC64" i="14" s="1"/>
  <c r="AX64" i="14"/>
  <c r="BB64" i="14" s="1"/>
  <c r="AN64" i="14"/>
  <c r="AO64" i="14" s="1"/>
  <c r="AM64" i="14"/>
  <c r="AL64" i="14"/>
  <c r="AV64" i="14" s="1"/>
  <c r="AJ64" i="14"/>
  <c r="AK64" i="14" s="1"/>
  <c r="AI64" i="14" s="1"/>
  <c r="AH64" i="14"/>
  <c r="AU64" i="14" s="1"/>
  <c r="E64" i="14"/>
  <c r="D64" i="14"/>
  <c r="BJ63" i="14"/>
  <c r="AZ63" i="14"/>
  <c r="BD63" i="14" s="1"/>
  <c r="AN63" i="14"/>
  <c r="AL63" i="14" s="1"/>
  <c r="AV63" i="14" s="1"/>
  <c r="AJ63" i="14"/>
  <c r="AK63" i="14" s="1"/>
  <c r="AI63" i="14" s="1"/>
  <c r="AH63" i="14"/>
  <c r="AU63" i="14" s="1"/>
  <c r="AF63" i="14"/>
  <c r="E63" i="14"/>
  <c r="D63" i="14"/>
  <c r="BJ62" i="14"/>
  <c r="AZ62" i="14"/>
  <c r="BD62" i="14" s="1"/>
  <c r="AY62" i="14"/>
  <c r="BC62" i="14" s="1"/>
  <c r="AX62" i="14"/>
  <c r="BB62" i="14" s="1"/>
  <c r="AF62" i="14"/>
  <c r="E62" i="14"/>
  <c r="D62" i="14"/>
  <c r="BJ61" i="14"/>
  <c r="AX61" i="14"/>
  <c r="BB61" i="14" s="1"/>
  <c r="AJ61" i="14"/>
  <c r="AH61" i="14" s="1"/>
  <c r="AU61" i="14" s="1"/>
  <c r="AF61" i="14"/>
  <c r="E61" i="14"/>
  <c r="AY61" i="14" s="1"/>
  <c r="BC61" i="14" s="1"/>
  <c r="D61" i="14"/>
  <c r="BJ60" i="14"/>
  <c r="AY60" i="14"/>
  <c r="BC60" i="14" s="1"/>
  <c r="AX60" i="14"/>
  <c r="BB60" i="14" s="1"/>
  <c r="AJ60" i="14"/>
  <c r="AF60" i="14"/>
  <c r="E60" i="14"/>
  <c r="D60" i="14"/>
  <c r="AY59" i="14"/>
  <c r="BC59" i="14" s="1"/>
  <c r="E59" i="14"/>
  <c r="AY58" i="14"/>
  <c r="BC58" i="14" s="1"/>
  <c r="AX58" i="14"/>
  <c r="BB58" i="14" s="1"/>
  <c r="AJ58" i="14"/>
  <c r="AH58" i="14" s="1"/>
  <c r="AU58" i="14" s="1"/>
  <c r="AF58" i="14"/>
  <c r="E58" i="14"/>
  <c r="D58" i="14"/>
  <c r="AJ57" i="14"/>
  <c r="AH57" i="14" s="1"/>
  <c r="AU57" i="14" s="1"/>
  <c r="E57" i="14"/>
  <c r="E56" i="14"/>
  <c r="AY55" i="14"/>
  <c r="BC55" i="14" s="1"/>
  <c r="AX55" i="14"/>
  <c r="BB55" i="14" s="1"/>
  <c r="E55" i="14"/>
  <c r="D55" i="14"/>
  <c r="BJ54" i="14"/>
  <c r="AY54" i="14"/>
  <c r="BC54" i="14" s="1"/>
  <c r="AX54" i="14"/>
  <c r="BB54" i="14" s="1"/>
  <c r="AR54" i="14"/>
  <c r="AF54" i="14"/>
  <c r="AD54" i="14" s="1"/>
  <c r="E54" i="14"/>
  <c r="D54" i="14"/>
  <c r="AY53" i="14"/>
  <c r="BC53" i="14" s="1"/>
  <c r="AX53" i="14"/>
  <c r="BB53" i="14" s="1"/>
  <c r="E53" i="14"/>
  <c r="BJ52" i="14"/>
  <c r="BA52" i="14"/>
  <c r="BE52" i="14" s="1"/>
  <c r="AX52" i="14"/>
  <c r="BB52" i="14" s="1"/>
  <c r="AS52" i="14"/>
  <c r="AQ52" i="14" s="1"/>
  <c r="AR52" i="14"/>
  <c r="AP52" i="14"/>
  <c r="AW52" i="14" s="1"/>
  <c r="AJ52" i="14"/>
  <c r="AK52" i="14" s="1"/>
  <c r="AI52" i="14" s="1"/>
  <c r="AH52" i="14"/>
  <c r="AU52" i="14" s="1"/>
  <c r="AF52" i="14"/>
  <c r="AG52" i="14" s="1"/>
  <c r="AE52" i="14" s="1"/>
  <c r="E52" i="14"/>
  <c r="AY52" i="14" s="1"/>
  <c r="BC52" i="14" s="1"/>
  <c r="D52" i="14"/>
  <c r="BA51" i="14"/>
  <c r="BE51" i="14" s="1"/>
  <c r="AR51" i="14"/>
  <c r="AJ51" i="14"/>
  <c r="AK51" i="14" s="1"/>
  <c r="AI51" i="14" s="1"/>
  <c r="AH51" i="14"/>
  <c r="AU51" i="14" s="1"/>
  <c r="AF51" i="14"/>
  <c r="E51" i="14"/>
  <c r="D51" i="14"/>
  <c r="BJ50" i="14"/>
  <c r="BA50" i="14"/>
  <c r="BE50" i="14" s="1"/>
  <c r="AR50" i="14"/>
  <c r="AS50" i="14" s="1"/>
  <c r="AQ50" i="14" s="1"/>
  <c r="AP50" i="14"/>
  <c r="AW50" i="14" s="1"/>
  <c r="F50" i="14"/>
  <c r="BM50" i="14" s="1"/>
  <c r="E50" i="14"/>
  <c r="D50" i="14"/>
  <c r="BA49" i="14"/>
  <c r="BE49" i="14" s="1"/>
  <c r="E49" i="14"/>
  <c r="D49" i="14"/>
  <c r="BA48" i="14"/>
  <c r="BE48" i="14" s="1"/>
  <c r="AZ48" i="14"/>
  <c r="BD48" i="14" s="1"/>
  <c r="AY48" i="14"/>
  <c r="BC48" i="14" s="1"/>
  <c r="E48" i="14"/>
  <c r="D48" i="14" s="1"/>
  <c r="BJ47" i="14"/>
  <c r="AR47" i="14"/>
  <c r="AP47" i="14" s="1"/>
  <c r="AW47" i="14" s="1"/>
  <c r="AN47" i="14"/>
  <c r="AO47" i="14" s="1"/>
  <c r="AM47" i="14" s="1"/>
  <c r="AL47" i="14"/>
  <c r="AV47" i="14" s="1"/>
  <c r="AJ47" i="14"/>
  <c r="AK47" i="14" s="1"/>
  <c r="AI47" i="14" s="1"/>
  <c r="AH47" i="14"/>
  <c r="AU47" i="14" s="1"/>
  <c r="E47" i="14"/>
  <c r="D47" i="14"/>
  <c r="BJ46" i="14"/>
  <c r="BA46" i="14"/>
  <c r="BE46" i="14" s="1"/>
  <c r="AZ46" i="14"/>
  <c r="BD46" i="14" s="1"/>
  <c r="AY46" i="14"/>
  <c r="BC46" i="14" s="1"/>
  <c r="AR46" i="14"/>
  <c r="AS46" i="14" s="1"/>
  <c r="AQ46" i="14"/>
  <c r="AP46" i="14"/>
  <c r="AW46" i="14" s="1"/>
  <c r="E46" i="14"/>
  <c r="D46" i="14" s="1"/>
  <c r="AZ45" i="14"/>
  <c r="BD45" i="14" s="1"/>
  <c r="AY45" i="14"/>
  <c r="BC45" i="14" s="1"/>
  <c r="G45" i="14"/>
  <c r="F45" i="14"/>
  <c r="BM45" i="14" s="1"/>
  <c r="E45" i="14"/>
  <c r="AJ45" i="14" s="1"/>
  <c r="BM43" i="14"/>
  <c r="D33" i="14"/>
  <c r="M25" i="14"/>
  <c r="M24" i="14"/>
  <c r="D24" i="14"/>
  <c r="O19" i="14" a="1"/>
  <c r="O19" i="14" s="1"/>
  <c r="M19" i="14" a="1"/>
  <c r="N19" i="14" s="1"/>
  <c r="M19" i="14"/>
  <c r="F116" i="14" s="1"/>
  <c r="BM116" i="14" s="1"/>
  <c r="P18" i="14"/>
  <c r="G51" i="14" s="1"/>
  <c r="O18" i="14" a="1"/>
  <c r="O18" i="14" s="1"/>
  <c r="M18" i="14" a="1"/>
  <c r="M18" i="14" s="1"/>
  <c r="P17" i="14"/>
  <c r="O17" i="14" a="1"/>
  <c r="O17" i="14" s="1"/>
  <c r="M17" i="14" a="1"/>
  <c r="N17" i="14" s="1"/>
  <c r="M17" i="14"/>
  <c r="O16" i="14" a="1"/>
  <c r="P16" i="14" s="1"/>
  <c r="O16" i="14"/>
  <c r="G50" i="14" s="1"/>
  <c r="BI50" i="14" s="1"/>
  <c r="N16" i="14"/>
  <c r="M16" i="14" a="1"/>
  <c r="M16" i="14"/>
  <c r="C15" i="14"/>
  <c r="AD10" i="14"/>
  <c r="AL9" i="14" a="1"/>
  <c r="AM9" i="14" s="1"/>
  <c r="AL9" i="14"/>
  <c r="AE9" i="14"/>
  <c r="AD9" i="14"/>
  <c r="I9" i="14"/>
  <c r="S104" i="14"/>
  <c r="U104" i="14" s="1"/>
  <c r="R110" i="14"/>
  <c r="T110" i="14" s="1"/>
  <c r="AE8" i="14"/>
  <c r="I8" i="14"/>
  <c r="Z7" i="14"/>
  <c r="V7" i="14"/>
  <c r="I7" i="14"/>
  <c r="R6" i="14"/>
  <c r="I6" i="14"/>
  <c r="H7" i="14"/>
  <c r="G7" i="14"/>
  <c r="E7" i="14"/>
  <c r="E8" i="14" s="1"/>
  <c r="D7" i="14"/>
  <c r="D8" i="14" s="1"/>
  <c r="P6" i="14"/>
  <c r="S64" i="14" l="1"/>
  <c r="U64" i="14" s="1"/>
  <c r="S95" i="14"/>
  <c r="U95" i="14" s="1"/>
  <c r="G8" i="14"/>
  <c r="R46" i="14"/>
  <c r="T46" i="14" s="1"/>
  <c r="R47" i="14"/>
  <c r="T47" i="14" s="1"/>
  <c r="R66" i="14"/>
  <c r="T66" i="14" s="1"/>
  <c r="S105" i="14"/>
  <c r="U105" i="14" s="1"/>
  <c r="S66" i="14"/>
  <c r="U66" i="14" s="1"/>
  <c r="C7" i="14"/>
  <c r="C8" i="14" s="1"/>
  <c r="X7" i="14" s="1"/>
  <c r="R88" i="14"/>
  <c r="T88" i="14" s="1"/>
  <c r="R91" i="14"/>
  <c r="T91" i="14" s="1"/>
  <c r="R65" i="14"/>
  <c r="T65" i="14" s="1"/>
  <c r="S71" i="14"/>
  <c r="U71" i="14" s="1"/>
  <c r="S85" i="14"/>
  <c r="U85" i="14" s="1"/>
  <c r="S112" i="14"/>
  <c r="U112" i="14" s="1"/>
  <c r="R89" i="14"/>
  <c r="T89" i="14" s="1"/>
  <c r="R107" i="14"/>
  <c r="T107" i="14" s="1"/>
  <c r="BF110" i="14"/>
  <c r="R50" i="14"/>
  <c r="T50" i="14" s="1"/>
  <c r="R54" i="14"/>
  <c r="T54" i="14" s="1"/>
  <c r="AP105" i="14"/>
  <c r="AC8" i="14"/>
  <c r="I110" i="14"/>
  <c r="AC9" i="14"/>
  <c r="AS88" i="14"/>
  <c r="AQ88" i="14" s="1"/>
  <c r="AP88" i="14"/>
  <c r="AG58" i="14"/>
  <c r="AD58" i="14"/>
  <c r="AT115" i="14"/>
  <c r="AE113" i="14"/>
  <c r="AD87" i="14"/>
  <c r="AG87" i="14"/>
  <c r="G60" i="14"/>
  <c r="G61" i="14"/>
  <c r="G107" i="14"/>
  <c r="BI45" i="14"/>
  <c r="BH45" i="14"/>
  <c r="BK45" i="14"/>
  <c r="AK79" i="14"/>
  <c r="AI79" i="14" s="1"/>
  <c r="AH79" i="14"/>
  <c r="AU79" i="14" s="1"/>
  <c r="AO90" i="14"/>
  <c r="AM90" i="14" s="1"/>
  <c r="AL90" i="14"/>
  <c r="AV90" i="14" s="1"/>
  <c r="AV96" i="14"/>
  <c r="AD51" i="14"/>
  <c r="AZ101" i="14"/>
  <c r="BD101" i="14" s="1"/>
  <c r="AY101" i="14"/>
  <c r="BC101" i="14" s="1"/>
  <c r="AR101" i="14"/>
  <c r="S101" i="14"/>
  <c r="U101" i="14" s="1"/>
  <c r="AF101" i="14"/>
  <c r="AJ101" i="14"/>
  <c r="F101" i="14"/>
  <c r="BM101" i="14" s="1"/>
  <c r="BJ101" i="14"/>
  <c r="AX101" i="14"/>
  <c r="BB101" i="14" s="1"/>
  <c r="R101" i="14"/>
  <c r="T101" i="14" s="1"/>
  <c r="AN101" i="14"/>
  <c r="F93" i="14"/>
  <c r="BM93" i="14" s="1"/>
  <c r="AK99" i="14"/>
  <c r="AI99" i="14" s="1"/>
  <c r="J99" i="14"/>
  <c r="AH99" i="14"/>
  <c r="AU99" i="14" s="1"/>
  <c r="AT86" i="14"/>
  <c r="AG51" i="14"/>
  <c r="AG63" i="14"/>
  <c r="AD63" i="14"/>
  <c r="J63" i="14"/>
  <c r="Z8" i="14"/>
  <c r="AX93" i="14"/>
  <c r="BB93" i="14" s="1"/>
  <c r="AG109" i="14"/>
  <c r="AA7" i="14"/>
  <c r="Y7" i="14" s="1"/>
  <c r="P19" i="14"/>
  <c r="G68" i="14" s="1"/>
  <c r="AR49" i="14"/>
  <c r="BJ49" i="14"/>
  <c r="G49" i="14"/>
  <c r="AZ49" i="14"/>
  <c r="BD49" i="14" s="1"/>
  <c r="AY49" i="14"/>
  <c r="BC49" i="14" s="1"/>
  <c r="AN49" i="14"/>
  <c r="R49" i="14"/>
  <c r="T49" i="14" s="1"/>
  <c r="S49" i="14"/>
  <c r="U49" i="14" s="1"/>
  <c r="F49" i="14"/>
  <c r="BM49" i="14" s="1"/>
  <c r="AD102" i="14"/>
  <c r="AG102" i="14"/>
  <c r="AI96" i="14"/>
  <c r="AG115" i="14"/>
  <c r="J115" i="14"/>
  <c r="S83" i="14"/>
  <c r="U83" i="14" s="1"/>
  <c r="AF83" i="14"/>
  <c r="D83" i="14"/>
  <c r="AN83" i="14"/>
  <c r="AJ83" i="14"/>
  <c r="AZ83" i="14"/>
  <c r="BD83" i="14" s="1"/>
  <c r="R83" i="14"/>
  <c r="T83" i="14" s="1"/>
  <c r="AR83" i="14"/>
  <c r="BJ83" i="14"/>
  <c r="AX83" i="14"/>
  <c r="BB83" i="14" s="1"/>
  <c r="G83" i="14"/>
  <c r="AT109" i="14"/>
  <c r="AY83" i="14"/>
  <c r="BC83" i="14" s="1"/>
  <c r="AR70" i="14"/>
  <c r="AR102" i="14"/>
  <c r="AR98" i="14"/>
  <c r="AR90" i="14"/>
  <c r="AR79" i="14"/>
  <c r="AR61" i="14"/>
  <c r="AR85" i="14"/>
  <c r="AR103" i="14"/>
  <c r="AR87" i="14"/>
  <c r="AR99" i="14"/>
  <c r="AR68" i="14"/>
  <c r="AR80" i="14"/>
  <c r="AR71" i="14"/>
  <c r="AR108" i="14"/>
  <c r="AR94" i="14"/>
  <c r="AR92" i="14"/>
  <c r="J92" i="14" s="1"/>
  <c r="AR64" i="14"/>
  <c r="AR100" i="14"/>
  <c r="AR73" i="14"/>
  <c r="AR67" i="14"/>
  <c r="BJ56" i="14"/>
  <c r="AY56" i="14"/>
  <c r="BC56" i="14" s="1"/>
  <c r="AX56" i="14"/>
  <c r="BB56" i="14" s="1"/>
  <c r="AR56" i="14"/>
  <c r="R56" i="14"/>
  <c r="T56" i="14" s="1"/>
  <c r="G56" i="14"/>
  <c r="AJ56" i="14"/>
  <c r="AF56" i="14"/>
  <c r="D56" i="14"/>
  <c r="AL114" i="14"/>
  <c r="AV114" i="14" s="1"/>
  <c r="AO114" i="14"/>
  <c r="AM114" i="14" s="1"/>
  <c r="AO66" i="14"/>
  <c r="AM66" i="14" s="1"/>
  <c r="G69" i="14"/>
  <c r="AD80" i="14"/>
  <c r="J80" i="14"/>
  <c r="AT110" i="14"/>
  <c r="H110" i="14"/>
  <c r="AD52" i="14"/>
  <c r="AS105" i="14"/>
  <c r="AQ105" i="14" s="1"/>
  <c r="AG67" i="14"/>
  <c r="AG60" i="14"/>
  <c r="AD60" i="14"/>
  <c r="BI51" i="14"/>
  <c r="BH51" i="14"/>
  <c r="BK51" i="14"/>
  <c r="AH106" i="14"/>
  <c r="AU106" i="14" s="1"/>
  <c r="AK106" i="14"/>
  <c r="AI106" i="14" s="1"/>
  <c r="AL78" i="14"/>
  <c r="AV78" i="14" s="1"/>
  <c r="AO78" i="14"/>
  <c r="AM78" i="14" s="1"/>
  <c r="S48" i="14"/>
  <c r="U48" i="14" s="1"/>
  <c r="R48" i="14"/>
  <c r="T48" i="14" s="1"/>
  <c r="AR48" i="14"/>
  <c r="AJ48" i="14"/>
  <c r="AN48" i="14"/>
  <c r="BK48" i="14"/>
  <c r="BJ48" i="14"/>
  <c r="AJ53" i="14"/>
  <c r="AF53" i="14"/>
  <c r="R53" i="14"/>
  <c r="T53" i="14" s="1"/>
  <c r="G53" i="14"/>
  <c r="BK53" i="14" s="1"/>
  <c r="D53" i="14"/>
  <c r="AR53" i="14"/>
  <c r="BA53" i="14"/>
  <c r="BE53" i="14" s="1"/>
  <c r="BJ53" i="14"/>
  <c r="J72" i="14"/>
  <c r="F48" i="14"/>
  <c r="BM48" i="14" s="1"/>
  <c r="J108" i="14"/>
  <c r="AD108" i="14"/>
  <c r="AG108" i="14"/>
  <c r="AL73" i="14"/>
  <c r="J73" i="14"/>
  <c r="AO73" i="14"/>
  <c r="AM73" i="14" s="1"/>
  <c r="S47" i="14"/>
  <c r="U47" i="14" s="1"/>
  <c r="H8" i="14"/>
  <c r="S59" i="14" s="1"/>
  <c r="U59" i="14" s="1"/>
  <c r="S46" i="14"/>
  <c r="U46" i="14" s="1"/>
  <c r="G48" i="14"/>
  <c r="AJ49" i="14"/>
  <c r="AR62" i="14"/>
  <c r="BJ65" i="14"/>
  <c r="D65" i="14"/>
  <c r="AF65" i="14"/>
  <c r="AR65" i="14"/>
  <c r="S65" i="14"/>
  <c r="U65" i="14" s="1"/>
  <c r="AX65" i="14"/>
  <c r="BB65" i="14" s="1"/>
  <c r="AN65" i="14"/>
  <c r="AJ65" i="14"/>
  <c r="AT113" i="14"/>
  <c r="AK61" i="14"/>
  <c r="AI61" i="14" s="1"/>
  <c r="S93" i="14"/>
  <c r="U93" i="14" s="1"/>
  <c r="AN93" i="14"/>
  <c r="R93" i="14"/>
  <c r="T93" i="14" s="1"/>
  <c r="AR93" i="14"/>
  <c r="AF93" i="14"/>
  <c r="AZ93" i="14"/>
  <c r="BD93" i="14" s="1"/>
  <c r="AJ93" i="14"/>
  <c r="G93" i="14"/>
  <c r="BJ93" i="14"/>
  <c r="G112" i="14"/>
  <c r="G115" i="14"/>
  <c r="BK115" i="14" s="1"/>
  <c r="G87" i="14"/>
  <c r="G63" i="14"/>
  <c r="G92" i="14"/>
  <c r="G108" i="14"/>
  <c r="BK108" i="14" s="1"/>
  <c r="G85" i="14"/>
  <c r="G64" i="14"/>
  <c r="G106" i="14"/>
  <c r="G90" i="14"/>
  <c r="G80" i="14"/>
  <c r="G114" i="14"/>
  <c r="BK114" i="14" s="1"/>
  <c r="G71" i="14"/>
  <c r="AS51" i="14"/>
  <c r="AQ51" i="14" s="1"/>
  <c r="AP51" i="14"/>
  <c r="AW51" i="14" s="1"/>
  <c r="AT54" i="14"/>
  <c r="AR69" i="14"/>
  <c r="AD97" i="14"/>
  <c r="AG97" i="14"/>
  <c r="AE80" i="14"/>
  <c r="G52" i="14"/>
  <c r="AK45" i="14"/>
  <c r="AI45" i="14" s="1"/>
  <c r="AH45" i="14"/>
  <c r="AU45" i="14" s="1"/>
  <c r="AL105" i="14"/>
  <c r="AV105" i="14" s="1"/>
  <c r="AO105" i="14"/>
  <c r="AM105" i="14" s="1"/>
  <c r="BJ55" i="14"/>
  <c r="AR55" i="14"/>
  <c r="R55" i="14"/>
  <c r="T55" i="14" s="1"/>
  <c r="G55" i="14"/>
  <c r="AJ55" i="14"/>
  <c r="AE10" i="14"/>
  <c r="AC10" i="14" s="1"/>
  <c r="AB10" i="14"/>
  <c r="AK57" i="14"/>
  <c r="AI57" i="14" s="1"/>
  <c r="AO63" i="14"/>
  <c r="AM63" i="14" s="1"/>
  <c r="AL76" i="14"/>
  <c r="AV76" i="14" s="1"/>
  <c r="AK60" i="14"/>
  <c r="AI60" i="14" s="1"/>
  <c r="AH60" i="14"/>
  <c r="AU60" i="14" s="1"/>
  <c r="J68" i="14"/>
  <c r="AG68" i="14"/>
  <c r="AD68" i="14"/>
  <c r="R7" i="14"/>
  <c r="R60" i="14"/>
  <c r="T60" i="14" s="1"/>
  <c r="R61" i="14"/>
  <c r="T61" i="14" s="1"/>
  <c r="R52" i="14"/>
  <c r="T52" i="14" s="1"/>
  <c r="S6" i="14"/>
  <c r="Q6" i="14" s="1"/>
  <c r="F112" i="14"/>
  <c r="BM112" i="14" s="1"/>
  <c r="F110" i="14"/>
  <c r="BM110" i="14" s="1"/>
  <c r="F98" i="14"/>
  <c r="BM98" i="14" s="1"/>
  <c r="F103" i="14"/>
  <c r="BM103" i="14" s="1"/>
  <c r="F71" i="14"/>
  <c r="BM71" i="14" s="1"/>
  <c r="F102" i="14"/>
  <c r="BM102" i="14" s="1"/>
  <c r="F111" i="14"/>
  <c r="BM111" i="14" s="1"/>
  <c r="F80" i="14"/>
  <c r="BM80" i="14" s="1"/>
  <c r="F81" i="14"/>
  <c r="BM81" i="14" s="1"/>
  <c r="F115" i="14"/>
  <c r="BM115" i="14" s="1"/>
  <c r="F68" i="14"/>
  <c r="BM68" i="14" s="1"/>
  <c r="F67" i="14"/>
  <c r="BM67" i="14" s="1"/>
  <c r="F72" i="14"/>
  <c r="BM72" i="14" s="1"/>
  <c r="F63" i="14"/>
  <c r="BM63" i="14" s="1"/>
  <c r="F92" i="14"/>
  <c r="BM92" i="14" s="1"/>
  <c r="BK55" i="14"/>
  <c r="AR59" i="14"/>
  <c r="AF59" i="14"/>
  <c r="D59" i="14"/>
  <c r="R59" i="14"/>
  <c r="T59" i="14" s="1"/>
  <c r="BK59" i="14"/>
  <c r="BJ59" i="14"/>
  <c r="AX59" i="14"/>
  <c r="BB59" i="14" s="1"/>
  <c r="AO75" i="14"/>
  <c r="AM75" i="14" s="1"/>
  <c r="AL75" i="14"/>
  <c r="AV75" i="14" s="1"/>
  <c r="AT89" i="14"/>
  <c r="F95" i="14"/>
  <c r="BM95" i="14" s="1"/>
  <c r="F99" i="14"/>
  <c r="BM99" i="14" s="1"/>
  <c r="AG54" i="14"/>
  <c r="G59" i="14"/>
  <c r="AD61" i="14"/>
  <c r="AT92" i="14"/>
  <c r="R99" i="14"/>
  <c r="T99" i="14" s="1"/>
  <c r="AB110" i="14"/>
  <c r="AC110" i="14"/>
  <c r="AS47" i="14"/>
  <c r="AQ47" i="14" s="1"/>
  <c r="AG61" i="14"/>
  <c r="F66" i="14"/>
  <c r="BM66" i="14" s="1"/>
  <c r="AO68" i="14"/>
  <c r="AM68" i="14" s="1"/>
  <c r="AG89" i="14"/>
  <c r="J89" i="14"/>
  <c r="BJ91" i="14"/>
  <c r="AR91" i="14"/>
  <c r="S91" i="14"/>
  <c r="U91" i="14" s="1"/>
  <c r="AN91" i="14"/>
  <c r="AJ91" i="14"/>
  <c r="AF91" i="14"/>
  <c r="D91" i="14"/>
  <c r="AY91" i="14"/>
  <c r="BC91" i="14" s="1"/>
  <c r="AG92" i="14"/>
  <c r="F106" i="14"/>
  <c r="BM106" i="14" s="1"/>
  <c r="D57" i="14"/>
  <c r="S57" i="14"/>
  <c r="U57" i="14" s="1"/>
  <c r="BK57" i="14"/>
  <c r="R57" i="14"/>
  <c r="T57" i="14" s="1"/>
  <c r="AY57" i="14"/>
  <c r="BC57" i="14" s="1"/>
  <c r="AX57" i="14"/>
  <c r="BB57" i="14" s="1"/>
  <c r="AR57" i="14"/>
  <c r="AF57" i="14"/>
  <c r="AB9" i="14"/>
  <c r="AB8" i="14"/>
  <c r="AK58" i="14"/>
  <c r="AI58" i="14" s="1"/>
  <c r="AD72" i="14"/>
  <c r="AG72" i="14"/>
  <c r="R102" i="14"/>
  <c r="T102" i="14" s="1"/>
  <c r="R96" i="14"/>
  <c r="T96" i="14" s="1"/>
  <c r="R70" i="14"/>
  <c r="T70" i="14" s="1"/>
  <c r="R79" i="14"/>
  <c r="T79" i="14" s="1"/>
  <c r="R71" i="14"/>
  <c r="T71" i="14" s="1"/>
  <c r="R92" i="14"/>
  <c r="T92" i="14" s="1"/>
  <c r="R85" i="14"/>
  <c r="T85" i="14" s="1"/>
  <c r="R64" i="14"/>
  <c r="T64" i="14" s="1"/>
  <c r="R98" i="14"/>
  <c r="T98" i="14" s="1"/>
  <c r="R86" i="14"/>
  <c r="T86" i="14" s="1"/>
  <c r="R87" i="14"/>
  <c r="T87" i="14" s="1"/>
  <c r="R103" i="14"/>
  <c r="T103" i="14" s="1"/>
  <c r="R113" i="14"/>
  <c r="T113" i="14" s="1"/>
  <c r="R106" i="14"/>
  <c r="T106" i="14" s="1"/>
  <c r="R63" i="14"/>
  <c r="T63" i="14" s="1"/>
  <c r="R80" i="14"/>
  <c r="T80" i="14" s="1"/>
  <c r="R62" i="14"/>
  <c r="T62" i="14" s="1"/>
  <c r="R104" i="14"/>
  <c r="T104" i="14" s="1"/>
  <c r="R94" i="14"/>
  <c r="T94" i="14" s="1"/>
  <c r="R73" i="14"/>
  <c r="T73" i="14" s="1"/>
  <c r="R112" i="14"/>
  <c r="T112" i="14" s="1"/>
  <c r="S102" i="14"/>
  <c r="U102" i="14" s="1"/>
  <c r="S80" i="14"/>
  <c r="U80" i="14" s="1"/>
  <c r="S98" i="14"/>
  <c r="U98" i="14" s="1"/>
  <c r="S70" i="14"/>
  <c r="U70" i="14" s="1"/>
  <c r="S79" i="14"/>
  <c r="U79" i="14" s="1"/>
  <c r="S88" i="14"/>
  <c r="U88" i="14" s="1"/>
  <c r="S103" i="14"/>
  <c r="U103" i="14" s="1"/>
  <c r="S115" i="14"/>
  <c r="U115" i="14" s="1"/>
  <c r="S111" i="14"/>
  <c r="U111" i="14" s="1"/>
  <c r="S73" i="14"/>
  <c r="U73" i="14" s="1"/>
  <c r="S89" i="14"/>
  <c r="U89" i="14" s="1"/>
  <c r="S87" i="14"/>
  <c r="U87" i="14" s="1"/>
  <c r="S63" i="14"/>
  <c r="U63" i="14" s="1"/>
  <c r="S113" i="14"/>
  <c r="U113" i="14" s="1"/>
  <c r="S62" i="14"/>
  <c r="U62" i="14" s="1"/>
  <c r="S92" i="14"/>
  <c r="U92" i="14" s="1"/>
  <c r="S94" i="14"/>
  <c r="U94" i="14" s="1"/>
  <c r="S108" i="14"/>
  <c r="U108" i="14" s="1"/>
  <c r="S86" i="14"/>
  <c r="U86" i="14" s="1"/>
  <c r="S99" i="14"/>
  <c r="U99" i="14" s="1"/>
  <c r="S96" i="14"/>
  <c r="U96" i="14" s="1"/>
  <c r="AJ76" i="14"/>
  <c r="AZ76" i="14"/>
  <c r="BD76" i="14" s="1"/>
  <c r="AY76" i="14"/>
  <c r="BC76" i="14" s="1"/>
  <c r="S76" i="14"/>
  <c r="U76" i="14" s="1"/>
  <c r="AR76" i="14"/>
  <c r="R76" i="14"/>
  <c r="T76" i="14" s="1"/>
  <c r="AF76" i="14"/>
  <c r="AZ82" i="14"/>
  <c r="BD82" i="14" s="1"/>
  <c r="AY82" i="14"/>
  <c r="BC82" i="14" s="1"/>
  <c r="AN82" i="14"/>
  <c r="R82" i="14"/>
  <c r="T82" i="14" s="1"/>
  <c r="AR82" i="14"/>
  <c r="AF82" i="14"/>
  <c r="AJ82" i="14"/>
  <c r="AX82" i="14"/>
  <c r="BB82" i="14" s="1"/>
  <c r="F82" i="14"/>
  <c r="BM82" i="14" s="1"/>
  <c r="S82" i="14"/>
  <c r="U82" i="14" s="1"/>
  <c r="BH50" i="14"/>
  <c r="BK50" i="14"/>
  <c r="AS54" i="14"/>
  <c r="AQ54" i="14" s="1"/>
  <c r="AP54" i="14"/>
  <c r="AW54" i="14" s="1"/>
  <c r="AO95" i="14"/>
  <c r="AM95" i="14" s="1"/>
  <c r="AK111" i="14"/>
  <c r="AI111" i="14" s="1"/>
  <c r="R78" i="14"/>
  <c r="T78" i="14" s="1"/>
  <c r="AH7" i="14" a="1"/>
  <c r="W7" i="14"/>
  <c r="U7" i="14" s="1"/>
  <c r="AJ59" i="14"/>
  <c r="S75" i="14"/>
  <c r="U75" i="14" s="1"/>
  <c r="F76" i="14"/>
  <c r="BM76" i="14" s="1"/>
  <c r="AX91" i="14"/>
  <c r="BB91" i="14" s="1"/>
  <c r="AT103" i="14"/>
  <c r="AS115" i="14"/>
  <c r="AQ115" i="14" s="1"/>
  <c r="G77" i="14"/>
  <c r="AR77" i="14"/>
  <c r="S77" i="14"/>
  <c r="U77" i="14" s="1"/>
  <c r="R77" i="14"/>
  <c r="T77" i="14" s="1"/>
  <c r="AF77" i="14"/>
  <c r="AX77" i="14"/>
  <c r="BB77" i="14" s="1"/>
  <c r="F77" i="14"/>
  <c r="BM77" i="14" s="1"/>
  <c r="AN77" i="14"/>
  <c r="AJ77" i="14"/>
  <c r="AF55" i="14"/>
  <c r="G57" i="14"/>
  <c r="AO69" i="14"/>
  <c r="AM69" i="14" s="1"/>
  <c r="AJ54" i="14"/>
  <c r="G54" i="14"/>
  <c r="BA54" i="14"/>
  <c r="BE54" i="14" s="1"/>
  <c r="BJ57" i="14"/>
  <c r="F64" i="14"/>
  <c r="BM64" i="14" s="1"/>
  <c r="R68" i="14"/>
  <c r="T68" i="14" s="1"/>
  <c r="R90" i="14"/>
  <c r="T90" i="14" s="1"/>
  <c r="AZ91" i="14"/>
  <c r="BD91" i="14" s="1"/>
  <c r="AX107" i="14"/>
  <c r="BB107" i="14" s="1"/>
  <c r="D107" i="14"/>
  <c r="BJ107" i="14"/>
  <c r="S107" i="14"/>
  <c r="U107" i="14" s="1"/>
  <c r="AN107" i="14"/>
  <c r="AR107" i="14"/>
  <c r="AZ107" i="14"/>
  <c r="BD107" i="14" s="1"/>
  <c r="AY107" i="14"/>
  <c r="BC107" i="14" s="1"/>
  <c r="AF107" i="14"/>
  <c r="AO96" i="14"/>
  <c r="AM96" i="14" s="1"/>
  <c r="J96" i="14"/>
  <c r="AL103" i="14"/>
  <c r="AV103" i="14" s="1"/>
  <c r="AO103" i="14"/>
  <c r="AM103" i="14" s="1"/>
  <c r="G109" i="14"/>
  <c r="BK109" i="14" s="1"/>
  <c r="S109" i="14"/>
  <c r="U109" i="14" s="1"/>
  <c r="AN109" i="14"/>
  <c r="R109" i="14"/>
  <c r="T109" i="14" s="1"/>
  <c r="AZ109" i="14"/>
  <c r="BD109" i="14" s="1"/>
  <c r="BJ109" i="14"/>
  <c r="AR109" i="14"/>
  <c r="AY109" i="14"/>
  <c r="BC109" i="14" s="1"/>
  <c r="AX109" i="14"/>
  <c r="BB109" i="14" s="1"/>
  <c r="F109" i="14"/>
  <c r="BM109" i="14" s="1"/>
  <c r="AY66" i="14"/>
  <c r="BC66" i="14" s="1"/>
  <c r="AJ66" i="14"/>
  <c r="G66" i="14"/>
  <c r="AZ66" i="14"/>
  <c r="BD66" i="14" s="1"/>
  <c r="BK66" i="14"/>
  <c r="AF66" i="14"/>
  <c r="BJ66" i="14"/>
  <c r="AR66" i="14"/>
  <c r="AK75" i="14"/>
  <c r="AI75" i="14" s="1"/>
  <c r="AH75" i="14"/>
  <c r="AU75" i="14" s="1"/>
  <c r="J90" i="14"/>
  <c r="AD90" i="14"/>
  <c r="AJ109" i="14"/>
  <c r="J109" i="14" s="1"/>
  <c r="AO111" i="14"/>
  <c r="AM111" i="14" s="1"/>
  <c r="AX97" i="14"/>
  <c r="BB97" i="14" s="1"/>
  <c r="D97" i="14"/>
  <c r="BJ97" i="14"/>
  <c r="AJ97" i="14"/>
  <c r="AZ97" i="14"/>
  <c r="BD97" i="14" s="1"/>
  <c r="S97" i="14"/>
  <c r="U97" i="14" s="1"/>
  <c r="AN97" i="14"/>
  <c r="R97" i="14"/>
  <c r="T97" i="14" s="1"/>
  <c r="AR97" i="14"/>
  <c r="N18" i="14"/>
  <c r="F59" i="14" s="1"/>
  <c r="BM59" i="14" s="1"/>
  <c r="BA47" i="14"/>
  <c r="BE47" i="14" s="1"/>
  <c r="G47" i="14"/>
  <c r="AZ47" i="14"/>
  <c r="BD47" i="14" s="1"/>
  <c r="F47" i="14"/>
  <c r="BM47" i="14" s="1"/>
  <c r="AY47" i="14"/>
  <c r="BC47" i="14" s="1"/>
  <c r="G58" i="14"/>
  <c r="BJ58" i="14"/>
  <c r="S58" i="14"/>
  <c r="U58" i="14" s="1"/>
  <c r="R58" i="14"/>
  <c r="T58" i="14" s="1"/>
  <c r="AR58" i="14"/>
  <c r="AG62" i="14"/>
  <c r="AD62" i="14"/>
  <c r="G67" i="14"/>
  <c r="R67" i="14"/>
  <c r="T67" i="14" s="1"/>
  <c r="S67" i="14"/>
  <c r="U67" i="14" s="1"/>
  <c r="AZ67" i="14"/>
  <c r="BD67" i="14" s="1"/>
  <c r="AY67" i="14"/>
  <c r="BC67" i="14" s="1"/>
  <c r="AJ67" i="14"/>
  <c r="AN67" i="14"/>
  <c r="D67" i="14"/>
  <c r="D69" i="14"/>
  <c r="AK95" i="14"/>
  <c r="AI95" i="14" s="1"/>
  <c r="AT99" i="14"/>
  <c r="AD100" i="14"/>
  <c r="AG100" i="14"/>
  <c r="R74" i="14"/>
  <c r="T74" i="14" s="1"/>
  <c r="AR74" i="14"/>
  <c r="AF74" i="14"/>
  <c r="D74" i="14"/>
  <c r="S74" i="14"/>
  <c r="U74" i="14" s="1"/>
  <c r="AN74" i="14"/>
  <c r="AZ74" i="14"/>
  <c r="BD74" i="14" s="1"/>
  <c r="AY74" i="14"/>
  <c r="BC74" i="14" s="1"/>
  <c r="AX74" i="14"/>
  <c r="BB74" i="14" s="1"/>
  <c r="F74" i="14"/>
  <c r="BM74" i="14" s="1"/>
  <c r="BJ74" i="14"/>
  <c r="J110" i="14"/>
  <c r="AP110" i="14"/>
  <c r="AW110" i="14" s="1"/>
  <c r="AP112" i="14"/>
  <c r="AW112" i="14" s="1"/>
  <c r="AS112" i="14"/>
  <c r="AQ112" i="14" s="1"/>
  <c r="BJ45" i="14"/>
  <c r="AN45" i="14"/>
  <c r="D45" i="14"/>
  <c r="AR45" i="14"/>
  <c r="S45" i="14"/>
  <c r="U45" i="14" s="1"/>
  <c r="R45" i="14"/>
  <c r="T45" i="14" s="1"/>
  <c r="BA45" i="14"/>
  <c r="BE45" i="14" s="1"/>
  <c r="AJ46" i="14"/>
  <c r="G46" i="14"/>
  <c r="F46" i="14"/>
  <c r="BM46" i="14" s="1"/>
  <c r="AN46" i="14"/>
  <c r="AJ69" i="14"/>
  <c r="AY69" i="14"/>
  <c r="BC69" i="14" s="1"/>
  <c r="BJ69" i="14"/>
  <c r="AX69" i="14"/>
  <c r="BB69" i="14" s="1"/>
  <c r="AZ69" i="14"/>
  <c r="BD69" i="14" s="1"/>
  <c r="S69" i="14"/>
  <c r="U69" i="14" s="1"/>
  <c r="R69" i="14"/>
  <c r="T69" i="14" s="1"/>
  <c r="AF69" i="14"/>
  <c r="AK78" i="14"/>
  <c r="AI78" i="14" s="1"/>
  <c r="AH78" i="14"/>
  <c r="AU78" i="14" s="1"/>
  <c r="AG98" i="14"/>
  <c r="AD98" i="14"/>
  <c r="BJ51" i="14"/>
  <c r="R51" i="14"/>
  <c r="T51" i="14" s="1"/>
  <c r="AX51" i="14"/>
  <c r="BB51" i="14" s="1"/>
  <c r="S72" i="14"/>
  <c r="U72" i="14" s="1"/>
  <c r="AZ72" i="14"/>
  <c r="BD72" i="14" s="1"/>
  <c r="R72" i="14"/>
  <c r="T72" i="14" s="1"/>
  <c r="AR72" i="14"/>
  <c r="BJ75" i="14"/>
  <c r="G75" i="14"/>
  <c r="F75" i="14"/>
  <c r="BM75" i="14" s="1"/>
  <c r="R75" i="14"/>
  <c r="T75" i="14" s="1"/>
  <c r="AR75" i="14"/>
  <c r="AY75" i="14"/>
  <c r="BC75" i="14" s="1"/>
  <c r="AK87" i="14"/>
  <c r="AI87" i="14" s="1"/>
  <c r="AH87" i="14"/>
  <c r="AU87" i="14" s="1"/>
  <c r="AE103" i="14"/>
  <c r="AJ108" i="14"/>
  <c r="AZ108" i="14"/>
  <c r="BD108" i="14" s="1"/>
  <c r="AY108" i="14"/>
  <c r="BC108" i="14" s="1"/>
  <c r="AX108" i="14"/>
  <c r="BB108" i="14" s="1"/>
  <c r="R108" i="14"/>
  <c r="T108" i="14" s="1"/>
  <c r="D108" i="14"/>
  <c r="AN108" i="14"/>
  <c r="BJ108" i="14"/>
  <c r="AD81" i="14"/>
  <c r="AF84" i="14"/>
  <c r="D84" i="14"/>
  <c r="AR84" i="14"/>
  <c r="AN84" i="14"/>
  <c r="F84" i="14"/>
  <c r="BM84" i="14" s="1"/>
  <c r="AX84" i="14"/>
  <c r="BB84" i="14" s="1"/>
  <c r="BJ84" i="14"/>
  <c r="R105" i="14"/>
  <c r="T105" i="14" s="1"/>
  <c r="AJ105" i="14"/>
  <c r="G105" i="14"/>
  <c r="BK105" i="14" s="1"/>
  <c r="F105" i="14"/>
  <c r="BM105" i="14" s="1"/>
  <c r="BJ105" i="14"/>
  <c r="AF105" i="14"/>
  <c r="D105" i="14"/>
  <c r="AZ105" i="14"/>
  <c r="BD105" i="14" s="1"/>
  <c r="AY105" i="14"/>
  <c r="BC105" i="14" s="1"/>
  <c r="AK73" i="14"/>
  <c r="AI73" i="14" s="1"/>
  <c r="AF75" i="14"/>
  <c r="AG81" i="14"/>
  <c r="R84" i="14"/>
  <c r="T84" i="14" s="1"/>
  <c r="AY51" i="14"/>
  <c r="BC51" i="14" s="1"/>
  <c r="BJ72" i="14"/>
  <c r="S84" i="14"/>
  <c r="U84" i="14" s="1"/>
  <c r="AG112" i="14"/>
  <c r="J112" i="14"/>
  <c r="AD112" i="14"/>
  <c r="AZ114" i="14"/>
  <c r="BD114" i="14" s="1"/>
  <c r="AF114" i="14"/>
  <c r="F114" i="14"/>
  <c r="BM114" i="14" s="1"/>
  <c r="AJ114" i="14"/>
  <c r="D114" i="14"/>
  <c r="AX114" i="14"/>
  <c r="BB114" i="14" s="1"/>
  <c r="S114" i="14"/>
  <c r="U114" i="14" s="1"/>
  <c r="R114" i="14"/>
  <c r="T114" i="14" s="1"/>
  <c r="BJ114" i="14"/>
  <c r="AR114" i="14"/>
  <c r="F62" i="14"/>
  <c r="BM62" i="14" s="1"/>
  <c r="AJ62" i="14"/>
  <c r="AN62" i="14"/>
  <c r="AR63" i="14"/>
  <c r="AY63" i="14"/>
  <c r="BC63" i="14" s="1"/>
  <c r="AX63" i="14"/>
  <c r="BB63" i="14" s="1"/>
  <c r="AZ94" i="14"/>
  <c r="BD94" i="14" s="1"/>
  <c r="AF94" i="14"/>
  <c r="F94" i="14"/>
  <c r="BM94" i="14" s="1"/>
  <c r="AN94" i="14"/>
  <c r="AY94" i="14"/>
  <c r="BC94" i="14" s="1"/>
  <c r="G94" i="14"/>
  <c r="AJ94" i="14"/>
  <c r="S78" i="14"/>
  <c r="U78" i="14" s="1"/>
  <c r="AJ81" i="14"/>
  <c r="AN81" i="14"/>
  <c r="R81" i="14"/>
  <c r="T81" i="14" s="1"/>
  <c r="BJ81" i="14"/>
  <c r="AX81" i="14"/>
  <c r="BB81" i="14" s="1"/>
  <c r="AR81" i="14"/>
  <c r="S81" i="14"/>
  <c r="U81" i="14" s="1"/>
  <c r="AZ81" i="14"/>
  <c r="BD81" i="14" s="1"/>
  <c r="BJ94" i="14"/>
  <c r="AZ104" i="14"/>
  <c r="BD104" i="14" s="1"/>
  <c r="AF104" i="14"/>
  <c r="F104" i="14"/>
  <c r="BM104" i="14" s="1"/>
  <c r="AR104" i="14"/>
  <c r="BJ104" i="14"/>
  <c r="AJ104" i="14"/>
  <c r="D104" i="14"/>
  <c r="AX104" i="14"/>
  <c r="BB104" i="14" s="1"/>
  <c r="AN104" i="14"/>
  <c r="BK94" i="14"/>
  <c r="AH100" i="14"/>
  <c r="AU100" i="14" s="1"/>
  <c r="AK100" i="14"/>
  <c r="AI100" i="14" s="1"/>
  <c r="AR106" i="14"/>
  <c r="AF106" i="14"/>
  <c r="S106" i="14"/>
  <c r="U106" i="14" s="1"/>
  <c r="D106" i="14"/>
  <c r="AN106" i="14"/>
  <c r="AR60" i="14"/>
  <c r="AG95" i="14"/>
  <c r="AR111" i="14"/>
  <c r="R111" i="14"/>
  <c r="T111" i="14" s="1"/>
  <c r="AF111" i="14"/>
  <c r="BJ111" i="14"/>
  <c r="G111" i="14"/>
  <c r="AX111" i="14"/>
  <c r="BB111" i="14" s="1"/>
  <c r="S100" i="14"/>
  <c r="U100" i="14" s="1"/>
  <c r="R100" i="14"/>
  <c r="T100" i="14" s="1"/>
  <c r="BK100" i="14"/>
  <c r="AN100" i="14"/>
  <c r="BJ100" i="14"/>
  <c r="F100" i="14"/>
  <c r="BM100" i="14" s="1"/>
  <c r="AX100" i="14"/>
  <c r="BB100" i="14" s="1"/>
  <c r="AZ111" i="14"/>
  <c r="BD111" i="14" s="1"/>
  <c r="S68" i="14"/>
  <c r="U68" i="14" s="1"/>
  <c r="BJ68" i="14"/>
  <c r="G100" i="14"/>
  <c r="AY100" i="14"/>
  <c r="BC100" i="14" s="1"/>
  <c r="BA111" i="14"/>
  <c r="BE111" i="14" s="1"/>
  <c r="G113" i="14"/>
  <c r="F113" i="14"/>
  <c r="BM113" i="14" s="1"/>
  <c r="BA113" i="14"/>
  <c r="BE113" i="14" s="1"/>
  <c r="BF113" i="14" s="1"/>
  <c r="D113" i="14"/>
  <c r="AN113" i="14"/>
  <c r="J113" i="14" s="1"/>
  <c r="E117" i="14"/>
  <c r="AR116" i="14"/>
  <c r="S116" i="14"/>
  <c r="U116" i="14" s="1"/>
  <c r="AN116" i="14"/>
  <c r="R116" i="14"/>
  <c r="T116" i="14" s="1"/>
  <c r="BJ116" i="14"/>
  <c r="AZ116" i="14"/>
  <c r="BD116" i="14" s="1"/>
  <c r="BF116" i="14" s="1"/>
  <c r="AF116" i="14"/>
  <c r="AX87" i="14"/>
  <c r="BB87" i="14" s="1"/>
  <c r="D87" i="14"/>
  <c r="AJ88" i="14"/>
  <c r="J88" i="14" s="1"/>
  <c r="F88" i="14"/>
  <c r="BM88" i="14" s="1"/>
  <c r="AJ89" i="14"/>
  <c r="G89" i="14"/>
  <c r="BK89" i="14" s="1"/>
  <c r="AN89" i="14"/>
  <c r="AZ89" i="14"/>
  <c r="BD89" i="14" s="1"/>
  <c r="AG73" i="14"/>
  <c r="BJ85" i="14"/>
  <c r="AN85" i="14"/>
  <c r="F85" i="14"/>
  <c r="BM85" i="14" s="1"/>
  <c r="AK85" i="14"/>
  <c r="AI85" i="14" s="1"/>
  <c r="AR86" i="14"/>
  <c r="AX86" i="14"/>
  <c r="BB86" i="14" s="1"/>
  <c r="BJ86" i="14"/>
  <c r="AY86" i="14"/>
  <c r="BC86" i="14" s="1"/>
  <c r="F87" i="14"/>
  <c r="BM87" i="14" s="1"/>
  <c r="AN87" i="14"/>
  <c r="J87" i="14" s="1"/>
  <c r="G88" i="14"/>
  <c r="AN88" i="14"/>
  <c r="F89" i="14"/>
  <c r="BM89" i="14" s="1"/>
  <c r="AR89" i="14"/>
  <c r="AK112" i="14"/>
  <c r="AI112" i="14" s="1"/>
  <c r="AR78" i="14"/>
  <c r="AF79" i="14"/>
  <c r="AJ98" i="14"/>
  <c r="J98" i="14" s="1"/>
  <c r="AN98" i="14"/>
  <c r="AX99" i="14"/>
  <c r="BB99" i="14" s="1"/>
  <c r="AF78" i="14"/>
  <c r="S90" i="14"/>
  <c r="U90" i="14" s="1"/>
  <c r="AF64" i="14"/>
  <c r="AF71" i="14"/>
  <c r="F78" i="14"/>
  <c r="BM78" i="14" s="1"/>
  <c r="F90" i="14"/>
  <c r="BM90" i="14" s="1"/>
  <c r="AJ90" i="14"/>
  <c r="BJ90" i="14"/>
  <c r="R95" i="14"/>
  <c r="T95" i="14" s="1"/>
  <c r="AR95" i="14"/>
  <c r="AY98" i="14"/>
  <c r="BC98" i="14" s="1"/>
  <c r="AY99" i="14"/>
  <c r="BC99" i="14" s="1"/>
  <c r="R115" i="14"/>
  <c r="T115" i="14" s="1"/>
  <c r="AY115" i="14"/>
  <c r="BC115" i="14" s="1"/>
  <c r="AX115" i="14"/>
  <c r="BB115" i="14" s="1"/>
  <c r="AJ115" i="14"/>
  <c r="AR96" i="14"/>
  <c r="F96" i="14"/>
  <c r="BM96" i="14" s="1"/>
  <c r="S110" i="14"/>
  <c r="U110" i="14" s="1"/>
  <c r="AY92" i="14"/>
  <c r="BC92" i="14" s="1"/>
  <c r="AY102" i="14"/>
  <c r="BC102" i="14" s="1"/>
  <c r="AY112" i="14"/>
  <c r="BC112" i="14" s="1"/>
  <c r="BF112" i="14" s="1"/>
  <c r="BF115" i="14" l="1"/>
  <c r="T7" i="14"/>
  <c r="S51" i="14"/>
  <c r="U51" i="14" s="1"/>
  <c r="BF114" i="14"/>
  <c r="S55" i="14"/>
  <c r="U55" i="14" s="1"/>
  <c r="S56" i="14"/>
  <c r="U56" i="14" s="1"/>
  <c r="X110" i="14"/>
  <c r="Y110" i="14"/>
  <c r="S53" i="14"/>
  <c r="U53" i="14" s="1"/>
  <c r="BF111" i="14"/>
  <c r="AW105" i="14"/>
  <c r="Z113" i="14"/>
  <c r="AA113" i="14"/>
  <c r="AA98" i="14"/>
  <c r="Z98" i="14"/>
  <c r="AA92" i="14"/>
  <c r="Z92" i="14"/>
  <c r="Z88" i="14"/>
  <c r="AA88" i="14"/>
  <c r="BH68" i="14"/>
  <c r="BK68" i="14"/>
  <c r="BI68" i="14"/>
  <c r="AA109" i="14"/>
  <c r="Z109" i="14"/>
  <c r="AA87" i="14"/>
  <c r="Z87" i="14"/>
  <c r="AP116" i="14"/>
  <c r="AW116" i="14" s="1"/>
  <c r="AS116" i="14"/>
  <c r="AQ116" i="14" s="1"/>
  <c r="AE108" i="14"/>
  <c r="AS87" i="14"/>
  <c r="AQ87" i="14" s="1"/>
  <c r="AP87" i="14"/>
  <c r="AT98" i="14"/>
  <c r="AA63" i="14"/>
  <c r="Z63" i="14"/>
  <c r="BI67" i="14"/>
  <c r="BK67" i="14"/>
  <c r="BH67" i="14"/>
  <c r="BI93" i="14"/>
  <c r="BH93" i="14"/>
  <c r="AT63" i="14"/>
  <c r="AK81" i="14"/>
  <c r="AI81" i="14" s="1"/>
  <c r="AH81" i="14"/>
  <c r="AU81" i="14" s="1"/>
  <c r="AS66" i="14"/>
  <c r="AQ66" i="14" s="1"/>
  <c r="AP66" i="14"/>
  <c r="J84" i="14"/>
  <c r="AG84" i="14"/>
  <c r="AD84" i="14"/>
  <c r="BK52" i="14"/>
  <c r="BH52" i="14"/>
  <c r="BI52" i="14"/>
  <c r="BK64" i="14"/>
  <c r="BI64" i="14"/>
  <c r="BH64" i="14"/>
  <c r="AS48" i="14"/>
  <c r="AQ48" i="14" s="1"/>
  <c r="AP48" i="14"/>
  <c r="AW48" i="14" s="1"/>
  <c r="Z80" i="14"/>
  <c r="AA80" i="14"/>
  <c r="AP90" i="14"/>
  <c r="AS90" i="14"/>
  <c r="AQ90" i="14" s="1"/>
  <c r="AL49" i="14"/>
  <c r="AV49" i="14" s="1"/>
  <c r="AO49" i="14"/>
  <c r="AM49" i="14" s="1"/>
  <c r="AK62" i="14"/>
  <c r="AI62" i="14" s="1"/>
  <c r="AH62" i="14"/>
  <c r="AU62" i="14" s="1"/>
  <c r="J62" i="14"/>
  <c r="AK46" i="14"/>
  <c r="AI46" i="14" s="1"/>
  <c r="AH46" i="14"/>
  <c r="AU46" i="14" s="1"/>
  <c r="AE81" i="14"/>
  <c r="AS77" i="14"/>
  <c r="AQ77" i="14" s="1"/>
  <c r="AP77" i="14"/>
  <c r="AT108" i="14"/>
  <c r="AP103" i="14"/>
  <c r="H103" i="14" s="1"/>
  <c r="AS103" i="14"/>
  <c r="AQ103" i="14" s="1"/>
  <c r="I103" i="14" s="1"/>
  <c r="AD75" i="14"/>
  <c r="AG75" i="14"/>
  <c r="J75" i="14"/>
  <c r="BI77" i="14"/>
  <c r="BH77" i="14"/>
  <c r="BK77" i="14"/>
  <c r="AH48" i="14"/>
  <c r="AU48" i="14" s="1"/>
  <c r="AK48" i="14"/>
  <c r="AI48" i="14" s="1"/>
  <c r="AE63" i="14"/>
  <c r="AT62" i="14"/>
  <c r="AE87" i="14"/>
  <c r="AT100" i="14"/>
  <c r="AO97" i="14"/>
  <c r="AM97" i="14" s="1"/>
  <c r="AL97" i="14"/>
  <c r="AV97" i="14" s="1"/>
  <c r="AA96" i="14"/>
  <c r="Z96" i="14"/>
  <c r="AH76" i="14"/>
  <c r="AU76" i="14" s="1"/>
  <c r="AK76" i="14"/>
  <c r="AI76" i="14" s="1"/>
  <c r="BI85" i="14"/>
  <c r="BH85" i="14"/>
  <c r="AD93" i="14"/>
  <c r="J93" i="14"/>
  <c r="AG93" i="14"/>
  <c r="AA72" i="14"/>
  <c r="Z72" i="14"/>
  <c r="AT80" i="14"/>
  <c r="AS98" i="14"/>
  <c r="AQ98" i="14" s="1"/>
  <c r="AP98" i="14"/>
  <c r="AW98" i="14" s="1"/>
  <c r="AT87" i="14"/>
  <c r="AO100" i="14"/>
  <c r="AM100" i="14" s="1"/>
  <c r="AL100" i="14"/>
  <c r="AV100" i="14" s="1"/>
  <c r="AK83" i="14"/>
  <c r="AI83" i="14" s="1"/>
  <c r="AH83" i="14"/>
  <c r="AU83" i="14" s="1"/>
  <c r="AO81" i="14"/>
  <c r="AM81" i="14" s="1"/>
  <c r="AL81" i="14"/>
  <c r="AV81" i="14" s="1"/>
  <c r="AS76" i="14"/>
  <c r="AQ76" i="14" s="1"/>
  <c r="AP76" i="14"/>
  <c r="AT52" i="14"/>
  <c r="J74" i="14"/>
  <c r="AD74" i="14"/>
  <c r="AG74" i="14"/>
  <c r="AO83" i="14"/>
  <c r="AM83" i="14" s="1"/>
  <c r="AL83" i="14"/>
  <c r="AV83" i="14" s="1"/>
  <c r="AO104" i="14"/>
  <c r="AM104" i="14" s="1"/>
  <c r="AL104" i="14"/>
  <c r="AV104" i="14" s="1"/>
  <c r="AS74" i="14"/>
  <c r="AQ74" i="14" s="1"/>
  <c r="AP74" i="14"/>
  <c r="AW74" i="14" s="1"/>
  <c r="AK93" i="14"/>
  <c r="AI93" i="14" s="1"/>
  <c r="AH93" i="14"/>
  <c r="AU93" i="14" s="1"/>
  <c r="W110" i="14"/>
  <c r="V110" i="14"/>
  <c r="AE61" i="14"/>
  <c r="AE51" i="14"/>
  <c r="AE100" i="14"/>
  <c r="AK90" i="14"/>
  <c r="AH90" i="14"/>
  <c r="AU90" i="14" s="1"/>
  <c r="AG69" i="14"/>
  <c r="AD69" i="14"/>
  <c r="J69" i="14"/>
  <c r="BH54" i="14"/>
  <c r="BK54" i="14"/>
  <c r="BI54" i="14"/>
  <c r="BI69" i="14"/>
  <c r="BH69" i="14"/>
  <c r="AT51" i="14"/>
  <c r="AK98" i="14"/>
  <c r="AI98" i="14" s="1"/>
  <c r="AH98" i="14"/>
  <c r="AU98" i="14" s="1"/>
  <c r="AD101" i="14"/>
  <c r="AG101" i="14"/>
  <c r="J101" i="14"/>
  <c r="AE89" i="14"/>
  <c r="AS78" i="14"/>
  <c r="AQ78" i="14" s="1"/>
  <c r="AP78" i="14"/>
  <c r="BH60" i="14"/>
  <c r="BI60" i="14"/>
  <c r="BK60" i="14"/>
  <c r="J103" i="14"/>
  <c r="BH90" i="14"/>
  <c r="BI90" i="14"/>
  <c r="BK90" i="14"/>
  <c r="AS56" i="14"/>
  <c r="AQ56" i="14" s="1"/>
  <c r="AP56" i="14"/>
  <c r="AS97" i="14"/>
  <c r="AQ97" i="14" s="1"/>
  <c r="AP97" i="14"/>
  <c r="AW97" i="14" s="1"/>
  <c r="AS79" i="14"/>
  <c r="AQ79" i="14" s="1"/>
  <c r="AP79" i="14"/>
  <c r="AW79" i="14" s="1"/>
  <c r="AH89" i="14"/>
  <c r="AK89" i="14"/>
  <c r="AI89" i="14" s="1"/>
  <c r="AO88" i="14"/>
  <c r="AM88" i="14" s="1"/>
  <c r="AL88" i="14"/>
  <c r="AV88" i="14" s="1"/>
  <c r="J81" i="14"/>
  <c r="J100" i="14"/>
  <c r="BI92" i="14"/>
  <c r="BK92" i="14"/>
  <c r="BH92" i="14"/>
  <c r="AH49" i="14"/>
  <c r="AU49" i="14" s="1"/>
  <c r="AK49" i="14"/>
  <c r="AI49" i="14" s="1"/>
  <c r="AG71" i="14"/>
  <c r="J71" i="14"/>
  <c r="AD71" i="14"/>
  <c r="AK114" i="14"/>
  <c r="AI114" i="14" s="1"/>
  <c r="AH114" i="14"/>
  <c r="AU114" i="14" s="1"/>
  <c r="AK97" i="14"/>
  <c r="AI97" i="14" s="1"/>
  <c r="AH97" i="14"/>
  <c r="AU97" i="14" s="1"/>
  <c r="AK66" i="14"/>
  <c r="AI66" i="14" s="1"/>
  <c r="AH66" i="14"/>
  <c r="AU66" i="14" s="1"/>
  <c r="AD107" i="14"/>
  <c r="J107" i="14"/>
  <c r="AG107" i="14"/>
  <c r="AH54" i="14"/>
  <c r="AK54" i="14"/>
  <c r="AI54" i="14" s="1"/>
  <c r="AH82" i="14"/>
  <c r="AU82" i="14" s="1"/>
  <c r="AK82" i="14"/>
  <c r="AI82" i="14" s="1"/>
  <c r="AE92" i="14"/>
  <c r="AK55" i="14"/>
  <c r="AI55" i="14" s="1"/>
  <c r="AH55" i="14"/>
  <c r="AU55" i="14" s="1"/>
  <c r="J97" i="14"/>
  <c r="BI63" i="14"/>
  <c r="BK63" i="14"/>
  <c r="BH63" i="14"/>
  <c r="AO93" i="14"/>
  <c r="AM93" i="14" s="1"/>
  <c r="AL93" i="14"/>
  <c r="AV93" i="14" s="1"/>
  <c r="BH48" i="14"/>
  <c r="BI48" i="14"/>
  <c r="AP67" i="14"/>
  <c r="AS67" i="14"/>
  <c r="AQ67" i="14" s="1"/>
  <c r="BI49" i="14"/>
  <c r="BH49" i="14"/>
  <c r="AG64" i="14"/>
  <c r="AD64" i="14"/>
  <c r="J64" i="14"/>
  <c r="G97" i="14"/>
  <c r="G82" i="14"/>
  <c r="AG59" i="14"/>
  <c r="AD59" i="14"/>
  <c r="BI55" i="14"/>
  <c r="BH55" i="14"/>
  <c r="AT97" i="14"/>
  <c r="G72" i="14"/>
  <c r="BK93" i="14"/>
  <c r="AP73" i="14"/>
  <c r="AS73" i="14"/>
  <c r="AQ73" i="14" s="1"/>
  <c r="AA99" i="14"/>
  <c r="Z99" i="14"/>
  <c r="AE95" i="14"/>
  <c r="J104" i="14"/>
  <c r="AD104" i="14"/>
  <c r="AG104" i="14"/>
  <c r="J114" i="14"/>
  <c r="AD114" i="14"/>
  <c r="AG114" i="14"/>
  <c r="BK69" i="14"/>
  <c r="BI57" i="14"/>
  <c r="BH57" i="14"/>
  <c r="AD82" i="14"/>
  <c r="J82" i="14"/>
  <c r="AG82" i="14"/>
  <c r="AS59" i="14"/>
  <c r="AQ59" i="14" s="1"/>
  <c r="AP59" i="14"/>
  <c r="AS69" i="14"/>
  <c r="AQ69" i="14" s="1"/>
  <c r="AP69" i="14"/>
  <c r="S61" i="14"/>
  <c r="U61" i="14" s="1"/>
  <c r="S60" i="14"/>
  <c r="U60" i="14" s="1"/>
  <c r="S52" i="14"/>
  <c r="U52" i="14" s="1"/>
  <c r="S50" i="14"/>
  <c r="U50" i="14" s="1"/>
  <c r="S54" i="14"/>
  <c r="U54" i="14" s="1"/>
  <c r="F56" i="14"/>
  <c r="BM56" i="14" s="1"/>
  <c r="AS100" i="14"/>
  <c r="AQ100" i="14" s="1"/>
  <c r="AP100" i="14"/>
  <c r="BK49" i="14"/>
  <c r="F60" i="14"/>
  <c r="BM60" i="14" s="1"/>
  <c r="Z90" i="14"/>
  <c r="AA90" i="14"/>
  <c r="BK71" i="14"/>
  <c r="BH71" i="14"/>
  <c r="BI71" i="14"/>
  <c r="BI80" i="14"/>
  <c r="BK80" i="14"/>
  <c r="BH80" i="14"/>
  <c r="AO89" i="14"/>
  <c r="AM89" i="14" s="1"/>
  <c r="AL89" i="14"/>
  <c r="AV89" i="14" s="1"/>
  <c r="AS101" i="14"/>
  <c r="AQ101" i="14" s="1"/>
  <c r="AP101" i="14"/>
  <c r="AS45" i="14"/>
  <c r="AQ45" i="14" s="1"/>
  <c r="AP45" i="14"/>
  <c r="AW45" i="14" s="1"/>
  <c r="AD66" i="14"/>
  <c r="AG66" i="14"/>
  <c r="J66" i="14"/>
  <c r="AK94" i="14"/>
  <c r="AI94" i="14" s="1"/>
  <c r="AH94" i="14"/>
  <c r="AU94" i="14" s="1"/>
  <c r="BI108" i="14"/>
  <c r="BH108" i="14"/>
  <c r="AS93" i="14"/>
  <c r="AQ93" i="14" s="1"/>
  <c r="AP93" i="14"/>
  <c r="AW93" i="14" s="1"/>
  <c r="AP102" i="14"/>
  <c r="H102" i="14" s="1"/>
  <c r="AS102" i="14"/>
  <c r="AQ102" i="14" s="1"/>
  <c r="AA115" i="14"/>
  <c r="Z115" i="14"/>
  <c r="AL87" i="14"/>
  <c r="AV87" i="14" s="1"/>
  <c r="AO87" i="14"/>
  <c r="AM87" i="14" s="1"/>
  <c r="AS111" i="14"/>
  <c r="AQ111" i="14" s="1"/>
  <c r="AP111" i="14"/>
  <c r="AW111" i="14" s="1"/>
  <c r="AD94" i="14"/>
  <c r="J94" i="14"/>
  <c r="AG94" i="14"/>
  <c r="BK58" i="14"/>
  <c r="BH58" i="14"/>
  <c r="BI58" i="14"/>
  <c r="AS64" i="14"/>
  <c r="AQ64" i="14" s="1"/>
  <c r="AP64" i="14"/>
  <c r="J86" i="14"/>
  <c r="AS86" i="14"/>
  <c r="AP86" i="14"/>
  <c r="J91" i="14"/>
  <c r="AD91" i="14"/>
  <c r="AG91" i="14"/>
  <c r="AS92" i="14"/>
  <c r="AQ92" i="14" s="1"/>
  <c r="AP92" i="14"/>
  <c r="AT102" i="14"/>
  <c r="G91" i="14"/>
  <c r="G86" i="14"/>
  <c r="AO106" i="14"/>
  <c r="AM106" i="14" s="1"/>
  <c r="AL106" i="14"/>
  <c r="AV106" i="14" s="1"/>
  <c r="AA112" i="14"/>
  <c r="Z112" i="14"/>
  <c r="AP109" i="14"/>
  <c r="AS109" i="14"/>
  <c r="AQ109" i="14" s="1"/>
  <c r="AO107" i="14"/>
  <c r="AM107" i="14" s="1"/>
  <c r="AL107" i="14"/>
  <c r="AV107" i="14" s="1"/>
  <c r="F57" i="14"/>
  <c r="BM57" i="14" s="1"/>
  <c r="AT61" i="14"/>
  <c r="P7" i="14"/>
  <c r="S7" i="14"/>
  <c r="Q7" i="14" s="1"/>
  <c r="G104" i="14"/>
  <c r="Z73" i="14"/>
  <c r="AA73" i="14"/>
  <c r="AP94" i="14"/>
  <c r="AS94" i="14"/>
  <c r="AQ94" i="14" s="1"/>
  <c r="J102" i="14"/>
  <c r="AE58" i="14"/>
  <c r="AP96" i="14"/>
  <c r="AS96" i="14"/>
  <c r="AQ96" i="14" s="1"/>
  <c r="I96" i="14" s="1"/>
  <c r="G99" i="14"/>
  <c r="AE112" i="14"/>
  <c r="I112" i="14" s="1"/>
  <c r="K112" i="14"/>
  <c r="AK69" i="14"/>
  <c r="AI69" i="14" s="1"/>
  <c r="AH69" i="14"/>
  <c r="AU69" i="14" s="1"/>
  <c r="AL77" i="14"/>
  <c r="AV77" i="14" s="1"/>
  <c r="AO77" i="14"/>
  <c r="AM77" i="14" s="1"/>
  <c r="AH91" i="14"/>
  <c r="AU91" i="14" s="1"/>
  <c r="AK91" i="14"/>
  <c r="AI91" i="14" s="1"/>
  <c r="BH59" i="14"/>
  <c r="BI59" i="14"/>
  <c r="AF6" i="14" a="1"/>
  <c r="F55" i="14"/>
  <c r="BM55" i="14" s="1"/>
  <c r="G96" i="14"/>
  <c r="AV73" i="14"/>
  <c r="AT60" i="14"/>
  <c r="AP108" i="14"/>
  <c r="AS108" i="14"/>
  <c r="AQ108" i="14" s="1"/>
  <c r="G81" i="14"/>
  <c r="AW88" i="14"/>
  <c r="BH47" i="14"/>
  <c r="BI47" i="14"/>
  <c r="Z89" i="14"/>
  <c r="AA89" i="14"/>
  <c r="BI107" i="14"/>
  <c r="BH107" i="14"/>
  <c r="AS84" i="14"/>
  <c r="AQ84" i="14" s="1"/>
  <c r="AP84" i="14"/>
  <c r="AE98" i="14"/>
  <c r="AA108" i="14"/>
  <c r="Z108" i="14"/>
  <c r="AS75" i="14"/>
  <c r="AQ75" i="14" s="1"/>
  <c r="AP75" i="14"/>
  <c r="BH106" i="14"/>
  <c r="BI106" i="14"/>
  <c r="BI111" i="14"/>
  <c r="BK111" i="14"/>
  <c r="BH111" i="14"/>
  <c r="AE62" i="14"/>
  <c r="AP58" i="14"/>
  <c r="AS58" i="14"/>
  <c r="AQ58" i="14" s="1"/>
  <c r="AD111" i="14"/>
  <c r="J111" i="14"/>
  <c r="AG111" i="14"/>
  <c r="BH75" i="14"/>
  <c r="BI75" i="14"/>
  <c r="BK75" i="14"/>
  <c r="AS62" i="14"/>
  <c r="AQ62" i="14" s="1"/>
  <c r="AP62" i="14"/>
  <c r="BI66" i="14"/>
  <c r="BH66" i="14"/>
  <c r="AE115" i="14"/>
  <c r="AK88" i="14"/>
  <c r="AH88" i="14"/>
  <c r="AS104" i="14"/>
  <c r="AQ104" i="14" s="1"/>
  <c r="AP104" i="14"/>
  <c r="AW104" i="14" s="1"/>
  <c r="BA104" i="14" s="1"/>
  <c r="BE104" i="14" s="1"/>
  <c r="BF104" i="14" s="1"/>
  <c r="AO108" i="14"/>
  <c r="AM108" i="14" s="1"/>
  <c r="AL108" i="14"/>
  <c r="AV108" i="14" s="1"/>
  <c r="AS60" i="14"/>
  <c r="AQ60" i="14" s="1"/>
  <c r="AP60" i="14"/>
  <c r="AW60" i="14" s="1"/>
  <c r="BH105" i="14"/>
  <c r="BI105" i="14"/>
  <c r="AA110" i="14"/>
  <c r="Z110" i="14"/>
  <c r="AS49" i="14"/>
  <c r="AQ49" i="14" s="1"/>
  <c r="AP49" i="14"/>
  <c r="AW49" i="14" s="1"/>
  <c r="AH105" i="14"/>
  <c r="AU105" i="14" s="1"/>
  <c r="AK105" i="14"/>
  <c r="AI105" i="14" s="1"/>
  <c r="AK59" i="14"/>
  <c r="AI59" i="14" s="1"/>
  <c r="AH59" i="14"/>
  <c r="AU59" i="14" s="1"/>
  <c r="AO82" i="14"/>
  <c r="AM82" i="14" s="1"/>
  <c r="AL82" i="14"/>
  <c r="AV82" i="14" s="1"/>
  <c r="AO85" i="14"/>
  <c r="AL85" i="14"/>
  <c r="J85" i="14"/>
  <c r="AK108" i="14"/>
  <c r="AI108" i="14" s="1"/>
  <c r="AH108" i="14"/>
  <c r="AU108" i="14" s="1"/>
  <c r="G74" i="14"/>
  <c r="BK47" i="14"/>
  <c r="BK107" i="14"/>
  <c r="G95" i="14"/>
  <c r="BH53" i="14"/>
  <c r="BI53" i="14"/>
  <c r="AP83" i="14"/>
  <c r="AS83" i="14"/>
  <c r="AQ83" i="14" s="1"/>
  <c r="AS81" i="14"/>
  <c r="AQ81" i="14" s="1"/>
  <c r="AP81" i="14"/>
  <c r="AL46" i="14"/>
  <c r="AV46" i="14" s="1"/>
  <c r="AO46" i="14"/>
  <c r="AM46" i="14" s="1"/>
  <c r="AK67" i="14"/>
  <c r="AI67" i="14" s="1"/>
  <c r="AH67" i="14"/>
  <c r="F61" i="14"/>
  <c r="BM61" i="14" s="1"/>
  <c r="AE68" i="14"/>
  <c r="G110" i="14"/>
  <c r="G102" i="14"/>
  <c r="AH65" i="14"/>
  <c r="AU65" i="14" s="1"/>
  <c r="AK65" i="14"/>
  <c r="AI65" i="14" s="1"/>
  <c r="AD56" i="14"/>
  <c r="AG56" i="14"/>
  <c r="AS80" i="14"/>
  <c r="AP80" i="14"/>
  <c r="H80" i="14" s="1"/>
  <c r="AE109" i="14"/>
  <c r="AG79" i="14"/>
  <c r="J79" i="14"/>
  <c r="AD79" i="14"/>
  <c r="BI114" i="14"/>
  <c r="BH114" i="14"/>
  <c r="AS114" i="14"/>
  <c r="AQ114" i="14" s="1"/>
  <c r="AP114" i="14"/>
  <c r="AW114" i="14" s="1"/>
  <c r="AL48" i="14"/>
  <c r="AV48" i="14" s="1"/>
  <c r="AO48" i="14"/>
  <c r="AM48" i="14" s="1"/>
  <c r="AS85" i="14"/>
  <c r="AQ85" i="14" s="1"/>
  <c r="AP85" i="14"/>
  <c r="AW85" i="14" s="1"/>
  <c r="AP95" i="14"/>
  <c r="AS95" i="14"/>
  <c r="AQ95" i="14" s="1"/>
  <c r="AP89" i="14"/>
  <c r="AS89" i="14"/>
  <c r="AQ89" i="14" s="1"/>
  <c r="BI113" i="14"/>
  <c r="BH113" i="14"/>
  <c r="BK113" i="14"/>
  <c r="BH88" i="14"/>
  <c r="BI88" i="14"/>
  <c r="BK88" i="14"/>
  <c r="BI94" i="14"/>
  <c r="BH94" i="14"/>
  <c r="AO45" i="14"/>
  <c r="AM45" i="14" s="1"/>
  <c r="AL45" i="14"/>
  <c r="AV45" i="14" s="1"/>
  <c r="AE97" i="14"/>
  <c r="AP70" i="14"/>
  <c r="J70" i="14"/>
  <c r="AS70" i="14"/>
  <c r="AO94" i="14"/>
  <c r="AM94" i="14" s="1"/>
  <c r="AL94" i="14"/>
  <c r="AV94" i="14" s="1"/>
  <c r="AP72" i="14"/>
  <c r="AS72" i="14"/>
  <c r="AQ72" i="14" s="1"/>
  <c r="AE72" i="14"/>
  <c r="K72" i="14"/>
  <c r="BH87" i="14"/>
  <c r="BI87" i="14"/>
  <c r="BK87" i="14"/>
  <c r="AG116" i="14"/>
  <c r="J116" i="14"/>
  <c r="AD116" i="14"/>
  <c r="AT112" i="14"/>
  <c r="H112" i="14"/>
  <c r="AT58" i="14"/>
  <c r="AH77" i="14"/>
  <c r="AU77" i="14" s="1"/>
  <c r="AK77" i="14"/>
  <c r="AI77" i="14" s="1"/>
  <c r="AH7" i="14"/>
  <c r="AI7" i="14"/>
  <c r="AL91" i="14"/>
  <c r="AV91" i="14" s="1"/>
  <c r="AO91" i="14"/>
  <c r="AM91" i="14" s="1"/>
  <c r="AT68" i="14"/>
  <c r="G70" i="14"/>
  <c r="AE60" i="14"/>
  <c r="AS71" i="14"/>
  <c r="AQ71" i="14" s="1"/>
  <c r="AP71" i="14"/>
  <c r="AO116" i="14"/>
  <c r="AM116" i="14" s="1"/>
  <c r="AL116" i="14"/>
  <c r="AV116" i="14" s="1"/>
  <c r="AS63" i="14"/>
  <c r="AQ63" i="14" s="1"/>
  <c r="AP63" i="14"/>
  <c r="AW63" i="14" s="1"/>
  <c r="AL98" i="14"/>
  <c r="AV98" i="14" s="1"/>
  <c r="AO98" i="14"/>
  <c r="AM98" i="14" s="1"/>
  <c r="AG106" i="14"/>
  <c r="J106" i="14"/>
  <c r="AD106" i="14"/>
  <c r="AL62" i="14"/>
  <c r="AV62" i="14" s="1"/>
  <c r="AO62" i="14"/>
  <c r="AM62" i="14" s="1"/>
  <c r="G76" i="14"/>
  <c r="AD57" i="14"/>
  <c r="AG57" i="14"/>
  <c r="AS91" i="14"/>
  <c r="AQ91" i="14" s="1"/>
  <c r="AP91" i="14"/>
  <c r="AW91" i="14" s="1"/>
  <c r="AA68" i="14"/>
  <c r="Z68" i="14"/>
  <c r="G116" i="14"/>
  <c r="G78" i="14"/>
  <c r="AO65" i="14"/>
  <c r="AM65" i="14" s="1"/>
  <c r="AL65" i="14"/>
  <c r="AV65" i="14" s="1"/>
  <c r="AD53" i="14"/>
  <c r="AG53" i="14"/>
  <c r="J67" i="14"/>
  <c r="AK56" i="14"/>
  <c r="AI56" i="14" s="1"/>
  <c r="AH56" i="14"/>
  <c r="AU56" i="14" s="1"/>
  <c r="AS68" i="14"/>
  <c r="AQ68" i="14" s="1"/>
  <c r="AP68" i="14"/>
  <c r="H68" i="14" s="1"/>
  <c r="G101" i="14"/>
  <c r="AO84" i="14"/>
  <c r="AM84" i="14" s="1"/>
  <c r="AL84" i="14"/>
  <c r="AV84" i="14" s="1"/>
  <c r="BI109" i="14"/>
  <c r="BH109" i="14"/>
  <c r="BI112" i="14"/>
  <c r="BK112" i="14"/>
  <c r="BH112" i="14"/>
  <c r="BH61" i="14"/>
  <c r="BI61" i="14"/>
  <c r="BK61" i="14"/>
  <c r="AL113" i="14"/>
  <c r="AO113" i="14"/>
  <c r="F52" i="14"/>
  <c r="BM52" i="14" s="1"/>
  <c r="F54" i="14"/>
  <c r="BM54" i="14" s="1"/>
  <c r="F51" i="14"/>
  <c r="BM51" i="14" s="1"/>
  <c r="AP65" i="14"/>
  <c r="AS65" i="14"/>
  <c r="AQ65" i="14" s="1"/>
  <c r="AS61" i="14"/>
  <c r="AQ61" i="14" s="1"/>
  <c r="AP61" i="14"/>
  <c r="BI89" i="14"/>
  <c r="BH89" i="14"/>
  <c r="AG65" i="14"/>
  <c r="AD65" i="14"/>
  <c r="J65" i="14"/>
  <c r="J83" i="14"/>
  <c r="AG83" i="14"/>
  <c r="AD83" i="14"/>
  <c r="AT81" i="14"/>
  <c r="AH104" i="14"/>
  <c r="AU104" i="14" s="1"/>
  <c r="AK104" i="14"/>
  <c r="AI104" i="14" s="1"/>
  <c r="F53" i="14"/>
  <c r="BM53" i="14" s="1"/>
  <c r="AG105" i="14"/>
  <c r="AD105" i="14"/>
  <c r="J105" i="14"/>
  <c r="BH100" i="14"/>
  <c r="BI100" i="14"/>
  <c r="AS107" i="14"/>
  <c r="AQ107" i="14" s="1"/>
  <c r="AP107" i="14"/>
  <c r="AP82" i="14"/>
  <c r="AS82" i="14"/>
  <c r="AQ82" i="14" s="1"/>
  <c r="AP55" i="14"/>
  <c r="AS55" i="14"/>
  <c r="AQ55" i="14" s="1"/>
  <c r="AE102" i="14"/>
  <c r="AG78" i="14"/>
  <c r="AD78" i="14"/>
  <c r="J78" i="14"/>
  <c r="AG55" i="14"/>
  <c r="AD55" i="14"/>
  <c r="AT72" i="14"/>
  <c r="BH115" i="14"/>
  <c r="BI115" i="14"/>
  <c r="AP53" i="14"/>
  <c r="AW53" i="14" s="1"/>
  <c r="AS53" i="14"/>
  <c r="AQ53" i="14" s="1"/>
  <c r="BI83" i="14"/>
  <c r="BH83" i="14"/>
  <c r="AL101" i="14"/>
  <c r="AV101" i="14" s="1"/>
  <c r="AO101" i="14"/>
  <c r="AM101" i="14" s="1"/>
  <c r="BK106" i="14"/>
  <c r="F58" i="14"/>
  <c r="BM58" i="14" s="1"/>
  <c r="AO67" i="14"/>
  <c r="AM67" i="14" s="1"/>
  <c r="AL67" i="14"/>
  <c r="AV67" i="14" s="1"/>
  <c r="AK109" i="14"/>
  <c r="AI109" i="14" s="1"/>
  <c r="AH109" i="14"/>
  <c r="AE54" i="14"/>
  <c r="G65" i="14"/>
  <c r="AK115" i="14"/>
  <c r="AI115" i="14" s="1"/>
  <c r="AH115" i="14"/>
  <c r="J95" i="14"/>
  <c r="BK85" i="14"/>
  <c r="AO109" i="14"/>
  <c r="AM109" i="14" s="1"/>
  <c r="AL109" i="14"/>
  <c r="AV109" i="14" s="1"/>
  <c r="AG77" i="14"/>
  <c r="J77" i="14"/>
  <c r="AD77" i="14"/>
  <c r="G98" i="14"/>
  <c r="AE73" i="14"/>
  <c r="AS106" i="14"/>
  <c r="AQ106" i="14" s="1"/>
  <c r="AP106" i="14"/>
  <c r="G62" i="14"/>
  <c r="G84" i="14"/>
  <c r="K103" i="14"/>
  <c r="BI46" i="14"/>
  <c r="BH46" i="14"/>
  <c r="BK46" i="14"/>
  <c r="AO74" i="14"/>
  <c r="AM74" i="14" s="1"/>
  <c r="AL74" i="14"/>
  <c r="AV74" i="14" s="1"/>
  <c r="AT90" i="14"/>
  <c r="J76" i="14"/>
  <c r="AD76" i="14"/>
  <c r="AG76" i="14"/>
  <c r="AS57" i="14"/>
  <c r="AQ57" i="14" s="1"/>
  <c r="AP57" i="14"/>
  <c r="G79" i="14"/>
  <c r="G103" i="14"/>
  <c r="AK53" i="14"/>
  <c r="AI53" i="14" s="1"/>
  <c r="AH53" i="14"/>
  <c r="AU53" i="14" s="1"/>
  <c r="K67" i="14"/>
  <c r="AE67" i="14"/>
  <c r="I67" i="14" s="1"/>
  <c r="BI56" i="14"/>
  <c r="BH56" i="14"/>
  <c r="BK56" i="14"/>
  <c r="AP99" i="14"/>
  <c r="AS99" i="14"/>
  <c r="BK83" i="14"/>
  <c r="G73" i="14"/>
  <c r="X8" i="14"/>
  <c r="D15" i="14" s="1"/>
  <c r="AA8" i="14"/>
  <c r="Y8" i="14" s="1"/>
  <c r="Z9" i="14"/>
  <c r="AH101" i="14"/>
  <c r="AU101" i="14" s="1"/>
  <c r="AK101" i="14"/>
  <c r="AI101" i="14" s="1"/>
  <c r="AW75" i="14" l="1"/>
  <c r="BA74" i="14"/>
  <c r="BE74" i="14" s="1"/>
  <c r="BF74" i="14" s="1"/>
  <c r="AW57" i="14"/>
  <c r="AW56" i="14"/>
  <c r="AW59" i="14"/>
  <c r="AW87" i="14"/>
  <c r="AW89" i="14"/>
  <c r="AW76" i="14"/>
  <c r="BA75" i="14" s="1"/>
  <c r="BE75" i="14" s="1"/>
  <c r="BF75" i="14" s="1"/>
  <c r="AW77" i="14"/>
  <c r="AW106" i="14"/>
  <c r="BA105" i="14" s="1"/>
  <c r="BE105" i="14" s="1"/>
  <c r="BF105" i="14" s="1"/>
  <c r="AW107" i="14"/>
  <c r="AW100" i="14"/>
  <c r="AW101" i="14"/>
  <c r="BA59" i="14"/>
  <c r="BE59" i="14" s="1"/>
  <c r="AW82" i="14"/>
  <c r="BA81" i="14" s="1"/>
  <c r="BE81" i="14" s="1"/>
  <c r="BF81" i="14" s="1"/>
  <c r="AW67" i="14"/>
  <c r="BA97" i="14"/>
  <c r="BE97" i="14" s="1"/>
  <c r="BF97" i="14" s="1"/>
  <c r="BA56" i="14"/>
  <c r="BE56" i="14" s="1"/>
  <c r="AW69" i="14"/>
  <c r="AW83" i="14"/>
  <c r="H81" i="14"/>
  <c r="W81" i="14" s="1"/>
  <c r="AW62" i="14"/>
  <c r="BA62" i="14" s="1"/>
  <c r="BE62" i="14" s="1"/>
  <c r="BF62" i="14" s="1"/>
  <c r="AW78" i="14"/>
  <c r="AW81" i="14"/>
  <c r="AW66" i="14"/>
  <c r="V80" i="14"/>
  <c r="W80" i="14"/>
  <c r="Y103" i="14"/>
  <c r="X103" i="14"/>
  <c r="W103" i="14"/>
  <c r="V103" i="14"/>
  <c r="BH65" i="14"/>
  <c r="BI65" i="14"/>
  <c r="BK65" i="14"/>
  <c r="BI84" i="14"/>
  <c r="BH84" i="14"/>
  <c r="BK84" i="14"/>
  <c r="BI72" i="14"/>
  <c r="BH72" i="14"/>
  <c r="BK72" i="14"/>
  <c r="H101" i="14"/>
  <c r="AT101" i="14"/>
  <c r="AC67" i="14"/>
  <c r="AB67" i="14"/>
  <c r="BI102" i="14"/>
  <c r="BK102" i="14"/>
  <c r="BH102" i="14"/>
  <c r="I73" i="14"/>
  <c r="K68" i="14"/>
  <c r="AT71" i="14"/>
  <c r="H71" i="14"/>
  <c r="BK79" i="14"/>
  <c r="BI79" i="14"/>
  <c r="BH79" i="14"/>
  <c r="K87" i="14"/>
  <c r="BI91" i="14"/>
  <c r="BK91" i="14"/>
  <c r="BH91" i="14"/>
  <c r="AU89" i="14"/>
  <c r="H89" i="14"/>
  <c r="AW73" i="14"/>
  <c r="BA73" i="14" s="1"/>
  <c r="BE73" i="14" s="1"/>
  <c r="BF73" i="14" s="1"/>
  <c r="AT106" i="14"/>
  <c r="H106" i="14"/>
  <c r="AW103" i="14"/>
  <c r="BA103" i="14" s="1"/>
  <c r="BE103" i="14" s="1"/>
  <c r="BF103" i="14" s="1"/>
  <c r="H111" i="14"/>
  <c r="AT111" i="14"/>
  <c r="AE106" i="14"/>
  <c r="I106" i="14" s="1"/>
  <c r="K106" i="14"/>
  <c r="AT53" i="14"/>
  <c r="K97" i="14"/>
  <c r="AA85" i="14"/>
  <c r="Z85" i="14"/>
  <c r="Z82" i="14"/>
  <c r="AA82" i="14"/>
  <c r="W112" i="14"/>
  <c r="V112" i="14"/>
  <c r="AV85" i="14"/>
  <c r="H85" i="14"/>
  <c r="AW102" i="14"/>
  <c r="K102" i="14"/>
  <c r="AA91" i="14"/>
  <c r="Z91" i="14"/>
  <c r="K83" i="14"/>
  <c r="AE83" i="14"/>
  <c r="I83" i="14" s="1"/>
  <c r="AT59" i="14"/>
  <c r="AA97" i="14"/>
  <c r="Z97" i="14"/>
  <c r="K71" i="14"/>
  <c r="AE71" i="14"/>
  <c r="I71" i="14" s="1"/>
  <c r="K81" i="14"/>
  <c r="H77" i="14"/>
  <c r="AT77" i="14"/>
  <c r="Z83" i="14"/>
  <c r="AA83" i="14"/>
  <c r="BH78" i="14"/>
  <c r="BK78" i="14"/>
  <c r="BI78" i="14"/>
  <c r="AA116" i="14"/>
  <c r="Z116" i="14"/>
  <c r="AU67" i="14"/>
  <c r="H67" i="14"/>
  <c r="BH81" i="14"/>
  <c r="BI81" i="14"/>
  <c r="BK81" i="14"/>
  <c r="AC112" i="14"/>
  <c r="AB112" i="14"/>
  <c r="AQ86" i="14"/>
  <c r="I86" i="14" s="1"/>
  <c r="K86" i="14"/>
  <c r="AE59" i="14"/>
  <c r="K76" i="14"/>
  <c r="AE76" i="14"/>
  <c r="I76" i="14" s="1"/>
  <c r="AA77" i="14"/>
  <c r="Z77" i="14"/>
  <c r="AW55" i="14"/>
  <c r="BA55" i="14" s="1"/>
  <c r="BE55" i="14" s="1"/>
  <c r="AA65" i="14"/>
  <c r="Z65" i="14"/>
  <c r="BI116" i="14"/>
  <c r="BH116" i="14"/>
  <c r="BK116" i="14"/>
  <c r="K116" i="14"/>
  <c r="AE116" i="14"/>
  <c r="I116" i="14" s="1"/>
  <c r="AU88" i="14"/>
  <c r="H88" i="14"/>
  <c r="Y112" i="14"/>
  <c r="X112" i="14"/>
  <c r="Z86" i="14"/>
  <c r="AA86" i="14"/>
  <c r="AE114" i="14"/>
  <c r="I114" i="14" s="1"/>
  <c r="K114" i="14"/>
  <c r="Z103" i="14"/>
  <c r="AA103" i="14"/>
  <c r="AA69" i="14"/>
  <c r="Z69" i="14"/>
  <c r="H62" i="14"/>
  <c r="H84" i="14"/>
  <c r="AT84" i="14"/>
  <c r="K108" i="14"/>
  <c r="AT76" i="14"/>
  <c r="H76" i="14"/>
  <c r="AE77" i="14"/>
  <c r="I77" i="14" s="1"/>
  <c r="K77" i="14"/>
  <c r="AT65" i="14"/>
  <c r="H65" i="14"/>
  <c r="AW71" i="14"/>
  <c r="H79" i="14"/>
  <c r="AT79" i="14"/>
  <c r="AI88" i="14"/>
  <c r="I88" i="14" s="1"/>
  <c r="K88" i="14"/>
  <c r="AW108" i="14"/>
  <c r="AW64" i="14"/>
  <c r="BA63" i="14" s="1"/>
  <c r="BE63" i="14" s="1"/>
  <c r="BF63" i="14" s="1"/>
  <c r="H114" i="14"/>
  <c r="AT114" i="14"/>
  <c r="BI82" i="14"/>
  <c r="BH82" i="14"/>
  <c r="BK82" i="14"/>
  <c r="K92" i="14"/>
  <c r="H69" i="14"/>
  <c r="AT69" i="14"/>
  <c r="AE74" i="14"/>
  <c r="I74" i="14" s="1"/>
  <c r="K74" i="14"/>
  <c r="I63" i="14"/>
  <c r="AA62" i="14"/>
  <c r="Z62" i="14"/>
  <c r="AE84" i="14"/>
  <c r="I84" i="14" s="1"/>
  <c r="K84" i="14"/>
  <c r="I108" i="14"/>
  <c r="AT55" i="14"/>
  <c r="Z70" i="14"/>
  <c r="AA70" i="14"/>
  <c r="BH62" i="14"/>
  <c r="BI62" i="14"/>
  <c r="BK62" i="14"/>
  <c r="AE53" i="14"/>
  <c r="AW58" i="14"/>
  <c r="BA58" i="14" s="1"/>
  <c r="BE58" i="14" s="1"/>
  <c r="K91" i="14"/>
  <c r="AE91" i="14"/>
  <c r="I91" i="14" s="1"/>
  <c r="I81" i="14"/>
  <c r="BA87" i="14"/>
  <c r="BE87" i="14" s="1"/>
  <c r="BF87" i="14" s="1"/>
  <c r="AA76" i="14"/>
  <c r="Z76" i="14"/>
  <c r="Z79" i="14"/>
  <c r="AA79" i="14"/>
  <c r="I92" i="14"/>
  <c r="K115" i="14"/>
  <c r="BI99" i="14"/>
  <c r="BH99" i="14"/>
  <c r="BK99" i="14"/>
  <c r="AA66" i="14"/>
  <c r="Z66" i="14"/>
  <c r="K104" i="14"/>
  <c r="AE104" i="14"/>
  <c r="I104" i="14" s="1"/>
  <c r="H90" i="14"/>
  <c r="AC72" i="14"/>
  <c r="AB72" i="14"/>
  <c r="I109" i="14"/>
  <c r="H73" i="14"/>
  <c r="X96" i="14"/>
  <c r="Y96" i="14"/>
  <c r="AW109" i="14"/>
  <c r="BA109" i="14" s="1"/>
  <c r="BE109" i="14" s="1"/>
  <c r="BF109" i="14" s="1"/>
  <c r="AE66" i="14"/>
  <c r="I66" i="14" s="1"/>
  <c r="K66" i="14"/>
  <c r="AT104" i="14"/>
  <c r="H104" i="14"/>
  <c r="AT64" i="14"/>
  <c r="H64" i="14"/>
  <c r="AI90" i="14"/>
  <c r="I90" i="14" s="1"/>
  <c r="K90" i="14"/>
  <c r="Z93" i="14"/>
  <c r="AA93" i="14"/>
  <c r="BI73" i="14"/>
  <c r="BK73" i="14"/>
  <c r="BH73" i="14"/>
  <c r="AW61" i="14"/>
  <c r="AE57" i="14"/>
  <c r="BK70" i="14"/>
  <c r="BI70" i="14"/>
  <c r="BH70" i="14"/>
  <c r="I72" i="14"/>
  <c r="K109" i="14"/>
  <c r="AW96" i="14"/>
  <c r="BA96" i="14" s="1"/>
  <c r="BE96" i="14" s="1"/>
  <c r="BF96" i="14" s="1"/>
  <c r="H96" i="14"/>
  <c r="H66" i="14"/>
  <c r="AT66" i="14"/>
  <c r="Z104" i="14"/>
  <c r="AA104" i="14"/>
  <c r="K64" i="14"/>
  <c r="AE64" i="14"/>
  <c r="I64" i="14" s="1"/>
  <c r="Z100" i="14"/>
  <c r="AA100" i="14"/>
  <c r="I100" i="14"/>
  <c r="AT93" i="14"/>
  <c r="H93" i="14"/>
  <c r="H105" i="14"/>
  <c r="AT105" i="14"/>
  <c r="AT75" i="14"/>
  <c r="H75" i="14"/>
  <c r="AB103" i="14"/>
  <c r="AC103" i="14"/>
  <c r="AQ70" i="14"/>
  <c r="I70" i="14" s="1"/>
  <c r="K70" i="14"/>
  <c r="X67" i="14"/>
  <c r="Y67" i="14"/>
  <c r="AM113" i="14"/>
  <c r="I113" i="14" s="1"/>
  <c r="K113" i="14"/>
  <c r="Z67" i="14"/>
  <c r="AA67" i="14"/>
  <c r="H70" i="14"/>
  <c r="H108" i="14"/>
  <c r="AU109" i="14"/>
  <c r="H109" i="14"/>
  <c r="I97" i="14"/>
  <c r="AE82" i="14"/>
  <c r="I82" i="14" s="1"/>
  <c r="K82" i="14"/>
  <c r="BI103" i="14"/>
  <c r="BH103" i="14"/>
  <c r="BK103" i="14"/>
  <c r="I62" i="14"/>
  <c r="AT82" i="14"/>
  <c r="H82" i="14"/>
  <c r="H87" i="14"/>
  <c r="H83" i="14"/>
  <c r="AT83" i="14"/>
  <c r="K62" i="14"/>
  <c r="AA71" i="14"/>
  <c r="Z71" i="14"/>
  <c r="I87" i="14"/>
  <c r="H86" i="14"/>
  <c r="AA114" i="14"/>
  <c r="Z114" i="14"/>
  <c r="AT74" i="14"/>
  <c r="H74" i="14"/>
  <c r="K93" i="14"/>
  <c r="AE93" i="14"/>
  <c r="I93" i="14" s="1"/>
  <c r="AT57" i="14"/>
  <c r="AU54" i="14"/>
  <c r="K100" i="14"/>
  <c r="AQ80" i="14"/>
  <c r="I80" i="14" s="1"/>
  <c r="K80" i="14"/>
  <c r="I98" i="14"/>
  <c r="AA94" i="14"/>
  <c r="Z94" i="14"/>
  <c r="K95" i="14"/>
  <c r="K107" i="14"/>
  <c r="AE107" i="14"/>
  <c r="I107" i="14" s="1"/>
  <c r="K89" i="14"/>
  <c r="AW90" i="14"/>
  <c r="BA90" i="14" s="1"/>
  <c r="BE90" i="14" s="1"/>
  <c r="BF90" i="14" s="1"/>
  <c r="AJ50" i="14"/>
  <c r="K111" i="14"/>
  <c r="AE111" i="14"/>
  <c r="I111" i="14" s="1"/>
  <c r="W102" i="14"/>
  <c r="V102" i="14"/>
  <c r="AE55" i="14"/>
  <c r="AW95" i="14"/>
  <c r="H95" i="14"/>
  <c r="AA111" i="14"/>
  <c r="Z111" i="14"/>
  <c r="AA106" i="14"/>
  <c r="Z106" i="14"/>
  <c r="Z78" i="14"/>
  <c r="AA78" i="14"/>
  <c r="BH110" i="14"/>
  <c r="BK110" i="14"/>
  <c r="BI110" i="14"/>
  <c r="BI104" i="14"/>
  <c r="BH104" i="14"/>
  <c r="BK104" i="14"/>
  <c r="H97" i="14"/>
  <c r="H78" i="14"/>
  <c r="AT78" i="14"/>
  <c r="K78" i="14"/>
  <c r="AE78" i="14"/>
  <c r="I78" i="14" s="1"/>
  <c r="H91" i="14"/>
  <c r="AT91" i="14"/>
  <c r="K73" i="14"/>
  <c r="AM85" i="14"/>
  <c r="I85" i="14" s="1"/>
  <c r="K85" i="14"/>
  <c r="BA88" i="14"/>
  <c r="BE88" i="14" s="1"/>
  <c r="BF88" i="14" s="1"/>
  <c r="H98" i="14"/>
  <c r="BI98" i="14"/>
  <c r="BH98" i="14"/>
  <c r="BK98" i="14"/>
  <c r="I115" i="14"/>
  <c r="BI97" i="14"/>
  <c r="BH97" i="14"/>
  <c r="BK97" i="14"/>
  <c r="K69" i="14"/>
  <c r="AE69" i="14"/>
  <c r="I69" i="14" s="1"/>
  <c r="K63" i="14"/>
  <c r="AA84" i="14"/>
  <c r="Z84" i="14"/>
  <c r="AE79" i="14"/>
  <c r="I79" i="14" s="1"/>
  <c r="K79" i="14"/>
  <c r="AA74" i="14"/>
  <c r="Z74" i="14"/>
  <c r="BK96" i="14"/>
  <c r="BH96" i="14"/>
  <c r="BI96" i="14"/>
  <c r="AE94" i="14"/>
  <c r="I94" i="14" s="1"/>
  <c r="K94" i="14"/>
  <c r="I95" i="14"/>
  <c r="Z81" i="14"/>
  <c r="AA81" i="14"/>
  <c r="AQ99" i="14"/>
  <c r="I99" i="14" s="1"/>
  <c r="K99" i="14"/>
  <c r="V68" i="14"/>
  <c r="W68" i="14"/>
  <c r="Z95" i="14"/>
  <c r="AA95" i="14"/>
  <c r="AW65" i="14"/>
  <c r="BH76" i="14"/>
  <c r="BI76" i="14"/>
  <c r="BK76" i="14"/>
  <c r="AW72" i="14"/>
  <c r="AE56" i="14"/>
  <c r="K98" i="14"/>
  <c r="AG6" i="14"/>
  <c r="AF6" i="14"/>
  <c r="AA102" i="14"/>
  <c r="Z102" i="14"/>
  <c r="H94" i="14"/>
  <c r="AT94" i="14"/>
  <c r="K96" i="14"/>
  <c r="Z107" i="14"/>
  <c r="AA107" i="14"/>
  <c r="AA101" i="14"/>
  <c r="Z101" i="14"/>
  <c r="AA75" i="14"/>
  <c r="Z75" i="14"/>
  <c r="H63" i="14"/>
  <c r="AE105" i="14"/>
  <c r="I105" i="14" s="1"/>
  <c r="K105" i="14"/>
  <c r="AW94" i="14"/>
  <c r="BA93" i="14" s="1"/>
  <c r="BE93" i="14" s="1"/>
  <c r="BF93" i="14" s="1"/>
  <c r="BI74" i="14"/>
  <c r="BH74" i="14"/>
  <c r="BK74" i="14"/>
  <c r="AV113" i="14"/>
  <c r="H113" i="14"/>
  <c r="AW92" i="14"/>
  <c r="BA92" i="14" s="1"/>
  <c r="BE92" i="14" s="1"/>
  <c r="BF92" i="14" s="1"/>
  <c r="H92" i="14"/>
  <c r="I68" i="14"/>
  <c r="H100" i="14"/>
  <c r="I102" i="14"/>
  <c r="H116" i="14"/>
  <c r="AT116" i="14"/>
  <c r="X9" i="14"/>
  <c r="AA9" i="14"/>
  <c r="Y9" i="14" s="1"/>
  <c r="AJ8" i="14" a="1"/>
  <c r="AE65" i="14"/>
  <c r="I65" i="14" s="1"/>
  <c r="K65" i="14"/>
  <c r="AA64" i="14"/>
  <c r="Z64" i="14"/>
  <c r="I89" i="14"/>
  <c r="BI101" i="14"/>
  <c r="BH101" i="14"/>
  <c r="BK101" i="14"/>
  <c r="H99" i="14"/>
  <c r="AU115" i="14"/>
  <c r="H115" i="14"/>
  <c r="H72" i="14"/>
  <c r="Z105" i="14"/>
  <c r="AA105" i="14"/>
  <c r="AW68" i="14"/>
  <c r="AT56" i="14"/>
  <c r="BI95" i="14"/>
  <c r="BH95" i="14"/>
  <c r="BK95" i="14"/>
  <c r="AW84" i="14"/>
  <c r="BA84" i="14" s="1"/>
  <c r="BE84" i="14" s="1"/>
  <c r="BF84" i="14" s="1"/>
  <c r="BI86" i="14"/>
  <c r="BK86" i="14"/>
  <c r="BH86" i="14"/>
  <c r="AT107" i="14"/>
  <c r="H107" i="14"/>
  <c r="AE101" i="14"/>
  <c r="I101" i="14" s="1"/>
  <c r="K101" i="14"/>
  <c r="K75" i="14"/>
  <c r="AE75" i="14"/>
  <c r="I75" i="14" s="1"/>
  <c r="BA76" i="14" l="1"/>
  <c r="BE76" i="14" s="1"/>
  <c r="BF76" i="14" s="1"/>
  <c r="BA66" i="14"/>
  <c r="BE66" i="14" s="1"/>
  <c r="BF66" i="14" s="1"/>
  <c r="BA71" i="14"/>
  <c r="BE71" i="14" s="1"/>
  <c r="BF71" i="14" s="1"/>
  <c r="BA77" i="14"/>
  <c r="BE77" i="14" s="1"/>
  <c r="BF77" i="14" s="1"/>
  <c r="BA82" i="14"/>
  <c r="BE82" i="14" s="1"/>
  <c r="BF82" i="14" s="1"/>
  <c r="BA100" i="14"/>
  <c r="BE100" i="14" s="1"/>
  <c r="BF100" i="14" s="1"/>
  <c r="V81" i="14"/>
  <c r="BA78" i="14"/>
  <c r="BE78" i="14" s="1"/>
  <c r="BF78" i="14" s="1"/>
  <c r="BA95" i="14"/>
  <c r="BE95" i="14" s="1"/>
  <c r="BF95" i="14" s="1"/>
  <c r="BA65" i="14"/>
  <c r="BE65" i="14" s="1"/>
  <c r="BF65" i="14" s="1"/>
  <c r="AW70" i="14"/>
  <c r="BA70" i="14" s="1"/>
  <c r="BE70" i="14" s="1"/>
  <c r="BF70" i="14" s="1"/>
  <c r="BA108" i="14"/>
  <c r="BE108" i="14" s="1"/>
  <c r="BF108" i="14" s="1"/>
  <c r="BA106" i="14"/>
  <c r="BE106" i="14" s="1"/>
  <c r="BF106" i="14" s="1"/>
  <c r="BA107" i="14"/>
  <c r="BE107" i="14" s="1"/>
  <c r="BF107" i="14" s="1"/>
  <c r="BA61" i="14"/>
  <c r="BE61" i="14" s="1"/>
  <c r="BA57" i="14"/>
  <c r="BE57" i="14" s="1"/>
  <c r="BA68" i="14"/>
  <c r="BE68" i="14" s="1"/>
  <c r="BF68" i="14" s="1"/>
  <c r="AC85" i="14"/>
  <c r="AB85" i="14"/>
  <c r="X104" i="14"/>
  <c r="Y104" i="14"/>
  <c r="AC73" i="14"/>
  <c r="AB73" i="14"/>
  <c r="AC104" i="14"/>
  <c r="AB104" i="14"/>
  <c r="AB92" i="14"/>
  <c r="AC92" i="14"/>
  <c r="W85" i="14"/>
  <c r="V85" i="14"/>
  <c r="X102" i="14"/>
  <c r="Y102" i="14"/>
  <c r="W91" i="14"/>
  <c r="V91" i="14"/>
  <c r="AC62" i="14"/>
  <c r="AB62" i="14"/>
  <c r="V83" i="14"/>
  <c r="W83" i="14"/>
  <c r="Y69" i="14"/>
  <c r="X69" i="14"/>
  <c r="W96" i="14"/>
  <c r="V96" i="14"/>
  <c r="AC76" i="14"/>
  <c r="AB76" i="14"/>
  <c r="X99" i="14"/>
  <c r="Y99" i="14"/>
  <c r="W82" i="14"/>
  <c r="V82" i="14"/>
  <c r="AB114" i="14"/>
  <c r="AC114" i="14"/>
  <c r="AB81" i="14"/>
  <c r="AC81" i="14"/>
  <c r="Y101" i="14"/>
  <c r="X101" i="14"/>
  <c r="Y111" i="14"/>
  <c r="X111" i="14"/>
  <c r="Y70" i="14"/>
  <c r="X70" i="14"/>
  <c r="AB109" i="14"/>
  <c r="AC109" i="14"/>
  <c r="AC66" i="14"/>
  <c r="AB66" i="14"/>
  <c r="BA91" i="14"/>
  <c r="BE91" i="14" s="1"/>
  <c r="BF91" i="14" s="1"/>
  <c r="AB88" i="14"/>
  <c r="AC88" i="14"/>
  <c r="Y114" i="14"/>
  <c r="X114" i="14"/>
  <c r="Y71" i="14"/>
  <c r="X71" i="14"/>
  <c r="AC87" i="14"/>
  <c r="AB87" i="14"/>
  <c r="W107" i="14"/>
  <c r="V107" i="14"/>
  <c r="W94" i="14"/>
  <c r="V94" i="14"/>
  <c r="AC111" i="14"/>
  <c r="AB111" i="14"/>
  <c r="Y93" i="14"/>
  <c r="X93" i="14"/>
  <c r="X62" i="14"/>
  <c r="Y62" i="14"/>
  <c r="X72" i="14"/>
  <c r="Y72" i="14"/>
  <c r="Y66" i="14"/>
  <c r="X66" i="14"/>
  <c r="Y92" i="14"/>
  <c r="X92" i="14"/>
  <c r="Y88" i="14"/>
  <c r="X88" i="14"/>
  <c r="AC86" i="14"/>
  <c r="AB86" i="14"/>
  <c r="AC71" i="14"/>
  <c r="AB71" i="14"/>
  <c r="W70" i="14"/>
  <c r="V70" i="14"/>
  <c r="X64" i="14"/>
  <c r="Y64" i="14"/>
  <c r="BA102" i="14"/>
  <c r="BE102" i="14" s="1"/>
  <c r="BF102" i="14" s="1"/>
  <c r="Y80" i="14"/>
  <c r="X80" i="14"/>
  <c r="Y78" i="14"/>
  <c r="X78" i="14"/>
  <c r="V89" i="14"/>
  <c r="W89" i="14"/>
  <c r="Y113" i="14"/>
  <c r="X113" i="14"/>
  <c r="Y75" i="14"/>
  <c r="X75" i="14"/>
  <c r="W114" i="14"/>
  <c r="V114" i="14"/>
  <c r="V99" i="14"/>
  <c r="W99" i="14"/>
  <c r="W78" i="14"/>
  <c r="V78" i="14"/>
  <c r="AC115" i="14"/>
  <c r="AB115" i="14"/>
  <c r="BA101" i="14"/>
  <c r="BE101" i="14" s="1"/>
  <c r="BF101" i="14" s="1"/>
  <c r="W97" i="14"/>
  <c r="V97" i="14"/>
  <c r="AB70" i="14"/>
  <c r="AC70" i="14"/>
  <c r="W75" i="14"/>
  <c r="V75" i="14"/>
  <c r="AB84" i="14"/>
  <c r="AC84" i="14"/>
  <c r="W79" i="14"/>
  <c r="V79" i="14"/>
  <c r="AB97" i="14"/>
  <c r="AC97" i="14"/>
  <c r="AW80" i="14"/>
  <c r="AF45" i="14"/>
  <c r="AF50" i="14"/>
  <c r="AF46" i="14"/>
  <c r="AF47" i="14"/>
  <c r="AF49" i="14"/>
  <c r="AF48" i="14"/>
  <c r="AB94" i="14"/>
  <c r="AC94" i="14"/>
  <c r="W74" i="14"/>
  <c r="V74" i="14"/>
  <c r="Y84" i="14"/>
  <c r="X84" i="14"/>
  <c r="W71" i="14"/>
  <c r="V71" i="14"/>
  <c r="BA94" i="14"/>
  <c r="BE94" i="14" s="1"/>
  <c r="BF94" i="14" s="1"/>
  <c r="Y94" i="14"/>
  <c r="X94" i="14"/>
  <c r="AB89" i="14"/>
  <c r="AC89" i="14"/>
  <c r="AC82" i="14"/>
  <c r="AB82" i="14"/>
  <c r="W73" i="14"/>
  <c r="V73" i="14"/>
  <c r="W65" i="14"/>
  <c r="V65" i="14"/>
  <c r="W88" i="14"/>
  <c r="V88" i="14"/>
  <c r="V116" i="14"/>
  <c r="W116" i="14"/>
  <c r="AC80" i="14"/>
  <c r="AB80" i="14"/>
  <c r="V84" i="14"/>
  <c r="W84" i="14"/>
  <c r="AB113" i="14"/>
  <c r="AC113" i="14"/>
  <c r="V115" i="14"/>
  <c r="W115" i="14"/>
  <c r="AC78" i="14"/>
  <c r="AB78" i="14"/>
  <c r="V92" i="14"/>
  <c r="W92" i="14"/>
  <c r="Y76" i="14"/>
  <c r="X76" i="14"/>
  <c r="AC75" i="14"/>
  <c r="AB75" i="14"/>
  <c r="W104" i="14"/>
  <c r="V104" i="14"/>
  <c r="V77" i="14"/>
  <c r="W77" i="14"/>
  <c r="AC101" i="14"/>
  <c r="AB101" i="14"/>
  <c r="AB93" i="14"/>
  <c r="AC93" i="14"/>
  <c r="AC105" i="14"/>
  <c r="AB105" i="14"/>
  <c r="X107" i="14"/>
  <c r="Y107" i="14"/>
  <c r="AB106" i="14"/>
  <c r="AC106" i="14"/>
  <c r="Y105" i="14"/>
  <c r="X105" i="14"/>
  <c r="AC107" i="14"/>
  <c r="AB107" i="14"/>
  <c r="W93" i="14"/>
  <c r="V93" i="14"/>
  <c r="AC77" i="14"/>
  <c r="AB77" i="14"/>
  <c r="AC83" i="14"/>
  <c r="AB83" i="14"/>
  <c r="Y73" i="14"/>
  <c r="X73" i="14"/>
  <c r="W63" i="14"/>
  <c r="V63" i="14"/>
  <c r="X85" i="14"/>
  <c r="Y85" i="14"/>
  <c r="X87" i="14"/>
  <c r="Y87" i="14"/>
  <c r="AC108" i="14"/>
  <c r="AB108" i="14"/>
  <c r="AC102" i="14"/>
  <c r="AB102" i="14"/>
  <c r="V106" i="14"/>
  <c r="W106" i="14"/>
  <c r="AC64" i="14"/>
  <c r="AB64" i="14"/>
  <c r="W72" i="14"/>
  <c r="V72" i="14"/>
  <c r="Y68" i="14"/>
  <c r="X68" i="14"/>
  <c r="W64" i="14"/>
  <c r="V64" i="14"/>
  <c r="AC63" i="14"/>
  <c r="AB63" i="14"/>
  <c r="V66" i="14"/>
  <c r="W66" i="14"/>
  <c r="AB99" i="14"/>
  <c r="AC99" i="14"/>
  <c r="BA64" i="14"/>
  <c r="BE64" i="14" s="1"/>
  <c r="BF64" i="14" s="1"/>
  <c r="AW99" i="14"/>
  <c r="AC69" i="14"/>
  <c r="AB69" i="14"/>
  <c r="X108" i="14"/>
  <c r="Y108" i="14"/>
  <c r="X95" i="14"/>
  <c r="Y95" i="14"/>
  <c r="Y82" i="14"/>
  <c r="X82" i="14"/>
  <c r="AC68" i="14"/>
  <c r="AB68" i="14"/>
  <c r="Y97" i="14"/>
  <c r="X97" i="14"/>
  <c r="X81" i="14"/>
  <c r="Y81" i="14"/>
  <c r="Y63" i="14"/>
  <c r="X63" i="14"/>
  <c r="X116" i="14"/>
  <c r="Y116" i="14"/>
  <c r="X65" i="14"/>
  <c r="Y65" i="14"/>
  <c r="BA60" i="14"/>
  <c r="BE60" i="14" s="1"/>
  <c r="AC95" i="14"/>
  <c r="AB95" i="14"/>
  <c r="V86" i="14"/>
  <c r="W86" i="14"/>
  <c r="V109" i="14"/>
  <c r="W109" i="14"/>
  <c r="Y91" i="14"/>
  <c r="X91" i="14"/>
  <c r="AB74" i="14"/>
  <c r="AC74" i="14"/>
  <c r="X77" i="14"/>
  <c r="Y77" i="14"/>
  <c r="AB116" i="14"/>
  <c r="AC116" i="14"/>
  <c r="V67" i="14"/>
  <c r="W67" i="14"/>
  <c r="W108" i="14"/>
  <c r="V108" i="14"/>
  <c r="V69" i="14"/>
  <c r="W69" i="14"/>
  <c r="AB79" i="14"/>
  <c r="AC79" i="14"/>
  <c r="Y98" i="14"/>
  <c r="X98" i="14"/>
  <c r="Y79" i="14"/>
  <c r="X79" i="14"/>
  <c r="AB90" i="14"/>
  <c r="AC90" i="14"/>
  <c r="V95" i="14"/>
  <c r="W95" i="14"/>
  <c r="Y90" i="14"/>
  <c r="X90" i="14"/>
  <c r="V62" i="14"/>
  <c r="W62" i="14"/>
  <c r="V101" i="14"/>
  <c r="W101" i="14"/>
  <c r="W100" i="14"/>
  <c r="V100" i="14"/>
  <c r="AB100" i="14"/>
  <c r="AC100" i="14"/>
  <c r="AC96" i="14"/>
  <c r="AB96" i="14"/>
  <c r="W87" i="14"/>
  <c r="V87" i="14"/>
  <c r="W113" i="14"/>
  <c r="V113" i="14"/>
  <c r="BA67" i="14"/>
  <c r="BE67" i="14" s="1"/>
  <c r="BF67" i="14" s="1"/>
  <c r="AK50" i="14"/>
  <c r="AI50" i="14" s="1"/>
  <c r="AH50" i="14"/>
  <c r="AU50" i="14" s="1"/>
  <c r="AY50" i="14" s="1"/>
  <c r="BC50" i="14" s="1"/>
  <c r="AC17" i="14" s="1"/>
  <c r="AC19" i="14" s="1"/>
  <c r="X86" i="14"/>
  <c r="Y86" i="14"/>
  <c r="Y89" i="14"/>
  <c r="X89" i="14"/>
  <c r="X115" i="14"/>
  <c r="Y115" i="14"/>
  <c r="AB98" i="14"/>
  <c r="AC98" i="14"/>
  <c r="V105" i="14"/>
  <c r="W105" i="14"/>
  <c r="Y109" i="14"/>
  <c r="X109" i="14"/>
  <c r="X83" i="14"/>
  <c r="Y83" i="14"/>
  <c r="AB65" i="14"/>
  <c r="AC65" i="14"/>
  <c r="W98" i="14"/>
  <c r="V98" i="14"/>
  <c r="X106" i="14"/>
  <c r="Y106" i="14"/>
  <c r="AK8" i="14"/>
  <c r="AJ8" i="14"/>
  <c r="BA89" i="14"/>
  <c r="BE89" i="14" s="1"/>
  <c r="BF89" i="14" s="1"/>
  <c r="BA72" i="14"/>
  <c r="BE72" i="14" s="1"/>
  <c r="BF72" i="14" s="1"/>
  <c r="BA83" i="14"/>
  <c r="BE83" i="14" s="1"/>
  <c r="BF83" i="14" s="1"/>
  <c r="AW86" i="14"/>
  <c r="Y100" i="14"/>
  <c r="X100" i="14"/>
  <c r="W90" i="14"/>
  <c r="V90" i="14"/>
  <c r="AC91" i="14"/>
  <c r="AB91" i="14"/>
  <c r="X74" i="14"/>
  <c r="Y74" i="14"/>
  <c r="V76" i="14"/>
  <c r="W76" i="14"/>
  <c r="W111" i="14"/>
  <c r="V111" i="14"/>
  <c r="BA69" i="14" l="1"/>
  <c r="BE69" i="14" s="1"/>
  <c r="BF69" i="14" s="1"/>
  <c r="AD45" i="14"/>
  <c r="AG45" i="14"/>
  <c r="J45" i="14"/>
  <c r="J46" i="14"/>
  <c r="AD46" i="14"/>
  <c r="AG46" i="14"/>
  <c r="AD50" i="14"/>
  <c r="AG50" i="14"/>
  <c r="J49" i="14"/>
  <c r="AG49" i="14"/>
  <c r="AD49" i="14"/>
  <c r="BA80" i="14"/>
  <c r="BE80" i="14" s="1"/>
  <c r="BF80" i="14" s="1"/>
  <c r="BA79" i="14"/>
  <c r="BE79" i="14" s="1"/>
  <c r="BF79" i="14" s="1"/>
  <c r="AN61" i="14"/>
  <c r="AN50" i="14"/>
  <c r="J50" i="14" s="1"/>
  <c r="AN60" i="14"/>
  <c r="AN52" i="14"/>
  <c r="AN59" i="14"/>
  <c r="AN56" i="14"/>
  <c r="AN51" i="14"/>
  <c r="AN53" i="14"/>
  <c r="AN55" i="14"/>
  <c r="AN54" i="14"/>
  <c r="AN58" i="14"/>
  <c r="AN57" i="14"/>
  <c r="J48" i="14"/>
  <c r="AG48" i="14"/>
  <c r="AD48" i="14"/>
  <c r="AG47" i="14"/>
  <c r="J47" i="14"/>
  <c r="AD47" i="14"/>
  <c r="BA99" i="14"/>
  <c r="BE99" i="14" s="1"/>
  <c r="BF99" i="14" s="1"/>
  <c r="BA98" i="14"/>
  <c r="BE98" i="14" s="1"/>
  <c r="BF98" i="14" s="1"/>
  <c r="BA86" i="14"/>
  <c r="BE86" i="14" s="1"/>
  <c r="BF86" i="14" s="1"/>
  <c r="BA85" i="14"/>
  <c r="BE85" i="14" s="1"/>
  <c r="BF85" i="14" s="1"/>
  <c r="AA50" i="14" l="1"/>
  <c r="Z50" i="14"/>
  <c r="AL60" i="14"/>
  <c r="AO60" i="14"/>
  <c r="J60" i="14"/>
  <c r="AL61" i="14"/>
  <c r="AO61" i="14"/>
  <c r="J61" i="14"/>
  <c r="H47" i="14"/>
  <c r="K49" i="14"/>
  <c r="AE49" i="14"/>
  <c r="I49" i="14" s="1"/>
  <c r="H50" i="14"/>
  <c r="AL58" i="14"/>
  <c r="AO58" i="14"/>
  <c r="J58" i="14"/>
  <c r="AO54" i="14"/>
  <c r="AL54" i="14"/>
  <c r="J54" i="14"/>
  <c r="AL55" i="14"/>
  <c r="AO55" i="14"/>
  <c r="J55" i="14"/>
  <c r="AO53" i="14"/>
  <c r="AL53" i="14"/>
  <c r="J53" i="14"/>
  <c r="AE45" i="14"/>
  <c r="I45" i="14" s="1"/>
  <c r="K45" i="14"/>
  <c r="AO59" i="14"/>
  <c r="AL59" i="14"/>
  <c r="J59" i="14"/>
  <c r="AO50" i="14"/>
  <c r="AM50" i="14" s="1"/>
  <c r="AL50" i="14"/>
  <c r="AV50" i="14" s="1"/>
  <c r="H49" i="14"/>
  <c r="AT49" i="14"/>
  <c r="Z49" i="14"/>
  <c r="AA49" i="14"/>
  <c r="AE50" i="14"/>
  <c r="I50" i="14" s="1"/>
  <c r="K50" i="14"/>
  <c r="AA48" i="14"/>
  <c r="Z48" i="14"/>
  <c r="K46" i="14"/>
  <c r="AE46" i="14"/>
  <c r="I46" i="14" s="1"/>
  <c r="AA46" i="14"/>
  <c r="Z46" i="14"/>
  <c r="Z45" i="14"/>
  <c r="AA45" i="14"/>
  <c r="AO51" i="14"/>
  <c r="AL51" i="14"/>
  <c r="J51" i="14"/>
  <c r="H45" i="14"/>
  <c r="AT45" i="14"/>
  <c r="AX45" i="14" s="1"/>
  <c r="BB45" i="14" s="1"/>
  <c r="AL52" i="14"/>
  <c r="AO52" i="14"/>
  <c r="J52" i="14"/>
  <c r="AA47" i="14"/>
  <c r="Z47" i="14"/>
  <c r="K47" i="14"/>
  <c r="AE47" i="14"/>
  <c r="I47" i="14" s="1"/>
  <c r="AT48" i="14"/>
  <c r="AX48" i="14" s="1"/>
  <c r="BB48" i="14" s="1"/>
  <c r="BF48" i="14" s="1"/>
  <c r="H48" i="14"/>
  <c r="K48" i="14"/>
  <c r="AE48" i="14"/>
  <c r="I48" i="14" s="1"/>
  <c r="AO57" i="14"/>
  <c r="AL57" i="14"/>
  <c r="J57" i="14"/>
  <c r="AT46" i="14"/>
  <c r="H46" i="14"/>
  <c r="AO56" i="14"/>
  <c r="AL56" i="14"/>
  <c r="J56" i="14"/>
  <c r="AC23" i="14"/>
  <c r="Z54" i="14" l="1"/>
  <c r="AA54" i="14"/>
  <c r="H54" i="14"/>
  <c r="AA58" i="14"/>
  <c r="Z58" i="14"/>
  <c r="H58" i="14"/>
  <c r="AM52" i="14"/>
  <c r="I52" i="14" s="1"/>
  <c r="K52" i="14"/>
  <c r="Z56" i="14"/>
  <c r="AA56" i="14"/>
  <c r="X50" i="14"/>
  <c r="Y50" i="14"/>
  <c r="AA52" i="14"/>
  <c r="Z52" i="14"/>
  <c r="V49" i="14"/>
  <c r="W49" i="14"/>
  <c r="AC30" i="14"/>
  <c r="AC25" i="14"/>
  <c r="AC49" i="14"/>
  <c r="AB49" i="14"/>
  <c r="Z51" i="14"/>
  <c r="AA51" i="14"/>
  <c r="H51" i="14"/>
  <c r="V46" i="14"/>
  <c r="W46" i="14"/>
  <c r="AC45" i="14"/>
  <c r="AB45" i="14"/>
  <c r="AA53" i="14"/>
  <c r="Z53" i="14"/>
  <c r="H61" i="14"/>
  <c r="Y47" i="14"/>
  <c r="X47" i="14"/>
  <c r="AC47" i="14"/>
  <c r="AB47" i="14"/>
  <c r="AT50" i="14"/>
  <c r="AX50" i="14" s="1"/>
  <c r="BB50" i="14" s="1"/>
  <c r="Y49" i="14"/>
  <c r="X49" i="14"/>
  <c r="W45" i="14"/>
  <c r="V45" i="14"/>
  <c r="AT47" i="14"/>
  <c r="AX47" i="14" s="1"/>
  <c r="BB47" i="14" s="1"/>
  <c r="BF47" i="14" s="1"/>
  <c r="AM56" i="14"/>
  <c r="I56" i="14" s="1"/>
  <c r="K56" i="14"/>
  <c r="AM59" i="14"/>
  <c r="I59" i="14" s="1"/>
  <c r="K59" i="14"/>
  <c r="AA61" i="14"/>
  <c r="Z61" i="14"/>
  <c r="Y45" i="14"/>
  <c r="X45" i="14"/>
  <c r="AA57" i="14"/>
  <c r="Z57" i="14"/>
  <c r="H57" i="14"/>
  <c r="H53" i="14"/>
  <c r="AM57" i="14"/>
  <c r="I57" i="14" s="1"/>
  <c r="K57" i="14"/>
  <c r="AM60" i="14"/>
  <c r="I60" i="14" s="1"/>
  <c r="K60" i="14"/>
  <c r="Y46" i="14"/>
  <c r="X46" i="14"/>
  <c r="Z55" i="14"/>
  <c r="AA55" i="14"/>
  <c r="AB48" i="14"/>
  <c r="AC48" i="14"/>
  <c r="AB46" i="14"/>
  <c r="AC46" i="14"/>
  <c r="AM55" i="14"/>
  <c r="I55" i="14" s="1"/>
  <c r="K55" i="14"/>
  <c r="AC50" i="14"/>
  <c r="AB50" i="14"/>
  <c r="AM54" i="14"/>
  <c r="I54" i="14" s="1"/>
  <c r="K54" i="14"/>
  <c r="AM58" i="14"/>
  <c r="I58" i="14" s="1"/>
  <c r="K58" i="14"/>
  <c r="W50" i="14"/>
  <c r="V50" i="14"/>
  <c r="H52" i="14"/>
  <c r="BF45" i="14"/>
  <c r="AA59" i="14"/>
  <c r="Z59" i="14"/>
  <c r="AV56" i="14"/>
  <c r="H56" i="14"/>
  <c r="H59" i="14"/>
  <c r="V47" i="14"/>
  <c r="W47" i="14"/>
  <c r="AM51" i="14"/>
  <c r="I51" i="14" s="1"/>
  <c r="K51" i="14"/>
  <c r="AM61" i="14"/>
  <c r="I61" i="14" s="1"/>
  <c r="K61" i="14"/>
  <c r="AA60" i="14"/>
  <c r="Z60" i="14"/>
  <c r="AM53" i="14"/>
  <c r="I53" i="14" s="1"/>
  <c r="K53" i="14"/>
  <c r="Y48" i="14"/>
  <c r="X48" i="14"/>
  <c r="H60" i="14"/>
  <c r="W48" i="14"/>
  <c r="V48" i="14"/>
  <c r="H55" i="14"/>
  <c r="AV60" i="14" l="1"/>
  <c r="AX46" i="14"/>
  <c r="BB46" i="14" s="1"/>
  <c r="BF46" i="14" s="1"/>
  <c r="AV59" i="14"/>
  <c r="AX49" i="14"/>
  <c r="BB49" i="14" s="1"/>
  <c r="BF49" i="14" s="1"/>
  <c r="AZ59" i="14"/>
  <c r="BD59" i="14" s="1"/>
  <c r="BF59" i="14" s="1"/>
  <c r="AV53" i="14"/>
  <c r="AV57" i="14"/>
  <c r="AZ56" i="14" s="1"/>
  <c r="BD56" i="14" s="1"/>
  <c r="BF56" i="14" s="1"/>
  <c r="AV55" i="14"/>
  <c r="AZ55" i="14" s="1"/>
  <c r="BD55" i="14" s="1"/>
  <c r="BF55" i="14" s="1"/>
  <c r="AC61" i="14"/>
  <c r="AB61" i="14"/>
  <c r="X61" i="14"/>
  <c r="Y61" i="14"/>
  <c r="AB55" i="14"/>
  <c r="AC55" i="14"/>
  <c r="W61" i="14"/>
  <c r="V61" i="14"/>
  <c r="X55" i="14"/>
  <c r="Y55" i="14"/>
  <c r="AV61" i="14"/>
  <c r="AZ61" i="14" s="1"/>
  <c r="BD61" i="14" s="1"/>
  <c r="BF61" i="14" s="1"/>
  <c r="Y51" i="14"/>
  <c r="X51" i="14"/>
  <c r="Y52" i="14"/>
  <c r="X52" i="14"/>
  <c r="AC56" i="14"/>
  <c r="AB56" i="14"/>
  <c r="W58" i="14"/>
  <c r="V58" i="14"/>
  <c r="V60" i="14"/>
  <c r="W60" i="14"/>
  <c r="Y56" i="14"/>
  <c r="X56" i="14"/>
  <c r="AV58" i="14"/>
  <c r="AZ58" i="14" s="1"/>
  <c r="BD58" i="14" s="1"/>
  <c r="BF58" i="14" s="1"/>
  <c r="W53" i="14"/>
  <c r="V53" i="14"/>
  <c r="Y58" i="14"/>
  <c r="X58" i="14"/>
  <c r="AC54" i="14"/>
  <c r="AB54" i="14"/>
  <c r="V59" i="14"/>
  <c r="W59" i="14"/>
  <c r="AC58" i="14"/>
  <c r="AB58" i="14"/>
  <c r="V57" i="14"/>
  <c r="W57" i="14"/>
  <c r="X54" i="14"/>
  <c r="Y54" i="14"/>
  <c r="AC51" i="14"/>
  <c r="AB51" i="14"/>
  <c r="W55" i="14"/>
  <c r="V55" i="14"/>
  <c r="V56" i="14"/>
  <c r="W56" i="14"/>
  <c r="AB59" i="14"/>
  <c r="AC59" i="14"/>
  <c r="Y59" i="14"/>
  <c r="X59" i="14"/>
  <c r="AV51" i="14"/>
  <c r="AC60" i="14"/>
  <c r="AB60" i="14"/>
  <c r="V54" i="14"/>
  <c r="W54" i="14"/>
  <c r="AV52" i="14"/>
  <c r="AV54" i="14"/>
  <c r="Y53" i="14"/>
  <c r="X53" i="14"/>
  <c r="AC57" i="14"/>
  <c r="AB57" i="14"/>
  <c r="AB52" i="14"/>
  <c r="AC52" i="14"/>
  <c r="W51" i="14"/>
  <c r="V51" i="14"/>
  <c r="AC14" i="14"/>
  <c r="AC16" i="14" s="1"/>
  <c r="W52" i="14"/>
  <c r="V52" i="14"/>
  <c r="AC53" i="14"/>
  <c r="AB53" i="14"/>
  <c r="Y60" i="14"/>
  <c r="X60" i="14"/>
  <c r="X57" i="14"/>
  <c r="Y57" i="14"/>
  <c r="AZ52" i="14" l="1"/>
  <c r="BD52" i="14" s="1"/>
  <c r="BF52" i="14" s="1"/>
  <c r="AZ54" i="14"/>
  <c r="BD54" i="14" s="1"/>
  <c r="BF54" i="14" s="1"/>
  <c r="AZ53" i="14"/>
  <c r="BD53" i="14" s="1"/>
  <c r="BF53" i="14" s="1"/>
  <c r="AZ51" i="14"/>
  <c r="BD51" i="14" s="1"/>
  <c r="BF51" i="14" s="1"/>
  <c r="AZ50" i="14"/>
  <c r="BD50" i="14" s="1"/>
  <c r="AZ57" i="14"/>
  <c r="BD57" i="14" s="1"/>
  <c r="BF57" i="14" s="1"/>
  <c r="AZ60" i="14"/>
  <c r="BD60" i="14" s="1"/>
  <c r="BF60" i="14" s="1"/>
  <c r="AC20" i="14" l="1"/>
  <c r="AC22" i="14" s="1"/>
  <c r="AC29" i="14" s="1"/>
  <c r="AC31" i="14" s="1"/>
  <c r="AH14" i="14" s="1"/>
  <c r="BF50" i="14"/>
  <c r="AH17" i="14" l="1" a="1"/>
  <c r="AH17" i="14" s="1"/>
  <c r="AH15" i="14"/>
  <c r="AH23" i="14"/>
  <c r="AH18" i="14"/>
  <c r="AH19" i="14"/>
  <c r="AH20" i="14"/>
  <c r="AD106" i="13" l="1"/>
  <c r="AD105" i="13"/>
  <c r="AB105" i="13" s="1"/>
  <c r="AW105" i="13" s="1"/>
  <c r="BA104" i="13"/>
  <c r="BE104" i="13" s="1"/>
  <c r="BA103" i="13"/>
  <c r="BE103" i="13" s="1"/>
  <c r="AZ102" i="13"/>
  <c r="BD102" i="13" s="1"/>
  <c r="AD100" i="13"/>
  <c r="D99" i="13"/>
  <c r="D98" i="13"/>
  <c r="Z97" i="13"/>
  <c r="AA97" i="13" s="1"/>
  <c r="Y97" i="13" s="1"/>
  <c r="AY96" i="13"/>
  <c r="BC96" i="13" s="1"/>
  <c r="AD95" i="13"/>
  <c r="BA94" i="13"/>
  <c r="BE94" i="13" s="1"/>
  <c r="AY93" i="13"/>
  <c r="BC93" i="13" s="1"/>
  <c r="AD92" i="13"/>
  <c r="D92" i="13"/>
  <c r="BA91" i="13"/>
  <c r="BE91" i="13" s="1"/>
  <c r="AD90" i="13"/>
  <c r="AZ88" i="13"/>
  <c r="BD88" i="13" s="1"/>
  <c r="AY87" i="13"/>
  <c r="BC87" i="13" s="1"/>
  <c r="AH86" i="13"/>
  <c r="AY85" i="13"/>
  <c r="BC85" i="13" s="1"/>
  <c r="V84" i="13"/>
  <c r="AY82" i="13"/>
  <c r="BC82" i="13" s="1"/>
  <c r="AZ81" i="13"/>
  <c r="BD81" i="13" s="1"/>
  <c r="V80" i="13"/>
  <c r="D79" i="13"/>
  <c r="BB78" i="13"/>
  <c r="BF78" i="13" s="1"/>
  <c r="D77" i="13"/>
  <c r="AZ76" i="13"/>
  <c r="BD76" i="13" s="1"/>
  <c r="BB75" i="13"/>
  <c r="BF75" i="13" s="1"/>
  <c r="V74" i="13"/>
  <c r="AZ73" i="13"/>
  <c r="BD73" i="13" s="1"/>
  <c r="AZ72" i="13"/>
  <c r="BD72" i="13" s="1"/>
  <c r="BB71" i="13"/>
  <c r="BF71" i="13" s="1"/>
  <c r="AH70" i="13"/>
  <c r="AY69" i="13"/>
  <c r="BC69" i="13" s="1"/>
  <c r="BA68" i="13"/>
  <c r="BE68" i="13" s="1"/>
  <c r="AH66" i="13"/>
  <c r="AG66" i="13" s="1"/>
  <c r="V65" i="13"/>
  <c r="AH64" i="13"/>
  <c r="BA63" i="13"/>
  <c r="BE63" i="13" s="1"/>
  <c r="AY62" i="13"/>
  <c r="BC62" i="13" s="1"/>
  <c r="D60" i="13"/>
  <c r="D59" i="13"/>
  <c r="AY58" i="13"/>
  <c r="BC58" i="13" s="1"/>
  <c r="AY57" i="13"/>
  <c r="BC57" i="13" s="1"/>
  <c r="AH56" i="13"/>
  <c r="AI56" i="13" s="1"/>
  <c r="BB55" i="13"/>
  <c r="BF55" i="13" s="1"/>
  <c r="V54" i="13"/>
  <c r="BA52" i="13"/>
  <c r="BE52" i="13" s="1"/>
  <c r="D50" i="13"/>
  <c r="AD48" i="13"/>
  <c r="BB47" i="13"/>
  <c r="BF47" i="13" s="1"/>
  <c r="D47" i="13"/>
  <c r="AD46" i="13"/>
  <c r="D46" i="13"/>
  <c r="AX45" i="13"/>
  <c r="AH45" i="13"/>
  <c r="AI45" i="13" s="1"/>
  <c r="D45" i="13"/>
  <c r="D26" i="13"/>
  <c r="AR25" i="13"/>
  <c r="C17" i="13"/>
  <c r="C16" i="13"/>
  <c r="C15" i="13"/>
  <c r="AB12" i="13"/>
  <c r="X10" i="13"/>
  <c r="T10" i="13"/>
  <c r="U10" i="13" s="1"/>
  <c r="I10" i="13"/>
  <c r="T9" i="13"/>
  <c r="O9" i="13"/>
  <c r="N9" i="13"/>
  <c r="I9" i="13"/>
  <c r="U8" i="13"/>
  <c r="O8" i="13"/>
  <c r="N8" i="13"/>
  <c r="I8" i="13"/>
  <c r="P54" i="13"/>
  <c r="R54" i="13" s="1"/>
  <c r="P7" i="13"/>
  <c r="O7" i="13"/>
  <c r="N7" i="13"/>
  <c r="Q6" i="13"/>
  <c r="O6" i="13"/>
  <c r="N6" i="13"/>
  <c r="I6" i="13"/>
  <c r="I7" i="13" s="1"/>
  <c r="E7" i="13"/>
  <c r="D7" i="13"/>
  <c r="C7" i="13"/>
  <c r="BF107" i="13"/>
  <c r="K13" i="6"/>
  <c r="J13" i="6"/>
  <c r="I13" i="6"/>
  <c r="U12" i="6" s="1"/>
  <c r="H13" i="6"/>
  <c r="R12" i="6" a="1"/>
  <c r="S12" i="6" s="1"/>
  <c r="H12" i="6"/>
  <c r="AG11" i="6"/>
  <c r="AC11" i="6" a="1"/>
  <c r="AC11" i="6" s="1"/>
  <c r="AA11" i="6" a="1"/>
  <c r="AB11" i="6" s="1"/>
  <c r="Y11" i="6" a="1"/>
  <c r="Z11" i="6" s="1"/>
  <c r="W11" i="6" a="1"/>
  <c r="W11" i="6" s="1"/>
  <c r="R11" i="6" a="1"/>
  <c r="S11" i="6" s="1"/>
  <c r="P11" i="6"/>
  <c r="Q11" i="6" s="1"/>
  <c r="O11" i="6"/>
  <c r="H11" i="6"/>
  <c r="AC10" i="6" a="1"/>
  <c r="AD10" i="6" s="1"/>
  <c r="AA10" i="6" a="1"/>
  <c r="AB10" i="6" s="1"/>
  <c r="Y10" i="6" a="1"/>
  <c r="Y10" i="6" s="1"/>
  <c r="W10" i="6" a="1"/>
  <c r="X10" i="6" s="1"/>
  <c r="R10" i="6" a="1"/>
  <c r="R10" i="6" s="1"/>
  <c r="P10" i="6"/>
  <c r="Q10" i="6" s="1"/>
  <c r="O10" i="6"/>
  <c r="H10" i="6"/>
  <c r="AG9" i="6"/>
  <c r="AC9" i="6" a="1"/>
  <c r="AD9" i="6" s="1"/>
  <c r="AA9" i="6" a="1"/>
  <c r="AA9" i="6" s="1"/>
  <c r="Y9" i="6" a="1"/>
  <c r="Z9" i="6" s="1"/>
  <c r="W9" i="6" a="1"/>
  <c r="X9" i="6" s="1"/>
  <c r="R9" i="6" a="1"/>
  <c r="R9" i="6" s="1"/>
  <c r="P9" i="6"/>
  <c r="Q9" i="6" s="1"/>
  <c r="O9" i="6"/>
  <c r="H9" i="6"/>
  <c r="AG8" i="6"/>
  <c r="AC8" i="6" a="1"/>
  <c r="AC8" i="6" s="1"/>
  <c r="AA8" i="6" a="1"/>
  <c r="AB8" i="6" s="1"/>
  <c r="Y8" i="6" a="1"/>
  <c r="Z8" i="6" s="1"/>
  <c r="W8" i="6" a="1"/>
  <c r="X8" i="6" s="1"/>
  <c r="R8" i="6" a="1"/>
  <c r="S8" i="6" s="1"/>
  <c r="P8" i="6"/>
  <c r="Q8" i="6" s="1"/>
  <c r="O8" i="6"/>
  <c r="H8" i="6"/>
  <c r="AG7" i="6"/>
  <c r="AC7" i="6" a="1"/>
  <c r="AD7" i="6" s="1"/>
  <c r="AA7" i="6" a="1"/>
  <c r="AB7" i="6" s="1"/>
  <c r="Y7" i="6" a="1"/>
  <c r="Z7" i="6" s="1"/>
  <c r="W7" i="6" a="1"/>
  <c r="W7" i="6" s="1"/>
  <c r="R7" i="6" a="1"/>
  <c r="S7" i="6" s="1"/>
  <c r="P7" i="6"/>
  <c r="Q7" i="6" s="1"/>
  <c r="O7" i="6"/>
  <c r="H7" i="6"/>
  <c r="AG6" i="6"/>
  <c r="AC6" i="6" a="1"/>
  <c r="AD6" i="6" s="1"/>
  <c r="AA6" i="6" a="1"/>
  <c r="AA6" i="6" s="1"/>
  <c r="Y6" i="6" a="1"/>
  <c r="Y6" i="6" s="1"/>
  <c r="W6" i="6" a="1"/>
  <c r="X6" i="6" s="1"/>
  <c r="R6" i="6" a="1"/>
  <c r="S6" i="6" s="1"/>
  <c r="P6" i="6"/>
  <c r="O6" i="6"/>
  <c r="H6" i="6"/>
  <c r="I21" i="11"/>
  <c r="AH19" i="11"/>
  <c r="AH7" i="11"/>
  <c r="AH6" i="11"/>
  <c r="AH4" i="11"/>
  <c r="AC20" i="11"/>
  <c r="AC13" i="11"/>
  <c r="AC12" i="11"/>
  <c r="AC11" i="11"/>
  <c r="AC10" i="11"/>
  <c r="AC9" i="11"/>
  <c r="AC5" i="11"/>
  <c r="AC4" i="11"/>
  <c r="AC8" i="11" s="1"/>
  <c r="N5" i="11"/>
  <c r="N4" i="11"/>
  <c r="D16" i="11"/>
  <c r="S40" i="1"/>
  <c r="S39" i="1"/>
  <c r="S38" i="1"/>
  <c r="S37" i="1"/>
  <c r="S34" i="1"/>
  <c r="S33" i="1"/>
  <c r="S32" i="1"/>
  <c r="S31" i="1"/>
  <c r="S28" i="1"/>
  <c r="S27" i="1"/>
  <c r="S26" i="1"/>
  <c r="S25" i="1"/>
  <c r="AH23" i="1"/>
  <c r="T30" i="1" s="1"/>
  <c r="S30" i="1" s="1"/>
  <c r="AF23" i="1"/>
  <c r="AD23" i="1"/>
  <c r="T36" i="1" s="1"/>
  <c r="S36" i="1" s="1"/>
  <c r="AB23" i="1"/>
  <c r="T29" i="1" s="1"/>
  <c r="S29" i="1" s="1"/>
  <c r="S22" i="1"/>
  <c r="S21" i="1"/>
  <c r="S20" i="1"/>
  <c r="S18" i="1"/>
  <c r="S17" i="1"/>
  <c r="S16" i="1"/>
  <c r="S15" i="1"/>
  <c r="S14" i="1"/>
  <c r="X6" i="1"/>
  <c r="W6" i="1"/>
  <c r="D7" i="1" s="1" a="1"/>
  <c r="D7" i="1" s="1"/>
  <c r="AN3" i="1"/>
  <c r="T24" i="1" s="1"/>
  <c r="S24" i="1" s="1"/>
  <c r="AL3" i="1"/>
  <c r="T23" i="1" s="1"/>
  <c r="S23" i="1" s="1"/>
  <c r="AJ3" i="1"/>
  <c r="T19" i="1" s="1"/>
  <c r="S19" i="1" s="1"/>
  <c r="AH3" i="1"/>
  <c r="T13" i="1" s="1"/>
  <c r="S13" i="1" s="1"/>
  <c r="AF3" i="1"/>
  <c r="T11" i="1" s="1"/>
  <c r="S11" i="1" s="1"/>
  <c r="AD3" i="1"/>
  <c r="T9" i="1" s="1"/>
  <c r="S9" i="1" s="1"/>
  <c r="AB3" i="1"/>
  <c r="T7" i="1" s="1"/>
  <c r="S7" i="1" s="1"/>
  <c r="T8" i="1" l="1"/>
  <c r="D70" i="13"/>
  <c r="D88" i="13"/>
  <c r="AM79" i="13"/>
  <c r="D54" i="13"/>
  <c r="D93" i="13"/>
  <c r="D68" i="13"/>
  <c r="D71" i="13"/>
  <c r="D62" i="13"/>
  <c r="BA93" i="13"/>
  <c r="BE93" i="13" s="1"/>
  <c r="D97" i="13"/>
  <c r="AZ79" i="13"/>
  <c r="BD79" i="13" s="1"/>
  <c r="Q98" i="13"/>
  <c r="S98" i="13" s="1"/>
  <c r="AP103" i="13"/>
  <c r="D66" i="13"/>
  <c r="AM52" i="13"/>
  <c r="AN52" i="13" s="1"/>
  <c r="AZ98" i="13"/>
  <c r="BD98" i="13" s="1"/>
  <c r="Z79" i="13"/>
  <c r="X79" i="13" s="1"/>
  <c r="AV79" i="13" s="1"/>
  <c r="BA98" i="13"/>
  <c r="BE98" i="13" s="1"/>
  <c r="D65" i="13"/>
  <c r="AH79" i="13"/>
  <c r="AI79" i="13" s="1"/>
  <c r="D82" i="13"/>
  <c r="D102" i="13"/>
  <c r="D105" i="13"/>
  <c r="Z74" i="13"/>
  <c r="AA74" i="13" s="1"/>
  <c r="Y74" i="13" s="1"/>
  <c r="BB79" i="13"/>
  <c r="BF79" i="13" s="1"/>
  <c r="BA102" i="13"/>
  <c r="BE102" i="13" s="1"/>
  <c r="AZ50" i="13"/>
  <c r="BD50" i="13" s="1"/>
  <c r="AH74" i="13"/>
  <c r="AI74" i="13" s="1"/>
  <c r="AM77" i="13"/>
  <c r="AN77" i="13" s="1"/>
  <c r="BA50" i="13"/>
  <c r="BE50" i="13" s="1"/>
  <c r="AH69" i="13"/>
  <c r="AF69" i="13" s="1"/>
  <c r="AX69" i="13" s="1"/>
  <c r="AZ74" i="13"/>
  <c r="BD74" i="13" s="1"/>
  <c r="Z98" i="13"/>
  <c r="AA98" i="13" s="1"/>
  <c r="Y98" i="13" s="1"/>
  <c r="AZ100" i="13"/>
  <c r="BD100" i="13" s="1"/>
  <c r="Q82" i="13"/>
  <c r="S82" i="13" s="1"/>
  <c r="AM56" i="13"/>
  <c r="AM103" i="13"/>
  <c r="AN103" i="13" s="1"/>
  <c r="AM48" i="13"/>
  <c r="AN48" i="13" s="1"/>
  <c r="V69" i="13"/>
  <c r="T69" i="13" s="1"/>
  <c r="AU69" i="13" s="1"/>
  <c r="Q79" i="13"/>
  <c r="S79" i="13" s="1"/>
  <c r="BA45" i="13"/>
  <c r="BE45" i="13" s="1"/>
  <c r="BA66" i="13"/>
  <c r="BE66" i="13" s="1"/>
  <c r="AD98" i="13"/>
  <c r="AB98" i="13" s="1"/>
  <c r="AW98" i="13" s="1"/>
  <c r="Z88" i="13"/>
  <c r="AA88" i="13" s="1"/>
  <c r="Y88" i="13" s="1"/>
  <c r="BB45" i="13"/>
  <c r="BF45" i="13" s="1"/>
  <c r="BB66" i="13"/>
  <c r="BF66" i="13" s="1"/>
  <c r="BB50" i="13"/>
  <c r="BF50" i="13" s="1"/>
  <c r="AZ82" i="13"/>
  <c r="BD82" i="13" s="1"/>
  <c r="AH54" i="13"/>
  <c r="AG54" i="13" s="1"/>
  <c r="AM95" i="13"/>
  <c r="AN95" i="13" s="1"/>
  <c r="V98" i="13"/>
  <c r="T98" i="13" s="1"/>
  <c r="AU98" i="13" s="1"/>
  <c r="AM64" i="13"/>
  <c r="AN64" i="13" s="1"/>
  <c r="AP71" i="13"/>
  <c r="R9" i="13"/>
  <c r="AP49" i="13"/>
  <c r="AY54" i="13"/>
  <c r="BC54" i="13" s="1"/>
  <c r="D58" i="13"/>
  <c r="AP67" i="13"/>
  <c r="D87" i="13"/>
  <c r="V82" i="13"/>
  <c r="T82" i="13" s="1"/>
  <c r="AU82" i="13" s="1"/>
  <c r="Z82" i="13"/>
  <c r="X82" i="13" s="1"/>
  <c r="AV82" i="13" s="1"/>
  <c r="AP51" i="13"/>
  <c r="AY105" i="13"/>
  <c r="BC105" i="13" s="1"/>
  <c r="BB48" i="13"/>
  <c r="BF48" i="13" s="1"/>
  <c r="AZ86" i="13"/>
  <c r="BD86" i="13" s="1"/>
  <c r="AM89" i="13"/>
  <c r="AN89" i="13" s="1"/>
  <c r="X97" i="13"/>
  <c r="AV97" i="13" s="1"/>
  <c r="BA105" i="13"/>
  <c r="BE105" i="13" s="1"/>
  <c r="AM102" i="13"/>
  <c r="AN102" i="13" s="1"/>
  <c r="AY56" i="13"/>
  <c r="BC56" i="13" s="1"/>
  <c r="D78" i="13"/>
  <c r="D80" i="13"/>
  <c r="AM84" i="13"/>
  <c r="AN84" i="13" s="1"/>
  <c r="BB86" i="13"/>
  <c r="BF86" i="13" s="1"/>
  <c r="D95" i="13"/>
  <c r="AY98" i="13"/>
  <c r="BC98" i="13" s="1"/>
  <c r="V97" i="13"/>
  <c r="T97" i="13" s="1"/>
  <c r="BB56" i="13"/>
  <c r="BF56" i="13" s="1"/>
  <c r="Z80" i="13"/>
  <c r="AA80" i="13" s="1"/>
  <c r="Y80" i="13" s="1"/>
  <c r="AY103" i="13"/>
  <c r="BC103" i="13" s="1"/>
  <c r="AH80" i="13"/>
  <c r="AI80" i="13" s="1"/>
  <c r="AM85" i="13"/>
  <c r="AN85" i="13" s="1"/>
  <c r="AY97" i="13"/>
  <c r="BC97" i="13" s="1"/>
  <c r="AM47" i="13"/>
  <c r="AN47" i="13" s="1"/>
  <c r="AM76" i="13"/>
  <c r="AN76" i="13" s="1"/>
  <c r="V93" i="13"/>
  <c r="W93" i="13" s="1"/>
  <c r="U93" i="13" s="1"/>
  <c r="BA95" i="13"/>
  <c r="BE95" i="13" s="1"/>
  <c r="AZ97" i="13"/>
  <c r="BD97" i="13" s="1"/>
  <c r="AY81" i="13"/>
  <c r="BC81" i="13" s="1"/>
  <c r="AM65" i="13"/>
  <c r="AN65" i="13" s="1"/>
  <c r="AD97" i="13"/>
  <c r="AB97" i="13" s="1"/>
  <c r="AW97" i="13" s="1"/>
  <c r="BA46" i="13"/>
  <c r="BE46" i="13" s="1"/>
  <c r="AZ92" i="13"/>
  <c r="BD92" i="13" s="1"/>
  <c r="AD52" i="13"/>
  <c r="Z50" i="13"/>
  <c r="AA50" i="13" s="1"/>
  <c r="Y50" i="13" s="1"/>
  <c r="AY80" i="13"/>
  <c r="BC80" i="13" s="1"/>
  <c r="AM93" i="13"/>
  <c r="AN93" i="13" s="1"/>
  <c r="BA97" i="13"/>
  <c r="BE97" i="13" s="1"/>
  <c r="Z102" i="13"/>
  <c r="AY86" i="13"/>
  <c r="BC86" i="13" s="1"/>
  <c r="Q68" i="13"/>
  <c r="S68" i="13" s="1"/>
  <c r="AM97" i="13"/>
  <c r="AN97" i="13" s="1"/>
  <c r="Q57" i="13"/>
  <c r="S57" i="13" s="1"/>
  <c r="AM73" i="13"/>
  <c r="AN73" i="13" s="1"/>
  <c r="V87" i="13"/>
  <c r="W87" i="13" s="1"/>
  <c r="V102" i="13"/>
  <c r="W102" i="13" s="1"/>
  <c r="U102" i="13" s="1"/>
  <c r="AD50" i="13"/>
  <c r="AB50" i="13" s="1"/>
  <c r="AW50" i="13" s="1"/>
  <c r="BA57" i="13"/>
  <c r="BE57" i="13" s="1"/>
  <c r="BB80" i="13"/>
  <c r="BF80" i="13" s="1"/>
  <c r="AZ99" i="13"/>
  <c r="BD99" i="13" s="1"/>
  <c r="AH48" i="13"/>
  <c r="AF48" i="13" s="1"/>
  <c r="AX48" i="13" s="1"/>
  <c r="AH77" i="13"/>
  <c r="AI77" i="13" s="1"/>
  <c r="V86" i="13"/>
  <c r="W86" i="13" s="1"/>
  <c r="Z103" i="13"/>
  <c r="AA103" i="13" s="1"/>
  <c r="Y103" i="13" s="1"/>
  <c r="AD103" i="13"/>
  <c r="AB103" i="13" s="1"/>
  <c r="AW103" i="13" s="1"/>
  <c r="BA48" i="13"/>
  <c r="BE48" i="13" s="1"/>
  <c r="BB77" i="13"/>
  <c r="BF77" i="13" s="1"/>
  <c r="AM54" i="13"/>
  <c r="AN54" i="13" s="1"/>
  <c r="AY92" i="13"/>
  <c r="BC92" i="13" s="1"/>
  <c r="AZ103" i="13"/>
  <c r="BD103" i="13" s="1"/>
  <c r="BB70" i="13"/>
  <c r="BF70" i="13" s="1"/>
  <c r="AH76" i="13"/>
  <c r="AI76" i="13" s="1"/>
  <c r="BB57" i="13"/>
  <c r="BF57" i="13" s="1"/>
  <c r="AZ46" i="13"/>
  <c r="BD46" i="13" s="1"/>
  <c r="AH78" i="13"/>
  <c r="AI78" i="13" s="1"/>
  <c r="BB46" i="13"/>
  <c r="BF46" i="13" s="1"/>
  <c r="AZ45" i="13"/>
  <c r="BD45" i="13" s="1"/>
  <c r="D81" i="13"/>
  <c r="BB82" i="13"/>
  <c r="BF82" i="13" s="1"/>
  <c r="D86" i="13"/>
  <c r="AM96" i="13"/>
  <c r="AN96" i="13" s="1"/>
  <c r="T80" i="13"/>
  <c r="AU80" i="13" s="1"/>
  <c r="W80" i="13"/>
  <c r="U80" i="13" s="1"/>
  <c r="AI86" i="13"/>
  <c r="AG86" i="13"/>
  <c r="AF86" i="13"/>
  <c r="AX86" i="13" s="1"/>
  <c r="AG70" i="13"/>
  <c r="AI70" i="13"/>
  <c r="AF70" i="13"/>
  <c r="AX70" i="13" s="1"/>
  <c r="AE48" i="13"/>
  <c r="AC48" i="13" s="1"/>
  <c r="AB48" i="13"/>
  <c r="AW48" i="13" s="1"/>
  <c r="AF64" i="13"/>
  <c r="AX64" i="13" s="1"/>
  <c r="AG64" i="13"/>
  <c r="AE100" i="13"/>
  <c r="AC100" i="13" s="1"/>
  <c r="AB100" i="13"/>
  <c r="AW100" i="13" s="1"/>
  <c r="V63" i="13"/>
  <c r="W63" i="13" s="1"/>
  <c r="Q62" i="13"/>
  <c r="S62" i="13" s="1"/>
  <c r="AH63" i="13"/>
  <c r="AI63" i="13" s="1"/>
  <c r="Q58" i="13"/>
  <c r="S58" i="13" s="1"/>
  <c r="AP53" i="13"/>
  <c r="AH55" i="13"/>
  <c r="AI55" i="13" s="1"/>
  <c r="V58" i="13"/>
  <c r="AD58" i="13"/>
  <c r="AE58" i="13" s="1"/>
  <c r="AC58" i="13" s="1"/>
  <c r="AD62" i="13"/>
  <c r="AM63" i="13"/>
  <c r="AN63" i="13" s="1"/>
  <c r="R8" i="13"/>
  <c r="S10" i="13"/>
  <c r="AH58" i="13"/>
  <c r="AY63" i="13"/>
  <c r="BC63" i="13" s="1"/>
  <c r="AH10" i="6"/>
  <c r="AG10" i="6" s="1"/>
  <c r="Z46" i="13"/>
  <c r="AP55" i="13"/>
  <c r="AH62" i="13"/>
  <c r="P75" i="13"/>
  <c r="R75" i="13" s="1"/>
  <c r="AM45" i="13"/>
  <c r="AN45" i="13" s="1"/>
  <c r="BB58" i="13"/>
  <c r="BF58" i="13" s="1"/>
  <c r="BB62" i="13"/>
  <c r="BF62" i="13" s="1"/>
  <c r="AM70" i="13"/>
  <c r="AN70" i="13" s="1"/>
  <c r="AM90" i="13"/>
  <c r="AN90" i="13" s="1"/>
  <c r="AZ93" i="13"/>
  <c r="BD93" i="13" s="1"/>
  <c r="AY100" i="13"/>
  <c r="BC100" i="13" s="1"/>
  <c r="AM66" i="13"/>
  <c r="AN66" i="13" s="1"/>
  <c r="AM72" i="13"/>
  <c r="AN72" i="13" s="1"/>
  <c r="AM81" i="13"/>
  <c r="AN81" i="13" s="1"/>
  <c r="AM86" i="13"/>
  <c r="AN86" i="13" s="1"/>
  <c r="AN56" i="13"/>
  <c r="D63" i="13"/>
  <c r="Z76" i="13"/>
  <c r="X88" i="13"/>
  <c r="AV88" i="13" s="1"/>
  <c r="D94" i="13"/>
  <c r="AM88" i="13"/>
  <c r="AN88" i="13" s="1"/>
  <c r="D91" i="13"/>
  <c r="AD94" i="13"/>
  <c r="D100" i="13"/>
  <c r="AM101" i="13"/>
  <c r="AN101" i="13" s="1"/>
  <c r="V104" i="13"/>
  <c r="T104" i="13" s="1"/>
  <c r="AM104" i="13"/>
  <c r="AN104" i="13" s="1"/>
  <c r="V62" i="13"/>
  <c r="W62" i="13" s="1"/>
  <c r="AM69" i="13"/>
  <c r="AN69" i="13" s="1"/>
  <c r="AD91" i="13"/>
  <c r="AB91" i="13" s="1"/>
  <c r="AW91" i="13" s="1"/>
  <c r="AM94" i="13"/>
  <c r="AN94" i="13" s="1"/>
  <c r="V100" i="13"/>
  <c r="W100" i="13" s="1"/>
  <c r="D53" i="13"/>
  <c r="AD55" i="13"/>
  <c r="AB55" i="13" s="1"/>
  <c r="AW55" i="13" s="1"/>
  <c r="AM67" i="13"/>
  <c r="AN67" i="13" s="1"/>
  <c r="Z71" i="13"/>
  <c r="X71" i="13" s="1"/>
  <c r="AV71" i="13" s="1"/>
  <c r="AH73" i="13"/>
  <c r="AG73" i="13" s="1"/>
  <c r="AN79" i="13"/>
  <c r="AM91" i="13"/>
  <c r="AN91" i="13" s="1"/>
  <c r="T93" i="13"/>
  <c r="AU93" i="13" s="1"/>
  <c r="V96" i="13"/>
  <c r="T96" i="13" s="1"/>
  <c r="AU96" i="13" s="1"/>
  <c r="Z96" i="13"/>
  <c r="AA96" i="13" s="1"/>
  <c r="Y96" i="13" s="1"/>
  <c r="Z100" i="13"/>
  <c r="AY104" i="13"/>
  <c r="BC104" i="13" s="1"/>
  <c r="AM106" i="13"/>
  <c r="AN106" i="13" s="1"/>
  <c r="AM83" i="13"/>
  <c r="AN83" i="13" s="1"/>
  <c r="AM53" i="13"/>
  <c r="AN53" i="13" s="1"/>
  <c r="AM55" i="13"/>
  <c r="AN55" i="13" s="1"/>
  <c r="D57" i="13"/>
  <c r="AM78" i="13"/>
  <c r="AN78" i="13" s="1"/>
  <c r="AZ104" i="13"/>
  <c r="BD104" i="13" s="1"/>
  <c r="Q87" i="13"/>
  <c r="S87" i="13" s="1"/>
  <c r="AY91" i="13"/>
  <c r="BC91" i="13" s="1"/>
  <c r="Z93" i="13"/>
  <c r="V10" i="13"/>
  <c r="AM58" i="13"/>
  <c r="AN58" i="13" s="1"/>
  <c r="AY71" i="13"/>
  <c r="BC71" i="13" s="1"/>
  <c r="Q75" i="13"/>
  <c r="S75" i="13" s="1"/>
  <c r="Z45" i="13"/>
  <c r="AH46" i="13"/>
  <c r="Z48" i="13"/>
  <c r="X48" i="13" s="1"/>
  <c r="AV48" i="13" s="1"/>
  <c r="P64" i="13"/>
  <c r="R64" i="13" s="1"/>
  <c r="AM75" i="13"/>
  <c r="AN75" i="13" s="1"/>
  <c r="BB76" i="13"/>
  <c r="BF76" i="13" s="1"/>
  <c r="Z81" i="13"/>
  <c r="X81" i="13" s="1"/>
  <c r="AV81" i="13" s="1"/>
  <c r="Z95" i="13"/>
  <c r="AZ96" i="13"/>
  <c r="BD96" i="13" s="1"/>
  <c r="BA55" i="13"/>
  <c r="BE55" i="13" s="1"/>
  <c r="AD57" i="13"/>
  <c r="AP60" i="13"/>
  <c r="V70" i="13"/>
  <c r="W70" i="13" s="1"/>
  <c r="Q54" i="13"/>
  <c r="S54" i="13" s="1"/>
  <c r="D56" i="13"/>
  <c r="V66" i="13"/>
  <c r="T66" i="13" s="1"/>
  <c r="AU66" i="13" s="1"/>
  <c r="D74" i="13"/>
  <c r="AH82" i="13"/>
  <c r="Z92" i="13"/>
  <c r="AA92" i="13" s="1"/>
  <c r="Y92" i="13" s="1"/>
  <c r="V99" i="13"/>
  <c r="W99" i="13" s="1"/>
  <c r="U99" i="13" s="1"/>
  <c r="Z105" i="13"/>
  <c r="X105" i="13" s="1"/>
  <c r="AV105" i="13" s="1"/>
  <c r="Z87" i="13"/>
  <c r="X87" i="13" s="1"/>
  <c r="AV87" i="13" s="1"/>
  <c r="AP78" i="13"/>
  <c r="P81" i="13"/>
  <c r="R81" i="13" s="1"/>
  <c r="Z86" i="13"/>
  <c r="X86" i="13" s="1"/>
  <c r="AV86" i="13" s="1"/>
  <c r="AD45" i="13"/>
  <c r="AM46" i="13"/>
  <c r="AN46" i="13" s="1"/>
  <c r="AH81" i="13"/>
  <c r="AF81" i="13" s="1"/>
  <c r="AX81" i="13" s="1"/>
  <c r="AD102" i="13"/>
  <c r="AP46" i="13"/>
  <c r="Z12" i="13"/>
  <c r="AM51" i="13"/>
  <c r="AN51" i="13" s="1"/>
  <c r="AM62" i="13"/>
  <c r="AN62" i="13" s="1"/>
  <c r="BA58" i="13"/>
  <c r="BE58" i="13" s="1"/>
  <c r="AM82" i="13"/>
  <c r="AN82" i="13" s="1"/>
  <c r="W84" i="13"/>
  <c r="T84" i="13"/>
  <c r="P8" i="13"/>
  <c r="AD6" i="13" a="1"/>
  <c r="Q7" i="13"/>
  <c r="V64" i="13"/>
  <c r="AY64" i="13"/>
  <c r="BC64" i="13" s="1"/>
  <c r="BB64" i="13"/>
  <c r="BF64" i="13" s="1"/>
  <c r="BA64" i="13"/>
  <c r="BE64" i="13" s="1"/>
  <c r="AD64" i="13"/>
  <c r="Q64" i="13"/>
  <c r="S64" i="13" s="1"/>
  <c r="D64" i="13"/>
  <c r="AP64" i="13"/>
  <c r="U86" i="13"/>
  <c r="AC12" i="13"/>
  <c r="AA12" i="13" s="1"/>
  <c r="AB13" i="13"/>
  <c r="W74" i="13"/>
  <c r="T74" i="13"/>
  <c r="AI64" i="13"/>
  <c r="V85" i="13"/>
  <c r="AP63" i="13"/>
  <c r="AP54" i="13"/>
  <c r="AP70" i="13"/>
  <c r="AP58" i="13"/>
  <c r="AP65" i="13"/>
  <c r="AY61" i="13"/>
  <c r="BC61" i="13" s="1"/>
  <c r="Q61" i="13"/>
  <c r="S61" i="13" s="1"/>
  <c r="P61" i="13"/>
  <c r="R61" i="13" s="1"/>
  <c r="V61" i="13"/>
  <c r="D61" i="13"/>
  <c r="BB61" i="13"/>
  <c r="BF61" i="13" s="1"/>
  <c r="BA61" i="13"/>
  <c r="BE61" i="13" s="1"/>
  <c r="AH61" i="13"/>
  <c r="AD61" i="13"/>
  <c r="AP66" i="13"/>
  <c r="AE52" i="13"/>
  <c r="AC52" i="13" s="1"/>
  <c r="AB52" i="13"/>
  <c r="AW52" i="13" s="1"/>
  <c r="AF74" i="13"/>
  <c r="AX74" i="13" s="1"/>
  <c r="P56" i="13"/>
  <c r="R56" i="13" s="1"/>
  <c r="V67" i="13"/>
  <c r="P67" i="13"/>
  <c r="R67" i="13" s="1"/>
  <c r="AH67" i="13"/>
  <c r="D67" i="13"/>
  <c r="BB67" i="13"/>
  <c r="BF67" i="13" s="1"/>
  <c r="BA67" i="13"/>
  <c r="BE67" i="13" s="1"/>
  <c r="AY67" i="13"/>
  <c r="BC67" i="13" s="1"/>
  <c r="AD67" i="13"/>
  <c r="AJ12" i="13" a="1"/>
  <c r="AD49" i="13"/>
  <c r="D49" i="13"/>
  <c r="AZ49" i="13"/>
  <c r="BD49" i="13" s="1"/>
  <c r="BA49" i="13"/>
  <c r="BE49" i="13" s="1"/>
  <c r="Z49" i="13"/>
  <c r="BB49" i="13"/>
  <c r="BF49" i="13" s="1"/>
  <c r="AH49" i="13"/>
  <c r="P55" i="13"/>
  <c r="R55" i="13" s="1"/>
  <c r="AP61" i="13"/>
  <c r="AF66" i="13"/>
  <c r="AX66" i="13" s="1"/>
  <c r="AI66" i="13"/>
  <c r="BB51" i="13"/>
  <c r="BF51" i="13" s="1"/>
  <c r="D51" i="13"/>
  <c r="AH51" i="13"/>
  <c r="AD51" i="13"/>
  <c r="BA51" i="13"/>
  <c r="BE51" i="13" s="1"/>
  <c r="AZ51" i="13"/>
  <c r="BD51" i="13" s="1"/>
  <c r="Z51" i="13"/>
  <c r="R10" i="13"/>
  <c r="AF9" i="13" a="1"/>
  <c r="T11" i="13"/>
  <c r="AF10" i="13" a="1"/>
  <c r="P58" i="13"/>
  <c r="R58" i="13" s="1"/>
  <c r="Q107" i="13"/>
  <c r="S107" i="13" s="1"/>
  <c r="BA107" i="13"/>
  <c r="BE107" i="13" s="1"/>
  <c r="AZ107" i="13"/>
  <c r="BD107" i="13" s="1"/>
  <c r="Z107" i="13"/>
  <c r="AY107" i="13"/>
  <c r="BC107" i="13" s="1"/>
  <c r="AP107" i="13"/>
  <c r="D107" i="13"/>
  <c r="V107" i="13"/>
  <c r="AZ47" i="13"/>
  <c r="BD47" i="13" s="1"/>
  <c r="AP47" i="13"/>
  <c r="AH47" i="13"/>
  <c r="AD47" i="13"/>
  <c r="BA47" i="13"/>
  <c r="BE47" i="13" s="1"/>
  <c r="AP52" i="13"/>
  <c r="AP62" i="13"/>
  <c r="P84" i="13"/>
  <c r="R84" i="13" s="1"/>
  <c r="AD107" i="13"/>
  <c r="Y10" i="13"/>
  <c r="W10" i="13" s="1"/>
  <c r="X11" i="13"/>
  <c r="Z47" i="13"/>
  <c r="AY59" i="13"/>
  <c r="BC59" i="13" s="1"/>
  <c r="AD59" i="13"/>
  <c r="P59" i="13"/>
  <c r="R59" i="13" s="1"/>
  <c r="BA59" i="13"/>
  <c r="BE59" i="13" s="1"/>
  <c r="Q59" i="13"/>
  <c r="S59" i="13" s="1"/>
  <c r="BB59" i="13"/>
  <c r="BF59" i="13" s="1"/>
  <c r="AP59" i="13"/>
  <c r="AH59" i="13"/>
  <c r="AP68" i="13"/>
  <c r="T54" i="13"/>
  <c r="W54" i="13"/>
  <c r="V59" i="13"/>
  <c r="P85" i="13"/>
  <c r="R85" i="13" s="1"/>
  <c r="Q85" i="13"/>
  <c r="S85" i="13" s="1"/>
  <c r="Z85" i="13"/>
  <c r="D85" i="13"/>
  <c r="AH85" i="13"/>
  <c r="BB85" i="13"/>
  <c r="BF85" i="13" s="1"/>
  <c r="AZ85" i="13"/>
  <c r="BD85" i="13" s="1"/>
  <c r="AP85" i="13"/>
  <c r="AP101" i="13"/>
  <c r="V101" i="13"/>
  <c r="Q101" i="13"/>
  <c r="S101" i="13" s="1"/>
  <c r="BA101" i="13"/>
  <c r="BE101" i="13" s="1"/>
  <c r="AZ101" i="13"/>
  <c r="BD101" i="13" s="1"/>
  <c r="AY101" i="13"/>
  <c r="BC101" i="13" s="1"/>
  <c r="AD101" i="13"/>
  <c r="Z101" i="13"/>
  <c r="D101" i="13"/>
  <c r="P60" i="13"/>
  <c r="R60" i="13" s="1"/>
  <c r="BB84" i="13"/>
  <c r="BF84" i="13" s="1"/>
  <c r="D84" i="13"/>
  <c r="AZ84" i="13"/>
  <c r="BD84" i="13" s="1"/>
  <c r="AY84" i="13"/>
  <c r="BC84" i="13" s="1"/>
  <c r="Z84" i="13"/>
  <c r="AP84" i="13"/>
  <c r="Q84" i="13"/>
  <c r="S84" i="13" s="1"/>
  <c r="AH84" i="13"/>
  <c r="Q67" i="13"/>
  <c r="S67" i="13" s="1"/>
  <c r="P70" i="13"/>
  <c r="R70" i="13" s="1"/>
  <c r="AE90" i="13"/>
  <c r="AC90" i="13" s="1"/>
  <c r="AB90" i="13"/>
  <c r="AW90" i="13" s="1"/>
  <c r="Q83" i="13"/>
  <c r="S83" i="13" s="1"/>
  <c r="BB83" i="13"/>
  <c r="BF83" i="13" s="1"/>
  <c r="AZ83" i="13"/>
  <c r="BD83" i="13" s="1"/>
  <c r="V83" i="13"/>
  <c r="AY83" i="13"/>
  <c r="BC83" i="13" s="1"/>
  <c r="P83" i="13"/>
  <c r="R83" i="13" s="1"/>
  <c r="Z83" i="13"/>
  <c r="D83" i="13"/>
  <c r="AH83" i="13"/>
  <c r="Q100" i="13"/>
  <c r="S100" i="13" s="1"/>
  <c r="Q93" i="13"/>
  <c r="S93" i="13" s="1"/>
  <c r="Q102" i="13"/>
  <c r="S102" i="13" s="1"/>
  <c r="Q104" i="13"/>
  <c r="S104" i="13" s="1"/>
  <c r="Q105" i="13"/>
  <c r="S105" i="13" s="1"/>
  <c r="Q97" i="13"/>
  <c r="S97" i="13" s="1"/>
  <c r="Q99" i="13"/>
  <c r="S99" i="13" s="1"/>
  <c r="AP77" i="13"/>
  <c r="AG56" i="13"/>
  <c r="AF56" i="13"/>
  <c r="AX56" i="13" s="1"/>
  <c r="AM49" i="13"/>
  <c r="AN49" i="13" s="1"/>
  <c r="BB52" i="13"/>
  <c r="BF52" i="13" s="1"/>
  <c r="D52" i="13"/>
  <c r="AZ52" i="13"/>
  <c r="BD52" i="13" s="1"/>
  <c r="AH52" i="13"/>
  <c r="AM61" i="13"/>
  <c r="AN61" i="13" s="1"/>
  <c r="AP74" i="13"/>
  <c r="AE92" i="13"/>
  <c r="AC92" i="13" s="1"/>
  <c r="AB92" i="13"/>
  <c r="AW92" i="13" s="1"/>
  <c r="Q86" i="13"/>
  <c r="S86" i="13" s="1"/>
  <c r="Q81" i="13"/>
  <c r="S81" i="13" s="1"/>
  <c r="Q74" i="13"/>
  <c r="S74" i="13" s="1"/>
  <c r="Q88" i="13"/>
  <c r="S88" i="13" s="1"/>
  <c r="BB53" i="13"/>
  <c r="BF53" i="13" s="1"/>
  <c r="AD53" i="13"/>
  <c r="AH53" i="13"/>
  <c r="BA53" i="13"/>
  <c r="BE53" i="13" s="1"/>
  <c r="AZ78" i="13"/>
  <c r="BD78" i="13" s="1"/>
  <c r="V78" i="13"/>
  <c r="Z78" i="13"/>
  <c r="AY78" i="13"/>
  <c r="BC78" i="13" s="1"/>
  <c r="Q78" i="13"/>
  <c r="S78" i="13" s="1"/>
  <c r="P78" i="13"/>
  <c r="R78" i="13" s="1"/>
  <c r="AP83" i="13"/>
  <c r="V75" i="13"/>
  <c r="D75" i="13"/>
  <c r="AH75" i="13"/>
  <c r="AZ75" i="13"/>
  <c r="BD75" i="13" s="1"/>
  <c r="Z75" i="13"/>
  <c r="AY75" i="13"/>
  <c r="BC75" i="13" s="1"/>
  <c r="AP75" i="13"/>
  <c r="BA90" i="13"/>
  <c r="BE90" i="13" s="1"/>
  <c r="AZ90" i="13"/>
  <c r="BD90" i="13" s="1"/>
  <c r="AY90" i="13"/>
  <c r="BC90" i="13" s="1"/>
  <c r="AP90" i="13"/>
  <c r="V90" i="13"/>
  <c r="Q90" i="13"/>
  <c r="S90" i="13" s="1"/>
  <c r="Z90" i="13"/>
  <c r="D90" i="13"/>
  <c r="AP94" i="13"/>
  <c r="AY94" i="13"/>
  <c r="BC94" i="13" s="1"/>
  <c r="AZ94" i="13"/>
  <c r="BD94" i="13" s="1"/>
  <c r="Q94" i="13"/>
  <c r="S94" i="13" s="1"/>
  <c r="Z94" i="13"/>
  <c r="V94" i="13"/>
  <c r="Q55" i="13"/>
  <c r="S55" i="13" s="1"/>
  <c r="D55" i="13"/>
  <c r="V55" i="13"/>
  <c r="AY55" i="13"/>
  <c r="BC55" i="13" s="1"/>
  <c r="AH60" i="13"/>
  <c r="Q60" i="13"/>
  <c r="S60" i="13" s="1"/>
  <c r="AY60" i="13"/>
  <c r="BC60" i="13" s="1"/>
  <c r="BB60" i="13"/>
  <c r="BF60" i="13" s="1"/>
  <c r="V60" i="13"/>
  <c r="AD60" i="13"/>
  <c r="BA60" i="13"/>
  <c r="BE60" i="13" s="1"/>
  <c r="AP97" i="13"/>
  <c r="AP93" i="13"/>
  <c r="AP102" i="13"/>
  <c r="AP88" i="13"/>
  <c r="AP104" i="13"/>
  <c r="AP98" i="13"/>
  <c r="AP82" i="13"/>
  <c r="AP92" i="13"/>
  <c r="AP87" i="13"/>
  <c r="AP99" i="13"/>
  <c r="AP89" i="13"/>
  <c r="AZ89" i="13"/>
  <c r="BD89" i="13" s="1"/>
  <c r="AD89" i="13"/>
  <c r="AY89" i="13"/>
  <c r="BC89" i="13" s="1"/>
  <c r="V89" i="13"/>
  <c r="D89" i="13"/>
  <c r="Q89" i="13"/>
  <c r="S89" i="13" s="1"/>
  <c r="BA89" i="13"/>
  <c r="BE89" i="13" s="1"/>
  <c r="BB65" i="13"/>
  <c r="BF65" i="13" s="1"/>
  <c r="AH65" i="13"/>
  <c r="P65" i="13"/>
  <c r="R65" i="13" s="1"/>
  <c r="AD65" i="13"/>
  <c r="BA65" i="13"/>
  <c r="BE65" i="13" s="1"/>
  <c r="AY65" i="13"/>
  <c r="BC65" i="13" s="1"/>
  <c r="Q65" i="13"/>
  <c r="S65" i="13" s="1"/>
  <c r="BB68" i="13"/>
  <c r="BF68" i="13" s="1"/>
  <c r="AH68" i="13"/>
  <c r="P68" i="13"/>
  <c r="R68" i="13" s="1"/>
  <c r="AD68" i="13"/>
  <c r="AY68" i="13"/>
  <c r="BC68" i="13" s="1"/>
  <c r="V68" i="13"/>
  <c r="Q96" i="13"/>
  <c r="S96" i="13" s="1"/>
  <c r="D96" i="13"/>
  <c r="AP96" i="13"/>
  <c r="BA96" i="13"/>
  <c r="BE96" i="13" s="1"/>
  <c r="T65" i="13"/>
  <c r="Z89" i="13"/>
  <c r="AZ91" i="13"/>
  <c r="BD91" i="13" s="1"/>
  <c r="Z91" i="13"/>
  <c r="Q91" i="13"/>
  <c r="S91" i="13" s="1"/>
  <c r="AP91" i="13"/>
  <c r="D73" i="13"/>
  <c r="AP73" i="13"/>
  <c r="V73" i="13"/>
  <c r="BB73" i="13"/>
  <c r="BF73" i="13" s="1"/>
  <c r="AY73" i="13"/>
  <c r="BC73" i="13" s="1"/>
  <c r="Z73" i="13"/>
  <c r="Q73" i="13"/>
  <c r="S73" i="13" s="1"/>
  <c r="P73" i="13"/>
  <c r="R73" i="13" s="1"/>
  <c r="AA81" i="13"/>
  <c r="Y81" i="13" s="1"/>
  <c r="S8" i="13"/>
  <c r="Q63" i="13"/>
  <c r="S63" i="13" s="1"/>
  <c r="AB106" i="13"/>
  <c r="AW106" i="13" s="1"/>
  <c r="AE106" i="13"/>
  <c r="AC106" i="13" s="1"/>
  <c r="P66" i="13"/>
  <c r="R66" i="13" s="1"/>
  <c r="AY66" i="13"/>
  <c r="BC66" i="13" s="1"/>
  <c r="AD66" i="13"/>
  <c r="Q66" i="13"/>
  <c r="S66" i="13" s="1"/>
  <c r="AD96" i="13"/>
  <c r="AF54" i="13"/>
  <c r="AX54" i="13" s="1"/>
  <c r="W65" i="13"/>
  <c r="BA56" i="13"/>
  <c r="BE56" i="13" s="1"/>
  <c r="V56" i="13"/>
  <c r="Q56" i="13"/>
  <c r="S56" i="13" s="1"/>
  <c r="AP56" i="13"/>
  <c r="AD56" i="13"/>
  <c r="BB69" i="13"/>
  <c r="BF69" i="13" s="1"/>
  <c r="AD69" i="13"/>
  <c r="D69" i="13"/>
  <c r="BA69" i="13"/>
  <c r="BE69" i="13" s="1"/>
  <c r="AP69" i="13"/>
  <c r="Q69" i="13"/>
  <c r="S69" i="13" s="1"/>
  <c r="P69" i="13"/>
  <c r="R69" i="13" s="1"/>
  <c r="V91" i="13"/>
  <c r="AM87" i="13"/>
  <c r="AN87" i="13" s="1"/>
  <c r="AM98" i="13"/>
  <c r="AN98" i="13" s="1"/>
  <c r="AM59" i="13"/>
  <c r="AN59" i="13" s="1"/>
  <c r="AE46" i="13"/>
  <c r="AC46" i="13" s="1"/>
  <c r="AB46" i="13"/>
  <c r="AW46" i="13" s="1"/>
  <c r="BB54" i="13"/>
  <c r="BF54" i="13" s="1"/>
  <c r="AD54" i="13"/>
  <c r="AM57" i="13"/>
  <c r="AN57" i="13" s="1"/>
  <c r="AZ71" i="13"/>
  <c r="BD71" i="13" s="1"/>
  <c r="V71" i="13"/>
  <c r="Q71" i="13"/>
  <c r="S71" i="13" s="1"/>
  <c r="Z77" i="13"/>
  <c r="AZ77" i="13"/>
  <c r="BD77" i="13" s="1"/>
  <c r="Q77" i="13"/>
  <c r="S77" i="13" s="1"/>
  <c r="P77" i="13"/>
  <c r="R77" i="13" s="1"/>
  <c r="V77" i="13"/>
  <c r="AY77" i="13"/>
  <c r="BC77" i="13" s="1"/>
  <c r="P87" i="13"/>
  <c r="R87" i="13" s="1"/>
  <c r="AZ87" i="13"/>
  <c r="BD87" i="13" s="1"/>
  <c r="BB87" i="13"/>
  <c r="BF87" i="13" s="1"/>
  <c r="AB95" i="13"/>
  <c r="AW95" i="13" s="1"/>
  <c r="AE95" i="13"/>
  <c r="AC95" i="13" s="1"/>
  <c r="AM100" i="13"/>
  <c r="AN100" i="13" s="1"/>
  <c r="AP106" i="13"/>
  <c r="D106" i="13"/>
  <c r="AY106" i="13"/>
  <c r="BC106" i="13" s="1"/>
  <c r="BA106" i="13"/>
  <c r="BE106" i="13" s="1"/>
  <c r="AZ106" i="13"/>
  <c r="BD106" i="13" s="1"/>
  <c r="V106" i="13"/>
  <c r="Q106" i="13"/>
  <c r="S106" i="13" s="1"/>
  <c r="P82" i="13"/>
  <c r="R82" i="13" s="1"/>
  <c r="P88" i="13"/>
  <c r="R88" i="13" s="1"/>
  <c r="P79" i="13"/>
  <c r="R79" i="13" s="1"/>
  <c r="AZ48" i="13"/>
  <c r="BD48" i="13" s="1"/>
  <c r="D48" i="13"/>
  <c r="AP48" i="13"/>
  <c r="P71" i="13"/>
  <c r="R71" i="13" s="1"/>
  <c r="AD99" i="13"/>
  <c r="Z99" i="13"/>
  <c r="BA99" i="13"/>
  <c r="BE99" i="13" s="1"/>
  <c r="AY99" i="13"/>
  <c r="BC99" i="13" s="1"/>
  <c r="T102" i="13"/>
  <c r="Z106" i="13"/>
  <c r="BA54" i="13"/>
  <c r="BE54" i="13" s="1"/>
  <c r="AM60" i="13"/>
  <c r="AN60" i="13" s="1"/>
  <c r="AY70" i="13"/>
  <c r="BC70" i="13" s="1"/>
  <c r="Q70" i="13"/>
  <c r="S70" i="13" s="1"/>
  <c r="Q76" i="13"/>
  <c r="S76" i="13" s="1"/>
  <c r="P76" i="13"/>
  <c r="R76" i="13" s="1"/>
  <c r="AY76" i="13"/>
  <c r="BC76" i="13" s="1"/>
  <c r="V76" i="13"/>
  <c r="AP76" i="13"/>
  <c r="D76" i="13"/>
  <c r="AM107" i="13"/>
  <c r="AN107" i="13" s="1"/>
  <c r="AY72" i="13"/>
  <c r="BC72" i="13" s="1"/>
  <c r="AP72" i="13"/>
  <c r="Q72" i="13"/>
  <c r="S72" i="13" s="1"/>
  <c r="P72" i="13"/>
  <c r="R72" i="13" s="1"/>
  <c r="AH72" i="13"/>
  <c r="D72" i="13"/>
  <c r="BB72" i="13"/>
  <c r="BF72" i="13" s="1"/>
  <c r="Z72" i="13"/>
  <c r="V72" i="13"/>
  <c r="AF8" i="13" a="1"/>
  <c r="U9" i="13"/>
  <c r="S9" i="13" s="1"/>
  <c r="AH71" i="13"/>
  <c r="P74" i="13"/>
  <c r="R74" i="13" s="1"/>
  <c r="V95" i="13"/>
  <c r="AP95" i="13"/>
  <c r="Q95" i="13"/>
  <c r="S95" i="13" s="1"/>
  <c r="AZ95" i="13"/>
  <c r="BD95" i="13" s="1"/>
  <c r="AY95" i="13"/>
  <c r="BC95" i="13" s="1"/>
  <c r="AM99" i="13"/>
  <c r="AN99" i="13" s="1"/>
  <c r="P63" i="13"/>
  <c r="R63" i="13" s="1"/>
  <c r="BB63" i="13"/>
  <c r="BF63" i="13" s="1"/>
  <c r="AD63" i="13"/>
  <c r="Q103" i="13"/>
  <c r="S103" i="13" s="1"/>
  <c r="V103" i="13"/>
  <c r="D103" i="13"/>
  <c r="AP105" i="13"/>
  <c r="AZ105" i="13"/>
  <c r="BD105" i="13" s="1"/>
  <c r="V105" i="13"/>
  <c r="AM68" i="13"/>
  <c r="AN68" i="13" s="1"/>
  <c r="AE105" i="13"/>
  <c r="AC105" i="13" s="1"/>
  <c r="AP50" i="13"/>
  <c r="AH50" i="13"/>
  <c r="AM50" i="13"/>
  <c r="AN50" i="13" s="1"/>
  <c r="AP57" i="13"/>
  <c r="V57" i="13"/>
  <c r="AH57" i="13"/>
  <c r="AM80" i="13"/>
  <c r="AN80" i="13" s="1"/>
  <c r="AP45" i="13"/>
  <c r="P57" i="13"/>
  <c r="R57" i="13" s="1"/>
  <c r="P62" i="13"/>
  <c r="R62" i="13" s="1"/>
  <c r="BA62" i="13"/>
  <c r="BE62" i="13" s="1"/>
  <c r="AP80" i="13"/>
  <c r="P80" i="13"/>
  <c r="R80" i="13" s="1"/>
  <c r="AZ80" i="13"/>
  <c r="BD80" i="13" s="1"/>
  <c r="Q80" i="13"/>
  <c r="S80" i="13" s="1"/>
  <c r="Q92" i="13"/>
  <c r="S92" i="13" s="1"/>
  <c r="BA92" i="13"/>
  <c r="BE92" i="13" s="1"/>
  <c r="AM92" i="13"/>
  <c r="AN92" i="13" s="1"/>
  <c r="AY79" i="13"/>
  <c r="BC79" i="13" s="1"/>
  <c r="V79" i="13"/>
  <c r="P86" i="13"/>
  <c r="R86" i="13" s="1"/>
  <c r="AD104" i="13"/>
  <c r="D104" i="13"/>
  <c r="Z104" i="13"/>
  <c r="AP81" i="13"/>
  <c r="V81" i="13"/>
  <c r="BB81" i="13"/>
  <c r="BF81" i="13" s="1"/>
  <c r="BB74" i="13"/>
  <c r="BF74" i="13" s="1"/>
  <c r="AY74" i="13"/>
  <c r="BC74" i="13" s="1"/>
  <c r="AM74" i="13"/>
  <c r="AN74" i="13" s="1"/>
  <c r="AP79" i="13"/>
  <c r="AP86" i="13"/>
  <c r="AY88" i="13"/>
  <c r="BC88" i="13" s="1"/>
  <c r="V88" i="13"/>
  <c r="V92" i="13"/>
  <c r="AM71" i="13"/>
  <c r="AN71" i="13" s="1"/>
  <c r="AM105" i="13"/>
  <c r="AN105" i="13" s="1"/>
  <c r="BA100" i="13"/>
  <c r="BE100" i="13" s="1"/>
  <c r="AP100" i="13"/>
  <c r="AD93" i="13"/>
  <c r="AY102" i="13"/>
  <c r="BC102" i="13" s="1"/>
  <c r="AB9" i="6"/>
  <c r="Z10" i="6"/>
  <c r="R6" i="6"/>
  <c r="T6" i="6" s="1"/>
  <c r="X11" i="6"/>
  <c r="U11" i="6" s="1"/>
  <c r="X7" i="6"/>
  <c r="S9" i="6"/>
  <c r="T9" i="6" s="1"/>
  <c r="Z6" i="6"/>
  <c r="AD11" i="6"/>
  <c r="U7" i="6"/>
  <c r="AD8" i="6"/>
  <c r="P12" i="6"/>
  <c r="Q12" i="6" s="1"/>
  <c r="Y7" i="6"/>
  <c r="W8" i="6"/>
  <c r="U8" i="6" s="1"/>
  <c r="AB6" i="6"/>
  <c r="S10" i="6"/>
  <c r="T10" i="6" s="1"/>
  <c r="AC6" i="6"/>
  <c r="AC7" i="6"/>
  <c r="AA8" i="6"/>
  <c r="Y9" i="6"/>
  <c r="W10" i="6"/>
  <c r="U10" i="6" s="1"/>
  <c r="R12" i="6"/>
  <c r="T12" i="6" s="1"/>
  <c r="Q6" i="6"/>
  <c r="AA7" i="6"/>
  <c r="Y8" i="6"/>
  <c r="W9" i="6"/>
  <c r="U9" i="6" s="1"/>
  <c r="R11" i="6"/>
  <c r="T11" i="6" s="1"/>
  <c r="R7" i="6"/>
  <c r="T7" i="6" s="1"/>
  <c r="AC9" i="6"/>
  <c r="AA10" i="6"/>
  <c r="Y11" i="6"/>
  <c r="W6" i="6"/>
  <c r="U6" i="6" s="1"/>
  <c r="R8" i="6"/>
  <c r="T8" i="6" s="1"/>
  <c r="AC10" i="6"/>
  <c r="AA11" i="6"/>
  <c r="AC6" i="11"/>
  <c r="AC7" i="11"/>
  <c r="X18" i="11"/>
  <c r="T12" i="1"/>
  <c r="S12" i="1" s="1"/>
  <c r="T35" i="1"/>
  <c r="S35" i="1" s="1"/>
  <c r="T10" i="1"/>
  <c r="I3" i="4"/>
  <c r="F21" i="3"/>
  <c r="E21" i="3"/>
  <c r="D11" i="2"/>
  <c r="D9" i="2"/>
  <c r="D14" i="2" s="1"/>
  <c r="D6" i="2"/>
  <c r="D4" i="2"/>
  <c r="S8" i="1" l="1"/>
  <c r="U6" i="1"/>
  <c r="AE91" i="13"/>
  <c r="AC91" i="13" s="1"/>
  <c r="W69" i="13"/>
  <c r="AF79" i="13"/>
  <c r="AX79" i="13" s="1"/>
  <c r="AG74" i="13"/>
  <c r="AI54" i="13"/>
  <c r="AB58" i="13"/>
  <c r="AW58" i="13" s="1"/>
  <c r="X50" i="13"/>
  <c r="AV50" i="13" s="1"/>
  <c r="AA79" i="13"/>
  <c r="Y79" i="13" s="1"/>
  <c r="AE103" i="13"/>
  <c r="AC103" i="13" s="1"/>
  <c r="W82" i="13"/>
  <c r="X98" i="13"/>
  <c r="AV98" i="13" s="1"/>
  <c r="AE98" i="13"/>
  <c r="AC98" i="13" s="1"/>
  <c r="AF73" i="13"/>
  <c r="AX73" i="13" s="1"/>
  <c r="AF78" i="13"/>
  <c r="AX78" i="13" s="1"/>
  <c r="AI73" i="13"/>
  <c r="X74" i="13"/>
  <c r="AV74" i="13" s="1"/>
  <c r="AA71" i="13"/>
  <c r="Y71" i="13" s="1"/>
  <c r="T87" i="13"/>
  <c r="AU87" i="13" s="1"/>
  <c r="AG79" i="13"/>
  <c r="AG78" i="13"/>
  <c r="AA82" i="13"/>
  <c r="Y82" i="13" s="1"/>
  <c r="AF55" i="13"/>
  <c r="AX55" i="13" s="1"/>
  <c r="AG55" i="13"/>
  <c r="AI69" i="13"/>
  <c r="T99" i="13"/>
  <c r="X92" i="13"/>
  <c r="AV92" i="13" s="1"/>
  <c r="AG69" i="13"/>
  <c r="W96" i="13"/>
  <c r="U96" i="13" s="1"/>
  <c r="AI48" i="13"/>
  <c r="W98" i="13"/>
  <c r="U98" i="13" s="1"/>
  <c r="AG48" i="13"/>
  <c r="X103" i="13"/>
  <c r="AV103" i="13" s="1"/>
  <c r="AG63" i="13"/>
  <c r="AG77" i="13"/>
  <c r="AF80" i="13"/>
  <c r="AX80" i="13" s="1"/>
  <c r="AE50" i="13"/>
  <c r="AC50" i="13" s="1"/>
  <c r="AG80" i="13"/>
  <c r="AE97" i="13"/>
  <c r="AC97" i="13" s="1"/>
  <c r="AF77" i="13"/>
  <c r="AX77" i="13" s="1"/>
  <c r="W66" i="13"/>
  <c r="U66" i="13" s="1"/>
  <c r="AA48" i="13"/>
  <c r="Y48" i="13" s="1"/>
  <c r="X80" i="13"/>
  <c r="AV80" i="13" s="1"/>
  <c r="W104" i="13"/>
  <c r="U104" i="13" s="1"/>
  <c r="T86" i="13"/>
  <c r="AU86" i="13" s="1"/>
  <c r="AF63" i="13"/>
  <c r="AX63" i="13" s="1"/>
  <c r="W97" i="13"/>
  <c r="U97" i="13" s="1"/>
  <c r="AA102" i="13"/>
  <c r="Y102" i="13" s="1"/>
  <c r="X102" i="13"/>
  <c r="AV102" i="13" s="1"/>
  <c r="T62" i="13"/>
  <c r="AU62" i="13" s="1"/>
  <c r="AA87" i="13"/>
  <c r="Y87" i="13" s="1"/>
  <c r="AG76" i="13"/>
  <c r="AF76" i="13"/>
  <c r="AX76" i="13" s="1"/>
  <c r="AF58" i="13"/>
  <c r="AX58" i="13" s="1"/>
  <c r="AG58" i="13"/>
  <c r="AI58" i="13"/>
  <c r="AB57" i="13"/>
  <c r="AW57" i="13" s="1"/>
  <c r="AE57" i="13"/>
  <c r="AC57" i="13" s="1"/>
  <c r="AA95" i="13"/>
  <c r="Y95" i="13" s="1"/>
  <c r="X95" i="13"/>
  <c r="AV95" i="13" s="1"/>
  <c r="T100" i="13"/>
  <c r="AU100" i="13" s="1"/>
  <c r="AA105" i="13"/>
  <c r="Y105" i="13" s="1"/>
  <c r="T63" i="13"/>
  <c r="AU63" i="13" s="1"/>
  <c r="AA100" i="13"/>
  <c r="Y100" i="13" s="1"/>
  <c r="X100" i="13"/>
  <c r="AV100" i="13" s="1"/>
  <c r="AI62" i="13"/>
  <c r="AF62" i="13"/>
  <c r="AX62" i="13" s="1"/>
  <c r="AG62" i="13"/>
  <c r="AA45" i="13"/>
  <c r="Y45" i="13" s="1"/>
  <c r="X45" i="13"/>
  <c r="AV45" i="13" s="1"/>
  <c r="AE62" i="13"/>
  <c r="AC62" i="13" s="1"/>
  <c r="AB62" i="13"/>
  <c r="AW62" i="13" s="1"/>
  <c r="X76" i="13"/>
  <c r="AV76" i="13" s="1"/>
  <c r="AA76" i="13"/>
  <c r="Y76" i="13" s="1"/>
  <c r="AE102" i="13"/>
  <c r="AC102" i="13" s="1"/>
  <c r="AB102" i="13"/>
  <c r="AW102" i="13" s="1"/>
  <c r="AA46" i="13"/>
  <c r="Y46" i="13" s="1"/>
  <c r="X46" i="13"/>
  <c r="AV46" i="13" s="1"/>
  <c r="AG81" i="13"/>
  <c r="AE55" i="13"/>
  <c r="AC55" i="13" s="1"/>
  <c r="AI81" i="13"/>
  <c r="W58" i="13"/>
  <c r="U58" i="13" s="1"/>
  <c r="T58" i="13"/>
  <c r="AU58" i="13" s="1"/>
  <c r="BG107" i="13"/>
  <c r="AA86" i="13"/>
  <c r="Y86" i="13" s="1"/>
  <c r="T70" i="13"/>
  <c r="AA93" i="13"/>
  <c r="Y93" i="13" s="1"/>
  <c r="X93" i="13"/>
  <c r="AV93" i="13" s="1"/>
  <c r="AE45" i="13"/>
  <c r="AC45" i="13" s="1"/>
  <c r="AB45" i="13"/>
  <c r="AW45" i="13" s="1"/>
  <c r="AB94" i="13"/>
  <c r="AW94" i="13" s="1"/>
  <c r="AE94" i="13"/>
  <c r="AC94" i="13" s="1"/>
  <c r="X96" i="13"/>
  <c r="AV96" i="13" s="1"/>
  <c r="AF46" i="13"/>
  <c r="AX46" i="13" s="1"/>
  <c r="AI46" i="13"/>
  <c r="AG46" i="13"/>
  <c r="AI82" i="13"/>
  <c r="AF82" i="13"/>
  <c r="AX82" i="13" s="1"/>
  <c r="AG82" i="13"/>
  <c r="W60" i="13"/>
  <c r="T60" i="13"/>
  <c r="W75" i="13"/>
  <c r="T75" i="13"/>
  <c r="AI59" i="13"/>
  <c r="AG59" i="13"/>
  <c r="AF59" i="13"/>
  <c r="AX59" i="13" s="1"/>
  <c r="AB107" i="13"/>
  <c r="AW107" i="13" s="1"/>
  <c r="AE107" i="13"/>
  <c r="AC107" i="13" s="1"/>
  <c r="AG9" i="13"/>
  <c r="AF9" i="13"/>
  <c r="AB67" i="13"/>
  <c r="AW67" i="13" s="1"/>
  <c r="AE67" i="13"/>
  <c r="AC67" i="13" s="1"/>
  <c r="AE6" i="13"/>
  <c r="AD6" i="13"/>
  <c r="W105" i="13"/>
  <c r="T105" i="13"/>
  <c r="X101" i="13"/>
  <c r="AV101" i="13" s="1"/>
  <c r="AA101" i="13"/>
  <c r="Y101" i="13" s="1"/>
  <c r="AI83" i="13"/>
  <c r="AG83" i="13"/>
  <c r="AF83" i="13"/>
  <c r="AX83" i="13" s="1"/>
  <c r="W77" i="13"/>
  <c r="T77" i="13"/>
  <c r="X90" i="13"/>
  <c r="AV90" i="13" s="1"/>
  <c r="AA90" i="13"/>
  <c r="Y90" i="13" s="1"/>
  <c r="AA83" i="13"/>
  <c r="Y83" i="13" s="1"/>
  <c r="X83" i="13"/>
  <c r="AV83" i="13" s="1"/>
  <c r="X107" i="13"/>
  <c r="AV107" i="13" s="1"/>
  <c r="AA107" i="13"/>
  <c r="Y107" i="13" s="1"/>
  <c r="AU74" i="13"/>
  <c r="T95" i="13"/>
  <c r="W95" i="13"/>
  <c r="W91" i="13"/>
  <c r="T91" i="13"/>
  <c r="AB59" i="13"/>
  <c r="AW59" i="13" s="1"/>
  <c r="AE59" i="13"/>
  <c r="AC59" i="13" s="1"/>
  <c r="U74" i="13"/>
  <c r="X104" i="13"/>
  <c r="AV104" i="13" s="1"/>
  <c r="AA104" i="13"/>
  <c r="Y104" i="13" s="1"/>
  <c r="W89" i="13"/>
  <c r="T89" i="13"/>
  <c r="W90" i="13"/>
  <c r="T90" i="13"/>
  <c r="AB53" i="13"/>
  <c r="AW53" i="13" s="1"/>
  <c r="AE53" i="13"/>
  <c r="AC53" i="13" s="1"/>
  <c r="AG49" i="13"/>
  <c r="AI49" i="13"/>
  <c r="AF49" i="13"/>
  <c r="AX49" i="13" s="1"/>
  <c r="AF67" i="13"/>
  <c r="AX67" i="13" s="1"/>
  <c r="AG67" i="13"/>
  <c r="AI67" i="13"/>
  <c r="U70" i="13"/>
  <c r="AF71" i="13"/>
  <c r="AX71" i="13" s="1"/>
  <c r="AG71" i="13"/>
  <c r="AI71" i="13"/>
  <c r="AA106" i="13"/>
  <c r="Y106" i="13" s="1"/>
  <c r="X106" i="13"/>
  <c r="AV106" i="13" s="1"/>
  <c r="AI68" i="13"/>
  <c r="AG68" i="13"/>
  <c r="AF68" i="13"/>
  <c r="AX68" i="13" s="1"/>
  <c r="T83" i="13"/>
  <c r="W83" i="13"/>
  <c r="AF84" i="13"/>
  <c r="AX84" i="13" s="1"/>
  <c r="AG84" i="13"/>
  <c r="AI84" i="13"/>
  <c r="AE104" i="13"/>
  <c r="AC104" i="13" s="1"/>
  <c r="AB104" i="13"/>
  <c r="AW104" i="13" s="1"/>
  <c r="T103" i="13"/>
  <c r="W103" i="13"/>
  <c r="AA77" i="13"/>
  <c r="Y77" i="13" s="1"/>
  <c r="X77" i="13"/>
  <c r="AV77" i="13" s="1"/>
  <c r="X89" i="13"/>
  <c r="AV89" i="13" s="1"/>
  <c r="AA89" i="13"/>
  <c r="Y89" i="13" s="1"/>
  <c r="AE89" i="13"/>
  <c r="AC89" i="13" s="1"/>
  <c r="AB89" i="13"/>
  <c r="AW89" i="13" s="1"/>
  <c r="T55" i="13"/>
  <c r="W55" i="13"/>
  <c r="AB51" i="13"/>
  <c r="AW51" i="13" s="1"/>
  <c r="AE51" i="13"/>
  <c r="AC51" i="13" s="1"/>
  <c r="T67" i="13"/>
  <c r="W67" i="13"/>
  <c r="T56" i="13"/>
  <c r="W56" i="13"/>
  <c r="AE93" i="13"/>
  <c r="AB93" i="13"/>
  <c r="T68" i="13"/>
  <c r="W68" i="13"/>
  <c r="AU102" i="13"/>
  <c r="AE96" i="13"/>
  <c r="AC96" i="13" s="1"/>
  <c r="AB96" i="13"/>
  <c r="AW96" i="13" s="1"/>
  <c r="AU65" i="13"/>
  <c r="W101" i="13"/>
  <c r="T101" i="13"/>
  <c r="U54" i="13"/>
  <c r="AG51" i="13"/>
  <c r="AI51" i="13"/>
  <c r="AF51" i="13"/>
  <c r="AX51" i="13" s="1"/>
  <c r="AA49" i="13"/>
  <c r="Y49" i="13" s="1"/>
  <c r="X49" i="13"/>
  <c r="AV49" i="13" s="1"/>
  <c r="U62" i="13"/>
  <c r="AG52" i="13"/>
  <c r="AF52" i="13"/>
  <c r="AX52" i="13" s="1"/>
  <c r="AI52" i="13"/>
  <c r="Q8" i="13"/>
  <c r="P9" i="13"/>
  <c r="Q9" i="13" s="1"/>
  <c r="U100" i="13"/>
  <c r="AB64" i="13"/>
  <c r="AW64" i="13" s="1"/>
  <c r="AE64" i="13"/>
  <c r="AC64" i="13" s="1"/>
  <c r="T88" i="13"/>
  <c r="W88" i="13"/>
  <c r="W76" i="13"/>
  <c r="T76" i="13"/>
  <c r="T57" i="13"/>
  <c r="W57" i="13"/>
  <c r="T72" i="13"/>
  <c r="W72" i="13"/>
  <c r="AB65" i="13"/>
  <c r="AW65" i="13" s="1"/>
  <c r="AE65" i="13"/>
  <c r="AC65" i="13" s="1"/>
  <c r="T94" i="13"/>
  <c r="W94" i="13"/>
  <c r="X72" i="13"/>
  <c r="AV72" i="13" s="1"/>
  <c r="AA72" i="13"/>
  <c r="Y72" i="13" s="1"/>
  <c r="AA94" i="13"/>
  <c r="Y94" i="13" s="1"/>
  <c r="X94" i="13"/>
  <c r="AV94" i="13" s="1"/>
  <c r="W78" i="13"/>
  <c r="T78" i="13"/>
  <c r="AE54" i="13"/>
  <c r="AC54" i="13" s="1"/>
  <c r="AB54" i="13"/>
  <c r="AW54" i="13" s="1"/>
  <c r="AE66" i="13"/>
  <c r="AC66" i="13" s="1"/>
  <c r="AB66" i="13"/>
  <c r="AW66" i="13" s="1"/>
  <c r="W73" i="13"/>
  <c r="T73" i="13"/>
  <c r="X75" i="13"/>
  <c r="AV75" i="13" s="1"/>
  <c r="AA75" i="13"/>
  <c r="Y75" i="13" s="1"/>
  <c r="AB49" i="13"/>
  <c r="AW49" i="13" s="1"/>
  <c r="AE49" i="13"/>
  <c r="AC49" i="13" s="1"/>
  <c r="W64" i="13"/>
  <c r="T64" i="13"/>
  <c r="AB101" i="13"/>
  <c r="AW101" i="13" s="1"/>
  <c r="AE101" i="13"/>
  <c r="AC101" i="13" s="1"/>
  <c r="AA51" i="13"/>
  <c r="Y51" i="13" s="1"/>
  <c r="X51" i="13"/>
  <c r="AV51" i="13" s="1"/>
  <c r="AI53" i="13"/>
  <c r="AF53" i="13"/>
  <c r="AX53" i="13" s="1"/>
  <c r="AG53" i="13"/>
  <c r="T59" i="13"/>
  <c r="W59" i="13"/>
  <c r="X91" i="13"/>
  <c r="AV91" i="13" s="1"/>
  <c r="AA91" i="13"/>
  <c r="Y91" i="13" s="1"/>
  <c r="AG8" i="13"/>
  <c r="AF8" i="13"/>
  <c r="W71" i="13"/>
  <c r="T71" i="13"/>
  <c r="AU84" i="13"/>
  <c r="AE69" i="13"/>
  <c r="AC69" i="13" s="1"/>
  <c r="AB69" i="13"/>
  <c r="AW69" i="13" s="1"/>
  <c r="AA78" i="13"/>
  <c r="Y78" i="13" s="1"/>
  <c r="X78" i="13"/>
  <c r="AV78" i="13" s="1"/>
  <c r="AA47" i="13"/>
  <c r="Y47" i="13" s="1"/>
  <c r="X47" i="13"/>
  <c r="AV47" i="13" s="1"/>
  <c r="AU99" i="13"/>
  <c r="T85" i="13"/>
  <c r="W85" i="13"/>
  <c r="AI50" i="13"/>
  <c r="AG50" i="13"/>
  <c r="AF50" i="13"/>
  <c r="AX50" i="13" s="1"/>
  <c r="AE56" i="13"/>
  <c r="AC56" i="13" s="1"/>
  <c r="AB56" i="13"/>
  <c r="AW56" i="13" s="1"/>
  <c r="AI65" i="13"/>
  <c r="AF65" i="13"/>
  <c r="AX65" i="13" s="1"/>
  <c r="AG65" i="13"/>
  <c r="AU97" i="13"/>
  <c r="AI85" i="13"/>
  <c r="AG85" i="13"/>
  <c r="AF85" i="13"/>
  <c r="AX85" i="13" s="1"/>
  <c r="Y11" i="13"/>
  <c r="W11" i="13" s="1"/>
  <c r="X12" i="13"/>
  <c r="V11" i="13"/>
  <c r="U63" i="13"/>
  <c r="U65" i="13"/>
  <c r="AD7" i="13" a="1"/>
  <c r="AI60" i="13"/>
  <c r="AG60" i="13"/>
  <c r="AF60" i="13"/>
  <c r="AX60" i="13" s="1"/>
  <c r="AU54" i="13"/>
  <c r="AE47" i="13"/>
  <c r="AC47" i="13" s="1"/>
  <c r="AB47" i="13"/>
  <c r="AW47" i="13" s="1"/>
  <c r="AI57" i="13"/>
  <c r="AG57" i="13"/>
  <c r="AF57" i="13"/>
  <c r="AX57" i="13" s="1"/>
  <c r="X99" i="13"/>
  <c r="AV99" i="13" s="1"/>
  <c r="AA99" i="13"/>
  <c r="AI47" i="13"/>
  <c r="AG47" i="13"/>
  <c r="AF47" i="13"/>
  <c r="AX47" i="13" s="1"/>
  <c r="AE63" i="13"/>
  <c r="AC63" i="13" s="1"/>
  <c r="AB63" i="13"/>
  <c r="AW63" i="13" s="1"/>
  <c r="AU104" i="13"/>
  <c r="U82" i="13"/>
  <c r="U84" i="13"/>
  <c r="AG72" i="13"/>
  <c r="AF72" i="13"/>
  <c r="AX72" i="13" s="1"/>
  <c r="AI72" i="13"/>
  <c r="AG75" i="13"/>
  <c r="AF75" i="13"/>
  <c r="AX75" i="13" s="1"/>
  <c r="AI75" i="13"/>
  <c r="AG10" i="13"/>
  <c r="AF10" i="13"/>
  <c r="AK12" i="13"/>
  <c r="AJ12" i="13"/>
  <c r="AB61" i="13"/>
  <c r="AW61" i="13" s="1"/>
  <c r="AE61" i="13"/>
  <c r="AC61" i="13" s="1"/>
  <c r="U69" i="13"/>
  <c r="U87" i="13"/>
  <c r="W61" i="13"/>
  <c r="T61" i="13"/>
  <c r="T81" i="13"/>
  <c r="W81" i="13"/>
  <c r="AB68" i="13"/>
  <c r="AW68" i="13" s="1"/>
  <c r="AE68" i="13"/>
  <c r="AC68" i="13" s="1"/>
  <c r="AU70" i="13"/>
  <c r="T106" i="13"/>
  <c r="W106" i="13"/>
  <c r="T92" i="13"/>
  <c r="W92" i="13"/>
  <c r="T79" i="13"/>
  <c r="W79" i="13"/>
  <c r="AA73" i="13"/>
  <c r="Y73" i="13" s="1"/>
  <c r="X73" i="13"/>
  <c r="AV73" i="13" s="1"/>
  <c r="AA84" i="13"/>
  <c r="Y84" i="13" s="1"/>
  <c r="X84" i="13"/>
  <c r="AV84" i="13" s="1"/>
  <c r="AE99" i="13"/>
  <c r="AC99" i="13" s="1"/>
  <c r="AB99" i="13"/>
  <c r="AW99" i="13" s="1"/>
  <c r="AB60" i="13"/>
  <c r="AW60" i="13" s="1"/>
  <c r="AE60" i="13"/>
  <c r="AC60" i="13" s="1"/>
  <c r="X85" i="13"/>
  <c r="AV85" i="13" s="1"/>
  <c r="AA85" i="13"/>
  <c r="Y85" i="13" s="1"/>
  <c r="AH10" i="13" a="1"/>
  <c r="T107" i="13"/>
  <c r="W107" i="13"/>
  <c r="R11" i="13"/>
  <c r="U11" i="13"/>
  <c r="S11" i="13" s="1"/>
  <c r="AI61" i="13"/>
  <c r="AG61" i="13"/>
  <c r="AF61" i="13"/>
  <c r="AX61" i="13" s="1"/>
  <c r="AB14" i="13"/>
  <c r="Z13" i="13"/>
  <c r="AJ13" i="13" a="1"/>
  <c r="AC13" i="13"/>
  <c r="AA13" i="13" s="1"/>
  <c r="P14" i="6"/>
  <c r="T14" i="6"/>
  <c r="Q14" i="6"/>
  <c r="U14" i="6"/>
  <c r="X16" i="11"/>
  <c r="X17" i="11"/>
  <c r="S10" i="1"/>
  <c r="S6" i="1" s="1"/>
  <c r="C7" i="1" s="1"/>
  <c r="D7" i="2"/>
  <c r="T6" i="1" l="1"/>
  <c r="AU56" i="13"/>
  <c r="U103" i="13"/>
  <c r="AD8" i="13" a="1"/>
  <c r="U90" i="13"/>
  <c r="AU81" i="13"/>
  <c r="U79" i="13"/>
  <c r="AU79" i="13"/>
  <c r="U89" i="13"/>
  <c r="U61" i="13"/>
  <c r="U59" i="13"/>
  <c r="AU59" i="13"/>
  <c r="AU94" i="13"/>
  <c r="U88" i="13"/>
  <c r="U55" i="13"/>
  <c r="Z58" i="13"/>
  <c r="Z57" i="13"/>
  <c r="Z63" i="13"/>
  <c r="Z62" i="13"/>
  <c r="Z69" i="13"/>
  <c r="Z56" i="13"/>
  <c r="Z66" i="13"/>
  <c r="Z54" i="13"/>
  <c r="Z67" i="13"/>
  <c r="Z64" i="13"/>
  <c r="Z65" i="13"/>
  <c r="Z61" i="13"/>
  <c r="Z60" i="13"/>
  <c r="Z59" i="13"/>
  <c r="Z55" i="13"/>
  <c r="Z68" i="13"/>
  <c r="AU55" i="13"/>
  <c r="AU77" i="13"/>
  <c r="U77" i="13"/>
  <c r="U72" i="13"/>
  <c r="AU72" i="13"/>
  <c r="Z52" i="13"/>
  <c r="Z53" i="13"/>
  <c r="AU95" i="13"/>
  <c r="U78" i="13"/>
  <c r="AU90" i="13"/>
  <c r="U81" i="13"/>
  <c r="U67" i="13"/>
  <c r="V48" i="13"/>
  <c r="V50" i="13"/>
  <c r="V46" i="13"/>
  <c r="V45" i="13"/>
  <c r="V49" i="13"/>
  <c r="V47" i="13"/>
  <c r="V51" i="13"/>
  <c r="AU89" i="13"/>
  <c r="Y99" i="13"/>
  <c r="U68" i="13"/>
  <c r="U73" i="13"/>
  <c r="U101" i="13"/>
  <c r="AC14" i="13"/>
  <c r="AA14" i="13" s="1"/>
  <c r="Z14" i="13"/>
  <c r="AW93" i="13"/>
  <c r="AU83" i="13"/>
  <c r="AU91" i="13"/>
  <c r="AU105" i="13"/>
  <c r="U105" i="13"/>
  <c r="U64" i="13"/>
  <c r="AU60" i="13"/>
  <c r="AU103" i="13"/>
  <c r="AU107" i="13"/>
  <c r="AU67" i="13"/>
  <c r="AH10" i="13"/>
  <c r="AI10" i="13"/>
  <c r="U76" i="13"/>
  <c r="U94" i="13"/>
  <c r="AU92" i="13"/>
  <c r="AU73" i="13"/>
  <c r="AK13" i="13"/>
  <c r="AJ13" i="13"/>
  <c r="AU68" i="13"/>
  <c r="U106" i="13"/>
  <c r="AH88" i="13"/>
  <c r="AH87" i="13"/>
  <c r="V12" i="13"/>
  <c r="Y12" i="13"/>
  <c r="W12" i="13" s="1"/>
  <c r="X13" i="13"/>
  <c r="AH12" i="13" s="1" a="1"/>
  <c r="U57" i="13"/>
  <c r="AC93" i="13"/>
  <c r="U95" i="13"/>
  <c r="AU64" i="13"/>
  <c r="U107" i="13"/>
  <c r="U60" i="13"/>
  <c r="AU76" i="13"/>
  <c r="AU61" i="13"/>
  <c r="AE7" i="13"/>
  <c r="AD7" i="13"/>
  <c r="AU88" i="13"/>
  <c r="AU101" i="13"/>
  <c r="AU106" i="13"/>
  <c r="AH11" i="13" a="1"/>
  <c r="U85" i="13"/>
  <c r="AU71" i="13"/>
  <c r="AU57" i="13"/>
  <c r="U91" i="13"/>
  <c r="U56" i="13"/>
  <c r="U75" i="13"/>
  <c r="AU78" i="13"/>
  <c r="U92" i="13"/>
  <c r="U83" i="13"/>
  <c r="Z70" i="13"/>
  <c r="AU85" i="13"/>
  <c r="U71" i="13"/>
  <c r="AU75" i="13"/>
  <c r="F6" i="1"/>
  <c r="I16" i="1" s="1"/>
  <c r="E6" i="1"/>
  <c r="D6" i="1"/>
  <c r="C6" i="1"/>
  <c r="AH12" i="13" l="1"/>
  <c r="AI12" i="13"/>
  <c r="X52" i="13"/>
  <c r="AA52" i="13"/>
  <c r="Y52" i="13" s="1"/>
  <c r="T46" i="13"/>
  <c r="H46" i="13"/>
  <c r="W46" i="13"/>
  <c r="H49" i="13"/>
  <c r="W49" i="13"/>
  <c r="T49" i="13"/>
  <c r="AA57" i="13"/>
  <c r="X57" i="13"/>
  <c r="H57" i="13"/>
  <c r="X64" i="13"/>
  <c r="AA64" i="13"/>
  <c r="H64" i="13"/>
  <c r="AD70" i="13"/>
  <c r="AA54" i="13"/>
  <c r="X54" i="13"/>
  <c r="H54" i="13"/>
  <c r="T45" i="13"/>
  <c r="H45" i="13"/>
  <c r="W45" i="13"/>
  <c r="X69" i="13"/>
  <c r="AA69" i="13"/>
  <c r="H69" i="13"/>
  <c r="H50" i="13"/>
  <c r="W50" i="13"/>
  <c r="T50" i="13"/>
  <c r="AA63" i="13"/>
  <c r="X63" i="13"/>
  <c r="H63" i="13"/>
  <c r="V13" i="13"/>
  <c r="Y13" i="13"/>
  <c r="W13" i="13" s="1"/>
  <c r="AA56" i="13"/>
  <c r="X56" i="13"/>
  <c r="H56" i="13"/>
  <c r="H48" i="13"/>
  <c r="T48" i="13"/>
  <c r="W48" i="13"/>
  <c r="AI88" i="13"/>
  <c r="AG88" i="13"/>
  <c r="AF88" i="13"/>
  <c r="AX88" i="13" s="1"/>
  <c r="AH97" i="13"/>
  <c r="AH93" i="13"/>
  <c r="AH105" i="13"/>
  <c r="AH102" i="13"/>
  <c r="AH92" i="13"/>
  <c r="AH91" i="13"/>
  <c r="AH90" i="13"/>
  <c r="AH104" i="13"/>
  <c r="AH98" i="13"/>
  <c r="AH106" i="13"/>
  <c r="AH103" i="13"/>
  <c r="AH94" i="13"/>
  <c r="AH99" i="13"/>
  <c r="AH95" i="13"/>
  <c r="AH96" i="13"/>
  <c r="AH89" i="13"/>
  <c r="AH101" i="13"/>
  <c r="AH100" i="13"/>
  <c r="AH107" i="13"/>
  <c r="AA68" i="13"/>
  <c r="X68" i="13"/>
  <c r="H68" i="13"/>
  <c r="AD8" i="13"/>
  <c r="AE8" i="13"/>
  <c r="W51" i="13"/>
  <c r="H51" i="13"/>
  <c r="T51" i="13"/>
  <c r="AA62" i="13"/>
  <c r="X62" i="13"/>
  <c r="H62" i="13"/>
  <c r="X58" i="13"/>
  <c r="AA58" i="13"/>
  <c r="H58" i="13"/>
  <c r="AA70" i="13"/>
  <c r="X70" i="13"/>
  <c r="H70" i="13"/>
  <c r="AI11" i="13"/>
  <c r="AH11" i="13"/>
  <c r="X55" i="13"/>
  <c r="AA55" i="13"/>
  <c r="H55" i="13"/>
  <c r="X59" i="13"/>
  <c r="AA59" i="13"/>
  <c r="H59" i="13"/>
  <c r="X60" i="13"/>
  <c r="AA60" i="13"/>
  <c r="H60" i="13"/>
  <c r="AA65" i="13"/>
  <c r="X65" i="13"/>
  <c r="H65" i="13"/>
  <c r="AA67" i="13"/>
  <c r="X67" i="13"/>
  <c r="H67" i="13"/>
  <c r="T47" i="13"/>
  <c r="W47" i="13"/>
  <c r="H47" i="13"/>
  <c r="X66" i="13"/>
  <c r="AA66" i="13"/>
  <c r="H66" i="13"/>
  <c r="AF87" i="13"/>
  <c r="AI87" i="13"/>
  <c r="AG87" i="13" s="1"/>
  <c r="X53" i="13"/>
  <c r="AA53" i="13"/>
  <c r="Y53" i="13" s="1"/>
  <c r="AA61" i="13"/>
  <c r="X61" i="13"/>
  <c r="H61" i="13"/>
  <c r="G19" i="1"/>
  <c r="G16" i="1"/>
  <c r="G15" i="1"/>
  <c r="G20" i="1"/>
  <c r="G18" i="1"/>
  <c r="G17" i="1"/>
  <c r="H18" i="1"/>
  <c r="H16" i="1"/>
  <c r="H15" i="1"/>
  <c r="H20" i="1"/>
  <c r="H19" i="1"/>
  <c r="H17" i="1"/>
  <c r="I20" i="1"/>
  <c r="I17" i="1"/>
  <c r="I15" i="1"/>
  <c r="I19" i="1"/>
  <c r="I18" i="1"/>
  <c r="AV53" i="13" l="1"/>
  <c r="F50" i="13"/>
  <c r="Y60" i="13"/>
  <c r="G60" i="13" s="1"/>
  <c r="P96" i="13" s="1"/>
  <c r="R96" i="13" s="1"/>
  <c r="I60" i="13"/>
  <c r="Y64" i="13"/>
  <c r="G64" i="13" s="1"/>
  <c r="P100" i="13" s="1"/>
  <c r="R100" i="13" s="1"/>
  <c r="I64" i="13"/>
  <c r="AI95" i="13"/>
  <c r="I95" i="13" s="1"/>
  <c r="AF95" i="13"/>
  <c r="H95" i="13"/>
  <c r="U48" i="13"/>
  <c r="G48" i="13" s="1"/>
  <c r="I48" i="13"/>
  <c r="Y57" i="13"/>
  <c r="G57" i="13" s="1"/>
  <c r="P93" i="13" s="1"/>
  <c r="R93" i="13" s="1"/>
  <c r="I57" i="13"/>
  <c r="I51" i="13"/>
  <c r="U51" i="13"/>
  <c r="G51" i="13" s="1"/>
  <c r="AV59" i="13"/>
  <c r="F59" i="13"/>
  <c r="V53" i="13"/>
  <c r="V52" i="13"/>
  <c r="AF91" i="13"/>
  <c r="AI91" i="13"/>
  <c r="I91" i="13" s="1"/>
  <c r="AG91" i="13"/>
  <c r="G91" i="13" s="1"/>
  <c r="H91" i="13"/>
  <c r="Y58" i="13"/>
  <c r="G58" i="13" s="1"/>
  <c r="P94" i="13" s="1"/>
  <c r="R94" i="13" s="1"/>
  <c r="I58" i="13"/>
  <c r="F62" i="13"/>
  <c r="F69" i="13"/>
  <c r="Y59" i="13"/>
  <c r="G59" i="13" s="1"/>
  <c r="P95" i="13" s="1"/>
  <c r="R95" i="13" s="1"/>
  <c r="I59" i="13"/>
  <c r="AI92" i="13"/>
  <c r="I92" i="13" s="1"/>
  <c r="AF92" i="13"/>
  <c r="H92" i="13"/>
  <c r="U46" i="13"/>
  <c r="G46" i="13" s="1"/>
  <c r="I46" i="13"/>
  <c r="Y68" i="13"/>
  <c r="G68" i="13" s="1"/>
  <c r="P104" i="13" s="1"/>
  <c r="R104" i="13" s="1"/>
  <c r="I68" i="13"/>
  <c r="Y63" i="13"/>
  <c r="G63" i="13" s="1"/>
  <c r="P99" i="13" s="1"/>
  <c r="R99" i="13" s="1"/>
  <c r="I63" i="13"/>
  <c r="F58" i="13"/>
  <c r="U50" i="13"/>
  <c r="G50" i="13" s="1"/>
  <c r="I50" i="13"/>
  <c r="AI94" i="13"/>
  <c r="I94" i="13" s="1"/>
  <c r="AF94" i="13"/>
  <c r="H94" i="13"/>
  <c r="Y69" i="13"/>
  <c r="G69" i="13" s="1"/>
  <c r="P105" i="13" s="1"/>
  <c r="R105" i="13" s="1"/>
  <c r="I69" i="13"/>
  <c r="AI98" i="13"/>
  <c r="I98" i="13" s="1"/>
  <c r="AG98" i="13"/>
  <c r="G98" i="13" s="1"/>
  <c r="AF98" i="13"/>
  <c r="H98" i="13"/>
  <c r="AF90" i="13"/>
  <c r="AI90" i="13"/>
  <c r="I90" i="13" s="1"/>
  <c r="H90" i="13"/>
  <c r="F55" i="13"/>
  <c r="AB70" i="13"/>
  <c r="F70" i="13" s="1"/>
  <c r="AE70" i="13"/>
  <c r="AC70" i="13" s="1"/>
  <c r="F64" i="13"/>
  <c r="Y65" i="13"/>
  <c r="G65" i="13" s="1"/>
  <c r="P101" i="13" s="1"/>
  <c r="R101" i="13" s="1"/>
  <c r="I65" i="13"/>
  <c r="F48" i="13"/>
  <c r="AI103" i="13"/>
  <c r="I103" i="13" s="1"/>
  <c r="AF103" i="13"/>
  <c r="H103" i="13"/>
  <c r="F51" i="13"/>
  <c r="I49" i="13"/>
  <c r="U49" i="13"/>
  <c r="G49" i="13" s="1"/>
  <c r="Y56" i="13"/>
  <c r="G56" i="13" s="1"/>
  <c r="P92" i="13" s="1"/>
  <c r="R92" i="13" s="1"/>
  <c r="I56" i="13"/>
  <c r="Y55" i="13"/>
  <c r="G55" i="13" s="1"/>
  <c r="P91" i="13" s="1"/>
  <c r="R91" i="13" s="1"/>
  <c r="I55" i="13"/>
  <c r="AF102" i="13"/>
  <c r="AI102" i="13"/>
  <c r="I102" i="13" s="1"/>
  <c r="AG102" i="13"/>
  <c r="G102" i="13" s="1"/>
  <c r="H102" i="13"/>
  <c r="AD82" i="13"/>
  <c r="AD74" i="13"/>
  <c r="AD81" i="13"/>
  <c r="AD86" i="13"/>
  <c r="AD73" i="13"/>
  <c r="AD76" i="13"/>
  <c r="AD79" i="13"/>
  <c r="AD78" i="13"/>
  <c r="AD85" i="13"/>
  <c r="AD75" i="13"/>
  <c r="AD83" i="13"/>
  <c r="AD80" i="13"/>
  <c r="AD71" i="13"/>
  <c r="AD72" i="13"/>
  <c r="AD84" i="13"/>
  <c r="AD77" i="13"/>
  <c r="F46" i="13"/>
  <c r="F61" i="13"/>
  <c r="AI107" i="13"/>
  <c r="I107" i="13" s="1"/>
  <c r="AF107" i="13"/>
  <c r="H107" i="13"/>
  <c r="AV52" i="13"/>
  <c r="F65" i="13"/>
  <c r="F57" i="13"/>
  <c r="Y62" i="13"/>
  <c r="G62" i="13" s="1"/>
  <c r="P98" i="13" s="1"/>
  <c r="R98" i="13" s="1"/>
  <c r="I62" i="13"/>
  <c r="AI106" i="13"/>
  <c r="I106" i="13" s="1"/>
  <c r="AF106" i="13"/>
  <c r="H106" i="13"/>
  <c r="I45" i="13"/>
  <c r="U45" i="13"/>
  <c r="G45" i="13" s="1"/>
  <c r="AI104" i="13"/>
  <c r="I104" i="13" s="1"/>
  <c r="AF104" i="13"/>
  <c r="AG104" i="13"/>
  <c r="G104" i="13" s="1"/>
  <c r="H104" i="13"/>
  <c r="F45" i="13"/>
  <c r="F68" i="13"/>
  <c r="F66" i="13"/>
  <c r="Y54" i="13"/>
  <c r="G54" i="13" s="1"/>
  <c r="P90" i="13" s="1"/>
  <c r="R90" i="13" s="1"/>
  <c r="I54" i="13"/>
  <c r="AF97" i="13"/>
  <c r="AI97" i="13"/>
  <c r="I97" i="13" s="1"/>
  <c r="H97" i="13"/>
  <c r="F47" i="13"/>
  <c r="Y61" i="13"/>
  <c r="G61" i="13" s="1"/>
  <c r="P97" i="13" s="1"/>
  <c r="R97" i="13" s="1"/>
  <c r="I61" i="13"/>
  <c r="F67" i="13"/>
  <c r="Y70" i="13"/>
  <c r="AI100" i="13"/>
  <c r="I100" i="13" s="1"/>
  <c r="AF100" i="13"/>
  <c r="H100" i="13"/>
  <c r="AF89" i="13"/>
  <c r="AI89" i="13"/>
  <c r="I89" i="13" s="1"/>
  <c r="AG89" i="13"/>
  <c r="G89" i="13" s="1"/>
  <c r="H89" i="13"/>
  <c r="AF96" i="13"/>
  <c r="AI96" i="13"/>
  <c r="I96" i="13" s="1"/>
  <c r="H96" i="13"/>
  <c r="AF99" i="13"/>
  <c r="AI99" i="13"/>
  <c r="I99" i="13" s="1"/>
  <c r="H99" i="13"/>
  <c r="AV60" i="13"/>
  <c r="F60" i="13"/>
  <c r="F49" i="13"/>
  <c r="AX87" i="13"/>
  <c r="F56" i="13"/>
  <c r="Y66" i="13"/>
  <c r="G66" i="13" s="1"/>
  <c r="P102" i="13" s="1"/>
  <c r="R102" i="13" s="1"/>
  <c r="I66" i="13"/>
  <c r="F54" i="13"/>
  <c r="AI105" i="13"/>
  <c r="I105" i="13" s="1"/>
  <c r="AF105" i="13"/>
  <c r="H105" i="13"/>
  <c r="AI93" i="13"/>
  <c r="I93" i="13" s="1"/>
  <c r="AF93" i="13"/>
  <c r="H93" i="13"/>
  <c r="U47" i="13"/>
  <c r="G47" i="13" s="1"/>
  <c r="I47" i="13"/>
  <c r="Y67" i="13"/>
  <c r="G67" i="13" s="1"/>
  <c r="P103" i="13" s="1"/>
  <c r="R103" i="13" s="1"/>
  <c r="I67" i="13"/>
  <c r="AI101" i="13"/>
  <c r="I101" i="13" s="1"/>
  <c r="AF101" i="13"/>
  <c r="AG101" i="13"/>
  <c r="G101" i="13" s="1"/>
  <c r="H101" i="13"/>
  <c r="F63" i="13"/>
  <c r="AD88" i="13"/>
  <c r="AD87" i="13"/>
  <c r="K7" i="1" a="1"/>
  <c r="K7" i="1" s="1"/>
  <c r="K6" i="1" s="1" a="1"/>
  <c r="K6" i="1" s="1"/>
  <c r="G7" i="1" a="1"/>
  <c r="G7" i="1" s="1"/>
  <c r="G6" i="1" s="1" a="1"/>
  <c r="G6" i="1" s="1"/>
  <c r="L7" i="1" a="1"/>
  <c r="L7" i="1" s="1"/>
  <c r="L6" i="1" s="1" a="1"/>
  <c r="L6" i="1" s="1"/>
  <c r="J7" i="1" a="1"/>
  <c r="J7" i="1" s="1"/>
  <c r="I7" i="1" a="1"/>
  <c r="I7" i="1" s="1"/>
  <c r="I6" i="1" s="1" a="1"/>
  <c r="I6" i="1" s="1"/>
  <c r="H7" i="1" a="1"/>
  <c r="H7" i="1" s="1"/>
  <c r="H6" i="1" s="1" a="1"/>
  <c r="H6" i="1" s="1"/>
  <c r="AG92" i="13" l="1"/>
  <c r="G92" i="13" s="1"/>
  <c r="AV65" i="13"/>
  <c r="I70" i="13"/>
  <c r="AG106" i="13"/>
  <c r="G106" i="13" s="1"/>
  <c r="AG90" i="13"/>
  <c r="G90" i="13" s="1"/>
  <c r="AV63" i="13"/>
  <c r="AG97" i="13"/>
  <c r="G97" i="13" s="1"/>
  <c r="AV69" i="13"/>
  <c r="AG95" i="13"/>
  <c r="G95" i="13" s="1"/>
  <c r="G70" i="13"/>
  <c r="P106" i="13" s="1"/>
  <c r="R106" i="13" s="1"/>
  <c r="AV57" i="13"/>
  <c r="AV68" i="13"/>
  <c r="AU51" i="13"/>
  <c r="AG103" i="13"/>
  <c r="G103" i="13" s="1"/>
  <c r="AG107" i="13"/>
  <c r="G107" i="13" s="1"/>
  <c r="AG100" i="13"/>
  <c r="G100" i="13" s="1"/>
  <c r="AG96" i="13"/>
  <c r="G96" i="13" s="1"/>
  <c r="AU45" i="13"/>
  <c r="AY45" i="13" s="1"/>
  <c r="BC45" i="13" s="1"/>
  <c r="AV54" i="13"/>
  <c r="AZ53" i="13" s="1"/>
  <c r="BD53" i="13" s="1"/>
  <c r="AV64" i="13"/>
  <c r="AZ63" i="13" s="1"/>
  <c r="BD63" i="13" s="1"/>
  <c r="BG63" i="13" s="1"/>
  <c r="AG105" i="13"/>
  <c r="G105" i="13" s="1"/>
  <c r="F96" i="13"/>
  <c r="AB72" i="13"/>
  <c r="AE72" i="13"/>
  <c r="H72" i="13"/>
  <c r="W52" i="13"/>
  <c r="T52" i="13"/>
  <c r="H52" i="13"/>
  <c r="F105" i="13"/>
  <c r="AB71" i="13"/>
  <c r="AE71" i="13"/>
  <c r="H71" i="13"/>
  <c r="H53" i="13"/>
  <c r="T53" i="13"/>
  <c r="W53" i="13"/>
  <c r="AE78" i="13"/>
  <c r="AB78" i="13"/>
  <c r="H78" i="13"/>
  <c r="AV56" i="13"/>
  <c r="AZ56" i="13" s="1"/>
  <c r="BD56" i="13" s="1"/>
  <c r="BG56" i="13" s="1"/>
  <c r="AR68" i="13"/>
  <c r="AS68" i="13" s="1"/>
  <c r="AT68" i="13" s="1"/>
  <c r="AO68" i="13"/>
  <c r="AE76" i="13"/>
  <c r="AB76" i="13"/>
  <c r="H76" i="13"/>
  <c r="F97" i="13"/>
  <c r="AX92" i="13"/>
  <c r="F92" i="13"/>
  <c r="AR65" i="13"/>
  <c r="AS65" i="13" s="1"/>
  <c r="AT65" i="13" s="1"/>
  <c r="AO65" i="13"/>
  <c r="AE80" i="13"/>
  <c r="H80" i="13"/>
  <c r="AB80" i="13"/>
  <c r="AB75" i="13"/>
  <c r="AE75" i="13"/>
  <c r="H75" i="13"/>
  <c r="AR63" i="13"/>
  <c r="AS63" i="13" s="1"/>
  <c r="AT63" i="13" s="1"/>
  <c r="AO63" i="13"/>
  <c r="AX98" i="13"/>
  <c r="F98" i="13"/>
  <c r="AE73" i="13"/>
  <c r="AB73" i="13"/>
  <c r="H73" i="13"/>
  <c r="AU49" i="13"/>
  <c r="AB86" i="13"/>
  <c r="AE86" i="13"/>
  <c r="H86" i="13"/>
  <c r="AU48" i="13"/>
  <c r="AY48" i="13" s="1"/>
  <c r="BC48" i="13" s="1"/>
  <c r="BG48" i="13" s="1"/>
  <c r="AR69" i="13"/>
  <c r="AS69" i="13" s="1"/>
  <c r="AT69" i="13" s="1"/>
  <c r="AO69" i="13"/>
  <c r="AX90" i="13"/>
  <c r="F90" i="13"/>
  <c r="AR56" i="13"/>
  <c r="AS56" i="13" s="1"/>
  <c r="AT56" i="13" s="1"/>
  <c r="AO56" i="13"/>
  <c r="AB79" i="13"/>
  <c r="AE79" i="13"/>
  <c r="H79" i="13"/>
  <c r="AR45" i="13"/>
  <c r="AS45" i="13" s="1"/>
  <c r="AT45" i="13" s="1"/>
  <c r="AO45" i="13"/>
  <c r="F95" i="13"/>
  <c r="AR59" i="13"/>
  <c r="AS59" i="13" s="1"/>
  <c r="AT59" i="13" s="1"/>
  <c r="AO59" i="13"/>
  <c r="AR54" i="13"/>
  <c r="AS54" i="13" s="1"/>
  <c r="AT54" i="13" s="1"/>
  <c r="AO54" i="13"/>
  <c r="AE83" i="13"/>
  <c r="AB83" i="13"/>
  <c r="H83" i="13"/>
  <c r="AB88" i="13"/>
  <c r="AE88" i="13"/>
  <c r="H88" i="13"/>
  <c r="AR57" i="13"/>
  <c r="AS57" i="13" s="1"/>
  <c r="AT57" i="13" s="1"/>
  <c r="AO57" i="13"/>
  <c r="F100" i="13"/>
  <c r="F103" i="13"/>
  <c r="AX101" i="13"/>
  <c r="F101" i="13"/>
  <c r="AR49" i="13"/>
  <c r="AS49" i="13" s="1"/>
  <c r="AT49" i="13" s="1"/>
  <c r="AO49" i="13"/>
  <c r="AR48" i="13"/>
  <c r="AS48" i="13" s="1"/>
  <c r="AT48" i="13" s="1"/>
  <c r="AO48" i="13"/>
  <c r="F94" i="13"/>
  <c r="AR60" i="13"/>
  <c r="AS60" i="13" s="1"/>
  <c r="AT60" i="13" s="1"/>
  <c r="AO60" i="13"/>
  <c r="AE74" i="13"/>
  <c r="AB74" i="13"/>
  <c r="H74" i="13"/>
  <c r="AR62" i="13"/>
  <c r="AS62" i="13" s="1"/>
  <c r="AT62" i="13" s="1"/>
  <c r="AO62" i="13"/>
  <c r="AV61" i="13"/>
  <c r="AZ60" i="13" s="1"/>
  <c r="BD60" i="13" s="1"/>
  <c r="BG60" i="13" s="1"/>
  <c r="F93" i="13"/>
  <c r="AR70" i="13"/>
  <c r="AS70" i="13" s="1"/>
  <c r="AT70" i="13" s="1"/>
  <c r="AO70" i="13"/>
  <c r="AG99" i="13"/>
  <c r="G99" i="13" s="1"/>
  <c r="AV70" i="13"/>
  <c r="AU46" i="13"/>
  <c r="AX102" i="13"/>
  <c r="F102" i="13"/>
  <c r="AW70" i="13"/>
  <c r="AV58" i="13"/>
  <c r="AE87" i="13"/>
  <c r="AB87" i="13"/>
  <c r="H87" i="13"/>
  <c r="AR51" i="13"/>
  <c r="AS51" i="13" s="1"/>
  <c r="AT51" i="13" s="1"/>
  <c r="AO51" i="13"/>
  <c r="AR66" i="13"/>
  <c r="AS66" i="13" s="1"/>
  <c r="AT66" i="13" s="1"/>
  <c r="AO66" i="13"/>
  <c r="AE81" i="13"/>
  <c r="AB81" i="13"/>
  <c r="H81" i="13"/>
  <c r="AV67" i="13"/>
  <c r="AE82" i="13"/>
  <c r="AB82" i="13"/>
  <c r="H82" i="13"/>
  <c r="AV62" i="13"/>
  <c r="AX104" i="13"/>
  <c r="F104" i="13"/>
  <c r="AO64" i="13"/>
  <c r="AR64" i="13"/>
  <c r="AS64" i="13" s="1"/>
  <c r="AT64" i="13" s="1"/>
  <c r="F99" i="13"/>
  <c r="AO46" i="13"/>
  <c r="AR46" i="13"/>
  <c r="AS46" i="13" s="1"/>
  <c r="AT46" i="13" s="1"/>
  <c r="AR58" i="13"/>
  <c r="AS58" i="13" s="1"/>
  <c r="AT58" i="13" s="1"/>
  <c r="AO58" i="13"/>
  <c r="AG93" i="13"/>
  <c r="G93" i="13" s="1"/>
  <c r="AR47" i="13"/>
  <c r="AS47" i="13" s="1"/>
  <c r="AT47" i="13" s="1"/>
  <c r="AO47" i="13"/>
  <c r="AE77" i="13"/>
  <c r="AB77" i="13"/>
  <c r="H77" i="13"/>
  <c r="AO55" i="13"/>
  <c r="AR55" i="13"/>
  <c r="AS55" i="13" s="1"/>
  <c r="AT55" i="13" s="1"/>
  <c r="AU50" i="13"/>
  <c r="AX89" i="13"/>
  <c r="F89" i="13"/>
  <c r="AE85" i="13"/>
  <c r="AB85" i="13"/>
  <c r="H85" i="13"/>
  <c r="AV66" i="13"/>
  <c r="AZ65" i="13" s="1"/>
  <c r="BD65" i="13" s="1"/>
  <c r="BG65" i="13" s="1"/>
  <c r="AR67" i="13"/>
  <c r="AS67" i="13" s="1"/>
  <c r="AT67" i="13" s="1"/>
  <c r="AO67" i="13"/>
  <c r="F107" i="13"/>
  <c r="AZ59" i="13"/>
  <c r="BD59" i="13" s="1"/>
  <c r="BG59" i="13" s="1"/>
  <c r="AG94" i="13"/>
  <c r="G94" i="13" s="1"/>
  <c r="AR61" i="13"/>
  <c r="AS61" i="13" s="1"/>
  <c r="AT61" i="13" s="1"/>
  <c r="AO61" i="13"/>
  <c r="AU47" i="13"/>
  <c r="AX106" i="13"/>
  <c r="F106" i="13"/>
  <c r="AE84" i="13"/>
  <c r="AB84" i="13"/>
  <c r="H84" i="13"/>
  <c r="AV55" i="13"/>
  <c r="AX91" i="13"/>
  <c r="BB91" i="13" s="1"/>
  <c r="BF91" i="13" s="1"/>
  <c r="BG91" i="13" s="1"/>
  <c r="F91" i="13"/>
  <c r="AR50" i="13"/>
  <c r="AS50" i="13" s="1"/>
  <c r="AT50" i="13" s="1"/>
  <c r="AO50" i="13"/>
  <c r="AY50" i="13" l="1"/>
  <c r="BC50" i="13" s="1"/>
  <c r="BG50" i="13" s="1"/>
  <c r="AX103" i="13"/>
  <c r="AX97" i="13"/>
  <c r="BB90" i="13"/>
  <c r="BF90" i="13" s="1"/>
  <c r="BG90" i="13" s="1"/>
  <c r="AX100" i="13"/>
  <c r="AZ67" i="13"/>
  <c r="BD67" i="13" s="1"/>
  <c r="BG67" i="13" s="1"/>
  <c r="AX105" i="13"/>
  <c r="BB105" i="13" s="1"/>
  <c r="BF105" i="13" s="1"/>
  <c r="BG105" i="13" s="1"/>
  <c r="AZ64" i="13"/>
  <c r="BD64" i="13" s="1"/>
  <c r="BG64" i="13" s="1"/>
  <c r="BB97" i="13"/>
  <c r="BF97" i="13" s="1"/>
  <c r="BG97" i="13" s="1"/>
  <c r="AZ68" i="13"/>
  <c r="BD68" i="13" s="1"/>
  <c r="BG68" i="13" s="1"/>
  <c r="AZ54" i="13"/>
  <c r="BD54" i="13" s="1"/>
  <c r="BG54" i="13" s="1"/>
  <c r="BB102" i="13"/>
  <c r="BF102" i="13" s="1"/>
  <c r="BG102" i="13" s="1"/>
  <c r="AX95" i="13"/>
  <c r="AX107" i="13"/>
  <c r="BB106" i="13" s="1"/>
  <c r="BF106" i="13" s="1"/>
  <c r="BG106" i="13" s="1"/>
  <c r="AZ57" i="13"/>
  <c r="BD57" i="13" s="1"/>
  <c r="BG57" i="13" s="1"/>
  <c r="AY49" i="13"/>
  <c r="BC49" i="13" s="1"/>
  <c r="BG49" i="13" s="1"/>
  <c r="BB104" i="13"/>
  <c r="BF104" i="13" s="1"/>
  <c r="BG104" i="13" s="1"/>
  <c r="AY46" i="13"/>
  <c r="BC46" i="13" s="1"/>
  <c r="BG46" i="13" s="1"/>
  <c r="AX99" i="13"/>
  <c r="BB99" i="13" s="1"/>
  <c r="BF99" i="13" s="1"/>
  <c r="BG99" i="13" s="1"/>
  <c r="AZ61" i="13"/>
  <c r="BD61" i="13" s="1"/>
  <c r="BG61" i="13" s="1"/>
  <c r="AX96" i="13"/>
  <c r="AR90" i="13"/>
  <c r="AS90" i="13" s="1"/>
  <c r="AT90" i="13" s="1"/>
  <c r="AO90" i="13"/>
  <c r="AC75" i="13"/>
  <c r="G75" i="13" s="1"/>
  <c r="I75" i="13"/>
  <c r="F78" i="13"/>
  <c r="F75" i="13"/>
  <c r="AC78" i="13"/>
  <c r="G78" i="13" s="1"/>
  <c r="I78" i="13"/>
  <c r="AR107" i="13"/>
  <c r="AS107" i="13" s="1"/>
  <c r="AO107" i="13"/>
  <c r="F74" i="13"/>
  <c r="AC88" i="13"/>
  <c r="G88" i="13" s="1"/>
  <c r="I88" i="13"/>
  <c r="AZ58" i="13"/>
  <c r="BD58" i="13" s="1"/>
  <c r="BG58" i="13" s="1"/>
  <c r="F88" i="13"/>
  <c r="AR99" i="13"/>
  <c r="AS99" i="13" s="1"/>
  <c r="AT99" i="13" s="1"/>
  <c r="AO99" i="13"/>
  <c r="AR91" i="13"/>
  <c r="AS91" i="13" s="1"/>
  <c r="AT91" i="13" s="1"/>
  <c r="AO91" i="13"/>
  <c r="AC74" i="13"/>
  <c r="G74" i="13" s="1"/>
  <c r="I74" i="13"/>
  <c r="F53" i="13"/>
  <c r="F87" i="13"/>
  <c r="AC86" i="13"/>
  <c r="G86" i="13" s="1"/>
  <c r="I86" i="13"/>
  <c r="AR92" i="13"/>
  <c r="AS92" i="13" s="1"/>
  <c r="AT92" i="13" s="1"/>
  <c r="AO92" i="13"/>
  <c r="AO95" i="13"/>
  <c r="AR95" i="13"/>
  <c r="AS95" i="13" s="1"/>
  <c r="AT95" i="13" s="1"/>
  <c r="F73" i="13"/>
  <c r="AR97" i="13"/>
  <c r="AS97" i="13" s="1"/>
  <c r="AT97" i="13" s="1"/>
  <c r="AO97" i="13"/>
  <c r="AC80" i="13"/>
  <c r="G80" i="13" s="1"/>
  <c r="I80" i="13"/>
  <c r="F86" i="13"/>
  <c r="BB101" i="13"/>
  <c r="BF101" i="13" s="1"/>
  <c r="BG101" i="13" s="1"/>
  <c r="BB103" i="13"/>
  <c r="BF103" i="13" s="1"/>
  <c r="BG103" i="13" s="1"/>
  <c r="AR98" i="13"/>
  <c r="AS98" i="13" s="1"/>
  <c r="AT98" i="13" s="1"/>
  <c r="AO98" i="13"/>
  <c r="AC76" i="13"/>
  <c r="G76" i="13" s="1"/>
  <c r="I76" i="13"/>
  <c r="AC72" i="13"/>
  <c r="G72" i="13" s="1"/>
  <c r="I72" i="13"/>
  <c r="AC83" i="13"/>
  <c r="G83" i="13" s="1"/>
  <c r="I83" i="13"/>
  <c r="F71" i="13"/>
  <c r="F85" i="13"/>
  <c r="BB89" i="13"/>
  <c r="BF89" i="13" s="1"/>
  <c r="BG89" i="13" s="1"/>
  <c r="BB88" i="13"/>
  <c r="BF88" i="13" s="1"/>
  <c r="AR93" i="13"/>
  <c r="AS93" i="13" s="1"/>
  <c r="AT93" i="13" s="1"/>
  <c r="AO93" i="13"/>
  <c r="AR100" i="13"/>
  <c r="AS100" i="13" s="1"/>
  <c r="AT100" i="13" s="1"/>
  <c r="AO100" i="13"/>
  <c r="AC79" i="13"/>
  <c r="G79" i="13" s="1"/>
  <c r="I79" i="13"/>
  <c r="F72" i="13"/>
  <c r="AO102" i="13"/>
  <c r="AR102" i="13"/>
  <c r="AS102" i="13" s="1"/>
  <c r="AT102" i="13" s="1"/>
  <c r="AR105" i="13"/>
  <c r="AS105" i="13" s="1"/>
  <c r="AT105" i="13" s="1"/>
  <c r="AO105" i="13"/>
  <c r="AR104" i="13"/>
  <c r="AS104" i="13" s="1"/>
  <c r="AT104" i="13" s="1"/>
  <c r="AO104" i="13"/>
  <c r="AR106" i="13"/>
  <c r="AS106" i="13" s="1"/>
  <c r="AT106" i="13" s="1"/>
  <c r="AO106" i="13"/>
  <c r="AZ62" i="13"/>
  <c r="BD62" i="13" s="1"/>
  <c r="BG62" i="13" s="1"/>
  <c r="BB100" i="13"/>
  <c r="BF100" i="13" s="1"/>
  <c r="BG100" i="13" s="1"/>
  <c r="F79" i="13"/>
  <c r="AR96" i="13"/>
  <c r="AS96" i="13" s="1"/>
  <c r="AT96" i="13" s="1"/>
  <c r="AO96" i="13"/>
  <c r="U53" i="13"/>
  <c r="G53" i="13" s="1"/>
  <c r="P89" i="13" s="1"/>
  <c r="R89" i="13" s="1"/>
  <c r="I53" i="13"/>
  <c r="AC87" i="13"/>
  <c r="G87" i="13" s="1"/>
  <c r="I87" i="13"/>
  <c r="AX94" i="13"/>
  <c r="BB94" i="13" s="1"/>
  <c r="BF94" i="13" s="1"/>
  <c r="BG94" i="13" s="1"/>
  <c r="BG45" i="13"/>
  <c r="AC85" i="13"/>
  <c r="G85" i="13" s="1"/>
  <c r="I85" i="13"/>
  <c r="AR101" i="13"/>
  <c r="AS101" i="13" s="1"/>
  <c r="AT101" i="13" s="1"/>
  <c r="AO101" i="13"/>
  <c r="AC73" i="13"/>
  <c r="G73" i="13" s="1"/>
  <c r="I73" i="13"/>
  <c r="U52" i="13"/>
  <c r="G52" i="13" s="1"/>
  <c r="I52" i="13"/>
  <c r="F82" i="13"/>
  <c r="AC82" i="13"/>
  <c r="G82" i="13" s="1"/>
  <c r="I82" i="13"/>
  <c r="AY47" i="13"/>
  <c r="BC47" i="13" s="1"/>
  <c r="BG47" i="13" s="1"/>
  <c r="AZ55" i="13"/>
  <c r="BD55" i="13" s="1"/>
  <c r="BG55" i="13" s="1"/>
  <c r="F80" i="13"/>
  <c r="F83" i="13"/>
  <c r="AR94" i="13"/>
  <c r="AS94" i="13" s="1"/>
  <c r="AT94" i="13" s="1"/>
  <c r="AO94" i="13"/>
  <c r="AC71" i="13"/>
  <c r="G71" i="13" s="1"/>
  <c r="P107" i="13" s="1"/>
  <c r="R107" i="13" s="1"/>
  <c r="I71" i="13"/>
  <c r="AR89" i="13"/>
  <c r="AS89" i="13" s="1"/>
  <c r="AT89" i="13" s="1"/>
  <c r="AO89" i="13"/>
  <c r="F84" i="13"/>
  <c r="AZ70" i="13"/>
  <c r="BD70" i="13" s="1"/>
  <c r="AZ69" i="13"/>
  <c r="BD69" i="13" s="1"/>
  <c r="BG69" i="13" s="1"/>
  <c r="F52" i="13"/>
  <c r="AC84" i="13"/>
  <c r="G84" i="13" s="1"/>
  <c r="I84" i="13"/>
  <c r="AR103" i="13"/>
  <c r="AS103" i="13" s="1"/>
  <c r="AT103" i="13" s="1"/>
  <c r="AO103" i="13"/>
  <c r="F76" i="13"/>
  <c r="AZ66" i="13"/>
  <c r="BD66" i="13" s="1"/>
  <c r="BG66" i="13" s="1"/>
  <c r="F77" i="13"/>
  <c r="AX93" i="13"/>
  <c r="AC77" i="13"/>
  <c r="G77" i="13" s="1"/>
  <c r="I77" i="13"/>
  <c r="F81" i="13"/>
  <c r="AC81" i="13"/>
  <c r="G81" i="13" s="1"/>
  <c r="I81" i="13"/>
  <c r="BB96" i="13" l="1"/>
  <c r="BF96" i="13" s="1"/>
  <c r="BG96" i="13" s="1"/>
  <c r="BB98" i="13"/>
  <c r="BF98" i="13" s="1"/>
  <c r="BG98" i="13" s="1"/>
  <c r="AW80" i="13"/>
  <c r="AU53" i="13"/>
  <c r="AY53" i="13" s="1"/>
  <c r="BC53" i="13" s="1"/>
  <c r="BG53" i="13" s="1"/>
  <c r="BB93" i="13"/>
  <c r="BF93" i="13" s="1"/>
  <c r="BG93" i="13" s="1"/>
  <c r="BB95" i="13"/>
  <c r="BF95" i="13" s="1"/>
  <c r="BG95" i="13" s="1"/>
  <c r="AW76" i="13"/>
  <c r="AW74" i="13"/>
  <c r="AW85" i="13"/>
  <c r="AW84" i="13"/>
  <c r="BA84" i="13" s="1"/>
  <c r="BE84" i="13" s="1"/>
  <c r="BG84" i="13" s="1"/>
  <c r="AW87" i="13"/>
  <c r="AW75" i="13"/>
  <c r="BA75" i="13" s="1"/>
  <c r="BE75" i="13" s="1"/>
  <c r="BG75" i="13" s="1"/>
  <c r="AW88" i="13"/>
  <c r="BA88" i="13" s="1"/>
  <c r="BE88" i="13" s="1"/>
  <c r="BG88" i="13" s="1"/>
  <c r="AO88" i="13"/>
  <c r="AR88" i="13"/>
  <c r="AS88" i="13" s="1"/>
  <c r="AT88" i="13" s="1"/>
  <c r="BB92" i="13"/>
  <c r="BF92" i="13" s="1"/>
  <c r="BG92" i="13" s="1"/>
  <c r="BA76" i="13"/>
  <c r="BE76" i="13" s="1"/>
  <c r="BG76" i="13" s="1"/>
  <c r="AR77" i="13"/>
  <c r="AS77" i="13" s="1"/>
  <c r="AT77" i="13" s="1"/>
  <c r="AO77" i="13"/>
  <c r="AO76" i="13"/>
  <c r="AR76" i="13"/>
  <c r="AS76" i="13" s="1"/>
  <c r="AT76" i="13" s="1"/>
  <c r="AO75" i="13"/>
  <c r="AR75" i="13"/>
  <c r="AS75" i="13" s="1"/>
  <c r="AT75" i="13" s="1"/>
  <c r="AW73" i="13"/>
  <c r="AW71" i="13"/>
  <c r="AR83" i="13"/>
  <c r="AS83" i="13" s="1"/>
  <c r="AT83" i="13" s="1"/>
  <c r="AO83" i="13"/>
  <c r="AR87" i="13"/>
  <c r="AS87" i="13" s="1"/>
  <c r="AT87" i="13" s="1"/>
  <c r="AO87" i="13"/>
  <c r="AR78" i="13"/>
  <c r="AS78" i="13" s="1"/>
  <c r="AT78" i="13" s="1"/>
  <c r="AO78" i="13"/>
  <c r="AO86" i="13"/>
  <c r="AR86" i="13"/>
  <c r="AS86" i="13" s="1"/>
  <c r="AT86" i="13" s="1"/>
  <c r="AO84" i="13"/>
  <c r="AR84" i="13"/>
  <c r="AS84" i="13" s="1"/>
  <c r="AT84" i="13" s="1"/>
  <c r="AO81" i="13"/>
  <c r="AR81" i="13"/>
  <c r="AS81" i="13" s="1"/>
  <c r="AT81" i="13" s="1"/>
  <c r="AR73" i="13"/>
  <c r="AS73" i="13" s="1"/>
  <c r="AT73" i="13" s="1"/>
  <c r="AO73" i="13"/>
  <c r="AR71" i="13"/>
  <c r="AS71" i="13" s="1"/>
  <c r="AT71" i="13" s="1"/>
  <c r="AO71" i="13"/>
  <c r="AR80" i="13"/>
  <c r="AS80" i="13" s="1"/>
  <c r="AT80" i="13" s="1"/>
  <c r="AO80" i="13"/>
  <c r="AW78" i="13"/>
  <c r="AO82" i="13"/>
  <c r="AR82" i="13"/>
  <c r="AS82" i="13" s="1"/>
  <c r="AT82" i="13" s="1"/>
  <c r="AW86" i="13"/>
  <c r="AR85" i="13"/>
  <c r="AS85" i="13" s="1"/>
  <c r="AT85" i="13" s="1"/>
  <c r="AO85" i="13"/>
  <c r="AW77" i="13"/>
  <c r="AW83" i="13"/>
  <c r="BA83" i="13" s="1"/>
  <c r="BE83" i="13" s="1"/>
  <c r="BG83" i="13" s="1"/>
  <c r="AW72" i="13"/>
  <c r="AR52" i="13"/>
  <c r="AS52" i="13" s="1"/>
  <c r="AT52" i="13" s="1"/>
  <c r="AO52" i="13"/>
  <c r="AU52" i="13"/>
  <c r="AR79" i="13"/>
  <c r="AS79" i="13" s="1"/>
  <c r="AT79" i="13" s="1"/>
  <c r="AO79" i="13"/>
  <c r="AW82" i="13"/>
  <c r="BA82" i="13" s="1"/>
  <c r="BE82" i="13" s="1"/>
  <c r="BG82" i="13" s="1"/>
  <c r="AW79" i="13"/>
  <c r="BA79" i="13" s="1"/>
  <c r="BE79" i="13" s="1"/>
  <c r="BG79" i="13" s="1"/>
  <c r="AR16" i="13"/>
  <c r="AW81" i="13"/>
  <c r="AR74" i="13"/>
  <c r="AS74" i="13" s="1"/>
  <c r="AT74" i="13" s="1"/>
  <c r="AO74" i="13"/>
  <c r="AR72" i="13"/>
  <c r="AS72" i="13" s="1"/>
  <c r="AT72" i="13" s="1"/>
  <c r="AO72" i="13"/>
  <c r="AR53" i="13"/>
  <c r="AS53" i="13" s="1"/>
  <c r="AT53" i="13" s="1"/>
  <c r="AO53" i="13"/>
  <c r="BA87" i="13" l="1"/>
  <c r="BE87" i="13" s="1"/>
  <c r="BG87" i="13" s="1"/>
  <c r="BA73" i="13"/>
  <c r="BE73" i="13" s="1"/>
  <c r="BG73" i="13" s="1"/>
  <c r="BA81" i="13"/>
  <c r="BE81" i="13" s="1"/>
  <c r="BG81" i="13" s="1"/>
  <c r="BA86" i="13"/>
  <c r="BE86" i="13" s="1"/>
  <c r="BG86" i="13" s="1"/>
  <c r="BA74" i="13"/>
  <c r="BE74" i="13" s="1"/>
  <c r="BG74" i="13" s="1"/>
  <c r="AR22" i="13"/>
  <c r="BA78" i="13"/>
  <c r="BE78" i="13" s="1"/>
  <c r="BG78" i="13" s="1"/>
  <c r="BA71" i="13"/>
  <c r="BE71" i="13" s="1"/>
  <c r="BG71" i="13" s="1"/>
  <c r="BA70" i="13"/>
  <c r="BE70" i="13" s="1"/>
  <c r="BA72" i="13"/>
  <c r="BE72" i="13" s="1"/>
  <c r="BG72" i="13" s="1"/>
  <c r="BA85" i="13"/>
  <c r="BE85" i="13" s="1"/>
  <c r="BG85" i="13" s="1"/>
  <c r="BA80" i="13"/>
  <c r="BE80" i="13" s="1"/>
  <c r="BG80" i="13" s="1"/>
  <c r="AY52" i="13"/>
  <c r="BC52" i="13" s="1"/>
  <c r="BG52" i="13" s="1"/>
  <c r="AY51" i="13"/>
  <c r="BC51" i="13" s="1"/>
  <c r="BA77" i="13"/>
  <c r="BE77" i="13" s="1"/>
  <c r="BG77" i="13" s="1"/>
  <c r="BG51" i="13" l="1"/>
  <c r="AR13" i="13"/>
  <c r="AR19" i="13"/>
  <c r="BG70" i="13"/>
  <c r="H7" i="13" l="1"/>
  <c r="Q46" i="13"/>
  <c r="S46" i="13" s="1"/>
  <c r="Q50" i="13"/>
  <c r="S50" i="13" s="1"/>
  <c r="Q45" i="13"/>
  <c r="S45" i="13" s="1"/>
  <c r="Q51" i="13"/>
  <c r="S51" i="13" s="1"/>
  <c r="Q48" i="13"/>
  <c r="S48" i="13" s="1"/>
  <c r="Q47" i="13"/>
  <c r="S47" i="13" s="1"/>
  <c r="Q53" i="13"/>
  <c r="S53" i="13" s="1"/>
  <c r="Q52" i="13"/>
  <c r="S52" i="13" s="1"/>
  <c r="Q49" i="13"/>
  <c r="S49" i="13" s="1"/>
  <c r="G7" i="13"/>
  <c r="P50" i="13"/>
  <c r="R50" i="13" s="1"/>
  <c r="P48" i="13"/>
  <c r="R48" i="13" s="1"/>
  <c r="P46" i="13"/>
  <c r="R46" i="13" s="1"/>
  <c r="P45" i="13"/>
  <c r="R45" i="13" s="1"/>
  <c r="P51" i="13"/>
  <c r="R51" i="13" s="1"/>
  <c r="P47" i="13"/>
  <c r="R47" i="13" s="1"/>
  <c r="P49" i="13"/>
  <c r="R49" i="13" s="1"/>
  <c r="P52" i="13"/>
  <c r="R52" i="13" s="1"/>
  <c r="P53" i="13"/>
  <c r="R53"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沖本和貴</author>
    <author>@mtk_birdman</author>
  </authors>
  <commentList>
    <comment ref="AG4" authorId="0"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I21" authorId="1" shapeId="0" xr:uid="{4A9182D3-4838-4B1C-8C2A-BE8CEE7802B3}">
      <text>
        <r>
          <rPr>
            <b/>
            <sz val="9"/>
            <color indexed="81"/>
            <rFont val="MS P ゴシック"/>
            <family val="3"/>
            <charset val="128"/>
          </rPr>
          <t>@mtk_birdman:</t>
        </r>
        <r>
          <rPr>
            <sz val="9"/>
            <color indexed="81"/>
            <rFont val="MS P ゴシック"/>
            <family val="3"/>
            <charset val="128"/>
          </rPr>
          <t xml:space="preserve">
定常滑空とは
θ=0，α=-γ
の状態である</t>
        </r>
      </text>
    </comment>
    <comment ref="L21" authorId="0"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0"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1"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0"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F30" authorId="0"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0"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indexed="81"/>
            <rFont val="MS P ゴシック"/>
            <family val="3"/>
            <charset val="128"/>
          </rPr>
          <t>沖本和貴:</t>
        </r>
        <r>
          <rPr>
            <sz val="9"/>
            <color indexed="81"/>
            <rFont val="MS P ゴシック"/>
            <family val="3"/>
            <charset val="128"/>
          </rPr>
          <t xml:space="preserve">
0番桁中心からの距離</t>
        </r>
      </text>
    </comment>
    <comment ref="D12" authorId="0" shapeId="0" xr:uid="{3BF1B8BE-A509-4007-8FA5-EE59E9A6C97F}">
      <text>
        <r>
          <rPr>
            <b/>
            <sz val="9"/>
            <color indexed="81"/>
            <rFont val="MS P ゴシック"/>
            <family val="3"/>
            <charset val="128"/>
          </rPr>
          <t>沖本和貴:</t>
        </r>
        <r>
          <rPr>
            <sz val="9"/>
            <color indexed="81"/>
            <rFont val="MS P ゴシック"/>
            <family val="3"/>
            <charset val="128"/>
          </rPr>
          <t xml:space="preserve">
0番桁中心からの距離</t>
        </r>
      </text>
    </comment>
    <comment ref="G12" authorId="0" shapeId="0" xr:uid="{8E6B23D9-E75C-4D9B-BB97-856647DBF79C}">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I3" authorId="0" shapeId="0" xr:uid="{427075D1-4F25-4BAA-9A5E-80EAECD85AA6}">
      <text>
        <r>
          <rPr>
            <b/>
            <sz val="9"/>
            <color indexed="81"/>
            <rFont val="MS P ゴシック"/>
            <family val="3"/>
            <charset val="128"/>
          </rPr>
          <t>沖本和貴:</t>
        </r>
        <r>
          <rPr>
            <sz val="9"/>
            <color indexed="81"/>
            <rFont val="MS P ゴシック"/>
            <family val="3"/>
            <charset val="128"/>
          </rPr>
          <t xml:space="preserve">
スパーに沿った長さ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AP11" authorId="0" shapeId="0" xr:uid="{DF7DD0EB-444F-4EE0-9AEF-E8FA68B4879B}">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実測値</t>
        </r>
        <r>
          <rPr>
            <sz val="9"/>
            <color indexed="81"/>
            <rFont val="Tahoma"/>
            <family val="2"/>
          </rPr>
          <t>/</t>
        </r>
        <r>
          <rPr>
            <sz val="9"/>
            <color indexed="81"/>
            <rFont val="ＭＳ Ｐゴシック"/>
            <family val="3"/>
            <charset val="128"/>
          </rPr>
          <t>推算値の値を「誤差」に手入力して，実測値と推算値が同じになるようにする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AF15" authorId="0" shapeId="0" xr:uid="{2F108230-E7E5-4430-92A7-6D4C62A5B1BE}">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F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<sst xmlns="http://schemas.openxmlformats.org/spreadsheetml/2006/main" count="2626" uniqueCount="951">
  <si>
    <t>誤差</t>
    <rPh sb="0" eb="2">
      <t>ゴサ</t>
    </rPh>
    <phoneticPr fontId="2"/>
  </si>
  <si>
    <t>名前</t>
    <rPh sb="0" eb="2">
      <t>ナマエ</t>
    </rPh>
    <phoneticPr fontId="2"/>
  </si>
  <si>
    <t>推算</t>
    <rPh sb="0" eb="2">
      <t>スイサn</t>
    </rPh>
    <phoneticPr fontId="2"/>
  </si>
  <si>
    <t>重心位置</t>
    <rPh sb="0" eb="4">
      <t>ジュウシn</t>
    </rPh>
    <phoneticPr fontId="2"/>
  </si>
  <si>
    <t>脚</t>
    <rPh sb="0" eb="1">
      <t xml:space="preserve">アシ </t>
    </rPh>
    <phoneticPr fontId="2"/>
  </si>
  <si>
    <t>合計</t>
    <rPh sb="0" eb="2">
      <t>ゴウケイ</t>
    </rPh>
    <phoneticPr fontId="2"/>
  </si>
  <si>
    <t>部材長さ</t>
    <rPh sb="0" eb="2">
      <t>ブザイ</t>
    </rPh>
    <rPh sb="2" eb="3">
      <t>ナガサ</t>
    </rPh>
    <phoneticPr fontId="2"/>
  </si>
  <si>
    <t>始点質量</t>
    <rPh sb="0" eb="2">
      <t>シテn</t>
    </rPh>
    <rPh sb="2" eb="4">
      <t>シツリョウ</t>
    </rPh>
    <phoneticPr fontId="2"/>
  </si>
  <si>
    <t>終点質量</t>
    <rPh sb="0" eb="2">
      <t>シュウテn</t>
    </rPh>
    <rPh sb="2" eb="4">
      <t>シツリョウ</t>
    </rPh>
    <phoneticPr fontId="2"/>
  </si>
  <si>
    <t>m</t>
    <phoneticPr fontId="2"/>
  </si>
  <si>
    <t>kg</t>
    <phoneticPr fontId="2"/>
  </si>
  <si>
    <t>重心位置</t>
    <rPh sb="0" eb="2">
      <t>ジュウシn</t>
    </rPh>
    <rPh sb="2" eb="4">
      <t>イティ</t>
    </rPh>
    <phoneticPr fontId="2"/>
  </si>
  <si>
    <t>合計質量</t>
    <rPh sb="0" eb="2">
      <t>ゴウケイ</t>
    </rPh>
    <rPh sb="2" eb="4">
      <t>シツリョウ</t>
    </rPh>
    <phoneticPr fontId="2"/>
  </si>
  <si>
    <t>カウル</t>
    <phoneticPr fontId="2"/>
  </si>
  <si>
    <t>脚マウント</t>
    <rPh sb="0" eb="1">
      <t xml:space="preserve">アシ </t>
    </rPh>
    <phoneticPr fontId="2"/>
  </si>
  <si>
    <t>サーボマウント</t>
    <phoneticPr fontId="2"/>
  </si>
  <si>
    <t>さすまた</t>
    <phoneticPr fontId="2"/>
  </si>
  <si>
    <t>桁</t>
    <rPh sb="0" eb="1">
      <t>ケタ</t>
    </rPh>
    <phoneticPr fontId="2"/>
  </si>
  <si>
    <t>リブ</t>
    <phoneticPr fontId="2"/>
  </si>
  <si>
    <t>プランク</t>
    <phoneticPr fontId="2"/>
  </si>
  <si>
    <t>リブ材</t>
    <rPh sb="2" eb="3">
      <t>ザイ</t>
    </rPh>
    <phoneticPr fontId="2"/>
  </si>
  <si>
    <t>後縁材</t>
    <rPh sb="0" eb="3">
      <t>コウエンザイ</t>
    </rPh>
    <phoneticPr fontId="2"/>
  </si>
  <si>
    <t>縦通材</t>
    <rPh sb="0" eb="3">
      <t>ジュウツウザイ</t>
    </rPh>
    <phoneticPr fontId="2"/>
  </si>
  <si>
    <t>接着剤</t>
    <rPh sb="0" eb="3">
      <t>セッチャクザイ</t>
    </rPh>
    <phoneticPr fontId="2"/>
  </si>
  <si>
    <t>ねじり止め</t>
    <rPh sb="3" eb="4">
      <t>ド</t>
    </rPh>
    <phoneticPr fontId="2"/>
  </si>
  <si>
    <t>重量</t>
    <rPh sb="0" eb="2">
      <t>ジュウリョウ</t>
    </rPh>
    <phoneticPr fontId="2"/>
  </si>
  <si>
    <t>x</t>
    <phoneticPr fontId="2"/>
  </si>
  <si>
    <t>M</t>
    <phoneticPr fontId="2"/>
  </si>
  <si>
    <t>y</t>
    <phoneticPr fontId="2"/>
  </si>
  <si>
    <t>z</t>
    <phoneticPr fontId="2"/>
  </si>
  <si>
    <t>慣性モーメント</t>
    <rPh sb="0" eb="2">
      <t>カンセイ</t>
    </rPh>
    <phoneticPr fontId="2"/>
  </si>
  <si>
    <t>Ixx</t>
  </si>
  <si>
    <t>Ixx</t>
    <phoneticPr fontId="2"/>
  </si>
  <si>
    <t>Iyy</t>
  </si>
  <si>
    <t>Iyy</t>
    <phoneticPr fontId="2"/>
  </si>
  <si>
    <t>Izz</t>
  </si>
  <si>
    <t>Izz</t>
    <phoneticPr fontId="2"/>
  </si>
  <si>
    <t>Ixy</t>
  </si>
  <si>
    <t>Ixy</t>
    <phoneticPr fontId="2"/>
  </si>
  <si>
    <t>Iyz</t>
  </si>
  <si>
    <t>Iyz</t>
    <phoneticPr fontId="2"/>
  </si>
  <si>
    <t>Izx</t>
    <phoneticPr fontId="2"/>
  </si>
  <si>
    <t>kg</t>
  </si>
  <si>
    <t>m</t>
  </si>
  <si>
    <t>kg*m^2</t>
    <phoneticPr fontId="2"/>
  </si>
  <si>
    <t>全機</t>
    <rPh sb="0" eb="2">
      <t>ゼンキ</t>
    </rPh>
    <phoneticPr fontId="2"/>
  </si>
  <si>
    <t>主翼</t>
    <rPh sb="0" eb="2">
      <t>シュヨク</t>
    </rPh>
    <phoneticPr fontId="2"/>
  </si>
  <si>
    <t>カウル</t>
  </si>
  <si>
    <t>脚</t>
    <rPh sb="0" eb="1">
      <t>アシ</t>
    </rPh>
    <phoneticPr fontId="2"/>
  </si>
  <si>
    <t>その他</t>
    <rPh sb="2" eb="3">
      <t>タ</t>
    </rPh>
    <phoneticPr fontId="2"/>
  </si>
  <si>
    <t>要素</t>
    <rPh sb="0" eb="2">
      <t>ヨウソ</t>
    </rPh>
    <phoneticPr fontId="2"/>
  </si>
  <si>
    <t>-</t>
  </si>
  <si>
    <t>-</t>
    <phoneticPr fontId="2"/>
  </si>
  <si>
    <t>パイロット</t>
  </si>
  <si>
    <t>パイロット（服、ヘルメット、靴込み）</t>
    <rPh sb="6" eb="7">
      <t>フク</t>
    </rPh>
    <rPh sb="14" eb="15">
      <t>クツ</t>
    </rPh>
    <rPh sb="15" eb="16">
      <t>コ</t>
    </rPh>
    <phoneticPr fontId="2"/>
  </si>
  <si>
    <t>水平</t>
    <rPh sb="0" eb="2">
      <t>スイヘイ</t>
    </rPh>
    <phoneticPr fontId="2"/>
  </si>
  <si>
    <t>水平尾翼</t>
  </si>
  <si>
    <t>水平尾翼</t>
    <rPh sb="0" eb="2">
      <t>スイヘイ</t>
    </rPh>
    <rPh sb="2" eb="4">
      <t>ビヨク</t>
    </rPh>
    <phoneticPr fontId="2"/>
  </si>
  <si>
    <t>垂直尾翼</t>
    <rPh sb="0" eb="2">
      <t>スイチョク</t>
    </rPh>
    <rPh sb="2" eb="4">
      <t>ビヨク</t>
    </rPh>
    <phoneticPr fontId="2"/>
  </si>
  <si>
    <t>軸受け</t>
    <rPh sb="0" eb="2">
      <t>ジクウ</t>
    </rPh>
    <phoneticPr fontId="2"/>
  </si>
  <si>
    <t>ダイワニャン</t>
    <phoneticPr fontId="2"/>
  </si>
  <si>
    <t>安定板</t>
    <rPh sb="0" eb="3">
      <t>アンテイバン</t>
    </rPh>
    <phoneticPr fontId="2"/>
  </si>
  <si>
    <t>舵面</t>
    <rPh sb="0" eb="2">
      <t>ダメン</t>
    </rPh>
    <phoneticPr fontId="2"/>
  </si>
  <si>
    <t>胴体</t>
    <rPh sb="0" eb="2">
      <t>ドウタイ</t>
    </rPh>
    <phoneticPr fontId="2"/>
  </si>
  <si>
    <t>テールバー</t>
    <phoneticPr fontId="2"/>
  </si>
  <si>
    <t>重量推算</t>
    <rPh sb="0" eb="2">
      <t>ジュウリョウ</t>
    </rPh>
    <rPh sb="2" eb="4">
      <t>スイサン</t>
    </rPh>
    <phoneticPr fontId="2"/>
  </si>
  <si>
    <t>重心計算補助ツール</t>
    <rPh sb="0" eb="2">
      <t>ジュウシン</t>
    </rPh>
    <rPh sb="2" eb="4">
      <t>ケイサn</t>
    </rPh>
    <rPh sb="4" eb="6">
      <t>ホジョ</t>
    </rPh>
    <phoneticPr fontId="2"/>
  </si>
  <si>
    <t>環境条件</t>
    <rPh sb="0" eb="2">
      <t>カンキョウ</t>
    </rPh>
    <rPh sb="2" eb="4">
      <t>ジョウケン</t>
    </rPh>
    <phoneticPr fontId="2"/>
  </si>
  <si>
    <t>名</t>
    <rPh sb="0" eb="1">
      <t>メイ</t>
    </rPh>
    <phoneticPr fontId="2"/>
  </si>
  <si>
    <t>記号</t>
    <rPh sb="0" eb="2">
      <t>キゴウ</t>
    </rPh>
    <phoneticPr fontId="2"/>
  </si>
  <si>
    <t>値</t>
    <rPh sb="0" eb="1">
      <t>アタイ</t>
    </rPh>
    <phoneticPr fontId="2"/>
  </si>
  <si>
    <t>単位</t>
    <rPh sb="0" eb="2">
      <t>タンイ</t>
    </rPh>
    <phoneticPr fontId="2"/>
  </si>
  <si>
    <t>備考</t>
    <rPh sb="0" eb="2">
      <t>ビコウ</t>
    </rPh>
    <phoneticPr fontId="2"/>
  </si>
  <si>
    <t>空気密度</t>
    <rPh sb="0" eb="2">
      <t>クウキ</t>
    </rPh>
    <rPh sb="2" eb="4">
      <t>ミツド</t>
    </rPh>
    <phoneticPr fontId="2"/>
  </si>
  <si>
    <t>ρ</t>
    <phoneticPr fontId="2"/>
  </si>
  <si>
    <t>kg/m^3</t>
    <phoneticPr fontId="2"/>
  </si>
  <si>
    <t>https://pigeon-poppo.com/standard-atmosphere/</t>
    <phoneticPr fontId="2"/>
  </si>
  <si>
    <t>重力加速度</t>
    <rPh sb="0" eb="2">
      <t>ジュウリョク</t>
    </rPh>
    <rPh sb="2" eb="5">
      <t>カソクド</t>
    </rPh>
    <phoneticPr fontId="2"/>
  </si>
  <si>
    <t>g</t>
    <phoneticPr fontId="2"/>
  </si>
  <si>
    <t>m/s^2</t>
    <phoneticPr fontId="2"/>
  </si>
  <si>
    <t>https://unit.aist.go.jp/riem/lgl-apr/requirement/mass/approval/GravityAria_info2.pdf</t>
    <phoneticPr fontId="2"/>
  </si>
  <si>
    <t>粘性係数</t>
    <rPh sb="0" eb="2">
      <t>ネンセイ</t>
    </rPh>
    <rPh sb="2" eb="4">
      <t>ケイスウ</t>
    </rPh>
    <phoneticPr fontId="2"/>
  </si>
  <si>
    <t>μ</t>
    <phoneticPr fontId="2"/>
  </si>
  <si>
    <t>N・s/m^2</t>
    <phoneticPr fontId="2"/>
  </si>
  <si>
    <t>https://pigeon-poppo.com/standard-atmosphere/</t>
  </si>
  <si>
    <t>動粘性係数</t>
    <rPh sb="0" eb="5">
      <t>ドウネンセイケイスウ</t>
    </rPh>
    <phoneticPr fontId="2"/>
  </si>
  <si>
    <t>ν</t>
    <phoneticPr fontId="2"/>
  </si>
  <si>
    <t>m^2/s</t>
    <phoneticPr fontId="2"/>
  </si>
  <si>
    <t>気温</t>
    <rPh sb="0" eb="2">
      <t>キオン</t>
    </rPh>
    <phoneticPr fontId="2"/>
  </si>
  <si>
    <t>T</t>
    <phoneticPr fontId="2"/>
  </si>
  <si>
    <t>℃</t>
    <phoneticPr fontId="2"/>
  </si>
  <si>
    <t>K</t>
    <phoneticPr fontId="2"/>
  </si>
  <si>
    <t>圧力</t>
    <rPh sb="0" eb="2">
      <t>アツリョク</t>
    </rPh>
    <phoneticPr fontId="2"/>
  </si>
  <si>
    <t>P</t>
    <phoneticPr fontId="2"/>
  </si>
  <si>
    <t>hPa</t>
    <phoneticPr fontId="2"/>
  </si>
  <si>
    <t>Pa</t>
    <phoneticPr fontId="2"/>
  </si>
  <si>
    <t>一般気体定数</t>
    <rPh sb="0" eb="2">
      <t>イッパン</t>
    </rPh>
    <rPh sb="2" eb="4">
      <t>キタイ</t>
    </rPh>
    <rPh sb="4" eb="6">
      <t>テイスウ</t>
    </rPh>
    <phoneticPr fontId="2"/>
  </si>
  <si>
    <t>R</t>
    <phoneticPr fontId="2"/>
  </si>
  <si>
    <t>J/kg・K</t>
    <phoneticPr fontId="2"/>
  </si>
  <si>
    <t>比熱比</t>
    <rPh sb="0" eb="2">
      <t>ヒネツ</t>
    </rPh>
    <rPh sb="2" eb="3">
      <t>ヒ</t>
    </rPh>
    <phoneticPr fontId="2"/>
  </si>
  <si>
    <t>κ</t>
    <phoneticPr fontId="2"/>
  </si>
  <si>
    <t>音速</t>
    <rPh sb="0" eb="2">
      <t>オンソク</t>
    </rPh>
    <phoneticPr fontId="2"/>
  </si>
  <si>
    <t>a</t>
    <phoneticPr fontId="2"/>
  </si>
  <si>
    <t>m/s</t>
    <phoneticPr fontId="2"/>
  </si>
  <si>
    <t>カルマン定数</t>
    <rPh sb="4" eb="6">
      <t>テイスウ</t>
    </rPh>
    <phoneticPr fontId="2"/>
  </si>
  <si>
    <t>k</t>
    <phoneticPr fontId="2"/>
  </si>
  <si>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2"/>
  </si>
  <si>
    <t>粗度</t>
    <rPh sb="0" eb="1">
      <t>アラ</t>
    </rPh>
    <rPh sb="1" eb="2">
      <t>ド</t>
    </rPh>
    <phoneticPr fontId="2"/>
  </si>
  <si>
    <t>z0</t>
    <phoneticPr fontId="2"/>
  </si>
  <si>
    <t>プリプレグ</t>
    <phoneticPr fontId="2"/>
  </si>
  <si>
    <t>品番</t>
    <rPh sb="0" eb="2">
      <t>ヒンバン</t>
    </rPh>
    <phoneticPr fontId="2"/>
  </si>
  <si>
    <t>MR380G150S</t>
    <phoneticPr fontId="2"/>
  </si>
  <si>
    <t>HRX350G125S</t>
    <phoneticPr fontId="2"/>
  </si>
  <si>
    <t>Carbon</t>
    <phoneticPr fontId="2"/>
  </si>
  <si>
    <t>MR60H</t>
    <phoneticPr fontId="2"/>
  </si>
  <si>
    <t>M40J相当</t>
    <rPh sb="4" eb="6">
      <t>ソウトウ</t>
    </rPh>
    <phoneticPr fontId="2"/>
  </si>
  <si>
    <t>Resin</t>
    <phoneticPr fontId="2"/>
  </si>
  <si>
    <t>#350</t>
    <phoneticPr fontId="2"/>
  </si>
  <si>
    <t>FAW</t>
    <phoneticPr fontId="2"/>
  </si>
  <si>
    <t>g/m^2</t>
    <phoneticPr fontId="2"/>
  </si>
  <si>
    <t>Resin Content</t>
    <phoneticPr fontId="2"/>
  </si>
  <si>
    <t>Curing Condition</t>
    <phoneticPr fontId="2"/>
  </si>
  <si>
    <t xml:space="preserve"> </t>
    <phoneticPr fontId="2"/>
  </si>
  <si>
    <t>強度</t>
    <rPh sb="0" eb="2">
      <t>キョウド</t>
    </rPh>
    <phoneticPr fontId="2"/>
  </si>
  <si>
    <t>FLt</t>
    <phoneticPr fontId="2"/>
  </si>
  <si>
    <t>GPa</t>
    <phoneticPr fontId="2"/>
  </si>
  <si>
    <t>ヤング率</t>
    <rPh sb="3" eb="4">
      <t>リツ</t>
    </rPh>
    <phoneticPr fontId="2"/>
  </si>
  <si>
    <t>ELt</t>
    <phoneticPr fontId="2"/>
  </si>
  <si>
    <t>ポアソン比</t>
    <rPh sb="4" eb="5">
      <t>ヒ</t>
    </rPh>
    <phoneticPr fontId="2"/>
  </si>
  <si>
    <t>νLt</t>
    <phoneticPr fontId="2"/>
  </si>
  <si>
    <t>FTt</t>
    <phoneticPr fontId="2"/>
  </si>
  <si>
    <t>νTt</t>
    <phoneticPr fontId="2"/>
  </si>
  <si>
    <t>FLc</t>
    <phoneticPr fontId="2"/>
  </si>
  <si>
    <t>νLc</t>
    <phoneticPr fontId="2"/>
  </si>
  <si>
    <t>FTc</t>
    <phoneticPr fontId="2"/>
  </si>
  <si>
    <t>FLT</t>
    <phoneticPr fontId="2"/>
  </si>
  <si>
    <t>せん断</t>
    <rPh sb="2" eb="3">
      <t>ダン</t>
    </rPh>
    <phoneticPr fontId="2"/>
  </si>
  <si>
    <t>GLT</t>
    <phoneticPr fontId="2"/>
  </si>
  <si>
    <t>F1</t>
    <phoneticPr fontId="2"/>
  </si>
  <si>
    <t>層間せん断</t>
    <rPh sb="0" eb="2">
      <t>ソウカン</t>
    </rPh>
    <rPh sb="4" eb="5">
      <t>ダン</t>
    </rPh>
    <phoneticPr fontId="2"/>
  </si>
  <si>
    <t>厚さ</t>
    <rPh sb="0" eb="1">
      <t>アツ</t>
    </rPh>
    <phoneticPr fontId="2"/>
  </si>
  <si>
    <t>t</t>
    <phoneticPr fontId="2"/>
  </si>
  <si>
    <t>mm/ply</t>
    <phoneticPr fontId="2"/>
  </si>
  <si>
    <t>材料物性値</t>
    <rPh sb="0" eb="2">
      <t>ザイリョウ</t>
    </rPh>
    <rPh sb="2" eb="5">
      <t>ブッセイチ</t>
    </rPh>
    <phoneticPr fontId="2"/>
  </si>
  <si>
    <t>計算条件</t>
    <rPh sb="0" eb="2">
      <t>ケイサン</t>
    </rPh>
    <rPh sb="2" eb="4">
      <t>ジョウケン</t>
    </rPh>
    <phoneticPr fontId="2"/>
  </si>
  <si>
    <t>購入先</t>
    <rPh sb="0" eb="3">
      <t>コウニュウサキ</t>
    </rPh>
    <phoneticPr fontId="2"/>
  </si>
  <si>
    <t>密度</t>
    <rPh sb="0" eb="2">
      <t>ミツド</t>
    </rPh>
    <phoneticPr fontId="2"/>
  </si>
  <si>
    <t>接着剤強度</t>
    <rPh sb="0" eb="3">
      <t>セッチャクザイ</t>
    </rPh>
    <rPh sb="3" eb="5">
      <t>キョウド</t>
    </rPh>
    <phoneticPr fontId="2"/>
  </si>
  <si>
    <t>CFRP</t>
  </si>
  <si>
    <t>CFRP</t>
    <phoneticPr fontId="2"/>
  </si>
  <si>
    <t>50倍発泡</t>
    <rPh sb="2" eb="3">
      <t>バイ</t>
    </rPh>
    <rPh sb="3" eb="5">
      <t>ハッポウ</t>
    </rPh>
    <phoneticPr fontId="2"/>
  </si>
  <si>
    <t>30倍発泡</t>
    <rPh sb="2" eb="3">
      <t>バイ</t>
    </rPh>
    <rPh sb="3" eb="5">
      <t>ハッポウ</t>
    </rPh>
    <phoneticPr fontId="2"/>
  </si>
  <si>
    <t>ヒノキ</t>
    <phoneticPr fontId="2"/>
  </si>
  <si>
    <t>スタイロフォーム</t>
    <phoneticPr fontId="2"/>
  </si>
  <si>
    <t>エスレン</t>
    <phoneticPr fontId="2"/>
  </si>
  <si>
    <t>ソプラ</t>
    <phoneticPr fontId="2"/>
  </si>
  <si>
    <t>トーラミ</t>
    <phoneticPr fontId="2"/>
  </si>
  <si>
    <t>アルミ</t>
    <phoneticPr fontId="2"/>
  </si>
  <si>
    <t>ジュラルミン</t>
    <phoneticPr fontId="2"/>
  </si>
  <si>
    <t>kg/m^3</t>
  </si>
  <si>
    <t>引張強度</t>
    <rPh sb="0" eb="2">
      <t>ヒッパリ</t>
    </rPh>
    <rPh sb="2" eb="4">
      <t>キョウド</t>
    </rPh>
    <phoneticPr fontId="2"/>
  </si>
  <si>
    <t>せん断強度</t>
    <rPh sb="2" eb="3">
      <t>ダン</t>
    </rPh>
    <rPh sb="3" eb="5">
      <t>キョウド</t>
    </rPh>
    <phoneticPr fontId="2"/>
  </si>
  <si>
    <t>GPa</t>
  </si>
  <si>
    <t>Ett</t>
    <phoneticPr fontId="2"/>
  </si>
  <si>
    <t>繊維方向・圧縮</t>
    <rPh sb="5" eb="7">
      <t>アッシュク</t>
    </rPh>
    <phoneticPr fontId="2"/>
  </si>
  <si>
    <t>直交方向・引張</t>
    <rPh sb="0" eb="2">
      <t>チョッコウ</t>
    </rPh>
    <phoneticPr fontId="2"/>
  </si>
  <si>
    <t>繊維方向・引張</t>
    <phoneticPr fontId="2"/>
  </si>
  <si>
    <t>直交方向・圧縮</t>
    <rPh sb="0" eb="2">
      <t>チョッコウ</t>
    </rPh>
    <rPh sb="5" eb="7">
      <t>アッシュク</t>
    </rPh>
    <phoneticPr fontId="2"/>
  </si>
  <si>
    <t>Elc</t>
    <phoneticPr fontId="2"/>
  </si>
  <si>
    <t>Etc</t>
    <phoneticPr fontId="2"/>
  </si>
  <si>
    <t>νTc</t>
    <phoneticPr fontId="2"/>
  </si>
  <si>
    <t>記号</t>
  </si>
  <si>
    <t>値</t>
  </si>
  <si>
    <t>単位</t>
  </si>
  <si>
    <t>厚さ</t>
  </si>
  <si>
    <t>t</t>
  </si>
  <si>
    <t>mm/ply</t>
  </si>
  <si>
    <t>三菱ケミカル：https://www.m-chemical.co.jp/products/field/carbon/index.html
株式会社カナエ：https://www.kanae-kbs.co.jp/chemical/</t>
    <rPh sb="0" eb="2">
      <t>ミツビシ</t>
    </rPh>
    <rPh sb="69" eb="73">
      <t>カブシキガイシャ</t>
    </rPh>
    <phoneticPr fontId="2"/>
  </si>
  <si>
    <t>%</t>
    <phoneticPr fontId="2"/>
  </si>
  <si>
    <t xml:space="preserve">Autoclave Curing for 60 minutes at 80℃ and 90 minutes at 130℃ </t>
  </si>
  <si>
    <t>三菱レーヨン：https://www.m-chemical.co.jp/carbon-fiber/product/prepreg/
スリーホープ：http://www4.tokai.or.jp/three-hope/</t>
    <rPh sb="0" eb="2">
      <t>ミツビシ</t>
    </rPh>
    <phoneticPr fontId="2"/>
  </si>
  <si>
    <t>翼型名</t>
    <rPh sb="0" eb="2">
      <t>ヨクガタ</t>
    </rPh>
    <rPh sb="2" eb="3">
      <t>メイ</t>
    </rPh>
    <phoneticPr fontId="2"/>
  </si>
  <si>
    <t>翼厚</t>
    <rPh sb="0" eb="2">
      <t>ヨクアツ</t>
    </rPh>
    <phoneticPr fontId="2"/>
  </si>
  <si>
    <t>キャンバー</t>
    <phoneticPr fontId="2"/>
  </si>
  <si>
    <t>位置</t>
    <rPh sb="0" eb="2">
      <t>イチ</t>
    </rPh>
    <phoneticPr fontId="2"/>
  </si>
  <si>
    <t>風圧中心</t>
    <rPh sb="0" eb="2">
      <t>フウアツ</t>
    </rPh>
    <rPh sb="2" eb="4">
      <t>チュウシン</t>
    </rPh>
    <phoneticPr fontId="2"/>
  </si>
  <si>
    <t>剥離位置</t>
    <rPh sb="0" eb="4">
      <t>ハクリイチ</t>
    </rPh>
    <phoneticPr fontId="2"/>
  </si>
  <si>
    <t>％</t>
    <phoneticPr fontId="2"/>
  </si>
  <si>
    <t>XCp</t>
    <phoneticPr fontId="2"/>
  </si>
  <si>
    <t>Xtr top</t>
    <phoneticPr fontId="2"/>
  </si>
  <si>
    <t>最大揚力係数</t>
    <rPh sb="0" eb="2">
      <t>サイダイ</t>
    </rPh>
    <rPh sb="2" eb="4">
      <t>ヨウリョク</t>
    </rPh>
    <rPh sb="4" eb="6">
      <t>ケイスウ</t>
    </rPh>
    <phoneticPr fontId="2"/>
  </si>
  <si>
    <t>最大揚抗比</t>
    <rPh sb="0" eb="2">
      <t>サイダイ</t>
    </rPh>
    <rPh sb="2" eb="5">
      <t>ヨウコウヒ</t>
    </rPh>
    <phoneticPr fontId="2"/>
  </si>
  <si>
    <t>Cm</t>
  </si>
  <si>
    <t>Cm</t>
    <phoneticPr fontId="2"/>
  </si>
  <si>
    <t>Cmα</t>
  </si>
  <si>
    <t>Cmα</t>
    <phoneticPr fontId="2"/>
  </si>
  <si>
    <t>ピッチングモーメント係数</t>
  </si>
  <si>
    <t>ピッチングモーメント係数</t>
    <rPh sb="10" eb="12">
      <t>ケイスウ</t>
    </rPh>
    <phoneticPr fontId="2"/>
  </si>
  <si>
    <t>Clｍax</t>
    <phoneticPr fontId="2"/>
  </si>
  <si>
    <t>解析値</t>
    <rPh sb="0" eb="2">
      <t>カイセキ</t>
    </rPh>
    <rPh sb="2" eb="3">
      <t>チ</t>
    </rPh>
    <phoneticPr fontId="2"/>
  </si>
  <si>
    <t>幾何値</t>
    <rPh sb="0" eb="2">
      <t>キカ</t>
    </rPh>
    <rPh sb="2" eb="3">
      <t>アタイ</t>
    </rPh>
    <phoneticPr fontId="2"/>
  </si>
  <si>
    <t>解析範囲</t>
    <rPh sb="0" eb="2">
      <t>カイセキ</t>
    </rPh>
    <rPh sb="2" eb="4">
      <t>ハンイ</t>
    </rPh>
    <phoneticPr fontId="2"/>
  </si>
  <si>
    <t>最小</t>
    <rPh sb="0" eb="2">
      <t>サイショウ</t>
    </rPh>
    <phoneticPr fontId="2"/>
  </si>
  <si>
    <t>最大</t>
    <rPh sb="0" eb="2">
      <t>サイダイ</t>
    </rPh>
    <phoneticPr fontId="2"/>
  </si>
  <si>
    <t>Δ</t>
    <phoneticPr fontId="2"/>
  </si>
  <si>
    <t>α</t>
    <phoneticPr fontId="2"/>
  </si>
  <si>
    <t>Re</t>
    <phoneticPr fontId="2"/>
  </si>
  <si>
    <t>縦安定</t>
    <rPh sb="0" eb="1">
      <t>タテ</t>
    </rPh>
    <rPh sb="1" eb="3">
      <t>アンテイ</t>
    </rPh>
    <phoneticPr fontId="2"/>
  </si>
  <si>
    <t>α</t>
  </si>
  <si>
    <t>Cl</t>
  </si>
  <si>
    <t>名</t>
    <rPh sb="0" eb="1">
      <t>メイ</t>
    </rPh>
    <phoneticPr fontId="1"/>
  </si>
  <si>
    <t>記号</t>
    <rPh sb="0" eb="2">
      <t>キゴウ</t>
    </rPh>
    <phoneticPr fontId="1"/>
  </si>
  <si>
    <t>単位</t>
    <rPh sb="0" eb="2">
      <t>タンイ</t>
    </rPh>
    <phoneticPr fontId="1"/>
  </si>
  <si>
    <t>年</t>
    <rPh sb="0" eb="1">
      <t>トシ</t>
    </rPh>
    <phoneticPr fontId="2"/>
  </si>
  <si>
    <t>機体名</t>
    <rPh sb="0" eb="2">
      <t>キタイ</t>
    </rPh>
    <rPh sb="2" eb="3">
      <t>メイ</t>
    </rPh>
    <phoneticPr fontId="2"/>
  </si>
  <si>
    <t>QX-23</t>
    <phoneticPr fontId="2"/>
  </si>
  <si>
    <t>QX-22</t>
    <phoneticPr fontId="2"/>
  </si>
  <si>
    <t>QX-21</t>
  </si>
  <si>
    <t>QX-20</t>
  </si>
  <si>
    <t>QX-19</t>
    <phoneticPr fontId="10"/>
  </si>
  <si>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</si>
  <si>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</si>
  <si>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</si>
  <si>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</si>
  <si>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</si>
  <si>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</si>
  <si>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</si>
  <si>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</si>
  <si>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</si>
  <si>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</si>
  <si>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</si>
  <si>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</si>
  <si>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</si>
  <si>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</si>
  <si>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</si>
  <si>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</si>
  <si>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2"/>
  </si>
  <si>
    <t>川野聖人</t>
    <rPh sb="0" eb="2">
      <t>カワノ</t>
    </rPh>
    <rPh sb="2" eb="4">
      <t>マサト</t>
    </rPh>
    <phoneticPr fontId="2"/>
  </si>
  <si>
    <t>菊池正真</t>
    <rPh sb="0" eb="2">
      <t>キクチ</t>
    </rPh>
    <rPh sb="2" eb="4">
      <t>ショウマ</t>
    </rPh>
    <phoneticPr fontId="2"/>
  </si>
  <si>
    <t>大島茜理</t>
    <rPh sb="0" eb="2">
      <t>オオシマ</t>
    </rPh>
    <rPh sb="2" eb="3">
      <t>アカネ</t>
    </rPh>
    <rPh sb="3" eb="4">
      <t>リ</t>
    </rPh>
    <phoneticPr fontId="2"/>
  </si>
  <si>
    <t>永田優希</t>
  </si>
  <si>
    <t>坂口光輝</t>
  </si>
  <si>
    <t>石丸隆宏</t>
  </si>
  <si>
    <t>日下部紘亮</t>
  </si>
  <si>
    <t>柿木基志</t>
  </si>
  <si>
    <t>三浦亮介</t>
  </si>
  <si>
    <t>池田大輔</t>
  </si>
  <si>
    <t>設計責任者</t>
  </si>
  <si>
    <t>森隼人</t>
    <rPh sb="0" eb="3">
      <t>モリハヤト</t>
    </rPh>
    <phoneticPr fontId="2"/>
  </si>
  <si>
    <t>山下湧</t>
    <rPh sb="0" eb="2">
      <t>ヤマシタ</t>
    </rPh>
    <rPh sb="2" eb="3">
      <t>ユウ</t>
    </rPh>
    <phoneticPr fontId="2"/>
  </si>
  <si>
    <t>清水俊太郎</t>
    <rPh sb="0" eb="2">
      <t>シミズ</t>
    </rPh>
    <rPh sb="2" eb="5">
      <t>シュンタロウ</t>
    </rPh>
    <phoneticPr fontId="2"/>
  </si>
  <si>
    <t>沖本和貴</t>
    <rPh sb="0" eb="2">
      <t>オキモト</t>
    </rPh>
    <rPh sb="2" eb="4">
      <t>カズキ</t>
    </rPh>
    <phoneticPr fontId="2"/>
  </si>
  <si>
    <t>(空力) 馬場清希/(構造) 辻大樹</t>
    <rPh sb="1" eb="3">
      <t>クウリキ</t>
    </rPh>
    <rPh sb="5" eb="7">
      <t>ババ</t>
    </rPh>
    <rPh sb="7" eb="8">
      <t>キヨ</t>
    </rPh>
    <rPh sb="8" eb="9">
      <t>キ</t>
    </rPh>
    <phoneticPr fontId="10"/>
  </si>
  <si>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</si>
  <si>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</si>
  <si>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</si>
  <si>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</si>
  <si>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</si>
  <si>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</si>
  <si>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</si>
  <si>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</si>
  <si>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</si>
  <si>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</si>
  <si>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</si>
  <si>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</si>
  <si>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</si>
  <si>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</si>
  <si>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</si>
  <si>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</si>
  <si>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</si>
  <si>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</si>
  <si>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2"/>
  </si>
  <si>
    <t>村上大祐</t>
    <rPh sb="0" eb="2">
      <t>ムラカミ</t>
    </rPh>
    <rPh sb="2" eb="4">
      <t>ダイスケ</t>
    </rPh>
    <phoneticPr fontId="10"/>
  </si>
  <si>
    <t>江口弘人</t>
  </si>
  <si>
    <t>大澤啓介</t>
  </si>
  <si>
    <t>吉松佑樹</t>
  </si>
  <si>
    <t>行武紀昭</t>
  </si>
  <si>
    <t>和田優登</t>
  </si>
  <si>
    <t>後藤浩輝</t>
  </si>
  <si>
    <t>飛距離</t>
    <rPh sb="0" eb="3">
      <t>ヒキョリ</t>
    </rPh>
    <phoneticPr fontId="2"/>
  </si>
  <si>
    <t>未定</t>
    <rPh sb="0" eb="2">
      <t>ミテイ</t>
    </rPh>
    <phoneticPr fontId="2"/>
  </si>
  <si>
    <t>大会中止</t>
    <rPh sb="0" eb="2">
      <t>タイカイ</t>
    </rPh>
    <rPh sb="2" eb="4">
      <t>チュウシ</t>
    </rPh>
    <phoneticPr fontId="2"/>
  </si>
  <si>
    <t>リーマンショック</t>
  </si>
  <si>
    <t>順位</t>
    <rPh sb="0" eb="2">
      <t>ジュンイ</t>
    </rPh>
    <phoneticPr fontId="2"/>
  </si>
  <si>
    <t>大会中止</t>
  </si>
  <si>
    <t>操縦方法</t>
    <rPh sb="0" eb="2">
      <t>ソウジュウ</t>
    </rPh>
    <rPh sb="2" eb="4">
      <t>ホウホウ</t>
    </rPh>
    <phoneticPr fontId="2"/>
  </si>
  <si>
    <t>elevetor</t>
    <phoneticPr fontId="2"/>
  </si>
  <si>
    <t>重心移動（エレベーター搭載）</t>
    <rPh sb="0" eb="2">
      <t>ジュウシン</t>
    </rPh>
    <rPh sb="2" eb="4">
      <t>イドウ</t>
    </rPh>
    <rPh sb="11" eb="13">
      <t>トウサイ</t>
    </rPh>
    <phoneticPr fontId="2"/>
  </si>
  <si>
    <t>エレベータ</t>
    <phoneticPr fontId="10"/>
  </si>
  <si>
    <t>エレベータ</t>
  </si>
  <si>
    <t>ladder</t>
    <phoneticPr fontId="2"/>
  </si>
  <si>
    <t>ラダー</t>
    <phoneticPr fontId="2"/>
  </si>
  <si>
    <t>ラダー</t>
  </si>
  <si>
    <t>ラダー</t>
    <phoneticPr fontId="10"/>
  </si>
  <si>
    <t>基準状態</t>
    <rPh sb="0" eb="2">
      <t>キジュン</t>
    </rPh>
    <rPh sb="2" eb="4">
      <t>ジョウタイ</t>
    </rPh>
    <phoneticPr fontId="2"/>
  </si>
  <si>
    <t>全機迎角</t>
  </si>
  <si>
    <t>deg</t>
  </si>
  <si>
    <t>横滑り角</t>
  </si>
  <si>
    <t>β</t>
  </si>
  <si>
    <t>対気速度</t>
  </si>
  <si>
    <t>V</t>
  </si>
  <si>
    <t>m/s</t>
  </si>
  <si>
    <t>高度</t>
  </si>
  <si>
    <t>hE</t>
  </si>
  <si>
    <t>機体重量</t>
    <rPh sb="0" eb="2">
      <t>キタイ</t>
    </rPh>
    <rPh sb="2" eb="4">
      <t>ジュウリョウ</t>
    </rPh>
    <phoneticPr fontId="1"/>
  </si>
  <si>
    <t>パイロット重量</t>
    <rPh sb="5" eb="7">
      <t>ジュウリョウ</t>
    </rPh>
    <phoneticPr fontId="1"/>
  </si>
  <si>
    <t>全備重量（質量）</t>
    <rPh sb="0" eb="2">
      <t>ゼンビ</t>
    </rPh>
    <rPh sb="2" eb="4">
      <t>ジュウリョウ</t>
    </rPh>
    <rPh sb="5" eb="7">
      <t>シツリョウ</t>
    </rPh>
    <phoneticPr fontId="1"/>
  </si>
  <si>
    <t>全備重量（重量）</t>
    <rPh sb="0" eb="2">
      <t>ゼンビ</t>
    </rPh>
    <rPh sb="2" eb="4">
      <t>ジュウリョウ</t>
    </rPh>
    <rPh sb="5" eb="7">
      <t>ジュウリョウ</t>
    </rPh>
    <phoneticPr fontId="1"/>
  </si>
  <si>
    <t>W</t>
  </si>
  <si>
    <t>N</t>
  </si>
  <si>
    <t>翼面荷重</t>
    <rPh sb="0" eb="1">
      <t>ヨク</t>
    </rPh>
    <rPh sb="1" eb="2">
      <t>メン</t>
    </rPh>
    <rPh sb="2" eb="4">
      <t>カジュウ</t>
    </rPh>
    <phoneticPr fontId="1"/>
  </si>
  <si>
    <t>W/S</t>
  </si>
  <si>
    <t>kg/m^2</t>
  </si>
  <si>
    <t>重心位置</t>
    <rPh sb="0" eb="2">
      <t>ジュウシン</t>
    </rPh>
    <rPh sb="2" eb="4">
      <t>イチ</t>
    </rPh>
    <phoneticPr fontId="2"/>
  </si>
  <si>
    <t>重心位置</t>
    <rPh sb="0" eb="2">
      <t>ジュウシン</t>
    </rPh>
    <rPh sb="2" eb="4">
      <t>イチ</t>
    </rPh>
    <phoneticPr fontId="1"/>
  </si>
  <si>
    <t>Zcg</t>
  </si>
  <si>
    <t>hcg</t>
  </si>
  <si>
    <t>全機空力中心位置</t>
    <rPh sb="0" eb="6">
      <t>ゼンキクウリキチュウシン</t>
    </rPh>
    <rPh sb="6" eb="8">
      <t>イチ</t>
    </rPh>
    <phoneticPr fontId="1"/>
  </si>
  <si>
    <t>hn</t>
  </si>
  <si>
    <t>面積</t>
    <rPh sb="0" eb="2">
      <t>メンセキ</t>
    </rPh>
    <phoneticPr fontId="2"/>
  </si>
  <si>
    <t>主翼</t>
    <rPh sb="0" eb="2">
      <t>シュヨク</t>
    </rPh>
    <phoneticPr fontId="1"/>
  </si>
  <si>
    <t>S</t>
  </si>
  <si>
    <t>m^2</t>
  </si>
  <si>
    <t>水平尾翼</t>
    <rPh sb="0" eb="2">
      <t>スイヘイ</t>
    </rPh>
    <rPh sb="2" eb="4">
      <t>ビヨク</t>
    </rPh>
    <phoneticPr fontId="1"/>
  </si>
  <si>
    <t>St</t>
  </si>
  <si>
    <t>垂直尾翼</t>
    <rPh sb="0" eb="2">
      <t>スイチョク</t>
    </rPh>
    <rPh sb="2" eb="4">
      <t>ビヨク</t>
    </rPh>
    <phoneticPr fontId="1"/>
  </si>
  <si>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</si>
  <si>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</si>
  <si>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</si>
  <si>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</si>
  <si>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</si>
  <si>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</si>
  <si>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</si>
  <si>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</si>
  <si>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</si>
  <si>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</si>
  <si>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</si>
  <si>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</si>
  <si>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</si>
  <si>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2"/>
  </si>
  <si>
    <t>Cla</t>
    <phoneticPr fontId="2"/>
  </si>
  <si>
    <t>平均誘導迎え角</t>
  </si>
  <si>
    <t>αi_</t>
  </si>
  <si>
    <t>桁位置</t>
    <rPh sb="0" eb="1">
      <t>ケタ</t>
    </rPh>
    <rPh sb="1" eb="3">
      <t>イチ</t>
    </rPh>
    <phoneticPr fontId="1"/>
  </si>
  <si>
    <t>翼端たわみ</t>
    <rPh sb="0" eb="2">
      <t>ヨクタン</t>
    </rPh>
    <phoneticPr fontId="2"/>
  </si>
  <si>
    <t>w</t>
    <phoneticPr fontId="2"/>
  </si>
  <si>
    <t>翼端ねじれ角</t>
    <rPh sb="0" eb="1">
      <t>ヨク</t>
    </rPh>
    <rPh sb="1" eb="2">
      <t>タン</t>
    </rPh>
    <rPh sb="5" eb="6">
      <t>カク</t>
    </rPh>
    <phoneticPr fontId="2"/>
  </si>
  <si>
    <t>Φ</t>
    <phoneticPr fontId="2"/>
  </si>
  <si>
    <t>deg</t>
    <phoneticPr fontId="2"/>
  </si>
  <si>
    <t>容積比</t>
    <rPh sb="0" eb="2">
      <t>ヨウセキ</t>
    </rPh>
    <rPh sb="2" eb="3">
      <t>ヒ</t>
    </rPh>
    <phoneticPr fontId="2"/>
  </si>
  <si>
    <t>水平尾翼容積比</t>
    <rPh sb="0" eb="2">
      <t>スイヘイ</t>
    </rPh>
    <rPh sb="2" eb="4">
      <t>ビヨク</t>
    </rPh>
    <rPh sb="4" eb="6">
      <t>ヨウセキ</t>
    </rPh>
    <rPh sb="6" eb="7">
      <t>ヒ</t>
    </rPh>
    <phoneticPr fontId="1"/>
  </si>
  <si>
    <t>VH or VH*</t>
  </si>
  <si>
    <t>VH' or VH*'</t>
  </si>
  <si>
    <t>垂直尾翼容積比</t>
    <rPh sb="0" eb="2">
      <t>スイチョク</t>
    </rPh>
    <rPh sb="2" eb="4">
      <t>ビヨク</t>
    </rPh>
    <rPh sb="4" eb="6">
      <t>ヨウセキ</t>
    </rPh>
    <rPh sb="6" eb="7">
      <t>ヒ</t>
    </rPh>
    <phoneticPr fontId="1"/>
  </si>
  <si>
    <t>VF or VF*</t>
  </si>
  <si>
    <t>∂ε/∂α</t>
  </si>
  <si>
    <t>尾翼形式</t>
    <rPh sb="0" eb="2">
      <t>ビヨク</t>
    </rPh>
    <rPh sb="2" eb="4">
      <t>ケイシキ</t>
    </rPh>
    <phoneticPr fontId="1"/>
  </si>
  <si>
    <t>T-Tail</t>
  </si>
  <si>
    <t>Conventional</t>
  </si>
  <si>
    <t>尾翼配置</t>
    <rPh sb="0" eb="2">
      <t>ビヨク</t>
    </rPh>
    <rPh sb="2" eb="4">
      <t>ハイチ</t>
    </rPh>
    <phoneticPr fontId="2"/>
  </si>
  <si>
    <t>全機cg-水平ac間距離</t>
    <rPh sb="0" eb="2">
      <t>ゼンキ</t>
    </rPh>
    <rPh sb="5" eb="7">
      <t>スイヘイ</t>
    </rPh>
    <rPh sb="9" eb="10">
      <t>カン</t>
    </rPh>
    <rPh sb="10" eb="12">
      <t>キョリ</t>
    </rPh>
    <phoneticPr fontId="1"/>
  </si>
  <si>
    <t>lt</t>
  </si>
  <si>
    <t>全機ac-水平ac間距離</t>
    <rPh sb="0" eb="2">
      <t>ゼンキ</t>
    </rPh>
    <rPh sb="5" eb="7">
      <t>スイヘイ</t>
    </rPh>
    <rPh sb="9" eb="10">
      <t>カン</t>
    </rPh>
    <rPh sb="10" eb="12">
      <t>キョリ</t>
    </rPh>
    <phoneticPr fontId="1"/>
  </si>
  <si>
    <t>lt'</t>
  </si>
  <si>
    <t>全機cg－垂直ac間距離</t>
    <rPh sb="0" eb="2">
      <t>ゼンキ</t>
    </rPh>
    <rPh sb="5" eb="7">
      <t>スイチョク</t>
    </rPh>
    <rPh sb="9" eb="10">
      <t>カン</t>
    </rPh>
    <rPh sb="10" eb="12">
      <t>キョリ</t>
    </rPh>
    <phoneticPr fontId="1"/>
  </si>
  <si>
    <t>lf</t>
  </si>
  <si>
    <t>垂直尾翼下端位置</t>
    <rPh sb="0" eb="2">
      <t>スイチョク</t>
    </rPh>
    <rPh sb="2" eb="4">
      <t>ビヨク</t>
    </rPh>
    <rPh sb="4" eb="6">
      <t>カタン</t>
    </rPh>
    <rPh sb="6" eb="8">
      <t>イチ</t>
    </rPh>
    <phoneticPr fontId="1"/>
  </si>
  <si>
    <t>zf</t>
  </si>
  <si>
    <t>垂直尾翼面積重心</t>
    <rPh sb="0" eb="2">
      <t>スイチョク</t>
    </rPh>
    <rPh sb="2" eb="4">
      <t>ビヨク</t>
    </rPh>
    <rPh sb="4" eb="6">
      <t>メンセキ</t>
    </rPh>
    <rPh sb="6" eb="8">
      <t>ジュウシン</t>
    </rPh>
    <phoneticPr fontId="1"/>
  </si>
  <si>
    <t>取り付け角</t>
    <rPh sb="0" eb="1">
      <t>ト</t>
    </rPh>
    <rPh sb="2" eb="3">
      <t>ツ</t>
    </rPh>
    <rPh sb="4" eb="5">
      <t>カク</t>
    </rPh>
    <phoneticPr fontId="1"/>
  </si>
  <si>
    <t>i</t>
  </si>
  <si>
    <t>空気力</t>
    <rPh sb="0" eb="2">
      <t>クウキ</t>
    </rPh>
    <rPh sb="2" eb="3">
      <t>リョク</t>
    </rPh>
    <phoneticPr fontId="2"/>
  </si>
  <si>
    <t>揚力係数</t>
    <rPh sb="0" eb="2">
      <t>ヨウリョク</t>
    </rPh>
    <rPh sb="2" eb="4">
      <t>ケイスウ</t>
    </rPh>
    <phoneticPr fontId="1"/>
  </si>
  <si>
    <t>CL</t>
  </si>
  <si>
    <t>最大揚力係数</t>
    <rPh sb="0" eb="2">
      <t>サイダイ</t>
    </rPh>
    <rPh sb="2" eb="4">
      <t>ヨウリョク</t>
    </rPh>
    <rPh sb="4" eb="6">
      <t>ケイスウ</t>
    </rPh>
    <phoneticPr fontId="1"/>
  </si>
  <si>
    <t>CL_max</t>
  </si>
  <si>
    <t>CL_wing</t>
  </si>
  <si>
    <t>CL_tail</t>
  </si>
  <si>
    <t>CL_fin</t>
  </si>
  <si>
    <t>揚力傾斜</t>
    <rPh sb="0" eb="2">
      <t>ヨウリョク</t>
    </rPh>
    <rPh sb="2" eb="4">
      <t>ケイシャ</t>
    </rPh>
    <phoneticPr fontId="1"/>
  </si>
  <si>
    <t>CL_alpha</t>
  </si>
  <si>
    <t>1/deg</t>
  </si>
  <si>
    <t>aw</t>
  </si>
  <si>
    <t>at</t>
  </si>
  <si>
    <t>af</t>
  </si>
  <si>
    <t>抗力係数</t>
    <rPh sb="0" eb="2">
      <t>コウリョク</t>
    </rPh>
    <rPh sb="2" eb="4">
      <t>ケイスウ</t>
    </rPh>
    <phoneticPr fontId="1"/>
  </si>
  <si>
    <t>CD</t>
  </si>
  <si>
    <t>CD_wing</t>
  </si>
  <si>
    <t>CD_tail</t>
  </si>
  <si>
    <t>CD_fin</t>
  </si>
  <si>
    <t>CD_cowl</t>
  </si>
  <si>
    <t>胴体</t>
    <rPh sb="0" eb="2">
      <t>ドウタイ</t>
    </rPh>
    <phoneticPr fontId="1"/>
  </si>
  <si>
    <t>CD_body</t>
  </si>
  <si>
    <t>干渉抗力</t>
    <rPh sb="0" eb="2">
      <t>カンショウ</t>
    </rPh>
    <rPh sb="2" eb="4">
      <t>コウリョク</t>
    </rPh>
    <phoneticPr fontId="1"/>
  </si>
  <si>
    <t>CD_Interference</t>
  </si>
  <si>
    <t>揚抗比</t>
    <rPh sb="0" eb="3">
      <t>ヨウコウヒ</t>
    </rPh>
    <phoneticPr fontId="1"/>
  </si>
  <si>
    <t>L/D</t>
  </si>
  <si>
    <t>ピッチングモーメント係数</t>
    <rPh sb="10" eb="12">
      <t>ケイスウ</t>
    </rPh>
    <phoneticPr fontId="1"/>
  </si>
  <si>
    <t>揚力</t>
    <rPh sb="0" eb="2">
      <t>ヨウリョク</t>
    </rPh>
    <phoneticPr fontId="1"/>
  </si>
  <si>
    <t>L</t>
  </si>
  <si>
    <t>kgf</t>
  </si>
  <si>
    <t>抗力</t>
    <rPh sb="0" eb="2">
      <t>コウリョク</t>
    </rPh>
    <phoneticPr fontId="1"/>
  </si>
  <si>
    <t>D</t>
  </si>
  <si>
    <t>余剰揚力</t>
    <rPh sb="0" eb="2">
      <t>ヨジョウ</t>
    </rPh>
    <rPh sb="2" eb="4">
      <t>ヨウリョク</t>
    </rPh>
    <phoneticPr fontId="1"/>
  </si>
  <si>
    <t>ΔL</t>
  </si>
  <si>
    <t>慣性モーメント</t>
    <rPh sb="0" eb="2">
      <t>カンセイ</t>
    </rPh>
    <phoneticPr fontId="1"/>
  </si>
  <si>
    <t>kg・m^2</t>
  </si>
  <si>
    <t>Ixz</t>
  </si>
  <si>
    <t>静安定</t>
    <rPh sb="0" eb="1">
      <t>セイ</t>
    </rPh>
    <rPh sb="1" eb="3">
      <t>アンテイ</t>
    </rPh>
    <phoneticPr fontId="2"/>
  </si>
  <si>
    <t>Clβ</t>
  </si>
  <si>
    <t>Cnβ</t>
  </si>
  <si>
    <t>動安定</t>
    <rPh sb="0" eb="3">
      <t>ドウアンテイ</t>
    </rPh>
    <phoneticPr fontId="2"/>
  </si>
  <si>
    <t>短周期モード</t>
    <rPh sb="0" eb="3">
      <t>タンシュウキ</t>
    </rPh>
    <phoneticPr fontId="1"/>
  </si>
  <si>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</si>
  <si>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</si>
  <si>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</si>
  <si>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</si>
  <si>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</si>
  <si>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</si>
  <si>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</si>
  <si>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</si>
  <si>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</si>
  <si>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</si>
  <si>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</si>
  <si>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</si>
  <si>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</si>
  <si>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</si>
  <si>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</si>
  <si>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</si>
  <si>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</si>
  <si>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1"/>
  </si>
  <si>
    <t>ロールモード</t>
  </si>
  <si>
    <t>1/TR</t>
  </si>
  <si>
    <t>比較基準</t>
    <rPh sb="0" eb="2">
      <t>ヒカク</t>
    </rPh>
    <rPh sb="2" eb="4">
      <t>キジュン</t>
    </rPh>
    <phoneticPr fontId="2"/>
  </si>
  <si>
    <t>全周</t>
    <rPh sb="0" eb="2">
      <t>ゼンシュウ</t>
    </rPh>
    <phoneticPr fontId="2"/>
  </si>
  <si>
    <t>リブ面積</t>
    <rPh sb="2" eb="4">
      <t>メンセキ</t>
    </rPh>
    <phoneticPr fontId="2"/>
  </si>
  <si>
    <t>座標点数</t>
    <rPh sb="0" eb="4">
      <t>ザヒョウテンスウ</t>
    </rPh>
    <phoneticPr fontId="2"/>
  </si>
  <si>
    <t>m^2</t>
    <phoneticPr fontId="2"/>
  </si>
  <si>
    <t>グラフ</t>
    <phoneticPr fontId="2"/>
  </si>
  <si>
    <t>速度</t>
    <rPh sb="0" eb="2">
      <t>ソクド</t>
    </rPh>
    <phoneticPr fontId="2"/>
  </si>
  <si>
    <t>迎角</t>
    <rPh sb="0" eb="2">
      <t>ゲイカク</t>
    </rPh>
    <phoneticPr fontId="2"/>
  </si>
  <si>
    <t>巡航速度</t>
    <rPh sb="0" eb="2">
      <t>ジュンコウ</t>
    </rPh>
    <rPh sb="2" eb="4">
      <t>ソクド</t>
    </rPh>
    <phoneticPr fontId="2"/>
  </si>
  <si>
    <t>V</t>
    <phoneticPr fontId="2"/>
  </si>
  <si>
    <t>機体重量</t>
    <rPh sb="0" eb="2">
      <t>キタイ</t>
    </rPh>
    <rPh sb="2" eb="4">
      <t>ジュウリョウ</t>
    </rPh>
    <phoneticPr fontId="2"/>
  </si>
  <si>
    <t>α_stall</t>
    <phoneticPr fontId="2"/>
  </si>
  <si>
    <t>設計運動速度</t>
    <rPh sb="0" eb="2">
      <t>セッケイ</t>
    </rPh>
    <rPh sb="2" eb="4">
      <t>ウンドウ</t>
    </rPh>
    <rPh sb="4" eb="6">
      <t>ソクド</t>
    </rPh>
    <phoneticPr fontId="2"/>
  </si>
  <si>
    <t>Va</t>
    <phoneticPr fontId="2"/>
  </si>
  <si>
    <t>パイロット重量(服，靴，ヘルメットを含む）</t>
    <rPh sb="5" eb="7">
      <t>ジュウリョウ</t>
    </rPh>
    <rPh sb="8" eb="9">
      <t>フク</t>
    </rPh>
    <rPh sb="10" eb="11">
      <t>クツ</t>
    </rPh>
    <rPh sb="18" eb="19">
      <t>フク</t>
    </rPh>
    <phoneticPr fontId="2"/>
  </si>
  <si>
    <t>α_0</t>
    <phoneticPr fontId="2"/>
  </si>
  <si>
    <t>失速速度</t>
    <rPh sb="0" eb="2">
      <t>シッソク</t>
    </rPh>
    <rPh sb="2" eb="4">
      <t>ソクド</t>
    </rPh>
    <phoneticPr fontId="2"/>
  </si>
  <si>
    <t>Vs</t>
    <phoneticPr fontId="2"/>
  </si>
  <si>
    <t>最大速度</t>
    <rPh sb="0" eb="2">
      <t>サイダイ</t>
    </rPh>
    <rPh sb="2" eb="4">
      <t>ソクド</t>
    </rPh>
    <phoneticPr fontId="2"/>
  </si>
  <si>
    <t>Vd</t>
    <phoneticPr fontId="2"/>
  </si>
  <si>
    <t>W</t>
    <phoneticPr fontId="2"/>
  </si>
  <si>
    <t>N</t>
    <phoneticPr fontId="2"/>
  </si>
  <si>
    <t>抗力最小速度</t>
    <rPh sb="0" eb="2">
      <t>コウリョク</t>
    </rPh>
    <rPh sb="2" eb="4">
      <t>サイショウ</t>
    </rPh>
    <rPh sb="4" eb="6">
      <t>ソクド</t>
    </rPh>
    <phoneticPr fontId="2"/>
  </si>
  <si>
    <t>V_Dmin</t>
    <phoneticPr fontId="2"/>
  </si>
  <si>
    <t>翼面荷重</t>
    <rPh sb="0" eb="1">
      <t>ヨク</t>
    </rPh>
    <rPh sb="1" eb="2">
      <t>メン</t>
    </rPh>
    <rPh sb="2" eb="4">
      <t>カジュウ</t>
    </rPh>
    <phoneticPr fontId="2"/>
  </si>
  <si>
    <t>W/S</t>
    <phoneticPr fontId="2"/>
  </si>
  <si>
    <t>kg/m^2</t>
    <phoneticPr fontId="2"/>
  </si>
  <si>
    <t>y_</t>
    <phoneticPr fontId="2"/>
  </si>
  <si>
    <t>取り付け角</t>
    <rPh sb="0" eb="1">
      <t>ト</t>
    </rPh>
    <rPh sb="2" eb="3">
      <t>ツ</t>
    </rPh>
    <rPh sb="4" eb="5">
      <t>カク</t>
    </rPh>
    <phoneticPr fontId="2"/>
  </si>
  <si>
    <t>Cyp</t>
    <phoneticPr fontId="2"/>
  </si>
  <si>
    <t>1/rad</t>
    <phoneticPr fontId="2"/>
  </si>
  <si>
    <t>Cyr</t>
    <phoneticPr fontId="2"/>
  </si>
  <si>
    <t>揚力係数</t>
    <rPh sb="0" eb="2">
      <t>ヨウリョク</t>
    </rPh>
    <rPh sb="2" eb="4">
      <t>ケイスウ</t>
    </rPh>
    <phoneticPr fontId="2"/>
  </si>
  <si>
    <t>CL</t>
    <phoneticPr fontId="2"/>
  </si>
  <si>
    <t>Cnβ</t>
    <phoneticPr fontId="2"/>
  </si>
  <si>
    <t>1/deg</t>
    <phoneticPr fontId="2"/>
  </si>
  <si>
    <t>kg・m^2</t>
    <phoneticPr fontId="2"/>
  </si>
  <si>
    <t>水平尾翼容積比</t>
    <rPh sb="0" eb="2">
      <t>スイヘイ</t>
    </rPh>
    <rPh sb="2" eb="4">
      <t>ビヨク</t>
    </rPh>
    <rPh sb="4" eb="6">
      <t>ヨウセキ</t>
    </rPh>
    <rPh sb="6" eb="7">
      <t>ヒ</t>
    </rPh>
    <phoneticPr fontId="2"/>
  </si>
  <si>
    <t>VH or VH*</t>
    <phoneticPr fontId="2"/>
  </si>
  <si>
    <t>VH' or VH*'</t>
    <phoneticPr fontId="2"/>
  </si>
  <si>
    <t>垂直尾翼容積比</t>
    <rPh sb="0" eb="2">
      <t>スイチョク</t>
    </rPh>
    <rPh sb="2" eb="4">
      <t>ビヨク</t>
    </rPh>
    <rPh sb="4" eb="6">
      <t>ヨウセキ</t>
    </rPh>
    <rPh sb="6" eb="7">
      <t>ヒ</t>
    </rPh>
    <phoneticPr fontId="2"/>
  </si>
  <si>
    <t>VF or VF*</t>
    <phoneticPr fontId="2"/>
  </si>
  <si>
    <t>∂ε/∂α</t>
    <phoneticPr fontId="2"/>
  </si>
  <si>
    <t>水平尾翼効率</t>
    <rPh sb="0" eb="2">
      <t>スイヘイ</t>
    </rPh>
    <rPh sb="2" eb="4">
      <t>ビヨク</t>
    </rPh>
    <rPh sb="4" eb="6">
      <t>コウリツ</t>
    </rPh>
    <phoneticPr fontId="2"/>
  </si>
  <si>
    <t>η</t>
    <phoneticPr fontId="2"/>
  </si>
  <si>
    <t>動圧</t>
    <rPh sb="0" eb="2">
      <t>ドウアツ</t>
    </rPh>
    <phoneticPr fontId="2"/>
  </si>
  <si>
    <t>Q</t>
    <phoneticPr fontId="2"/>
  </si>
  <si>
    <t>N/m^2</t>
    <phoneticPr fontId="2"/>
  </si>
  <si>
    <t>aw</t>
    <phoneticPr fontId="2"/>
  </si>
  <si>
    <t>Ixz</t>
    <phoneticPr fontId="2"/>
  </si>
  <si>
    <t>サイドウォッシュ</t>
    <phoneticPr fontId="2"/>
  </si>
  <si>
    <t>∂σ/∂β</t>
    <phoneticPr fontId="2"/>
  </si>
  <si>
    <t>運動解析用</t>
    <rPh sb="0" eb="2">
      <t>ウンドウ</t>
    </rPh>
    <rPh sb="2" eb="5">
      <t>カイセキヨウ</t>
    </rPh>
    <phoneticPr fontId="2"/>
  </si>
  <si>
    <t>Ix~</t>
  </si>
  <si>
    <t>kg*m^4</t>
  </si>
  <si>
    <t>尾翼形式</t>
    <rPh sb="0" eb="2">
      <t>ビヨク</t>
    </rPh>
    <rPh sb="2" eb="4">
      <t>ケイシキ</t>
    </rPh>
    <phoneticPr fontId="2"/>
  </si>
  <si>
    <t>Iz~</t>
  </si>
  <si>
    <t>ε</t>
  </si>
  <si>
    <t>抗力係数</t>
    <rPh sb="0" eb="2">
      <t>コウリョク</t>
    </rPh>
    <rPh sb="2" eb="4">
      <t>ケイスウ</t>
    </rPh>
    <phoneticPr fontId="2"/>
  </si>
  <si>
    <t>CD</t>
    <phoneticPr fontId="2"/>
  </si>
  <si>
    <t>Ixz/Ix</t>
    <phoneticPr fontId="2"/>
  </si>
  <si>
    <t>空力微係数</t>
    <rPh sb="0" eb="2">
      <t>クウリキ</t>
    </rPh>
    <rPh sb="2" eb="3">
      <t>ビ</t>
    </rPh>
    <rPh sb="3" eb="5">
      <t>ケイスウ</t>
    </rPh>
    <phoneticPr fontId="2"/>
  </si>
  <si>
    <t>Cyβ</t>
    <phoneticPr fontId="2"/>
  </si>
  <si>
    <t>非線形</t>
  </si>
  <si>
    <t>Ixz/Iz</t>
    <phoneticPr fontId="2"/>
  </si>
  <si>
    <t>Clβ</t>
    <phoneticPr fontId="2"/>
  </si>
  <si>
    <t>CD_tail</t>
    <phoneticPr fontId="2"/>
  </si>
  <si>
    <t>CDp</t>
    <phoneticPr fontId="2"/>
  </si>
  <si>
    <t>Clp</t>
    <phoneticPr fontId="2"/>
  </si>
  <si>
    <t>CD_fin</t>
    <phoneticPr fontId="2"/>
  </si>
  <si>
    <t>CDp_wing</t>
    <phoneticPr fontId="2"/>
  </si>
  <si>
    <t>Cnp</t>
    <phoneticPr fontId="2"/>
  </si>
  <si>
    <t>角速度</t>
    <rPh sb="0" eb="3">
      <t>カクソクド</t>
    </rPh>
    <phoneticPr fontId="2"/>
  </si>
  <si>
    <t>p</t>
    <phoneticPr fontId="2"/>
  </si>
  <si>
    <t>deg/s</t>
    <phoneticPr fontId="2"/>
  </si>
  <si>
    <t>名</t>
  </si>
  <si>
    <t>Clr</t>
    <phoneticPr fontId="2"/>
  </si>
  <si>
    <t>S</t>
    <phoneticPr fontId="2"/>
  </si>
  <si>
    <t>q</t>
    <phoneticPr fontId="2"/>
  </si>
  <si>
    <t>Xcg</t>
    <phoneticPr fontId="2"/>
  </si>
  <si>
    <t>Cnr</t>
    <phoneticPr fontId="2"/>
  </si>
  <si>
    <t>r</t>
    <phoneticPr fontId="2"/>
  </si>
  <si>
    <t>　</t>
    <phoneticPr fontId="2"/>
  </si>
  <si>
    <t>Ycg</t>
    <phoneticPr fontId="2"/>
  </si>
  <si>
    <t>重心移動距離</t>
    <rPh sb="0" eb="2">
      <t>ジュウシン</t>
    </rPh>
    <rPh sb="2" eb="4">
      <t>イドウ</t>
    </rPh>
    <rPh sb="4" eb="6">
      <t>キョリ</t>
    </rPh>
    <phoneticPr fontId="2"/>
  </si>
  <si>
    <t>dh</t>
    <phoneticPr fontId="2"/>
  </si>
  <si>
    <t>L/D</t>
    <phoneticPr fontId="2"/>
  </si>
  <si>
    <t>Zcg</t>
    <phoneticPr fontId="2"/>
  </si>
  <si>
    <t>エレベータ舵角</t>
    <rPh sb="5" eb="7">
      <t>ダカク</t>
    </rPh>
    <phoneticPr fontId="2"/>
  </si>
  <si>
    <t>de</t>
    <phoneticPr fontId="2"/>
  </si>
  <si>
    <t>hcg</t>
    <phoneticPr fontId="2"/>
  </si>
  <si>
    <t>ラダー舵角</t>
    <rPh sb="3" eb="5">
      <t>ダカク</t>
    </rPh>
    <phoneticPr fontId="2"/>
  </si>
  <si>
    <t>dr</t>
    <phoneticPr fontId="2"/>
  </si>
  <si>
    <t>全機空力中心位置</t>
    <rPh sb="0" eb="6">
      <t>ゼンキクウリキチュウシン</t>
    </rPh>
    <rPh sb="6" eb="8">
      <t>イチ</t>
    </rPh>
    <phoneticPr fontId="2"/>
  </si>
  <si>
    <t>hn</t>
    <phoneticPr fontId="2"/>
  </si>
  <si>
    <t>L</t>
    <phoneticPr fontId="2"/>
  </si>
  <si>
    <t>St</t>
    <phoneticPr fontId="2"/>
  </si>
  <si>
    <t>kgf</t>
    <phoneticPr fontId="2"/>
  </si>
  <si>
    <t>Sf</t>
    <phoneticPr fontId="2"/>
  </si>
  <si>
    <t>Sc</t>
    <phoneticPr fontId="2"/>
  </si>
  <si>
    <t>翼幅</t>
    <rPh sb="0" eb="1">
      <t>ヨク</t>
    </rPh>
    <rPh sb="1" eb="2">
      <t>ハバ</t>
    </rPh>
    <phoneticPr fontId="2"/>
  </si>
  <si>
    <t>CD0_cowl</t>
    <phoneticPr fontId="2"/>
  </si>
  <si>
    <t>Sb</t>
    <phoneticPr fontId="2"/>
  </si>
  <si>
    <t>Cm_fuselage</t>
    <phoneticPr fontId="2"/>
  </si>
  <si>
    <t>エレベータ</t>
    <phoneticPr fontId="2"/>
  </si>
  <si>
    <t>Sδe</t>
    <phoneticPr fontId="2"/>
  </si>
  <si>
    <t>プラットホーム</t>
    <phoneticPr fontId="2"/>
  </si>
  <si>
    <t>ローリングモーメント</t>
    <phoneticPr fontId="2"/>
  </si>
  <si>
    <t>N*m</t>
    <phoneticPr fontId="2"/>
  </si>
  <si>
    <t>全長</t>
    <rPh sb="0" eb="2">
      <t>ゼンチョウ</t>
    </rPh>
    <phoneticPr fontId="2"/>
  </si>
  <si>
    <t>l</t>
    <phoneticPr fontId="2"/>
  </si>
  <si>
    <t>Sδr</t>
    <phoneticPr fontId="2"/>
  </si>
  <si>
    <t>ピッチングモーメント</t>
    <phoneticPr fontId="2"/>
  </si>
  <si>
    <t>係数</t>
    <rPh sb="0" eb="2">
      <t>ケイスウ</t>
    </rPh>
    <phoneticPr fontId="2"/>
  </si>
  <si>
    <t>τe</t>
    <phoneticPr fontId="2"/>
  </si>
  <si>
    <t>高度</t>
    <rPh sb="0" eb="2">
      <t>コウド</t>
    </rPh>
    <phoneticPr fontId="2"/>
  </si>
  <si>
    <t>hE_platform</t>
    <phoneticPr fontId="2"/>
  </si>
  <si>
    <t>ヨーイングモーメント</t>
    <phoneticPr fontId="2"/>
  </si>
  <si>
    <t>体積</t>
    <rPh sb="0" eb="2">
      <t>タイセキ</t>
    </rPh>
    <phoneticPr fontId="2"/>
  </si>
  <si>
    <t>m^3</t>
    <phoneticPr fontId="2"/>
  </si>
  <si>
    <t>τt</t>
    <phoneticPr fontId="2"/>
  </si>
  <si>
    <t>傾斜</t>
    <rPh sb="0" eb="2">
      <t>ケイシャ</t>
    </rPh>
    <phoneticPr fontId="2"/>
  </si>
  <si>
    <t>γ_platform</t>
    <phoneticPr fontId="2"/>
  </si>
  <si>
    <t>機体</t>
    <rPh sb="0" eb="2">
      <t>キタイ</t>
    </rPh>
    <phoneticPr fontId="2"/>
  </si>
  <si>
    <t>全組にて計測</t>
    <rPh sb="0" eb="2">
      <t>ゼングミ</t>
    </rPh>
    <rPh sb="4" eb="6">
      <t>ケイソク</t>
    </rPh>
    <phoneticPr fontId="2"/>
  </si>
  <si>
    <t>翼関係</t>
    <rPh sb="0" eb="1">
      <t>ヨク</t>
    </rPh>
    <rPh sb="1" eb="3">
      <t>カンケイ</t>
    </rPh>
    <phoneticPr fontId="2"/>
  </si>
  <si>
    <t>0番</t>
    <rPh sb="1" eb="2">
      <t>バン</t>
    </rPh>
    <phoneticPr fontId="2"/>
  </si>
  <si>
    <t>1番</t>
    <rPh sb="1" eb="2">
      <t>バン</t>
    </rPh>
    <phoneticPr fontId="2"/>
  </si>
  <si>
    <t>2番</t>
    <rPh sb="1" eb="2">
      <t>バン</t>
    </rPh>
    <phoneticPr fontId="2"/>
  </si>
  <si>
    <t>3番</t>
    <rPh sb="1" eb="2">
      <t>バン</t>
    </rPh>
    <phoneticPr fontId="2"/>
  </si>
  <si>
    <t>垂直安定板</t>
    <rPh sb="0" eb="2">
      <t>スイチョク</t>
    </rPh>
    <rPh sb="2" eb="5">
      <t>アンテイバン</t>
    </rPh>
    <phoneticPr fontId="2"/>
  </si>
  <si>
    <t>発泡</t>
    <rPh sb="0" eb="2">
      <t>ハッポウ</t>
    </rPh>
    <phoneticPr fontId="2"/>
  </si>
  <si>
    <t>バルサ</t>
    <phoneticPr fontId="2"/>
  </si>
  <si>
    <t>0番</t>
  </si>
  <si>
    <t>金具</t>
    <rPh sb="0" eb="2">
      <t>カナグ</t>
    </rPh>
    <phoneticPr fontId="2"/>
  </si>
  <si>
    <t>1番(右)</t>
  </si>
  <si>
    <t>背板</t>
    <rPh sb="0" eb="2">
      <t>セイタ</t>
    </rPh>
    <phoneticPr fontId="2"/>
  </si>
  <si>
    <t>1番(左)</t>
  </si>
  <si>
    <t>サーボ</t>
    <phoneticPr fontId="2"/>
  </si>
  <si>
    <t>2番(右)</t>
  </si>
  <si>
    <t>カウルマウント</t>
    <phoneticPr fontId="2"/>
  </si>
  <si>
    <t>2番(左)</t>
  </si>
  <si>
    <t>3番(右)</t>
  </si>
  <si>
    <t>3番(左)</t>
  </si>
  <si>
    <t>主翼ウイングレット (右)</t>
    <phoneticPr fontId="2"/>
  </si>
  <si>
    <t>主翼ウイングレット (左)</t>
    <rPh sb="11" eb="12">
      <t>ヒダリ</t>
    </rPh>
    <phoneticPr fontId="2"/>
  </si>
  <si>
    <t>フタサット</t>
    <phoneticPr fontId="2"/>
  </si>
  <si>
    <t>おもり</t>
    <phoneticPr fontId="2"/>
  </si>
  <si>
    <t>主翼蓋(窓)</t>
    <phoneticPr fontId="2"/>
  </si>
  <si>
    <t>ボルトナット(ねじり止め用)</t>
    <rPh sb="10" eb="11">
      <t>ド</t>
    </rPh>
    <rPh sb="12" eb="13">
      <t>ヨウ</t>
    </rPh>
    <phoneticPr fontId="2"/>
  </si>
  <si>
    <t>水平尾翼</t>
    <rPh sb="0" eb="4">
      <t>スイヘイビヨク</t>
    </rPh>
    <phoneticPr fontId="2"/>
  </si>
  <si>
    <t>尾翼ウイングレット(右)</t>
    <rPh sb="0" eb="2">
      <t>ビヨク</t>
    </rPh>
    <rPh sb="10" eb="11">
      <t>ミギ</t>
    </rPh>
    <phoneticPr fontId="2"/>
  </si>
  <si>
    <t>尾翼ウイングレット(左)</t>
    <rPh sb="0" eb="2">
      <t>ビヨク</t>
    </rPh>
    <rPh sb="10" eb="11">
      <t>ヒダリ</t>
    </rPh>
    <phoneticPr fontId="2"/>
  </si>
  <si>
    <t>ボルトナット</t>
    <phoneticPr fontId="2"/>
  </si>
  <si>
    <t>蓋</t>
    <rPh sb="0" eb="1">
      <t>フタ</t>
    </rPh>
    <phoneticPr fontId="2"/>
  </si>
  <si>
    <t>足置き</t>
    <rPh sb="0" eb="2">
      <t>アシオ</t>
    </rPh>
    <phoneticPr fontId="2"/>
  </si>
  <si>
    <t>垂直尾翼</t>
    <rPh sb="0" eb="4">
      <t>スイチョクビヨク</t>
    </rPh>
    <phoneticPr fontId="2"/>
  </si>
  <si>
    <t>垂直安定板</t>
    <rPh sb="2" eb="5">
      <t>アンテイ</t>
    </rPh>
    <phoneticPr fontId="2"/>
  </si>
  <si>
    <t>舵面</t>
    <rPh sb="0" eb="2">
      <t>ダメn</t>
    </rPh>
    <phoneticPr fontId="2"/>
  </si>
  <si>
    <t>上脚</t>
    <rPh sb="0" eb="2">
      <t>ウエアシ</t>
    </rPh>
    <phoneticPr fontId="2"/>
  </si>
  <si>
    <t>ドーサルフィン</t>
    <phoneticPr fontId="2"/>
  </si>
  <si>
    <t>安定板マウント</t>
    <rPh sb="0" eb="3">
      <t>アンテイバン</t>
    </rPh>
    <phoneticPr fontId="2"/>
  </si>
  <si>
    <t>下脚</t>
    <rPh sb="0" eb="2">
      <t>シタアシ</t>
    </rPh>
    <phoneticPr fontId="2"/>
  </si>
  <si>
    <t>ピトー菅</t>
    <phoneticPr fontId="2"/>
  </si>
  <si>
    <t>機構</t>
    <rPh sb="0" eb="2">
      <t>キコウ</t>
    </rPh>
    <phoneticPr fontId="2"/>
  </si>
  <si>
    <t>車輪</t>
    <rPh sb="0" eb="2">
      <t>シャリン</t>
    </rPh>
    <phoneticPr fontId="2"/>
  </si>
  <si>
    <t>ピン</t>
    <phoneticPr fontId="2"/>
  </si>
  <si>
    <t>ボルトナット（ねじり止め用）</t>
    <rPh sb="10" eb="11">
      <t>ド</t>
    </rPh>
    <rPh sb="12" eb="13">
      <t>ヨウ</t>
    </rPh>
    <phoneticPr fontId="2"/>
  </si>
  <si>
    <t>胴体</t>
    <phoneticPr fontId="2"/>
  </si>
  <si>
    <t>胴体フィレット</t>
    <rPh sb="0" eb="2">
      <t>ドウタイ</t>
    </rPh>
    <phoneticPr fontId="2"/>
  </si>
  <si>
    <t>足おき</t>
    <rPh sb="0" eb="1">
      <t>アシオキ</t>
    </rPh>
    <phoneticPr fontId="2"/>
  </si>
  <si>
    <t>キャノピ</t>
  </si>
  <si>
    <t>フタ</t>
  </si>
  <si>
    <t>フィレット</t>
  </si>
  <si>
    <t>脚(右)</t>
    <rPh sb="2" eb="3">
      <t>ミギ</t>
    </rPh>
    <phoneticPr fontId="2"/>
  </si>
  <si>
    <t>脚(左)</t>
    <rPh sb="2" eb="3">
      <t>ヒダリ</t>
    </rPh>
    <phoneticPr fontId="2"/>
  </si>
  <si>
    <t>電装</t>
    <rPh sb="0" eb="2">
      <t>デンソウ</t>
    </rPh>
    <phoneticPr fontId="2"/>
  </si>
  <si>
    <t>電装基盤</t>
    <rPh sb="2" eb="4">
      <t>キバン</t>
    </rPh>
    <phoneticPr fontId="2"/>
  </si>
  <si>
    <t>電装バッテリー</t>
    <rPh sb="0" eb="2">
      <t>デンソウ</t>
    </rPh>
    <phoneticPr fontId="2"/>
  </si>
  <si>
    <t>乗り込み部</t>
    <rPh sb="0" eb="1">
      <t>ノ</t>
    </rPh>
    <rPh sb="2" eb="3">
      <t>コ</t>
    </rPh>
    <rPh sb="4" eb="5">
      <t>ブ</t>
    </rPh>
    <phoneticPr fontId="2"/>
  </si>
  <si>
    <t>オンボードカメラ</t>
    <phoneticPr fontId="2"/>
  </si>
  <si>
    <t>重心距離</t>
    <rPh sb="0" eb="2">
      <t>ジュウシン</t>
    </rPh>
    <rPh sb="2" eb="4">
      <t>キョリ</t>
    </rPh>
    <phoneticPr fontId="2"/>
  </si>
  <si>
    <t>ΔXcg</t>
    <phoneticPr fontId="2"/>
  </si>
  <si>
    <t>Δycg</t>
    <phoneticPr fontId="2"/>
  </si>
  <si>
    <t>ΔZcg</t>
    <phoneticPr fontId="2"/>
  </si>
  <si>
    <t>主要諸元</t>
    <rPh sb="0" eb="4">
      <t>シュヨウショゲン</t>
    </rPh>
    <phoneticPr fontId="2"/>
  </si>
  <si>
    <t>項目</t>
    <rPh sb="0" eb="1">
      <t>コウ</t>
    </rPh>
    <rPh sb="1" eb="2">
      <t>モク</t>
    </rPh>
    <phoneticPr fontId="2"/>
  </si>
  <si>
    <t>揚抗比</t>
    <rPh sb="0" eb="3">
      <t>ヨウコウヒ</t>
    </rPh>
    <phoneticPr fontId="2"/>
  </si>
  <si>
    <t>空気力</t>
    <rPh sb="0" eb="3">
      <t>クウキリョク</t>
    </rPh>
    <phoneticPr fontId="2"/>
  </si>
  <si>
    <t>主翼面積</t>
    <rPh sb="0" eb="4">
      <t>シュヨクメンセキ</t>
    </rPh>
    <phoneticPr fontId="2"/>
  </si>
  <si>
    <t>アスペクト比</t>
    <rPh sb="5" eb="6">
      <t>ヒ</t>
    </rPh>
    <phoneticPr fontId="2"/>
  </si>
  <si>
    <t>平均空力翼弦長</t>
    <rPh sb="0" eb="7">
      <t>ヘイキンクウリキヨクゲンチョウ</t>
    </rPh>
    <phoneticPr fontId="2"/>
  </si>
  <si>
    <t>翼面荷重</t>
    <rPh sb="0" eb="4">
      <t>ヨクメンカジュウ</t>
    </rPh>
    <phoneticPr fontId="2"/>
  </si>
  <si>
    <t>巡航速度</t>
    <rPh sb="0" eb="4">
      <t>ジュンコウソクド</t>
    </rPh>
    <phoneticPr fontId="2"/>
  </si>
  <si>
    <t>機体重量</t>
    <rPh sb="0" eb="4">
      <t>キタイジュウリョウ</t>
    </rPh>
    <phoneticPr fontId="2"/>
  </si>
  <si>
    <t>パイロット重量（服、靴、ヘルメットを含む）</t>
    <rPh sb="5" eb="7">
      <t>ジュウリョウ</t>
    </rPh>
    <rPh sb="8" eb="9">
      <t>フク</t>
    </rPh>
    <rPh sb="10" eb="11">
      <t>クツ</t>
    </rPh>
    <rPh sb="18" eb="19">
      <t>フク</t>
    </rPh>
    <phoneticPr fontId="2"/>
  </si>
  <si>
    <t>AR</t>
    <phoneticPr fontId="2"/>
  </si>
  <si>
    <t>c_</t>
    <phoneticPr fontId="2"/>
  </si>
  <si>
    <t>kgf/m^2</t>
    <phoneticPr fontId="2"/>
  </si>
  <si>
    <t>全機重心位置</t>
    <rPh sb="0" eb="2">
      <t>ゼンキ</t>
    </rPh>
    <rPh sb="2" eb="6">
      <t>ジュウシンイチ</t>
    </rPh>
    <phoneticPr fontId="2"/>
  </si>
  <si>
    <t>主翼桁位置</t>
    <rPh sb="0" eb="3">
      <t>シュヨクケタ</t>
    </rPh>
    <rPh sb="3" eb="5">
      <t>イチ</t>
    </rPh>
    <phoneticPr fontId="2"/>
  </si>
  <si>
    <t>水平尾翼面積</t>
    <rPh sb="0" eb="4">
      <t>スイヘイビヨク</t>
    </rPh>
    <rPh sb="4" eb="6">
      <t>メンセキ</t>
    </rPh>
    <phoneticPr fontId="2"/>
  </si>
  <si>
    <t>水平尾翼容積比</t>
    <rPh sb="0" eb="4">
      <t>スイヘイビヨク</t>
    </rPh>
    <rPh sb="4" eb="7">
      <t>ヨウセキヒ</t>
    </rPh>
    <phoneticPr fontId="2"/>
  </si>
  <si>
    <t>垂直尾翼面積</t>
    <rPh sb="0" eb="4">
      <t>スイチョクビヨク</t>
    </rPh>
    <rPh sb="4" eb="6">
      <t>メンセキ</t>
    </rPh>
    <phoneticPr fontId="2"/>
  </si>
  <si>
    <t>垂直尾翼容積比</t>
    <rPh sb="0" eb="4">
      <t>スイチョクビヨク</t>
    </rPh>
    <rPh sb="4" eb="7">
      <t>ヨウセキヒ</t>
    </rPh>
    <phoneticPr fontId="2"/>
  </si>
  <si>
    <t>主翼翼型</t>
    <rPh sb="0" eb="4">
      <t>シュヨクヨクガタ</t>
    </rPh>
    <phoneticPr fontId="2"/>
  </si>
  <si>
    <t>水平尾翼翼型</t>
    <rPh sb="0" eb="4">
      <t>スイヘイビヨク</t>
    </rPh>
    <rPh sb="4" eb="6">
      <t>ヨクガタ</t>
    </rPh>
    <phoneticPr fontId="2"/>
  </si>
  <si>
    <t>垂直尾翼翼型</t>
    <rPh sb="0" eb="6">
      <t>スイチョクビヨクヨクガタ</t>
    </rPh>
    <phoneticPr fontId="2"/>
  </si>
  <si>
    <t>操縦方法</t>
    <rPh sb="0" eb="4">
      <t>ソウジュウホウホウ</t>
    </rPh>
    <phoneticPr fontId="2"/>
  </si>
  <si>
    <t>全機空力中心位置</t>
    <rPh sb="0" eb="2">
      <t>ゼンキ</t>
    </rPh>
    <rPh sb="2" eb="4">
      <t>クウリキ</t>
    </rPh>
    <rPh sb="4" eb="6">
      <t>チュウシン</t>
    </rPh>
    <rPh sb="6" eb="8">
      <t>イチ</t>
    </rPh>
    <phoneticPr fontId="2"/>
  </si>
  <si>
    <t>設計コンセプト</t>
    <rPh sb="0" eb="2">
      <t>セッケイ</t>
    </rPh>
    <phoneticPr fontId="2"/>
  </si>
  <si>
    <t>全機揚抗比</t>
    <rPh sb="0" eb="2">
      <t>ゼンキ</t>
    </rPh>
    <rPh sb="2" eb="5">
      <t>ヨウコウヒ</t>
    </rPh>
    <phoneticPr fontId="1"/>
  </si>
  <si>
    <t>項目</t>
    <rPh sb="0" eb="2">
      <t>コウモク</t>
    </rPh>
    <phoneticPr fontId="2"/>
  </si>
  <si>
    <t>制限荷重倍数</t>
    <rPh sb="0" eb="2">
      <t>セイゲン</t>
    </rPh>
    <rPh sb="2" eb="4">
      <t>カジュウ</t>
    </rPh>
    <rPh sb="4" eb="6">
      <t>バイスウ</t>
    </rPh>
    <phoneticPr fontId="1"/>
  </si>
  <si>
    <t>Nmax</t>
    <phoneticPr fontId="2"/>
  </si>
  <si>
    <t>G</t>
  </si>
  <si>
    <t>G</t>
    <phoneticPr fontId="2"/>
  </si>
  <si>
    <t>最小沈下率</t>
    <rPh sb="0" eb="5">
      <t>サイショウチンカリツ</t>
    </rPh>
    <phoneticPr fontId="2"/>
  </si>
  <si>
    <t>全備重量</t>
    <rPh sb="0" eb="2">
      <t>ゼンビ</t>
    </rPh>
    <rPh sb="2" eb="4">
      <t>ジュウリョウ</t>
    </rPh>
    <phoneticPr fontId="1"/>
  </si>
  <si>
    <t>全機迎角</t>
    <rPh sb="0" eb="4">
      <t>ゼンキゲイカク</t>
    </rPh>
    <phoneticPr fontId="1"/>
  </si>
  <si>
    <t>失速角</t>
    <rPh sb="0" eb="2">
      <t>シッソク</t>
    </rPh>
    <rPh sb="2" eb="3">
      <t>カク</t>
    </rPh>
    <phoneticPr fontId="1"/>
  </si>
  <si>
    <t>ゼロ揚力角</t>
    <rPh sb="2" eb="5">
      <t>ヨウリョクカク</t>
    </rPh>
    <phoneticPr fontId="1"/>
  </si>
  <si>
    <t>D_wing</t>
    <phoneticPr fontId="2"/>
  </si>
  <si>
    <t>D_tail</t>
    <phoneticPr fontId="2"/>
  </si>
  <si>
    <t>D_fin</t>
    <phoneticPr fontId="2"/>
  </si>
  <si>
    <t>D_cowl</t>
    <phoneticPr fontId="2"/>
  </si>
  <si>
    <t>D_body</t>
    <phoneticPr fontId="2"/>
  </si>
  <si>
    <t>D_Interference</t>
    <phoneticPr fontId="2"/>
  </si>
  <si>
    <t>設計値</t>
    <rPh sb="0" eb="3">
      <t>セッケイチ</t>
    </rPh>
    <phoneticPr fontId="2"/>
  </si>
  <si>
    <t>翼面積</t>
    <rPh sb="0" eb="1">
      <t>ヨク</t>
    </rPh>
    <rPh sb="1" eb="3">
      <t>メンセキ</t>
    </rPh>
    <phoneticPr fontId="2"/>
  </si>
  <si>
    <t>b</t>
    <phoneticPr fontId="2"/>
  </si>
  <si>
    <t>平均空力翼弦長</t>
    <rPh sb="0" eb="6">
      <t>ヘイキンクウリキヨクゲン</t>
    </rPh>
    <rPh sb="6" eb="7">
      <t>チョウ</t>
    </rPh>
    <phoneticPr fontId="2"/>
  </si>
  <si>
    <t>cMAC</t>
    <phoneticPr fontId="2"/>
  </si>
  <si>
    <t>片翼面積重心</t>
    <rPh sb="0" eb="2">
      <t>カタヨク</t>
    </rPh>
    <rPh sb="2" eb="4">
      <t>メンセキ</t>
    </rPh>
    <rPh sb="4" eb="6">
      <t>ジュウシン</t>
    </rPh>
    <phoneticPr fontId="2"/>
  </si>
  <si>
    <t>変形考慮</t>
    <rPh sb="0" eb="2">
      <t>ヘンケイ</t>
    </rPh>
    <rPh sb="2" eb="4">
      <t>コウリョ</t>
    </rPh>
    <phoneticPr fontId="2"/>
  </si>
  <si>
    <t>LLT</t>
    <phoneticPr fontId="2"/>
  </si>
  <si>
    <t>空力中心</t>
    <rPh sb="0" eb="2">
      <t>クウリキ</t>
    </rPh>
    <rPh sb="2" eb="4">
      <t>チュウシン</t>
    </rPh>
    <phoneticPr fontId="2"/>
  </si>
  <si>
    <t>hac</t>
    <phoneticPr fontId="2"/>
  </si>
  <si>
    <t>翼効率</t>
    <rPh sb="0" eb="1">
      <t>ヨク</t>
    </rPh>
    <rPh sb="1" eb="3">
      <t>コウリツ</t>
    </rPh>
    <phoneticPr fontId="2"/>
  </si>
  <si>
    <t>e</t>
    <phoneticPr fontId="2"/>
  </si>
  <si>
    <t>主翼二次元揚力傾斜</t>
    <rPh sb="0" eb="2">
      <t>シュヨク</t>
    </rPh>
    <rPh sb="2" eb="3">
      <t>ニ</t>
    </rPh>
    <rPh sb="3" eb="5">
      <t>ジゲン</t>
    </rPh>
    <rPh sb="5" eb="7">
      <t>ヨウリョク</t>
    </rPh>
    <rPh sb="7" eb="9">
      <t>ケイシャ</t>
    </rPh>
    <phoneticPr fontId="2"/>
  </si>
  <si>
    <t>Clα</t>
    <phoneticPr fontId="2"/>
  </si>
  <si>
    <t>主翼三次元揚力傾斜</t>
    <rPh sb="0" eb="2">
      <t>シュヨク</t>
    </rPh>
    <rPh sb="2" eb="3">
      <t>サン</t>
    </rPh>
    <rPh sb="3" eb="5">
      <t>ジゲン</t>
    </rPh>
    <rPh sb="5" eb="7">
      <t>ヨウリョク</t>
    </rPh>
    <rPh sb="7" eb="9">
      <t>ケイシャ</t>
    </rPh>
    <phoneticPr fontId="2"/>
  </si>
  <si>
    <t>平均誘導迎え角</t>
    <rPh sb="0" eb="2">
      <t>ヘイキン</t>
    </rPh>
    <rPh sb="2" eb="4">
      <t>ユウドウ</t>
    </rPh>
    <rPh sb="4" eb="5">
      <t>ムカ</t>
    </rPh>
    <rPh sb="6" eb="7">
      <t>カク</t>
    </rPh>
    <phoneticPr fontId="2"/>
  </si>
  <si>
    <t>ε</t>
    <phoneticPr fontId="2"/>
  </si>
  <si>
    <t>翼型1</t>
    <rPh sb="0" eb="1">
      <t>ヨク</t>
    </rPh>
    <rPh sb="1" eb="2">
      <t>ガタ</t>
    </rPh>
    <phoneticPr fontId="2"/>
  </si>
  <si>
    <t>Cl_max</t>
    <phoneticPr fontId="2"/>
  </si>
  <si>
    <t>翼型2</t>
    <rPh sb="0" eb="1">
      <t>ヨク</t>
    </rPh>
    <rPh sb="1" eb="2">
      <t>ガタ</t>
    </rPh>
    <phoneticPr fontId="2"/>
  </si>
  <si>
    <t>静安定性</t>
    <rPh sb="0" eb="4">
      <t>セイアンテイセイ</t>
    </rPh>
    <phoneticPr fontId="2"/>
  </si>
  <si>
    <t>主翼揚力</t>
    <rPh sb="0" eb="2">
      <t>シュヨク</t>
    </rPh>
    <rPh sb="2" eb="4">
      <t>ヨウリョク</t>
    </rPh>
    <phoneticPr fontId="1"/>
  </si>
  <si>
    <t>ラダー横力</t>
    <rPh sb="3" eb="5">
      <t>ヨコリョク</t>
    </rPh>
    <phoneticPr fontId="2"/>
  </si>
  <si>
    <t>エレベーター揚力</t>
    <rPh sb="6" eb="8">
      <t>ヨウリョク</t>
    </rPh>
    <phoneticPr fontId="1"/>
  </si>
  <si>
    <t>全備重量</t>
    <rPh sb="0" eb="2">
      <t>ゼンビ</t>
    </rPh>
    <rPh sb="2" eb="4">
      <t>ジュウリョウ</t>
    </rPh>
    <phoneticPr fontId="2"/>
  </si>
  <si>
    <t>重量・重心位置・慣性モーメント</t>
    <rPh sb="0" eb="2">
      <t>ジュウリョウ</t>
    </rPh>
    <phoneticPr fontId="2"/>
  </si>
  <si>
    <t>動安定</t>
    <rPh sb="0" eb="1">
      <t>ドウ</t>
    </rPh>
    <rPh sb="1" eb="3">
      <t>アンテイ</t>
    </rPh>
    <phoneticPr fontId="2"/>
  </si>
  <si>
    <t>主翼誘導抗力</t>
    <rPh sb="0" eb="2">
      <t>シュヨク</t>
    </rPh>
    <rPh sb="2" eb="4">
      <t>ユウドウ</t>
    </rPh>
    <rPh sb="4" eb="6">
      <t>コウリョク</t>
    </rPh>
    <phoneticPr fontId="1"/>
  </si>
  <si>
    <t>主翼有害抗力</t>
    <rPh sb="0" eb="2">
      <t>シュヨク</t>
    </rPh>
    <rPh sb="2" eb="4">
      <t>ユウガイ</t>
    </rPh>
    <rPh sb="4" eb="6">
      <t>コウリョク</t>
    </rPh>
    <phoneticPr fontId="1"/>
  </si>
  <si>
    <t>主翼揚抗比</t>
    <rPh sb="0" eb="2">
      <t>シュヨク</t>
    </rPh>
    <rPh sb="2" eb="5">
      <t>ヨウコウヒ</t>
    </rPh>
    <phoneticPr fontId="2"/>
  </si>
  <si>
    <t>無次元化用面積</t>
    <rPh sb="0" eb="4">
      <t>ムジゲンカ</t>
    </rPh>
    <rPh sb="4" eb="5">
      <t>ヨウ</t>
    </rPh>
    <rPh sb="5" eb="7">
      <t>メンセキ</t>
    </rPh>
    <phoneticPr fontId="2"/>
  </si>
  <si>
    <t>主翼平面形</t>
    <rPh sb="0" eb="2">
      <t>シュヨク</t>
    </rPh>
    <rPh sb="2" eb="5">
      <t>ヘイメンケイ</t>
    </rPh>
    <phoneticPr fontId="2"/>
  </si>
  <si>
    <t>翼素番号</t>
    <rPh sb="0" eb="1">
      <t>ヨク</t>
    </rPh>
    <rPh sb="1" eb="2">
      <t>ソ</t>
    </rPh>
    <rPh sb="2" eb="4">
      <t>バンゴウ</t>
    </rPh>
    <phoneticPr fontId="2"/>
  </si>
  <si>
    <t>スパン</t>
    <phoneticPr fontId="2"/>
  </si>
  <si>
    <t>コード長 [m]</t>
    <rPh sb="3" eb="4">
      <t>チョウ</t>
    </rPh>
    <phoneticPr fontId="2"/>
  </si>
  <si>
    <t>取り付け角 [deg]</t>
    <rPh sb="0" eb="1">
      <t>ト</t>
    </rPh>
    <rPh sb="2" eb="3">
      <t>ツ</t>
    </rPh>
    <rPh sb="4" eb="5">
      <t>カク</t>
    </rPh>
    <phoneticPr fontId="2"/>
  </si>
  <si>
    <t>上反角 [deg]</t>
    <rPh sb="0" eb="3">
      <t>ジョウハンカク</t>
    </rPh>
    <phoneticPr fontId="2"/>
  </si>
  <si>
    <t>テーパー比</t>
    <rPh sb="4" eb="5">
      <t>ヒ</t>
    </rPh>
    <phoneticPr fontId="2"/>
  </si>
  <si>
    <t>Δy [m]</t>
    <phoneticPr fontId="2"/>
  </si>
  <si>
    <t>Δ翼面積 [m^2]</t>
    <rPh sb="1" eb="2">
      <t>ヨク</t>
    </rPh>
    <rPh sb="2" eb="4">
      <t>メンセキ</t>
    </rPh>
    <phoneticPr fontId="2"/>
  </si>
  <si>
    <t>c(y)傾き [-]</t>
    <rPh sb="4" eb="5">
      <t>カタム</t>
    </rPh>
    <phoneticPr fontId="2"/>
  </si>
  <si>
    <t>切片 [m]</t>
    <rPh sb="0" eb="2">
      <t>セッペン</t>
    </rPh>
    <phoneticPr fontId="2"/>
  </si>
  <si>
    <t>コード傾き</t>
    <rPh sb="3" eb="4">
      <t>カタム</t>
    </rPh>
    <phoneticPr fontId="2"/>
  </si>
  <si>
    <t>コード切片</t>
    <rPh sb="3" eb="5">
      <t>セッペン</t>
    </rPh>
    <phoneticPr fontId="2"/>
  </si>
  <si>
    <t>取り付け角傾き</t>
    <rPh sb="0" eb="1">
      <t>ト</t>
    </rPh>
    <rPh sb="2" eb="3">
      <t>ツ</t>
    </rPh>
    <rPh sb="4" eb="5">
      <t>カク</t>
    </rPh>
    <rPh sb="5" eb="6">
      <t>カタム</t>
    </rPh>
    <phoneticPr fontId="2"/>
  </si>
  <si>
    <t>取り付け角切片</t>
    <rPh sb="0" eb="1">
      <t>ト</t>
    </rPh>
    <rPh sb="2" eb="3">
      <t>ツ</t>
    </rPh>
    <rPh sb="4" eb="5">
      <t>カク</t>
    </rPh>
    <rPh sb="5" eb="7">
      <t>セッペン</t>
    </rPh>
    <phoneticPr fontId="2"/>
  </si>
  <si>
    <t>翼型1傾き</t>
    <rPh sb="0" eb="1">
      <t>ヨク</t>
    </rPh>
    <rPh sb="1" eb="2">
      <t>ガタ</t>
    </rPh>
    <rPh sb="3" eb="4">
      <t>カタム</t>
    </rPh>
    <phoneticPr fontId="2"/>
  </si>
  <si>
    <t>翼型1切片</t>
    <rPh sb="0" eb="1">
      <t>ヨク</t>
    </rPh>
    <rPh sb="1" eb="2">
      <t>ガタ</t>
    </rPh>
    <rPh sb="3" eb="5">
      <t>セッペン</t>
    </rPh>
    <phoneticPr fontId="2"/>
  </si>
  <si>
    <t>翼型2傾き</t>
    <rPh sb="0" eb="1">
      <t>ヨク</t>
    </rPh>
    <rPh sb="1" eb="2">
      <t>ガタ</t>
    </rPh>
    <rPh sb="3" eb="4">
      <t>カタム</t>
    </rPh>
    <phoneticPr fontId="2"/>
  </si>
  <si>
    <t>翼型2切片</t>
    <rPh sb="0" eb="1">
      <t>ヨク</t>
    </rPh>
    <rPh sb="1" eb="2">
      <t>ガタ</t>
    </rPh>
    <rPh sb="3" eb="5">
      <t>セッペン</t>
    </rPh>
    <phoneticPr fontId="2"/>
  </si>
  <si>
    <t>n</t>
    <phoneticPr fontId="2"/>
  </si>
  <si>
    <t xml:space="preserve">y </t>
    <phoneticPr fontId="2"/>
  </si>
  <si>
    <t>c</t>
    <phoneticPr fontId="2"/>
  </si>
  <si>
    <t>αs</t>
    <phoneticPr fontId="2"/>
  </si>
  <si>
    <t>Γd</t>
    <phoneticPr fontId="2"/>
  </si>
  <si>
    <t>λ</t>
    <phoneticPr fontId="2"/>
  </si>
  <si>
    <t xml:space="preserve">Δy </t>
    <phoneticPr fontId="2"/>
  </si>
  <si>
    <t>ΔS</t>
    <phoneticPr fontId="2"/>
  </si>
  <si>
    <t>∫c(y)^2dy</t>
  </si>
  <si>
    <t>∫c(y)*(y^2) dy</t>
    <phoneticPr fontId="2"/>
  </si>
  <si>
    <t>m^4</t>
    <phoneticPr fontId="2"/>
  </si>
  <si>
    <t>m/m</t>
    <phoneticPr fontId="2"/>
  </si>
  <si>
    <t>deg/m</t>
    <phoneticPr fontId="2"/>
  </si>
  <si>
    <t>1/m</t>
    <phoneticPr fontId="2"/>
  </si>
  <si>
    <t>矩形部 [0]</t>
    <rPh sb="0" eb="2">
      <t>クケイ</t>
    </rPh>
    <rPh sb="2" eb="3">
      <t>ブ</t>
    </rPh>
    <phoneticPr fontId="2"/>
  </si>
  <si>
    <t>第一段テーパー [1]</t>
    <rPh sb="0" eb="2">
      <t>ダイイチ</t>
    </rPh>
    <rPh sb="2" eb="3">
      <t>ダン</t>
    </rPh>
    <phoneticPr fontId="2"/>
  </si>
  <si>
    <t>第二段テーパー [2]</t>
    <rPh sb="0" eb="1">
      <t>ダイ</t>
    </rPh>
    <rPh sb="1" eb="2">
      <t>ニ</t>
    </rPh>
    <rPh sb="2" eb="3">
      <t>ダン</t>
    </rPh>
    <phoneticPr fontId="2"/>
  </si>
  <si>
    <t>第三段テーパー [3]</t>
    <rPh sb="0" eb="2">
      <t>ダイサン</t>
    </rPh>
    <rPh sb="2" eb="3">
      <t>ダン</t>
    </rPh>
    <phoneticPr fontId="2"/>
  </si>
  <si>
    <t>第四段テーパー[4]</t>
    <rPh sb="0" eb="1">
      <t>ダイ</t>
    </rPh>
    <rPh sb="1" eb="2">
      <t>ヨン</t>
    </rPh>
    <rPh sb="2" eb="3">
      <t>ダン</t>
    </rPh>
    <phoneticPr fontId="2"/>
  </si>
  <si>
    <t>ウィングレット [4]</t>
    <phoneticPr fontId="2"/>
  </si>
  <si>
    <t>第五段テーパー[5]</t>
    <rPh sb="0" eb="1">
      <t>ダイ</t>
    </rPh>
    <rPh sb="1" eb="3">
      <t>5ダン</t>
    </rPh>
    <phoneticPr fontId="2"/>
  </si>
  <si>
    <t>翼端</t>
    <rPh sb="0" eb="1">
      <t>ヨク</t>
    </rPh>
    <rPh sb="1" eb="2">
      <t>タン</t>
    </rPh>
    <phoneticPr fontId="2"/>
  </si>
  <si>
    <t>翼端</t>
    <rPh sb="0" eb="2">
      <t>ヨクタン</t>
    </rPh>
    <phoneticPr fontId="2"/>
  </si>
  <si>
    <t>主翼諸元</t>
    <rPh sb="0" eb="2">
      <t>シュヨク</t>
    </rPh>
    <rPh sb="2" eb="4">
      <t>ショゲン</t>
    </rPh>
    <phoneticPr fontId="2"/>
  </si>
  <si>
    <t>スパー諸元</t>
    <rPh sb="3" eb="5">
      <t>ショゲン</t>
    </rPh>
    <phoneticPr fontId="2"/>
  </si>
  <si>
    <t>スパー寸法</t>
    <rPh sb="3" eb="5">
      <t>スンポウ</t>
    </rPh>
    <phoneticPr fontId="2"/>
  </si>
  <si>
    <t>0番長軸内径</t>
    <rPh sb="1" eb="2">
      <t>バン</t>
    </rPh>
    <rPh sb="2" eb="4">
      <t>チョウジク</t>
    </rPh>
    <rPh sb="4" eb="6">
      <t>ナイケイ</t>
    </rPh>
    <phoneticPr fontId="2"/>
  </si>
  <si>
    <t>1番長軸内径</t>
    <rPh sb="1" eb="2">
      <t>バン</t>
    </rPh>
    <rPh sb="2" eb="4">
      <t>チョウジク</t>
    </rPh>
    <rPh sb="4" eb="6">
      <t>ナイケイ</t>
    </rPh>
    <phoneticPr fontId="2"/>
  </si>
  <si>
    <t>2番長軸内径</t>
    <rPh sb="1" eb="2">
      <t>バン</t>
    </rPh>
    <rPh sb="2" eb="4">
      <t>チョウジク</t>
    </rPh>
    <rPh sb="4" eb="6">
      <t>ナイケイ</t>
    </rPh>
    <phoneticPr fontId="2"/>
  </si>
  <si>
    <t>3番長軸内径</t>
    <rPh sb="1" eb="2">
      <t>バン</t>
    </rPh>
    <rPh sb="2" eb="4">
      <t>チョウジク</t>
    </rPh>
    <rPh sb="4" eb="6">
      <t>ナイケイ</t>
    </rPh>
    <phoneticPr fontId="2"/>
  </si>
  <si>
    <t>材料密度</t>
    <rPh sb="0" eb="2">
      <t>ザイリョウ</t>
    </rPh>
    <rPh sb="2" eb="4">
      <t>ミツド</t>
    </rPh>
    <phoneticPr fontId="2"/>
  </si>
  <si>
    <t>スパー番号</t>
    <rPh sb="3" eb="5">
      <t>バンゴウ</t>
    </rPh>
    <phoneticPr fontId="2"/>
  </si>
  <si>
    <t>積層数</t>
    <rPh sb="0" eb="2">
      <t>セキソウ</t>
    </rPh>
    <rPh sb="2" eb="3">
      <t>スウ</t>
    </rPh>
    <phoneticPr fontId="2"/>
  </si>
  <si>
    <t>オビ</t>
    <phoneticPr fontId="2"/>
  </si>
  <si>
    <t>横弾性係数</t>
    <rPh sb="0" eb="1">
      <t>ヨコ</t>
    </rPh>
    <rPh sb="1" eb="3">
      <t>ダンセイ</t>
    </rPh>
    <rPh sb="3" eb="5">
      <t>ケイスウ</t>
    </rPh>
    <phoneticPr fontId="2"/>
  </si>
  <si>
    <t>長さ</t>
    <rPh sb="0" eb="1">
      <t>ナガ</t>
    </rPh>
    <phoneticPr fontId="2"/>
  </si>
  <si>
    <t>最大合力</t>
    <rPh sb="0" eb="2">
      <t>サイダイ</t>
    </rPh>
    <rPh sb="2" eb="4">
      <t>ゴウリョク</t>
    </rPh>
    <phoneticPr fontId="2"/>
  </si>
  <si>
    <t>長軸外径</t>
    <rPh sb="0" eb="2">
      <t>チョウジク</t>
    </rPh>
    <rPh sb="2" eb="4">
      <t>ガイケイ</t>
    </rPh>
    <phoneticPr fontId="2"/>
  </si>
  <si>
    <t>短軸外径</t>
    <rPh sb="0" eb="2">
      <t>タンジク</t>
    </rPh>
    <rPh sb="2" eb="4">
      <t>ガイケイ</t>
    </rPh>
    <phoneticPr fontId="2"/>
  </si>
  <si>
    <t>長軸内径</t>
    <rPh sb="0" eb="2">
      <t>チョウジク</t>
    </rPh>
    <rPh sb="2" eb="4">
      <t>ナイケイ</t>
    </rPh>
    <phoneticPr fontId="2"/>
  </si>
  <si>
    <t>短軸内径</t>
    <rPh sb="0" eb="2">
      <t>タンジク</t>
    </rPh>
    <rPh sb="2" eb="4">
      <t>ナイケイ</t>
    </rPh>
    <phoneticPr fontId="2"/>
  </si>
  <si>
    <t>傾き</t>
    <rPh sb="0" eb="1">
      <t>カタム</t>
    </rPh>
    <phoneticPr fontId="2"/>
  </si>
  <si>
    <t>切片</t>
    <rPh sb="0" eb="2">
      <t>セッペン</t>
    </rPh>
    <phoneticPr fontId="2"/>
  </si>
  <si>
    <t>E</t>
    <phoneticPr fontId="2"/>
  </si>
  <si>
    <t>2*bo</t>
    <phoneticPr fontId="2"/>
  </si>
  <si>
    <t>2*ao</t>
    <phoneticPr fontId="2"/>
  </si>
  <si>
    <t>2*bi</t>
    <phoneticPr fontId="2"/>
  </si>
  <si>
    <t>2*ai</t>
    <phoneticPr fontId="2"/>
  </si>
  <si>
    <t>ai</t>
    <phoneticPr fontId="2"/>
  </si>
  <si>
    <t>bo</t>
    <phoneticPr fontId="2"/>
  </si>
  <si>
    <t>ao</t>
    <phoneticPr fontId="2"/>
  </si>
  <si>
    <t>bi</t>
    <phoneticPr fontId="2"/>
  </si>
  <si>
    <t>ply</t>
    <phoneticPr fontId="2"/>
  </si>
  <si>
    <t>長軸mm/スパー位置m</t>
    <rPh sb="0" eb="2">
      <t>チョウジク</t>
    </rPh>
    <rPh sb="8" eb="10">
      <t>イチ</t>
    </rPh>
    <phoneticPr fontId="2"/>
  </si>
  <si>
    <t>N/mm</t>
    <phoneticPr fontId="2"/>
  </si>
  <si>
    <t>mm</t>
    <phoneticPr fontId="2"/>
  </si>
  <si>
    <t>0番flat</t>
    <rPh sb="1" eb="2">
      <t>バン</t>
    </rPh>
    <phoneticPr fontId="2"/>
  </si>
  <si>
    <t>0番テーパー開始</t>
    <rPh sb="1" eb="2">
      <t>バン</t>
    </rPh>
    <rPh sb="6" eb="8">
      <t>カイシ</t>
    </rPh>
    <phoneticPr fontId="2"/>
  </si>
  <si>
    <t>0-1接合</t>
    <phoneticPr fontId="2"/>
  </si>
  <si>
    <t>0番切後細端</t>
    <rPh sb="1" eb="2">
      <t>バン</t>
    </rPh>
    <rPh sb="2" eb="3">
      <t>キリ</t>
    </rPh>
    <rPh sb="3" eb="4">
      <t>アト</t>
    </rPh>
    <rPh sb="4" eb="5">
      <t>ホソ</t>
    </rPh>
    <rPh sb="5" eb="6">
      <t>ハシ</t>
    </rPh>
    <phoneticPr fontId="2"/>
  </si>
  <si>
    <t>1-2接合</t>
  </si>
  <si>
    <t>↑実際は3.8で切り落とし</t>
    <rPh sb="1" eb="3">
      <t>ジッサイ</t>
    </rPh>
    <rPh sb="8" eb="9">
      <t>キ</t>
    </rPh>
    <rPh sb="10" eb="11">
      <t>オ</t>
    </rPh>
    <phoneticPr fontId="2"/>
  </si>
  <si>
    <t>1番切後細端</t>
  </si>
  <si>
    <t>接合部</t>
    <rPh sb="0" eb="2">
      <t>セツゴウ</t>
    </rPh>
    <rPh sb="2" eb="3">
      <t>ブ</t>
    </rPh>
    <phoneticPr fontId="2"/>
  </si>
  <si>
    <t>2-3接合</t>
  </si>
  <si>
    <t>挿ししろ</t>
    <rPh sb="0" eb="1">
      <t>サ</t>
    </rPh>
    <phoneticPr fontId="2"/>
  </si>
  <si>
    <t>厚さマージン</t>
    <rPh sb="0" eb="1">
      <t>アツ</t>
    </rPh>
    <phoneticPr fontId="2"/>
  </si>
  <si>
    <t>2番切後細端</t>
  </si>
  <si>
    <t>推算値</t>
    <rPh sb="0" eb="2">
      <t>スイサン</t>
    </rPh>
    <rPh sb="2" eb="3">
      <t>チ</t>
    </rPh>
    <phoneticPr fontId="2"/>
  </si>
  <si>
    <t>0-1接合</t>
    <rPh sb="3" eb="5">
      <t>セツゴウ</t>
    </rPh>
    <phoneticPr fontId="2"/>
  </si>
  <si>
    <t>実測値</t>
    <rPh sb="0" eb="3">
      <t>ジッソクチ</t>
    </rPh>
    <phoneticPr fontId="2"/>
  </si>
  <si>
    <t>1-2接合</t>
    <rPh sb="3" eb="5">
      <t>セツゴウ</t>
    </rPh>
    <phoneticPr fontId="2"/>
  </si>
  <si>
    <t>2-3接合</t>
    <rPh sb="3" eb="5">
      <t>セツゴウ</t>
    </rPh>
    <phoneticPr fontId="2"/>
  </si>
  <si>
    <t>短軸/長軸比</t>
    <rPh sb="0" eb="2">
      <t>タンジク</t>
    </rPh>
    <rPh sb="3" eb="5">
      <t>チョウジク</t>
    </rPh>
    <rPh sb="5" eb="6">
      <t>ヒ</t>
    </rPh>
    <phoneticPr fontId="2"/>
  </si>
  <si>
    <t>周方向分割数</t>
    <rPh sb="0" eb="1">
      <t>シュウ</t>
    </rPh>
    <rPh sb="1" eb="3">
      <t>ホウコウ</t>
    </rPh>
    <rPh sb="3" eb="6">
      <t>ブンカツスウ</t>
    </rPh>
    <phoneticPr fontId="2"/>
  </si>
  <si>
    <t>num</t>
    <phoneticPr fontId="2"/>
  </si>
  <si>
    <t>リブ間隔</t>
    <rPh sb="2" eb="4">
      <t>カンカク</t>
    </rPh>
    <phoneticPr fontId="2"/>
  </si>
  <si>
    <t>Δy</t>
    <phoneticPr fontId="2"/>
  </si>
  <si>
    <t>桁位置</t>
    <rPh sb="0" eb="1">
      <t>ケタ</t>
    </rPh>
    <rPh sb="1" eb="3">
      <t>イチ</t>
    </rPh>
    <phoneticPr fontId="2"/>
  </si>
  <si>
    <t>翼根コード長</t>
    <rPh sb="0" eb="1">
      <t>ヨク</t>
    </rPh>
    <rPh sb="1" eb="2">
      <t>コン</t>
    </rPh>
    <rPh sb="5" eb="6">
      <t>チョウ</t>
    </rPh>
    <phoneticPr fontId="2"/>
  </si>
  <si>
    <t>c0</t>
    <phoneticPr fontId="2"/>
  </si>
  <si>
    <t>分割数</t>
    <rPh sb="0" eb="2">
      <t>ブンカツ</t>
    </rPh>
    <rPh sb="2" eb="3">
      <t>スウ</t>
    </rPh>
    <phoneticPr fontId="2"/>
  </si>
  <si>
    <t>片翼分のリブ枚数．</t>
    <rPh sb="0" eb="2">
      <t>カタヨク</t>
    </rPh>
    <rPh sb="2" eb="3">
      <t>ブン</t>
    </rPh>
    <rPh sb="6" eb="8">
      <t>マイスウ</t>
    </rPh>
    <phoneticPr fontId="2"/>
  </si>
  <si>
    <t>翼型1翼厚</t>
    <rPh sb="0" eb="1">
      <t>ヨク</t>
    </rPh>
    <rPh sb="1" eb="2">
      <t>ガタ</t>
    </rPh>
    <rPh sb="3" eb="5">
      <t>ヨクアツ</t>
    </rPh>
    <phoneticPr fontId="2"/>
  </si>
  <si>
    <t>最大翼厚位置31.31での値</t>
    <rPh sb="0" eb="2">
      <t>サイダイ</t>
    </rPh>
    <rPh sb="2" eb="4">
      <t>ヨクアツ</t>
    </rPh>
    <rPh sb="4" eb="6">
      <t>イチ</t>
    </rPh>
    <rPh sb="13" eb="14">
      <t>アタイ</t>
    </rPh>
    <phoneticPr fontId="2"/>
  </si>
  <si>
    <t>翼型2翼厚</t>
    <rPh sb="0" eb="1">
      <t>ヨク</t>
    </rPh>
    <rPh sb="1" eb="2">
      <t>ガタ</t>
    </rPh>
    <rPh sb="3" eb="5">
      <t>ヨクアツ</t>
    </rPh>
    <phoneticPr fontId="2"/>
  </si>
  <si>
    <t>IF(E134&lt;$M$12,"",IF(E134&lt;$M$13,$AJ$12*E134+$AK$12,IF(E134&lt;=$M$14,$AJ$13*E134+$AK$13,"")))</t>
    <phoneticPr fontId="2"/>
  </si>
  <si>
    <t>翼厚チェック</t>
    <rPh sb="0" eb="2">
      <t>ヨクアツ</t>
    </rPh>
    <phoneticPr fontId="2"/>
  </si>
  <si>
    <t>強度計算</t>
    <rPh sb="0" eb="2">
      <t>キョウド</t>
    </rPh>
    <rPh sb="2" eb="4">
      <t>ケイサン</t>
    </rPh>
    <phoneticPr fontId="2"/>
  </si>
  <si>
    <t>断面積</t>
    <rPh sb="0" eb="3">
      <t>ダンメンセキ</t>
    </rPh>
    <phoneticPr fontId="2"/>
  </si>
  <si>
    <t>スパー</t>
    <phoneticPr fontId="2"/>
  </si>
  <si>
    <t>外径長半軸</t>
    <rPh sb="0" eb="2">
      <t>ガイケイ</t>
    </rPh>
    <rPh sb="2" eb="3">
      <t>チョウ</t>
    </rPh>
    <rPh sb="3" eb="4">
      <t>ハン</t>
    </rPh>
    <rPh sb="4" eb="5">
      <t>ジク</t>
    </rPh>
    <phoneticPr fontId="2"/>
  </si>
  <si>
    <t>外径短半軸</t>
    <rPh sb="0" eb="2">
      <t>ガイケイ</t>
    </rPh>
    <rPh sb="2" eb="3">
      <t>タン</t>
    </rPh>
    <rPh sb="3" eb="4">
      <t>ハン</t>
    </rPh>
    <rPh sb="4" eb="5">
      <t>ジク</t>
    </rPh>
    <phoneticPr fontId="2"/>
  </si>
  <si>
    <t>内径長半軸</t>
    <rPh sb="0" eb="2">
      <t>ナイケイ</t>
    </rPh>
    <rPh sb="2" eb="3">
      <t>チョウ</t>
    </rPh>
    <rPh sb="3" eb="4">
      <t>ハン</t>
    </rPh>
    <rPh sb="4" eb="5">
      <t>ジク</t>
    </rPh>
    <phoneticPr fontId="2"/>
  </si>
  <si>
    <t>内径短半軸</t>
    <rPh sb="0" eb="2">
      <t>ナイケイ</t>
    </rPh>
    <rPh sb="2" eb="3">
      <t>タン</t>
    </rPh>
    <rPh sb="3" eb="4">
      <t>ハン</t>
    </rPh>
    <rPh sb="4" eb="5">
      <t>ジク</t>
    </rPh>
    <phoneticPr fontId="2"/>
  </si>
  <si>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</si>
  <si>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</si>
  <si>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</si>
  <si>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</si>
  <si>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曲げ剛性</t>
    <rPh sb="0" eb="1">
      <t>マ</t>
    </rPh>
    <rPh sb="2" eb="4">
      <t>ゴウセイ</t>
    </rPh>
    <phoneticPr fontId="2"/>
  </si>
  <si>
    <t>ねじれ剛性</t>
    <rPh sb="3" eb="5">
      <t>ゴウセイ</t>
    </rPh>
    <phoneticPr fontId="2"/>
  </si>
  <si>
    <t>翼厚-長軸径</t>
    <rPh sb="0" eb="2">
      <t>ヨクアツ</t>
    </rPh>
    <rPh sb="3" eb="4">
      <t>チョウ</t>
    </rPh>
    <rPh sb="4" eb="6">
      <t>ジクケイ</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</si>
  <si>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</si>
  <si>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</si>
  <si>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</si>
  <si>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比率</t>
    <rPh sb="0" eb="2">
      <t>ヒリツ</t>
    </rPh>
    <phoneticPr fontId="2"/>
  </si>
  <si>
    <t>Ix</t>
    <phoneticPr fontId="2"/>
  </si>
  <si>
    <t>Iy</t>
    <phoneticPr fontId="2"/>
  </si>
  <si>
    <t>J</t>
    <phoneticPr fontId="2"/>
  </si>
  <si>
    <t>A</t>
    <phoneticPr fontId="2"/>
  </si>
  <si>
    <t>Am</t>
    <phoneticPr fontId="2"/>
  </si>
  <si>
    <t>Eix</t>
    <phoneticPr fontId="2"/>
  </si>
  <si>
    <t>GJ</t>
    <phoneticPr fontId="2"/>
  </si>
  <si>
    <t>Nf</t>
    <phoneticPr fontId="2"/>
  </si>
  <si>
    <t>σmax</t>
    <phoneticPr fontId="2"/>
  </si>
  <si>
    <t>Nf/Nmax</t>
    <phoneticPr fontId="2"/>
  </si>
  <si>
    <t>mm^4</t>
    <phoneticPr fontId="2"/>
  </si>
  <si>
    <t>mm^2</t>
    <phoneticPr fontId="2"/>
  </si>
  <si>
    <t xml:space="preserve">mm^2 </t>
    <phoneticPr fontId="2"/>
  </si>
  <si>
    <t>N*m^2</t>
    <phoneticPr fontId="2"/>
  </si>
  <si>
    <t>N*mm</t>
    <phoneticPr fontId="2"/>
  </si>
  <si>
    <t>N/mm^2</t>
    <phoneticPr fontId="2"/>
  </si>
  <si>
    <t>mm^3</t>
  </si>
  <si>
    <t>mm^3</t>
    <phoneticPr fontId="2"/>
  </si>
  <si>
    <t>横桁</t>
    <rPh sb="0" eb="2">
      <t>ヨコケタ</t>
    </rPh>
    <phoneticPr fontId="2"/>
  </si>
  <si>
    <t>上桁</t>
    <rPh sb="0" eb="2">
      <t>ウエケタ</t>
    </rPh>
    <phoneticPr fontId="2"/>
  </si>
  <si>
    <t>胴接</t>
    <rPh sb="0" eb="2">
      <t>ドウセツ</t>
    </rPh>
    <phoneticPr fontId="2"/>
  </si>
  <si>
    <t>パイプ長軸内径</t>
    <rPh sb="3" eb="5">
      <t>チョウジク</t>
    </rPh>
    <rPh sb="5" eb="7">
      <t>ナイケイ</t>
    </rPh>
    <phoneticPr fontId="2"/>
  </si>
  <si>
    <t>T字長軸内径</t>
    <rPh sb="1" eb="2">
      <t>ジ</t>
    </rPh>
    <rPh sb="2" eb="4">
      <t>チョウジク</t>
    </rPh>
    <rPh sb="4" eb="6">
      <t>ナイケイ</t>
    </rPh>
    <phoneticPr fontId="2"/>
  </si>
  <si>
    <t>胴接長軸内径</t>
    <rPh sb="0" eb="2">
      <t>ドウセツ</t>
    </rPh>
    <rPh sb="2" eb="4">
      <t>チョウジク</t>
    </rPh>
    <rPh sb="4" eb="6">
      <t>ナイケイ</t>
    </rPh>
    <phoneticPr fontId="2"/>
  </si>
  <si>
    <t>胴体長軸内径</t>
    <rPh sb="0" eb="2">
      <t>ドウタイ</t>
    </rPh>
    <rPh sb="2" eb="4">
      <t>チョウジク</t>
    </rPh>
    <rPh sb="4" eb="6">
      <t>ナイケイ</t>
    </rPh>
    <phoneticPr fontId="2"/>
  </si>
  <si>
    <t>オビ</t>
  </si>
  <si>
    <t>n</t>
  </si>
  <si>
    <t>λ</t>
  </si>
  <si>
    <t>E</t>
  </si>
  <si>
    <t>2*bo</t>
  </si>
  <si>
    <t>2*ao</t>
  </si>
  <si>
    <t>2*bi</t>
  </si>
  <si>
    <t>2*ai</t>
  </si>
  <si>
    <t>ai</t>
  </si>
  <si>
    <t>bo</t>
  </si>
  <si>
    <t>ao</t>
  </si>
  <si>
    <t>bi</t>
  </si>
  <si>
    <t>ply</t>
  </si>
  <si>
    <t>mm</t>
  </si>
  <si>
    <t>パイプ</t>
    <phoneticPr fontId="2"/>
  </si>
  <si>
    <t>T字</t>
    <rPh sb="1" eb="2">
      <t>ジ</t>
    </rPh>
    <phoneticPr fontId="2"/>
  </si>
  <si>
    <t>胴体太端</t>
    <rPh sb="0" eb="2">
      <t>ドウタイ</t>
    </rPh>
    <rPh sb="2" eb="3">
      <t>フト</t>
    </rPh>
    <rPh sb="3" eb="4">
      <t>ハシ</t>
    </rPh>
    <phoneticPr fontId="2"/>
  </si>
  <si>
    <t>胴接細端</t>
    <rPh sb="0" eb="2">
      <t>ドウセツ</t>
    </rPh>
    <rPh sb="2" eb="3">
      <t>ホソ</t>
    </rPh>
    <rPh sb="3" eb="4">
      <t>ハシ</t>
    </rPh>
    <phoneticPr fontId="2"/>
  </si>
  <si>
    <t>胴体細端</t>
    <rPh sb="0" eb="2">
      <t>ドウタイ</t>
    </rPh>
    <rPh sb="2" eb="3">
      <t>ホソ</t>
    </rPh>
    <rPh sb="3" eb="4">
      <t>ハシ</t>
    </rPh>
    <phoneticPr fontId="2"/>
  </si>
  <si>
    <t>x0</t>
    <phoneticPr fontId="2"/>
  </si>
  <si>
    <t>y0</t>
    <phoneticPr fontId="2"/>
  </si>
  <si>
    <t>胴接・胴体スパーの重心位置・慣性モーメント</t>
    <rPh sb="0" eb="2">
      <t>ドウセツ</t>
    </rPh>
    <rPh sb="3" eb="5">
      <t>ドウタイ</t>
    </rPh>
    <rPh sb="9" eb="11">
      <t>ジュウシン</t>
    </rPh>
    <rPh sb="11" eb="13">
      <t>イチ</t>
    </rPh>
    <rPh sb="14" eb="16">
      <t>カンセイ</t>
    </rPh>
    <phoneticPr fontId="2"/>
  </si>
  <si>
    <t>0胴</t>
    <rPh sb="1" eb="2">
      <t>ドウ</t>
    </rPh>
    <phoneticPr fontId="2"/>
  </si>
  <si>
    <t>　</t>
  </si>
  <si>
    <t>横桁短軸/長軸比</t>
    <rPh sb="0" eb="2">
      <t>ヨコケタ</t>
    </rPh>
    <phoneticPr fontId="2"/>
  </si>
  <si>
    <t>分割数</t>
  </si>
  <si>
    <t>スパン方向分割数</t>
    <rPh sb="3" eb="5">
      <t>ホウコウ</t>
    </rPh>
    <rPh sb="5" eb="8">
      <t>ブンカツスウ</t>
    </rPh>
    <phoneticPr fontId="2"/>
  </si>
  <si>
    <t>重なりしろ係数</t>
    <rPh sb="0" eb="1">
      <t>カサ</t>
    </rPh>
    <rPh sb="5" eb="7">
      <t>ケイスウ</t>
    </rPh>
    <phoneticPr fontId="2"/>
  </si>
  <si>
    <t>接合点数</t>
    <rPh sb="0" eb="2">
      <t>セツゴウ</t>
    </rPh>
    <rPh sb="2" eb="4">
      <t>テンスウ</t>
    </rPh>
    <phoneticPr fontId="2"/>
  </si>
  <si>
    <t>node</t>
    <phoneticPr fontId="2"/>
  </si>
  <si>
    <t>強化積層</t>
    <rPh sb="0" eb="2">
      <t>キョウカ</t>
    </rPh>
    <rPh sb="2" eb="4">
      <t>セキソウ</t>
    </rPh>
    <phoneticPr fontId="2"/>
  </si>
  <si>
    <t>kg/node</t>
    <phoneticPr fontId="2"/>
  </si>
  <si>
    <t>胴体接合</t>
    <rPh sb="0" eb="2">
      <t>ドウタイ</t>
    </rPh>
    <rPh sb="2" eb="4">
      <t>セツゴウ</t>
    </rPh>
    <phoneticPr fontId="2"/>
  </si>
  <si>
    <t>要素間隔</t>
    <rPh sb="0" eb="2">
      <t>ヨウソ</t>
    </rPh>
    <rPh sb="2" eb="4">
      <t>カンカク</t>
    </rPh>
    <phoneticPr fontId="2"/>
  </si>
  <si>
    <t>Δy</t>
  </si>
  <si>
    <t xml:space="preserve"> </t>
  </si>
  <si>
    <t>慣性乗積</t>
    <rPh sb="0" eb="4">
      <t>カンセイジョウセキ</t>
    </rPh>
    <phoneticPr fontId="2"/>
  </si>
  <si>
    <t>グラフ描画用</t>
    <rPh sb="3" eb="6">
      <t>ビョウガヨウ</t>
    </rPh>
    <phoneticPr fontId="2"/>
  </si>
  <si>
    <t>要素番号</t>
    <rPh sb="0" eb="2">
      <t>ヨウソ</t>
    </rPh>
    <rPh sb="2" eb="4">
      <t>バンゴウ</t>
    </rPh>
    <phoneticPr fontId="2"/>
  </si>
  <si>
    <t>スパー</t>
  </si>
  <si>
    <t>主翼重心からの距離の2乗</t>
    <rPh sb="0" eb="2">
      <t>シュヨク</t>
    </rPh>
    <rPh sb="2" eb="4">
      <t>ジュウシン</t>
    </rPh>
    <rPh sb="7" eb="9">
      <t>キョリ</t>
    </rPh>
    <rPh sb="11" eb="12">
      <t>ジョウ</t>
    </rPh>
    <phoneticPr fontId="2"/>
  </si>
  <si>
    <t>距離×距離</t>
    <rPh sb="0" eb="2">
      <t>キョリ</t>
    </rPh>
    <rPh sb="3" eb="5">
      <t>キョリ</t>
    </rPh>
    <phoneticPr fontId="2"/>
  </si>
  <si>
    <t>Ix</t>
  </si>
  <si>
    <t>Iy</t>
  </si>
  <si>
    <t>J</t>
  </si>
  <si>
    <t>A</t>
  </si>
  <si>
    <t>Am</t>
  </si>
  <si>
    <t>EIx</t>
  </si>
  <si>
    <t>GJ</t>
  </si>
  <si>
    <t>+</t>
  </si>
  <si>
    <t>y^2+z^2</t>
    <phoneticPr fontId="2"/>
  </si>
  <si>
    <t>z^2+x^2</t>
    <phoneticPr fontId="2"/>
  </si>
  <si>
    <t>x^2+y^2</t>
    <phoneticPr fontId="2"/>
  </si>
  <si>
    <t>xz</t>
    <phoneticPr fontId="2"/>
  </si>
  <si>
    <t>mm^4</t>
  </si>
  <si>
    <t>mm^2</t>
  </si>
  <si>
    <t xml:space="preserve">mm^2 </t>
  </si>
  <si>
    <t>N*m^2</t>
  </si>
  <si>
    <t>m^3</t>
  </si>
  <si>
    <t>m^4</t>
  </si>
  <si>
    <t>m^5</t>
  </si>
  <si>
    <t>積層数</t>
    <rPh sb="0" eb="3">
      <t>セキソウスウ</t>
    </rPh>
    <phoneticPr fontId="2"/>
  </si>
  <si>
    <t>相当弾性率</t>
    <rPh sb="0" eb="2">
      <t>ソウトウ</t>
    </rPh>
    <rPh sb="2" eb="5">
      <t>ダンセイリツ</t>
    </rPh>
    <phoneticPr fontId="2"/>
  </si>
  <si>
    <t>Ex</t>
    <phoneticPr fontId="2"/>
  </si>
  <si>
    <t>Gxy</t>
    <phoneticPr fontId="2"/>
  </si>
  <si>
    <t>νxy</t>
    <phoneticPr fontId="2"/>
  </si>
  <si>
    <t>積層構成</t>
    <rPh sb="0" eb="4">
      <t>セキソウコウセイ</t>
    </rPh>
    <phoneticPr fontId="2"/>
  </si>
  <si>
    <t>横</t>
    <rPh sb="0" eb="1">
      <t>ヨコ</t>
    </rPh>
    <phoneticPr fontId="2"/>
  </si>
  <si>
    <t>垂直</t>
    <rPh sb="0" eb="2">
      <t>スイチョク</t>
    </rPh>
    <phoneticPr fontId="2"/>
  </si>
  <si>
    <t>端リブ</t>
    <rPh sb="0" eb="1">
      <t>ハシ</t>
    </rPh>
    <phoneticPr fontId="2"/>
  </si>
  <si>
    <t>90,45オビ,-45オビ,90</t>
    <phoneticPr fontId="2"/>
  </si>
  <si>
    <t>QX0023</t>
    <phoneticPr fontId="2"/>
  </si>
  <si>
    <t>QX0123</t>
    <phoneticPr fontId="2"/>
  </si>
  <si>
    <t>→比較基準値での値</t>
    <rPh sb="1" eb="3">
      <t>ヒカク</t>
    </rPh>
    <rPh sb="3" eb="5">
      <t>キジュン</t>
    </rPh>
    <rPh sb="5" eb="6">
      <t>アタイ</t>
    </rPh>
    <rPh sb="8" eb="9">
      <t>アタイ</t>
    </rPh>
    <phoneticPr fontId="2"/>
  </si>
  <si>
    <t>Cl/Cdmax</t>
    <phoneticPr fontId="2"/>
  </si>
  <si>
    <t>QX0124</t>
  </si>
  <si>
    <t>解析条件</t>
    <rPh sb="0" eb="2">
      <t>カイセキ</t>
    </rPh>
    <rPh sb="2" eb="4">
      <t>ジョウケン</t>
    </rPh>
    <phoneticPr fontId="2"/>
  </si>
  <si>
    <t>外形</t>
    <rPh sb="0" eb="2">
      <t>ガイケイ</t>
    </rPh>
    <phoneticPr fontId="2"/>
  </si>
  <si>
    <t>全機重心位置・慣性モーメント</t>
    <rPh sb="0" eb="2">
      <t>ゼンキ</t>
    </rPh>
    <rPh sb="2" eb="6">
      <t>ジュウシンイチ</t>
    </rPh>
    <rPh sb="7" eb="9">
      <t>カンセイ</t>
    </rPh>
    <phoneticPr fontId="2"/>
  </si>
  <si>
    <t>機体内訳</t>
    <rPh sb="0" eb="2">
      <t>キタイ</t>
    </rPh>
    <rPh sb="2" eb="4">
      <t>ウチワケ</t>
    </rPh>
    <phoneticPr fontId="2"/>
  </si>
  <si>
    <t>各部詳細</t>
    <rPh sb="0" eb="2">
      <t>カクブ</t>
    </rPh>
    <rPh sb="2" eb="4">
      <t>ショウサイ</t>
    </rPh>
    <phoneticPr fontId="2"/>
  </si>
  <si>
    <t>リブ番号</t>
  </si>
  <si>
    <t>リブ位置</t>
  </si>
  <si>
    <t>翼型1配合率</t>
  </si>
  <si>
    <t>翼型2配合率</t>
  </si>
  <si>
    <t>コード長</t>
  </si>
  <si>
    <t>cn</t>
  </si>
  <si>
    <t>at</t>
    <phoneticPr fontId="2"/>
  </si>
  <si>
    <r>
      <t xml:space="preserve">強豪他チームに追いつき、追い越す
</t>
    </r>
    <r>
      <rPr>
        <sz val="12"/>
        <color theme="1"/>
        <rFont val="游ゴシック"/>
        <family val="3"/>
        <charset val="128"/>
        <scheme val="minor"/>
      </rPr>
      <t>・高剛性高速棒飛び機
・外注桁と自作桁による無駄のない構造
・胴体を短くしテールヘビー解消
・高揚力翼型と複数トリム舵角による柔軟なフライトプラン</t>
    </r>
    <r>
      <rPr>
        <b/>
        <u/>
        <sz val="12"/>
        <color theme="1"/>
        <rFont val="游ゴシック"/>
        <family val="3"/>
        <charset val="128"/>
        <scheme val="minor"/>
      </rPr>
      <t xml:space="preserve">
</t>
    </r>
    <r>
      <rPr>
        <sz val="12"/>
        <color theme="1"/>
        <rFont val="游ゴシック"/>
        <family val="3"/>
        <charset val="128"/>
        <scheme val="minor"/>
      </rPr>
      <t>・上反角と舵面積をしっかりとって旋回性向上</t>
    </r>
    <rPh sb="0" eb="2">
      <t>キョウゴウ</t>
    </rPh>
    <rPh sb="2" eb="3">
      <t>ホカ</t>
    </rPh>
    <rPh sb="7" eb="8">
      <t>オ</t>
    </rPh>
    <rPh sb="12" eb="13">
      <t>オ</t>
    </rPh>
    <rPh sb="14" eb="15">
      <t>コ</t>
    </rPh>
    <rPh sb="18" eb="21">
      <t>コウゴウセイ</t>
    </rPh>
    <rPh sb="21" eb="23">
      <t>コウソク</t>
    </rPh>
    <rPh sb="23" eb="25">
      <t>ボウト</t>
    </rPh>
    <rPh sb="26" eb="27">
      <t>キ</t>
    </rPh>
    <rPh sb="29" eb="32">
      <t>ガイチュウケタ</t>
    </rPh>
    <rPh sb="33" eb="36">
      <t>ジサクケタ</t>
    </rPh>
    <rPh sb="39" eb="41">
      <t>ムダ</t>
    </rPh>
    <rPh sb="44" eb="46">
      <t>コウゾウ</t>
    </rPh>
    <rPh sb="48" eb="50">
      <t>ドウタイ</t>
    </rPh>
    <rPh sb="51" eb="52">
      <t>ミジカ</t>
    </rPh>
    <rPh sb="60" eb="62">
      <t>カイショウ</t>
    </rPh>
    <rPh sb="64" eb="65">
      <t>コウ</t>
    </rPh>
    <rPh sb="65" eb="67">
      <t>ヨウリョク</t>
    </rPh>
    <rPh sb="67" eb="69">
      <t>ヨクガタ</t>
    </rPh>
    <rPh sb="70" eb="72">
      <t>フクスウ</t>
    </rPh>
    <rPh sb="75" eb="77">
      <t>ダカク</t>
    </rPh>
    <rPh sb="80" eb="82">
      <t>ジュウナン</t>
    </rPh>
    <rPh sb="92" eb="95">
      <t>ジョウハンカク</t>
    </rPh>
    <rPh sb="96" eb="99">
      <t>ダメンセキ</t>
    </rPh>
    <rPh sb="107" eb="109">
      <t>センカイ</t>
    </rPh>
    <rPh sb="109" eb="110">
      <t>セイ</t>
    </rPh>
    <rPh sb="110" eb="112">
      <t>コウジョウ</t>
    </rPh>
    <phoneticPr fontId="2"/>
  </si>
  <si>
    <t>←Fusion360等で推算</t>
    <rPh sb="10" eb="11">
      <t>トウ</t>
    </rPh>
    <rPh sb="12" eb="14">
      <t>スイサn</t>
    </rPh>
    <phoneticPr fontId="2"/>
  </si>
  <si>
    <t>質量分布</t>
    <rPh sb="0" eb="2">
      <t>シツリョウ</t>
    </rPh>
    <rPh sb="2" eb="4">
      <t>ジュウリョウ</t>
    </rPh>
    <phoneticPr fontId="2"/>
  </si>
  <si>
    <t>安定板</t>
    <rPh sb="0" eb="3">
      <t>アンテイ</t>
    </rPh>
    <phoneticPr fontId="2"/>
  </si>
  <si>
    <t>尾翼諸元</t>
    <rPh sb="0" eb="4">
      <t>ビヨクス</t>
    </rPh>
    <phoneticPr fontId="2"/>
  </si>
  <si>
    <t>尾翼位置</t>
    <rPh sb="0" eb="4">
      <t>ビヨク</t>
    </rPh>
    <phoneticPr fontId="2"/>
  </si>
  <si>
    <t>ポーラーカーブ</t>
    <phoneticPr fontId="2"/>
  </si>
  <si>
    <t>極配置</t>
    <rPh sb="0" eb="3">
      <t>キョクハイチ</t>
    </rPh>
    <phoneticPr fontId="2"/>
  </si>
  <si>
    <t>フライトプラン</t>
    <phoneticPr fontId="2"/>
  </si>
  <si>
    <t>飛行経路最適化</t>
    <rPh sb="0" eb="4">
      <t>ヒコウケイロ</t>
    </rPh>
    <rPh sb="4" eb="7">
      <t>サイテキカ</t>
    </rPh>
    <phoneticPr fontId="2"/>
  </si>
  <si>
    <t>プリプレグカット出力</t>
    <rPh sb="8" eb="10">
      <t>シュツリョク</t>
    </rPh>
    <phoneticPr fontId="2"/>
  </si>
  <si>
    <t>3面図</t>
    <rPh sb="1" eb="3">
      <t>メンズ</t>
    </rPh>
    <phoneticPr fontId="2"/>
  </si>
  <si>
    <t>全機</t>
    <rPh sb="0" eb="2">
      <t>ゼンキ</t>
    </rPh>
    <phoneticPr fontId="2"/>
  </si>
  <si>
    <t>機速</t>
    <rPh sb="0" eb="1">
      <t>キ</t>
    </rPh>
    <rPh sb="1" eb="2">
      <t>ソク</t>
    </rPh>
    <phoneticPr fontId="2"/>
  </si>
  <si>
    <t>全機重量</t>
    <rPh sb="0" eb="2">
      <t>ゼンキ</t>
    </rPh>
    <rPh sb="2" eb="4">
      <t>ジュウリョウ</t>
    </rPh>
    <phoneticPr fontId="2"/>
  </si>
  <si>
    <t>揚力係数</t>
    <rPh sb="0" eb="4">
      <t>ヨウリョクケイスウ</t>
    </rPh>
    <phoneticPr fontId="2"/>
  </si>
  <si>
    <t>CFRP</t>
    <phoneticPr fontId="2"/>
  </si>
  <si>
    <t>剛性</t>
    <rPh sb="0" eb="2">
      <t>ゴウセイ</t>
    </rPh>
    <phoneticPr fontId="2"/>
  </si>
  <si>
    <t>たわみ量</t>
    <rPh sb="3" eb="4">
      <t>リョウ</t>
    </rPh>
    <phoneticPr fontId="2"/>
  </si>
  <si>
    <t>←未知量を空白にする</t>
    <phoneticPr fontId="2"/>
  </si>
  <si>
    <t>出力</t>
    <rPh sb="0" eb="2">
      <t>シュツリョク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</si>
</sst>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0_ ;[Red]\-0.000\ "/>
    <numFmt numFmtId="177" formatCode="0.0.E+00"/>
    <numFmt numFmtId="178" formatCode="0_ ;[Red]\-0\ "/>
    <numFmt numFmtId="179" formatCode="0.000_ "/>
    <numFmt numFmtId="180" formatCode="0.00000_ ;[Red]\-0.00000\ "/>
  </numFmts>
  <fonts count="23">
    <font>
      <sz val="12"/>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color theme="10"/>
      <name val="游ゴシック"/>
      <family val="2"/>
      <charset val="128"/>
      <scheme val="minor"/>
    </font>
    <font>
      <sz val="11"/>
      <name val="游ゴシック"/>
      <family val="2"/>
      <charset val="128"/>
      <scheme val="minor"/>
    </font>
    <font>
      <sz val="11"/>
      <name val="游ゴシック"/>
      <family val="3"/>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s>
  <fills count="7">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0" tint="-4.9989318521683403E-2"/>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right/>
      <top/>
      <bottom style="thin">
        <color indexed="64"/>
      </bottom>
      <diagonal/>
    </border>
    <border>
      <left style="thin">
        <color indexed="64"/>
      </left>
      <right style="thin">
        <color indexed="64"/>
      </right>
      <top style="double">
        <color indexed="64"/>
      </top>
      <bottom/>
      <diagonal/>
    </border>
    <border>
      <left/>
      <right/>
      <top style="thin">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208">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3" borderId="17"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5"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1" xfId="0" applyNumberFormat="1" applyBorder="1">
      <alignment vertical="center"/>
    </xf>
    <xf numFmtId="176" fontId="0" fillId="0" borderId="15" xfId="0" applyNumberFormat="1" applyBorder="1">
      <alignment vertical="center"/>
    </xf>
    <xf numFmtId="176" fontId="0" fillId="0" borderId="14" xfId="0" applyNumberFormat="1" applyBorder="1">
      <alignment vertical="center"/>
    </xf>
    <xf numFmtId="176" fontId="0" fillId="0" borderId="19" xfId="0" applyNumberFormat="1" applyBorder="1">
      <alignment vertical="center"/>
    </xf>
    <xf numFmtId="176" fontId="0" fillId="3" borderId="4" xfId="0" applyNumberFormat="1" applyFill="1" applyBorder="1" applyAlignment="1">
      <alignment horizontal="center" vertical="center"/>
    </xf>
    <xf numFmtId="176" fontId="0" fillId="3" borderId="13" xfId="0" applyNumberFormat="1" applyFill="1" applyBorder="1" applyAlignment="1">
      <alignment horizontal="center"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176" fontId="7" fillId="0" borderId="4" xfId="1" applyNumberFormat="1" applyFont="1" applyBorder="1" applyAlignment="1">
      <alignment horizontal="left" vertical="center"/>
    </xf>
    <xf numFmtId="176" fontId="8" fillId="0" borderId="16" xfId="1" applyNumberFormat="1" applyFont="1" applyBorder="1" applyAlignment="1">
      <alignment horizontal="left" vertical="center"/>
    </xf>
    <xf numFmtId="176" fontId="8" fillId="0" borderId="13" xfId="1" applyNumberFormat="1" applyFont="1" applyBorder="1" applyAlignment="1">
      <alignment horizontal="left" vertical="center"/>
    </xf>
    <xf numFmtId="176" fontId="8" fillId="0" borderId="4" xfId="1" applyNumberFormat="1" applyFont="1" applyBorder="1" applyAlignment="1">
      <alignment horizontal="left" vertical="center"/>
    </xf>
    <xf numFmtId="176" fontId="0" fillId="0" borderId="22" xfId="0" applyNumberFormat="1" applyBorder="1">
      <alignment vertical="center"/>
    </xf>
    <xf numFmtId="176" fontId="0" fillId="2" borderId="2" xfId="0" applyNumberFormat="1" applyFill="1" applyBorder="1">
      <alignment vertical="center"/>
    </xf>
    <xf numFmtId="176" fontId="0" fillId="0" borderId="20" xfId="0" applyNumberFormat="1" applyBorder="1">
      <alignment vertical="center"/>
    </xf>
    <xf numFmtId="176" fontId="0" fillId="0" borderId="0" xfId="0" applyNumberFormat="1" applyAlignment="1">
      <alignment vertical="center" wrapText="1"/>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4" xfId="0" applyNumberFormat="1" applyFill="1" applyBorder="1">
      <alignment vertical="center"/>
    </xf>
    <xf numFmtId="176" fontId="0" fillId="3" borderId="26" xfId="0" applyNumberFormat="1" applyFill="1" applyBorder="1">
      <alignment vertical="center"/>
    </xf>
    <xf numFmtId="176" fontId="0" fillId="3" borderId="25" xfId="0" applyNumberFormat="1" applyFill="1" applyBorder="1">
      <alignment vertical="center"/>
    </xf>
    <xf numFmtId="176" fontId="0" fillId="3" borderId="23" xfId="0" applyNumberFormat="1" applyFill="1" applyBorder="1">
      <alignment vertical="center"/>
    </xf>
    <xf numFmtId="176" fontId="4"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9" fontId="0" fillId="0" borderId="1" xfId="0" applyNumberFormat="1" applyBorder="1">
      <alignment vertical="center"/>
    </xf>
    <xf numFmtId="176" fontId="9" fillId="0" borderId="0" xfId="0" applyNumberFormat="1" applyFont="1">
      <alignment vertical="center"/>
    </xf>
    <xf numFmtId="178" fontId="9" fillId="0" borderId="0" xfId="0" applyNumberFormat="1" applyFont="1" applyAlignment="1">
      <alignment horizontal="left" vertical="center"/>
    </xf>
    <xf numFmtId="178" fontId="9" fillId="0" borderId="1" xfId="0" applyNumberFormat="1" applyFont="1" applyBorder="1" applyAlignment="1">
      <alignment horizontal="left" vertical="center"/>
    </xf>
    <xf numFmtId="176" fontId="9" fillId="0" borderId="1" xfId="0" applyNumberFormat="1" applyFont="1" applyBorder="1">
      <alignment vertical="center"/>
    </xf>
    <xf numFmtId="178" fontId="9" fillId="0" borderId="1" xfId="0" applyNumberFormat="1" applyFont="1" applyBorder="1">
      <alignment vertical="center"/>
    </xf>
    <xf numFmtId="176" fontId="9" fillId="0" borderId="2" xfId="0" applyNumberFormat="1" applyFont="1" applyBorder="1">
      <alignment vertical="center"/>
    </xf>
    <xf numFmtId="176" fontId="9" fillId="0" borderId="1" xfId="0" applyNumberFormat="1" applyFont="1" applyBorder="1" applyAlignment="1">
      <alignment horizontal="left" vertical="center"/>
    </xf>
    <xf numFmtId="176" fontId="9" fillId="0" borderId="19" xfId="0" applyNumberFormat="1" applyFont="1" applyBorder="1">
      <alignment vertical="center"/>
    </xf>
    <xf numFmtId="176" fontId="9" fillId="0" borderId="19" xfId="0" applyNumberFormat="1" applyFont="1" applyBorder="1" applyAlignment="1">
      <alignment horizontal="right" vertical="center"/>
    </xf>
    <xf numFmtId="176" fontId="9" fillId="0" borderId="1" xfId="0" applyNumberFormat="1" applyFont="1" applyBorder="1" applyAlignment="1">
      <alignment horizontal="right" vertical="center"/>
    </xf>
    <xf numFmtId="176" fontId="9" fillId="0" borderId="2" xfId="0" applyNumberFormat="1" applyFont="1" applyBorder="1" applyAlignment="1">
      <alignment horizontal="right" vertical="center"/>
    </xf>
    <xf numFmtId="176" fontId="9" fillId="0" borderId="3" xfId="0" applyNumberFormat="1" applyFont="1" applyBorder="1">
      <alignment vertical="center"/>
    </xf>
    <xf numFmtId="178" fontId="0" fillId="0" borderId="28" xfId="0" applyNumberFormat="1" applyBorder="1">
      <alignment vertical="center"/>
    </xf>
    <xf numFmtId="176" fontId="0" fillId="0" borderId="30" xfId="0" applyNumberFormat="1" applyBorder="1">
      <alignment vertical="center"/>
    </xf>
    <xf numFmtId="176" fontId="0" fillId="0" borderId="31" xfId="0" applyNumberFormat="1" applyBorder="1">
      <alignment vertical="center"/>
    </xf>
    <xf numFmtId="176" fontId="0" fillId="0" borderId="1" xfId="0" applyNumberFormat="1" applyBorder="1" applyAlignment="1">
      <alignment horizontal="left" vertical="center"/>
    </xf>
    <xf numFmtId="180" fontId="0" fillId="0" borderId="1" xfId="0" applyNumberFormat="1" applyBorder="1">
      <alignment vertical="center"/>
    </xf>
    <xf numFmtId="176" fontId="0" fillId="2" borderId="3" xfId="0" applyNumberFormat="1" applyFill="1" applyBorder="1" applyAlignment="1">
      <alignment horizontal="lef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32" xfId="0" applyNumberFormat="1" applyBorder="1">
      <alignment vertical="center"/>
    </xf>
    <xf numFmtId="176" fontId="0" fillId="0" borderId="33" xfId="0" applyNumberFormat="1" applyBorder="1">
      <alignment vertical="center"/>
    </xf>
    <xf numFmtId="176" fontId="0" fillId="0" borderId="34" xfId="0" applyNumberFormat="1" applyBorder="1">
      <alignment vertical="center"/>
    </xf>
    <xf numFmtId="176" fontId="0" fillId="0" borderId="24" xfId="0" applyNumberFormat="1" applyBorder="1">
      <alignment vertical="center"/>
    </xf>
    <xf numFmtId="176" fontId="0" fillId="0" borderId="8" xfId="0" applyNumberFormat="1" applyBorder="1">
      <alignment vertical="center"/>
    </xf>
    <xf numFmtId="176" fontId="0" fillId="2" borderId="35" xfId="0" applyNumberFormat="1" applyFill="1" applyBorder="1">
      <alignment vertical="center"/>
    </xf>
    <xf numFmtId="176" fontId="0" fillId="0" borderId="36" xfId="0" applyNumberFormat="1" applyBorder="1">
      <alignment vertical="center"/>
    </xf>
    <xf numFmtId="176" fontId="0" fillId="2" borderId="24" xfId="0" applyNumberFormat="1" applyFill="1" applyBorder="1">
      <alignment vertical="center"/>
    </xf>
    <xf numFmtId="176" fontId="0" fillId="2" borderId="37" xfId="0" applyNumberFormat="1" applyFill="1" applyBorder="1">
      <alignment vertical="center"/>
    </xf>
    <xf numFmtId="176" fontId="3" fillId="0" borderId="0" xfId="0" applyNumberFormat="1" applyFont="1">
      <alignment vertical="center"/>
    </xf>
    <xf numFmtId="176" fontId="9" fillId="0" borderId="11" xfId="0" applyNumberFormat="1" applyFont="1" applyBorder="1">
      <alignment vertical="center"/>
    </xf>
    <xf numFmtId="176" fontId="9" fillId="2" borderId="1" xfId="0" applyNumberFormat="1" applyFont="1" applyFill="1" applyBorder="1">
      <alignment vertical="center"/>
    </xf>
    <xf numFmtId="176" fontId="9"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9" fillId="2" borderId="11" xfId="0" applyNumberFormat="1" applyFont="1" applyFill="1" applyBorder="1">
      <alignment vertical="center"/>
    </xf>
    <xf numFmtId="176" fontId="9" fillId="2" borderId="2" xfId="0" applyNumberFormat="1" applyFont="1" applyFill="1" applyBorder="1">
      <alignment vertical="center"/>
    </xf>
    <xf numFmtId="176" fontId="9" fillId="2" borderId="3" xfId="0" applyNumberFormat="1" applyFont="1" applyFill="1" applyBorder="1">
      <alignment vertical="center"/>
    </xf>
    <xf numFmtId="176" fontId="0" fillId="0" borderId="3" xfId="0" applyNumberFormat="1" applyBorder="1" applyAlignment="1">
      <alignment horizontal="right" vertical="center"/>
    </xf>
    <xf numFmtId="176" fontId="0" fillId="5" borderId="1" xfId="0" applyNumberFormat="1" applyFill="1" applyBorder="1">
      <alignment vertical="center"/>
    </xf>
    <xf numFmtId="176" fontId="0" fillId="3" borderId="38" xfId="0" applyNumberFormat="1" applyFill="1" applyBorder="1">
      <alignment vertical="center"/>
    </xf>
    <xf numFmtId="176" fontId="0" fillId="3" borderId="39" xfId="0" applyNumberFormat="1" applyFill="1" applyBorder="1">
      <alignment vertical="center"/>
    </xf>
    <xf numFmtId="176" fontId="0" fillId="3" borderId="40" xfId="0" applyNumberFormat="1" applyFill="1" applyBorder="1">
      <alignment vertical="center"/>
    </xf>
    <xf numFmtId="176" fontId="9" fillId="0" borderId="41" xfId="0" applyNumberFormat="1" applyFont="1" applyBorder="1">
      <alignment vertical="center"/>
    </xf>
    <xf numFmtId="176" fontId="9" fillId="0" borderId="42" xfId="0" applyNumberFormat="1" applyFont="1" applyBorder="1">
      <alignment vertical="center"/>
    </xf>
    <xf numFmtId="176" fontId="9" fillId="0" borderId="43" xfId="0" applyNumberFormat="1" applyFont="1" applyBorder="1">
      <alignment vertical="center"/>
    </xf>
    <xf numFmtId="176" fontId="9" fillId="0" borderId="44" xfId="0" applyNumberFormat="1" applyFont="1" applyBorder="1">
      <alignment vertical="center"/>
    </xf>
    <xf numFmtId="176" fontId="9" fillId="0" borderId="45" xfId="0" applyNumberFormat="1" applyFont="1" applyBorder="1">
      <alignment vertical="center"/>
    </xf>
    <xf numFmtId="176" fontId="9" fillId="0" borderId="46" xfId="0" applyNumberFormat="1" applyFont="1" applyBorder="1">
      <alignment vertical="center"/>
    </xf>
    <xf numFmtId="176" fontId="9" fillId="0" borderId="47" xfId="0" applyNumberFormat="1" applyFont="1" applyBorder="1">
      <alignment vertical="center"/>
    </xf>
    <xf numFmtId="176" fontId="9" fillId="0" borderId="48" xfId="0" applyNumberFormat="1" applyFont="1" applyBorder="1">
      <alignment vertical="center"/>
    </xf>
    <xf numFmtId="176" fontId="9" fillId="0" borderId="41" xfId="0" applyNumberFormat="1" applyFont="1" applyBorder="1" applyAlignment="1">
      <alignment horizontal="left" vertical="center"/>
    </xf>
    <xf numFmtId="0" fontId="0" fillId="0" borderId="42" xfId="0" applyBorder="1">
      <alignment vertical="center"/>
    </xf>
    <xf numFmtId="176" fontId="9" fillId="0" borderId="49" xfId="0" applyNumberFormat="1" applyFont="1" applyBorder="1" applyAlignment="1">
      <alignment horizontal="left" vertical="center"/>
    </xf>
    <xf numFmtId="176" fontId="9" fillId="0" borderId="50" xfId="0" applyNumberFormat="1" applyFont="1" applyBorder="1">
      <alignment vertical="center"/>
    </xf>
    <xf numFmtId="176" fontId="9" fillId="0" borderId="51" xfId="0" applyNumberFormat="1" applyFont="1" applyBorder="1">
      <alignment vertical="center"/>
    </xf>
    <xf numFmtId="176" fontId="9" fillId="0" borderId="52" xfId="0" applyNumberFormat="1" applyFont="1" applyBorder="1" applyAlignment="1">
      <alignment horizontal="left" vertical="center"/>
    </xf>
    <xf numFmtId="176" fontId="9" fillId="0" borderId="47" xfId="0" applyNumberFormat="1" applyFont="1" applyBorder="1" applyAlignment="1">
      <alignment horizontal="left" vertical="center"/>
    </xf>
    <xf numFmtId="0" fontId="0" fillId="0" borderId="48" xfId="0" applyBorder="1">
      <alignment vertical="center"/>
    </xf>
    <xf numFmtId="176" fontId="9" fillId="0" borderId="45" xfId="0" applyNumberFormat="1" applyFont="1" applyBorder="1" applyAlignment="1">
      <alignment horizontal="left" vertical="center"/>
    </xf>
    <xf numFmtId="0" fontId="0" fillId="0" borderId="46" xfId="0" applyBorder="1">
      <alignment vertical="center"/>
    </xf>
    <xf numFmtId="0" fontId="0" fillId="0" borderId="50" xfId="0" applyBorder="1">
      <alignment vertical="center"/>
    </xf>
    <xf numFmtId="0" fontId="0" fillId="0" borderId="51" xfId="0" applyBorder="1">
      <alignment vertical="center"/>
    </xf>
    <xf numFmtId="176" fontId="9" fillId="0" borderId="53" xfId="0" applyNumberFormat="1" applyFont="1" applyBorder="1" applyAlignment="1">
      <alignment horizontal="left" vertical="center"/>
    </xf>
    <xf numFmtId="0" fontId="0" fillId="0" borderId="54" xfId="0" applyBorder="1">
      <alignment vertical="center"/>
    </xf>
    <xf numFmtId="0" fontId="0" fillId="0" borderId="55" xfId="0" applyBorder="1">
      <alignment vertical="center"/>
    </xf>
    <xf numFmtId="0" fontId="0" fillId="2" borderId="2" xfId="0" applyFill="1" applyBorder="1">
      <alignment vertical="center"/>
    </xf>
    <xf numFmtId="176" fontId="0" fillId="0" borderId="1" xfId="0" applyNumberFormat="1" applyBorder="1" applyAlignment="1">
      <alignment horizontal="center" vertical="center"/>
    </xf>
    <xf numFmtId="178" fontId="0" fillId="0" borderId="2" xfId="0" applyNumberFormat="1" applyBorder="1">
      <alignment vertical="center"/>
    </xf>
    <xf numFmtId="178" fontId="0" fillId="0" borderId="27" xfId="0" applyNumberFormat="1" applyBorder="1">
      <alignment vertical="center"/>
    </xf>
    <xf numFmtId="178" fontId="0" fillId="0" borderId="29" xfId="0" applyNumberFormat="1" applyBorder="1">
      <alignment vertical="center"/>
    </xf>
    <xf numFmtId="176" fontId="0" fillId="6" borderId="1" xfId="0" applyNumberFormat="1" applyFill="1" applyBorder="1">
      <alignment vertical="center"/>
    </xf>
    <xf numFmtId="178" fontId="0" fillId="0" borderId="0" xfId="0" applyNumberFormat="1">
      <alignment vertical="center"/>
    </xf>
    <xf numFmtId="176" fontId="0" fillId="3" borderId="10" xfId="0" applyNumberFormat="1" applyFill="1" applyBorder="1">
      <alignment vertical="center"/>
    </xf>
    <xf numFmtId="178" fontId="0" fillId="5" borderId="1" xfId="0" applyNumberFormat="1" applyFill="1" applyBorder="1">
      <alignment vertical="center"/>
    </xf>
    <xf numFmtId="176" fontId="0" fillId="0" borderId="0" xfId="0" applyNumberFormat="1" applyAlignment="1">
      <alignment horizontal="right" vertical="center"/>
    </xf>
    <xf numFmtId="178" fontId="0" fillId="0" borderId="17" xfId="0" applyNumberFormat="1" applyBorder="1">
      <alignment vertical="center"/>
    </xf>
    <xf numFmtId="176" fontId="0" fillId="6" borderId="3" xfId="0" applyNumberFormat="1" applyFill="1" applyBorder="1">
      <alignment vertical="center"/>
    </xf>
    <xf numFmtId="178" fontId="0" fillId="0" borderId="3" xfId="0" applyNumberFormat="1" applyBorder="1">
      <alignment vertical="center"/>
    </xf>
    <xf numFmtId="178" fontId="0" fillId="0" borderId="3" xfId="0" applyNumberFormat="1" applyBorder="1" applyAlignment="1">
      <alignment horizontal="right" vertical="center"/>
    </xf>
    <xf numFmtId="177" fontId="0" fillId="5" borderId="3" xfId="0" applyNumberFormat="1" applyFill="1" applyBorder="1">
      <alignment vertical="center"/>
    </xf>
    <xf numFmtId="178" fontId="0" fillId="5" borderId="3" xfId="0" applyNumberFormat="1" applyFill="1" applyBorder="1">
      <alignment vertical="center"/>
    </xf>
    <xf numFmtId="176" fontId="0" fillId="5" borderId="3" xfId="0" applyNumberFormat="1" applyFill="1" applyBorder="1">
      <alignment vertical="center"/>
    </xf>
    <xf numFmtId="177" fontId="0" fillId="0" borderId="3" xfId="0" applyNumberFormat="1" applyBorder="1">
      <alignment vertical="center"/>
    </xf>
    <xf numFmtId="178" fontId="0" fillId="0" borderId="1" xfId="0" applyNumberFormat="1" applyBorder="1" applyAlignment="1">
      <alignment horizontal="right" vertical="center"/>
    </xf>
    <xf numFmtId="177" fontId="0" fillId="5" borderId="1" xfId="0" applyNumberFormat="1" applyFill="1" applyBorder="1">
      <alignment vertical="center"/>
    </xf>
    <xf numFmtId="176" fontId="0" fillId="6" borderId="17" xfId="0" applyNumberFormat="1" applyFill="1" applyBorder="1">
      <alignment vertical="center"/>
    </xf>
    <xf numFmtId="176" fontId="0" fillId="2" borderId="17" xfId="0" applyNumberFormat="1" applyFill="1" applyBorder="1">
      <alignment vertical="center"/>
    </xf>
    <xf numFmtId="177" fontId="0" fillId="4" borderId="3" xfId="0" applyNumberFormat="1" applyFill="1" applyBorder="1">
      <alignment vertical="center"/>
    </xf>
    <xf numFmtId="179" fontId="0" fillId="2" borderId="1" xfId="0" applyNumberFormat="1" applyFill="1" applyBorder="1">
      <alignment vertical="center"/>
    </xf>
    <xf numFmtId="0" fontId="0" fillId="3" borderId="13" xfId="0" applyFill="1" applyBorder="1">
      <alignment vertical="center"/>
    </xf>
    <xf numFmtId="0" fontId="0" fillId="3" borderId="14" xfId="0" applyFill="1" applyBorder="1">
      <alignment vertical="center"/>
    </xf>
    <xf numFmtId="0" fontId="0" fillId="0" borderId="7" xfId="0" applyBorder="1">
      <alignment vertical="center"/>
    </xf>
    <xf numFmtId="0" fontId="0" fillId="0" borderId="13" xfId="0" applyBorder="1">
      <alignment vertical="center"/>
    </xf>
    <xf numFmtId="0" fontId="0" fillId="3" borderId="24" xfId="0" applyFill="1" applyBorder="1">
      <alignment vertical="center"/>
    </xf>
    <xf numFmtId="0" fontId="0" fillId="3" borderId="25" xfId="0" applyFill="1" applyBorder="1">
      <alignment vertical="center"/>
    </xf>
    <xf numFmtId="0" fontId="0" fillId="0" borderId="37" xfId="0" applyBorder="1">
      <alignment vertical="center"/>
    </xf>
    <xf numFmtId="0" fontId="0" fillId="0" borderId="24" xfId="0" applyBorder="1">
      <alignment vertical="center"/>
    </xf>
    <xf numFmtId="176" fontId="0" fillId="4" borderId="1" xfId="0" applyNumberFormat="1" applyFill="1" applyBorder="1" applyAlignment="1">
      <alignment horizontal="center" vertical="center"/>
    </xf>
    <xf numFmtId="0" fontId="0" fillId="2" borderId="35" xfId="0" applyFill="1" applyBorder="1">
      <alignment vertical="center"/>
    </xf>
    <xf numFmtId="0" fontId="0" fillId="2" borderId="24" xfId="0" applyFill="1" applyBorder="1">
      <alignment vertical="center"/>
    </xf>
    <xf numFmtId="0" fontId="0" fillId="3" borderId="16" xfId="0" applyFill="1" applyBorder="1">
      <alignment vertical="center"/>
    </xf>
    <xf numFmtId="0" fontId="0" fillId="3" borderId="58" xfId="0" applyFill="1" applyBorder="1">
      <alignment vertical="center"/>
    </xf>
    <xf numFmtId="0" fontId="0" fillId="0" borderId="56" xfId="0" applyBorder="1">
      <alignment vertical="center"/>
    </xf>
    <xf numFmtId="0" fontId="0" fillId="0" borderId="57" xfId="0" applyBorder="1">
      <alignment vertical="center"/>
    </xf>
    <xf numFmtId="0" fontId="0" fillId="0" borderId="16" xfId="0" applyBorder="1">
      <alignment vertical="center"/>
    </xf>
    <xf numFmtId="0" fontId="0" fillId="0" borderId="6" xfId="0" applyBorder="1">
      <alignment vertical="center"/>
    </xf>
    <xf numFmtId="0" fontId="0" fillId="0" borderId="4"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0" fontId="21" fillId="0" borderId="27" xfId="0" applyFont="1" applyBorder="1" applyAlignment="1">
      <alignment horizontal="left" vertical="top" wrapText="1"/>
    </xf>
    <xf numFmtId="0" fontId="21" fillId="0" borderId="28" xfId="0" applyFont="1" applyBorder="1" applyAlignment="1">
      <alignment horizontal="left" vertical="top" wrapText="1"/>
    </xf>
    <xf numFmtId="0" fontId="21" fillId="0" borderId="29" xfId="0" applyFont="1" applyBorder="1" applyAlignment="1">
      <alignment horizontal="left" vertical="top" wrapText="1"/>
    </xf>
    <xf numFmtId="0" fontId="21" fillId="0" borderId="30" xfId="0" applyFont="1" applyBorder="1" applyAlignment="1">
      <alignment horizontal="left" vertical="top" wrapText="1"/>
    </xf>
    <xf numFmtId="0" fontId="21" fillId="0" borderId="0" xfId="0" applyFont="1" applyAlignment="1">
      <alignment horizontal="left" vertical="top" wrapText="1"/>
    </xf>
    <xf numFmtId="0" fontId="21" fillId="0" borderId="31" xfId="0" applyFont="1" applyBorder="1" applyAlignment="1">
      <alignment horizontal="left" vertical="top" wrapText="1"/>
    </xf>
    <xf numFmtId="0" fontId="21" fillId="0" borderId="32" xfId="0" applyFont="1" applyBorder="1" applyAlignment="1">
      <alignment horizontal="left" vertical="top" wrapText="1"/>
    </xf>
    <xf numFmtId="0" fontId="21" fillId="0" borderId="33" xfId="0" applyFont="1" applyBorder="1" applyAlignment="1">
      <alignment horizontal="left" vertical="top" wrapText="1"/>
    </xf>
    <xf numFmtId="0" fontId="21" fillId="0" borderId="34"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0" fillId="0" borderId="10" xfId="0" applyBorder="1" applyAlignment="1">
      <alignment horizontal="left" vertical="top"/>
    </xf>
    <xf numFmtId="0" fontId="0" fillId="0" borderId="22" xfId="0" applyBorder="1" applyAlignment="1">
      <alignment horizontal="left" vertical="top"/>
    </xf>
    <xf numFmtId="0" fontId="0" fillId="0" borderId="59" xfId="0" applyBorder="1" applyAlignment="1">
      <alignment horizontal="left" vertical="top"/>
    </xf>
    <xf numFmtId="0" fontId="0" fillId="0" borderId="15" xfId="0" applyBorder="1" applyAlignment="1">
      <alignment horizontal="left" vertical="top"/>
    </xf>
    <xf numFmtId="0" fontId="0" fillId="0" borderId="0" xfId="0" applyAlignment="1">
      <alignment horizontal="left" vertical="top"/>
    </xf>
    <xf numFmtId="0" fontId="0" fillId="0" borderId="60" xfId="0" applyBorder="1" applyAlignment="1">
      <alignment horizontal="left" vertical="top"/>
    </xf>
    <xf numFmtId="0" fontId="0" fillId="0" borderId="6" xfId="0" applyBorder="1" applyAlignment="1">
      <alignment horizontal="left" vertical="top"/>
    </xf>
    <xf numFmtId="0" fontId="0" fillId="0" borderId="20" xfId="0" applyBorder="1" applyAlignment="1">
      <alignment horizontal="left" vertical="top"/>
    </xf>
    <xf numFmtId="0" fontId="0" fillId="0" borderId="7" xfId="0" applyBorder="1" applyAlignment="1">
      <alignment horizontal="left" vertical="top"/>
    </xf>
    <xf numFmtId="176" fontId="6" fillId="0" borderId="4" xfId="1" applyNumberFormat="1" applyFont="1" applyBorder="1" applyAlignment="1">
      <alignment horizontal="left" vertical="center"/>
    </xf>
    <xf numFmtId="176" fontId="6" fillId="0" borderId="16" xfId="1" applyNumberFormat="1" applyFont="1" applyBorder="1" applyAlignment="1">
      <alignment horizontal="left" vertical="center"/>
    </xf>
    <xf numFmtId="176" fontId="6" fillId="0" borderId="13" xfId="1" applyNumberFormat="1" applyFont="1" applyBorder="1" applyAlignment="1">
      <alignment horizontal="left" vertical="center"/>
    </xf>
    <xf numFmtId="176" fontId="0" fillId="3" borderId="1" xfId="0" applyNumberFormat="1" applyFill="1" applyBorder="1" applyAlignment="1">
      <alignment horizontal="left" vertical="center"/>
    </xf>
    <xf numFmtId="176" fontId="4" fillId="0" borderId="4" xfId="1" applyNumberFormat="1" applyBorder="1" applyAlignment="1">
      <alignment horizontal="left" vertical="center"/>
    </xf>
    <xf numFmtId="176" fontId="9" fillId="0" borderId="1" xfId="0" applyNumberFormat="1" applyFont="1" applyBorder="1" applyAlignment="1">
      <alignment horizontal="left" vertical="center"/>
    </xf>
    <xf numFmtId="176" fontId="9" fillId="0" borderId="2" xfId="0" applyNumberFormat="1" applyFont="1" applyBorder="1" applyAlignment="1">
      <alignment horizontal="left" vertical="center"/>
    </xf>
    <xf numFmtId="178" fontId="9" fillId="0" borderId="1" xfId="0" applyNumberFormat="1" applyFont="1" applyBorder="1" applyAlignment="1">
      <alignment horizontal="center" vertical="center"/>
    </xf>
    <xf numFmtId="176" fontId="9" fillId="0" borderId="1" xfId="0" applyNumberFormat="1" applyFont="1" applyBorder="1" applyAlignment="1">
      <alignment horizontal="center" vertical="center"/>
    </xf>
    <xf numFmtId="176" fontId="9" fillId="0" borderId="19" xfId="0" applyNumberFormat="1" applyFont="1" applyBorder="1" applyAlignment="1">
      <alignment horizontal="left" vertical="center"/>
    </xf>
    <xf numFmtId="176" fontId="9" fillId="0" borderId="3" xfId="0" applyNumberFormat="1" applyFont="1" applyBorder="1" applyAlignment="1">
      <alignment horizontal="left" vertical="center"/>
    </xf>
  </cellXfs>
  <cellStyles count="2">
    <cellStyle name="ハイパーリンク" xfId="1" builtinId="8"/>
    <cellStyle name="標準" xfId="0" builtinId="0"/>
  </cellStyles>
  <dxfs count="1">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断面二次モーメント分布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Ix</c:v>
          </c:tx>
          <c:spPr>
            <a:ln w="25400" cap="rnd">
              <a:noFill/>
              <a:round/>
            </a:ln>
            <a:effectLst/>
          </c:spPr>
          <c:marker>
            <c:symbol val="circle"/>
            <c:size val="5"/>
            <c:spPr>
              <a:solidFill>
                <a:schemeClr val="accent1"/>
              </a:solidFill>
              <a:ln w="9525">
                <a:solidFill>
                  <a:schemeClr val="accent1"/>
                </a:solidFill>
              </a:ln>
              <a:effectLst/>
            </c:spPr>
          </c:marker>
          <c:xVal>
            <c:numLit>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Lit>
          </c:xVal>
          <c:yVal>
            <c:numLit>
              <c:formatCode>0.0.E+00</c:formatCode>
              <c:ptCount val="63"/>
              <c:pt idx="0">
                <c:v>1223258.8429292084</c:v>
              </c:pt>
              <c:pt idx="1">
                <c:v>1223258.8429292084</c:v>
              </c:pt>
              <c:pt idx="2">
                <c:v>1223258.8429292084</c:v>
              </c:pt>
              <c:pt idx="3">
                <c:v>1223258.8429292084</c:v>
              </c:pt>
              <c:pt idx="4">
                <c:v>1223258.8429292084</c:v>
              </c:pt>
              <c:pt idx="5">
                <c:v>1223258.8429292084</c:v>
              </c:pt>
              <c:pt idx="6">
                <c:v>1223258.8429292084</c:v>
              </c:pt>
              <c:pt idx="7">
                <c:v>3679059.7778962441</c:v>
              </c:pt>
              <c:pt idx="8">
                <c:v>3120848.0485842838</c:v>
              </c:pt>
              <c:pt idx="9">
                <c:v>1211743.2997121171</c:v>
              </c:pt>
              <c:pt idx="10">
                <c:v>1162479.3559664465</c:v>
              </c:pt>
              <c:pt idx="11">
                <c:v>1114569.0696443412</c:v>
              </c:pt>
              <c:pt idx="12">
                <c:v>1067993.5828292519</c:v>
              </c:pt>
              <c:pt idx="13">
                <c:v>1022734.0376046608</c:v>
              </c:pt>
              <c:pt idx="14">
                <c:v>978771.57605400751</c:v>
              </c:pt>
              <c:pt idx="15">
                <c:v>936087.34026076098</c:v>
              </c:pt>
              <c:pt idx="16">
                <c:v>894662.47230836493</c:v>
              </c:pt>
              <c:pt idx="17">
                <c:v>854478.11428027973</c:v>
              </c:pt>
              <c:pt idx="18">
                <c:v>815515.40825995314</c:v>
              </c:pt>
              <c:pt idx="19">
                <c:v>777755.49633082654</c:v>
              </c:pt>
              <c:pt idx="20">
                <c:v>741179.5205763533</c:v>
              </c:pt>
              <c:pt idx="21">
                <c:v>705768.62307997711</c:v>
              </c:pt>
              <c:pt idx="22">
                <c:v>671503.9459251262</c:v>
              </c:pt>
              <c:pt idx="23">
                <c:v>638366.63119525125</c:v>
              </c:pt>
              <c:pt idx="24">
                <c:v>606337.82097377954</c:v>
              </c:pt>
              <c:pt idx="25">
                <c:v>1653843.7274051565</c:v>
              </c:pt>
              <c:pt idx="26">
                <c:v>560309.1954920491</c:v>
              </c:pt>
              <c:pt idx="27">
                <c:v>532709.0729163225</c:v>
              </c:pt>
              <c:pt idx="28">
                <c:v>506030.53046303388</c:v>
              </c:pt>
              <c:pt idx="29">
                <c:v>480257.91942906723</c:v>
              </c:pt>
              <c:pt idx="30">
                <c:v>455375.59111130284</c:v>
              </c:pt>
              <c:pt idx="31">
                <c:v>431367.89680660423</c:v>
              </c:pt>
              <c:pt idx="32">
                <c:v>408219.18781185965</c:v>
              </c:pt>
              <c:pt idx="33">
                <c:v>385913.81542393204</c:v>
              </c:pt>
              <c:pt idx="34">
                <c:v>364436.13093970128</c:v>
              </c:pt>
              <c:pt idx="35">
                <c:v>343770.48565603344</c:v>
              </c:pt>
              <c:pt idx="36">
                <c:v>323901.23086980614</c:v>
              </c:pt>
              <c:pt idx="37">
                <c:v>304812.71787787543</c:v>
              </c:pt>
              <c:pt idx="38">
                <c:v>286489.29797711445</c:v>
              </c:pt>
              <c:pt idx="39">
                <c:v>268915.3224643789</c:v>
              </c:pt>
              <c:pt idx="40">
                <c:v>252075.14263653583</c:v>
              </c:pt>
              <c:pt idx="41">
                <c:v>235953.10979043809</c:v>
              </c:pt>
              <c:pt idx="42">
                <c:v>683916.61797374324</c:v>
              </c:pt>
              <c:pt idx="43">
                <c:v>631923.16099534603</c:v>
              </c:pt>
              <c:pt idx="44">
                <c:v>244283.36444402966</c:v>
              </c:pt>
              <c:pt idx="45">
                <c:v>227550.49286979524</c:v>
              </c:pt>
              <c:pt idx="46">
                <c:v>211599.72667707765</c:v>
              </c:pt>
              <c:pt idx="47">
                <c:v>196412.34687724823</c:v>
              </c:pt>
              <c:pt idx="48">
                <c:v>181969.63448167872</c:v>
              </c:pt>
              <c:pt idx="49">
                <c:v>168252.87050172751</c:v>
              </c:pt>
              <c:pt idx="50">
                <c:v>155243.33594875393</c:v>
              </c:pt>
              <c:pt idx="51">
                <c:v>142922.31183410806</c:v>
              </c:pt>
              <c:pt idx="52">
                <c:v>131271.0791691241</c:v>
              </c:pt>
              <c:pt idx="53">
                <c:v>120270.91896513785</c:v>
              </c:pt>
              <c:pt idx="54">
                <c:v>109903.11223346776</c:v>
              </c:pt>
              <c:pt idx="55">
                <c:v>100148.93998541973</c:v>
              </c:pt>
              <c:pt idx="56">
                <c:v>90989.683232287731</c:v>
              </c:pt>
              <c:pt idx="57">
                <c:v>82406.622985344642</c:v>
              </c:pt>
              <c:pt idx="58">
                <c:v>74381.040255846456</c:v>
              </c:pt>
              <c:pt idx="59">
                <c:v>66894.216055024255</c:v>
              </c:pt>
              <c:pt idx="60">
                <c:v>59927.431394081439</c:v>
              </c:pt>
              <c:pt idx="61">
                <c:v>53461.967284188715</c:v>
              </c:pt>
              <c:pt idx="62">
                <c:v>47479.10473647638</c:v>
              </c:pt>
            </c:numLit>
          </c:yVal>
          <c:smooth val="0"/>
          <c:extLst>
            <c:ext xmlns:c16="http://schemas.microsoft.com/office/drawing/2014/chart" uri="{C3380CC4-5D6E-409C-BE32-E72D297353CC}">
              <c16:uniqueId val="{00000000-B5CD-4F91-9963-112B2B52E7AC}"/>
            </c:ext>
          </c:extLst>
        </c:ser>
        <c:ser>
          <c:idx val="1"/>
          <c:order val="1"/>
          <c:tx>
            <c:v>Iy</c:v>
          </c:tx>
          <c:spPr>
            <a:ln w="25400" cap="rnd">
              <a:noFill/>
              <a:round/>
            </a:ln>
            <a:effectLst/>
          </c:spPr>
          <c:marker>
            <c:symbol val="circle"/>
            <c:size val="5"/>
            <c:spPr>
              <a:solidFill>
                <a:schemeClr val="accent2"/>
              </a:solidFill>
              <a:ln w="9525">
                <a:solidFill>
                  <a:schemeClr val="accent2"/>
                </a:solidFill>
              </a:ln>
              <a:effectLst/>
            </c:spPr>
          </c:marker>
          <c:xVal>
            <c:numLit>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Lit>
          </c:xVal>
          <c:yVal>
            <c:numLit>
              <c:formatCode>0.0.E+00</c:formatCode>
              <c:ptCount val="63"/>
              <c:pt idx="0">
                <c:v>1223258.8429292138</c:v>
              </c:pt>
              <c:pt idx="1">
                <c:v>1223258.8429292138</c:v>
              </c:pt>
              <c:pt idx="2">
                <c:v>1223258.8429292138</c:v>
              </c:pt>
              <c:pt idx="3">
                <c:v>1223258.8429292138</c:v>
              </c:pt>
              <c:pt idx="4">
                <c:v>1223258.8429292138</c:v>
              </c:pt>
              <c:pt idx="5">
                <c:v>1223258.8429292138</c:v>
              </c:pt>
              <c:pt idx="6">
                <c:v>1223258.8429292138</c:v>
              </c:pt>
              <c:pt idx="7">
                <c:v>3758310.0167815932</c:v>
              </c:pt>
              <c:pt idx="8">
                <c:v>3190208.1344231623</c:v>
              </c:pt>
              <c:pt idx="9">
                <c:v>917745.64794443373</c:v>
              </c:pt>
              <c:pt idx="10">
                <c:v>880158.55648699519</c:v>
              </c:pt>
              <c:pt idx="11">
                <c:v>843612.00815889728</c:v>
              </c:pt>
              <c:pt idx="12">
                <c:v>808091.39693825366</c:v>
              </c:pt>
              <c:pt idx="13">
                <c:v>773582.11680316285</c:v>
              </c:pt>
              <c:pt idx="14">
                <c:v>740069.56173170661</c:v>
              </c:pt>
              <c:pt idx="15">
                <c:v>707539.12570196192</c:v>
              </c:pt>
              <c:pt idx="16">
                <c:v>675976.20269203314</c:v>
              </c:pt>
              <c:pt idx="17">
                <c:v>645366.18667999899</c:v>
              </c:pt>
              <c:pt idx="18">
                <c:v>615694.47164392076</c:v>
              </c:pt>
              <c:pt idx="19">
                <c:v>586946.45156191313</c:v>
              </c:pt>
              <c:pt idx="20">
                <c:v>559107.52041201084</c:v>
              </c:pt>
              <c:pt idx="21">
                <c:v>532163.07217230357</c:v>
              </c:pt>
              <c:pt idx="22">
                <c:v>506098.50082082819</c:v>
              </c:pt>
              <c:pt idx="23">
                <c:v>480899.20033566066</c:v>
              </c:pt>
              <c:pt idx="24">
                <c:v>456550.56469484494</c:v>
              </c:pt>
              <c:pt idx="25">
                <c:v>1566250.6570028318</c:v>
              </c:pt>
              <c:pt idx="26">
                <c:v>468281.16909528367</c:v>
              </c:pt>
              <c:pt idx="27">
                <c:v>445094.87184536812</c:v>
              </c:pt>
              <c:pt idx="28">
                <c:v>422686.84891304321</c:v>
              </c:pt>
              <c:pt idx="29">
                <c:v>401043.8142377687</c:v>
              </c:pt>
              <c:pt idx="30">
                <c:v>380152.48175901209</c:v>
              </c:pt>
              <c:pt idx="31">
                <c:v>359999.56541622203</c:v>
              </c:pt>
              <c:pt idx="32">
                <c:v>340571.77914885449</c:v>
              </c:pt>
              <c:pt idx="33">
                <c:v>321855.83689636656</c:v>
              </c:pt>
              <c:pt idx="34">
                <c:v>303838.45259820542</c:v>
              </c:pt>
              <c:pt idx="35">
                <c:v>286506.34019381274</c:v>
              </c:pt>
              <c:pt idx="36">
                <c:v>269846.2136226499</c:v>
              </c:pt>
              <c:pt idx="37">
                <c:v>253844.78682415205</c:v>
              </c:pt>
              <c:pt idx="38">
                <c:v>238488.77373775776</c:v>
              </c:pt>
              <c:pt idx="39">
                <c:v>223764.888302907</c:v>
              </c:pt>
              <c:pt idx="40">
                <c:v>209659.84445903188</c:v>
              </c:pt>
              <c:pt idx="41">
                <c:v>196160.3561455672</c:v>
              </c:pt>
              <c:pt idx="42">
                <c:v>597518.34474236553</c:v>
              </c:pt>
              <c:pt idx="43">
                <c:v>551853.81899235421</c:v>
              </c:pt>
              <c:pt idx="44">
                <c:v>195878.08713809028</c:v>
              </c:pt>
              <c:pt idx="45">
                <c:v>182372.54064451248</c:v>
              </c:pt>
              <c:pt idx="46">
                <c:v>169502.5068851395</c:v>
              </c:pt>
              <c:pt idx="47">
                <c:v>157252.67041822113</c:v>
              </c:pt>
              <c:pt idx="48">
                <c:v>145607.71580199761</c:v>
              </c:pt>
              <c:pt idx="49">
                <c:v>134552.3275947003</c:v>
              </c:pt>
              <c:pt idx="50">
                <c:v>124071.19035455438</c:v>
              </c:pt>
              <c:pt idx="51">
                <c:v>114148.98863977261</c:v>
              </c:pt>
              <c:pt idx="52">
                <c:v>104770.40700855716</c:v>
              </c:pt>
              <c:pt idx="53">
                <c:v>95920.130019099452</c:v>
              </c:pt>
              <c:pt idx="54">
                <c:v>87582.842229569054</c:v>
              </c:pt>
              <c:pt idx="55">
                <c:v>79743.228198122495</c:v>
              </c:pt>
              <c:pt idx="56">
                <c:v>72385.972482893922</c:v>
              </c:pt>
              <c:pt idx="57">
                <c:v>65495.759641995137</c:v>
              </c:pt>
              <c:pt idx="58">
                <c:v>59057.274233506672</c:v>
              </c:pt>
              <c:pt idx="59">
                <c:v>53055.20081547946</c:v>
              </c:pt>
              <c:pt idx="60">
                <c:v>47474.223945923681</c:v>
              </c:pt>
              <c:pt idx="61">
                <c:v>42299.02818280174</c:v>
              </c:pt>
              <c:pt idx="62">
                <c:v>37514.298084023023</c:v>
              </c:pt>
            </c:numLit>
          </c:yVal>
          <c:smooth val="0"/>
          <c:extLst>
            <c:ext xmlns:c16="http://schemas.microsoft.com/office/drawing/2014/chart" uri="{C3380CC4-5D6E-409C-BE32-E72D297353CC}">
              <c16:uniqueId val="{00000001-B5CD-4F91-9963-112B2B52E7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4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断面二次モーメント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Eix</c:v>
          </c:tx>
          <c:spPr>
            <a:ln w="25400" cap="rnd">
              <a:noFill/>
              <a:round/>
            </a:ln>
            <a:effectLst/>
          </c:spPr>
          <c:marker>
            <c:symbol val="circle"/>
            <c:size val="5"/>
            <c:spPr>
              <a:solidFill>
                <a:schemeClr val="accent1"/>
              </a:solidFill>
              <a:ln w="9525">
                <a:solidFill>
                  <a:schemeClr val="accent1"/>
                </a:solidFill>
              </a:ln>
              <a:effectLst/>
            </c:spPr>
          </c:marker>
          <c:xVal>
            <c:numLit>
              <c:formatCode>0.000_ ;[Red]\-0.000\ </c:formatCode>
              <c:ptCount val="63"/>
              <c:pt idx="0">
                <c:v>0.2</c:v>
              </c:pt>
              <c:pt idx="1">
                <c:v>0.4</c:v>
              </c:pt>
              <c:pt idx="2">
                <c:v>0.60000000000000009</c:v>
              </c:pt>
              <c:pt idx="3">
                <c:v>0.8</c:v>
              </c:pt>
              <c:pt idx="4">
                <c:v>1</c:v>
              </c:pt>
              <c:pt idx="5">
                <c:v>1.2000000000000002</c:v>
              </c:pt>
              <c:pt idx="6">
                <c:v>1.4000000000000001</c:v>
              </c:pt>
              <c:pt idx="7">
                <c:v>1.6</c:v>
              </c:pt>
              <c:pt idx="8">
                <c:v>1.8</c:v>
              </c:pt>
              <c:pt idx="9">
                <c:v>2</c:v>
              </c:pt>
              <c:pt idx="10">
                <c:v>2.2000000000000002</c:v>
              </c:pt>
              <c:pt idx="11">
                <c:v>2.4000000000000004</c:v>
              </c:pt>
              <c:pt idx="12">
                <c:v>2.6</c:v>
              </c:pt>
              <c:pt idx="13">
                <c:v>2.8000000000000003</c:v>
              </c:pt>
              <c:pt idx="14">
                <c:v>3</c:v>
              </c:pt>
              <c:pt idx="15">
                <c:v>3.2</c:v>
              </c:pt>
              <c:pt idx="16">
                <c:v>3.4000000000000004</c:v>
              </c:pt>
              <c:pt idx="17">
                <c:v>3.6</c:v>
              </c:pt>
              <c:pt idx="18">
                <c:v>3.8000000000000003</c:v>
              </c:pt>
              <c:pt idx="19">
                <c:v>4</c:v>
              </c:pt>
              <c:pt idx="20">
                <c:v>4.2</c:v>
              </c:pt>
              <c:pt idx="21">
                <c:v>4.4000000000000004</c:v>
              </c:pt>
              <c:pt idx="22">
                <c:v>4.6000000000000005</c:v>
              </c:pt>
              <c:pt idx="23">
                <c:v>4.8000000000000007</c:v>
              </c:pt>
              <c:pt idx="24">
                <c:v>5</c:v>
              </c:pt>
              <c:pt idx="25">
                <c:v>5.2</c:v>
              </c:pt>
              <c:pt idx="26">
                <c:v>5.4</c:v>
              </c:pt>
              <c:pt idx="27">
                <c:v>5.6000000000000005</c:v>
              </c:pt>
              <c:pt idx="28">
                <c:v>5.8000000000000007</c:v>
              </c:pt>
              <c:pt idx="29">
                <c:v>6</c:v>
              </c:pt>
              <c:pt idx="30">
                <c:v>6.2</c:v>
              </c:pt>
              <c:pt idx="31">
                <c:v>6.4</c:v>
              </c:pt>
              <c:pt idx="32">
                <c:v>6.6000000000000005</c:v>
              </c:pt>
              <c:pt idx="33">
                <c:v>6.8000000000000007</c:v>
              </c:pt>
              <c:pt idx="34">
                <c:v>7</c:v>
              </c:pt>
              <c:pt idx="35">
                <c:v>7.2</c:v>
              </c:pt>
              <c:pt idx="36">
                <c:v>7.4</c:v>
              </c:pt>
              <c:pt idx="37">
                <c:v>7.6000000000000005</c:v>
              </c:pt>
              <c:pt idx="38">
                <c:v>7.8000000000000007</c:v>
              </c:pt>
              <c:pt idx="39">
                <c:v>8</c:v>
              </c:pt>
              <c:pt idx="40">
                <c:v>8.2000000000000011</c:v>
              </c:pt>
              <c:pt idx="41">
                <c:v>8.4</c:v>
              </c:pt>
              <c:pt idx="42">
                <c:v>8.6</c:v>
              </c:pt>
              <c:pt idx="43">
                <c:v>8.8000000000000007</c:v>
              </c:pt>
              <c:pt idx="44">
                <c:v>9</c:v>
              </c:pt>
              <c:pt idx="45">
                <c:v>9.2000000000000011</c:v>
              </c:pt>
              <c:pt idx="46">
                <c:v>9.4</c:v>
              </c:pt>
              <c:pt idx="47">
                <c:v>9.6000000000000014</c:v>
              </c:pt>
              <c:pt idx="48">
                <c:v>9.8000000000000007</c:v>
              </c:pt>
              <c:pt idx="49">
                <c:v>10</c:v>
              </c:pt>
              <c:pt idx="50">
                <c:v>10.200000000000001</c:v>
              </c:pt>
              <c:pt idx="51">
                <c:v>10.4</c:v>
              </c:pt>
              <c:pt idx="52">
                <c:v>10.600000000000001</c:v>
              </c:pt>
              <c:pt idx="53">
                <c:v>10.8</c:v>
              </c:pt>
              <c:pt idx="54">
                <c:v>11</c:v>
              </c:pt>
              <c:pt idx="55">
                <c:v>11.200000000000001</c:v>
              </c:pt>
              <c:pt idx="56">
                <c:v>11.4</c:v>
              </c:pt>
              <c:pt idx="57">
                <c:v>11.600000000000001</c:v>
              </c:pt>
              <c:pt idx="58">
                <c:v>11.8</c:v>
              </c:pt>
              <c:pt idx="59">
                <c:v>12</c:v>
              </c:pt>
              <c:pt idx="60">
                <c:v>12.200000000000001</c:v>
              </c:pt>
              <c:pt idx="61">
                <c:v>12.4</c:v>
              </c:pt>
            </c:numLit>
          </c:xVal>
          <c:yVal>
            <c:numLit>
              <c:formatCode>0.0.E+00</c:formatCode>
              <c:ptCount val="63"/>
              <c:pt idx="0">
                <c:v>157252.52557154291</c:v>
              </c:pt>
              <c:pt idx="1">
                <c:v>157252.52557154291</c:v>
              </c:pt>
              <c:pt idx="2">
                <c:v>157252.52557154291</c:v>
              </c:pt>
              <c:pt idx="3">
                <c:v>157252.52557154291</c:v>
              </c:pt>
              <c:pt idx="4">
                <c:v>157252.52557154291</c:v>
              </c:pt>
              <c:pt idx="5">
                <c:v>157252.52557154291</c:v>
              </c:pt>
              <c:pt idx="6">
                <c:v>417047.45359311189</c:v>
              </c:pt>
              <c:pt idx="7">
                <c:v>353770.2049672468</c:v>
              </c:pt>
              <c:pt idx="8">
                <c:v>118947.17316938385</c:v>
              </c:pt>
              <c:pt idx="9">
                <c:v>114111.32481015197</c:v>
              </c:pt>
              <c:pt idx="10">
                <c:v>109408.35420152215</c:v>
              </c:pt>
              <c:pt idx="11">
                <c:v>104836.41021226389</c:v>
              </c:pt>
              <c:pt idx="12">
                <c:v>100393.64171114984</c:v>
              </c:pt>
              <c:pt idx="13">
                <c:v>96078.197566948424</c:v>
              </c:pt>
              <c:pt idx="14">
                <c:v>91888.226648431009</c:v>
              </c:pt>
              <c:pt idx="15">
                <c:v>87821.877824366413</c:v>
              </c:pt>
              <c:pt idx="16">
                <c:v>83877.299963525147</c:v>
              </c:pt>
              <c:pt idx="17">
                <c:v>80052.641934676431</c:v>
              </c:pt>
              <c:pt idx="18">
                <c:v>76346.052606588899</c:v>
              </c:pt>
              <c:pt idx="19">
                <c:v>72755.680848032353</c:v>
              </c:pt>
              <c:pt idx="20">
                <c:v>69279.675527775617</c:v>
              </c:pt>
              <c:pt idx="21">
                <c:v>65916.185514586061</c:v>
              </c:pt>
              <c:pt idx="22">
                <c:v>62663.359677233173</c:v>
              </c:pt>
              <c:pt idx="23">
                <c:v>59519.346884484214</c:v>
              </c:pt>
              <c:pt idx="24">
                <c:v>152220.09229710227</c:v>
              </c:pt>
              <c:pt idx="25">
                <c:v>48140.846660076037</c:v>
              </c:pt>
              <c:pt idx="26">
                <c:v>45769.489417668949</c:v>
              </c:pt>
              <c:pt idx="27">
                <c:v>43477.312827152295</c:v>
              </c:pt>
              <c:pt idx="28">
                <c:v>41262.972377632439</c:v>
              </c:pt>
              <c:pt idx="29">
                <c:v>39125.123558215448</c:v>
              </c:pt>
              <c:pt idx="30">
                <c:v>37062.421858005924</c:v>
              </c:pt>
              <c:pt idx="31">
                <c:v>35073.522766110633</c:v>
              </c:pt>
              <c:pt idx="32">
                <c:v>33157.081771634119</c:v>
              </c:pt>
              <c:pt idx="33">
                <c:v>31311.754363682416</c:v>
              </c:pt>
              <c:pt idx="34">
                <c:v>29536.196031360356</c:v>
              </c:pt>
              <c:pt idx="35">
                <c:v>27829.062263773772</c:v>
              </c:pt>
              <c:pt idx="36">
                <c:v>26189.008550026636</c:v>
              </c:pt>
              <c:pt idx="37">
                <c:v>24614.690379224387</c:v>
              </c:pt>
              <c:pt idx="38">
                <c:v>23104.763240470984</c:v>
              </c:pt>
              <c:pt idx="39">
                <c:v>21657.882622871333</c:v>
              </c:pt>
              <c:pt idx="40">
                <c:v>20272.70401552914</c:v>
              </c:pt>
              <c:pt idx="41">
                <c:v>58468.440322835304</c:v>
              </c:pt>
              <c:pt idx="42">
                <c:v>54023.488618743169</c:v>
              </c:pt>
              <c:pt idx="43">
                <c:v>14740.77884647786</c:v>
              </c:pt>
              <c:pt idx="44">
                <c:v>13545.204771141358</c:v>
              </c:pt>
              <c:pt idx="45">
                <c:v>12422.882413388887</c:v>
              </c:pt>
              <c:pt idx="46">
                <c:v>11370.811612208436</c:v>
              </c:pt>
              <c:pt idx="47">
                <c:v>10386.053365267671</c:v>
              </c:pt>
              <c:pt idx="48">
                <c:v>9465.7298289131613</c:v>
              </c:pt>
              <c:pt idx="49">
                <c:v>8607.0243181712067</c:v>
              </c:pt>
              <c:pt idx="50">
                <c:v>7807.1813067472931</c:v>
              </c:pt>
              <c:pt idx="51">
                <c:v>7063.5064270257726</c:v>
              </c:pt>
              <c:pt idx="52">
                <c:v>6373.3664700708432</c:v>
              </c:pt>
              <c:pt idx="53">
                <c:v>5734.1893856255683</c:v>
              </c:pt>
              <c:pt idx="54">
                <c:v>5143.4642821121824</c:v>
              </c:pt>
              <c:pt idx="55">
                <c:v>4598.7414266321848</c:v>
              </c:pt>
              <c:pt idx="56">
                <c:v>4097.6322449659183</c:v>
              </c:pt>
              <c:pt idx="57">
                <c:v>3637.8093215728741</c:v>
              </c:pt>
              <c:pt idx="58">
                <c:v>3217.0063995913674</c:v>
              </c:pt>
              <c:pt idx="59">
                <c:v>2833.0183808385145</c:v>
              </c:pt>
              <c:pt idx="60">
                <c:v>2659.3987350928619</c:v>
              </c:pt>
              <c:pt idx="61">
                <c:v>2323.2356831890775</c:v>
              </c:pt>
            </c:numLit>
          </c:yVal>
          <c:smooth val="0"/>
          <c:extLst>
            <c:ext xmlns:c16="http://schemas.microsoft.com/office/drawing/2014/chart" uri="{C3380CC4-5D6E-409C-BE32-E72D297353CC}">
              <c16:uniqueId val="{00000000-7544-4952-A29E-E87A2741F0E6}"/>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ねじれ定数分布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J</c:v>
          </c:tx>
          <c:spPr>
            <a:ln w="25400" cap="rnd">
              <a:noFill/>
              <a:round/>
            </a:ln>
            <a:effectLst/>
          </c:spPr>
          <c:marker>
            <c:symbol val="circle"/>
            <c:size val="5"/>
            <c:spPr>
              <a:solidFill>
                <a:schemeClr val="accent1"/>
              </a:solidFill>
              <a:ln w="9525">
                <a:solidFill>
                  <a:schemeClr val="accent1"/>
                </a:solidFill>
              </a:ln>
              <a:effectLst/>
            </c:spPr>
          </c:marker>
          <c:xVal>
            <c:numLit>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Lit>
          </c:xVal>
          <c:yVal>
            <c:numLit>
              <c:formatCode>0.0.E+00</c:formatCode>
              <c:ptCount val="63"/>
              <c:pt idx="0">
                <c:v>2446517.6881359117</c:v>
              </c:pt>
              <c:pt idx="1">
                <c:v>2446517.6881359117</c:v>
              </c:pt>
              <c:pt idx="2">
                <c:v>2446517.6881359117</c:v>
              </c:pt>
              <c:pt idx="3">
                <c:v>2446517.6881359117</c:v>
              </c:pt>
              <c:pt idx="4">
                <c:v>2446517.6881359117</c:v>
              </c:pt>
              <c:pt idx="5">
                <c:v>2446517.6881359117</c:v>
              </c:pt>
              <c:pt idx="6">
                <c:v>2446517.6881359117</c:v>
              </c:pt>
              <c:pt idx="7">
                <c:v>7436160.4959747586</c:v>
              </c:pt>
              <c:pt idx="8">
                <c:v>6309925.0111976694</c:v>
              </c:pt>
              <c:pt idx="9">
                <c:v>2031706.4797556736</c:v>
              </c:pt>
              <c:pt idx="10">
                <c:v>1948813.6313182237</c:v>
              </c:pt>
              <c:pt idx="11">
                <c:v>1868206.6282120994</c:v>
              </c:pt>
              <c:pt idx="12">
                <c:v>1789853.5113139381</c:v>
              </c:pt>
              <c:pt idx="13">
                <c:v>1713722.3215004613</c:v>
              </c:pt>
              <c:pt idx="14">
                <c:v>1639781.0996483159</c:v>
              </c:pt>
              <c:pt idx="15">
                <c:v>1567997.8866341794</c:v>
              </c:pt>
              <c:pt idx="16">
                <c:v>1498340.7233347523</c:v>
              </c:pt>
              <c:pt idx="17">
                <c:v>1430777.6506266887</c:v>
              </c:pt>
              <c:pt idx="18">
                <c:v>1365276.7093866905</c:v>
              </c:pt>
              <c:pt idx="19">
                <c:v>1301805.940491409</c:v>
              </c:pt>
              <c:pt idx="20">
                <c:v>1240333.3848175451</c:v>
              </c:pt>
              <c:pt idx="21">
                <c:v>1180827.0832417472</c:v>
              </c:pt>
              <c:pt idx="22">
                <c:v>1123255.0766407168</c:v>
              </c:pt>
              <c:pt idx="23">
                <c:v>1067585.4058910902</c:v>
              </c:pt>
              <c:pt idx="24">
                <c:v>1013786.1118695905</c:v>
              </c:pt>
              <c:pt idx="25">
                <c:v>3210135.9402357247</c:v>
              </c:pt>
              <c:pt idx="26">
                <c:v>1008585.2031832148</c:v>
              </c:pt>
              <c:pt idx="27">
                <c:v>958778.45159491582</c:v>
              </c:pt>
              <c:pt idx="28">
                <c:v>910639.0119783096</c:v>
              </c:pt>
              <c:pt idx="29">
                <c:v>864138.49969917536</c:v>
              </c:pt>
              <c:pt idx="30">
                <c:v>819248.53012333438</c:v>
              </c:pt>
              <c:pt idx="31">
                <c:v>775940.71861654567</c:v>
              </c:pt>
              <c:pt idx="32">
                <c:v>734186.68054460606</c:v>
              </c:pt>
              <c:pt idx="33">
                <c:v>693958.03127332439</c:v>
              </c:pt>
              <c:pt idx="34">
                <c:v>655226.38616846059</c:v>
              </c:pt>
              <c:pt idx="35">
                <c:v>617963.36059582164</c:v>
              </c:pt>
              <c:pt idx="36">
                <c:v>582140.56992117211</c:v>
              </c:pt>
              <c:pt idx="37">
                <c:v>547729.62951030536</c:v>
              </c:pt>
              <c:pt idx="38">
                <c:v>514702.15472897963</c:v>
              </c:pt>
              <c:pt idx="39">
                <c:v>483029.7609429782</c:v>
              </c:pt>
              <c:pt idx="40">
                <c:v>452684.06351807056</c:v>
              </c:pt>
              <c:pt idx="41">
                <c:v>423636.6778200267</c:v>
              </c:pt>
              <c:pt idx="42">
                <c:v>1270091.1661728602</c:v>
              </c:pt>
              <c:pt idx="43">
                <c:v>1173289.1329555158</c:v>
              </c:pt>
              <c:pt idx="44">
                <c:v>430892.94790021697</c:v>
              </c:pt>
              <c:pt idx="45">
                <c:v>401281.94461374643</c:v>
              </c:pt>
              <c:pt idx="46">
                <c:v>373059.55524661078</c:v>
              </c:pt>
              <c:pt idx="47">
                <c:v>346192.43256708019</c:v>
              </c:pt>
              <c:pt idx="48">
                <c:v>320647.22934341995</c:v>
              </c:pt>
              <c:pt idx="49">
                <c:v>296390.59834389156</c:v>
              </c:pt>
              <c:pt idx="50">
                <c:v>273389.19233675278</c:v>
              </c:pt>
              <c:pt idx="51">
                <c:v>251609.66409023598</c:v>
              </c:pt>
              <c:pt idx="52">
                <c:v>231018.66637257583</c:v>
              </c:pt>
              <c:pt idx="53">
                <c:v>211582.85195198414</c:v>
              </c:pt>
              <c:pt idx="54">
                <c:v>193268.87359665739</c:v>
              </c:pt>
              <c:pt idx="55">
                <c:v>176043.38407477498</c:v>
              </c:pt>
              <c:pt idx="56">
                <c:v>159873.03615449922</c:v>
              </c:pt>
              <c:pt idx="57">
                <c:v>144724.48260395986</c:v>
              </c:pt>
              <c:pt idx="58">
                <c:v>130564.37619126137</c:v>
              </c:pt>
              <c:pt idx="59">
                <c:v>117359.36968447249</c:v>
              </c:pt>
              <c:pt idx="60">
                <c:v>105076.11585162103</c:v>
              </c:pt>
              <c:pt idx="61">
                <c:v>93681.267460690142</c:v>
              </c:pt>
              <c:pt idx="62">
                <c:v>83141.477279603263</c:v>
              </c:pt>
            </c:numLit>
          </c:yVal>
          <c:smooth val="0"/>
          <c:extLst>
            <c:ext xmlns:c16="http://schemas.microsoft.com/office/drawing/2014/chart" uri="{C3380CC4-5D6E-409C-BE32-E72D297353CC}">
              <c16:uniqueId val="{00000000-6262-4A16-B2E1-9F90F5DD6A47}"/>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max val="5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ねじれ定数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GJ</c:v>
          </c:tx>
          <c:spPr>
            <a:ln w="25400" cap="rnd">
              <a:noFill/>
              <a:round/>
            </a:ln>
            <a:effectLst/>
          </c:spPr>
          <c:marker>
            <c:symbol val="circle"/>
            <c:size val="5"/>
            <c:spPr>
              <a:solidFill>
                <a:schemeClr val="accent1"/>
              </a:solidFill>
              <a:ln w="9525">
                <a:solidFill>
                  <a:schemeClr val="accent1"/>
                </a:solidFill>
              </a:ln>
              <a:effectLst/>
            </c:spPr>
          </c:marker>
          <c:xVal>
            <c:numLit>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Lit>
          </c:xVal>
          <c:yVal>
            <c:numLit>
              <c:formatCode>0.0.E+00</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Lit>
          </c:yVal>
          <c:smooth val="0"/>
          <c:extLst>
            <c:ext xmlns:c16="http://schemas.microsoft.com/office/drawing/2014/chart" uri="{C3380CC4-5D6E-409C-BE32-E72D297353CC}">
              <c16:uniqueId val="{00000000-F190-4501-93EB-DD73897D204D}"/>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3E10-41EE-A7DC-42D803E4C538}"/>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3E10-41EE-A7DC-42D803E4C538}"/>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3E10-41EE-A7DC-42D803E4C538}"/>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5BF4-4651-95D5-60D92222022D}"/>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5BF4-4651-95D5-60D92222022D}"/>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E55B-461F-95D4-F1AE811EFBDE}"/>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E55B-461F-95D4-F1AE811EFBDE}"/>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E55B-461F-95D4-F1AE811EFBDE}"/>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E55B-461F-95D4-F1AE811EFBDE}"/>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E55B-461F-95D4-F1AE811EFBDE}"/>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E55B-461F-95D4-F1AE811EFBDE}"/>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8</xdr:col>
      <xdr:colOff>0</xdr:colOff>
      <xdr:row>18</xdr:row>
      <xdr:rowOff>0</xdr:rowOff>
    </xdr:from>
    <xdr:to>
      <xdr:col>10</xdr:col>
      <xdr:colOff>0</xdr:colOff>
      <xdr:row>19</xdr:row>
      <xdr:rowOff>0</xdr:rowOff>
    </xdr:to>
    <xdr:sp macro="" textlink="">
      <xdr:nvSpPr>
        <xdr:cNvPr id="2" name="正方形/長方形 1">
          <a:extLst>
            <a:ext uri="{FF2B5EF4-FFF2-40B4-BE49-F238E27FC236}">
              <a16:creationId xmlns:a16="http://schemas.microsoft.com/office/drawing/2014/main" id="{E3203B8D-CDCB-4A08-A81D-6E07B16DD825}"/>
            </a:ext>
          </a:extLst>
        </xdr:cNvPr>
        <xdr:cNvSpPr/>
      </xdr:nvSpPr>
      <xdr:spPr>
        <a:xfrm>
          <a:off x="6517821" y="4531179"/>
          <a:ext cx="1306286" cy="244928"/>
        </a:xfrm>
        <a:prstGeom prst="rect">
          <a:avLst/>
        </a:prstGeom>
        <a:solidFill>
          <a:schemeClr val="accent4">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Analize</a:t>
          </a: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5934</xdr:colOff>
      <xdr:row>1</xdr:row>
      <xdr:rowOff>11869</xdr:rowOff>
    </xdr:from>
    <xdr:to>
      <xdr:col>2</xdr:col>
      <xdr:colOff>0</xdr:colOff>
      <xdr:row>2</xdr:row>
      <xdr:rowOff>0</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783364" y="267056"/>
          <a:ext cx="771496" cy="243318"/>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100">
              <a:solidFill>
                <a:sysClr val="windowText" lastClr="000000"/>
              </a:solidFill>
            </a:rPr>
            <a:t>Analyze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3</xdr:col>
      <xdr:colOff>0</xdr:colOff>
      <xdr:row>7</xdr:row>
      <xdr:rowOff>1</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62000" y="1469571"/>
          <a:ext cx="1524000" cy="244930"/>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16</xdr:col>
      <xdr:colOff>63500</xdr:colOff>
      <xdr:row>12</xdr:row>
      <xdr:rowOff>63500</xdr:rowOff>
    </xdr:from>
    <xdr:to>
      <xdr:col>17</xdr:col>
      <xdr:colOff>3696</xdr:colOff>
      <xdr:row>12</xdr:row>
      <xdr:rowOff>1307086</xdr:rowOff>
    </xdr:to>
    <xdr:pic>
      <xdr:nvPicPr>
        <xdr:cNvPr id="7" name="MyPlot">
          <a:extLst>
            <a:ext uri="{FF2B5EF4-FFF2-40B4-BE49-F238E27FC236}">
              <a16:creationId xmlns:a16="http://schemas.microsoft.com/office/drawing/2014/main" id="{3165E8A2-DDCA-B11E-5C4E-32B3F31793A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950700" y="3044825"/>
          <a:ext cx="7217296" cy="12435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15</xdr:row>
      <xdr:rowOff>0</xdr:rowOff>
    </xdr:from>
    <xdr:to>
      <xdr:col>24</xdr:col>
      <xdr:colOff>0</xdr:colOff>
      <xdr:row>26</xdr:row>
      <xdr:rowOff>0</xdr:rowOff>
    </xdr:to>
    <xdr:graphicFrame macro="">
      <xdr:nvGraphicFramePr>
        <xdr:cNvPr id="2" name="グラフ 1">
          <a:extLst>
            <a:ext uri="{FF2B5EF4-FFF2-40B4-BE49-F238E27FC236}">
              <a16:creationId xmlns:a16="http://schemas.microsoft.com/office/drawing/2014/main" id="{6842020E-41CB-473D-9CE5-F2A5505A9C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28</xdr:row>
      <xdr:rowOff>0</xdr:rowOff>
    </xdr:from>
    <xdr:to>
      <xdr:col>3</xdr:col>
      <xdr:colOff>0</xdr:colOff>
      <xdr:row>29</xdr:row>
      <xdr:rowOff>0</xdr:rowOff>
    </xdr:to>
    <xdr:sp macro="" textlink="">
      <xdr:nvSpPr>
        <xdr:cNvPr id="3" name="正方形/長方形 2">
          <a:extLst>
            <a:ext uri="{FF2B5EF4-FFF2-40B4-BE49-F238E27FC236}">
              <a16:creationId xmlns:a16="http://schemas.microsoft.com/office/drawing/2014/main" id="{8A29020C-EA1E-4CFE-BB71-1B21A69BE1B5}"/>
            </a:ext>
          </a:extLst>
        </xdr:cNvPr>
        <xdr:cNvSpPr/>
      </xdr:nvSpPr>
      <xdr:spPr>
        <a:xfrm>
          <a:off x="657225" y="6762750"/>
          <a:ext cx="1314450" cy="238125"/>
        </a:xfrm>
        <a:prstGeom prst="rect">
          <a:avLst/>
        </a:prstGeom>
        <a:solidFill>
          <a:schemeClr val="accent4">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リブ枚数変更</a:t>
          </a:r>
        </a:p>
      </xdr:txBody>
    </xdr:sp>
    <xdr:clientData/>
  </xdr:twoCellAnchor>
  <xdr:twoCellAnchor>
    <xdr:from>
      <xdr:col>7</xdr:col>
      <xdr:colOff>0</xdr:colOff>
      <xdr:row>18</xdr:row>
      <xdr:rowOff>0</xdr:rowOff>
    </xdr:from>
    <xdr:to>
      <xdr:col>9</xdr:col>
      <xdr:colOff>0</xdr:colOff>
      <xdr:row>18</xdr:row>
      <xdr:rowOff>223426</xdr:rowOff>
    </xdr:to>
    <xdr:sp macro="" textlink="">
      <xdr:nvSpPr>
        <xdr:cNvPr id="4" name="正方形/長方形 4">
          <a:extLst>
            <a:ext uri="{FF2B5EF4-FFF2-40B4-BE49-F238E27FC236}">
              <a16:creationId xmlns:a16="http://schemas.microsoft.com/office/drawing/2014/main" id="{F7371C00-31A9-40FD-B180-1027B1338E23}"/>
            </a:ext>
          </a:extLst>
        </xdr:cNvPr>
        <xdr:cNvSpPr/>
      </xdr:nvSpPr>
      <xdr:spPr>
        <a:xfrm>
          <a:off x="4600575" y="4333875"/>
          <a:ext cx="1314450" cy="223426"/>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楕円計算</a:t>
          </a:r>
        </a:p>
      </xdr:txBody>
    </xdr:sp>
    <xdr:clientData/>
  </xdr:twoCellAnchor>
  <xdr:twoCellAnchor>
    <xdr:from>
      <xdr:col>11</xdr:col>
      <xdr:colOff>0</xdr:colOff>
      <xdr:row>26</xdr:row>
      <xdr:rowOff>0</xdr:rowOff>
    </xdr:from>
    <xdr:to>
      <xdr:col>24</xdr:col>
      <xdr:colOff>0</xdr:colOff>
      <xdr:row>37</xdr:row>
      <xdr:rowOff>0</xdr:rowOff>
    </xdr:to>
    <xdr:graphicFrame macro="">
      <xdr:nvGraphicFramePr>
        <xdr:cNvPr id="5" name="グラフ 13">
          <a:extLst>
            <a:ext uri="{FF2B5EF4-FFF2-40B4-BE49-F238E27FC236}">
              <a16:creationId xmlns:a16="http://schemas.microsoft.com/office/drawing/2014/main" id="{810F0306-2061-42B0-B199-15A10B0A95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0</xdr:colOff>
      <xdr:row>15</xdr:row>
      <xdr:rowOff>0</xdr:rowOff>
    </xdr:from>
    <xdr:to>
      <xdr:col>38</xdr:col>
      <xdr:colOff>-1</xdr:colOff>
      <xdr:row>26</xdr:row>
      <xdr:rowOff>0</xdr:rowOff>
    </xdr:to>
    <xdr:graphicFrame macro="">
      <xdr:nvGraphicFramePr>
        <xdr:cNvPr id="6" name="グラフ 8">
          <a:extLst>
            <a:ext uri="{FF2B5EF4-FFF2-40B4-BE49-F238E27FC236}">
              <a16:creationId xmlns:a16="http://schemas.microsoft.com/office/drawing/2014/main" id="{E306530F-BBF1-4A2F-904C-5C2D65A521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0</xdr:colOff>
      <xdr:row>26</xdr:row>
      <xdr:rowOff>0</xdr:rowOff>
    </xdr:from>
    <xdr:to>
      <xdr:col>38</xdr:col>
      <xdr:colOff>-1</xdr:colOff>
      <xdr:row>37</xdr:row>
      <xdr:rowOff>0</xdr:rowOff>
    </xdr:to>
    <xdr:graphicFrame macro="">
      <xdr:nvGraphicFramePr>
        <xdr:cNvPr id="7" name="グラフ 14">
          <a:extLst>
            <a:ext uri="{FF2B5EF4-FFF2-40B4-BE49-F238E27FC236}">
              <a16:creationId xmlns:a16="http://schemas.microsoft.com/office/drawing/2014/main" id="{5CCCAE80-507F-4BEF-AF05-DA9B4A6E4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28</xdr:row>
      <xdr:rowOff>0</xdr:rowOff>
    </xdr:from>
    <xdr:to>
      <xdr:col>3</xdr:col>
      <xdr:colOff>0</xdr:colOff>
      <xdr:row>29</xdr:row>
      <xdr:rowOff>0</xdr:rowOff>
    </xdr:to>
    <xdr:sp macro="" textlink="">
      <xdr:nvSpPr>
        <xdr:cNvPr id="2" name="正方形/長方形 1">
          <a:extLst>
            <a:ext uri="{FF2B5EF4-FFF2-40B4-BE49-F238E27FC236}">
              <a16:creationId xmlns:a16="http://schemas.microsoft.com/office/drawing/2014/main" id="{3BFD7FD4-DD58-4ECF-B492-2B85FC675B03}"/>
            </a:ext>
          </a:extLst>
        </xdr:cNvPr>
        <xdr:cNvSpPr/>
      </xdr:nvSpPr>
      <xdr:spPr>
        <a:xfrm>
          <a:off x="657225" y="6753225"/>
          <a:ext cx="1314450" cy="247650"/>
        </a:xfrm>
        <a:prstGeom prst="rect">
          <a:avLst/>
        </a:prstGeom>
        <a:solidFill>
          <a:schemeClr val="accent4">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リブ枚数変更</a:t>
          </a:r>
        </a:p>
      </xdr:txBody>
    </xdr:sp>
    <xdr:clientData/>
  </xdr:twoCellAnchor>
  <xdr:twoCellAnchor>
    <xdr:from>
      <xdr:col>17</xdr:col>
      <xdr:colOff>0</xdr:colOff>
      <xdr:row>24</xdr:row>
      <xdr:rowOff>0</xdr:rowOff>
    </xdr:from>
    <xdr:to>
      <xdr:col>21</xdr:col>
      <xdr:colOff>0</xdr:colOff>
      <xdr:row>38</xdr:row>
      <xdr:rowOff>0</xdr:rowOff>
    </xdr:to>
    <xdr:graphicFrame macro="">
      <xdr:nvGraphicFramePr>
        <xdr:cNvPr id="3" name="グラフ 2">
          <a:extLst>
            <a:ext uri="{FF2B5EF4-FFF2-40B4-BE49-F238E27FC236}">
              <a16:creationId xmlns:a16="http://schemas.microsoft.com/office/drawing/2014/main" id="{BDEA998C-9440-4B5A-A946-47C197CFB5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0</xdr:colOff>
      <xdr:row>11</xdr:row>
      <xdr:rowOff>0</xdr:rowOff>
    </xdr:from>
    <xdr:to>
      <xdr:col>25</xdr:col>
      <xdr:colOff>0</xdr:colOff>
      <xdr:row>24</xdr:row>
      <xdr:rowOff>0</xdr:rowOff>
    </xdr:to>
    <xdr:graphicFrame macro="">
      <xdr:nvGraphicFramePr>
        <xdr:cNvPr id="4" name="グラフ 3">
          <a:extLst>
            <a:ext uri="{FF2B5EF4-FFF2-40B4-BE49-F238E27FC236}">
              <a16:creationId xmlns:a16="http://schemas.microsoft.com/office/drawing/2014/main" id="{E69CF99F-E7E9-4D0E-87CF-D0DA11E93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11</xdr:row>
      <xdr:rowOff>0</xdr:rowOff>
    </xdr:from>
    <xdr:to>
      <xdr:col>21</xdr:col>
      <xdr:colOff>0</xdr:colOff>
      <xdr:row>24</xdr:row>
      <xdr:rowOff>0</xdr:rowOff>
    </xdr:to>
    <xdr:graphicFrame macro="">
      <xdr:nvGraphicFramePr>
        <xdr:cNvPr id="5" name="グラフ 4">
          <a:extLst>
            <a:ext uri="{FF2B5EF4-FFF2-40B4-BE49-F238E27FC236}">
              <a16:creationId xmlns:a16="http://schemas.microsoft.com/office/drawing/2014/main" id="{42A614B4-7304-4667-BD32-7F8B22A47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740807</xdr:colOff>
      <xdr:row>2</xdr:row>
      <xdr:rowOff>248</xdr:rowOff>
    </xdr:to>
    <xdr:sp macro="" textlink="">
      <xdr:nvSpPr>
        <xdr:cNvPr id="8" name="正方形/長方形 7">
          <a:extLst>
            <a:ext uri="{FF2B5EF4-FFF2-40B4-BE49-F238E27FC236}">
              <a16:creationId xmlns:a16="http://schemas.microsoft.com/office/drawing/2014/main" id="{17DFAF45-AEBD-437D-AA87-09FF1FE9BEC8}"/>
            </a:ext>
          </a:extLst>
        </xdr:cNvPr>
        <xdr:cNvSpPr/>
      </xdr:nvSpPr>
      <xdr:spPr>
        <a:xfrm>
          <a:off x="1485900" y="247650"/>
          <a:ext cx="740807" cy="24789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twoCellAnchor>
    <xdr:from>
      <xdr:col>2</xdr:col>
      <xdr:colOff>0</xdr:colOff>
      <xdr:row>6</xdr:row>
      <xdr:rowOff>0</xdr:rowOff>
    </xdr:from>
    <xdr:to>
      <xdr:col>2</xdr:col>
      <xdr:colOff>740807</xdr:colOff>
      <xdr:row>7</xdr:row>
      <xdr:rowOff>248</xdr:rowOff>
    </xdr:to>
    <xdr:sp macro="" textlink="">
      <xdr:nvSpPr>
        <xdr:cNvPr id="9" name="正方形/長方形 8">
          <a:extLst>
            <a:ext uri="{FF2B5EF4-FFF2-40B4-BE49-F238E27FC236}">
              <a16:creationId xmlns:a16="http://schemas.microsoft.com/office/drawing/2014/main" id="{86C09FDD-E013-4AD7-9091-9B5B5D68F290}"/>
            </a:ext>
          </a:extLst>
        </xdr:cNvPr>
        <xdr:cNvSpPr/>
      </xdr:nvSpPr>
      <xdr:spPr>
        <a:xfrm>
          <a:off x="1485900" y="2000250"/>
          <a:ext cx="740807" cy="24789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twoCellAnchor>
    <xdr:from>
      <xdr:col>2</xdr:col>
      <xdr:colOff>0</xdr:colOff>
      <xdr:row>11</xdr:row>
      <xdr:rowOff>0</xdr:rowOff>
    </xdr:from>
    <xdr:to>
      <xdr:col>2</xdr:col>
      <xdr:colOff>740807</xdr:colOff>
      <xdr:row>12</xdr:row>
      <xdr:rowOff>248</xdr:rowOff>
    </xdr:to>
    <xdr:sp macro="" textlink="">
      <xdr:nvSpPr>
        <xdr:cNvPr id="10" name="正方形/長方形 9">
          <a:extLst>
            <a:ext uri="{FF2B5EF4-FFF2-40B4-BE49-F238E27FC236}">
              <a16:creationId xmlns:a16="http://schemas.microsoft.com/office/drawing/2014/main" id="{B3086A1E-1558-4DB7-8FE7-82053DE885C0}"/>
            </a:ext>
          </a:extLst>
        </xdr:cNvPr>
        <xdr:cNvSpPr/>
      </xdr:nvSpPr>
      <xdr:spPr>
        <a:xfrm>
          <a:off x="1485900" y="3257550"/>
          <a:ext cx="740807" cy="24789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1</xdr:row>
      <xdr:rowOff>0</xdr:rowOff>
    </xdr:from>
    <xdr:to>
      <xdr:col>5</xdr:col>
      <xdr:colOff>740807</xdr:colOff>
      <xdr:row>1</xdr:row>
      <xdr:rowOff>246778</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2984500" y="0"/>
          <a:ext cx="740807" cy="24677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N39"/>
  <sheetViews>
    <sheetView zoomScale="70" zoomScaleNormal="70" workbookViewId="0">
      <selection activeCell="K18" sqref="K18"/>
    </sheetView>
  </sheetViews>
  <sheetFormatPr defaultColWidth="7.6640625" defaultRowHeight="19.5"/>
  <cols>
    <col min="2" max="2" width="15.109375" customWidth="1"/>
    <col min="7" max="7" width="15.33203125" customWidth="1"/>
  </cols>
  <sheetData>
    <row r="2" spans="2:40" ht="20.25" thickBot="1">
      <c r="B2" t="s">
        <v>643</v>
      </c>
      <c r="G2" s="3" t="s">
        <v>67</v>
      </c>
      <c r="H2" s="3"/>
      <c r="I2" s="3"/>
      <c r="J2" s="3"/>
      <c r="L2" t="s">
        <v>439</v>
      </c>
      <c r="Q2" t="s">
        <v>408</v>
      </c>
      <c r="V2" t="s">
        <v>465</v>
      </c>
      <c r="AA2" s="3" t="s">
        <v>46</v>
      </c>
      <c r="AB2" s="3"/>
      <c r="AC2" s="3"/>
      <c r="AD2" s="3"/>
      <c r="AF2" s="3" t="s">
        <v>349</v>
      </c>
      <c r="AG2" s="3"/>
      <c r="AH2" s="3"/>
      <c r="AI2" s="3"/>
      <c r="AK2" s="62" t="s">
        <v>359</v>
      </c>
    </row>
    <row r="3" spans="2:40" ht="19.5" customHeight="1">
      <c r="B3" s="176" t="s">
        <v>930</v>
      </c>
      <c r="C3" s="177"/>
      <c r="D3" s="177"/>
      <c r="E3" s="178"/>
      <c r="F3" s="96"/>
      <c r="G3" s="10" t="s">
        <v>68</v>
      </c>
      <c r="H3" s="10" t="s">
        <v>69</v>
      </c>
      <c r="I3" s="10" t="s">
        <v>70</v>
      </c>
      <c r="J3" s="10" t="s">
        <v>71</v>
      </c>
      <c r="L3" s="10" t="s">
        <v>645</v>
      </c>
      <c r="M3" s="10" t="s">
        <v>69</v>
      </c>
      <c r="N3" s="10" t="s">
        <v>70</v>
      </c>
      <c r="O3" s="10" t="s">
        <v>71</v>
      </c>
      <c r="Q3" s="10" t="s">
        <v>645</v>
      </c>
      <c r="R3" s="10" t="s">
        <v>69</v>
      </c>
      <c r="S3" s="10" t="s">
        <v>70</v>
      </c>
      <c r="T3" s="10" t="s">
        <v>71</v>
      </c>
      <c r="V3" s="18" t="s">
        <v>619</v>
      </c>
      <c r="W3" s="18" t="s">
        <v>69</v>
      </c>
      <c r="X3" s="18" t="s">
        <v>70</v>
      </c>
      <c r="Y3" s="18" t="s">
        <v>71</v>
      </c>
      <c r="AA3" s="10" t="s">
        <v>68</v>
      </c>
      <c r="AB3" s="10" t="s">
        <v>69</v>
      </c>
      <c r="AC3" s="10" t="s">
        <v>70</v>
      </c>
      <c r="AD3" s="10" t="s">
        <v>71</v>
      </c>
      <c r="AF3" s="10" t="s">
        <v>68</v>
      </c>
      <c r="AG3" s="10" t="s">
        <v>69</v>
      </c>
      <c r="AH3" s="10" t="s">
        <v>70</v>
      </c>
      <c r="AI3" s="10" t="s">
        <v>71</v>
      </c>
      <c r="AK3" s="10" t="s">
        <v>645</v>
      </c>
      <c r="AL3" s="10" t="s">
        <v>69</v>
      </c>
      <c r="AM3" s="10" t="s">
        <v>70</v>
      </c>
      <c r="AN3" s="10" t="s">
        <v>71</v>
      </c>
    </row>
    <row r="4" spans="2:40">
      <c r="B4" s="179"/>
      <c r="C4" s="180"/>
      <c r="D4" s="180"/>
      <c r="E4" s="181"/>
      <c r="F4" s="96"/>
      <c r="G4" s="1" t="s">
        <v>73</v>
      </c>
      <c r="H4" s="1" t="s">
        <v>74</v>
      </c>
      <c r="I4" s="1"/>
      <c r="J4" s="1" t="s">
        <v>75</v>
      </c>
      <c r="L4" s="1" t="s">
        <v>441</v>
      </c>
      <c r="M4" s="1" t="s">
        <v>442</v>
      </c>
      <c r="N4" s="1">
        <f>D13</f>
        <v>10.5</v>
      </c>
      <c r="O4" s="1" t="s">
        <v>103</v>
      </c>
      <c r="Q4" s="65" t="s">
        <v>681</v>
      </c>
      <c r="R4" s="65" t="s">
        <v>194</v>
      </c>
      <c r="S4" s="65"/>
      <c r="T4" s="65"/>
      <c r="V4" s="65" t="s">
        <v>372</v>
      </c>
      <c r="W4" s="65" t="s">
        <v>373</v>
      </c>
      <c r="X4" s="44"/>
      <c r="Y4" s="44" t="s">
        <v>52</v>
      </c>
      <c r="AA4" s="1" t="s">
        <v>662</v>
      </c>
      <c r="AB4" s="1" t="s">
        <v>510</v>
      </c>
      <c r="AC4" s="1">
        <f>AZ13*2</f>
        <v>0</v>
      </c>
      <c r="AD4" s="1" t="s">
        <v>437</v>
      </c>
      <c r="AE4" s="3" t="s">
        <v>661</v>
      </c>
      <c r="AF4" s="1" t="s">
        <v>470</v>
      </c>
      <c r="AG4" s="1" t="s">
        <v>471</v>
      </c>
      <c r="AH4" s="1" t="e">
        <f>(AH22*AM3)/(AH21*AM22)</f>
        <v>#VALUE!</v>
      </c>
      <c r="AI4" s="1" t="s">
        <v>52</v>
      </c>
      <c r="AK4" s="65" t="s">
        <v>360</v>
      </c>
      <c r="AL4" s="65" t="s">
        <v>361</v>
      </c>
      <c r="AM4" s="65"/>
      <c r="AN4" s="65"/>
    </row>
    <row r="5" spans="2:40">
      <c r="B5" s="179"/>
      <c r="C5" s="180"/>
      <c r="D5" s="180"/>
      <c r="E5" s="181"/>
      <c r="F5" s="96"/>
      <c r="G5" s="1" t="s">
        <v>77</v>
      </c>
      <c r="H5" s="1" t="s">
        <v>78</v>
      </c>
      <c r="I5" s="1"/>
      <c r="J5" s="1" t="s">
        <v>79</v>
      </c>
      <c r="L5" s="1" t="s">
        <v>445</v>
      </c>
      <c r="M5" s="1" t="s">
        <v>446</v>
      </c>
      <c r="N5" s="1">
        <f>N6*SQRT(D17)</f>
        <v>0</v>
      </c>
      <c r="O5" s="1" t="s">
        <v>103</v>
      </c>
      <c r="Q5" s="65"/>
      <c r="R5" s="65" t="s">
        <v>409</v>
      </c>
      <c r="S5" s="65"/>
      <c r="T5" s="65"/>
      <c r="V5" s="65" t="s">
        <v>374</v>
      </c>
      <c r="W5" s="65" t="s">
        <v>375</v>
      </c>
      <c r="X5" s="44"/>
      <c r="Y5" s="44" t="s">
        <v>52</v>
      </c>
      <c r="AA5" s="1" t="s">
        <v>533</v>
      </c>
      <c r="AB5" s="1" t="s">
        <v>663</v>
      </c>
      <c r="AC5" s="1">
        <f>AY13*2</f>
        <v>0</v>
      </c>
      <c r="AD5" s="1" t="s">
        <v>9</v>
      </c>
      <c r="AE5" s="3"/>
      <c r="AF5" s="1"/>
      <c r="AG5" s="1" t="s">
        <v>472</v>
      </c>
      <c r="AH5" s="1" t="s">
        <v>52</v>
      </c>
      <c r="AI5" s="1" t="s">
        <v>52</v>
      </c>
      <c r="AK5" s="65" t="s">
        <v>364</v>
      </c>
      <c r="AL5" s="65" t="s">
        <v>365</v>
      </c>
      <c r="AM5" s="65"/>
      <c r="AN5" s="65"/>
    </row>
    <row r="6" spans="2:40">
      <c r="B6" s="179"/>
      <c r="C6" s="180"/>
      <c r="D6" s="180"/>
      <c r="E6" s="181"/>
      <c r="F6" s="96"/>
      <c r="G6" s="1" t="s">
        <v>81</v>
      </c>
      <c r="H6" s="1" t="s">
        <v>82</v>
      </c>
      <c r="I6" s="1"/>
      <c r="J6" s="1" t="s">
        <v>83</v>
      </c>
      <c r="L6" s="1" t="s">
        <v>449</v>
      </c>
      <c r="M6" s="1" t="s">
        <v>450</v>
      </c>
      <c r="N6" s="1"/>
      <c r="O6" s="1" t="s">
        <v>103</v>
      </c>
      <c r="Q6" s="65"/>
      <c r="R6" s="65" t="s">
        <v>410</v>
      </c>
      <c r="S6" s="65"/>
      <c r="T6" s="65"/>
      <c r="V6" s="65" t="s">
        <v>320</v>
      </c>
      <c r="W6" s="65" t="s">
        <v>376</v>
      </c>
      <c r="X6" s="44"/>
      <c r="Y6" s="44" t="s">
        <v>52</v>
      </c>
      <c r="AA6" s="1" t="s">
        <v>623</v>
      </c>
      <c r="AB6" s="1" t="s">
        <v>629</v>
      </c>
      <c r="AC6" s="1" t="e">
        <f>(AC5*AC5)/AC4</f>
        <v>#DIV/0!</v>
      </c>
      <c r="AD6" s="1" t="s">
        <v>52</v>
      </c>
      <c r="AE6" s="3"/>
      <c r="AF6" s="1" t="s">
        <v>473</v>
      </c>
      <c r="AG6" s="1" t="s">
        <v>474</v>
      </c>
      <c r="AH6" s="78" t="e">
        <f>(AM5*AH23)/(AM20*AH21)</f>
        <v>#DIV/0!</v>
      </c>
      <c r="AI6" s="1" t="s">
        <v>52</v>
      </c>
      <c r="AK6" s="65" t="s">
        <v>366</v>
      </c>
      <c r="AL6" s="65" t="s">
        <v>367</v>
      </c>
      <c r="AM6" s="65"/>
      <c r="AN6" s="65"/>
    </row>
    <row r="7" spans="2:40">
      <c r="B7" s="179"/>
      <c r="C7" s="180"/>
      <c r="D7" s="180"/>
      <c r="E7" s="181"/>
      <c r="F7" s="96"/>
      <c r="G7" s="1" t="s">
        <v>85</v>
      </c>
      <c r="H7" s="1" t="s">
        <v>86</v>
      </c>
      <c r="I7" s="1"/>
      <c r="J7" s="1" t="s">
        <v>87</v>
      </c>
      <c r="L7" s="1" t="s">
        <v>451</v>
      </c>
      <c r="M7" s="1" t="s">
        <v>452</v>
      </c>
      <c r="N7" s="1"/>
      <c r="O7" s="1" t="s">
        <v>103</v>
      </c>
      <c r="V7" s="65" t="s">
        <v>323</v>
      </c>
      <c r="W7" s="65" t="s">
        <v>377</v>
      </c>
      <c r="X7" s="44"/>
      <c r="Y7" s="44" t="s">
        <v>52</v>
      </c>
      <c r="AA7" s="1" t="s">
        <v>664</v>
      </c>
      <c r="AB7" s="1" t="s">
        <v>665</v>
      </c>
      <c r="AC7" s="1" t="e">
        <f>(2/AC4)*BC13</f>
        <v>#DIV/0!</v>
      </c>
      <c r="AD7" s="1" t="s">
        <v>9</v>
      </c>
      <c r="AE7" s="3"/>
      <c r="AF7" s="1" t="s">
        <v>52</v>
      </c>
      <c r="AG7" s="1" t="s">
        <v>475</v>
      </c>
      <c r="AH7" s="1">
        <f>IF(AH10="Conventional",(2*S17*(180/PI()))/(PI()*AM21),0)</f>
        <v>0</v>
      </c>
      <c r="AI7" s="1" t="s">
        <v>52</v>
      </c>
      <c r="AK7" s="65" t="s">
        <v>368</v>
      </c>
      <c r="AL7" s="65" t="s">
        <v>334</v>
      </c>
      <c r="AM7" s="65"/>
      <c r="AN7" s="65"/>
    </row>
    <row r="8" spans="2:40" ht="20.25" thickBot="1">
      <c r="B8" s="179"/>
      <c r="C8" s="180"/>
      <c r="D8" s="180"/>
      <c r="E8" s="181"/>
      <c r="F8" s="96"/>
      <c r="G8" s="1" t="s">
        <v>88</v>
      </c>
      <c r="H8" s="1" t="s">
        <v>89</v>
      </c>
      <c r="I8" s="1"/>
      <c r="J8" s="1" t="s">
        <v>90</v>
      </c>
      <c r="L8" s="1" t="s">
        <v>455</v>
      </c>
      <c r="M8" s="1" t="s">
        <v>456</v>
      </c>
      <c r="N8" s="1"/>
      <c r="O8" s="1" t="s">
        <v>103</v>
      </c>
      <c r="Q8" t="s">
        <v>687</v>
      </c>
      <c r="V8" s="65" t="s">
        <v>325</v>
      </c>
      <c r="W8" s="65" t="s">
        <v>378</v>
      </c>
      <c r="X8" s="44"/>
      <c r="Y8" s="44" t="s">
        <v>52</v>
      </c>
      <c r="AA8" s="20" t="s">
        <v>666</v>
      </c>
      <c r="AB8" s="20" t="s">
        <v>460</v>
      </c>
      <c r="AC8" s="20" t="e">
        <f>(2*BD13)/AC4</f>
        <v>#DIV/0!</v>
      </c>
      <c r="AD8" s="20" t="s">
        <v>9</v>
      </c>
      <c r="AE8" s="3"/>
      <c r="AF8" s="1" t="s">
        <v>476</v>
      </c>
      <c r="AG8" s="1" t="s">
        <v>477</v>
      </c>
      <c r="AH8" s="23">
        <v>1</v>
      </c>
      <c r="AI8" s="1" t="s">
        <v>52</v>
      </c>
      <c r="AK8" s="65" t="s">
        <v>369</v>
      </c>
      <c r="AL8" s="65" t="s">
        <v>370</v>
      </c>
      <c r="AM8" s="65"/>
      <c r="AN8" s="65"/>
    </row>
    <row r="9" spans="2:40" ht="21" thickTop="1" thickBot="1">
      <c r="B9" s="182"/>
      <c r="C9" s="183"/>
      <c r="D9" s="183"/>
      <c r="E9" s="184"/>
      <c r="G9" s="1"/>
      <c r="H9" s="1"/>
      <c r="I9" s="1"/>
      <c r="J9" s="1" t="s">
        <v>91</v>
      </c>
      <c r="Q9" s="10" t="s">
        <v>645</v>
      </c>
      <c r="R9" s="10" t="s">
        <v>69</v>
      </c>
      <c r="S9" s="10" t="s">
        <v>70</v>
      </c>
      <c r="T9" s="10" t="s">
        <v>71</v>
      </c>
      <c r="V9" s="65" t="s">
        <v>379</v>
      </c>
      <c r="W9" s="65" t="s">
        <v>380</v>
      </c>
      <c r="X9" s="44"/>
      <c r="Y9" s="44" t="s">
        <v>468</v>
      </c>
      <c r="AA9" s="2" t="s">
        <v>662</v>
      </c>
      <c r="AB9" s="1" t="s">
        <v>510</v>
      </c>
      <c r="AC9" s="1">
        <f>BV6</f>
        <v>0</v>
      </c>
      <c r="AD9" s="28" t="s">
        <v>437</v>
      </c>
      <c r="AE9" s="3" t="s">
        <v>667</v>
      </c>
      <c r="AF9" s="1" t="s">
        <v>483</v>
      </c>
      <c r="AG9" s="1" t="s">
        <v>484</v>
      </c>
      <c r="AH9" s="23">
        <v>0</v>
      </c>
      <c r="AI9" s="1" t="s">
        <v>52</v>
      </c>
    </row>
    <row r="10" spans="2:40">
      <c r="G10" s="1" t="s">
        <v>92</v>
      </c>
      <c r="H10" s="1" t="s">
        <v>93</v>
      </c>
      <c r="I10" s="34"/>
      <c r="J10" s="1" t="s">
        <v>94</v>
      </c>
      <c r="L10" s="62" t="s">
        <v>440</v>
      </c>
      <c r="Q10" s="65" t="s">
        <v>412</v>
      </c>
      <c r="R10" s="65" t="s">
        <v>417</v>
      </c>
      <c r="S10" s="65"/>
      <c r="T10" s="65"/>
      <c r="V10" s="65" t="s">
        <v>320</v>
      </c>
      <c r="W10" s="65" t="s">
        <v>382</v>
      </c>
      <c r="X10" s="44"/>
      <c r="Y10" s="44" t="s">
        <v>468</v>
      </c>
      <c r="AA10" s="1" t="s">
        <v>533</v>
      </c>
      <c r="AB10" s="1" t="s">
        <v>663</v>
      </c>
      <c r="AC10" s="1">
        <f>BV7</f>
        <v>0</v>
      </c>
      <c r="AD10" s="1" t="s">
        <v>9</v>
      </c>
      <c r="AE10" s="3"/>
      <c r="AF10" s="2" t="s">
        <v>488</v>
      </c>
      <c r="AG10" s="2" t="s">
        <v>52</v>
      </c>
      <c r="AH10" s="79" t="s">
        <v>357</v>
      </c>
      <c r="AI10" s="1" t="s">
        <v>52</v>
      </c>
      <c r="AK10" s="62" t="s">
        <v>57</v>
      </c>
    </row>
    <row r="11" spans="2:40" ht="20.25" thickBot="1">
      <c r="B11" t="s">
        <v>618</v>
      </c>
      <c r="G11" s="1"/>
      <c r="H11" s="1"/>
      <c r="I11" s="34"/>
      <c r="J11" s="1" t="s">
        <v>95</v>
      </c>
      <c r="L11" s="10" t="s">
        <v>645</v>
      </c>
      <c r="M11" s="10" t="s">
        <v>69</v>
      </c>
      <c r="N11" s="10" t="s">
        <v>70</v>
      </c>
      <c r="O11" s="10" t="s">
        <v>71</v>
      </c>
      <c r="Q11" s="65" t="s">
        <v>419</v>
      </c>
      <c r="R11" s="65" t="s">
        <v>423</v>
      </c>
      <c r="S11" s="65"/>
      <c r="T11" s="65"/>
      <c r="V11" s="65" t="s">
        <v>323</v>
      </c>
      <c r="W11" s="65" t="s">
        <v>383</v>
      </c>
      <c r="X11" s="44"/>
      <c r="Y11" s="44" t="s">
        <v>381</v>
      </c>
      <c r="AA11" s="1" t="s">
        <v>623</v>
      </c>
      <c r="AB11" s="1" t="s">
        <v>629</v>
      </c>
      <c r="AC11" s="1">
        <f>BV8</f>
        <v>0</v>
      </c>
      <c r="AD11" s="1" t="s">
        <v>52</v>
      </c>
      <c r="AE11" s="3"/>
      <c r="AK11" s="10" t="s">
        <v>645</v>
      </c>
      <c r="AL11" s="10" t="s">
        <v>69</v>
      </c>
      <c r="AM11" s="10" t="s">
        <v>70</v>
      </c>
      <c r="AN11" s="10" t="s">
        <v>71</v>
      </c>
    </row>
    <row r="12" spans="2:40">
      <c r="B12" s="104" t="s">
        <v>619</v>
      </c>
      <c r="C12" s="105" t="s">
        <v>69</v>
      </c>
      <c r="D12" s="105" t="s">
        <v>70</v>
      </c>
      <c r="E12" s="106" t="s">
        <v>71</v>
      </c>
      <c r="G12" s="1" t="s">
        <v>96</v>
      </c>
      <c r="H12" s="1" t="s">
        <v>97</v>
      </c>
      <c r="I12" s="1"/>
      <c r="J12" s="1" t="s">
        <v>98</v>
      </c>
      <c r="L12" s="65" t="s">
        <v>652</v>
      </c>
      <c r="M12" s="65" t="s">
        <v>205</v>
      </c>
      <c r="N12" s="65"/>
      <c r="O12" s="65"/>
      <c r="Q12" s="65" t="s">
        <v>424</v>
      </c>
      <c r="R12" s="65" t="s">
        <v>427</v>
      </c>
      <c r="S12" s="65"/>
      <c r="T12" s="65"/>
      <c r="V12" s="65" t="s">
        <v>325</v>
      </c>
      <c r="W12" s="65" t="s">
        <v>384</v>
      </c>
      <c r="X12" s="44"/>
      <c r="Y12" s="44" t="s">
        <v>381</v>
      </c>
      <c r="AA12" s="1" t="s">
        <v>664</v>
      </c>
      <c r="AB12" s="1" t="s">
        <v>630</v>
      </c>
      <c r="AC12" s="1">
        <f>BV9</f>
        <v>0</v>
      </c>
      <c r="AD12" s="1" t="s">
        <v>9</v>
      </c>
      <c r="AE12" s="3"/>
      <c r="AF12" s="3" t="s">
        <v>691</v>
      </c>
      <c r="AG12" s="3"/>
      <c r="AH12" s="3"/>
      <c r="AI12" s="3"/>
      <c r="AK12" s="73" t="s">
        <v>327</v>
      </c>
      <c r="AL12" s="73" t="s">
        <v>328</v>
      </c>
      <c r="AM12" s="73"/>
      <c r="AN12" s="73"/>
    </row>
    <row r="13" spans="2:40" ht="20.25" thickBot="1">
      <c r="B13" s="107" t="s">
        <v>626</v>
      </c>
      <c r="C13" s="65" t="s">
        <v>442</v>
      </c>
      <c r="D13" s="94">
        <v>10.5</v>
      </c>
      <c r="E13" s="108" t="s">
        <v>103</v>
      </c>
      <c r="G13" s="1" t="s">
        <v>99</v>
      </c>
      <c r="H13" s="1" t="s">
        <v>100</v>
      </c>
      <c r="I13" s="1"/>
      <c r="J13" s="1" t="s">
        <v>52</v>
      </c>
      <c r="L13" s="65" t="s">
        <v>653</v>
      </c>
      <c r="M13" s="65" t="s">
        <v>444</v>
      </c>
      <c r="N13" s="65"/>
      <c r="O13" s="65"/>
      <c r="Q13" s="65" t="s">
        <v>428</v>
      </c>
      <c r="R13" s="65" t="s">
        <v>429</v>
      </c>
      <c r="S13" s="65"/>
      <c r="T13" s="65"/>
      <c r="AA13" s="20" t="s">
        <v>666</v>
      </c>
      <c r="AB13" s="20" t="s">
        <v>460</v>
      </c>
      <c r="AC13" s="20">
        <f>BV10</f>
        <v>0</v>
      </c>
      <c r="AD13" s="20" t="s">
        <v>9</v>
      </c>
      <c r="AE13" s="3"/>
      <c r="AF13" s="10" t="s">
        <v>68</v>
      </c>
      <c r="AG13" s="10" t="s">
        <v>69</v>
      </c>
      <c r="AH13" s="10" t="s">
        <v>70</v>
      </c>
      <c r="AI13" s="10" t="s">
        <v>71</v>
      </c>
      <c r="AK13" s="65" t="s">
        <v>329</v>
      </c>
      <c r="AL13" s="65" t="s">
        <v>330</v>
      </c>
      <c r="AM13" s="65"/>
      <c r="AN13" s="65"/>
    </row>
    <row r="14" spans="2:40" ht="20.25" thickTop="1">
      <c r="B14" s="107" t="s">
        <v>627</v>
      </c>
      <c r="C14" s="65" t="s">
        <v>52</v>
      </c>
      <c r="D14" s="65">
        <v>42</v>
      </c>
      <c r="E14" s="108" t="s">
        <v>10</v>
      </c>
      <c r="F14" s="62"/>
      <c r="G14" s="1" t="s">
        <v>101</v>
      </c>
      <c r="H14" s="1" t="s">
        <v>102</v>
      </c>
      <c r="I14" s="1"/>
      <c r="J14" s="1" t="s">
        <v>103</v>
      </c>
      <c r="L14" s="65" t="s">
        <v>654</v>
      </c>
      <c r="M14" s="65" t="s">
        <v>448</v>
      </c>
      <c r="N14" s="65"/>
      <c r="O14" s="65"/>
      <c r="Q14" s="65"/>
      <c r="R14" s="65" t="s">
        <v>430</v>
      </c>
      <c r="S14" s="65"/>
      <c r="T14" s="65"/>
      <c r="V14" s="62" t="s">
        <v>491</v>
      </c>
      <c r="AA14" s="1" t="s">
        <v>457</v>
      </c>
      <c r="AB14" s="1" t="s">
        <v>458</v>
      </c>
      <c r="AC14" s="1"/>
      <c r="AD14" s="1" t="s">
        <v>459</v>
      </c>
      <c r="AF14" s="1" t="s">
        <v>46</v>
      </c>
      <c r="AG14" s="1" t="s">
        <v>510</v>
      </c>
      <c r="AH14" s="80">
        <v>0</v>
      </c>
      <c r="AI14" s="1">
        <v>0</v>
      </c>
      <c r="AK14" s="65" t="s">
        <v>331</v>
      </c>
      <c r="AL14" s="65" t="s">
        <v>332</v>
      </c>
      <c r="AM14" s="65"/>
      <c r="AN14" s="65"/>
    </row>
    <row r="15" spans="2:40">
      <c r="B15" s="107" t="s">
        <v>628</v>
      </c>
      <c r="C15" s="65" t="s">
        <v>52</v>
      </c>
      <c r="D15" s="94">
        <v>61</v>
      </c>
      <c r="E15" s="108" t="s">
        <v>10</v>
      </c>
      <c r="G15" s="1" t="s">
        <v>104</v>
      </c>
      <c r="H15" s="1" t="s">
        <v>105</v>
      </c>
      <c r="I15" s="1"/>
      <c r="J15" s="1" t="s">
        <v>52</v>
      </c>
      <c r="Q15" s="65" t="s">
        <v>431</v>
      </c>
      <c r="R15" s="65" t="s">
        <v>432</v>
      </c>
      <c r="S15" s="65"/>
      <c r="T15" s="65"/>
      <c r="V15" s="10" t="s">
        <v>68</v>
      </c>
      <c r="W15" s="10" t="s">
        <v>69</v>
      </c>
      <c r="X15" s="10" t="s">
        <v>70</v>
      </c>
      <c r="Y15" s="10" t="s">
        <v>71</v>
      </c>
      <c r="AA15" s="1" t="s">
        <v>335</v>
      </c>
      <c r="AB15" s="1" t="s">
        <v>336</v>
      </c>
      <c r="AC15" s="1"/>
      <c r="AD15" s="1" t="s">
        <v>51</v>
      </c>
      <c r="AF15" s="1" t="s">
        <v>57</v>
      </c>
      <c r="AG15" s="1" t="s">
        <v>529</v>
      </c>
      <c r="AH15" s="80">
        <v>0</v>
      </c>
      <c r="AI15" s="1">
        <v>0</v>
      </c>
      <c r="AK15" s="65" t="s">
        <v>333</v>
      </c>
      <c r="AL15" s="65" t="s">
        <v>334</v>
      </c>
      <c r="AM15" s="65"/>
      <c r="AN15" s="65"/>
    </row>
    <row r="16" spans="2:40">
      <c r="B16" s="107" t="s">
        <v>651</v>
      </c>
      <c r="C16" s="65" t="s">
        <v>453</v>
      </c>
      <c r="D16" s="65">
        <f>D14+D15</f>
        <v>103</v>
      </c>
      <c r="E16" s="108" t="s">
        <v>530</v>
      </c>
      <c r="G16" s="1" t="s">
        <v>107</v>
      </c>
      <c r="H16" s="1" t="s">
        <v>108</v>
      </c>
      <c r="I16" s="1"/>
      <c r="J16" s="1" t="s">
        <v>52</v>
      </c>
      <c r="L16" s="3" t="s">
        <v>686</v>
      </c>
      <c r="M16" s="3"/>
      <c r="N16" s="3"/>
      <c r="O16" s="3"/>
      <c r="V16" s="2" t="s">
        <v>491</v>
      </c>
      <c r="W16" s="2" t="s">
        <v>500</v>
      </c>
      <c r="X16" s="2" t="e">
        <f>#REF!+#REF!*(#REF!/X26)+X18*(#REF!/X26)+(D25*(#REF!/X26)+D26*(#REF!/X26))*D27</f>
        <v>#REF!</v>
      </c>
      <c r="Y16" s="2" t="s">
        <v>52</v>
      </c>
      <c r="AA16" s="1" t="s">
        <v>337</v>
      </c>
      <c r="AB16" s="1" t="s">
        <v>338</v>
      </c>
      <c r="AC16" s="1"/>
      <c r="AD16" s="1" t="s">
        <v>51</v>
      </c>
      <c r="AF16" s="1" t="s">
        <v>58</v>
      </c>
      <c r="AG16" s="1" t="s">
        <v>531</v>
      </c>
      <c r="AH16" s="80">
        <v>0</v>
      </c>
      <c r="AI16" s="1">
        <v>0</v>
      </c>
      <c r="AK16" s="65" t="s">
        <v>335</v>
      </c>
      <c r="AL16" s="65" t="s">
        <v>336</v>
      </c>
      <c r="AM16" s="65"/>
      <c r="AN16" s="65"/>
    </row>
    <row r="17" spans="2:40" ht="20.25" thickBot="1">
      <c r="B17" s="109" t="s">
        <v>646</v>
      </c>
      <c r="C17" s="93" t="s">
        <v>647</v>
      </c>
      <c r="D17" s="99">
        <v>3</v>
      </c>
      <c r="E17" s="110" t="s">
        <v>649</v>
      </c>
      <c r="F17" s="62"/>
      <c r="G17" s="1" t="s">
        <v>478</v>
      </c>
      <c r="H17" s="1" t="s">
        <v>479</v>
      </c>
      <c r="I17" s="1"/>
      <c r="J17" s="1" t="s">
        <v>480</v>
      </c>
      <c r="L17" s="10" t="s">
        <v>645</v>
      </c>
      <c r="M17" s="10" t="s">
        <v>69</v>
      </c>
      <c r="N17" s="10" t="s">
        <v>70</v>
      </c>
      <c r="O17" s="10" t="s">
        <v>71</v>
      </c>
      <c r="Q17" s="3" t="s">
        <v>621</v>
      </c>
      <c r="V17" s="2" t="s">
        <v>491</v>
      </c>
      <c r="W17" s="2" t="s">
        <v>500</v>
      </c>
      <c r="X17" s="2" t="e">
        <f>#REF!+X18*(#REF!/X27)+X19*(#REF!/X27)+(D26*(#REF!/X27)+D27*(#REF!/X27))*D28</f>
        <v>#REF!</v>
      </c>
      <c r="Y17" s="2" t="s">
        <v>52</v>
      </c>
      <c r="AA17" s="1" t="s">
        <v>196</v>
      </c>
      <c r="AB17" s="1" t="s">
        <v>192</v>
      </c>
      <c r="AC17" s="1"/>
      <c r="AD17" s="1" t="s">
        <v>51</v>
      </c>
      <c r="AF17" s="77" t="s">
        <v>13</v>
      </c>
      <c r="AG17" s="77" t="s">
        <v>532</v>
      </c>
      <c r="AH17" s="80">
        <v>0</v>
      </c>
      <c r="AI17" s="1" t="s">
        <v>437</v>
      </c>
      <c r="AK17" s="65" t="s">
        <v>337</v>
      </c>
      <c r="AL17" s="65" t="s">
        <v>338</v>
      </c>
      <c r="AM17" s="65"/>
      <c r="AN17" s="65"/>
    </row>
    <row r="18" spans="2:40" ht="20.25" thickTop="1">
      <c r="B18" s="111" t="s">
        <v>622</v>
      </c>
      <c r="C18" s="69" t="s">
        <v>510</v>
      </c>
      <c r="D18" s="69"/>
      <c r="E18" s="112" t="s">
        <v>437</v>
      </c>
      <c r="G18" s="3"/>
      <c r="H18" s="3"/>
      <c r="I18" s="3"/>
      <c r="J18" s="3"/>
      <c r="L18" s="77" t="s">
        <v>443</v>
      </c>
      <c r="M18" s="1" t="s">
        <v>52</v>
      </c>
      <c r="N18" s="1"/>
      <c r="O18" s="1" t="s">
        <v>10</v>
      </c>
      <c r="Q18" s="10" t="s">
        <v>645</v>
      </c>
      <c r="R18" s="10" t="s">
        <v>69</v>
      </c>
      <c r="S18" s="10" t="s">
        <v>70</v>
      </c>
      <c r="T18" s="10" t="s">
        <v>71</v>
      </c>
      <c r="V18" s="2" t="s">
        <v>491</v>
      </c>
      <c r="W18" s="2" t="s">
        <v>500</v>
      </c>
      <c r="X18" s="2" t="e">
        <f>X19+X20*(#REF!/#REF!)+X21*(#REF!/#REF!)+(D28*(#REF!/#REF!)+D29*(#REF!/#REF!))*D30</f>
        <v>#REF!</v>
      </c>
      <c r="Y18" s="2" t="s">
        <v>52</v>
      </c>
      <c r="AA18" s="1" t="s">
        <v>341</v>
      </c>
      <c r="AB18" s="1" t="s">
        <v>490</v>
      </c>
      <c r="AC18" s="1"/>
      <c r="AD18" s="1" t="s">
        <v>296</v>
      </c>
      <c r="AF18" s="77" t="s">
        <v>63</v>
      </c>
      <c r="AG18" s="77" t="s">
        <v>535</v>
      </c>
      <c r="AH18" s="80">
        <v>0</v>
      </c>
      <c r="AI18" s="1" t="s">
        <v>437</v>
      </c>
      <c r="AK18" s="65" t="s">
        <v>343</v>
      </c>
      <c r="AL18" s="65" t="s">
        <v>51</v>
      </c>
      <c r="AM18" s="65"/>
      <c r="AN18" s="65"/>
    </row>
    <row r="19" spans="2:40">
      <c r="B19" s="107" t="s">
        <v>625</v>
      </c>
      <c r="C19" s="65" t="s">
        <v>458</v>
      </c>
      <c r="D19" s="65"/>
      <c r="E19" s="108" t="s">
        <v>631</v>
      </c>
      <c r="G19" s="3" t="s">
        <v>918</v>
      </c>
      <c r="H19" s="162" t="s">
        <v>496</v>
      </c>
      <c r="I19" s="3"/>
      <c r="J19" s="3"/>
      <c r="L19" s="77" t="s">
        <v>447</v>
      </c>
      <c r="M19" s="1" t="s">
        <v>52</v>
      </c>
      <c r="N19" s="23"/>
      <c r="O19" s="1" t="s">
        <v>10</v>
      </c>
      <c r="Q19" s="65" t="s">
        <v>398</v>
      </c>
      <c r="R19" s="65" t="s">
        <v>399</v>
      </c>
      <c r="S19" s="44"/>
      <c r="T19" s="44" t="s">
        <v>454</v>
      </c>
      <c r="V19" s="1" t="s">
        <v>46</v>
      </c>
      <c r="W19" s="1" t="s">
        <v>503</v>
      </c>
      <c r="X19" s="1">
        <v>1.7113168423305021E-2</v>
      </c>
      <c r="Y19" s="2" t="s">
        <v>52</v>
      </c>
      <c r="AA19" s="65" t="s">
        <v>339</v>
      </c>
      <c r="AB19" s="65" t="s">
        <v>340</v>
      </c>
      <c r="AC19" s="1"/>
      <c r="AD19" s="1" t="s">
        <v>296</v>
      </c>
      <c r="AF19" s="77" t="s">
        <v>537</v>
      </c>
      <c r="AG19" s="77" t="s">
        <v>538</v>
      </c>
      <c r="AH19" s="80">
        <f>AH15</f>
        <v>0</v>
      </c>
      <c r="AI19" s="1" t="s">
        <v>437</v>
      </c>
    </row>
    <row r="20" spans="2:40">
      <c r="B20" s="107" t="s">
        <v>623</v>
      </c>
      <c r="C20" s="65" t="s">
        <v>629</v>
      </c>
      <c r="D20" s="65"/>
      <c r="E20" s="108" t="s">
        <v>52</v>
      </c>
      <c r="G20" s="10" t="s">
        <v>68</v>
      </c>
      <c r="H20" s="10" t="s">
        <v>69</v>
      </c>
      <c r="I20" s="10" t="s">
        <v>70</v>
      </c>
      <c r="J20" s="10" t="s">
        <v>71</v>
      </c>
      <c r="L20" s="77" t="s">
        <v>685</v>
      </c>
      <c r="M20" s="1" t="s">
        <v>453</v>
      </c>
      <c r="N20" s="1"/>
      <c r="O20" s="1" t="s">
        <v>454</v>
      </c>
      <c r="Q20" s="65" t="s">
        <v>682</v>
      </c>
      <c r="R20" s="65" t="s">
        <v>399</v>
      </c>
      <c r="S20" s="44"/>
      <c r="T20" s="44" t="s">
        <v>454</v>
      </c>
      <c r="V20" s="1" t="s">
        <v>57</v>
      </c>
      <c r="W20" s="1" t="s">
        <v>499</v>
      </c>
      <c r="X20" s="1">
        <v>9.3619884584271104E-3</v>
      </c>
      <c r="Y20" s="2" t="s">
        <v>52</v>
      </c>
      <c r="AA20" s="1" t="s">
        <v>675</v>
      </c>
      <c r="AB20" s="1" t="s">
        <v>481</v>
      </c>
      <c r="AC20" s="1">
        <f>BV13</f>
        <v>0</v>
      </c>
      <c r="AD20" s="1" t="s">
        <v>468</v>
      </c>
      <c r="AF20" s="77" t="s">
        <v>291</v>
      </c>
      <c r="AG20" s="77" t="s">
        <v>544</v>
      </c>
      <c r="AH20" s="80">
        <v>0</v>
      </c>
      <c r="AI20" s="1" t="s">
        <v>437</v>
      </c>
      <c r="AK20" s="62" t="s">
        <v>58</v>
      </c>
    </row>
    <row r="21" spans="2:40">
      <c r="B21" s="113" t="s">
        <v>624</v>
      </c>
      <c r="C21" s="95" t="s">
        <v>630</v>
      </c>
      <c r="D21" s="95"/>
      <c r="E21" s="114" t="s">
        <v>9</v>
      </c>
      <c r="G21" s="1" t="s">
        <v>295</v>
      </c>
      <c r="H21" s="1" t="s">
        <v>208</v>
      </c>
      <c r="I21" s="23" t="e">
        <f>DEGREES(ATAN(1/#REF!))</f>
        <v>#REF!</v>
      </c>
      <c r="J21" s="1" t="s">
        <v>296</v>
      </c>
      <c r="L21" s="1" t="s">
        <v>313</v>
      </c>
      <c r="M21" s="1" t="s">
        <v>512</v>
      </c>
      <c r="N21" s="1"/>
      <c r="O21" s="1" t="s">
        <v>9</v>
      </c>
      <c r="Q21" s="65" t="s">
        <v>684</v>
      </c>
      <c r="R21" s="65" t="s">
        <v>399</v>
      </c>
      <c r="S21" s="44"/>
      <c r="T21" s="44" t="s">
        <v>454</v>
      </c>
      <c r="V21" s="1" t="s">
        <v>58</v>
      </c>
      <c r="W21" s="1" t="s">
        <v>502</v>
      </c>
      <c r="X21" s="1">
        <v>8.867077996424633E-3</v>
      </c>
      <c r="Y21" s="2" t="s">
        <v>52</v>
      </c>
      <c r="AA21" s="65" t="s">
        <v>341</v>
      </c>
      <c r="AB21" s="65" t="s">
        <v>342</v>
      </c>
      <c r="AC21" s="1"/>
      <c r="AD21" s="1" t="s">
        <v>296</v>
      </c>
      <c r="AF21" s="77" t="s">
        <v>546</v>
      </c>
      <c r="AG21" s="77" t="s">
        <v>547</v>
      </c>
      <c r="AH21" s="81">
        <v>1</v>
      </c>
      <c r="AI21" s="1" t="s">
        <v>52</v>
      </c>
      <c r="AK21" s="10" t="s">
        <v>645</v>
      </c>
      <c r="AL21" s="10" t="s">
        <v>69</v>
      </c>
      <c r="AM21" s="10" t="s">
        <v>70</v>
      </c>
      <c r="AN21" s="10" t="s">
        <v>71</v>
      </c>
    </row>
    <row r="22" spans="2:40">
      <c r="B22" s="115" t="s">
        <v>632</v>
      </c>
      <c r="C22" s="65" t="s">
        <v>523</v>
      </c>
      <c r="D22" s="94"/>
      <c r="E22" s="108"/>
      <c r="G22" s="1" t="s">
        <v>297</v>
      </c>
      <c r="H22" s="1" t="s">
        <v>298</v>
      </c>
      <c r="I22" s="23">
        <v>0</v>
      </c>
      <c r="J22" s="1" t="s">
        <v>296</v>
      </c>
      <c r="L22" s="1" t="s">
        <v>515</v>
      </c>
      <c r="M22" s="1" t="s">
        <v>516</v>
      </c>
      <c r="N22" s="1"/>
      <c r="O22" s="1" t="s">
        <v>9</v>
      </c>
      <c r="Q22" s="65" t="s">
        <v>683</v>
      </c>
      <c r="R22" s="65" t="s">
        <v>399</v>
      </c>
      <c r="S22" s="44"/>
      <c r="T22" s="44" t="s">
        <v>454</v>
      </c>
      <c r="V22" s="65" t="s">
        <v>385</v>
      </c>
      <c r="W22" s="65" t="s">
        <v>386</v>
      </c>
      <c r="X22" s="44"/>
      <c r="Y22" s="44" t="s">
        <v>52</v>
      </c>
      <c r="AA22" s="65" t="s">
        <v>343</v>
      </c>
      <c r="AB22" s="65" t="s">
        <v>51</v>
      </c>
      <c r="AC22" s="1"/>
      <c r="AD22" s="1" t="s">
        <v>296</v>
      </c>
      <c r="AF22" s="77"/>
      <c r="AG22" s="77" t="s">
        <v>553</v>
      </c>
      <c r="AH22" s="81">
        <v>0.8</v>
      </c>
      <c r="AI22" s="1" t="s">
        <v>52</v>
      </c>
      <c r="AK22" s="65" t="s">
        <v>327</v>
      </c>
      <c r="AL22" s="65" t="s">
        <v>328</v>
      </c>
      <c r="AM22" s="65"/>
      <c r="AN22" s="65"/>
    </row>
    <row r="23" spans="2:40">
      <c r="B23" s="107" t="s">
        <v>642</v>
      </c>
      <c r="C23" s="65" t="s">
        <v>527</v>
      </c>
      <c r="D23" s="44"/>
      <c r="E23" s="116"/>
      <c r="G23" s="1" t="s">
        <v>299</v>
      </c>
      <c r="H23" s="1" t="s">
        <v>300</v>
      </c>
      <c r="I23" s="23">
        <v>10.5</v>
      </c>
      <c r="J23" s="1" t="s">
        <v>301</v>
      </c>
      <c r="L23" s="1"/>
      <c r="M23" s="1" t="s">
        <v>520</v>
      </c>
      <c r="N23" s="1"/>
      <c r="O23" s="1" t="s">
        <v>9</v>
      </c>
      <c r="Q23" s="65" t="s">
        <v>401</v>
      </c>
      <c r="R23" s="65" t="s">
        <v>402</v>
      </c>
      <c r="S23" s="44"/>
      <c r="T23" s="44" t="s">
        <v>454</v>
      </c>
      <c r="V23" s="65" t="s">
        <v>320</v>
      </c>
      <c r="W23" s="65" t="s">
        <v>387</v>
      </c>
      <c r="X23" s="44"/>
      <c r="Y23" s="44" t="s">
        <v>52</v>
      </c>
      <c r="AA23" s="65" t="s">
        <v>344</v>
      </c>
      <c r="AB23" s="65" t="s">
        <v>345</v>
      </c>
      <c r="AC23" s="1"/>
      <c r="AD23" s="1" t="s">
        <v>296</v>
      </c>
      <c r="AK23" s="65" t="s">
        <v>329</v>
      </c>
      <c r="AL23" s="65" t="s">
        <v>330</v>
      </c>
      <c r="AM23" s="65"/>
      <c r="AN23" s="65"/>
    </row>
    <row r="24" spans="2:40" ht="20.25" thickBot="1">
      <c r="B24" s="117" t="s">
        <v>633</v>
      </c>
      <c r="C24" s="67"/>
      <c r="D24" s="100"/>
      <c r="E24" s="118"/>
      <c r="G24" s="1" t="s">
        <v>302</v>
      </c>
      <c r="H24" s="1" t="s">
        <v>303</v>
      </c>
      <c r="I24" s="23">
        <v>100</v>
      </c>
      <c r="J24" s="1" t="s">
        <v>43</v>
      </c>
      <c r="L24" s="1" t="s">
        <v>313</v>
      </c>
      <c r="M24" s="1" t="s">
        <v>523</v>
      </c>
      <c r="N24" s="23"/>
      <c r="O24" s="1" t="s">
        <v>52</v>
      </c>
      <c r="Q24" s="65" t="s">
        <v>688</v>
      </c>
      <c r="R24" s="65" t="s">
        <v>655</v>
      </c>
      <c r="S24" s="44"/>
      <c r="T24" s="44" t="s">
        <v>454</v>
      </c>
      <c r="V24" s="65" t="s">
        <v>323</v>
      </c>
      <c r="W24" s="65" t="s">
        <v>388</v>
      </c>
      <c r="X24" s="44"/>
      <c r="Y24" s="44" t="s">
        <v>52</v>
      </c>
      <c r="AA24" s="67" t="s">
        <v>346</v>
      </c>
      <c r="AB24" s="67" t="s">
        <v>347</v>
      </c>
      <c r="AC24" s="20"/>
      <c r="AD24" s="20" t="s">
        <v>296</v>
      </c>
      <c r="AF24" s="62" t="s">
        <v>13</v>
      </c>
      <c r="AK24" s="65" t="s">
        <v>331</v>
      </c>
      <c r="AL24" s="65" t="s">
        <v>332</v>
      </c>
      <c r="AM24" s="65"/>
      <c r="AN24" s="65"/>
    </row>
    <row r="25" spans="2:40" ht="21" thickTop="1" thickBot="1">
      <c r="B25" s="115" t="s">
        <v>488</v>
      </c>
      <c r="C25" s="73"/>
      <c r="D25" s="101"/>
      <c r="E25" s="119"/>
      <c r="G25" s="1" t="s">
        <v>505</v>
      </c>
      <c r="H25" s="1" t="s">
        <v>506</v>
      </c>
      <c r="I25" s="23">
        <v>0</v>
      </c>
      <c r="J25" s="1" t="s">
        <v>507</v>
      </c>
      <c r="L25" s="1" t="s">
        <v>526</v>
      </c>
      <c r="M25" s="1" t="s">
        <v>527</v>
      </c>
      <c r="N25" s="1"/>
      <c r="O25" s="1" t="s">
        <v>52</v>
      </c>
      <c r="Q25" s="65" t="s">
        <v>689</v>
      </c>
      <c r="R25" s="65" t="s">
        <v>655</v>
      </c>
      <c r="S25" s="44"/>
      <c r="T25" s="44" t="s">
        <v>454</v>
      </c>
      <c r="V25" s="65" t="s">
        <v>325</v>
      </c>
      <c r="W25" s="65" t="s">
        <v>389</v>
      </c>
      <c r="X25" s="44"/>
      <c r="Y25" s="44" t="s">
        <v>52</v>
      </c>
      <c r="AA25" s="2" t="s">
        <v>494</v>
      </c>
      <c r="AB25" s="2" t="s">
        <v>495</v>
      </c>
      <c r="AC25" s="2"/>
      <c r="AD25" s="2" t="s">
        <v>468</v>
      </c>
      <c r="AF25" s="10" t="s">
        <v>645</v>
      </c>
      <c r="AG25" s="10" t="s">
        <v>69</v>
      </c>
      <c r="AH25" s="10" t="s">
        <v>70</v>
      </c>
      <c r="AI25" s="10" t="s">
        <v>71</v>
      </c>
      <c r="AK25" s="67" t="s">
        <v>333</v>
      </c>
      <c r="AL25" s="67" t="s">
        <v>334</v>
      </c>
      <c r="AM25" s="67"/>
      <c r="AN25" s="67"/>
    </row>
    <row r="26" spans="2:40" ht="20.25" thickTop="1">
      <c r="B26" s="120" t="s">
        <v>634</v>
      </c>
      <c r="C26" s="44"/>
      <c r="D26" s="44"/>
      <c r="E26" s="116"/>
      <c r="G26" s="1"/>
      <c r="H26" s="1" t="s">
        <v>511</v>
      </c>
      <c r="I26" s="23" t="s">
        <v>26</v>
      </c>
      <c r="J26" s="1" t="s">
        <v>507</v>
      </c>
      <c r="L26" s="77" t="s">
        <v>30</v>
      </c>
      <c r="M26" s="1" t="s">
        <v>32</v>
      </c>
      <c r="N26" s="34"/>
      <c r="O26" s="1" t="s">
        <v>469</v>
      </c>
      <c r="Q26" s="65" t="s">
        <v>323</v>
      </c>
      <c r="R26" s="65" t="s">
        <v>656</v>
      </c>
      <c r="S26" s="44"/>
      <c r="T26" s="44" t="s">
        <v>454</v>
      </c>
      <c r="V26" s="65" t="s">
        <v>47</v>
      </c>
      <c r="W26" s="65" t="s">
        <v>390</v>
      </c>
      <c r="X26" s="44"/>
      <c r="Y26" s="44" t="s">
        <v>52</v>
      </c>
      <c r="AA26" s="1"/>
      <c r="AB26" s="1" t="s">
        <v>498</v>
      </c>
      <c r="AC26" s="80"/>
      <c r="AD26" s="1" t="s">
        <v>468</v>
      </c>
      <c r="AF26" s="44" t="s">
        <v>319</v>
      </c>
      <c r="AG26" s="44" t="s">
        <v>532</v>
      </c>
      <c r="AH26" s="44"/>
      <c r="AI26" s="44" t="s">
        <v>437</v>
      </c>
      <c r="AK26" s="2"/>
      <c r="AL26" s="8" t="s">
        <v>495</v>
      </c>
      <c r="AM26" s="102">
        <v>0</v>
      </c>
      <c r="AN26" s="7" t="s">
        <v>468</v>
      </c>
    </row>
    <row r="27" spans="2:40">
      <c r="B27" s="115" t="s">
        <v>635</v>
      </c>
      <c r="C27" s="44"/>
      <c r="D27" s="44"/>
      <c r="E27" s="116"/>
      <c r="G27" s="1"/>
      <c r="H27" s="1" t="s">
        <v>514</v>
      </c>
      <c r="I27" s="23">
        <v>0</v>
      </c>
      <c r="J27" s="1" t="s">
        <v>507</v>
      </c>
      <c r="L27" s="77"/>
      <c r="M27" s="1" t="s">
        <v>34</v>
      </c>
      <c r="N27" s="34"/>
      <c r="O27" s="1" t="s">
        <v>469</v>
      </c>
      <c r="Q27" s="65" t="s">
        <v>325</v>
      </c>
      <c r="R27" s="65" t="s">
        <v>657</v>
      </c>
      <c r="S27" s="44"/>
      <c r="T27" s="44" t="s">
        <v>454</v>
      </c>
      <c r="V27" s="65" t="s">
        <v>391</v>
      </c>
      <c r="W27" s="65" t="s">
        <v>392</v>
      </c>
      <c r="X27" s="44"/>
      <c r="Y27" s="44" t="s">
        <v>52</v>
      </c>
      <c r="AA27" s="1" t="s">
        <v>52</v>
      </c>
      <c r="AB27" s="1" t="s">
        <v>501</v>
      </c>
      <c r="AC27" s="80"/>
      <c r="AD27" s="1" t="s">
        <v>463</v>
      </c>
      <c r="AF27" s="1" t="s">
        <v>491</v>
      </c>
      <c r="AG27" s="1" t="s">
        <v>534</v>
      </c>
      <c r="AH27" s="23">
        <v>0.2</v>
      </c>
      <c r="AI27" s="1" t="s">
        <v>52</v>
      </c>
      <c r="AK27" s="1"/>
      <c r="AL27" s="9" t="s">
        <v>462</v>
      </c>
      <c r="AM27" s="80">
        <v>0</v>
      </c>
      <c r="AN27" s="24" t="s">
        <v>463</v>
      </c>
    </row>
    <row r="28" spans="2:40">
      <c r="B28" s="115" t="s">
        <v>636</v>
      </c>
      <c r="C28" s="44"/>
      <c r="D28" s="44"/>
      <c r="E28" s="116"/>
      <c r="G28" s="1" t="s">
        <v>517</v>
      </c>
      <c r="H28" s="1" t="s">
        <v>518</v>
      </c>
      <c r="I28" s="23">
        <v>0</v>
      </c>
      <c r="J28" s="1" t="s">
        <v>52</v>
      </c>
      <c r="L28" s="77"/>
      <c r="M28" s="1" t="s">
        <v>36</v>
      </c>
      <c r="N28" s="34"/>
      <c r="O28" s="1" t="s">
        <v>469</v>
      </c>
      <c r="Q28" s="65" t="s">
        <v>47</v>
      </c>
      <c r="R28" s="65" t="s">
        <v>658</v>
      </c>
      <c r="S28" s="44"/>
      <c r="T28" s="44" t="s">
        <v>454</v>
      </c>
      <c r="V28" s="65" t="s">
        <v>393</v>
      </c>
      <c r="W28" s="65" t="s">
        <v>394</v>
      </c>
      <c r="X28" s="44"/>
      <c r="Y28" s="44" t="s">
        <v>52</v>
      </c>
      <c r="AA28" s="1" t="s">
        <v>52</v>
      </c>
      <c r="AB28" s="1" t="s">
        <v>504</v>
      </c>
      <c r="AC28" s="80"/>
      <c r="AD28" s="1" t="s">
        <v>463</v>
      </c>
      <c r="AF28" s="1" t="s">
        <v>197</v>
      </c>
      <c r="AG28" s="1" t="s">
        <v>536</v>
      </c>
      <c r="AH28" s="1"/>
      <c r="AI28" s="1" t="s">
        <v>52</v>
      </c>
      <c r="AK28" s="1"/>
      <c r="AL28" s="9" t="s">
        <v>464</v>
      </c>
      <c r="AM28" s="80">
        <v>0</v>
      </c>
      <c r="AN28" s="24" t="s">
        <v>463</v>
      </c>
    </row>
    <row r="29" spans="2:40" ht="20.25" thickBot="1">
      <c r="B29" s="121" t="s">
        <v>637</v>
      </c>
      <c r="C29" s="45"/>
      <c r="D29" s="45"/>
      <c r="E29" s="122"/>
      <c r="G29" s="1" t="s">
        <v>521</v>
      </c>
      <c r="H29" s="1" t="s">
        <v>522</v>
      </c>
      <c r="I29" s="23">
        <v>0</v>
      </c>
      <c r="J29" s="1" t="s">
        <v>348</v>
      </c>
      <c r="L29" s="77"/>
      <c r="M29" s="1" t="s">
        <v>38</v>
      </c>
      <c r="N29" s="34"/>
      <c r="O29" s="1" t="s">
        <v>469</v>
      </c>
      <c r="Q29" s="65" t="s">
        <v>391</v>
      </c>
      <c r="R29" s="65" t="s">
        <v>659</v>
      </c>
      <c r="S29" s="44"/>
      <c r="T29" s="44" t="s">
        <v>454</v>
      </c>
      <c r="AA29" s="1" t="s">
        <v>52</v>
      </c>
      <c r="AB29" s="1" t="s">
        <v>509</v>
      </c>
      <c r="AC29" s="80"/>
      <c r="AD29" s="1" t="s">
        <v>463</v>
      </c>
      <c r="AF29" s="1" t="s">
        <v>542</v>
      </c>
      <c r="AG29" s="1" t="s">
        <v>543</v>
      </c>
      <c r="AH29" s="1"/>
      <c r="AI29" s="1" t="s">
        <v>9</v>
      </c>
    </row>
    <row r="30" spans="2:40" ht="20.25" thickTop="1">
      <c r="B30" s="123" t="s">
        <v>638</v>
      </c>
      <c r="C30" s="43"/>
      <c r="D30" s="43"/>
      <c r="E30" s="124"/>
      <c r="G30" s="1" t="s">
        <v>524</v>
      </c>
      <c r="H30" s="1" t="s">
        <v>525</v>
      </c>
      <c r="I30" s="23">
        <v>0</v>
      </c>
      <c r="J30" s="1" t="s">
        <v>348</v>
      </c>
      <c r="L30" s="77"/>
      <c r="M30" s="1" t="s">
        <v>40</v>
      </c>
      <c r="N30" s="34"/>
      <c r="O30" s="1" t="s">
        <v>469</v>
      </c>
      <c r="Q30" s="65" t="s">
        <v>393</v>
      </c>
      <c r="R30" s="65" t="s">
        <v>660</v>
      </c>
      <c r="S30" s="44"/>
      <c r="T30" s="44" t="s">
        <v>454</v>
      </c>
      <c r="V30" s="65" t="s">
        <v>690</v>
      </c>
      <c r="W30" s="44" t="s">
        <v>519</v>
      </c>
      <c r="X30" s="44"/>
      <c r="Y30" s="44"/>
      <c r="AA30" s="1" t="s">
        <v>52</v>
      </c>
      <c r="AB30" s="1" t="s">
        <v>513</v>
      </c>
      <c r="AC30" s="80"/>
      <c r="AD30" s="1" t="s">
        <v>463</v>
      </c>
      <c r="AF30" s="1" t="s">
        <v>461</v>
      </c>
      <c r="AG30" s="1" t="s">
        <v>205</v>
      </c>
      <c r="AH30" s="1"/>
      <c r="AI30" s="1" t="s">
        <v>348</v>
      </c>
    </row>
    <row r="31" spans="2:40">
      <c r="B31" s="115" t="s">
        <v>639</v>
      </c>
      <c r="C31" s="44"/>
      <c r="D31" s="44"/>
      <c r="E31" s="116"/>
      <c r="G31" s="3"/>
      <c r="H31" s="3"/>
      <c r="I31" s="3"/>
      <c r="J31" s="3"/>
      <c r="L31" s="77"/>
      <c r="M31" s="1" t="s">
        <v>482</v>
      </c>
      <c r="N31" s="34"/>
      <c r="O31" s="1" t="s">
        <v>469</v>
      </c>
      <c r="Q31" s="65" t="s">
        <v>403</v>
      </c>
      <c r="R31" s="65" t="s">
        <v>404</v>
      </c>
      <c r="S31" s="44"/>
      <c r="T31" s="44" t="s">
        <v>530</v>
      </c>
      <c r="AA31" s="1" t="s">
        <v>52</v>
      </c>
      <c r="AB31" s="1" t="s">
        <v>462</v>
      </c>
      <c r="AC31" s="1"/>
      <c r="AD31" s="1" t="s">
        <v>463</v>
      </c>
      <c r="AF31" s="1" t="s">
        <v>551</v>
      </c>
      <c r="AG31" s="1" t="s">
        <v>204</v>
      </c>
      <c r="AH31" s="82">
        <v>0.51759999999999995</v>
      </c>
      <c r="AI31" s="1" t="s">
        <v>552</v>
      </c>
    </row>
    <row r="32" spans="2:40">
      <c r="B32" s="121" t="s">
        <v>640</v>
      </c>
      <c r="C32" s="45"/>
      <c r="D32" s="45"/>
      <c r="E32" s="122"/>
      <c r="G32" s="3" t="s">
        <v>539</v>
      </c>
      <c r="H32" s="3"/>
      <c r="I32" s="3"/>
      <c r="J32" s="3"/>
      <c r="L32" s="1" t="s">
        <v>485</v>
      </c>
      <c r="M32" s="1" t="s">
        <v>486</v>
      </c>
      <c r="N32" s="34"/>
      <c r="O32" s="1" t="s">
        <v>487</v>
      </c>
      <c r="Q32" s="1" t="s">
        <v>540</v>
      </c>
      <c r="R32" s="1" t="s">
        <v>528</v>
      </c>
      <c r="S32" s="1"/>
      <c r="T32" s="1" t="s">
        <v>541</v>
      </c>
      <c r="V32" t="s">
        <v>197</v>
      </c>
      <c r="AA32" s="1" t="s">
        <v>52</v>
      </c>
      <c r="AB32" s="1" t="s">
        <v>464</v>
      </c>
      <c r="AC32" s="1"/>
      <c r="AD32" s="1" t="s">
        <v>463</v>
      </c>
      <c r="AF32" s="44"/>
      <c r="AG32" s="44"/>
      <c r="AH32" s="44"/>
      <c r="AI32" s="44"/>
    </row>
    <row r="33" spans="2:35" ht="20.25" thickBot="1">
      <c r="B33" s="117" t="s">
        <v>641</v>
      </c>
      <c r="C33" s="97"/>
      <c r="D33" s="130"/>
      <c r="E33" s="125"/>
      <c r="G33" s="10" t="s">
        <v>68</v>
      </c>
      <c r="H33" s="10" t="s">
        <v>69</v>
      </c>
      <c r="I33" s="10" t="s">
        <v>70</v>
      </c>
      <c r="J33" s="10" t="s">
        <v>71</v>
      </c>
      <c r="L33" s="1"/>
      <c r="M33" s="1" t="s">
        <v>489</v>
      </c>
      <c r="N33" s="34"/>
      <c r="O33" s="1" t="s">
        <v>487</v>
      </c>
      <c r="Q33" s="1" t="s">
        <v>545</v>
      </c>
      <c r="R33" s="1" t="s">
        <v>27</v>
      </c>
      <c r="S33" s="1"/>
      <c r="T33" s="1" t="s">
        <v>541</v>
      </c>
      <c r="V33" s="18" t="s">
        <v>619</v>
      </c>
      <c r="W33" s="18" t="s">
        <v>69</v>
      </c>
      <c r="X33" s="18" t="s">
        <v>70</v>
      </c>
      <c r="Y33" s="18" t="s">
        <v>71</v>
      </c>
      <c r="AA33" s="1" t="s">
        <v>52</v>
      </c>
      <c r="AB33" s="1" t="s">
        <v>467</v>
      </c>
      <c r="AC33" s="1"/>
      <c r="AD33" s="1" t="s">
        <v>468</v>
      </c>
      <c r="AF33" s="44"/>
      <c r="AG33" s="44"/>
      <c r="AH33" s="44"/>
      <c r="AI33" s="44"/>
    </row>
    <row r="34" spans="2:35" ht="20.25" thickTop="1">
      <c r="B34" s="120" t="s">
        <v>620</v>
      </c>
      <c r="C34" s="60"/>
      <c r="D34" s="60"/>
      <c r="E34" s="126"/>
      <c r="G34" s="1" t="s">
        <v>548</v>
      </c>
      <c r="H34" s="1" t="s">
        <v>549</v>
      </c>
      <c r="I34" s="23">
        <v>10.5</v>
      </c>
      <c r="J34" s="1" t="s">
        <v>9</v>
      </c>
      <c r="L34" s="1"/>
      <c r="M34" s="1" t="s">
        <v>493</v>
      </c>
      <c r="N34" s="1"/>
      <c r="O34" s="1" t="s">
        <v>52</v>
      </c>
      <c r="Q34" s="1" t="s">
        <v>550</v>
      </c>
      <c r="R34" s="1" t="s">
        <v>454</v>
      </c>
      <c r="S34" s="1"/>
      <c r="T34" s="1" t="s">
        <v>541</v>
      </c>
      <c r="V34" s="65" t="s">
        <v>397</v>
      </c>
      <c r="W34" s="65" t="s">
        <v>193</v>
      </c>
      <c r="X34" s="44"/>
      <c r="Y34" s="44" t="s">
        <v>52</v>
      </c>
      <c r="AA34" s="44"/>
      <c r="AB34" s="44"/>
      <c r="AC34" s="44"/>
      <c r="AD34" s="44"/>
    </row>
    <row r="35" spans="2:35" ht="20.25" thickBot="1">
      <c r="B35" s="127" t="s">
        <v>650</v>
      </c>
      <c r="C35" s="128"/>
      <c r="D35" s="128"/>
      <c r="E35" s="129"/>
      <c r="G35" s="1" t="s">
        <v>554</v>
      </c>
      <c r="H35" s="1" t="s">
        <v>555</v>
      </c>
      <c r="I35" s="23">
        <v>-3.5</v>
      </c>
      <c r="J35" s="1" t="s">
        <v>348</v>
      </c>
      <c r="L35" s="1"/>
      <c r="M35" s="1" t="s">
        <v>497</v>
      </c>
      <c r="N35" s="1"/>
      <c r="O35" s="1" t="s">
        <v>52</v>
      </c>
      <c r="Q35" s="65" t="s">
        <v>644</v>
      </c>
      <c r="R35" s="65" t="s">
        <v>396</v>
      </c>
      <c r="S35" s="44"/>
      <c r="T35" s="44" t="s">
        <v>52</v>
      </c>
    </row>
    <row r="39" spans="2:35">
      <c r="B39" t="s">
        <v>941</v>
      </c>
      <c r="Q39" t="s">
        <v>936</v>
      </c>
      <c r="AA39" t="s">
        <v>937</v>
      </c>
    </row>
  </sheetData>
  <mergeCells count="1">
    <mergeCell ref="B3:E9"/>
  </mergeCells>
  <phoneticPr fontId="2"/>
  <dataValidations count="2">
    <dataValidation type="list" allowBlank="1" showInputMessage="1" showErrorMessage="1" sqref="AH10" xr:uid="{EF33752D-EAF2-48ED-B700-9CCE536D089F}">
      <formula1>"Conventional,T-Tail"</formula1>
    </dataValidation>
    <dataValidation type="list" allowBlank="1" showInputMessage="1" showErrorMessage="1" sqref="H19" xr:uid="{68CCD101-DC7D-4EA1-99D1-34ABFC4DF4AE}">
      <formula1>"線形,非線形"</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B34"/>
  <sheetViews>
    <sheetView zoomScale="70" zoomScaleNormal="70" workbookViewId="0">
      <selection activeCell="B35" sqref="B35"/>
    </sheetView>
  </sheetViews>
  <sheetFormatPr defaultColWidth="8.6640625" defaultRowHeight="19.5"/>
  <sheetData>
    <row r="2" spans="2:2">
      <c r="B2" t="s">
        <v>938</v>
      </c>
    </row>
    <row r="34" spans="2:2">
      <c r="B34" t="s">
        <v>939</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55" zoomScaleNormal="55" workbookViewId="0">
      <selection activeCell="L29" sqref="L29"/>
    </sheetView>
  </sheetViews>
  <sheetFormatPr defaultColWidth="9.33203125" defaultRowHeight="19.5"/>
  <cols>
    <col min="1" max="16384" width="9.33203125" style="3"/>
  </cols>
  <sheetData>
    <row r="2" spans="2:40">
      <c r="B2" s="3" t="s">
        <v>920</v>
      </c>
      <c r="Q2" s="3" t="s">
        <v>557</v>
      </c>
      <c r="Z2" s="3" t="s">
        <v>922</v>
      </c>
    </row>
    <row r="3" spans="2:40">
      <c r="B3" s="10" t="s">
        <v>1</v>
      </c>
      <c r="C3" s="10" t="s">
        <v>25</v>
      </c>
      <c r="D3" s="185" t="s">
        <v>313</v>
      </c>
      <c r="E3" s="186"/>
      <c r="F3" s="187"/>
      <c r="G3" s="185" t="s">
        <v>30</v>
      </c>
      <c r="H3" s="186"/>
      <c r="I3" s="186"/>
      <c r="J3" s="186"/>
      <c r="K3" s="186"/>
      <c r="L3" s="187"/>
      <c r="Q3" s="10" t="s">
        <v>1</v>
      </c>
      <c r="R3" s="10" t="s">
        <v>50</v>
      </c>
      <c r="S3" s="10" t="s">
        <v>25</v>
      </c>
      <c r="T3" s="10" t="s">
        <v>2</v>
      </c>
      <c r="U3" s="10" t="s">
        <v>0</v>
      </c>
      <c r="V3" s="10" t="s">
        <v>3</v>
      </c>
      <c r="W3" s="10"/>
      <c r="X3" s="10"/>
      <c r="Z3" s="3" t="s">
        <v>558</v>
      </c>
      <c r="AA3" s="1" t="s">
        <v>559</v>
      </c>
      <c r="AB3" s="86">
        <f>SUM(AB5:AB19)</f>
        <v>7.3569951291748312</v>
      </c>
      <c r="AC3" s="87" t="s">
        <v>560</v>
      </c>
      <c r="AD3" s="86">
        <f>SUM(AD5:AD19)</f>
        <v>4.7869951291748318</v>
      </c>
      <c r="AE3" s="87" t="s">
        <v>561</v>
      </c>
      <c r="AF3" s="86">
        <f>SUM(AF5:AF19)</f>
        <v>4.7869951291748318</v>
      </c>
      <c r="AG3" s="87" t="s">
        <v>562</v>
      </c>
      <c r="AH3" s="86">
        <f>SUM(AH5:AH19)</f>
        <v>2.7690000000000001</v>
      </c>
      <c r="AI3" s="87" t="s">
        <v>57</v>
      </c>
      <c r="AJ3" s="86">
        <f>SUM(AJ5:AJ19)</f>
        <v>0</v>
      </c>
      <c r="AK3" s="87" t="s">
        <v>563</v>
      </c>
      <c r="AL3" s="86">
        <f>SUM(AL5:AL19)</f>
        <v>0</v>
      </c>
      <c r="AM3" s="87" t="s">
        <v>62</v>
      </c>
      <c r="AN3" s="86">
        <f>SUM(AN5:AN19)</f>
        <v>0</v>
      </c>
    </row>
    <row r="4" spans="2:40" ht="20.25" thickBot="1">
      <c r="B4" s="10" t="s">
        <v>52</v>
      </c>
      <c r="C4" s="10" t="s">
        <v>27</v>
      </c>
      <c r="D4" s="10" t="s">
        <v>512</v>
      </c>
      <c r="E4" s="10" t="s">
        <v>516</v>
      </c>
      <c r="F4" s="10" t="s">
        <v>520</v>
      </c>
      <c r="G4" s="10" t="s">
        <v>32</v>
      </c>
      <c r="H4" s="10" t="s">
        <v>34</v>
      </c>
      <c r="I4" s="10" t="s">
        <v>36</v>
      </c>
      <c r="J4" s="10" t="s">
        <v>38</v>
      </c>
      <c r="K4" s="10" t="s">
        <v>40</v>
      </c>
      <c r="L4" s="10" t="s">
        <v>41</v>
      </c>
      <c r="Q4" s="10" t="s">
        <v>52</v>
      </c>
      <c r="R4" s="10" t="s">
        <v>52</v>
      </c>
      <c r="S4" s="10" t="s">
        <v>52</v>
      </c>
      <c r="T4" s="10" t="s">
        <v>52</v>
      </c>
      <c r="U4" s="10" t="s">
        <v>52</v>
      </c>
      <c r="V4" s="10" t="s">
        <v>26</v>
      </c>
      <c r="W4" s="10" t="s">
        <v>28</v>
      </c>
      <c r="X4" s="10" t="s">
        <v>29</v>
      </c>
      <c r="AA4" s="10" t="s">
        <v>50</v>
      </c>
      <c r="AB4" s="53" t="s">
        <v>25</v>
      </c>
      <c r="AC4" s="13" t="s">
        <v>50</v>
      </c>
      <c r="AD4" s="53" t="s">
        <v>25</v>
      </c>
      <c r="AE4" s="13" t="s">
        <v>50</v>
      </c>
      <c r="AF4" s="53" t="s">
        <v>25</v>
      </c>
      <c r="AG4" s="13" t="s">
        <v>50</v>
      </c>
      <c r="AH4" s="53" t="s">
        <v>25</v>
      </c>
      <c r="AI4" s="13" t="s">
        <v>50</v>
      </c>
      <c r="AJ4" s="53" t="s">
        <v>25</v>
      </c>
      <c r="AK4" s="13" t="s">
        <v>50</v>
      </c>
      <c r="AL4" s="53" t="s">
        <v>25</v>
      </c>
      <c r="AM4" s="13" t="s">
        <v>50</v>
      </c>
      <c r="AN4" s="53" t="s">
        <v>25</v>
      </c>
    </row>
    <row r="5" spans="2:40" ht="21" thickTop="1" thickBot="1">
      <c r="B5" s="11" t="s">
        <v>52</v>
      </c>
      <c r="C5" s="11" t="s">
        <v>10</v>
      </c>
      <c r="D5" s="11" t="s">
        <v>9</v>
      </c>
      <c r="E5" s="11" t="s">
        <v>9</v>
      </c>
      <c r="F5" s="11" t="s">
        <v>9</v>
      </c>
      <c r="G5" s="11" t="s">
        <v>44</v>
      </c>
      <c r="H5" s="11" t="s">
        <v>44</v>
      </c>
      <c r="I5" s="11" t="s">
        <v>44</v>
      </c>
      <c r="J5" s="11" t="s">
        <v>44</v>
      </c>
      <c r="K5" s="11" t="s">
        <v>44</v>
      </c>
      <c r="L5" s="11" t="s">
        <v>44</v>
      </c>
      <c r="Q5" s="11" t="s">
        <v>52</v>
      </c>
      <c r="R5" s="11" t="s">
        <v>52</v>
      </c>
      <c r="S5" s="11" t="s">
        <v>42</v>
      </c>
      <c r="T5" s="11" t="s">
        <v>42</v>
      </c>
      <c r="U5" s="15" t="s">
        <v>42</v>
      </c>
      <c r="V5" s="11" t="s">
        <v>9</v>
      </c>
      <c r="W5" s="11" t="s">
        <v>9</v>
      </c>
      <c r="X5" s="11" t="s">
        <v>9</v>
      </c>
      <c r="AA5" s="28" t="s">
        <v>17</v>
      </c>
      <c r="AB5" s="88">
        <v>3.2229999999999999</v>
      </c>
      <c r="AC5" s="89" t="s">
        <v>17</v>
      </c>
      <c r="AD5" s="88">
        <v>3.2229999999999999</v>
      </c>
      <c r="AE5" s="89" t="s">
        <v>17</v>
      </c>
      <c r="AF5" s="88">
        <v>3.2229999999999999</v>
      </c>
      <c r="AG5" s="89" t="s">
        <v>17</v>
      </c>
      <c r="AH5" s="88">
        <v>1.526</v>
      </c>
      <c r="AI5" s="89" t="s">
        <v>17</v>
      </c>
      <c r="AJ5" s="88"/>
      <c r="AK5" s="89" t="s">
        <v>61</v>
      </c>
      <c r="AL5" s="88"/>
      <c r="AM5" s="89" t="s">
        <v>564</v>
      </c>
      <c r="AN5" s="88"/>
    </row>
    <row r="6" spans="2:40" ht="21" thickTop="1" thickBot="1">
      <c r="B6" s="2" t="s">
        <v>45</v>
      </c>
      <c r="C6" s="2">
        <f>SUM(C7:C8)</f>
        <v>61</v>
      </c>
      <c r="D6" s="2">
        <f>SUMPRODUCT($C$7:$C$8,D7:D8)/SUM($C$7:$C$8)</f>
        <v>-0.18</v>
      </c>
      <c r="E6" s="2">
        <f t="shared" ref="E6" si="0">SUMPRODUCT($C$7:$C$8,E7:E8)/SUM($C$7:$C$8)</f>
        <v>0</v>
      </c>
      <c r="F6" s="2">
        <f>SUMPRODUCT($C$7:$C$8,F7:F8)/SUM($C$7:$C$8)</f>
        <v>0.2</v>
      </c>
      <c r="G6" s="2" cm="1">
        <f t="array" ref="G6">SUM(G7:G8)+SUMPRODUCT($C$7:$C$8,POWER(E7:E8-E$6,2)+POWER(F7:F8-F$6,2))</f>
        <v>918.94689950778104</v>
      </c>
      <c r="H6" s="2" cm="1">
        <f t="array" ref="H6">SUM(H7:H8)+SUMPRODUCT($C$7:$C$8,POWER(D7:D8-D$6,2)+POWER(F7:F8-F$6,2))</f>
        <v>82.658436590279322</v>
      </c>
      <c r="I6" s="2" cm="1">
        <f t="array" ref="I6">SUM(I7:I8)+SUMPRODUCT($C$7:$C$8,POWER(D7:D8-D$6,2)+POWER(E7:E8-E$6,2))</f>
        <v>990.09963061348469</v>
      </c>
      <c r="J6" s="2" cm="1">
        <f t="array" ref="J6">SUM(J7:J8)+SUMPRODUCT($C7:$C8,(D7:D8-D$6)*(E7:E8-E$6))</f>
        <v>0</v>
      </c>
      <c r="K6" s="2" cm="1">
        <f t="array" ref="K6">SUM(K7:K8)+SUMPRODUCT($C$7:$C$8,(E7:E8-E$6)*(F7:F8-F$6))</f>
        <v>0</v>
      </c>
      <c r="L6" s="2" cm="1">
        <f t="array" ref="L6">SUM(L7:L8)+SUMPRODUCT($C$7:$C$8,(F7:F8-F$6)*(D7:D8-D$6))</f>
        <v>3.3954074320677812</v>
      </c>
      <c r="Q6" s="19"/>
      <c r="R6" s="19" t="s">
        <v>5</v>
      </c>
      <c r="S6" s="19">
        <f>SUM(R7:R44)</f>
        <v>0</v>
      </c>
      <c r="T6" s="19">
        <f>SUM(S7:S44)</f>
        <v>34.802975645874149</v>
      </c>
      <c r="U6" s="19">
        <f>SUM(T7:T44)</f>
        <v>34.802975645874149</v>
      </c>
      <c r="V6" s="19">
        <v>0</v>
      </c>
      <c r="W6" s="19">
        <f>SUM(W7:W40)</f>
        <v>0</v>
      </c>
      <c r="X6" s="19">
        <f>SUM(X7:X40)</f>
        <v>0</v>
      </c>
      <c r="AA6" s="1" t="s">
        <v>16</v>
      </c>
      <c r="AB6" s="90">
        <v>2</v>
      </c>
      <c r="AC6" s="6" t="s">
        <v>18</v>
      </c>
      <c r="AD6" s="91">
        <v>0.2303893725456938</v>
      </c>
      <c r="AE6" s="6" t="s">
        <v>18</v>
      </c>
      <c r="AF6" s="91">
        <v>0.2303893725456938</v>
      </c>
      <c r="AG6" s="6" t="s">
        <v>18</v>
      </c>
      <c r="AH6" s="91">
        <v>0.106</v>
      </c>
      <c r="AI6" s="6" t="s">
        <v>18</v>
      </c>
      <c r="AJ6" s="91"/>
      <c r="AK6" s="87" t="s">
        <v>565</v>
      </c>
      <c r="AL6" s="91"/>
      <c r="AM6" s="6" t="s">
        <v>21</v>
      </c>
      <c r="AN6" s="91"/>
    </row>
    <row r="7" spans="2:40" ht="20.25" thickTop="1">
      <c r="B7" s="25" t="s">
        <v>556</v>
      </c>
      <c r="C7" s="25">
        <f>S6</f>
        <v>0</v>
      </c>
      <c r="D7" s="25" cm="1">
        <f t="array" ref="D7:F7">V6:X6</f>
        <v>0</v>
      </c>
      <c r="E7" s="25">
        <v>0</v>
      </c>
      <c r="F7" s="25">
        <v>0</v>
      </c>
      <c r="G7" s="25" cm="1">
        <f t="array" ref="G7">SUM(J15:J20)+SUMPRODUCT($C15:$C20,POWER(H15:H20,2)+POWER(I15:I20,2))</f>
        <v>917.61089950778103</v>
      </c>
      <c r="H7" s="25" cm="1">
        <f t="array" ref="H7">SUM(K15:K20)+SUMPRODUCT($C15:$C20,POWER(G15:G20,2)+POWER(I15:I20,2))</f>
        <v>72.827436590279319</v>
      </c>
      <c r="I7" s="25" cm="1">
        <f t="array" ref="I7">SUM(L15:L20)+SUMPRODUCT($C15:$C20,POWER(G15:G20,2)+POWER(H15:H20,2))</f>
        <v>979.9696306134847</v>
      </c>
      <c r="J7" s="25" cm="1">
        <f t="array" ref="J7">SUM(M15:M20)+SUMPRODUCT($C15:$C20,G15:G20*H15:H20)</f>
        <v>0</v>
      </c>
      <c r="K7" s="25" cm="1">
        <f t="array" ref="K7">SUM(N15:N20)+SUMPRODUCT($C15:$C20,H15:H20*I15:I20)</f>
        <v>0</v>
      </c>
      <c r="L7" s="25" cm="1">
        <f t="array" ref="L7">SUM(O15:O20)+SUMPRODUCT($C15:$C20,G15:G20*H15:H20)</f>
        <v>2.2394074320677815</v>
      </c>
      <c r="Q7" s="2" t="s">
        <v>46</v>
      </c>
      <c r="R7" s="2" t="s">
        <v>566</v>
      </c>
      <c r="S7" s="2">
        <f>T7+U7</f>
        <v>7.3569951291748312</v>
      </c>
      <c r="T7" s="2">
        <f>AB3</f>
        <v>7.3569951291748312</v>
      </c>
      <c r="U7" s="4"/>
      <c r="V7" s="4"/>
      <c r="W7" s="4">
        <v>0</v>
      </c>
      <c r="X7" s="4"/>
      <c r="AA7" s="1" t="s">
        <v>14</v>
      </c>
      <c r="AB7" s="90">
        <v>0.3</v>
      </c>
      <c r="AC7" s="87" t="s">
        <v>19</v>
      </c>
      <c r="AD7" s="90">
        <v>0.39606880111426901</v>
      </c>
      <c r="AE7" s="87" t="s">
        <v>19</v>
      </c>
      <c r="AF7" s="90">
        <v>0.39606880111426901</v>
      </c>
      <c r="AG7" s="87" t="s">
        <v>19</v>
      </c>
      <c r="AH7" s="90">
        <v>0.32</v>
      </c>
      <c r="AI7" s="87" t="s">
        <v>19</v>
      </c>
      <c r="AJ7" s="90"/>
      <c r="AK7" s="3" t="s">
        <v>567</v>
      </c>
      <c r="AL7" s="90"/>
      <c r="AM7" s="87" t="s">
        <v>19</v>
      </c>
      <c r="AN7" s="90"/>
    </row>
    <row r="8" spans="2:40">
      <c r="B8" s="1" t="s">
        <v>54</v>
      </c>
      <c r="C8" s="1">
        <v>61</v>
      </c>
      <c r="D8" s="23">
        <v>-0.18</v>
      </c>
      <c r="E8" s="1">
        <v>0</v>
      </c>
      <c r="F8" s="1">
        <v>0.2</v>
      </c>
      <c r="G8" s="23">
        <v>1.3360000000000001</v>
      </c>
      <c r="H8" s="23">
        <v>9.8309999999999995</v>
      </c>
      <c r="I8" s="23">
        <v>10.130000000000001</v>
      </c>
      <c r="J8" s="23">
        <v>0</v>
      </c>
      <c r="K8" s="23">
        <v>0</v>
      </c>
      <c r="L8" s="23">
        <v>1.1559999999999999</v>
      </c>
      <c r="M8" s="3" t="s">
        <v>931</v>
      </c>
      <c r="Q8" s="1"/>
      <c r="R8" s="1" t="s">
        <v>568</v>
      </c>
      <c r="S8" s="2">
        <f t="shared" ref="S8:S40" si="1">T8+U8</f>
        <v>4.7869951291748318</v>
      </c>
      <c r="T8" s="1">
        <f>AD3</f>
        <v>4.7869951291748318</v>
      </c>
      <c r="U8" s="23"/>
      <c r="V8" s="23"/>
      <c r="W8" s="23"/>
      <c r="X8" s="23"/>
      <c r="AA8" s="1" t="s">
        <v>15</v>
      </c>
      <c r="AB8" s="90">
        <v>7.0000000000000007E-2</v>
      </c>
      <c r="AC8" s="87" t="s">
        <v>20</v>
      </c>
      <c r="AD8" s="90">
        <v>0.10257245551487038</v>
      </c>
      <c r="AE8" s="87" t="s">
        <v>20</v>
      </c>
      <c r="AF8" s="90">
        <v>0.10257245551487038</v>
      </c>
      <c r="AG8" s="87" t="s">
        <v>20</v>
      </c>
      <c r="AH8" s="90">
        <v>8.5999999999999993E-2</v>
      </c>
      <c r="AI8" s="87" t="s">
        <v>20</v>
      </c>
      <c r="AJ8" s="90"/>
      <c r="AK8" s="87"/>
      <c r="AL8" s="90"/>
      <c r="AM8" s="87" t="s">
        <v>569</v>
      </c>
      <c r="AN8" s="90"/>
    </row>
    <row r="9" spans="2:40">
      <c r="Q9" s="1"/>
      <c r="R9" s="1" t="s">
        <v>570</v>
      </c>
      <c r="S9" s="2">
        <f t="shared" si="1"/>
        <v>4.7869951291748318</v>
      </c>
      <c r="T9" s="1">
        <f>AD3</f>
        <v>4.7869951291748318</v>
      </c>
      <c r="U9" s="23"/>
      <c r="V9" s="23"/>
      <c r="W9" s="23"/>
      <c r="X9" s="23"/>
      <c r="AA9" s="1" t="s">
        <v>571</v>
      </c>
      <c r="AB9" s="90">
        <v>0.1</v>
      </c>
      <c r="AC9" s="87" t="s">
        <v>21</v>
      </c>
      <c r="AD9" s="90">
        <v>8.3999999999999991E-2</v>
      </c>
      <c r="AE9" s="87" t="s">
        <v>21</v>
      </c>
      <c r="AF9" s="90">
        <v>8.3999999999999991E-2</v>
      </c>
      <c r="AG9" s="87" t="s">
        <v>21</v>
      </c>
      <c r="AH9" s="90">
        <v>0.125</v>
      </c>
      <c r="AI9" s="87" t="s">
        <v>21</v>
      </c>
      <c r="AJ9" s="90"/>
      <c r="AK9" s="87"/>
      <c r="AL9" s="90"/>
      <c r="AM9" s="87"/>
      <c r="AN9" s="90"/>
    </row>
    <row r="10" spans="2:40">
      <c r="Q10" s="1"/>
      <c r="R10" s="1" t="s">
        <v>572</v>
      </c>
      <c r="S10" s="2">
        <f t="shared" si="1"/>
        <v>4.7869951291748318</v>
      </c>
      <c r="T10" s="1">
        <f>AF3</f>
        <v>4.7869951291748318</v>
      </c>
      <c r="U10" s="23"/>
      <c r="V10" s="23"/>
      <c r="W10" s="23"/>
      <c r="X10" s="23"/>
      <c r="AA10" s="1" t="s">
        <v>573</v>
      </c>
      <c r="AB10" s="90">
        <v>0.1</v>
      </c>
      <c r="AC10" s="87" t="s">
        <v>22</v>
      </c>
      <c r="AD10" s="90">
        <v>0.17850000000000002</v>
      </c>
      <c r="AE10" s="87" t="s">
        <v>22</v>
      </c>
      <c r="AF10" s="90">
        <v>0.17850000000000002</v>
      </c>
      <c r="AG10" s="87" t="s">
        <v>22</v>
      </c>
      <c r="AH10" s="90">
        <v>0.255</v>
      </c>
      <c r="AI10" s="87" t="s">
        <v>22</v>
      </c>
      <c r="AJ10" s="90"/>
      <c r="AK10" s="87"/>
      <c r="AL10" s="90"/>
      <c r="AM10" s="87"/>
      <c r="AN10" s="90"/>
    </row>
    <row r="11" spans="2:40">
      <c r="B11" s="3" t="s">
        <v>921</v>
      </c>
      <c r="Q11" s="1"/>
      <c r="R11" s="1" t="s">
        <v>574</v>
      </c>
      <c r="S11" s="2">
        <f t="shared" si="1"/>
        <v>4.7869951291748318</v>
      </c>
      <c r="T11" s="1">
        <f>AF3</f>
        <v>4.7869951291748318</v>
      </c>
      <c r="U11" s="23"/>
      <c r="V11" s="23"/>
      <c r="W11" s="23"/>
      <c r="X11" s="23"/>
      <c r="AA11" s="2" t="s">
        <v>18</v>
      </c>
      <c r="AB11" s="91">
        <v>0.2303893725456938</v>
      </c>
      <c r="AC11" s="87" t="s">
        <v>23</v>
      </c>
      <c r="AD11" s="90">
        <v>0.2724645</v>
      </c>
      <c r="AE11" s="87" t="s">
        <v>23</v>
      </c>
      <c r="AF11" s="90">
        <v>0.2724645</v>
      </c>
      <c r="AG11" s="87" t="s">
        <v>23</v>
      </c>
      <c r="AH11" s="90">
        <v>0.251</v>
      </c>
      <c r="AI11" s="87" t="s">
        <v>23</v>
      </c>
      <c r="AJ11" s="90"/>
      <c r="AK11" s="87"/>
      <c r="AL11" s="90"/>
      <c r="AM11" s="87"/>
      <c r="AN11" s="90"/>
    </row>
    <row r="12" spans="2:40">
      <c r="B12" s="10" t="s">
        <v>508</v>
      </c>
      <c r="C12" s="10" t="s">
        <v>25</v>
      </c>
      <c r="D12" s="185" t="s">
        <v>313</v>
      </c>
      <c r="E12" s="186"/>
      <c r="F12" s="187"/>
      <c r="G12" s="185" t="s">
        <v>614</v>
      </c>
      <c r="H12" s="186"/>
      <c r="I12" s="187"/>
      <c r="J12" s="185" t="s">
        <v>30</v>
      </c>
      <c r="K12" s="186"/>
      <c r="L12" s="186"/>
      <c r="M12" s="186"/>
      <c r="N12" s="186"/>
      <c r="O12" s="187"/>
      <c r="Q12" s="1"/>
      <c r="R12" s="1" t="s">
        <v>575</v>
      </c>
      <c r="S12" s="2">
        <f t="shared" si="1"/>
        <v>2.7690000000000001</v>
      </c>
      <c r="T12" s="1">
        <f>AH3</f>
        <v>2.7690000000000001</v>
      </c>
      <c r="U12" s="23"/>
      <c r="V12" s="23"/>
      <c r="W12" s="23"/>
      <c r="X12" s="23"/>
      <c r="AA12" s="1" t="s">
        <v>19</v>
      </c>
      <c r="AB12" s="90">
        <v>0.39606880111426901</v>
      </c>
      <c r="AC12" s="87" t="s">
        <v>24</v>
      </c>
      <c r="AD12" s="90">
        <v>0.3</v>
      </c>
      <c r="AE12" s="87" t="s">
        <v>24</v>
      </c>
      <c r="AF12" s="90">
        <v>0.3</v>
      </c>
      <c r="AG12" s="87" t="s">
        <v>24</v>
      </c>
      <c r="AH12" s="90">
        <v>0.1</v>
      </c>
      <c r="AI12" s="87" t="s">
        <v>59</v>
      </c>
      <c r="AJ12" s="90"/>
      <c r="AK12" s="87"/>
      <c r="AL12" s="90"/>
      <c r="AM12" s="87"/>
      <c r="AN12" s="90"/>
    </row>
    <row r="13" spans="2:40">
      <c r="B13" s="10" t="s">
        <v>171</v>
      </c>
      <c r="C13" s="10" t="s">
        <v>27</v>
      </c>
      <c r="D13" s="10" t="s">
        <v>512</v>
      </c>
      <c r="E13" s="10" t="s">
        <v>516</v>
      </c>
      <c r="F13" s="10" t="s">
        <v>520</v>
      </c>
      <c r="G13" s="10" t="s">
        <v>615</v>
      </c>
      <c r="H13" s="10" t="s">
        <v>616</v>
      </c>
      <c r="I13" s="10" t="s">
        <v>617</v>
      </c>
      <c r="J13" s="10" t="s">
        <v>32</v>
      </c>
      <c r="K13" s="10" t="s">
        <v>34</v>
      </c>
      <c r="L13" s="10" t="s">
        <v>36</v>
      </c>
      <c r="M13" s="10" t="s">
        <v>38</v>
      </c>
      <c r="N13" s="10" t="s">
        <v>40</v>
      </c>
      <c r="O13" s="10" t="s">
        <v>482</v>
      </c>
      <c r="Q13" s="1"/>
      <c r="R13" s="1" t="s">
        <v>576</v>
      </c>
      <c r="S13" s="2">
        <f t="shared" si="1"/>
        <v>2.7690000000000001</v>
      </c>
      <c r="T13" s="1">
        <f>AH3</f>
        <v>2.7690000000000001</v>
      </c>
      <c r="U13" s="23"/>
      <c r="V13" s="23"/>
      <c r="W13" s="23"/>
      <c r="X13" s="23"/>
      <c r="AA13" s="1" t="s">
        <v>20</v>
      </c>
      <c r="AB13" s="90">
        <v>0.10257245551487038</v>
      </c>
      <c r="AC13" s="1"/>
      <c r="AD13" s="90"/>
      <c r="AE13" s="1"/>
      <c r="AF13" s="90"/>
      <c r="AG13" s="1"/>
      <c r="AH13" s="90"/>
      <c r="AI13" s="87" t="s">
        <v>60</v>
      </c>
      <c r="AJ13" s="90"/>
      <c r="AK13" s="87"/>
      <c r="AL13" s="90"/>
      <c r="AM13" s="87"/>
      <c r="AN13" s="90"/>
    </row>
    <row r="14" spans="2:40" ht="20.25" thickBot="1">
      <c r="B14" s="11" t="s">
        <v>173</v>
      </c>
      <c r="C14" s="11" t="s">
        <v>10</v>
      </c>
      <c r="D14" s="11" t="s">
        <v>9</v>
      </c>
      <c r="E14" s="11" t="s">
        <v>9</v>
      </c>
      <c r="F14" s="11" t="s">
        <v>9</v>
      </c>
      <c r="G14" s="11" t="s">
        <v>9</v>
      </c>
      <c r="H14" s="11" t="s">
        <v>9</v>
      </c>
      <c r="I14" s="11" t="s">
        <v>9</v>
      </c>
      <c r="J14" s="11" t="s">
        <v>44</v>
      </c>
      <c r="K14" s="11" t="s">
        <v>44</v>
      </c>
      <c r="L14" s="11" t="s">
        <v>44</v>
      </c>
      <c r="M14" s="11" t="s">
        <v>469</v>
      </c>
      <c r="N14" s="11" t="s">
        <v>469</v>
      </c>
      <c r="O14" s="11" t="s">
        <v>469</v>
      </c>
      <c r="Q14" s="1"/>
      <c r="R14" s="1" t="s">
        <v>577</v>
      </c>
      <c r="S14" s="2">
        <f t="shared" si="1"/>
        <v>0.15</v>
      </c>
      <c r="T14" s="23">
        <v>0.15</v>
      </c>
      <c r="U14" s="23"/>
      <c r="V14" s="23"/>
      <c r="W14" s="23"/>
      <c r="X14" s="23"/>
      <c r="AA14" s="1" t="s">
        <v>21</v>
      </c>
      <c r="AB14" s="90">
        <v>8.3999999999999991E-2</v>
      </c>
      <c r="AC14" s="1"/>
      <c r="AD14" s="90"/>
      <c r="AE14" s="1"/>
      <c r="AF14" s="90"/>
      <c r="AG14" s="1"/>
      <c r="AH14" s="90"/>
      <c r="AI14" s="87" t="s">
        <v>571</v>
      </c>
      <c r="AJ14" s="90"/>
      <c r="AK14" s="1"/>
      <c r="AL14" s="90"/>
      <c r="AM14" s="1"/>
      <c r="AN14" s="90"/>
    </row>
    <row r="15" spans="2:40" ht="20.25" thickTop="1">
      <c r="B15" s="2" t="s">
        <v>46</v>
      </c>
      <c r="C15" s="2">
        <v>25.265807182750734</v>
      </c>
      <c r="D15" s="2">
        <v>0</v>
      </c>
      <c r="E15" s="2">
        <v>0</v>
      </c>
      <c r="F15" s="2">
        <v>0.244882760238121</v>
      </c>
      <c r="G15" s="2">
        <f t="shared" ref="G15:I20" si="2">D15-D$6</f>
        <v>0.18</v>
      </c>
      <c r="H15" s="2">
        <f t="shared" si="2"/>
        <v>0</v>
      </c>
      <c r="I15" s="2">
        <f t="shared" si="2"/>
        <v>4.4882760238120989E-2</v>
      </c>
      <c r="J15" s="2">
        <v>913.09533274208945</v>
      </c>
      <c r="K15" s="2">
        <v>2.6796447003760613</v>
      </c>
      <c r="L15" s="2">
        <v>910.41568804171311</v>
      </c>
      <c r="M15" s="2">
        <v>0</v>
      </c>
      <c r="N15" s="2">
        <v>0</v>
      </c>
      <c r="O15" s="2">
        <v>0</v>
      </c>
      <c r="Q15" s="1"/>
      <c r="R15" s="1" t="s">
        <v>578</v>
      </c>
      <c r="S15" s="2">
        <f t="shared" si="1"/>
        <v>0.15</v>
      </c>
      <c r="T15" s="23">
        <v>0.15</v>
      </c>
      <c r="U15" s="23"/>
      <c r="V15" s="23"/>
      <c r="W15" s="23"/>
      <c r="X15" s="23"/>
      <c r="AA15" s="1" t="s">
        <v>22</v>
      </c>
      <c r="AB15" s="90">
        <v>0.17850000000000002</v>
      </c>
      <c r="AC15" s="1"/>
      <c r="AD15" s="90"/>
      <c r="AE15" s="1"/>
      <c r="AF15" s="90"/>
      <c r="AG15" s="1"/>
      <c r="AH15" s="90"/>
      <c r="AI15" s="1" t="s">
        <v>579</v>
      </c>
      <c r="AJ15" s="90"/>
      <c r="AK15" s="1"/>
      <c r="AL15" s="90"/>
      <c r="AM15" s="1"/>
      <c r="AN15" s="90"/>
    </row>
    <row r="16" spans="2:40">
      <c r="B16" s="1" t="s">
        <v>57</v>
      </c>
      <c r="C16" s="1">
        <v>1.1759667233453381</v>
      </c>
      <c r="D16" s="1">
        <v>3.2</v>
      </c>
      <c r="E16" s="1">
        <v>0</v>
      </c>
      <c r="F16" s="1">
        <v>1.25</v>
      </c>
      <c r="G16" s="2">
        <f t="shared" si="2"/>
        <v>3.3800000000000003</v>
      </c>
      <c r="H16" s="2">
        <f t="shared" si="2"/>
        <v>0</v>
      </c>
      <c r="I16" s="2">
        <f t="shared" si="2"/>
        <v>1.05</v>
      </c>
      <c r="J16" s="1">
        <v>1.6148928020516751</v>
      </c>
      <c r="K16" s="1">
        <v>4.2714103151758623E-8</v>
      </c>
      <c r="L16" s="1">
        <v>1.6148927593375719</v>
      </c>
      <c r="M16" s="1">
        <v>0</v>
      </c>
      <c r="N16" s="1">
        <v>0</v>
      </c>
      <c r="O16" s="1">
        <v>0</v>
      </c>
      <c r="Q16" s="1"/>
      <c r="R16" s="1" t="s">
        <v>580</v>
      </c>
      <c r="S16" s="2">
        <f t="shared" si="1"/>
        <v>0</v>
      </c>
      <c r="T16" s="23"/>
      <c r="U16" s="23"/>
      <c r="V16" s="23"/>
      <c r="W16" s="23"/>
      <c r="X16" s="23"/>
      <c r="AA16" s="1" t="s">
        <v>23</v>
      </c>
      <c r="AB16" s="90">
        <v>0.2724645</v>
      </c>
      <c r="AC16" s="1"/>
      <c r="AD16" s="90"/>
      <c r="AE16" s="1"/>
      <c r="AF16" s="90"/>
      <c r="AG16" s="1"/>
      <c r="AH16" s="90"/>
      <c r="AI16" s="1"/>
      <c r="AJ16" s="90"/>
      <c r="AK16" s="1"/>
      <c r="AL16" s="90"/>
      <c r="AM16" s="1"/>
      <c r="AN16" s="90"/>
    </row>
    <row r="17" spans="2:40">
      <c r="B17" s="1" t="s">
        <v>58</v>
      </c>
      <c r="C17" s="1">
        <v>1.6194020159472187</v>
      </c>
      <c r="D17" s="1">
        <v>3.2</v>
      </c>
      <c r="E17" s="1">
        <v>0</v>
      </c>
      <c r="F17" s="1">
        <v>0.80506787917069467</v>
      </c>
      <c r="G17" s="2">
        <f t="shared" si="2"/>
        <v>3.3800000000000003</v>
      </c>
      <c r="H17" s="2">
        <f t="shared" si="2"/>
        <v>0</v>
      </c>
      <c r="I17" s="2">
        <f t="shared" si="2"/>
        <v>0.60506787917069471</v>
      </c>
      <c r="J17" s="1">
        <v>0.34596596444234379</v>
      </c>
      <c r="K17" s="1">
        <v>0</v>
      </c>
      <c r="L17" s="1">
        <v>0.34596596444234379</v>
      </c>
      <c r="M17" s="1">
        <v>0</v>
      </c>
      <c r="N17" s="1">
        <v>0</v>
      </c>
      <c r="O17" s="1">
        <v>0</v>
      </c>
      <c r="Q17" s="1"/>
      <c r="R17" s="1" t="s">
        <v>581</v>
      </c>
      <c r="S17" s="2">
        <f t="shared" si="1"/>
        <v>0.05</v>
      </c>
      <c r="T17" s="23">
        <v>0.05</v>
      </c>
      <c r="U17" s="23"/>
      <c r="V17" s="23"/>
      <c r="W17" s="23"/>
      <c r="X17" s="23"/>
      <c r="AA17" s="1" t="s">
        <v>24</v>
      </c>
      <c r="AB17" s="90">
        <v>0.3</v>
      </c>
      <c r="AC17" s="1"/>
      <c r="AD17" s="90"/>
      <c r="AE17" s="1"/>
      <c r="AF17" s="90"/>
      <c r="AG17" s="1"/>
      <c r="AH17" s="90"/>
      <c r="AI17" s="1"/>
      <c r="AJ17" s="90"/>
      <c r="AK17" s="1"/>
      <c r="AL17" s="90"/>
      <c r="AM17" s="1"/>
      <c r="AN17" s="90"/>
    </row>
    <row r="18" spans="2:40">
      <c r="B18" s="1" t="s">
        <v>63</v>
      </c>
      <c r="C18" s="1">
        <v>2.9510192617411128</v>
      </c>
      <c r="D18" s="1">
        <v>1.3514890980716574</v>
      </c>
      <c r="E18" s="1">
        <v>0</v>
      </c>
      <c r="F18" s="1">
        <v>0.30931295414109083</v>
      </c>
      <c r="G18" s="2">
        <f t="shared" si="2"/>
        <v>1.5314890980716573</v>
      </c>
      <c r="H18" s="2">
        <f t="shared" si="2"/>
        <v>0</v>
      </c>
      <c r="I18" s="2">
        <f t="shared" si="2"/>
        <v>0.10931295414109082</v>
      </c>
      <c r="J18" s="1">
        <v>0.16954833279692161</v>
      </c>
      <c r="K18" s="1">
        <v>4.8610744233556025</v>
      </c>
      <c r="L18" s="1">
        <v>4.6915260905586802</v>
      </c>
      <c r="M18" s="1">
        <v>0</v>
      </c>
      <c r="N18" s="1">
        <v>0</v>
      </c>
      <c r="O18" s="1">
        <v>0.7464691440225939</v>
      </c>
      <c r="Q18" s="1"/>
      <c r="R18" s="1" t="s">
        <v>582</v>
      </c>
      <c r="S18" s="2">
        <f t="shared" si="1"/>
        <v>0.1</v>
      </c>
      <c r="T18" s="23">
        <v>0.1</v>
      </c>
      <c r="U18" s="23"/>
      <c r="V18" s="23"/>
      <c r="W18" s="23"/>
      <c r="X18" s="23"/>
      <c r="AA18" s="1"/>
      <c r="AB18" s="90"/>
      <c r="AC18" s="1"/>
      <c r="AD18" s="90"/>
      <c r="AE18" s="1"/>
      <c r="AF18" s="90"/>
      <c r="AG18" s="1"/>
      <c r="AH18" s="90"/>
      <c r="AI18" s="1"/>
      <c r="AJ18" s="90"/>
      <c r="AK18" s="1"/>
      <c r="AL18" s="90"/>
      <c r="AM18" s="1"/>
      <c r="AN18" s="90"/>
    </row>
    <row r="19" spans="2:40">
      <c r="B19" s="1" t="s">
        <v>13</v>
      </c>
      <c r="C19" s="1">
        <v>2.9510192617411128</v>
      </c>
      <c r="D19" s="1">
        <v>1.3514890980716574</v>
      </c>
      <c r="E19" s="1">
        <v>0</v>
      </c>
      <c r="F19" s="1">
        <v>0.30931295414109083</v>
      </c>
      <c r="G19" s="2">
        <f t="shared" si="2"/>
        <v>1.5314890980716573</v>
      </c>
      <c r="H19" s="2">
        <f t="shared" si="2"/>
        <v>0</v>
      </c>
      <c r="I19" s="2">
        <f t="shared" si="2"/>
        <v>0.10931295414109082</v>
      </c>
      <c r="J19" s="1">
        <v>0.16954833279692161</v>
      </c>
      <c r="K19" s="1">
        <v>4.8610744233556025</v>
      </c>
      <c r="L19" s="1">
        <v>4.6915260905586802</v>
      </c>
      <c r="M19" s="1">
        <v>0</v>
      </c>
      <c r="N19" s="1">
        <v>0</v>
      </c>
      <c r="O19" s="1">
        <v>0.7464691440225939</v>
      </c>
      <c r="Q19" s="1" t="s">
        <v>583</v>
      </c>
      <c r="R19" s="1" t="s">
        <v>56</v>
      </c>
      <c r="S19" s="2">
        <f t="shared" si="1"/>
        <v>0</v>
      </c>
      <c r="T19" s="1">
        <f>AJ3</f>
        <v>0</v>
      </c>
      <c r="U19" s="23"/>
      <c r="V19" s="23"/>
      <c r="W19" s="23"/>
      <c r="X19" s="23"/>
      <c r="AA19" s="1"/>
      <c r="AB19" s="90"/>
      <c r="AC19" s="1"/>
      <c r="AD19" s="90"/>
      <c r="AE19" s="1"/>
      <c r="AF19" s="90"/>
      <c r="AG19" s="1"/>
      <c r="AH19" s="90"/>
      <c r="AI19" s="1"/>
      <c r="AJ19" s="90"/>
      <c r="AK19" s="1"/>
      <c r="AL19" s="90"/>
      <c r="AM19" s="1"/>
      <c r="AN19" s="90"/>
    </row>
    <row r="20" spans="2:40">
      <c r="B20" s="1" t="s">
        <v>48</v>
      </c>
      <c r="C20" s="1">
        <v>2.9510192617411128</v>
      </c>
      <c r="D20" s="1">
        <v>1.3514890980716574</v>
      </c>
      <c r="E20" s="1">
        <v>0</v>
      </c>
      <c r="F20" s="1">
        <v>0.30931295414109083</v>
      </c>
      <c r="G20" s="2">
        <f t="shared" si="2"/>
        <v>1.5314890980716573</v>
      </c>
      <c r="H20" s="2">
        <f t="shared" si="2"/>
        <v>0</v>
      </c>
      <c r="I20" s="2">
        <f t="shared" si="2"/>
        <v>0.10931295414109082</v>
      </c>
      <c r="J20" s="1">
        <v>0.16954833279692161</v>
      </c>
      <c r="K20" s="1">
        <v>4.8610744233556025</v>
      </c>
      <c r="L20" s="1">
        <v>4.6915260905586802</v>
      </c>
      <c r="M20" s="1">
        <v>0</v>
      </c>
      <c r="N20" s="1">
        <v>0</v>
      </c>
      <c r="O20" s="1">
        <v>0.7464691440225939</v>
      </c>
      <c r="Q20" s="1"/>
      <c r="R20" s="1" t="s">
        <v>584</v>
      </c>
      <c r="S20" s="2">
        <f t="shared" si="1"/>
        <v>0.05</v>
      </c>
      <c r="T20" s="23">
        <v>0.05</v>
      </c>
      <c r="U20" s="23"/>
      <c r="V20" s="23"/>
      <c r="W20" s="23"/>
      <c r="X20" s="23"/>
    </row>
    <row r="21" spans="2:40">
      <c r="Q21" s="1"/>
      <c r="R21" s="1" t="s">
        <v>585</v>
      </c>
      <c r="S21" s="2">
        <f t="shared" si="1"/>
        <v>0.05</v>
      </c>
      <c r="T21" s="23">
        <v>0.05</v>
      </c>
      <c r="U21" s="23"/>
      <c r="V21" s="23"/>
      <c r="W21" s="23"/>
      <c r="X21" s="23"/>
    </row>
    <row r="22" spans="2:40">
      <c r="Q22" s="1"/>
      <c r="R22" s="1" t="s">
        <v>586</v>
      </c>
      <c r="S22" s="2">
        <f t="shared" si="1"/>
        <v>0.01</v>
      </c>
      <c r="T22" s="23">
        <v>0.01</v>
      </c>
      <c r="U22" s="23"/>
      <c r="V22" s="23"/>
      <c r="W22" s="23"/>
      <c r="X22" s="23"/>
    </row>
    <row r="23" spans="2:40">
      <c r="B23" s="3" t="s">
        <v>932</v>
      </c>
      <c r="Q23" s="1" t="s">
        <v>589</v>
      </c>
      <c r="R23" s="1" t="s">
        <v>590</v>
      </c>
      <c r="S23" s="2">
        <f t="shared" si="1"/>
        <v>0</v>
      </c>
      <c r="T23" s="1">
        <f>AL3</f>
        <v>0</v>
      </c>
      <c r="U23" s="23"/>
      <c r="V23" s="23"/>
      <c r="W23" s="23"/>
      <c r="X23" s="23"/>
      <c r="Z23" s="3" t="s">
        <v>49</v>
      </c>
      <c r="AA23" s="1" t="s">
        <v>63</v>
      </c>
      <c r="AB23" s="86">
        <f>SUM(AB25:AB38)</f>
        <v>0</v>
      </c>
      <c r="AC23" s="1" t="s">
        <v>4</v>
      </c>
      <c r="AD23" s="86">
        <f>SUM(AD25:AD38)</f>
        <v>0.75</v>
      </c>
      <c r="AE23" s="1" t="s">
        <v>587</v>
      </c>
      <c r="AF23" s="86">
        <f>SUM(AF25:AF38)</f>
        <v>0</v>
      </c>
      <c r="AG23" s="1" t="s">
        <v>588</v>
      </c>
      <c r="AH23" s="86">
        <f>SUM(AH25:AH38)</f>
        <v>0.5</v>
      </c>
    </row>
    <row r="24" spans="2:40" ht="20.25" thickBot="1">
      <c r="Q24" s="1"/>
      <c r="R24" s="1" t="s">
        <v>591</v>
      </c>
      <c r="S24" s="2">
        <f t="shared" si="1"/>
        <v>0</v>
      </c>
      <c r="T24" s="1">
        <f>AN3</f>
        <v>0</v>
      </c>
      <c r="U24" s="23"/>
      <c r="V24" s="23"/>
      <c r="W24" s="23"/>
      <c r="X24" s="23"/>
      <c r="AA24" s="10" t="s">
        <v>50</v>
      </c>
      <c r="AB24" s="53" t="s">
        <v>25</v>
      </c>
      <c r="AC24" s="10" t="s">
        <v>50</v>
      </c>
      <c r="AD24" s="53" t="s">
        <v>25</v>
      </c>
      <c r="AE24" s="10" t="s">
        <v>50</v>
      </c>
      <c r="AF24" s="53" t="s">
        <v>25</v>
      </c>
      <c r="AG24" s="10" t="s">
        <v>50</v>
      </c>
      <c r="AH24" s="53" t="s">
        <v>25</v>
      </c>
    </row>
    <row r="25" spans="2:40" ht="20.25" thickTop="1">
      <c r="Q25" s="1"/>
      <c r="R25" s="1" t="s">
        <v>593</v>
      </c>
      <c r="S25" s="2">
        <f t="shared" si="1"/>
        <v>0</v>
      </c>
      <c r="T25" s="23"/>
      <c r="U25" s="23"/>
      <c r="V25" s="23"/>
      <c r="W25" s="23"/>
      <c r="X25" s="23"/>
      <c r="AA25" s="28" t="s">
        <v>17</v>
      </c>
      <c r="AB25" s="88"/>
      <c r="AC25" s="28" t="s">
        <v>592</v>
      </c>
      <c r="AD25" s="88"/>
      <c r="AE25" s="28"/>
      <c r="AF25" s="88"/>
      <c r="AG25" s="28"/>
      <c r="AH25" s="88">
        <v>0.5</v>
      </c>
    </row>
    <row r="26" spans="2:40">
      <c r="Q26" s="1"/>
      <c r="R26" s="1" t="s">
        <v>596</v>
      </c>
      <c r="S26" s="2">
        <f t="shared" si="1"/>
        <v>0.2</v>
      </c>
      <c r="T26" s="23">
        <v>0.2</v>
      </c>
      <c r="U26" s="23"/>
      <c r="V26" s="23"/>
      <c r="W26" s="23"/>
      <c r="X26" s="23"/>
      <c r="AA26" s="1" t="s">
        <v>594</v>
      </c>
      <c r="AB26" s="90"/>
      <c r="AC26" s="1" t="s">
        <v>595</v>
      </c>
      <c r="AD26" s="90"/>
      <c r="AE26" s="1"/>
      <c r="AF26" s="90"/>
      <c r="AG26" s="1"/>
      <c r="AH26" s="90"/>
    </row>
    <row r="27" spans="2:40">
      <c r="Q27" s="1"/>
      <c r="R27" s="1" t="s">
        <v>586</v>
      </c>
      <c r="S27" s="2">
        <f t="shared" si="1"/>
        <v>0</v>
      </c>
      <c r="T27" s="23"/>
      <c r="U27" s="23"/>
      <c r="V27" s="23"/>
      <c r="W27" s="23"/>
      <c r="X27" s="23"/>
      <c r="AA27" s="1" t="s">
        <v>15</v>
      </c>
      <c r="AB27" s="90"/>
      <c r="AC27" s="1" t="s">
        <v>597</v>
      </c>
      <c r="AD27" s="90"/>
      <c r="AE27" s="1"/>
      <c r="AF27" s="90"/>
      <c r="AG27" s="1"/>
      <c r="AH27" s="90"/>
    </row>
    <row r="28" spans="2:40">
      <c r="Q28" s="1"/>
      <c r="R28" s="1" t="s">
        <v>599</v>
      </c>
      <c r="S28" s="2">
        <f t="shared" si="1"/>
        <v>0</v>
      </c>
      <c r="T28" s="23"/>
      <c r="U28" s="23"/>
      <c r="V28" s="23"/>
      <c r="W28" s="23"/>
      <c r="X28" s="23"/>
      <c r="AA28" s="1" t="s">
        <v>24</v>
      </c>
      <c r="AB28" s="90"/>
      <c r="AC28" s="1" t="s">
        <v>598</v>
      </c>
      <c r="AD28" s="90"/>
      <c r="AE28" s="1"/>
      <c r="AF28" s="90"/>
      <c r="AG28" s="1"/>
      <c r="AH28" s="90"/>
    </row>
    <row r="29" spans="2:40">
      <c r="Q29" s="1" t="s">
        <v>63</v>
      </c>
      <c r="R29" s="1" t="s">
        <v>601</v>
      </c>
      <c r="S29" s="2">
        <f t="shared" si="1"/>
        <v>0</v>
      </c>
      <c r="T29" s="1">
        <f>AB23</f>
        <v>0</v>
      </c>
      <c r="U29" s="23"/>
      <c r="V29" s="23"/>
      <c r="W29" s="23"/>
      <c r="X29" s="23"/>
      <c r="AA29" s="1" t="s">
        <v>600</v>
      </c>
      <c r="AB29" s="90"/>
      <c r="AC29" s="1"/>
      <c r="AD29" s="90"/>
      <c r="AE29" s="1"/>
      <c r="AF29" s="90"/>
      <c r="AG29" s="1"/>
      <c r="AH29" s="90"/>
    </row>
    <row r="30" spans="2:40">
      <c r="Q30" s="1"/>
      <c r="R30" s="1" t="s">
        <v>603</v>
      </c>
      <c r="S30" s="2">
        <f t="shared" si="1"/>
        <v>0.5</v>
      </c>
      <c r="T30" s="1">
        <f>AH23</f>
        <v>0.5</v>
      </c>
      <c r="U30" s="23"/>
      <c r="V30" s="23"/>
      <c r="W30" s="23"/>
      <c r="X30" s="23"/>
      <c r="AA30" s="1" t="s">
        <v>602</v>
      </c>
      <c r="AB30" s="90"/>
      <c r="AC30" s="2"/>
      <c r="AD30" s="91">
        <v>0.75</v>
      </c>
      <c r="AE30" s="2"/>
      <c r="AF30" s="91"/>
      <c r="AG30" s="2"/>
      <c r="AH30" s="91"/>
    </row>
    <row r="31" spans="2:40">
      <c r="Q31" s="1" t="s">
        <v>47</v>
      </c>
      <c r="R31" s="1" t="s">
        <v>47</v>
      </c>
      <c r="S31" s="2">
        <f t="shared" si="1"/>
        <v>0</v>
      </c>
      <c r="T31" s="23"/>
      <c r="U31" s="23"/>
      <c r="V31" s="23"/>
      <c r="W31" s="23"/>
      <c r="X31" s="23"/>
      <c r="AA31" s="1" t="s">
        <v>64</v>
      </c>
      <c r="AB31" s="90"/>
      <c r="AC31" s="1"/>
      <c r="AD31" s="90"/>
      <c r="AE31" s="1"/>
      <c r="AF31" s="90"/>
      <c r="AG31" s="1"/>
      <c r="AH31" s="90"/>
    </row>
    <row r="32" spans="2:40">
      <c r="Q32" s="1"/>
      <c r="R32" s="1" t="s">
        <v>604</v>
      </c>
      <c r="S32" s="2">
        <f t="shared" si="1"/>
        <v>0</v>
      </c>
      <c r="T32" s="23"/>
      <c r="U32" s="23"/>
      <c r="V32" s="23"/>
      <c r="W32" s="23"/>
      <c r="X32" s="23"/>
      <c r="AA32" s="1"/>
      <c r="AB32" s="90"/>
      <c r="AC32" s="1"/>
      <c r="AD32" s="90"/>
      <c r="AE32" s="1"/>
      <c r="AF32" s="90"/>
      <c r="AG32" s="1"/>
      <c r="AH32" s="90"/>
    </row>
    <row r="33" spans="17:34">
      <c r="Q33" s="1"/>
      <c r="R33" s="1" t="s">
        <v>605</v>
      </c>
      <c r="S33" s="2">
        <f t="shared" si="1"/>
        <v>0</v>
      </c>
      <c r="T33" s="23"/>
      <c r="U33" s="23"/>
      <c r="V33" s="23"/>
      <c r="W33" s="23"/>
      <c r="X33" s="23"/>
      <c r="AA33" s="1"/>
      <c r="AB33" s="90"/>
      <c r="AC33" s="1"/>
      <c r="AD33" s="90"/>
      <c r="AE33" s="1"/>
      <c r="AF33" s="90"/>
      <c r="AG33" s="1"/>
      <c r="AH33" s="90"/>
    </row>
    <row r="34" spans="17:34">
      <c r="Q34" s="1"/>
      <c r="R34" s="1" t="s">
        <v>606</v>
      </c>
      <c r="S34" s="2">
        <f t="shared" si="1"/>
        <v>0</v>
      </c>
      <c r="T34" s="23"/>
      <c r="U34" s="23"/>
      <c r="V34" s="23"/>
      <c r="W34" s="23"/>
      <c r="X34" s="23"/>
      <c r="AA34" s="1"/>
      <c r="AB34" s="90"/>
      <c r="AC34" s="1"/>
      <c r="AD34" s="90"/>
      <c r="AE34" s="1"/>
      <c r="AF34" s="90"/>
      <c r="AG34" s="1"/>
      <c r="AH34" s="90"/>
    </row>
    <row r="35" spans="17:34">
      <c r="Q35" s="1" t="s">
        <v>48</v>
      </c>
      <c r="R35" s="1" t="s">
        <v>607</v>
      </c>
      <c r="S35" s="2">
        <f t="shared" si="1"/>
        <v>0.75</v>
      </c>
      <c r="T35" s="1">
        <f>AD23</f>
        <v>0.75</v>
      </c>
      <c r="U35" s="23"/>
      <c r="V35" s="23"/>
      <c r="W35" s="23"/>
      <c r="X35" s="23"/>
      <c r="AA35" s="1"/>
      <c r="AB35" s="90"/>
      <c r="AC35" s="1"/>
      <c r="AD35" s="90"/>
      <c r="AE35" s="1"/>
      <c r="AF35" s="90"/>
      <c r="AG35" s="1"/>
      <c r="AH35" s="90"/>
    </row>
    <row r="36" spans="17:34">
      <c r="Q36" s="1"/>
      <c r="R36" s="1" t="s">
        <v>608</v>
      </c>
      <c r="S36" s="2">
        <f t="shared" si="1"/>
        <v>0.75</v>
      </c>
      <c r="T36" s="1">
        <f>AD23</f>
        <v>0.75</v>
      </c>
      <c r="U36" s="23"/>
      <c r="V36" s="23"/>
      <c r="W36" s="23"/>
      <c r="X36" s="23"/>
      <c r="AA36" s="1"/>
      <c r="AB36" s="90"/>
      <c r="AC36" s="1"/>
      <c r="AD36" s="90"/>
      <c r="AE36" s="1"/>
      <c r="AF36" s="90"/>
      <c r="AG36" s="1"/>
      <c r="AH36" s="90"/>
    </row>
    <row r="37" spans="17:34">
      <c r="Q37" s="1" t="s">
        <v>609</v>
      </c>
      <c r="R37" s="1" t="s">
        <v>610</v>
      </c>
      <c r="S37" s="2">
        <f t="shared" si="1"/>
        <v>0</v>
      </c>
      <c r="T37" s="23"/>
      <c r="U37" s="23"/>
      <c r="V37" s="23"/>
      <c r="W37" s="23"/>
      <c r="X37" s="23"/>
      <c r="AA37" s="1"/>
      <c r="AB37" s="90"/>
      <c r="AC37" s="1"/>
      <c r="AD37" s="90"/>
      <c r="AE37" s="1"/>
      <c r="AF37" s="90"/>
      <c r="AG37" s="1"/>
      <c r="AH37" s="90"/>
    </row>
    <row r="38" spans="17:34">
      <c r="Q38" s="1"/>
      <c r="R38" s="1" t="s">
        <v>611</v>
      </c>
      <c r="S38" s="2">
        <f t="shared" si="1"/>
        <v>0</v>
      </c>
      <c r="T38" s="23"/>
      <c r="U38" s="23"/>
      <c r="V38" s="23"/>
      <c r="W38" s="23"/>
      <c r="X38" s="23"/>
      <c r="AA38" s="1"/>
      <c r="AB38" s="90"/>
      <c r="AC38" s="1"/>
      <c r="AD38" s="90"/>
      <c r="AE38" s="1"/>
      <c r="AF38" s="90"/>
      <c r="AG38" s="1"/>
      <c r="AH38" s="90"/>
    </row>
    <row r="39" spans="17:34">
      <c r="Q39" s="1" t="s">
        <v>49</v>
      </c>
      <c r="R39" s="1" t="s">
        <v>612</v>
      </c>
      <c r="S39" s="2">
        <f t="shared" si="1"/>
        <v>0</v>
      </c>
      <c r="T39" s="23"/>
      <c r="U39" s="23"/>
      <c r="V39" s="23"/>
      <c r="W39" s="23"/>
      <c r="X39" s="23"/>
    </row>
    <row r="40" spans="17:34">
      <c r="Q40" s="1"/>
      <c r="R40" s="1" t="s">
        <v>613</v>
      </c>
      <c r="S40" s="2">
        <f t="shared" si="1"/>
        <v>0</v>
      </c>
      <c r="T40" s="23"/>
      <c r="U40" s="23"/>
      <c r="V40" s="23"/>
      <c r="W40" s="23"/>
      <c r="X40" s="23"/>
    </row>
    <row r="41" spans="17:34">
      <c r="Q41" s="1"/>
      <c r="R41" s="1"/>
      <c r="S41" s="1"/>
      <c r="T41" s="23"/>
      <c r="U41" s="23"/>
      <c r="V41" s="23"/>
      <c r="W41" s="23"/>
      <c r="X41" s="23"/>
    </row>
    <row r="42" spans="17:34">
      <c r="Q42" s="1"/>
      <c r="R42" s="1"/>
      <c r="S42" s="1"/>
      <c r="T42" s="23"/>
      <c r="U42" s="23"/>
      <c r="V42" s="23"/>
      <c r="W42" s="23"/>
      <c r="X42" s="23"/>
    </row>
    <row r="43" spans="17:34">
      <c r="Q43" s="1"/>
      <c r="R43" s="1"/>
      <c r="S43" s="1"/>
      <c r="T43" s="23"/>
      <c r="U43" s="23"/>
      <c r="V43" s="23"/>
      <c r="W43" s="23"/>
      <c r="X43" s="23"/>
    </row>
    <row r="44" spans="17:34">
      <c r="Q44" s="1"/>
      <c r="R44" s="1"/>
      <c r="S44" s="1"/>
      <c r="T44" s="23"/>
      <c r="U44" s="23"/>
      <c r="V44" s="23"/>
      <c r="W44" s="23"/>
      <c r="X44" s="23"/>
    </row>
    <row r="47" spans="17:34">
      <c r="Q47" s="3" t="s">
        <v>66</v>
      </c>
    </row>
    <row r="48" spans="17:34">
      <c r="Q48" s="10" t="s">
        <v>7</v>
      </c>
      <c r="R48" s="12" t="s">
        <v>8</v>
      </c>
      <c r="S48" s="10" t="s">
        <v>6</v>
      </c>
      <c r="T48" s="13" t="s">
        <v>12</v>
      </c>
      <c r="U48" s="14" t="s">
        <v>11</v>
      </c>
    </row>
    <row r="49" spans="17:41" ht="20.25" thickBot="1">
      <c r="Q49" s="11" t="s">
        <v>10</v>
      </c>
      <c r="R49" s="15" t="s">
        <v>10</v>
      </c>
      <c r="S49" s="11" t="s">
        <v>9</v>
      </c>
      <c r="T49" s="16" t="s">
        <v>10</v>
      </c>
      <c r="U49" s="17" t="s">
        <v>9</v>
      </c>
    </row>
    <row r="50" spans="17:41" ht="20.25" thickTop="1">
      <c r="Q50" s="4">
        <v>3</v>
      </c>
      <c r="R50" s="5">
        <v>1</v>
      </c>
      <c r="S50" s="4">
        <v>1</v>
      </c>
      <c r="T50" s="6">
        <f>Q50+R50</f>
        <v>4</v>
      </c>
      <c r="U50" s="7">
        <f>S50*R50/(Q50+R50)</f>
        <v>0.25</v>
      </c>
    </row>
    <row r="59" spans="17:41">
      <c r="AO59" s="92"/>
    </row>
    <row r="60" spans="17:41">
      <c r="AO60" s="92"/>
    </row>
    <row r="61" spans="17:41">
      <c r="AO61" s="92"/>
    </row>
    <row r="62" spans="17:41">
      <c r="AO62" s="92"/>
    </row>
    <row r="63" spans="17:41">
      <c r="AO63" s="92"/>
    </row>
    <row r="64" spans="17:41">
      <c r="AO64" s="92"/>
    </row>
    <row r="65" spans="36:45">
      <c r="AO65" s="92"/>
    </row>
    <row r="66" spans="36:45">
      <c r="AO66" s="92"/>
    </row>
    <row r="67" spans="36:45">
      <c r="AO67" s="92"/>
    </row>
    <row r="68" spans="36:45">
      <c r="AO68" s="92"/>
    </row>
    <row r="69" spans="36:45">
      <c r="AJ69" s="92"/>
      <c r="AM69" s="92"/>
      <c r="AN69" s="92"/>
      <c r="AO69" s="92"/>
      <c r="AP69" s="92"/>
      <c r="AQ69" s="92"/>
      <c r="AR69" s="92"/>
      <c r="AS69" s="92"/>
    </row>
    <row r="70" spans="36:45">
      <c r="AJ70" s="92"/>
      <c r="AM70" s="92"/>
      <c r="AN70" s="92"/>
      <c r="AO70" s="92"/>
      <c r="AP70" s="92"/>
      <c r="AQ70" s="92"/>
      <c r="AR70" s="92"/>
      <c r="AS70" s="92"/>
    </row>
    <row r="71" spans="36:45">
      <c r="AJ71" s="92"/>
      <c r="AM71" s="92"/>
      <c r="AN71" s="92"/>
      <c r="AO71" s="92"/>
      <c r="AP71" s="92"/>
      <c r="AQ71" s="92"/>
      <c r="AR71" s="92"/>
      <c r="AS71" s="92"/>
    </row>
    <row r="72" spans="36:45">
      <c r="AJ72" s="92"/>
      <c r="AM72" s="92"/>
      <c r="AN72" s="92"/>
      <c r="AO72" s="92"/>
      <c r="AP72" s="92"/>
      <c r="AQ72" s="92"/>
      <c r="AR72" s="92"/>
      <c r="AS72" s="92"/>
    </row>
    <row r="73" spans="36:45">
      <c r="AJ73" s="92"/>
      <c r="AM73" s="92"/>
      <c r="AN73" s="92"/>
      <c r="AO73" s="92"/>
      <c r="AP73" s="92"/>
      <c r="AQ73" s="92"/>
      <c r="AR73" s="92"/>
      <c r="AS73" s="92"/>
    </row>
    <row r="74" spans="36:45">
      <c r="AJ74" s="92"/>
      <c r="AM74" s="92"/>
      <c r="AN74" s="92"/>
      <c r="AO74" s="92"/>
      <c r="AP74" s="92"/>
      <c r="AQ74" s="92"/>
      <c r="AR74" s="92"/>
      <c r="AS74" s="92"/>
    </row>
    <row r="75" spans="36:45">
      <c r="AJ75" s="92"/>
      <c r="AM75" s="92"/>
      <c r="AN75" s="92"/>
      <c r="AO75" s="92"/>
      <c r="AP75" s="92"/>
      <c r="AQ75" s="92"/>
      <c r="AR75" s="92"/>
      <c r="AS75" s="92"/>
    </row>
    <row r="76" spans="36:45">
      <c r="AJ76" s="92"/>
      <c r="AM76" s="92"/>
      <c r="AN76" s="92"/>
      <c r="AO76" s="92"/>
      <c r="AP76" s="92"/>
      <c r="AQ76" s="92"/>
      <c r="AR76" s="92"/>
      <c r="AS76" s="92"/>
    </row>
    <row r="77" spans="36:45">
      <c r="AJ77" s="92"/>
      <c r="AM77" s="92"/>
      <c r="AN77" s="92"/>
      <c r="AO77" s="92"/>
      <c r="AP77" s="92"/>
      <c r="AQ77" s="92"/>
      <c r="AR77" s="92"/>
      <c r="AS77" s="92"/>
    </row>
    <row r="78" spans="36:45">
      <c r="AJ78" s="92"/>
      <c r="AM78" s="92"/>
      <c r="AN78" s="92"/>
      <c r="AO78" s="92"/>
      <c r="AP78" s="92"/>
      <c r="AQ78" s="92"/>
      <c r="AR78" s="92"/>
      <c r="AS78" s="92"/>
    </row>
    <row r="79" spans="36:45">
      <c r="AJ79" s="92"/>
      <c r="AM79" s="92"/>
      <c r="AN79" s="92"/>
      <c r="AO79" s="92"/>
      <c r="AP79" s="92"/>
      <c r="AQ79" s="92"/>
      <c r="AR79" s="92"/>
      <c r="AS79" s="92"/>
    </row>
    <row r="80" spans="36:45">
      <c r="AJ80" s="92"/>
      <c r="AM80" s="92"/>
      <c r="AN80" s="92"/>
      <c r="AO80" s="92"/>
      <c r="AP80" s="92"/>
      <c r="AQ80" s="92"/>
      <c r="AR80" s="92"/>
      <c r="AS80" s="92"/>
    </row>
    <row r="81" spans="30:45">
      <c r="AJ81" s="92"/>
      <c r="AM81" s="92"/>
      <c r="AN81" s="92"/>
      <c r="AO81" s="92"/>
      <c r="AP81" s="92"/>
      <c r="AQ81" s="92"/>
      <c r="AR81" s="92"/>
      <c r="AS81" s="92"/>
    </row>
    <row r="82" spans="30:45">
      <c r="AJ82" s="92"/>
      <c r="AM82" s="92"/>
      <c r="AN82" s="92"/>
      <c r="AO82" s="92"/>
      <c r="AP82" s="92"/>
      <c r="AQ82" s="92"/>
      <c r="AR82" s="92"/>
      <c r="AS82" s="92"/>
    </row>
    <row r="83" spans="30:45">
      <c r="AD83" s="92"/>
      <c r="AE83" s="92"/>
      <c r="AF83" s="92"/>
      <c r="AG83" s="92"/>
      <c r="AH83" s="92"/>
      <c r="AI83" s="92"/>
      <c r="AJ83" s="92"/>
      <c r="AM83" s="92"/>
      <c r="AN83" s="92"/>
      <c r="AO83" s="92"/>
      <c r="AP83" s="92"/>
      <c r="AQ83" s="92"/>
      <c r="AR83" s="92"/>
      <c r="AS83" s="92"/>
    </row>
    <row r="84" spans="30:45">
      <c r="AD84" s="92"/>
      <c r="AE84" s="92"/>
      <c r="AF84" s="92"/>
      <c r="AG84" s="92"/>
      <c r="AH84" s="92"/>
      <c r="AI84" s="92"/>
      <c r="AJ84" s="92"/>
      <c r="AM84" s="92"/>
      <c r="AN84" s="92"/>
      <c r="AO84" s="92"/>
      <c r="AP84" s="92"/>
      <c r="AQ84" s="92"/>
      <c r="AR84" s="92"/>
      <c r="AS84" s="92"/>
    </row>
    <row r="85" spans="30:45">
      <c r="AD85" s="92"/>
      <c r="AE85" s="92"/>
      <c r="AF85" s="92"/>
      <c r="AG85" s="92"/>
      <c r="AH85" s="92"/>
      <c r="AI85" s="92"/>
      <c r="AJ85" s="92"/>
      <c r="AM85" s="92"/>
      <c r="AN85" s="92"/>
      <c r="AO85" s="92"/>
      <c r="AP85" s="92"/>
      <c r="AQ85" s="92"/>
      <c r="AR85" s="92"/>
      <c r="AS85" s="92"/>
    </row>
    <row r="86" spans="30:45">
      <c r="AD86" s="92"/>
      <c r="AE86" s="92"/>
      <c r="AF86" s="92"/>
      <c r="AG86" s="92"/>
      <c r="AH86" s="92"/>
      <c r="AI86" s="92"/>
      <c r="AJ86" s="92"/>
      <c r="AM86" s="92"/>
      <c r="AN86" s="92"/>
      <c r="AO86" s="92"/>
      <c r="AP86" s="92"/>
      <c r="AQ86" s="92"/>
      <c r="AR86" s="92"/>
      <c r="AS86" s="92"/>
    </row>
    <row r="87" spans="30:45">
      <c r="AD87" s="92"/>
      <c r="AE87" s="92"/>
      <c r="AF87" s="92"/>
      <c r="AG87" s="92"/>
      <c r="AH87" s="92"/>
      <c r="AI87" s="92"/>
      <c r="AJ87" s="92"/>
      <c r="AM87" s="92"/>
      <c r="AN87" s="92"/>
      <c r="AO87" s="92"/>
      <c r="AP87" s="92"/>
      <c r="AQ87" s="92"/>
      <c r="AR87" s="92"/>
      <c r="AS87" s="92"/>
    </row>
    <row r="88" spans="30:45">
      <c r="AD88" s="92"/>
      <c r="AE88" s="92"/>
      <c r="AF88" s="92"/>
      <c r="AG88" s="92"/>
      <c r="AH88" s="92"/>
      <c r="AI88" s="92"/>
      <c r="AJ88" s="92"/>
      <c r="AM88" s="92"/>
      <c r="AN88" s="92"/>
      <c r="AO88" s="92"/>
      <c r="AP88" s="92"/>
      <c r="AQ88" s="92"/>
      <c r="AR88" s="92"/>
      <c r="AS88" s="92"/>
    </row>
    <row r="89" spans="30:45">
      <c r="AD89" s="92"/>
      <c r="AE89" s="92"/>
      <c r="AF89" s="92"/>
      <c r="AG89" s="92"/>
      <c r="AH89" s="92"/>
      <c r="AI89" s="92"/>
      <c r="AJ89" s="92"/>
      <c r="AM89" s="92"/>
      <c r="AN89" s="92"/>
      <c r="AO89" s="92"/>
      <c r="AP89" s="92"/>
      <c r="AQ89" s="92"/>
      <c r="AR89" s="92"/>
      <c r="AS89" s="92"/>
    </row>
  </sheetData>
  <mergeCells count="5">
    <mergeCell ref="D3:F3"/>
    <mergeCell ref="G3:L3"/>
    <mergeCell ref="D12:F12"/>
    <mergeCell ref="G12:I12"/>
    <mergeCell ref="J12:O12"/>
  </mergeCells>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48CFF-EFB6-4CFD-B7EB-A94314979CCF}">
  <sheetPr codeName="Sheet12">
    <tabColor theme="3" tint="0.59999389629810485"/>
  </sheetPr>
  <dimension ref="A1"/>
  <sheetViews>
    <sheetView zoomScale="60" zoomScaleNormal="60" workbookViewId="0">
      <selection activeCell="J45" sqref="J45"/>
    </sheetView>
  </sheetViews>
  <sheetFormatPr defaultColWidth="8.6640625" defaultRowHeight="19.5"/>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A2:AH23"/>
  <sheetViews>
    <sheetView zoomScale="60" zoomScaleNormal="60" workbookViewId="0">
      <selection activeCell="L31" sqref="L31"/>
    </sheetView>
  </sheetViews>
  <sheetFormatPr defaultColWidth="8.6640625" defaultRowHeight="19.5"/>
  <sheetData>
    <row r="2" spans="1:34">
      <c r="A2" s="3"/>
      <c r="B2" s="3" t="s">
        <v>734</v>
      </c>
      <c r="C2" s="3"/>
      <c r="D2" s="3"/>
      <c r="E2" s="3"/>
      <c r="G2" s="3" t="s">
        <v>692</v>
      </c>
      <c r="H2" s="3"/>
      <c r="I2" s="3"/>
      <c r="J2" s="3"/>
      <c r="K2" s="3"/>
      <c r="L2" s="3"/>
      <c r="M2" s="3"/>
      <c r="N2" s="3"/>
      <c r="O2" s="3"/>
      <c r="P2" s="3"/>
      <c r="Q2" s="3"/>
      <c r="R2" s="3"/>
      <c r="S2" s="3"/>
      <c r="T2" s="3"/>
      <c r="U2" s="3"/>
      <c r="V2" s="3"/>
      <c r="W2" s="3"/>
      <c r="X2" s="3"/>
      <c r="Y2" s="3"/>
      <c r="Z2" s="3"/>
      <c r="AA2" s="3"/>
      <c r="AB2" s="3"/>
      <c r="AC2" s="3"/>
      <c r="AD2" s="3"/>
      <c r="AE2" s="3"/>
      <c r="AF2" s="3"/>
      <c r="AG2" s="3"/>
      <c r="AH2" s="3"/>
    </row>
    <row r="3" spans="1:34" ht="20.25" thickBot="1">
      <c r="A3" s="3"/>
      <c r="B3" s="11" t="s">
        <v>68</v>
      </c>
      <c r="C3" s="11" t="s">
        <v>69</v>
      </c>
      <c r="D3" s="11" t="s">
        <v>70</v>
      </c>
      <c r="E3" s="11" t="s">
        <v>71</v>
      </c>
      <c r="G3" s="1"/>
      <c r="H3" s="10" t="s">
        <v>693</v>
      </c>
      <c r="I3" s="10" t="s">
        <v>694</v>
      </c>
      <c r="J3" s="10" t="s">
        <v>695</v>
      </c>
      <c r="K3" s="10" t="s">
        <v>696</v>
      </c>
      <c r="L3" s="10" t="s">
        <v>697</v>
      </c>
      <c r="M3" s="10" t="s">
        <v>678</v>
      </c>
      <c r="N3" s="10" t="s">
        <v>680</v>
      </c>
      <c r="O3" s="10" t="s">
        <v>698</v>
      </c>
      <c r="P3" s="10" t="s">
        <v>699</v>
      </c>
      <c r="Q3" s="10" t="s">
        <v>700</v>
      </c>
      <c r="R3" s="10" t="s">
        <v>701</v>
      </c>
      <c r="S3" s="10" t="s">
        <v>702</v>
      </c>
      <c r="T3" s="10"/>
      <c r="U3" s="10"/>
      <c r="V3" s="3"/>
      <c r="W3" s="10" t="s">
        <v>703</v>
      </c>
      <c r="X3" s="10" t="s">
        <v>704</v>
      </c>
      <c r="Y3" s="10" t="s">
        <v>705</v>
      </c>
      <c r="Z3" s="10" t="s">
        <v>706</v>
      </c>
      <c r="AA3" s="10" t="s">
        <v>707</v>
      </c>
      <c r="AB3" s="10" t="s">
        <v>708</v>
      </c>
      <c r="AC3" s="10" t="s">
        <v>709</v>
      </c>
      <c r="AD3" s="10" t="s">
        <v>710</v>
      </c>
      <c r="AE3" s="3"/>
      <c r="AF3" s="1"/>
      <c r="AG3" s="10" t="s">
        <v>693</v>
      </c>
      <c r="AH3" s="10" t="s">
        <v>694</v>
      </c>
    </row>
    <row r="4" spans="1:34" ht="20.25" thickTop="1">
      <c r="A4" s="3" t="s">
        <v>661</v>
      </c>
      <c r="B4" s="1" t="s">
        <v>662</v>
      </c>
      <c r="C4" s="1" t="s">
        <v>510</v>
      </c>
      <c r="D4" s="1"/>
      <c r="E4" s="1" t="s">
        <v>437</v>
      </c>
      <c r="G4" s="1"/>
      <c r="H4" s="1" t="s">
        <v>711</v>
      </c>
      <c r="I4" s="1" t="s">
        <v>712</v>
      </c>
      <c r="J4" s="1" t="s">
        <v>713</v>
      </c>
      <c r="K4" s="77" t="s">
        <v>714</v>
      </c>
      <c r="L4" s="77" t="s">
        <v>715</v>
      </c>
      <c r="M4" s="77" t="s">
        <v>52</v>
      </c>
      <c r="N4" s="77" t="s">
        <v>52</v>
      </c>
      <c r="O4" s="1" t="s">
        <v>716</v>
      </c>
      <c r="P4" s="1" t="s">
        <v>717</v>
      </c>
      <c r="Q4" s="1" t="s">
        <v>718</v>
      </c>
      <c r="R4" s="1" t="s">
        <v>102</v>
      </c>
      <c r="S4" s="1" t="s">
        <v>663</v>
      </c>
      <c r="T4" s="131" t="s">
        <v>719</v>
      </c>
      <c r="U4" s="1" t="s">
        <v>720</v>
      </c>
      <c r="V4" s="3" t="s">
        <v>122</v>
      </c>
      <c r="W4" s="1" t="s">
        <v>52</v>
      </c>
      <c r="X4" s="1" t="s">
        <v>52</v>
      </c>
      <c r="Y4" s="1" t="s">
        <v>52</v>
      </c>
      <c r="Z4" s="1" t="s">
        <v>52</v>
      </c>
      <c r="AA4" s="1" t="s">
        <v>52</v>
      </c>
      <c r="AB4" s="1" t="s">
        <v>52</v>
      </c>
      <c r="AC4" s="1" t="s">
        <v>52</v>
      </c>
      <c r="AD4" s="1" t="s">
        <v>52</v>
      </c>
      <c r="AE4" s="3"/>
      <c r="AF4" s="1"/>
      <c r="AG4" s="1" t="s">
        <v>711</v>
      </c>
      <c r="AH4" s="1" t="s">
        <v>28</v>
      </c>
    </row>
    <row r="5" spans="1:34">
      <c r="A5" s="3"/>
      <c r="B5" s="1" t="s">
        <v>533</v>
      </c>
      <c r="C5" s="1" t="s">
        <v>663</v>
      </c>
      <c r="D5" s="1"/>
      <c r="E5" s="1" t="s">
        <v>9</v>
      </c>
      <c r="G5" s="1"/>
      <c r="H5" s="1" t="s">
        <v>52</v>
      </c>
      <c r="I5" s="1" t="s">
        <v>9</v>
      </c>
      <c r="J5" s="1" t="s">
        <v>9</v>
      </c>
      <c r="K5" s="77" t="s">
        <v>348</v>
      </c>
      <c r="L5" s="77" t="s">
        <v>348</v>
      </c>
      <c r="M5" s="77" t="s">
        <v>52</v>
      </c>
      <c r="N5" s="77" t="s">
        <v>52</v>
      </c>
      <c r="O5" s="1" t="s">
        <v>52</v>
      </c>
      <c r="P5" s="1" t="s">
        <v>9</v>
      </c>
      <c r="Q5" s="1" t="s">
        <v>437</v>
      </c>
      <c r="R5" s="1" t="s">
        <v>52</v>
      </c>
      <c r="S5" s="1" t="s">
        <v>9</v>
      </c>
      <c r="T5" s="1" t="s">
        <v>552</v>
      </c>
      <c r="U5" s="1" t="s">
        <v>721</v>
      </c>
      <c r="V5" s="3"/>
      <c r="W5" s="1" t="s">
        <v>722</v>
      </c>
      <c r="X5" s="1" t="s">
        <v>9</v>
      </c>
      <c r="Y5" s="1" t="s">
        <v>723</v>
      </c>
      <c r="Z5" s="1" t="s">
        <v>348</v>
      </c>
      <c r="AA5" s="1" t="s">
        <v>724</v>
      </c>
      <c r="AB5" s="1" t="s">
        <v>52</v>
      </c>
      <c r="AC5" s="1" t="s">
        <v>724</v>
      </c>
      <c r="AD5" s="1" t="s">
        <v>52</v>
      </c>
      <c r="AE5" s="3"/>
      <c r="AF5" s="1"/>
      <c r="AG5" s="1" t="s">
        <v>52</v>
      </c>
      <c r="AH5" s="1" t="s">
        <v>9</v>
      </c>
    </row>
    <row r="6" spans="1:34">
      <c r="A6" s="3"/>
      <c r="B6" s="1" t="s">
        <v>623</v>
      </c>
      <c r="C6" s="1" t="s">
        <v>629</v>
      </c>
      <c r="D6" s="1"/>
      <c r="E6" s="1" t="s">
        <v>52</v>
      </c>
      <c r="G6" s="10" t="s">
        <v>725</v>
      </c>
      <c r="H6" s="34" t="e">
        <f t="shared" ref="H6:H13" si="0">INT(I6/$C$14)</f>
        <v>#VALUE!</v>
      </c>
      <c r="I6" s="23">
        <v>0</v>
      </c>
      <c r="J6" s="23">
        <v>0.93</v>
      </c>
      <c r="K6" s="23">
        <v>2</v>
      </c>
      <c r="L6" s="23">
        <v>0</v>
      </c>
      <c r="M6" s="23">
        <v>1</v>
      </c>
      <c r="N6" s="23">
        <v>0</v>
      </c>
      <c r="O6" s="1">
        <f t="shared" ref="O6:O11" si="1">J7/J6</f>
        <v>1</v>
      </c>
      <c r="P6" s="1">
        <f t="shared" ref="P6:P12" si="2">I7-I6</f>
        <v>1.6</v>
      </c>
      <c r="Q6" s="1">
        <f t="shared" ref="Q6:Q12" si="3">(J6+J7)*P6/2</f>
        <v>1.4880000000000002</v>
      </c>
      <c r="R6" s="1">
        <f t="array" ref="R6:S6">LINEST(J6:J7,I6:I7,TRUE,FALSE)</f>
        <v>0</v>
      </c>
      <c r="S6" s="1">
        <v>0.93</v>
      </c>
      <c r="T6" s="1">
        <f t="shared" ref="T6:T12" si="4">IF(R6=0,S6^2*(I7-I6),((R6*I7+S6)^3-(R6*I6+S6)^3)/(3*R6))</f>
        <v>1.3838400000000002</v>
      </c>
      <c r="U6" s="1">
        <f t="shared" ref="U6:U12" si="5">(W6/3)*((I7^3)-(I6^3))+(X6/2)*((I7^2)-(I6^2))</f>
        <v>1.1904000000000003</v>
      </c>
      <c r="V6" s="3"/>
      <c r="W6" s="1">
        <f t="array" ref="W6:X6">LINEST(J6:J7,I6:I7,TRUE,FALSE)</f>
        <v>0</v>
      </c>
      <c r="X6" s="1">
        <v>0.93</v>
      </c>
      <c r="Y6" s="1">
        <f t="array" ref="Y6:Z6">LINEST(K6:K7,I6:I7,TRUE,FALSE)</f>
        <v>0</v>
      </c>
      <c r="Z6" s="1">
        <v>2</v>
      </c>
      <c r="AA6" s="1">
        <f t="array" ref="AA6:AB6">LINEST(M6:M7,I6:I7,TRUE,TRUE)</f>
        <v>0</v>
      </c>
      <c r="AB6" s="1">
        <v>1</v>
      </c>
      <c r="AC6" s="1">
        <f t="array" ref="AC6:AD6">LINEST(N6:N7,I6:I7,TRUE,TRUE)</f>
        <v>0</v>
      </c>
      <c r="AD6" s="1">
        <v>0</v>
      </c>
      <c r="AE6" s="3"/>
      <c r="AF6" s="1" t="s">
        <v>559</v>
      </c>
      <c r="AG6" s="34" t="e">
        <f t="shared" ref="AG6:AG11" si="6">AH6/$C$14</f>
        <v>#VALUE!</v>
      </c>
      <c r="AH6" s="1">
        <v>0</v>
      </c>
    </row>
    <row r="7" spans="1:34">
      <c r="A7" s="3"/>
      <c r="B7" s="1" t="s">
        <v>664</v>
      </c>
      <c r="C7" s="1" t="s">
        <v>665</v>
      </c>
      <c r="D7" s="1"/>
      <c r="E7" s="1" t="s">
        <v>9</v>
      </c>
      <c r="G7" s="10" t="s">
        <v>726</v>
      </c>
      <c r="H7" s="34" t="e">
        <f t="shared" si="0"/>
        <v>#VALUE!</v>
      </c>
      <c r="I7" s="23">
        <v>1.6</v>
      </c>
      <c r="J7" s="23">
        <v>0.93</v>
      </c>
      <c r="K7" s="23">
        <v>2</v>
      </c>
      <c r="L7" s="23">
        <v>0</v>
      </c>
      <c r="M7" s="23">
        <v>1</v>
      </c>
      <c r="N7" s="23">
        <v>0</v>
      </c>
      <c r="O7" s="1">
        <f t="shared" si="1"/>
        <v>0.83870967741935487</v>
      </c>
      <c r="P7" s="1">
        <f t="shared" si="2"/>
        <v>3.6</v>
      </c>
      <c r="Q7" s="1">
        <f t="shared" si="3"/>
        <v>3.0779999999999998</v>
      </c>
      <c r="R7" s="1">
        <f t="array" ref="R7:S7">LINEST(J7:J8,I7:I8,TRUE,FALSE)</f>
        <v>-4.1666666666666671E-2</v>
      </c>
      <c r="S7" s="1">
        <v>0.9966666666666667</v>
      </c>
      <c r="T7" s="1">
        <f t="shared" si="4"/>
        <v>2.6384400000000006</v>
      </c>
      <c r="U7" s="1">
        <f t="shared" si="5"/>
        <v>10.303200000000002</v>
      </c>
      <c r="V7" s="3"/>
      <c r="W7" s="1">
        <f t="array" ref="W7:X7">LINEST(J7:J8,I7:I8,TRUE,FALSE)</f>
        <v>-4.1666666666666671E-2</v>
      </c>
      <c r="X7" s="1">
        <v>0.9966666666666667</v>
      </c>
      <c r="Y7" s="1">
        <f t="array" ref="Y7:Z7">LINEST(K7:K8,I7:I8,TRUE,FALSE)</f>
        <v>0</v>
      </c>
      <c r="Z7" s="1">
        <v>2</v>
      </c>
      <c r="AA7" s="1">
        <f t="array" ref="AA7:AB7">LINEST(M7:M8,I7:I8,TRUE,TRUE)</f>
        <v>0</v>
      </c>
      <c r="AB7" s="1">
        <v>1</v>
      </c>
      <c r="AC7" s="1">
        <f t="array" ref="AC7:AD7">LINEST(N7:N8,I7:I8,TRUE,TRUE)</f>
        <v>0</v>
      </c>
      <c r="AD7" s="1">
        <v>0</v>
      </c>
      <c r="AE7" s="3"/>
      <c r="AF7" s="1" t="s">
        <v>560</v>
      </c>
      <c r="AG7" s="34" t="e">
        <f t="shared" si="6"/>
        <v>#VALUE!</v>
      </c>
      <c r="AH7" s="1">
        <v>15</v>
      </c>
    </row>
    <row r="8" spans="1:34" ht="20.25" thickBot="1">
      <c r="A8" s="3"/>
      <c r="B8" s="20" t="s">
        <v>666</v>
      </c>
      <c r="C8" s="20" t="s">
        <v>460</v>
      </c>
      <c r="D8" s="20"/>
      <c r="E8" s="20" t="s">
        <v>9</v>
      </c>
      <c r="G8" s="10" t="s">
        <v>727</v>
      </c>
      <c r="H8" s="34" t="e">
        <f t="shared" si="0"/>
        <v>#VALUE!</v>
      </c>
      <c r="I8" s="23">
        <v>5.2</v>
      </c>
      <c r="J8" s="23">
        <v>0.78</v>
      </c>
      <c r="K8" s="23">
        <v>2</v>
      </c>
      <c r="L8" s="23">
        <v>0</v>
      </c>
      <c r="M8" s="23">
        <v>1</v>
      </c>
      <c r="N8" s="23">
        <v>0</v>
      </c>
      <c r="O8" s="1">
        <f t="shared" si="1"/>
        <v>0.87179487179487181</v>
      </c>
      <c r="P8" s="1">
        <f t="shared" si="2"/>
        <v>2</v>
      </c>
      <c r="Q8" s="1">
        <f t="shared" si="3"/>
        <v>1.46</v>
      </c>
      <c r="R8" s="1">
        <f t="array" ref="R8:S8">LINEST(J8:J9,I8:I9,TRUE,FALSE)</f>
        <v>-4.9999999999999996E-2</v>
      </c>
      <c r="S8" s="1">
        <v>1.04</v>
      </c>
      <c r="T8" s="1">
        <f t="shared" si="4"/>
        <v>1.0674666666666663</v>
      </c>
      <c r="U8" s="1">
        <f t="shared" si="5"/>
        <v>9.0186666666666682</v>
      </c>
      <c r="V8" s="3"/>
      <c r="W8" s="1">
        <f t="array" ref="W8:X8">LINEST(J8:J9,I8:I9,TRUE,FALSE)</f>
        <v>-4.9999999999999996E-2</v>
      </c>
      <c r="X8" s="1">
        <v>1.04</v>
      </c>
      <c r="Y8" s="1">
        <f t="array" ref="Y8:Z8">LINEST(K8:K9,I8:I9,TRUE,FALSE)</f>
        <v>0</v>
      </c>
      <c r="Z8" s="1">
        <v>2</v>
      </c>
      <c r="AA8" s="1">
        <f t="array" ref="AA8:AB8">LINEST(M8:M9,I8:I9,TRUE,TRUE)</f>
        <v>0</v>
      </c>
      <c r="AB8" s="1">
        <v>1</v>
      </c>
      <c r="AC8" s="1">
        <f t="array" ref="AC8:AD8">LINEST(N8:N9,I8:I9,TRUE,TRUE)</f>
        <v>0</v>
      </c>
      <c r="AD8" s="1">
        <v>0</v>
      </c>
      <c r="AE8" s="3"/>
      <c r="AF8" s="1" t="s">
        <v>561</v>
      </c>
      <c r="AG8" s="34" t="e">
        <f t="shared" si="6"/>
        <v>#VALUE!</v>
      </c>
      <c r="AH8" s="1">
        <v>8</v>
      </c>
    </row>
    <row r="9" spans="1:34" ht="20.25" thickTop="1">
      <c r="A9" s="3" t="s">
        <v>667</v>
      </c>
      <c r="B9" s="1" t="s">
        <v>662</v>
      </c>
      <c r="C9" s="1" t="s">
        <v>510</v>
      </c>
      <c r="D9" s="1"/>
      <c r="E9" s="1" t="s">
        <v>437</v>
      </c>
      <c r="G9" s="10" t="s">
        <v>728</v>
      </c>
      <c r="H9" s="34" t="e">
        <f t="shared" si="0"/>
        <v>#VALUE!</v>
      </c>
      <c r="I9" s="23">
        <v>7.2</v>
      </c>
      <c r="J9" s="23">
        <v>0.68</v>
      </c>
      <c r="K9" s="23">
        <v>2</v>
      </c>
      <c r="L9" s="23">
        <v>6</v>
      </c>
      <c r="M9" s="23">
        <v>1</v>
      </c>
      <c r="N9" s="23">
        <v>0</v>
      </c>
      <c r="O9" s="1">
        <f t="shared" si="1"/>
        <v>0.89705882352941169</v>
      </c>
      <c r="P9" s="1">
        <f t="shared" si="2"/>
        <v>1.3999999999999995</v>
      </c>
      <c r="Q9" s="1">
        <f t="shared" si="3"/>
        <v>0.90299999999999969</v>
      </c>
      <c r="R9" s="1">
        <f t="array" ref="R9:S9">LINEST(J9:J10,I9:I10,TRUE,FALSE)</f>
        <v>-5.0000000000000072E-2</v>
      </c>
      <c r="S9" s="1">
        <v>1.0400000000000005</v>
      </c>
      <c r="T9" s="1">
        <f t="shared" si="4"/>
        <v>0.58300666666666623</v>
      </c>
      <c r="U9" s="1">
        <f t="shared" si="5"/>
        <v>7.1222666666666621</v>
      </c>
      <c r="V9" s="3"/>
      <c r="W9" s="1">
        <f t="array" ref="W9:X9">LINEST(J9:J10,I9:I10,TRUE,FALSE)</f>
        <v>-5.0000000000000072E-2</v>
      </c>
      <c r="X9" s="1">
        <v>1.0400000000000005</v>
      </c>
      <c r="Y9" s="1">
        <f t="array" ref="Y9:Z9">LINEST(K9:K10,I9:I10,TRUE,FALSE)</f>
        <v>0</v>
      </c>
      <c r="Z9" s="1">
        <v>2</v>
      </c>
      <c r="AA9" s="1">
        <f t="array" ref="AA9:AB9">LINEST(M9:M10,I9:I10,TRUE,TRUE)</f>
        <v>0</v>
      </c>
      <c r="AB9" s="1">
        <v>1</v>
      </c>
      <c r="AC9" s="1">
        <f t="array" ref="AC9:AD9">LINEST(N9:N10,I9:I10,TRUE,TRUE)</f>
        <v>0</v>
      </c>
      <c r="AD9" s="1">
        <v>0</v>
      </c>
      <c r="AE9" s="3"/>
      <c r="AF9" s="1" t="s">
        <v>562</v>
      </c>
      <c r="AG9" s="34" t="e">
        <f t="shared" si="6"/>
        <v>#VALUE!</v>
      </c>
      <c r="AH9" s="1">
        <v>0</v>
      </c>
    </row>
    <row r="10" spans="1:34">
      <c r="A10" s="3"/>
      <c r="B10" s="1" t="s">
        <v>533</v>
      </c>
      <c r="C10" s="1" t="s">
        <v>663</v>
      </c>
      <c r="D10" s="1"/>
      <c r="E10" s="1" t="s">
        <v>9</v>
      </c>
      <c r="G10" s="10" t="s">
        <v>729</v>
      </c>
      <c r="H10" s="34" t="e">
        <f t="shared" si="0"/>
        <v>#VALUE!</v>
      </c>
      <c r="I10" s="23">
        <v>8.6</v>
      </c>
      <c r="J10" s="23">
        <v>0.61</v>
      </c>
      <c r="K10" s="23">
        <v>2</v>
      </c>
      <c r="L10" s="23">
        <v>6</v>
      </c>
      <c r="M10" s="23">
        <v>1</v>
      </c>
      <c r="N10" s="23">
        <v>0</v>
      </c>
      <c r="O10" s="1">
        <f t="shared" si="1"/>
        <v>0.85245901639344268</v>
      </c>
      <c r="P10" s="1">
        <f t="shared" si="2"/>
        <v>2.2000000000000011</v>
      </c>
      <c r="Q10" s="1">
        <f t="shared" si="3"/>
        <v>1.2430000000000005</v>
      </c>
      <c r="R10" s="1">
        <f t="array" ref="R10:S10">LINEST(J10:J11,I10:I11,TRUE,FALSE)</f>
        <v>-4.0909090909090867E-2</v>
      </c>
      <c r="S10" s="1">
        <v>0.96181818181818135</v>
      </c>
      <c r="T10" s="1">
        <f t="shared" si="4"/>
        <v>0.70377999999999963</v>
      </c>
      <c r="U10" s="1">
        <f t="shared" si="5"/>
        <v>12.020800000000007</v>
      </c>
      <c r="V10" s="3"/>
      <c r="W10" s="1">
        <f t="array" ref="W10:X10">LINEST(J10:J11,I10:I11,TRUE,FALSE)</f>
        <v>-4.0909090909090867E-2</v>
      </c>
      <c r="X10" s="1">
        <v>0.96181818181818135</v>
      </c>
      <c r="Y10" s="1">
        <f t="array" ref="Y10:Z10">LINEST(K10:K11,I10:I11,TRUE,FALSE)</f>
        <v>0</v>
      </c>
      <c r="Z10" s="1">
        <v>2</v>
      </c>
      <c r="AA10" s="1">
        <f t="array" ref="AA10:AB10">LINEST(M10:M11,I10:I11,TRUE,TRUE)</f>
        <v>-0.45454545454545414</v>
      </c>
      <c r="AB10" s="1">
        <v>4.9090909090909047</v>
      </c>
      <c r="AC10" s="1">
        <f t="array" ref="AC10:AD10">LINEST(N10:N11,I10:I11,TRUE,TRUE)</f>
        <v>0.45454545454545414</v>
      </c>
      <c r="AD10" s="1">
        <v>-3.9090909090909047</v>
      </c>
      <c r="AE10" s="3"/>
      <c r="AF10" s="1" t="s">
        <v>730</v>
      </c>
      <c r="AG10" s="34" t="e">
        <f t="shared" si="6"/>
        <v>#VALUE!</v>
      </c>
      <c r="AH10" s="1">
        <f>AH9</f>
        <v>0</v>
      </c>
    </row>
    <row r="11" spans="1:34">
      <c r="A11" s="3"/>
      <c r="B11" s="1" t="s">
        <v>623</v>
      </c>
      <c r="C11" s="1" t="s">
        <v>629</v>
      </c>
      <c r="D11" s="1"/>
      <c r="E11" s="1" t="s">
        <v>52</v>
      </c>
      <c r="G11" s="10" t="s">
        <v>731</v>
      </c>
      <c r="H11" s="34" t="e">
        <f t="shared" si="0"/>
        <v>#VALUE!</v>
      </c>
      <c r="I11" s="23">
        <v>10.8</v>
      </c>
      <c r="J11" s="23">
        <v>0.52</v>
      </c>
      <c r="K11" s="23">
        <v>2</v>
      </c>
      <c r="L11" s="23">
        <v>6</v>
      </c>
      <c r="M11" s="23">
        <v>0</v>
      </c>
      <c r="N11" s="23">
        <v>1</v>
      </c>
      <c r="O11" s="1">
        <f t="shared" si="1"/>
        <v>0.73076923076923073</v>
      </c>
      <c r="P11" s="1">
        <f t="shared" si="2"/>
        <v>1.5999999999999996</v>
      </c>
      <c r="Q11" s="1">
        <f t="shared" si="3"/>
        <v>0.71999999999999986</v>
      </c>
      <c r="R11" s="1">
        <f t="array" ref="R11:S11">LINEST(J11:J12,I11:I12,TRUE,FALSE)</f>
        <v>-8.7500000000000022E-2</v>
      </c>
      <c r="S11" s="1">
        <v>1.4650000000000003</v>
      </c>
      <c r="T11" s="1">
        <f t="shared" si="4"/>
        <v>0.32661333333333348</v>
      </c>
      <c r="U11" s="1">
        <f t="shared" si="5"/>
        <v>8.3221333333333334</v>
      </c>
      <c r="V11" s="3"/>
      <c r="W11" s="1">
        <f t="array" ref="W11:X11">LINEST(J11:J12,I11:I12,TRUE,FALSE)</f>
        <v>-8.7500000000000022E-2</v>
      </c>
      <c r="X11" s="1">
        <v>1.4650000000000003</v>
      </c>
      <c r="Y11" s="1">
        <f t="array" ref="Y11:Z11">LINEST(K11:K12,I11:I12,TRUE,FALSE)</f>
        <v>-0.93750000000000011</v>
      </c>
      <c r="Z11" s="1">
        <v>12.125000000000002</v>
      </c>
      <c r="AA11" s="1">
        <f t="array" ref="AA11:AB11">LINEST(M11:M12,I11:I12,TRUE,TRUE)</f>
        <v>0</v>
      </c>
      <c r="AB11" s="1">
        <v>0</v>
      </c>
      <c r="AC11" s="1">
        <f t="array" ref="AC11:AD11">LINEST(N11:N12,I11:I12,TRUE,TRUE)</f>
        <v>0</v>
      </c>
      <c r="AD11" s="1">
        <v>1</v>
      </c>
      <c r="AE11" s="3"/>
      <c r="AF11" s="1" t="s">
        <v>732</v>
      </c>
      <c r="AG11" s="34" t="e">
        <f t="shared" si="6"/>
        <v>#VALUE!</v>
      </c>
      <c r="AH11" s="1" t="s">
        <v>43</v>
      </c>
    </row>
    <row r="12" spans="1:34">
      <c r="A12" s="3"/>
      <c r="B12" s="1" t="s">
        <v>664</v>
      </c>
      <c r="C12" s="1" t="s">
        <v>630</v>
      </c>
      <c r="D12" s="1"/>
      <c r="E12" s="1" t="s">
        <v>9</v>
      </c>
      <c r="G12" s="10" t="s">
        <v>733</v>
      </c>
      <c r="H12" s="34" t="e">
        <f t="shared" si="0"/>
        <v>#VALUE!</v>
      </c>
      <c r="I12" s="23">
        <v>12.4</v>
      </c>
      <c r="J12" s="23">
        <v>0.38</v>
      </c>
      <c r="K12" s="23">
        <v>0.5</v>
      </c>
      <c r="L12" s="23">
        <v>6</v>
      </c>
      <c r="M12" s="23">
        <v>0</v>
      </c>
      <c r="N12" s="23">
        <v>1</v>
      </c>
      <c r="O12" s="1"/>
      <c r="P12" s="1">
        <f t="shared" si="2"/>
        <v>0</v>
      </c>
      <c r="Q12" s="1">
        <f t="shared" si="3"/>
        <v>0</v>
      </c>
      <c r="R12" s="1">
        <f t="array" ref="R12:S12">LINEST(J12:J13,I12:I13,TRUE,FALSE)</f>
        <v>0</v>
      </c>
      <c r="S12" s="1">
        <v>0.38</v>
      </c>
      <c r="T12" s="1">
        <f t="shared" si="4"/>
        <v>0</v>
      </c>
      <c r="U12" s="1">
        <f t="shared" si="5"/>
        <v>0</v>
      </c>
      <c r="V12" s="3"/>
      <c r="W12" s="3"/>
      <c r="X12" s="3"/>
      <c r="Y12" s="3"/>
      <c r="Z12" s="3"/>
      <c r="AA12" s="3"/>
      <c r="AB12" s="3"/>
      <c r="AC12" s="3"/>
      <c r="AD12" s="3"/>
      <c r="AE12" s="3"/>
      <c r="AF12" s="1" t="s">
        <v>52</v>
      </c>
      <c r="AG12" s="34" t="s">
        <v>52</v>
      </c>
      <c r="AH12" s="1" t="s">
        <v>52</v>
      </c>
    </row>
    <row r="13" spans="1:34" ht="20.25" thickBot="1">
      <c r="A13" s="3"/>
      <c r="B13" s="20" t="s">
        <v>666</v>
      </c>
      <c r="C13" s="20" t="s">
        <v>460</v>
      </c>
      <c r="D13" s="20"/>
      <c r="E13" s="20" t="s">
        <v>9</v>
      </c>
      <c r="G13" s="11" t="s">
        <v>52</v>
      </c>
      <c r="H13" s="132" t="e">
        <f t="shared" si="0"/>
        <v>#VALUE!</v>
      </c>
      <c r="I13" s="20">
        <f>I12</f>
        <v>12.4</v>
      </c>
      <c r="J13" s="20">
        <f>J12</f>
        <v>0.38</v>
      </c>
      <c r="K13" s="20">
        <f>K12</f>
        <v>0.5</v>
      </c>
      <c r="L13" s="20"/>
      <c r="M13" s="20"/>
      <c r="N13" s="20"/>
      <c r="O13" s="20"/>
      <c r="P13" s="20"/>
      <c r="Q13" s="20"/>
      <c r="R13" s="20"/>
      <c r="S13" s="20"/>
      <c r="T13" s="20"/>
      <c r="U13" s="20"/>
      <c r="V13" s="3"/>
      <c r="W13" s="3"/>
      <c r="X13" s="3"/>
      <c r="Y13" s="3"/>
      <c r="Z13" s="3"/>
      <c r="AA13" s="3"/>
      <c r="AB13" s="3"/>
      <c r="AC13" s="3"/>
      <c r="AD13" s="3"/>
      <c r="AE13" s="3"/>
      <c r="AF13" s="3"/>
      <c r="AG13" s="3"/>
      <c r="AH13" s="3"/>
    </row>
    <row r="14" spans="1:34" ht="20.25" thickTop="1">
      <c r="A14" s="3" t="s">
        <v>668</v>
      </c>
      <c r="B14" s="2" t="s">
        <v>669</v>
      </c>
      <c r="C14" s="2" t="s">
        <v>670</v>
      </c>
      <c r="D14" s="4"/>
      <c r="E14" s="2" t="s">
        <v>52</v>
      </c>
      <c r="G14" s="98" t="s">
        <v>5</v>
      </c>
      <c r="H14" s="2"/>
      <c r="I14" s="2"/>
      <c r="J14" s="2"/>
      <c r="K14" s="2"/>
      <c r="L14" s="2"/>
      <c r="M14" s="2"/>
      <c r="N14" s="2"/>
      <c r="O14" s="2"/>
      <c r="P14" s="2">
        <f>SUM(P6:P13)</f>
        <v>12.4</v>
      </c>
      <c r="Q14" s="2">
        <f>SUM(Q6:Q13)</f>
        <v>8.8920000000000012</v>
      </c>
      <c r="R14" s="2"/>
      <c r="S14" s="2"/>
      <c r="T14" s="2">
        <f>SUM(T6:T13)</f>
        <v>6.7031466666666661</v>
      </c>
      <c r="U14" s="2">
        <f>SUM(U6:U13)</f>
        <v>47.977466666666672</v>
      </c>
      <c r="V14" s="42"/>
      <c r="W14" s="42"/>
      <c r="X14" s="42"/>
      <c r="Y14" s="3"/>
      <c r="Z14" s="3"/>
      <c r="AA14" s="3"/>
      <c r="AB14" s="3"/>
      <c r="AC14" s="3"/>
      <c r="AD14" s="3"/>
      <c r="AE14" s="3"/>
      <c r="AF14" s="3"/>
      <c r="AG14" s="3"/>
      <c r="AH14" s="3"/>
    </row>
    <row r="15" spans="1:34">
      <c r="A15" s="3"/>
      <c r="B15" s="1" t="s">
        <v>671</v>
      </c>
      <c r="C15" s="34" t="s">
        <v>672</v>
      </c>
      <c r="D15" s="1"/>
      <c r="E15" s="1" t="s">
        <v>52</v>
      </c>
    </row>
    <row r="16" spans="1:34">
      <c r="A16" s="3"/>
      <c r="B16" s="1" t="s">
        <v>673</v>
      </c>
      <c r="C16" s="1" t="s">
        <v>674</v>
      </c>
      <c r="D16" s="1"/>
      <c r="E16" s="1" t="s">
        <v>468</v>
      </c>
    </row>
    <row r="17" spans="1:5">
      <c r="A17" s="3"/>
      <c r="B17" s="1" t="s">
        <v>675</v>
      </c>
      <c r="C17" s="1" t="s">
        <v>481</v>
      </c>
      <c r="D17" s="1"/>
      <c r="E17" s="1" t="s">
        <v>468</v>
      </c>
    </row>
    <row r="18" spans="1:5">
      <c r="A18" s="3"/>
      <c r="B18" s="1" t="s">
        <v>465</v>
      </c>
      <c r="C18" s="1" t="s">
        <v>466</v>
      </c>
      <c r="D18" s="1"/>
      <c r="E18" s="1" t="s">
        <v>52</v>
      </c>
    </row>
    <row r="19" spans="1:5">
      <c r="A19" s="3"/>
      <c r="B19" s="1" t="s">
        <v>491</v>
      </c>
      <c r="C19" s="1" t="s">
        <v>492</v>
      </c>
      <c r="D19" s="1"/>
      <c r="E19" s="1" t="s">
        <v>52</v>
      </c>
    </row>
    <row r="20" spans="1:5">
      <c r="A20" s="3"/>
      <c r="B20" s="22" t="s">
        <v>197</v>
      </c>
      <c r="C20" s="22" t="s">
        <v>193</v>
      </c>
      <c r="D20" s="103"/>
      <c r="E20" s="22" t="s">
        <v>52</v>
      </c>
    </row>
    <row r="21" spans="1:5" ht="20.25" thickBot="1">
      <c r="A21" s="3"/>
      <c r="B21" s="20" t="s">
        <v>676</v>
      </c>
      <c r="C21" s="20" t="s">
        <v>677</v>
      </c>
      <c r="D21" s="20"/>
      <c r="E21" s="20" t="s">
        <v>348</v>
      </c>
    </row>
    <row r="22" spans="1:5" ht="20.25" thickTop="1">
      <c r="A22" s="3"/>
      <c r="B22" s="2" t="s">
        <v>678</v>
      </c>
      <c r="C22" s="2" t="s">
        <v>679</v>
      </c>
      <c r="D22" s="2"/>
      <c r="E22" s="2" t="s">
        <v>52</v>
      </c>
    </row>
    <row r="23" spans="1:5">
      <c r="A23" s="3"/>
      <c r="B23" s="2" t="s">
        <v>680</v>
      </c>
      <c r="C23" s="1" t="s">
        <v>679</v>
      </c>
      <c r="D23" s="1"/>
      <c r="E23" s="1" t="s">
        <v>52</v>
      </c>
    </row>
  </sheetData>
  <phoneticPr fontId="2"/>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A1"/>
  <sheetViews>
    <sheetView zoomScale="60" zoomScaleNormal="60" workbookViewId="0">
      <selection activeCell="J24" sqref="J24"/>
    </sheetView>
  </sheetViews>
  <sheetFormatPr defaultColWidth="8.6640625" defaultRowHeight="19.5"/>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G35"/>
  <sheetViews>
    <sheetView zoomScale="60" zoomScaleNormal="60" workbookViewId="0">
      <selection activeCell="I28" sqref="I28"/>
    </sheetView>
  </sheetViews>
  <sheetFormatPr defaultColWidth="8.6640625" defaultRowHeight="19.5"/>
  <sheetData>
    <row r="2" spans="2:7">
      <c r="G2" t="s">
        <v>933</v>
      </c>
    </row>
    <row r="4" spans="2:7">
      <c r="B4" t="s">
        <v>935</v>
      </c>
    </row>
    <row r="5" spans="2:7">
      <c r="B5" s="44"/>
      <c r="C5" s="44"/>
      <c r="D5" s="44"/>
      <c r="E5" s="44"/>
    </row>
    <row r="6" spans="2:7">
      <c r="B6" s="44"/>
      <c r="C6" s="44"/>
      <c r="D6" s="44"/>
      <c r="E6" s="44"/>
    </row>
    <row r="7" spans="2:7">
      <c r="B7" s="44"/>
      <c r="C7" s="44"/>
      <c r="D7" s="44"/>
      <c r="E7" s="44"/>
    </row>
    <row r="8" spans="2:7">
      <c r="B8" s="44"/>
      <c r="C8" s="44"/>
      <c r="D8" s="44"/>
      <c r="E8" s="44"/>
    </row>
    <row r="10" spans="2:7">
      <c r="B10" t="s">
        <v>934</v>
      </c>
    </row>
    <row r="11" spans="2:7">
      <c r="B11" s="44"/>
      <c r="C11" s="44"/>
      <c r="D11" s="44"/>
      <c r="E11" s="44"/>
    </row>
    <row r="12" spans="2:7">
      <c r="B12" s="44"/>
      <c r="C12" s="44"/>
      <c r="D12" s="44"/>
      <c r="E12" s="44"/>
    </row>
    <row r="13" spans="2:7">
      <c r="B13" s="44"/>
      <c r="C13" s="44"/>
      <c r="D13" s="44"/>
      <c r="E13" s="44"/>
    </row>
    <row r="14" spans="2:7">
      <c r="B14" s="44"/>
      <c r="C14" s="44"/>
      <c r="D14" s="44"/>
      <c r="E14" s="44"/>
    </row>
    <row r="15" spans="2:7">
      <c r="B15" s="44"/>
      <c r="C15" s="44"/>
      <c r="D15" s="44"/>
      <c r="E15" s="44"/>
    </row>
    <row r="16" spans="2:7">
      <c r="B16" s="44"/>
      <c r="C16" s="44"/>
      <c r="D16" s="44"/>
      <c r="E16" s="44"/>
    </row>
    <row r="17" spans="2:5">
      <c r="B17" s="44"/>
      <c r="C17" s="44"/>
      <c r="D17" s="44"/>
      <c r="E17" s="44"/>
    </row>
    <row r="18" spans="2:5">
      <c r="B18" s="44"/>
      <c r="C18" s="44"/>
      <c r="D18" s="44"/>
      <c r="E18" s="44"/>
    </row>
    <row r="19" spans="2:5">
      <c r="B19" s="44"/>
      <c r="C19" s="44"/>
      <c r="D19" s="44"/>
      <c r="E19" s="44"/>
    </row>
    <row r="20" spans="2:5">
      <c r="B20" s="44"/>
      <c r="C20" s="44"/>
      <c r="D20" s="44"/>
      <c r="E20" s="44"/>
    </row>
    <row r="21" spans="2:5">
      <c r="B21" s="44"/>
      <c r="C21" s="44"/>
      <c r="D21" s="44"/>
      <c r="E21" s="44"/>
    </row>
    <row r="22" spans="2:5">
      <c r="B22" s="44"/>
      <c r="C22" s="44"/>
      <c r="D22" s="44"/>
      <c r="E22" s="44"/>
    </row>
    <row r="23" spans="2:5">
      <c r="B23" s="44"/>
      <c r="C23" s="44"/>
      <c r="D23" s="44"/>
      <c r="E23" s="44"/>
    </row>
    <row r="24" spans="2:5">
      <c r="B24" s="44"/>
      <c r="C24" s="44"/>
      <c r="D24" s="44"/>
      <c r="E24" s="44"/>
    </row>
    <row r="25" spans="2:5">
      <c r="B25" s="44"/>
      <c r="C25" s="44"/>
      <c r="D25" s="44"/>
      <c r="E25" s="44"/>
    </row>
    <row r="26" spans="2:5">
      <c r="B26" s="44"/>
      <c r="C26" s="44"/>
      <c r="D26" s="44"/>
      <c r="E26" s="44"/>
    </row>
    <row r="27" spans="2:5">
      <c r="B27" s="44"/>
      <c r="C27" s="44"/>
      <c r="D27" s="44"/>
      <c r="E27" s="44"/>
    </row>
    <row r="28" spans="2:5">
      <c r="B28" s="44"/>
      <c r="C28" s="44"/>
      <c r="D28" s="44"/>
      <c r="E28" s="44"/>
    </row>
    <row r="29" spans="2:5">
      <c r="B29" s="44"/>
      <c r="C29" s="44"/>
      <c r="D29" s="44"/>
      <c r="E29" s="44"/>
    </row>
    <row r="30" spans="2:5">
      <c r="B30" s="44"/>
      <c r="C30" s="44"/>
      <c r="D30" s="44"/>
      <c r="E30" s="44"/>
    </row>
    <row r="31" spans="2:5">
      <c r="B31" s="44"/>
      <c r="C31" s="44"/>
      <c r="D31" s="44"/>
      <c r="E31" s="44"/>
    </row>
    <row r="32" spans="2:5">
      <c r="B32" s="44"/>
      <c r="C32" s="44"/>
      <c r="D32" s="44"/>
      <c r="E32" s="44"/>
    </row>
    <row r="33" spans="2:5">
      <c r="B33" s="44"/>
      <c r="C33" s="44"/>
      <c r="D33" s="44"/>
      <c r="E33" s="44"/>
    </row>
    <row r="34" spans="2:5">
      <c r="B34" s="44"/>
      <c r="C34" s="44"/>
      <c r="D34" s="44"/>
      <c r="E34" s="44"/>
    </row>
    <row r="35" spans="2:5">
      <c r="B35" s="44"/>
      <c r="C35" s="44"/>
      <c r="D35" s="44"/>
      <c r="E35" s="44"/>
    </row>
  </sheetData>
  <phoneticPr fontId="2"/>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A1"/>
  <sheetViews>
    <sheetView topLeftCell="D1" zoomScale="60" zoomScaleNormal="60" workbookViewId="0">
      <selection activeCell="O43" sqref="O43"/>
    </sheetView>
  </sheetViews>
  <sheetFormatPr defaultColWidth="8.6640625" defaultRowHeight="19.5"/>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9" tint="0.59999389629810485"/>
  </sheetPr>
  <dimension ref="B2:AA22"/>
  <sheetViews>
    <sheetView tabSelected="1" zoomScale="70" zoomScaleNormal="70" workbookViewId="0">
      <selection activeCell="R11" sqref="R11"/>
    </sheetView>
  </sheetViews>
  <sheetFormatPr defaultColWidth="8.6640625" defaultRowHeight="19.5"/>
  <cols>
    <col min="17" max="17" width="84.77734375" customWidth="1"/>
    <col min="18" max="20" width="26.44140625" customWidth="1"/>
  </cols>
  <sheetData>
    <row r="2" spans="2:27">
      <c r="B2" s="10" t="s">
        <v>201</v>
      </c>
      <c r="C2" s="10" t="s">
        <v>202</v>
      </c>
      <c r="D2" s="10" t="s">
        <v>203</v>
      </c>
      <c r="E2" s="10" t="s">
        <v>204</v>
      </c>
      <c r="G2" s="47" t="s">
        <v>433</v>
      </c>
      <c r="H2" s="47" t="s">
        <v>70</v>
      </c>
      <c r="I2" s="47" t="s">
        <v>71</v>
      </c>
      <c r="K2" s="188"/>
      <c r="L2" s="189"/>
      <c r="M2" s="189"/>
      <c r="N2" s="189"/>
      <c r="O2" s="189"/>
      <c r="P2" s="190"/>
      <c r="Q2" s="96"/>
    </row>
    <row r="3" spans="2:27">
      <c r="B3" s="1" t="s">
        <v>205</v>
      </c>
      <c r="C3" s="23">
        <v>-5</v>
      </c>
      <c r="D3" s="23">
        <v>20</v>
      </c>
      <c r="E3" s="23">
        <v>0.1</v>
      </c>
      <c r="G3" s="44" t="s">
        <v>208</v>
      </c>
      <c r="H3" s="153">
        <v>1</v>
      </c>
      <c r="I3" s="61" t="str">
        <f>IF(G3="α","deg","-")</f>
        <v>deg</v>
      </c>
      <c r="K3" s="191"/>
      <c r="L3" s="192"/>
      <c r="M3" s="192"/>
      <c r="N3" s="192"/>
      <c r="O3" s="192"/>
      <c r="P3" s="193"/>
      <c r="Q3" s="96"/>
    </row>
    <row r="4" spans="2:27">
      <c r="B4" s="1" t="s">
        <v>206</v>
      </c>
      <c r="C4" s="33">
        <v>100000</v>
      </c>
      <c r="D4" s="33">
        <v>1000000</v>
      </c>
      <c r="E4" s="33">
        <v>20000</v>
      </c>
      <c r="K4" s="191"/>
      <c r="L4" s="192"/>
      <c r="M4" s="192"/>
      <c r="N4" s="192"/>
      <c r="O4" s="192"/>
      <c r="P4" s="193"/>
      <c r="Q4" s="96"/>
    </row>
    <row r="5" spans="2:27">
      <c r="F5" s="3"/>
      <c r="K5" s="191"/>
      <c r="L5" s="192"/>
      <c r="M5" s="192"/>
      <c r="N5" s="192"/>
      <c r="O5" s="192"/>
      <c r="P5" s="193"/>
      <c r="Q5" s="96"/>
    </row>
    <row r="6" spans="2:27">
      <c r="K6" s="191"/>
      <c r="L6" s="192"/>
      <c r="M6" s="192"/>
      <c r="N6" s="192"/>
      <c r="O6" s="192"/>
      <c r="P6" s="193"/>
      <c r="Q6" s="96"/>
    </row>
    <row r="7" spans="2:27">
      <c r="K7" s="194"/>
      <c r="L7" s="195"/>
      <c r="M7" s="195"/>
      <c r="N7" s="195"/>
      <c r="O7" s="195"/>
      <c r="P7" s="196"/>
      <c r="Q7" s="96"/>
    </row>
    <row r="9" spans="2:27">
      <c r="C9" t="s">
        <v>200</v>
      </c>
      <c r="J9" t="s">
        <v>199</v>
      </c>
      <c r="M9" t="s">
        <v>915</v>
      </c>
      <c r="Q9" t="s">
        <v>438</v>
      </c>
    </row>
    <row r="10" spans="2:27">
      <c r="B10" s="49" t="s">
        <v>181</v>
      </c>
      <c r="C10" s="51" t="s">
        <v>182</v>
      </c>
      <c r="D10" s="47" t="s">
        <v>929</v>
      </c>
      <c r="E10" s="47" t="s">
        <v>183</v>
      </c>
      <c r="F10" s="47" t="s">
        <v>929</v>
      </c>
      <c r="G10" s="49" t="s">
        <v>436</v>
      </c>
      <c r="H10" s="47" t="s">
        <v>434</v>
      </c>
      <c r="I10" s="158" t="s">
        <v>435</v>
      </c>
      <c r="J10" s="154" t="s">
        <v>191</v>
      </c>
      <c r="K10" s="154" t="s">
        <v>929</v>
      </c>
      <c r="L10" s="47" t="s">
        <v>190</v>
      </c>
      <c r="M10" s="47" t="s">
        <v>197</v>
      </c>
      <c r="N10" s="47" t="s">
        <v>207</v>
      </c>
      <c r="O10" s="47" t="s">
        <v>185</v>
      </c>
      <c r="P10" s="49" t="s">
        <v>186</v>
      </c>
      <c r="Q10" s="175" t="s">
        <v>919</v>
      </c>
      <c r="R10" s="47" t="s">
        <v>950</v>
      </c>
      <c r="S10" s="47"/>
      <c r="T10" s="47"/>
      <c r="U10" s="165"/>
      <c r="V10" s="165"/>
      <c r="W10" s="165"/>
      <c r="X10" s="165"/>
      <c r="Y10" s="165"/>
      <c r="Z10" s="154"/>
      <c r="AA10" s="174"/>
    </row>
    <row r="11" spans="2:27">
      <c r="B11" s="49" t="s">
        <v>52</v>
      </c>
      <c r="C11" s="51" t="s">
        <v>141</v>
      </c>
      <c r="D11" s="47" t="s">
        <v>52</v>
      </c>
      <c r="E11" s="47" t="s">
        <v>52</v>
      </c>
      <c r="F11" s="47" t="s">
        <v>52</v>
      </c>
      <c r="G11" s="49" t="s">
        <v>52</v>
      </c>
      <c r="H11" s="47" t="s">
        <v>52</v>
      </c>
      <c r="I11" s="158" t="s">
        <v>52</v>
      </c>
      <c r="J11" s="154" t="s">
        <v>916</v>
      </c>
      <c r="K11" s="154" t="s">
        <v>209</v>
      </c>
      <c r="L11" s="47" t="s">
        <v>198</v>
      </c>
      <c r="M11" s="47" t="s">
        <v>193</v>
      </c>
      <c r="N11" s="47" t="s">
        <v>195</v>
      </c>
      <c r="O11" s="47" t="s">
        <v>188</v>
      </c>
      <c r="P11" s="49" t="s">
        <v>189</v>
      </c>
      <c r="Q11" s="51"/>
      <c r="R11" s="47"/>
      <c r="S11" s="47"/>
      <c r="T11" s="47"/>
      <c r="U11" s="165"/>
      <c r="V11" s="165"/>
      <c r="W11" s="165"/>
      <c r="X11" s="165"/>
      <c r="Y11" s="165"/>
      <c r="Z11" s="154"/>
      <c r="AA11" s="174"/>
    </row>
    <row r="12" spans="2:27" ht="20.25" thickBot="1">
      <c r="B12" s="50" t="s">
        <v>52</v>
      </c>
      <c r="C12" s="52" t="s">
        <v>178</v>
      </c>
      <c r="D12" s="48" t="s">
        <v>178</v>
      </c>
      <c r="E12" s="48" t="s">
        <v>178</v>
      </c>
      <c r="F12" s="48" t="s">
        <v>178</v>
      </c>
      <c r="G12" s="50" t="s">
        <v>52</v>
      </c>
      <c r="H12" s="48" t="s">
        <v>9</v>
      </c>
      <c r="I12" s="159" t="s">
        <v>437</v>
      </c>
      <c r="J12" s="155" t="s">
        <v>52</v>
      </c>
      <c r="K12" s="155" t="str">
        <f>IF(K11="α","deg","-")</f>
        <v>-</v>
      </c>
      <c r="L12" s="48" t="s">
        <v>52</v>
      </c>
      <c r="M12" s="48" t="s">
        <v>52</v>
      </c>
      <c r="N12" s="48" t="s">
        <v>52</v>
      </c>
      <c r="O12" s="48" t="s">
        <v>178</v>
      </c>
      <c r="P12" s="50" t="s">
        <v>187</v>
      </c>
      <c r="Q12" s="52"/>
      <c r="R12" s="48"/>
      <c r="S12" s="48"/>
      <c r="T12" s="48"/>
      <c r="U12" s="166"/>
      <c r="V12" s="166"/>
      <c r="W12" s="166"/>
      <c r="X12" s="166"/>
      <c r="Y12" s="166"/>
      <c r="Z12" s="155"/>
      <c r="AA12" s="174"/>
    </row>
    <row r="13" spans="2:27" ht="108" customHeight="1" thickTop="1">
      <c r="B13" s="163" t="s">
        <v>913</v>
      </c>
      <c r="C13" s="156"/>
      <c r="D13" s="60"/>
      <c r="E13" s="60"/>
      <c r="F13" s="60"/>
      <c r="G13" s="60">
        <v>300</v>
      </c>
      <c r="H13" s="60"/>
      <c r="I13" s="160"/>
      <c r="J13" s="156"/>
      <c r="K13" s="156"/>
      <c r="L13" s="60"/>
      <c r="M13" s="60"/>
      <c r="N13" s="60"/>
      <c r="O13" s="60"/>
      <c r="P13" s="170"/>
      <c r="Q13" s="172"/>
      <c r="R13" s="60"/>
      <c r="S13" s="60"/>
      <c r="T13" s="60"/>
      <c r="U13" s="167"/>
      <c r="V13" s="167"/>
      <c r="W13" s="167"/>
      <c r="X13" s="167"/>
      <c r="Y13" s="167"/>
      <c r="Z13" s="168"/>
      <c r="AA13" s="174"/>
    </row>
    <row r="14" spans="2:27" ht="108" customHeight="1">
      <c r="B14" s="164" t="s">
        <v>914</v>
      </c>
      <c r="C14" s="157"/>
      <c r="D14" s="44"/>
      <c r="E14" s="44"/>
      <c r="F14" s="44"/>
      <c r="G14" s="44"/>
      <c r="H14" s="44"/>
      <c r="I14" s="161"/>
      <c r="J14" s="157"/>
      <c r="K14" s="157"/>
      <c r="L14" s="44"/>
      <c r="M14" s="44"/>
      <c r="N14" s="44"/>
      <c r="O14" s="44"/>
      <c r="P14" s="171"/>
      <c r="Q14" s="173"/>
      <c r="R14" s="44"/>
      <c r="S14" s="44"/>
      <c r="T14" s="44"/>
      <c r="U14" s="169"/>
      <c r="V14" s="169"/>
      <c r="W14" s="169"/>
      <c r="X14" s="169"/>
      <c r="Y14" s="169"/>
      <c r="Z14" s="157"/>
      <c r="AA14" s="174"/>
    </row>
    <row r="15" spans="2:27" ht="108" customHeight="1">
      <c r="B15" s="164" t="s">
        <v>917</v>
      </c>
      <c r="C15" s="157"/>
      <c r="D15" s="44"/>
      <c r="E15" s="44"/>
      <c r="F15" s="44"/>
      <c r="G15" s="44"/>
      <c r="H15" s="44"/>
      <c r="I15" s="161"/>
      <c r="J15" s="157"/>
      <c r="K15" s="157"/>
      <c r="L15" s="44"/>
      <c r="M15" s="44"/>
      <c r="N15" s="44"/>
      <c r="O15" s="44"/>
      <c r="P15" s="171"/>
      <c r="Q15" s="173"/>
      <c r="R15" s="44"/>
      <c r="S15" s="44"/>
      <c r="T15" s="44"/>
      <c r="U15" s="157"/>
      <c r="V15" s="44"/>
      <c r="W15" s="44"/>
      <c r="X15" s="44"/>
      <c r="Y15" s="44"/>
      <c r="Z15" s="44"/>
      <c r="AA15" s="174"/>
    </row>
    <row r="16" spans="2:27" ht="108" customHeight="1"/>
    <row r="17" ht="108" customHeight="1"/>
    <row r="18" ht="108" customHeight="1"/>
    <row r="19" ht="108" customHeight="1"/>
    <row r="20" ht="108" customHeight="1"/>
    <row r="21" ht="108" customHeight="1"/>
    <row r="22" ht="108" customHeight="1"/>
  </sheetData>
  <mergeCells count="1">
    <mergeCell ref="K2:P7"/>
  </mergeCells>
  <phoneticPr fontId="2"/>
  <dataValidations count="2">
    <dataValidation type="list" allowBlank="1" showInputMessage="1" showErrorMessage="1" sqref="G3" xr:uid="{9C50FAD0-32DD-4B27-B4E2-9E9C19E461CE}">
      <formula1>"α,Cl"</formula1>
    </dataValidation>
    <dataValidation type="list" allowBlank="1" showInputMessage="1" showErrorMessage="1" sqref="K11" xr:uid="{4AA66253-9EE5-BC43-83A9-CCE52606DC3A}">
      <formula1>"Cl,α"</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C49AE-4323-442C-B60E-9F77D6C946E9}">
  <sheetPr codeName="Sheet8">
    <tabColor theme="7" tint="0.59999389629810485"/>
  </sheetPr>
  <dimension ref="A1:BG223"/>
  <sheetViews>
    <sheetView zoomScale="60" zoomScaleNormal="60" workbookViewId="0">
      <selection activeCell="K3" sqref="K3"/>
    </sheetView>
  </sheetViews>
  <sheetFormatPr defaultColWidth="7.6640625" defaultRowHeight="19.5"/>
  <cols>
    <col min="1" max="1" width="7.6640625" style="75"/>
    <col min="2" max="2" width="7.6640625" style="3"/>
    <col min="3" max="3" width="7.6640625" style="136"/>
    <col min="4" max="9" width="7.6640625" style="3"/>
    <col min="10" max="10" width="7.6640625" style="76"/>
    <col min="11" max="11" width="7.6640625" style="75"/>
    <col min="12" max="19" width="7.6640625" style="3"/>
    <col min="20" max="20" width="7.6640625" style="76"/>
    <col min="21" max="21" width="7.6640625" style="75"/>
    <col min="22" max="29" width="7.6640625" style="3"/>
    <col min="30" max="30" width="7.6640625" style="76"/>
    <col min="31" max="31" width="7.6640625" style="75"/>
    <col min="32" max="39" width="7.6640625" style="3"/>
    <col min="40" max="40" width="7.6640625" style="76"/>
    <col min="41" max="41" width="7.6640625" style="75"/>
    <col min="42" max="43" width="7.6640625" style="3"/>
    <col min="44" max="44" width="6.6640625" style="3" customWidth="1"/>
    <col min="45" max="49" width="7.6640625" style="3"/>
    <col min="50" max="50" width="7.6640625" style="76"/>
    <col min="51" max="16384" width="7.6640625" style="3"/>
  </cols>
  <sheetData>
    <row r="1" spans="1:50" s="74" customFormat="1">
      <c r="A1" s="133"/>
      <c r="AN1" s="134"/>
      <c r="AX1" s="134"/>
    </row>
    <row r="2" spans="1:50">
      <c r="B2" s="3" t="s">
        <v>735</v>
      </c>
      <c r="C2" s="3"/>
      <c r="J2" s="3"/>
      <c r="K2" s="3" t="s">
        <v>940</v>
      </c>
      <c r="L2" s="3" t="s">
        <v>736</v>
      </c>
      <c r="N2" s="3" t="s">
        <v>559</v>
      </c>
      <c r="R2" s="3" t="s">
        <v>560</v>
      </c>
      <c r="T2" s="3"/>
      <c r="U2" s="3"/>
      <c r="V2" s="3" t="s">
        <v>561</v>
      </c>
      <c r="Z2" s="3" t="s">
        <v>562</v>
      </c>
      <c r="AD2" s="3" t="s">
        <v>737</v>
      </c>
      <c r="AE2" s="3"/>
      <c r="AF2" s="3" t="s">
        <v>738</v>
      </c>
      <c r="AH2" s="3" t="s">
        <v>739</v>
      </c>
      <c r="AJ2" s="3" t="s">
        <v>740</v>
      </c>
      <c r="AO2" s="3"/>
      <c r="AP2" s="3" t="s">
        <v>741</v>
      </c>
    </row>
    <row r="3" spans="1:50" ht="20.25" thickBot="1">
      <c r="B3" s="10" t="s">
        <v>742</v>
      </c>
      <c r="C3" s="10" t="s">
        <v>743</v>
      </c>
      <c r="D3" s="10" t="s">
        <v>434</v>
      </c>
      <c r="E3" s="10" t="s">
        <v>744</v>
      </c>
      <c r="F3" s="10" t="s">
        <v>698</v>
      </c>
      <c r="G3" s="10" t="s">
        <v>126</v>
      </c>
      <c r="H3" s="10" t="s">
        <v>745</v>
      </c>
      <c r="I3" s="10" t="s">
        <v>746</v>
      </c>
      <c r="J3" s="135" t="s">
        <v>747</v>
      </c>
      <c r="K3" s="3"/>
      <c r="L3" s="10"/>
      <c r="M3" s="10" t="s">
        <v>184</v>
      </c>
      <c r="N3" s="10" t="s">
        <v>748</v>
      </c>
      <c r="O3" s="10" t="s">
        <v>749</v>
      </c>
      <c r="P3" s="10" t="s">
        <v>750</v>
      </c>
      <c r="Q3" s="10" t="s">
        <v>751</v>
      </c>
      <c r="R3" s="10" t="s">
        <v>748</v>
      </c>
      <c r="S3" s="10" t="s">
        <v>749</v>
      </c>
      <c r="T3" s="10" t="s">
        <v>750</v>
      </c>
      <c r="U3" s="10" t="s">
        <v>751</v>
      </c>
      <c r="V3" s="10" t="s">
        <v>748</v>
      </c>
      <c r="W3" s="10" t="s">
        <v>749</v>
      </c>
      <c r="X3" s="10" t="s">
        <v>750</v>
      </c>
      <c r="Y3" s="10" t="s">
        <v>751</v>
      </c>
      <c r="Z3" s="10" t="s">
        <v>748</v>
      </c>
      <c r="AA3" s="10" t="s">
        <v>749</v>
      </c>
      <c r="AB3" s="10" t="s">
        <v>750</v>
      </c>
      <c r="AC3" s="10" t="s">
        <v>751</v>
      </c>
      <c r="AD3" s="10" t="s">
        <v>752</v>
      </c>
      <c r="AE3" s="10" t="s">
        <v>753</v>
      </c>
      <c r="AF3" s="10" t="s">
        <v>752</v>
      </c>
      <c r="AG3" s="10" t="s">
        <v>753</v>
      </c>
      <c r="AH3" s="10" t="s">
        <v>752</v>
      </c>
      <c r="AI3" s="10" t="s">
        <v>753</v>
      </c>
      <c r="AJ3" s="10" t="s">
        <v>752</v>
      </c>
      <c r="AK3" s="10" t="s">
        <v>753</v>
      </c>
      <c r="AO3" s="3"/>
      <c r="AP3" s="11" t="s">
        <v>508</v>
      </c>
      <c r="AQ3" s="11" t="s">
        <v>171</v>
      </c>
      <c r="AR3" s="11" t="s">
        <v>172</v>
      </c>
      <c r="AS3" s="11" t="s">
        <v>173</v>
      </c>
    </row>
    <row r="4" spans="1:50" ht="20.25" thickTop="1">
      <c r="B4" s="1" t="s">
        <v>52</v>
      </c>
      <c r="C4" s="1" t="s">
        <v>711</v>
      </c>
      <c r="D4" s="1" t="s">
        <v>52</v>
      </c>
      <c r="E4" s="1" t="s">
        <v>52</v>
      </c>
      <c r="F4" s="1" t="s">
        <v>716</v>
      </c>
      <c r="G4" s="1" t="s">
        <v>754</v>
      </c>
      <c r="H4" s="1" t="s">
        <v>649</v>
      </c>
      <c r="I4" s="1" t="s">
        <v>528</v>
      </c>
      <c r="J4" s="1" t="s">
        <v>647</v>
      </c>
      <c r="K4" s="3"/>
      <c r="L4" s="10"/>
      <c r="M4" s="1" t="s">
        <v>28</v>
      </c>
      <c r="N4" s="1" t="s">
        <v>755</v>
      </c>
      <c r="O4" s="1" t="s">
        <v>756</v>
      </c>
      <c r="P4" s="1" t="s">
        <v>757</v>
      </c>
      <c r="Q4" s="1" t="s">
        <v>755</v>
      </c>
      <c r="R4" s="1" t="s">
        <v>756</v>
      </c>
      <c r="S4" s="1" t="s">
        <v>757</v>
      </c>
      <c r="T4" s="1" t="s">
        <v>758</v>
      </c>
      <c r="U4" s="1" t="s">
        <v>759</v>
      </c>
      <c r="V4" s="1" t="s">
        <v>760</v>
      </c>
      <c r="W4" s="1" t="s">
        <v>761</v>
      </c>
      <c r="X4" s="1" t="s">
        <v>762</v>
      </c>
      <c r="Y4" s="1" t="s">
        <v>759</v>
      </c>
      <c r="Z4" s="1" t="s">
        <v>760</v>
      </c>
      <c r="AA4" s="1" t="s">
        <v>761</v>
      </c>
      <c r="AB4" s="1" t="s">
        <v>762</v>
      </c>
      <c r="AC4" s="1" t="s">
        <v>759</v>
      </c>
      <c r="AD4" s="1" t="s">
        <v>52</v>
      </c>
      <c r="AE4" s="1" t="s">
        <v>52</v>
      </c>
      <c r="AF4" s="1" t="s">
        <v>52</v>
      </c>
      <c r="AG4" s="1" t="s">
        <v>52</v>
      </c>
      <c r="AH4" s="1" t="s">
        <v>52</v>
      </c>
      <c r="AI4" s="1" t="s">
        <v>52</v>
      </c>
      <c r="AJ4" s="1" t="s">
        <v>52</v>
      </c>
      <c r="AK4" s="1" t="s">
        <v>52</v>
      </c>
      <c r="AO4" s="3"/>
      <c r="AP4" s="2" t="s">
        <v>149</v>
      </c>
      <c r="AQ4" s="2" t="s">
        <v>52</v>
      </c>
      <c r="AR4" s="2">
        <v>1500</v>
      </c>
      <c r="AS4" s="2" t="s">
        <v>75</v>
      </c>
    </row>
    <row r="5" spans="1:50">
      <c r="B5" s="1" t="s">
        <v>52</v>
      </c>
      <c r="C5" s="1" t="s">
        <v>763</v>
      </c>
      <c r="D5" s="1" t="s">
        <v>763</v>
      </c>
      <c r="E5" s="1" t="s">
        <v>763</v>
      </c>
      <c r="F5" s="1" t="s">
        <v>764</v>
      </c>
      <c r="G5" s="1" t="s">
        <v>125</v>
      </c>
      <c r="H5" s="1" t="s">
        <v>125</v>
      </c>
      <c r="I5" s="1" t="s">
        <v>9</v>
      </c>
      <c r="J5" s="1" t="s">
        <v>765</v>
      </c>
      <c r="K5" s="3"/>
      <c r="L5" s="10"/>
      <c r="M5" s="1" t="s">
        <v>9</v>
      </c>
      <c r="N5" s="1" t="s">
        <v>766</v>
      </c>
      <c r="O5" s="1" t="s">
        <v>766</v>
      </c>
      <c r="P5" s="1" t="s">
        <v>766</v>
      </c>
      <c r="Q5" s="1" t="s">
        <v>766</v>
      </c>
      <c r="R5" s="1" t="s">
        <v>766</v>
      </c>
      <c r="S5" s="1" t="s">
        <v>766</v>
      </c>
      <c r="T5" s="1" t="s">
        <v>766</v>
      </c>
      <c r="U5" s="1" t="s">
        <v>766</v>
      </c>
      <c r="V5" s="1" t="s">
        <v>766</v>
      </c>
      <c r="W5" s="1" t="s">
        <v>766</v>
      </c>
      <c r="X5" s="1" t="s">
        <v>766</v>
      </c>
      <c r="Y5" s="1" t="s">
        <v>766</v>
      </c>
      <c r="Z5" s="1" t="s">
        <v>766</v>
      </c>
      <c r="AA5" s="1" t="s">
        <v>766</v>
      </c>
      <c r="AB5" s="1" t="s">
        <v>766</v>
      </c>
      <c r="AC5" s="1" t="s">
        <v>766</v>
      </c>
      <c r="AD5" s="1" t="s">
        <v>52</v>
      </c>
      <c r="AE5" s="1" t="s">
        <v>766</v>
      </c>
      <c r="AF5" s="1" t="s">
        <v>52</v>
      </c>
      <c r="AG5" s="1" t="s">
        <v>766</v>
      </c>
      <c r="AH5" s="1" t="s">
        <v>52</v>
      </c>
      <c r="AI5" s="1" t="s">
        <v>766</v>
      </c>
      <c r="AJ5" s="1" t="s">
        <v>52</v>
      </c>
      <c r="AK5" s="1" t="s">
        <v>766</v>
      </c>
      <c r="AO5" s="3"/>
    </row>
    <row r="6" spans="1:50">
      <c r="B6" s="34">
        <v>0</v>
      </c>
      <c r="C6" s="34">
        <v>15</v>
      </c>
      <c r="D6" s="34">
        <v>15</v>
      </c>
      <c r="E6" s="34">
        <v>0</v>
      </c>
      <c r="F6" s="23">
        <v>0</v>
      </c>
      <c r="G6" s="1">
        <v>128.55212654337893</v>
      </c>
      <c r="H6" s="1">
        <v>16.303408580287435</v>
      </c>
      <c r="I6" s="1">
        <f>2*(M9-M6)</f>
        <v>3.5</v>
      </c>
      <c r="J6" s="34">
        <v>-1041.8410000000001</v>
      </c>
      <c r="K6" s="3"/>
      <c r="L6" s="10" t="s">
        <v>767</v>
      </c>
      <c r="M6" s="23">
        <v>0</v>
      </c>
      <c r="N6" s="1">
        <f>113.39</f>
        <v>113.39</v>
      </c>
      <c r="O6" s="1">
        <f>113.39</f>
        <v>113.39</v>
      </c>
      <c r="P6" s="23">
        <v>110</v>
      </c>
      <c r="Q6" s="1">
        <f>P6*$D$20</f>
        <v>110</v>
      </c>
      <c r="R6" s="1"/>
      <c r="S6" s="1"/>
      <c r="T6" s="1"/>
      <c r="U6" s="1"/>
      <c r="V6" s="1"/>
      <c r="W6" s="1"/>
      <c r="X6" s="1"/>
      <c r="Y6" s="1"/>
      <c r="Z6" s="1"/>
      <c r="AA6" s="1"/>
      <c r="AB6" s="1"/>
      <c r="AC6" s="1"/>
      <c r="AD6" s="1">
        <f t="array" ref="AD6:AE6">LINEST(P6:P7,M6:M7,TRUE,FALSE)</f>
        <v>0</v>
      </c>
      <c r="AE6" s="1">
        <v>110</v>
      </c>
      <c r="AF6" s="1"/>
      <c r="AG6" s="1"/>
      <c r="AH6" s="1"/>
      <c r="AI6" s="1"/>
      <c r="AJ6" s="1"/>
      <c r="AK6" s="1"/>
      <c r="AO6" s="3"/>
    </row>
    <row r="7" spans="1:50">
      <c r="B7" s="1"/>
      <c r="C7" s="34">
        <f>C6</f>
        <v>15</v>
      </c>
      <c r="D7" s="34">
        <f>D6</f>
        <v>15</v>
      </c>
      <c r="E7" s="34">
        <f>E6</f>
        <v>0</v>
      </c>
      <c r="F7" s="23">
        <v>0</v>
      </c>
      <c r="G7" s="1">
        <f>G6</f>
        <v>128.55212654337893</v>
      </c>
      <c r="H7" s="1">
        <f>H6</f>
        <v>16.303408580287435</v>
      </c>
      <c r="I7" s="1">
        <f>I6</f>
        <v>3.5</v>
      </c>
      <c r="J7" s="34">
        <v>-1041.8410000000001</v>
      </c>
      <c r="K7" s="3"/>
      <c r="L7" s="10" t="s">
        <v>768</v>
      </c>
      <c r="M7" s="23">
        <v>1.4</v>
      </c>
      <c r="N7" s="1">
        <f t="shared" ref="N7:O9" si="0">113.39</f>
        <v>113.39</v>
      </c>
      <c r="O7" s="1">
        <f t="shared" si="0"/>
        <v>113.39</v>
      </c>
      <c r="P7" s="1">
        <f>P6-$F$6*(M7-M6)</f>
        <v>110</v>
      </c>
      <c r="Q7" s="1">
        <f>P7*$D$20</f>
        <v>110</v>
      </c>
      <c r="R7" s="1"/>
      <c r="S7" s="1"/>
      <c r="T7" s="1"/>
      <c r="U7" s="1"/>
      <c r="V7" s="1"/>
      <c r="W7" s="1"/>
      <c r="X7" s="1"/>
      <c r="Y7" s="1"/>
      <c r="Z7" s="1"/>
      <c r="AA7" s="1"/>
      <c r="AB7" s="1"/>
      <c r="AC7" s="1"/>
      <c r="AD7" s="1">
        <f t="array" ref="AD7:AE7">LINEST(P7:P8,M7:M8,TRUE,FALSE)</f>
        <v>0</v>
      </c>
      <c r="AE7" s="1">
        <v>110</v>
      </c>
      <c r="AF7" s="1"/>
      <c r="AG7" s="1"/>
      <c r="AH7" s="1"/>
      <c r="AI7" s="1"/>
      <c r="AJ7" s="1"/>
      <c r="AK7" s="1"/>
      <c r="AO7" s="3"/>
    </row>
    <row r="8" spans="1:50">
      <c r="B8" s="34">
        <v>1</v>
      </c>
      <c r="C8" s="34">
        <v>15</v>
      </c>
      <c r="D8" s="34">
        <v>8</v>
      </c>
      <c r="E8" s="34">
        <v>7</v>
      </c>
      <c r="F8" s="23">
        <v>8</v>
      </c>
      <c r="G8" s="1">
        <v>98.162022598056055</v>
      </c>
      <c r="H8" s="1">
        <v>13.026293794037066</v>
      </c>
      <c r="I8" s="1">
        <f>M11-M8</f>
        <v>3.8000000000000003</v>
      </c>
      <c r="J8" s="34">
        <v>-1945.1603000000002</v>
      </c>
      <c r="K8" s="3"/>
      <c r="L8" s="10" t="s">
        <v>769</v>
      </c>
      <c r="M8" s="23">
        <v>1.4</v>
      </c>
      <c r="N8" s="1">
        <f t="shared" si="0"/>
        <v>113.39</v>
      </c>
      <c r="O8" s="1">
        <f t="shared" si="0"/>
        <v>113.39</v>
      </c>
      <c r="P8" s="1">
        <f>P7-$F$7*(M8-M7)</f>
        <v>110</v>
      </c>
      <c r="Q8" s="1">
        <f>P8*$D$20</f>
        <v>110</v>
      </c>
      <c r="R8" s="1">
        <f>T8+2*$D$27*$C$8</f>
        <v>121.91</v>
      </c>
      <c r="S8" s="1">
        <f>U8+2*$D$27*$D$8</f>
        <v>122.31949999999999</v>
      </c>
      <c r="T8" s="23">
        <v>117.5</v>
      </c>
      <c r="U8" s="1">
        <f>T8*$D$21</f>
        <v>119.96749999999999</v>
      </c>
      <c r="V8" s="1"/>
      <c r="W8" s="1"/>
      <c r="X8" s="1"/>
      <c r="Y8" s="1"/>
      <c r="Z8" s="1"/>
      <c r="AA8" s="1"/>
      <c r="AB8" s="1"/>
      <c r="AC8" s="1"/>
      <c r="AD8" s="1">
        <f t="array" ref="AD8:AE8">LINEST(P8:P9,M8:M9,TRUE,FALSE)</f>
        <v>0</v>
      </c>
      <c r="AE8" s="1">
        <v>110</v>
      </c>
      <c r="AF8" s="1">
        <f t="array" ref="AF8:AG8">LINEST(T8:T9,M8:M9,TRUE,FALSE)</f>
        <v>-7.9999999999999893</v>
      </c>
      <c r="AG8" s="1">
        <v>128.69999999999999</v>
      </c>
      <c r="AH8" s="1"/>
      <c r="AI8" s="1"/>
      <c r="AJ8" s="1"/>
      <c r="AK8" s="1"/>
      <c r="AO8" s="3"/>
    </row>
    <row r="9" spans="1:50">
      <c r="B9" s="34">
        <v>2</v>
      </c>
      <c r="C9" s="34">
        <v>12</v>
      </c>
      <c r="D9" s="34">
        <v>8</v>
      </c>
      <c r="E9" s="34">
        <v>4</v>
      </c>
      <c r="F9" s="23">
        <v>8</v>
      </c>
      <c r="G9" s="1">
        <v>85.918359090644557</v>
      </c>
      <c r="H9" s="1">
        <v>15.282867242546342</v>
      </c>
      <c r="I9" s="1">
        <f>M13-M10</f>
        <v>3.7999999999999989</v>
      </c>
      <c r="J9" s="34">
        <v>-1513.25</v>
      </c>
      <c r="K9" s="3"/>
      <c r="L9" s="10" t="s">
        <v>770</v>
      </c>
      <c r="M9" s="23">
        <v>1.75</v>
      </c>
      <c r="N9" s="1">
        <f t="shared" si="0"/>
        <v>113.39</v>
      </c>
      <c r="O9" s="1">
        <f t="shared" si="0"/>
        <v>113.39</v>
      </c>
      <c r="P9" s="1">
        <f>P8-$F$7*(M9-M8)</f>
        <v>110</v>
      </c>
      <c r="Q9" s="1">
        <f>P9*$D$20</f>
        <v>110</v>
      </c>
      <c r="R9" s="1">
        <f>T9+2*$D$27*$C$8</f>
        <v>119.11</v>
      </c>
      <c r="S9" s="1">
        <f>U9+2*$D$27*$D$8</f>
        <v>119.4607</v>
      </c>
      <c r="T9" s="1">
        <f>T8-$F$8*(M9-M8)</f>
        <v>114.7</v>
      </c>
      <c r="U9" s="1">
        <f>T9*$D$21</f>
        <v>117.1087</v>
      </c>
      <c r="V9" s="1"/>
      <c r="W9" s="1"/>
      <c r="X9" s="1"/>
      <c r="Y9" s="1"/>
      <c r="Z9" s="1"/>
      <c r="AA9" s="1"/>
      <c r="AB9" s="1"/>
      <c r="AC9" s="1"/>
      <c r="AD9" s="1"/>
      <c r="AE9" s="1"/>
      <c r="AF9" s="1">
        <f t="array" ref="AF9:AG9">LINEST(T9:T10,M9:M10,TRUE,FALSE)</f>
        <v>-8</v>
      </c>
      <c r="AG9" s="1">
        <v>128.69999999999999</v>
      </c>
      <c r="AH9" s="1"/>
      <c r="AI9" s="1"/>
      <c r="AJ9" s="1"/>
      <c r="AK9" s="1"/>
      <c r="AO9" s="3"/>
    </row>
    <row r="10" spans="1:50">
      <c r="B10" s="34">
        <v>3</v>
      </c>
      <c r="C10" s="34">
        <v>8</v>
      </c>
      <c r="D10" s="34">
        <v>8</v>
      </c>
      <c r="E10" s="34">
        <v>0</v>
      </c>
      <c r="F10" s="23">
        <v>8.5</v>
      </c>
      <c r="G10" s="1">
        <v>85.062835944683613</v>
      </c>
      <c r="H10" s="1">
        <v>12.462150431909752</v>
      </c>
      <c r="I10" s="1">
        <f>M14-M12</f>
        <v>4.1999999999999993</v>
      </c>
      <c r="J10" s="34">
        <v>-943.26</v>
      </c>
      <c r="K10" s="3"/>
      <c r="L10" s="10" t="s">
        <v>771</v>
      </c>
      <c r="M10" s="23">
        <v>4.9000000000000004</v>
      </c>
      <c r="N10" s="1"/>
      <c r="O10" s="1"/>
      <c r="P10" s="1"/>
      <c r="Q10" s="1"/>
      <c r="R10" s="1">
        <f>T10+2*$D$27*$C$8</f>
        <v>93.91</v>
      </c>
      <c r="S10" s="1">
        <f>U10+2*$D$27*$D$8</f>
        <v>93.731499999999997</v>
      </c>
      <c r="T10" s="1">
        <f>T9-$F$8*(M10-M9)</f>
        <v>89.5</v>
      </c>
      <c r="U10" s="1">
        <f>T10*$D$21</f>
        <v>91.379499999999993</v>
      </c>
      <c r="V10" s="1">
        <f>X10+2*$D$27*$C$9</f>
        <v>100.02800000000001</v>
      </c>
      <c r="W10" s="1">
        <f>Y10+2*$D$27*$D$9</f>
        <v>100.29949999999999</v>
      </c>
      <c r="X10" s="23">
        <f>96.5</f>
        <v>96.5</v>
      </c>
      <c r="Y10" s="1">
        <f>X10*$D$22</f>
        <v>97.947499999999991</v>
      </c>
      <c r="Z10" s="1"/>
      <c r="AA10" s="1"/>
      <c r="AB10" s="1"/>
      <c r="AC10" s="1"/>
      <c r="AD10" s="1"/>
      <c r="AE10" s="1"/>
      <c r="AF10" s="1">
        <f t="array" ref="AF10:AG10">LINEST(T10:T11,M10:M11,TRUE,FALSE)</f>
        <v>-8.0000000000000213</v>
      </c>
      <c r="AG10" s="1">
        <v>128.7000000000001</v>
      </c>
      <c r="AH10" s="1">
        <f t="array" ref="AH10:AI10">LINEST(X10:X11,M10:M11,TRUE,FALSE)</f>
        <v>-8.0000000000000213</v>
      </c>
      <c r="AI10" s="1">
        <v>135.7000000000001</v>
      </c>
      <c r="AJ10" s="1"/>
      <c r="AK10" s="1"/>
      <c r="AO10" s="3"/>
    </row>
    <row r="11" spans="1:50">
      <c r="C11" s="3"/>
      <c r="I11" s="3" t="s">
        <v>772</v>
      </c>
      <c r="J11" s="3"/>
      <c r="K11" s="3"/>
      <c r="L11" s="10" t="s">
        <v>773</v>
      </c>
      <c r="M11" s="23">
        <v>5.2</v>
      </c>
      <c r="N11" s="1"/>
      <c r="O11" s="1"/>
      <c r="P11" s="1"/>
      <c r="Q11" s="1"/>
      <c r="R11" s="1">
        <f>T11+2*$D$27*$C$8</f>
        <v>91.509999999999991</v>
      </c>
      <c r="S11" s="1">
        <f>U11+2*$D$27*$D$8</f>
        <v>91.281099999999995</v>
      </c>
      <c r="T11" s="1">
        <f>T10-$F$8*(M11-M10)</f>
        <v>87.1</v>
      </c>
      <c r="U11" s="1">
        <f>T11*$D$21</f>
        <v>88.929099999999991</v>
      </c>
      <c r="V11" s="1">
        <f>X11+2*$D$27*$C$9</f>
        <v>97.628</v>
      </c>
      <c r="W11" s="1">
        <f>Y11+2*$D$27*$D$9</f>
        <v>97.863499999999988</v>
      </c>
      <c r="X11" s="1">
        <f>X10-$F$9*(M11-M10)</f>
        <v>94.1</v>
      </c>
      <c r="Y11" s="1">
        <f>X11*$D$22</f>
        <v>95.511499999999984</v>
      </c>
      <c r="Z11" s="1"/>
      <c r="AA11" s="1"/>
      <c r="AB11" s="1"/>
      <c r="AC11" s="1"/>
      <c r="AD11" s="1"/>
      <c r="AE11" s="1"/>
      <c r="AF11" s="1"/>
      <c r="AG11" s="1"/>
      <c r="AH11" s="1">
        <f t="array" ref="AH11:AI11">LINEST(X11:X12,M11:M12,TRUE,FALSE)</f>
        <v>-7.9999999999999982</v>
      </c>
      <c r="AI11" s="1">
        <v>135.69999999999999</v>
      </c>
      <c r="AJ11" s="1"/>
      <c r="AK11" s="1"/>
      <c r="AO11" s="3"/>
      <c r="AP11" s="3" t="s">
        <v>65</v>
      </c>
    </row>
    <row r="12" spans="1:50">
      <c r="B12" s="3" t="s">
        <v>774</v>
      </c>
      <c r="C12" s="3"/>
      <c r="J12" s="3"/>
      <c r="K12" s="3"/>
      <c r="L12" s="10" t="s">
        <v>775</v>
      </c>
      <c r="M12" s="23">
        <v>8.4</v>
      </c>
      <c r="N12" s="1"/>
      <c r="O12" s="1"/>
      <c r="P12" s="1"/>
      <c r="Q12" s="1"/>
      <c r="R12" s="1"/>
      <c r="S12" s="1"/>
      <c r="T12" s="1"/>
      <c r="U12" s="1"/>
      <c r="V12" s="1">
        <f>X12+2*$D$27*$C$9</f>
        <v>72.028000000000006</v>
      </c>
      <c r="W12" s="1">
        <f>Y12+2*$D$27*$D$9</f>
        <v>71.879499999999993</v>
      </c>
      <c r="X12" s="1">
        <f>X11-$F$9*(M12-M11)</f>
        <v>68.5</v>
      </c>
      <c r="Y12" s="1">
        <f>X12*$D$22</f>
        <v>69.527499999999989</v>
      </c>
      <c r="Z12" s="1">
        <f>AB12+2*$D$27*$C$10</f>
        <v>76.75200000000001</v>
      </c>
      <c r="AA12" s="1">
        <f>AC12+2*$D$27*$D$10</f>
        <v>76.75200000000001</v>
      </c>
      <c r="AB12" s="23">
        <f>74.4</f>
        <v>74.400000000000006</v>
      </c>
      <c r="AC12" s="1">
        <f>AB12*$D$23</f>
        <v>74.400000000000006</v>
      </c>
      <c r="AD12" s="1"/>
      <c r="AE12" s="1"/>
      <c r="AF12" s="1"/>
      <c r="AG12" s="1"/>
      <c r="AH12" s="1">
        <f t="array" ref="AH12:AI12">LINEST(X12:X13,M12:M13,TRUE,FALSE)</f>
        <v>-8</v>
      </c>
      <c r="AI12" s="1">
        <v>135.70000000000002</v>
      </c>
      <c r="AJ12" s="1">
        <f t="array" ref="AJ12:AK12">LINEST(AB12:AB13,M12:M13,TRUE,FALSE)</f>
        <v>-8.5000000000000231</v>
      </c>
      <c r="AK12" s="1">
        <v>145.80000000000021</v>
      </c>
      <c r="AO12" s="3"/>
      <c r="AP12" s="10" t="s">
        <v>508</v>
      </c>
      <c r="AQ12" s="10" t="s">
        <v>171</v>
      </c>
      <c r="AR12" s="10" t="s">
        <v>172</v>
      </c>
      <c r="AS12" s="10" t="s">
        <v>173</v>
      </c>
    </row>
    <row r="13" spans="1:50">
      <c r="B13" s="10" t="s">
        <v>742</v>
      </c>
      <c r="C13" s="10" t="s">
        <v>776</v>
      </c>
      <c r="D13" s="10" t="s">
        <v>777</v>
      </c>
      <c r="J13" s="3"/>
      <c r="K13" s="3"/>
      <c r="L13" s="10" t="s">
        <v>778</v>
      </c>
      <c r="M13" s="23">
        <v>8.6999999999999993</v>
      </c>
      <c r="N13" s="1"/>
      <c r="O13" s="1"/>
      <c r="P13" s="1"/>
      <c r="Q13" s="1"/>
      <c r="R13" s="1"/>
      <c r="S13" s="1"/>
      <c r="T13" s="1"/>
      <c r="U13" s="1"/>
      <c r="V13" s="1">
        <f>X13+2*$D$27*$C$9</f>
        <v>69.628000000000014</v>
      </c>
      <c r="W13" s="1">
        <f>Y13+2*$D$27*$D$9</f>
        <v>69.4435</v>
      </c>
      <c r="X13" s="1">
        <f>X12-$F$9*(M13-M12)</f>
        <v>66.100000000000009</v>
      </c>
      <c r="Y13" s="1">
        <f>X13*$D$22</f>
        <v>67.091499999999996</v>
      </c>
      <c r="Z13" s="1">
        <f>AB13+2*$D$27*$C$10</f>
        <v>74.202000000000012</v>
      </c>
      <c r="AA13" s="1">
        <f>AC13+2*$D$27*$D$10</f>
        <v>74.202000000000012</v>
      </c>
      <c r="AB13" s="1">
        <f>AB12-$F$10*(M13-M12)</f>
        <v>71.850000000000009</v>
      </c>
      <c r="AC13" s="1">
        <f>AB13*$D$23</f>
        <v>71.850000000000009</v>
      </c>
      <c r="AD13" s="1"/>
      <c r="AE13" s="1"/>
      <c r="AF13" s="1"/>
      <c r="AG13" s="1"/>
      <c r="AH13" s="1"/>
      <c r="AI13" s="1"/>
      <c r="AJ13" s="1">
        <f t="array" ref="AJ13:AK13">LINEST(AB13:AB14,M13:M14,TRUE,FALSE)</f>
        <v>-8.5</v>
      </c>
      <c r="AK13" s="1">
        <v>145.80000000000001</v>
      </c>
      <c r="AO13" s="3"/>
      <c r="AP13" s="1" t="s">
        <v>559</v>
      </c>
      <c r="AQ13" s="1" t="s">
        <v>779</v>
      </c>
      <c r="AR13" s="22">
        <f>SUM(BC45:BC107)*2</f>
        <v>3.2234850207811383</v>
      </c>
      <c r="AS13" s="1" t="s">
        <v>10</v>
      </c>
    </row>
    <row r="14" spans="1:50">
      <c r="B14" s="1" t="s">
        <v>52</v>
      </c>
      <c r="C14" s="1" t="s">
        <v>9</v>
      </c>
      <c r="D14" s="1" t="s">
        <v>766</v>
      </c>
      <c r="J14" s="3"/>
      <c r="K14" s="3"/>
      <c r="L14" s="10" t="s">
        <v>732</v>
      </c>
      <c r="M14" s="1">
        <v>12.6</v>
      </c>
      <c r="N14" s="1"/>
      <c r="O14" s="1"/>
      <c r="P14" s="1"/>
      <c r="Q14" s="1"/>
      <c r="R14" s="1"/>
      <c r="S14" s="1"/>
      <c r="T14" s="1"/>
      <c r="U14" s="1"/>
      <c r="V14" s="1"/>
      <c r="W14" s="1"/>
      <c r="X14" s="1"/>
      <c r="Y14" s="1"/>
      <c r="Z14" s="1">
        <f>AB14+2*$D$27*$C$10</f>
        <v>41.052</v>
      </c>
      <c r="AA14" s="1">
        <f>AC14+2*$D$27*$D$10</f>
        <v>41.052</v>
      </c>
      <c r="AB14" s="1">
        <f>AB13-$F$10*(M14-M13)</f>
        <v>38.700000000000003</v>
      </c>
      <c r="AC14" s="1">
        <f>AB14*$D$23</f>
        <v>38.700000000000003</v>
      </c>
      <c r="AD14" s="1"/>
      <c r="AE14" s="1"/>
      <c r="AF14" s="1"/>
      <c r="AG14" s="1"/>
      <c r="AH14" s="1"/>
      <c r="AI14" s="1"/>
      <c r="AJ14" s="1"/>
      <c r="AK14" s="1"/>
      <c r="AO14" s="3"/>
      <c r="AP14" s="1"/>
      <c r="AQ14" s="9" t="s">
        <v>0</v>
      </c>
      <c r="AR14" s="23">
        <v>0.76800000000000002</v>
      </c>
      <c r="AS14" s="24" t="s">
        <v>52</v>
      </c>
    </row>
    <row r="15" spans="1:50" ht="20.25" thickBot="1">
      <c r="B15" s="1" t="s">
        <v>780</v>
      </c>
      <c r="C15" s="1">
        <f>M9-M8</f>
        <v>0.35000000000000009</v>
      </c>
      <c r="D15" s="23">
        <v>1</v>
      </c>
      <c r="J15" s="3"/>
      <c r="K15" s="3"/>
      <c r="T15" s="3"/>
      <c r="U15" s="3"/>
      <c r="AD15" s="3"/>
      <c r="AE15" s="3"/>
      <c r="AO15" s="3"/>
      <c r="AP15" s="20" t="s">
        <v>515</v>
      </c>
      <c r="AQ15" s="21" t="s">
        <v>781</v>
      </c>
      <c r="AR15" s="40">
        <v>3.2229999999999999</v>
      </c>
      <c r="AS15" s="27" t="s">
        <v>10</v>
      </c>
    </row>
    <row r="16" spans="1:50" ht="20.25" thickTop="1">
      <c r="B16" s="1" t="s">
        <v>782</v>
      </c>
      <c r="C16" s="1">
        <f>M11-M10</f>
        <v>0.29999999999999982</v>
      </c>
      <c r="D16" s="23">
        <v>1</v>
      </c>
      <c r="J16" s="3"/>
      <c r="K16" s="3"/>
      <c r="T16" s="3"/>
      <c r="U16" s="3"/>
      <c r="AD16" s="3"/>
      <c r="AE16" s="3"/>
      <c r="AO16" s="3"/>
      <c r="AP16" s="1" t="s">
        <v>560</v>
      </c>
      <c r="AQ16" s="9" t="s">
        <v>779</v>
      </c>
      <c r="AR16" s="1">
        <f>SUM(BD45:BD107)</f>
        <v>3.6701401194988721</v>
      </c>
      <c r="AS16" s="24" t="s">
        <v>10</v>
      </c>
    </row>
    <row r="17" spans="1:45">
      <c r="B17" s="1" t="s">
        <v>783</v>
      </c>
      <c r="C17" s="1">
        <f>M13-M12</f>
        <v>0.29999999999999893</v>
      </c>
      <c r="D17" s="23">
        <v>1</v>
      </c>
      <c r="J17" s="3"/>
      <c r="K17" s="3"/>
      <c r="T17" s="3"/>
      <c r="U17" s="3"/>
      <c r="AD17" s="3"/>
      <c r="AE17" s="3"/>
      <c r="AO17" s="3"/>
      <c r="AP17" s="1"/>
      <c r="AQ17" s="9" t="s">
        <v>0</v>
      </c>
      <c r="AR17" s="23">
        <v>1.2250000000000001</v>
      </c>
      <c r="AS17" s="24" t="s">
        <v>52</v>
      </c>
    </row>
    <row r="18" spans="1:45" ht="20.25" thickBot="1">
      <c r="C18" s="3"/>
      <c r="J18" s="3"/>
      <c r="K18" s="3"/>
      <c r="T18" s="3"/>
      <c r="U18" s="3"/>
      <c r="AD18" s="3"/>
      <c r="AE18" s="3"/>
      <c r="AO18" s="3"/>
      <c r="AP18" s="20" t="s">
        <v>515</v>
      </c>
      <c r="AQ18" s="21" t="s">
        <v>781</v>
      </c>
      <c r="AR18" s="40">
        <v>3.5750000000000002</v>
      </c>
      <c r="AS18" s="27" t="s">
        <v>10</v>
      </c>
    </row>
    <row r="19" spans="1:45" ht="20.25" thickTop="1">
      <c r="B19" s="10" t="s">
        <v>68</v>
      </c>
      <c r="C19" s="10" t="s">
        <v>742</v>
      </c>
      <c r="D19" s="10" t="s">
        <v>70</v>
      </c>
      <c r="E19" s="10" t="s">
        <v>71</v>
      </c>
      <c r="F19" s="26"/>
      <c r="J19" s="3"/>
      <c r="K19" s="3"/>
      <c r="T19" s="3"/>
      <c r="U19" s="3"/>
      <c r="AD19" s="3"/>
      <c r="AE19" s="3"/>
      <c r="AO19" s="3"/>
      <c r="AP19" s="2" t="s">
        <v>561</v>
      </c>
      <c r="AQ19" s="8" t="s">
        <v>779</v>
      </c>
      <c r="AR19" s="2">
        <f>SUM(BE45:BE107)</f>
        <v>2.4810632988445893</v>
      </c>
      <c r="AS19" s="7" t="s">
        <v>10</v>
      </c>
    </row>
    <row r="20" spans="1:45">
      <c r="B20" s="1" t="s">
        <v>784</v>
      </c>
      <c r="C20" s="34">
        <v>0</v>
      </c>
      <c r="D20" s="23">
        <v>1</v>
      </c>
      <c r="E20" s="1" t="s">
        <v>52</v>
      </c>
      <c r="F20" s="26"/>
      <c r="J20" s="3"/>
      <c r="K20" s="3"/>
      <c r="T20" s="3"/>
      <c r="U20" s="3"/>
      <c r="AD20" s="3"/>
      <c r="AE20" s="3"/>
      <c r="AO20" s="3"/>
      <c r="AP20" s="1"/>
      <c r="AQ20" s="9" t="s">
        <v>0</v>
      </c>
      <c r="AR20" s="23">
        <v>1.1399999999999999</v>
      </c>
      <c r="AS20" s="24" t="s">
        <v>52</v>
      </c>
    </row>
    <row r="21" spans="1:45" ht="20.25" thickBot="1">
      <c r="B21" s="1"/>
      <c r="C21" s="34">
        <v>1</v>
      </c>
      <c r="D21" s="23">
        <v>1.0209999999999999</v>
      </c>
      <c r="E21" s="1" t="s">
        <v>52</v>
      </c>
      <c r="F21" s="26"/>
      <c r="J21" s="3"/>
      <c r="K21" s="3"/>
      <c r="T21" s="3"/>
      <c r="U21" s="3"/>
      <c r="AD21" s="3"/>
      <c r="AE21" s="3"/>
      <c r="AO21" s="3"/>
      <c r="AP21" s="20" t="s">
        <v>515</v>
      </c>
      <c r="AQ21" s="20" t="s">
        <v>781</v>
      </c>
      <c r="AR21" s="40">
        <v>2.488</v>
      </c>
      <c r="AS21" s="20" t="s">
        <v>10</v>
      </c>
    </row>
    <row r="22" spans="1:45" ht="20.25" thickTop="1">
      <c r="B22" s="1"/>
      <c r="C22" s="34">
        <v>2</v>
      </c>
      <c r="D22" s="23">
        <v>1.0149999999999999</v>
      </c>
      <c r="E22" s="1" t="s">
        <v>52</v>
      </c>
      <c r="J22" s="3"/>
      <c r="K22" s="3"/>
      <c r="T22" s="3"/>
      <c r="U22" s="3"/>
      <c r="AD22" s="3"/>
      <c r="AE22" s="3"/>
      <c r="AO22" s="3"/>
      <c r="AP22" s="2" t="s">
        <v>562</v>
      </c>
      <c r="AQ22" s="8" t="s">
        <v>779</v>
      </c>
      <c r="AR22" s="2">
        <f>SUM(BF45:BF110)</f>
        <v>1.5257361328689123</v>
      </c>
      <c r="AS22" s="7" t="s">
        <v>10</v>
      </c>
    </row>
    <row r="23" spans="1:45">
      <c r="B23" s="1"/>
      <c r="C23" s="34">
        <v>3</v>
      </c>
      <c r="D23" s="23">
        <v>1</v>
      </c>
      <c r="E23" s="1" t="s">
        <v>52</v>
      </c>
      <c r="J23" s="3"/>
      <c r="K23" s="3"/>
      <c r="T23" s="3"/>
      <c r="U23" s="3"/>
      <c r="AD23" s="3"/>
      <c r="AE23" s="3"/>
      <c r="AO23" s="3"/>
      <c r="AP23" s="1"/>
      <c r="AQ23" s="9" t="s">
        <v>0</v>
      </c>
      <c r="AR23" s="23">
        <v>1</v>
      </c>
      <c r="AS23" s="24" t="s">
        <v>52</v>
      </c>
    </row>
    <row r="24" spans="1:45" ht="20.25" thickBot="1">
      <c r="J24" s="3"/>
      <c r="K24" s="3"/>
      <c r="T24" s="3"/>
      <c r="U24" s="3"/>
      <c r="AD24" s="3"/>
      <c r="AE24" s="3"/>
      <c r="AO24" s="3"/>
      <c r="AP24" s="20" t="s">
        <v>515</v>
      </c>
      <c r="AQ24" s="20" t="s">
        <v>781</v>
      </c>
      <c r="AR24" s="40">
        <v>1.526</v>
      </c>
      <c r="AS24" s="20" t="s">
        <v>10</v>
      </c>
    </row>
    <row r="25" spans="1:45" ht="20.25" thickTop="1">
      <c r="B25" s="18" t="s">
        <v>68</v>
      </c>
      <c r="C25" s="18" t="s">
        <v>69</v>
      </c>
      <c r="D25" s="18" t="s">
        <v>70</v>
      </c>
      <c r="E25" s="137" t="s">
        <v>71</v>
      </c>
      <c r="F25" s="26"/>
      <c r="J25" s="3"/>
      <c r="K25" s="3"/>
      <c r="T25" s="3"/>
      <c r="U25" s="3"/>
      <c r="AD25" s="3"/>
      <c r="AE25" s="3"/>
      <c r="AO25" s="3"/>
      <c r="AP25" s="2" t="s">
        <v>5</v>
      </c>
      <c r="AQ25" s="2" t="s">
        <v>781</v>
      </c>
      <c r="AR25" s="2">
        <f>AR24*2+AR21*2+AR18*2+AR15</f>
        <v>18.401</v>
      </c>
      <c r="AS25" s="2" t="s">
        <v>10</v>
      </c>
    </row>
    <row r="26" spans="1:45">
      <c r="B26" s="1" t="s">
        <v>785</v>
      </c>
      <c r="C26" s="34" t="s">
        <v>786</v>
      </c>
      <c r="D26" s="138">
        <f>2^15-1-1</f>
        <v>32766</v>
      </c>
      <c r="E26" s="9" t="s">
        <v>52</v>
      </c>
      <c r="F26" s="26" t="s">
        <v>785</v>
      </c>
      <c r="J26" s="3"/>
      <c r="K26" s="3"/>
      <c r="T26" s="3"/>
      <c r="U26" s="3"/>
      <c r="AD26" s="3"/>
      <c r="AE26" s="3"/>
      <c r="AO26" s="3"/>
    </row>
    <row r="27" spans="1:45">
      <c r="B27" s="1" t="s">
        <v>174</v>
      </c>
      <c r="C27" s="1" t="s">
        <v>175</v>
      </c>
      <c r="D27" s="1">
        <v>0.14699999999999999</v>
      </c>
      <c r="E27" s="1" t="s">
        <v>176</v>
      </c>
      <c r="J27" s="3"/>
      <c r="K27" s="3"/>
      <c r="T27" s="3"/>
      <c r="U27" s="3"/>
      <c r="AD27" s="3"/>
      <c r="AE27" s="3"/>
      <c r="AO27" s="3"/>
    </row>
    <row r="28" spans="1:45">
      <c r="A28" s="3"/>
      <c r="C28" s="3"/>
      <c r="D28" s="139"/>
      <c r="F28" s="58"/>
      <c r="J28" s="3"/>
      <c r="K28" s="3"/>
      <c r="T28" s="3"/>
      <c r="U28" s="3"/>
      <c r="AD28" s="3"/>
      <c r="AE28" s="3"/>
      <c r="AO28" s="3"/>
    </row>
    <row r="29" spans="1:45">
      <c r="A29" s="3"/>
      <c r="F29" s="136"/>
      <c r="J29" s="3"/>
      <c r="K29" s="3"/>
      <c r="T29" s="3"/>
      <c r="U29" s="3"/>
      <c r="AD29" s="3"/>
      <c r="AE29" s="3"/>
      <c r="AO29" s="3"/>
    </row>
    <row r="30" spans="1:45">
      <c r="A30" s="3"/>
      <c r="B30" s="1" t="s">
        <v>787</v>
      </c>
      <c r="C30" s="1" t="s">
        <v>788</v>
      </c>
      <c r="D30" s="1">
        <v>0.2</v>
      </c>
      <c r="E30" s="1" t="s">
        <v>9</v>
      </c>
      <c r="J30" s="3"/>
      <c r="K30" s="3"/>
      <c r="T30" s="3"/>
      <c r="U30" s="3"/>
      <c r="AD30" s="3"/>
      <c r="AE30" s="3"/>
      <c r="AO30" s="3"/>
    </row>
    <row r="31" spans="1:45">
      <c r="A31" s="3"/>
      <c r="B31" s="1" t="s">
        <v>789</v>
      </c>
      <c r="C31" s="1" t="s">
        <v>52</v>
      </c>
      <c r="D31" s="1">
        <v>0.35</v>
      </c>
      <c r="E31" s="1" t="s">
        <v>52</v>
      </c>
      <c r="J31" s="3"/>
      <c r="K31" s="3"/>
      <c r="T31" s="3"/>
      <c r="U31" s="3"/>
      <c r="AD31" s="3"/>
      <c r="AE31" s="3"/>
      <c r="AO31" s="3"/>
    </row>
    <row r="32" spans="1:45">
      <c r="A32" s="3"/>
      <c r="B32" s="1" t="s">
        <v>790</v>
      </c>
      <c r="C32" s="1" t="s">
        <v>791</v>
      </c>
      <c r="D32" s="1">
        <v>0.93</v>
      </c>
      <c r="E32" s="1" t="s">
        <v>9</v>
      </c>
      <c r="J32" s="3"/>
      <c r="K32" s="3"/>
      <c r="T32" s="3"/>
      <c r="U32" s="3"/>
      <c r="AD32" s="3"/>
      <c r="AE32" s="3"/>
      <c r="AO32" s="3"/>
    </row>
    <row r="33" spans="1:59">
      <c r="A33" s="3"/>
      <c r="B33" s="22" t="s">
        <v>792</v>
      </c>
      <c r="C33" s="22" t="s">
        <v>711</v>
      </c>
      <c r="D33" s="140">
        <v>62</v>
      </c>
      <c r="E33" s="22" t="s">
        <v>52</v>
      </c>
      <c r="F33" s="3" t="s">
        <v>793</v>
      </c>
      <c r="J33" s="3"/>
      <c r="K33" s="3"/>
      <c r="T33" s="3"/>
      <c r="U33" s="3"/>
      <c r="AD33" s="3"/>
      <c r="AE33" s="3"/>
      <c r="AO33" s="3"/>
    </row>
    <row r="34" spans="1:59">
      <c r="A34" s="3"/>
      <c r="B34" s="1" t="s">
        <v>794</v>
      </c>
      <c r="C34" s="1" t="s">
        <v>52</v>
      </c>
      <c r="D34" s="1">
        <v>14.054431465019141</v>
      </c>
      <c r="E34" s="1" t="s">
        <v>178</v>
      </c>
      <c r="F34" s="3" t="s">
        <v>795</v>
      </c>
      <c r="J34" s="3"/>
      <c r="K34" s="3"/>
      <c r="T34" s="3"/>
      <c r="U34" s="3"/>
      <c r="AD34" s="3"/>
      <c r="AE34" s="3"/>
      <c r="AO34" s="3"/>
    </row>
    <row r="35" spans="1:59">
      <c r="A35" s="3"/>
      <c r="B35" s="1" t="s">
        <v>796</v>
      </c>
      <c r="C35" s="1" t="s">
        <v>52</v>
      </c>
      <c r="D35" s="1">
        <v>13.132265806052354</v>
      </c>
      <c r="E35" s="1" t="s">
        <v>178</v>
      </c>
      <c r="J35" s="3"/>
      <c r="K35" s="3"/>
      <c r="T35" s="3"/>
      <c r="U35" s="3"/>
      <c r="AD35" s="3"/>
      <c r="AE35" s="3"/>
      <c r="AO35" s="3"/>
    </row>
    <row r="36" spans="1:59">
      <c r="A36" s="3"/>
      <c r="C36" s="3"/>
      <c r="J36" s="3"/>
      <c r="K36" s="3"/>
      <c r="T36" s="3"/>
      <c r="U36" s="3"/>
      <c r="AD36" s="3"/>
      <c r="AE36" s="3"/>
      <c r="AO36" s="3"/>
    </row>
    <row r="37" spans="1:59">
      <c r="C37" s="3"/>
      <c r="J37" s="3"/>
      <c r="K37" s="3"/>
      <c r="T37" s="3"/>
      <c r="U37" s="3"/>
      <c r="AD37" s="3"/>
      <c r="AE37" s="3"/>
      <c r="AO37" s="3"/>
    </row>
    <row r="38" spans="1:59">
      <c r="C38" s="3"/>
      <c r="J38" s="3"/>
      <c r="K38" s="3"/>
      <c r="T38" s="3"/>
      <c r="U38" s="3"/>
      <c r="AD38" s="3"/>
      <c r="AE38" s="3"/>
      <c r="AO38" s="3"/>
    </row>
    <row r="39" spans="1:59" s="84" customFormat="1" ht="20.25" thickBot="1">
      <c r="A39" s="83"/>
      <c r="AN39" s="85"/>
      <c r="AX39" s="85"/>
    </row>
    <row r="40" spans="1:59">
      <c r="A40" s="3"/>
      <c r="C40" s="3"/>
      <c r="J40" s="3"/>
      <c r="K40" s="3"/>
      <c r="T40" s="3"/>
      <c r="U40" s="3"/>
      <c r="AD40" s="3"/>
      <c r="AE40" s="3"/>
      <c r="AN40" s="3"/>
      <c r="AO40" s="3"/>
      <c r="AX40" s="3"/>
    </row>
    <row r="41" spans="1:59">
      <c r="C41" s="3"/>
      <c r="J41" s="3"/>
      <c r="K41" s="3"/>
      <c r="T41" s="3" t="s">
        <v>559</v>
      </c>
      <c r="U41" s="3"/>
      <c r="X41" s="3" t="s">
        <v>560</v>
      </c>
      <c r="AB41" s="3" t="s">
        <v>561</v>
      </c>
      <c r="AD41" s="3"/>
      <c r="AE41" s="3"/>
      <c r="AF41" s="3" t="s">
        <v>562</v>
      </c>
      <c r="AH41" s="3" t="s">
        <v>797</v>
      </c>
      <c r="AI41" s="3" t="s">
        <v>122</v>
      </c>
      <c r="AJ41" s="3" t="s">
        <v>798</v>
      </c>
      <c r="AN41" s="3"/>
      <c r="AO41" s="3"/>
      <c r="AP41" s="3" t="s">
        <v>799</v>
      </c>
      <c r="AU41" s="3" t="s">
        <v>800</v>
      </c>
      <c r="AX41" s="41"/>
      <c r="AY41" s="3" t="s">
        <v>551</v>
      </c>
      <c r="BC41" s="3" t="s">
        <v>25</v>
      </c>
      <c r="BG41" s="3" t="s">
        <v>5</v>
      </c>
    </row>
    <row r="42" spans="1:59">
      <c r="B42" s="10" t="s">
        <v>508</v>
      </c>
      <c r="C42" s="10" t="s">
        <v>923</v>
      </c>
      <c r="D42" s="10" t="s">
        <v>801</v>
      </c>
      <c r="E42" s="10" t="s">
        <v>924</v>
      </c>
      <c r="F42" s="10" t="s">
        <v>802</v>
      </c>
      <c r="G42" s="10" t="s">
        <v>803</v>
      </c>
      <c r="H42" s="10" t="s">
        <v>804</v>
      </c>
      <c r="I42" s="10" t="s">
        <v>805</v>
      </c>
      <c r="J42" s="10" t="s">
        <v>806</v>
      </c>
      <c r="K42" s="10"/>
      <c r="L42" s="10" t="s">
        <v>807</v>
      </c>
      <c r="M42" s="10" t="s">
        <v>800</v>
      </c>
      <c r="N42" s="10" t="s">
        <v>808</v>
      </c>
      <c r="O42" s="10" t="s">
        <v>809</v>
      </c>
      <c r="P42" s="10" t="s">
        <v>126</v>
      </c>
      <c r="Q42" s="10" t="s">
        <v>745</v>
      </c>
      <c r="R42" s="10" t="s">
        <v>810</v>
      </c>
      <c r="S42" s="10" t="s">
        <v>811</v>
      </c>
      <c r="T42" s="10" t="s">
        <v>748</v>
      </c>
      <c r="U42" s="10" t="s">
        <v>749</v>
      </c>
      <c r="V42" s="10" t="s">
        <v>750</v>
      </c>
      <c r="W42" s="10" t="s">
        <v>751</v>
      </c>
      <c r="X42" s="10" t="s">
        <v>748</v>
      </c>
      <c r="Y42" s="10" t="s">
        <v>749</v>
      </c>
      <c r="Z42" s="10" t="s">
        <v>750</v>
      </c>
      <c r="AA42" s="10" t="s">
        <v>751</v>
      </c>
      <c r="AB42" s="10" t="s">
        <v>748</v>
      </c>
      <c r="AC42" s="10" t="s">
        <v>749</v>
      </c>
      <c r="AD42" s="10" t="s">
        <v>750</v>
      </c>
      <c r="AE42" s="10" t="s">
        <v>751</v>
      </c>
      <c r="AF42" s="10" t="s">
        <v>748</v>
      </c>
      <c r="AG42" s="10" t="s">
        <v>749</v>
      </c>
      <c r="AH42" s="10" t="s">
        <v>750</v>
      </c>
      <c r="AI42" s="10" t="s">
        <v>751</v>
      </c>
      <c r="AJ42" s="10" t="s">
        <v>925</v>
      </c>
      <c r="AK42" s="10" t="s">
        <v>926</v>
      </c>
      <c r="AL42" s="10" t="s">
        <v>927</v>
      </c>
      <c r="AM42" s="29" t="s">
        <v>182</v>
      </c>
      <c r="AN42" s="30"/>
      <c r="AO42" s="10" t="s">
        <v>812</v>
      </c>
      <c r="AP42" s="135" t="s">
        <v>813</v>
      </c>
      <c r="AQ42" s="135" t="s">
        <v>814</v>
      </c>
      <c r="AR42" s="135" t="s">
        <v>815</v>
      </c>
      <c r="AS42" s="135" t="s">
        <v>747</v>
      </c>
      <c r="AT42" s="135" t="s">
        <v>816</v>
      </c>
      <c r="AU42" s="135" t="s">
        <v>559</v>
      </c>
      <c r="AV42" s="135" t="s">
        <v>560</v>
      </c>
      <c r="AW42" s="135" t="s">
        <v>561</v>
      </c>
      <c r="AX42" s="141" t="s">
        <v>562</v>
      </c>
      <c r="AY42" s="135" t="s">
        <v>559</v>
      </c>
      <c r="AZ42" s="135" t="s">
        <v>560</v>
      </c>
      <c r="BA42" s="135" t="s">
        <v>561</v>
      </c>
      <c r="BB42" s="135" t="s">
        <v>562</v>
      </c>
      <c r="BC42" s="135" t="s">
        <v>559</v>
      </c>
      <c r="BD42" s="135" t="s">
        <v>560</v>
      </c>
      <c r="BE42" s="135" t="s">
        <v>561</v>
      </c>
      <c r="BF42" s="135" t="s">
        <v>562</v>
      </c>
      <c r="BG42" s="135" t="s">
        <v>25</v>
      </c>
    </row>
    <row r="43" spans="1:59">
      <c r="B43" s="1" t="s">
        <v>171</v>
      </c>
      <c r="C43" s="1" t="s">
        <v>843</v>
      </c>
      <c r="D43" s="1" t="s">
        <v>51</v>
      </c>
      <c r="E43" s="2" t="s">
        <v>51</v>
      </c>
      <c r="F43" s="1" t="s">
        <v>760</v>
      </c>
      <c r="G43" s="1" t="s">
        <v>761</v>
      </c>
      <c r="H43" s="1" t="s">
        <v>762</v>
      </c>
      <c r="I43" s="1" t="s">
        <v>759</v>
      </c>
      <c r="J43" s="1" t="s">
        <v>817</v>
      </c>
      <c r="K43" s="1" t="s">
        <v>818</v>
      </c>
      <c r="L43" s="1" t="s">
        <v>819</v>
      </c>
      <c r="M43" s="1" t="s">
        <v>820</v>
      </c>
      <c r="N43" s="1" t="s">
        <v>821</v>
      </c>
      <c r="O43" s="1" t="s">
        <v>528</v>
      </c>
      <c r="P43" s="1" t="s">
        <v>754</v>
      </c>
      <c r="Q43" s="1" t="s">
        <v>649</v>
      </c>
      <c r="R43" s="1" t="s">
        <v>822</v>
      </c>
      <c r="S43" s="1" t="s">
        <v>823</v>
      </c>
      <c r="T43" s="1" t="s">
        <v>760</v>
      </c>
      <c r="U43" s="1" t="s">
        <v>761</v>
      </c>
      <c r="V43" s="1" t="s">
        <v>762</v>
      </c>
      <c r="W43" s="1" t="s">
        <v>759</v>
      </c>
      <c r="X43" s="1" t="s">
        <v>760</v>
      </c>
      <c r="Y43" s="1" t="s">
        <v>761</v>
      </c>
      <c r="Z43" s="1" t="s">
        <v>762</v>
      </c>
      <c r="AA43" s="1" t="s">
        <v>759</v>
      </c>
      <c r="AB43" s="1" t="s">
        <v>760</v>
      </c>
      <c r="AC43" s="1" t="s">
        <v>761</v>
      </c>
      <c r="AD43" s="1" t="s">
        <v>762</v>
      </c>
      <c r="AE43" s="1" t="s">
        <v>759</v>
      </c>
      <c r="AF43" s="1" t="s">
        <v>760</v>
      </c>
      <c r="AG43" s="1" t="s">
        <v>761</v>
      </c>
      <c r="AH43" s="1" t="s">
        <v>762</v>
      </c>
      <c r="AI43" s="1" t="s">
        <v>759</v>
      </c>
      <c r="AJ43" s="1" t="s">
        <v>51</v>
      </c>
      <c r="AK43" s="1" t="s">
        <v>51</v>
      </c>
      <c r="AL43" s="1" t="s">
        <v>928</v>
      </c>
      <c r="AM43" s="1" t="s">
        <v>52</v>
      </c>
      <c r="AN43" s="1" t="s">
        <v>52</v>
      </c>
      <c r="AO43" s="1" t="s">
        <v>52</v>
      </c>
      <c r="AP43" s="1" t="s">
        <v>824</v>
      </c>
      <c r="AQ43" s="1" t="s">
        <v>27</v>
      </c>
      <c r="AR43" s="1" t="s">
        <v>825</v>
      </c>
      <c r="AS43" s="1" t="s">
        <v>647</v>
      </c>
      <c r="AT43" s="1" t="s">
        <v>826</v>
      </c>
      <c r="AU43" s="1" t="s">
        <v>52</v>
      </c>
      <c r="AV43" s="1" t="s">
        <v>52</v>
      </c>
      <c r="AW43" s="1" t="s">
        <v>52</v>
      </c>
      <c r="AX43" s="1" t="s">
        <v>52</v>
      </c>
      <c r="AY43" s="1" t="s">
        <v>52</v>
      </c>
      <c r="AZ43" s="1" t="s">
        <v>52</v>
      </c>
      <c r="BA43" s="1" t="s">
        <v>52</v>
      </c>
      <c r="BB43" s="1" t="s">
        <v>52</v>
      </c>
      <c r="BC43" s="1" t="s">
        <v>52</v>
      </c>
      <c r="BD43" s="1" t="s">
        <v>52</v>
      </c>
      <c r="BE43" s="1" t="s">
        <v>52</v>
      </c>
      <c r="BF43" s="1" t="s">
        <v>52</v>
      </c>
      <c r="BG43" s="1" t="s">
        <v>52</v>
      </c>
    </row>
    <row r="44" spans="1:59" ht="20.25" thickBot="1">
      <c r="B44" s="20" t="s">
        <v>173</v>
      </c>
      <c r="C44" s="20" t="s">
        <v>51</v>
      </c>
      <c r="D44" s="20" t="s">
        <v>51</v>
      </c>
      <c r="E44" s="20" t="s">
        <v>43</v>
      </c>
      <c r="F44" s="20" t="s">
        <v>766</v>
      </c>
      <c r="G44" s="20" t="s">
        <v>766</v>
      </c>
      <c r="H44" s="20" t="s">
        <v>766</v>
      </c>
      <c r="I44" s="20" t="s">
        <v>766</v>
      </c>
      <c r="J44" s="20" t="s">
        <v>827</v>
      </c>
      <c r="K44" s="20" t="s">
        <v>827</v>
      </c>
      <c r="L44" s="20" t="s">
        <v>827</v>
      </c>
      <c r="M44" s="20" t="s">
        <v>828</v>
      </c>
      <c r="N44" s="20" t="s">
        <v>829</v>
      </c>
      <c r="O44" s="20" t="s">
        <v>766</v>
      </c>
      <c r="P44" s="20" t="s">
        <v>125</v>
      </c>
      <c r="Q44" s="20" t="s">
        <v>125</v>
      </c>
      <c r="R44" s="20" t="s">
        <v>830</v>
      </c>
      <c r="S44" s="20" t="s">
        <v>830</v>
      </c>
      <c r="T44" s="20" t="s">
        <v>766</v>
      </c>
      <c r="U44" s="20" t="s">
        <v>766</v>
      </c>
      <c r="V44" s="20" t="s">
        <v>766</v>
      </c>
      <c r="W44" s="20" t="s">
        <v>766</v>
      </c>
      <c r="X44" s="20" t="s">
        <v>766</v>
      </c>
      <c r="Y44" s="20" t="s">
        <v>766</v>
      </c>
      <c r="Z44" s="20" t="s">
        <v>766</v>
      </c>
      <c r="AA44" s="20" t="s">
        <v>766</v>
      </c>
      <c r="AB44" s="20" t="s">
        <v>766</v>
      </c>
      <c r="AC44" s="20" t="s">
        <v>766</v>
      </c>
      <c r="AD44" s="20" t="s">
        <v>766</v>
      </c>
      <c r="AE44" s="20" t="s">
        <v>766</v>
      </c>
      <c r="AF44" s="20" t="s">
        <v>766</v>
      </c>
      <c r="AG44" s="20" t="s">
        <v>766</v>
      </c>
      <c r="AH44" s="20" t="s">
        <v>766</v>
      </c>
      <c r="AI44" s="20" t="s">
        <v>766</v>
      </c>
      <c r="AJ44" s="20" t="s">
        <v>51</v>
      </c>
      <c r="AK44" s="20" t="s">
        <v>51</v>
      </c>
      <c r="AL44" s="20" t="s">
        <v>43</v>
      </c>
      <c r="AM44" s="20" t="s">
        <v>178</v>
      </c>
      <c r="AN44" s="20" t="s">
        <v>766</v>
      </c>
      <c r="AO44" s="20" t="s">
        <v>766</v>
      </c>
      <c r="AP44" s="20" t="s">
        <v>765</v>
      </c>
      <c r="AQ44" s="20" t="s">
        <v>831</v>
      </c>
      <c r="AR44" s="20" t="s">
        <v>832</v>
      </c>
      <c r="AS44" s="20" t="s">
        <v>765</v>
      </c>
      <c r="AT44" s="20" t="s">
        <v>52</v>
      </c>
      <c r="AU44" s="20" t="s">
        <v>828</v>
      </c>
      <c r="AV44" s="20" t="s">
        <v>833</v>
      </c>
      <c r="AW44" s="20" t="s">
        <v>834</v>
      </c>
      <c r="AX44" s="20" t="s">
        <v>834</v>
      </c>
      <c r="AY44" s="20" t="s">
        <v>552</v>
      </c>
      <c r="AZ44" s="20" t="s">
        <v>552</v>
      </c>
      <c r="BA44" s="20" t="s">
        <v>552</v>
      </c>
      <c r="BB44" s="20" t="s">
        <v>552</v>
      </c>
      <c r="BC44" s="20" t="s">
        <v>10</v>
      </c>
      <c r="BD44" s="20" t="s">
        <v>10</v>
      </c>
      <c r="BE44" s="20" t="s">
        <v>10</v>
      </c>
      <c r="BF44" s="20" t="s">
        <v>10</v>
      </c>
      <c r="BG44" s="20" t="s">
        <v>10</v>
      </c>
    </row>
    <row r="45" spans="1:59" ht="20.25" thickTop="1">
      <c r="B45" s="2" t="s">
        <v>172</v>
      </c>
      <c r="C45" s="142">
        <v>0</v>
      </c>
      <c r="D45" s="143" t="str">
        <f>IF(E45&lt;$M$8,"0",IF(E45&lt;$M$9,"0-1接合",IF(E45&lt;$M$10,"1",IF(E45&lt;$M$11,"1-2接合",IF(E45&lt;$M$12,"2",IF(E45&lt;$M$13,"2-3接合",3))))))</f>
        <v>0</v>
      </c>
      <c r="E45" s="2">
        <v>0</v>
      </c>
      <c r="F45" s="2">
        <f>MAX(T45,X45,AB45,AF45)/2</f>
        <v>57.204999999999998</v>
      </c>
      <c r="G45" s="2">
        <f>MAX(U45,Y45,AC45,AG45)/2</f>
        <v>57.204999999999998</v>
      </c>
      <c r="H45" s="2">
        <f>MIN(V45,Z45,AD45,AH45)/2</f>
        <v>55</v>
      </c>
      <c r="I45" s="2">
        <f>MIN(W45,AA45,AE45,AI45)/2</f>
        <v>55</v>
      </c>
      <c r="J45" s="144">
        <v>1223258.8429292084</v>
      </c>
      <c r="K45" s="144">
        <v>1223258.8429292138</v>
      </c>
      <c r="L45" s="144">
        <v>2446517.6881359117</v>
      </c>
      <c r="M45" s="145">
        <v>777.2915219283542</v>
      </c>
      <c r="N45" s="145">
        <v>9888.1330516786184</v>
      </c>
      <c r="O45" s="146">
        <v>352.5131618722744</v>
      </c>
      <c r="P45" s="1">
        <f>IF(E45&lt;$M$8,$G$6,IF(E45&lt;$M$9,($G$6+$G$8)/2,IF(E45&lt;$M$10,$G$8,IF(E45&lt;$M$11,($G$8+$G$9)/2,IF(E45&lt;$M$12,$G$9,IF(E45&lt;$M$13,($G$9+$G$10)/2,IF(E45&lt;$M$14,G9)))))))</f>
        <v>128.55212654337893</v>
      </c>
      <c r="Q45" s="2">
        <f>IF(E45&lt;$M$8,$H$6,IF(E45&lt;$M$9,($H$6+$H$8)/2,IF(E45&lt;$M$10,$H$8,IF(E45&lt;$M$11,($H$8+$H$9)/2,IF(E45&lt;$M$12,$H$9,IF(E45&lt;$M$13,($H$9+$H$10)/2,IF(E45&lt;$M$14,$H$10)))))))</f>
        <v>16.303408580287435</v>
      </c>
      <c r="R45" s="32">
        <f>P45*(10^9)*J45*(10^-12)</f>
        <v>157252.52557154291</v>
      </c>
      <c r="S45" s="147">
        <f>Q45*(10^9)*L45*(10^-12)</f>
        <v>39886.577468579999</v>
      </c>
      <c r="T45" s="2">
        <f>IF(V45="","",V45+2*$D$27*$C$6)</f>
        <v>114.41</v>
      </c>
      <c r="U45" s="2">
        <f>IF(W45="","",W45+2*$D$27*$D$6)</f>
        <v>114.41</v>
      </c>
      <c r="V45" s="2">
        <f>IF(E45&lt;$M$7,$AD$6*E45+$AE$6,IF(E45&lt;$M$8,$AD$7*E45+$AE$7,IF(E45&lt;$M$9,$AD$8*E45+$AE$8,"")))</f>
        <v>110</v>
      </c>
      <c r="W45" s="2">
        <f>IF(V45="","",V45*$D$20)</f>
        <v>110</v>
      </c>
      <c r="X45" s="2" t="str">
        <f>IF(Z45="","",Z45+2*$D$27*$C$8)</f>
        <v/>
      </c>
      <c r="Y45" s="2" t="str">
        <f>IF(AA45="","",AA45+2*$D$27*$D$8)</f>
        <v/>
      </c>
      <c r="Z45" s="2" t="str">
        <f>IF(E45&lt;$M$8,"",IF(E45&lt;$M$9,$AF$8*E45+$AG$8,IF(E45&lt;$M$10,$AF$9*E45+$AG$9,IF(E45&lt;$M$11,$AF$10*E45+$AG$10,""))))</f>
        <v/>
      </c>
      <c r="AA45" s="1" t="str">
        <f>IF(Z45="","",Z45*$D$21)</f>
        <v/>
      </c>
      <c r="AB45" s="2" t="str">
        <f>IF(AD45="","",AD45+2*$D$27*$C$9)</f>
        <v/>
      </c>
      <c r="AC45" s="2" t="str">
        <f>IF(AE45="","",AE45+2*$D$27*$D$9)</f>
        <v/>
      </c>
      <c r="AD45" s="2" t="str">
        <f>IF(E45&lt;$M$10,"",IF(E45&lt;$M$11,$AH$10*E45+$AI$10,IF(E45&lt;$M$12,$AH$11*E45+$AI$11,IF(E45&lt;$M$13,$AH$12*E45+$AI$12,""))))</f>
        <v/>
      </c>
      <c r="AE45" s="2" t="str">
        <f>IF(AD45="","",AD45*$D$22)</f>
        <v/>
      </c>
      <c r="AF45" s="2"/>
      <c r="AG45" s="2"/>
      <c r="AH45" s="2" t="str">
        <f>IF(E45&lt;$M$12,"",IF(E45&lt;$M$13,$AJ$12*E45+$AK$12,IF(E45&lt;=$M$14,$AJ$13*E45+$AK$13,"")))</f>
        <v/>
      </c>
      <c r="AI45" s="1" t="str">
        <f>IF(AH45="","",AH45*$D$23)</f>
        <v/>
      </c>
      <c r="AJ45" s="2">
        <v>1</v>
      </c>
      <c r="AK45" s="2">
        <v>0</v>
      </c>
      <c r="AL45" s="2">
        <v>0.93</v>
      </c>
      <c r="AM45" s="2">
        <f>AJ45*$D$34+AK45*$D$35</f>
        <v>14.054431465019141</v>
      </c>
      <c r="AN45" s="2">
        <f>AL45*(AM45/100)*1000</f>
        <v>130.70621262467802</v>
      </c>
      <c r="AO45" s="2">
        <f>AN45-F45*2</f>
        <v>16.29621262467802</v>
      </c>
      <c r="AP45" s="142">
        <f>IF(E45&lt;$M$8,$J$6,IF(E45&lt;$M$9,($J$6+$J$8)/2,IF(E45&lt;$M$10,$J$8,IF(E45&lt;$M$11,($J$8+$J$9)/2,$J$9))))</f>
        <v>-1041.8410000000001</v>
      </c>
      <c r="AQ45" s="142">
        <v>1979699.8062987656</v>
      </c>
      <c r="AR45" s="142">
        <f>-AQ45*AVERAGE(F45,H45)/J45</f>
        <v>-90.795263018020165</v>
      </c>
      <c r="AS45" s="142">
        <f>AR45*(F45-H45)</f>
        <v>-200.2035549547343</v>
      </c>
      <c r="AT45" s="2">
        <f>AP45/AS45</f>
        <v>5.2039085931094418</v>
      </c>
      <c r="AU45" s="2">
        <f>IF(T45="","",PI()*(T45*U45-V45*W45)/4)</f>
        <v>777.26780014977305</v>
      </c>
      <c r="AV45" s="2" t="str">
        <f>IF(X45="","",PI()*(X45*Y45-Z45*AA45)/4)</f>
        <v/>
      </c>
      <c r="AW45" s="2" t="str">
        <f>IF(AB45="","",PI()*(AB45*AC45-AD45*AE45)/4)</f>
        <v/>
      </c>
      <c r="AX45" s="2" t="str">
        <f>IF(AF45="","",PI()*(AF45*AG45-AH45*AI45)/4)</f>
        <v/>
      </c>
      <c r="AY45" s="2">
        <f>IF(E45&lt;$M$9,AVERAGE(AU45:AU46)*(10^-6)*(E46-E45),"")</f>
        <v>1.5545356002995462E-4</v>
      </c>
      <c r="AZ45" s="2" t="str">
        <f>IF(AND(E45&lt;$M$11,E45&gt;$M$8),AVERAGE(AV46,AV45)*(10^-6)*(E46-E45),"")</f>
        <v/>
      </c>
      <c r="BA45" s="2" t="str">
        <f>IF(AND(E45&lt;$M$13,E45&gt;$M$10),AVERAGE(AW45:AW46)*(10^-6)*(E46-E45),"")</f>
        <v/>
      </c>
      <c r="BB45" s="2" t="str">
        <f>IF(AND(E45&lt;$M$14,E45&gt;$M$12),AVERAGE(AX45:AX46)*(10^-6)*(E46-E45),"")</f>
        <v/>
      </c>
      <c r="BC45" s="2">
        <f>IF(AY45="","",AY45*$AR$4*$AR$14)</f>
        <v>0.17908250115450772</v>
      </c>
      <c r="BD45" s="2" t="str">
        <f>IF(AZ45="","",AZ45*$AR$4*$AR$17)</f>
        <v/>
      </c>
      <c r="BE45" s="2" t="str">
        <f>IF(BA45="","",BA45*$AR$4*$AR$20)</f>
        <v/>
      </c>
      <c r="BF45" s="2" t="str">
        <f>IF(BB45="","",BB45*$AR$4*$AR$23)</f>
        <v/>
      </c>
      <c r="BG45" s="2">
        <f>SUM(BC45:BF45)</f>
        <v>0.17908250115450772</v>
      </c>
    </row>
    <row r="46" spans="1:59">
      <c r="B46" s="1"/>
      <c r="C46" s="34">
        <v>1</v>
      </c>
      <c r="D46" s="148" t="str">
        <f>IF(E46&lt;$M$8,"0",IF(E46&lt;$M$9,"0-1接合",IF(E46&lt;$M$10,"1",IF(E46&lt;$M$11,"1-2接合",IF(E46&lt;$M$12,"2",IF(E46&lt;$M$13,"2-3接合",3))))))</f>
        <v>0</v>
      </c>
      <c r="E46" s="2">
        <v>0.2</v>
      </c>
      <c r="F46" s="1">
        <f>MAX(T46,X46,AB46,AF46)/2</f>
        <v>57.204999999999998</v>
      </c>
      <c r="G46" s="1">
        <f>MAX(U46,Y46,AC46,AG46)/2</f>
        <v>57.204999999999998</v>
      </c>
      <c r="H46" s="1">
        <f>MIN(V46,Z46,AD46,AH46)/2</f>
        <v>55</v>
      </c>
      <c r="I46" s="1">
        <f>MIN(W46,AA46,AE46,AI46)/2</f>
        <v>55</v>
      </c>
      <c r="J46" s="149">
        <v>1223258.8429292084</v>
      </c>
      <c r="K46" s="149">
        <v>1223258.8429292138</v>
      </c>
      <c r="L46" s="149">
        <v>2446517.6881359117</v>
      </c>
      <c r="M46" s="138">
        <v>777.2915219283542</v>
      </c>
      <c r="N46" s="138">
        <v>9888.1330516786184</v>
      </c>
      <c r="O46" s="103">
        <v>352.5131618722744</v>
      </c>
      <c r="P46" s="1">
        <f>IF(E46&lt;$M$8,$G$6,IF(E46&lt;$M$9,($G$6+$G$8)/2,IF(E46&lt;$M$10,$G$8,IF(E46&lt;$M$11,($G$8+$G$9)/2,IF(E46&lt;$M$12,$G$9,IF(E46&lt;$M$13,($G$9+$G$10)/2,IF(E46&lt;$M$14,G10)))))))</f>
        <v>128.55212654337893</v>
      </c>
      <c r="Q46" s="2">
        <f>IF(E46&lt;$M$8,$H$6,IF(E46&lt;$M$9,($H$6+$H$8)/2,IF(E46&lt;$M$10,$H$8,IF(E46&lt;$M$11,($H$8+$H$9)/2,IF(E46&lt;$M$12,$H$9,IF(E46&lt;$M$13,($H$9+$H$10)/2,IF(E46&lt;$M$14,$H$10)))))))</f>
        <v>16.303408580287435</v>
      </c>
      <c r="R46" s="32">
        <f>P46*(10^9)*J46*(10^-12)</f>
        <v>157252.52557154291</v>
      </c>
      <c r="S46" s="147">
        <f>Q46*(10^9)*L46*(10^-12)</f>
        <v>39886.577468579999</v>
      </c>
      <c r="T46" s="1">
        <f>IF(V46="","",V46+2*$D$27*$C$6)</f>
        <v>114.41</v>
      </c>
      <c r="U46" s="1">
        <f>IF(W46="","",W46+2*$D$27*$D$6)</f>
        <v>114.41</v>
      </c>
      <c r="V46" s="1">
        <f>IF(E46&lt;$M$7,$AD$6*E46+$AE$6,IF(E46&lt;$M$8,$AD$7*E46+$AE$7,IF(E46&lt;$M$9,$AD$8*E46+$AE$8,"")))</f>
        <v>110</v>
      </c>
      <c r="W46" s="1">
        <f>IF(V46="","",V46*$D$20)</f>
        <v>110</v>
      </c>
      <c r="X46" s="1" t="str">
        <f>IF(Z46="","",Z46+2*$D$27*$C$8)</f>
        <v/>
      </c>
      <c r="Y46" s="1" t="str">
        <f>IF(AA46="","",AA46+2*$D$27*$D$8)</f>
        <v/>
      </c>
      <c r="Z46" s="1" t="str">
        <f>IF(E46&lt;$M$8,"",IF(E46&lt;$M$9,$AF$8*E46+$AG$8,IF(E46&lt;$M$10,$AF$9*E46+$AG$9,IF(E46&lt;$M$11,$AF$10*E46+$AG$10,""))))</f>
        <v/>
      </c>
      <c r="AA46" s="1" t="str">
        <f>IF(Z46="","",Z46*$D$21)</f>
        <v/>
      </c>
      <c r="AB46" s="1" t="str">
        <f>IF(AD46="","",AD46+2*$D$27*$C$9)</f>
        <v/>
      </c>
      <c r="AC46" s="1" t="str">
        <f>IF(AE46="","",AE46+2*$D$27*$D$9)</f>
        <v/>
      </c>
      <c r="AD46" s="1" t="str">
        <f>IF(E46&lt;$M$10,"",IF(E46&lt;$M$11,$AH$10*E46+$AI$10,IF(E46&lt;$M$12,$AH$11*E46+$AI$11,IF(E46&lt;$M$13,$AH$12*E46+$AI$12,""))))</f>
        <v/>
      </c>
      <c r="AE46" s="2" t="str">
        <f>IF(AD46="","",AD46*$D$22)</f>
        <v/>
      </c>
      <c r="AF46" s="1" t="str">
        <f>IF(AH46="","",AH46+2*$D$27*$C$9)</f>
        <v/>
      </c>
      <c r="AG46" s="1" t="str">
        <f>IF(AH46="","",AI46+2*$D$27*$D$9)</f>
        <v/>
      </c>
      <c r="AH46" s="2" t="str">
        <f>IF(E46&lt;$M$12,"",IF(E46&lt;$M$13,$AJ$12*E46+$AK$12,IF(E46&lt;=$M$14,$AJ$13*E46+$AK$13,"")))</f>
        <v/>
      </c>
      <c r="AI46" s="1" t="str">
        <f>IF(AH46="","",AH46*$D$23)</f>
        <v/>
      </c>
      <c r="AJ46" s="1">
        <v>1</v>
      </c>
      <c r="AK46" s="1">
        <v>0</v>
      </c>
      <c r="AL46" s="1">
        <v>0.93</v>
      </c>
      <c r="AM46" s="2">
        <f>AJ46*$D$34+AK46*$D$35</f>
        <v>14.054431465019141</v>
      </c>
      <c r="AN46" s="1">
        <f>AL46*(AM46/100)*1000</f>
        <v>130.70621262467802</v>
      </c>
      <c r="AO46" s="1">
        <f>AN46-F46*2</f>
        <v>16.29621262467802</v>
      </c>
      <c r="AP46" s="34">
        <f>IF(E46&lt;$M$8,$J$6,IF(E46&lt;$M$9,($J$6+$J$8)/2,IF(E46&lt;$M$10,$J$8,IF(E46&lt;$M$11,($J$8+$J$9)/2,$J$9))))</f>
        <v>-1041.8410000000001</v>
      </c>
      <c r="AQ46" s="34">
        <v>1904720.6674439849</v>
      </c>
      <c r="AR46" s="34">
        <f>-AQ46*AVERAGE(F46,H46)/J46</f>
        <v>-87.356483758899955</v>
      </c>
      <c r="AS46" s="34">
        <f>AR46*(F46-H46)</f>
        <v>-192.62104668837426</v>
      </c>
      <c r="AT46" s="1">
        <f>AP46/AS46</f>
        <v>5.4087599351773274</v>
      </c>
      <c r="AU46" s="1">
        <f>IF(T46="","",PI()*(T46*U46-V46*W46)/4)</f>
        <v>777.26780014977305</v>
      </c>
      <c r="AV46" s="1" t="str">
        <f>IF(X46="","",PI()*(X46*Y46-Z46*AA46)/4)</f>
        <v/>
      </c>
      <c r="AW46" s="1" t="str">
        <f>IF(AB46="","",PI()*(AB46*AC46-AD46*AE46)/4)</f>
        <v/>
      </c>
      <c r="AX46" s="2" t="str">
        <f>IF(AF46="","",PI()*(AF46*AG46-AH46*AI46)/4)</f>
        <v/>
      </c>
      <c r="AY46" s="1">
        <f>IF(E46&lt;$M$9,AVERAGE(AU46:AU47)*(10^-6)*(E47-E46),"")</f>
        <v>1.5545356002995462E-4</v>
      </c>
      <c r="AZ46" s="1" t="str">
        <f>IF(AND(E46&lt;$M$11,E46&gt;$M$8),AVERAGE(AV47,AV46)*(10^-6)*(E47-E46),"")</f>
        <v/>
      </c>
      <c r="BA46" s="1" t="str">
        <f>IF(AND(E46&lt;$M$13,E46&gt;$M$10),AVERAGE(AW46:AW47)*(10^-6)*(E47-E46),"")</f>
        <v/>
      </c>
      <c r="BB46" s="2" t="str">
        <f>IF(AND(E46&lt;$M$14,E46&gt;$M$12),AVERAGE(AX46:AX47)*(10^-6)*(E47-E46),"")</f>
        <v/>
      </c>
      <c r="BC46" s="1">
        <f>IF(AY46="","",AY46*$AR$4*$AR$14)</f>
        <v>0.17908250115450772</v>
      </c>
      <c r="BD46" s="1" t="str">
        <f>IF(AZ46="","",AZ46*$AR$4*$AR$17)</f>
        <v/>
      </c>
      <c r="BE46" s="1" t="str">
        <f>IF(BA46="","",BA46*$AR$4*$AR$20)</f>
        <v/>
      </c>
      <c r="BF46" s="2" t="str">
        <f>IF(BB46="","",BB46*$AR$4*$AR$23)</f>
        <v/>
      </c>
      <c r="BG46" s="2">
        <f>SUM(BC46:BF46)</f>
        <v>0.17908250115450772</v>
      </c>
    </row>
    <row r="47" spans="1:59">
      <c r="B47" s="1"/>
      <c r="C47" s="34">
        <v>2</v>
      </c>
      <c r="D47" s="148" t="str">
        <f t="shared" ref="D47:D107" si="1">IF(E47&lt;$M$8,"0",IF(E47&lt;$M$9,"0-1接合",IF(E47&lt;$M$10,"1",IF(E47&lt;$M$11,"1-2接合",IF(E47&lt;$M$12,"2",IF(E47&lt;$M$13,"2-3接合",3))))))</f>
        <v>0</v>
      </c>
      <c r="E47" s="2">
        <v>0.4</v>
      </c>
      <c r="F47" s="1">
        <f t="shared" ref="F47:G107" si="2">MAX(T47,X47,AB47,AF47)/2</f>
        <v>57.204999999999998</v>
      </c>
      <c r="G47" s="1">
        <f t="shared" si="2"/>
        <v>57.204999999999998</v>
      </c>
      <c r="H47" s="1">
        <f t="shared" ref="H47:I107" si="3">MIN(V47,Z47,AD47,AH47)/2</f>
        <v>55</v>
      </c>
      <c r="I47" s="1">
        <f t="shared" si="3"/>
        <v>55</v>
      </c>
      <c r="J47" s="149">
        <v>1223258.8429292084</v>
      </c>
      <c r="K47" s="149">
        <v>1223258.8429292138</v>
      </c>
      <c r="L47" s="149">
        <v>2446517.6881359117</v>
      </c>
      <c r="M47" s="138">
        <v>777.2915219283542</v>
      </c>
      <c r="N47" s="138">
        <v>9888.1330516786184</v>
      </c>
      <c r="O47" s="103">
        <v>352.5131618722744</v>
      </c>
      <c r="P47" s="1">
        <f t="shared" ref="P47:P107" si="4">IF(E47&lt;$M$8,$G$6,IF(E47&lt;$M$9,($G$6+$G$8)/2,IF(E47&lt;$M$10,$G$8,IF(E47&lt;$M$11,($G$8+$G$9)/2,IF(E47&lt;$M$12,$G$9,IF(E47&lt;$M$13,($G$9+$G$10)/2,IF(E47&lt;$M$14,G11)))))))</f>
        <v>128.55212654337893</v>
      </c>
      <c r="Q47" s="2">
        <f t="shared" ref="Q47:Q107" si="5">IF(E47&lt;$M$8,$H$6,IF(E47&lt;$M$9,($H$6+$H$8)/2,IF(E47&lt;$M$10,$H$8,IF(E47&lt;$M$11,($H$8+$H$9)/2,IF(E47&lt;$M$12,$H$9,IF(E47&lt;$M$13,($H$9+$H$10)/2,IF(E47&lt;$M$14,$H$10)))))))</f>
        <v>16.303408580287435</v>
      </c>
      <c r="R47" s="32">
        <f t="shared" ref="R47:R107" si="6">P47*(10^9)*J47*(10^-12)</f>
        <v>157252.52557154291</v>
      </c>
      <c r="S47" s="147">
        <f t="shared" ref="S47:S107" si="7">Q47*(10^9)*L47*(10^-12)</f>
        <v>39886.577468579999</v>
      </c>
      <c r="T47" s="1">
        <f t="shared" ref="T47:T107" si="8">IF(V47="","",V47+2*$D$27*$C$6)</f>
        <v>114.41</v>
      </c>
      <c r="U47" s="1">
        <f t="shared" ref="U47:U107" si="9">IF(W47="","",W47+2*$D$27*$D$6)</f>
        <v>114.41</v>
      </c>
      <c r="V47" s="1">
        <f t="shared" ref="V47:V107" si="10">IF(E47&lt;$M$7,$AD$6*E47+$AE$6,IF(E47&lt;$M$8,$AD$7*E47+$AE$7,IF(E47&lt;$M$9,$AD$8*E47+$AE$8,"")))</f>
        <v>110</v>
      </c>
      <c r="W47" s="1">
        <f t="shared" ref="W47:W107" si="11">IF(V47="","",V47*$D$20)</f>
        <v>110</v>
      </c>
      <c r="X47" s="1" t="str">
        <f t="shared" ref="X47:X107" si="12">IF(Z47="","",Z47+2*$D$27*$C$8)</f>
        <v/>
      </c>
      <c r="Y47" s="1" t="str">
        <f t="shared" ref="Y47:Y107" si="13">IF(AA47="","",AA47+2*$D$27*$D$8)</f>
        <v/>
      </c>
      <c r="Z47" s="1" t="str">
        <f t="shared" ref="Z47:Z107" si="14">IF(E47&lt;$M$8,"",IF(E47&lt;$M$9,$AF$8*E47+$AG$8,IF(E47&lt;$M$10,$AF$9*E47+$AG$9,IF(E47&lt;$M$11,$AF$10*E47+$AG$10,""))))</f>
        <v/>
      </c>
      <c r="AA47" s="1" t="str">
        <f t="shared" ref="AA47:AA107" si="15">IF(Z47="","",Z47*$D$21)</f>
        <v/>
      </c>
      <c r="AB47" s="1" t="str">
        <f t="shared" ref="AB47:AB107" si="16">IF(AD47="","",AD47+2*$D$27*$C$9)</f>
        <v/>
      </c>
      <c r="AC47" s="1" t="str">
        <f t="shared" ref="AC47:AC107" si="17">IF(AE47="","",AE47+2*$D$27*$D$9)</f>
        <v/>
      </c>
      <c r="AD47" s="1" t="str">
        <f t="shared" ref="AD47:AD107" si="18">IF(E47&lt;$M$10,"",IF(E47&lt;$M$11,$AH$10*E47+$AI$10,IF(E47&lt;$M$12,$AH$11*E47+$AI$11,IF(E47&lt;$M$13,$AH$12*E47+$AI$12,""))))</f>
        <v/>
      </c>
      <c r="AE47" s="2" t="str">
        <f t="shared" ref="AE47:AE107" si="19">IF(AD47="","",AD47*$D$22)</f>
        <v/>
      </c>
      <c r="AF47" s="1" t="str">
        <f t="shared" ref="AF47:AF107" si="20">IF(AH47="","",AH47+2*$D$27*$C$9)</f>
        <v/>
      </c>
      <c r="AG47" s="1" t="str">
        <f t="shared" ref="AG47:AG107" si="21">IF(AH47="","",AI47+2*$D$27*$D$9)</f>
        <v/>
      </c>
      <c r="AH47" s="2" t="str">
        <f t="shared" ref="AH47:AH107" si="22">IF(E47&lt;$M$12,"",IF(E47&lt;$M$13,$AJ$12*E47+$AK$12,IF(E47&lt;=$M$14,$AJ$13*E47+$AK$13,"")))</f>
        <v/>
      </c>
      <c r="AI47" s="1" t="str">
        <f t="shared" ref="AI47:AI107" si="23">IF(AH47="","",AH47*$D$23)</f>
        <v/>
      </c>
      <c r="AJ47" s="1">
        <v>1</v>
      </c>
      <c r="AK47" s="1">
        <v>0</v>
      </c>
      <c r="AL47" s="1">
        <v>0.93</v>
      </c>
      <c r="AM47" s="2">
        <f t="shared" ref="AM47:AM107" si="24">AJ47*$D$34+AK47*$D$35</f>
        <v>14.054431465019141</v>
      </c>
      <c r="AN47" s="1">
        <f t="shared" ref="AN47:AN107" si="25">AL47*(AM47/100)*1000</f>
        <v>130.70621262467802</v>
      </c>
      <c r="AO47" s="1">
        <f t="shared" ref="AO47:AO107" si="26">AN47-F47*2</f>
        <v>16.29621262467802</v>
      </c>
      <c r="AP47" s="34">
        <f t="shared" ref="AP47:AP107" si="27">IF(E47&lt;$M$8,$J$6,IF(E47&lt;$M$9,($J$6+$J$8)/2,IF(E47&lt;$M$10,$J$8,IF(E47&lt;$M$11,($J$8+$J$9)/2,$J$9))))</f>
        <v>-1041.8410000000001</v>
      </c>
      <c r="AQ47" s="34">
        <v>1831045.9114059138</v>
      </c>
      <c r="AR47" s="34">
        <f t="shared" ref="AR47:AR107" si="28">-AQ47*AVERAGE(F47,H47)/J47</f>
        <v>-83.977527600505709</v>
      </c>
      <c r="AS47" s="34">
        <f t="shared" ref="AS47:AS107" si="29">AR47*(F47-H47)</f>
        <v>-185.17044835911494</v>
      </c>
      <c r="AT47" s="1">
        <f t="shared" ref="AT47:AT106" si="30">AP47/AS47</f>
        <v>5.6263891416381933</v>
      </c>
      <c r="AU47" s="1">
        <f t="shared" ref="AU47:AU107" si="31">IF(T47="","",PI()*(T47*U47-V47*W47)/4)</f>
        <v>777.26780014977305</v>
      </c>
      <c r="AV47" s="1" t="str">
        <f t="shared" ref="AV47:AV107" si="32">IF(X47="","",PI()*(X47*Y47-Z47*AA47)/4)</f>
        <v/>
      </c>
      <c r="AW47" s="1" t="str">
        <f t="shared" ref="AW47:AW107" si="33">IF(AB47="","",PI()*(AB47*AC47-AD47*AE47)/4)</f>
        <v/>
      </c>
      <c r="AX47" s="2" t="str">
        <f t="shared" ref="AX47:AX107" si="34">IF(AF47="","",PI()*(AF47*AG47-AH47*AI47)/4)</f>
        <v/>
      </c>
      <c r="AY47" s="1">
        <f t="shared" ref="AY47:AY107" si="35">IF(E47&lt;$M$9,AVERAGE(AU47:AU48)*(10^-6)*(E48-E47),"")</f>
        <v>1.5545356002995465E-4</v>
      </c>
      <c r="AZ47" s="1" t="str">
        <f t="shared" ref="AZ47:AZ107" si="36">IF(AND(E47&lt;$M$11,E47&gt;$M$8),AVERAGE(AV48,AV47)*(10^-6)*(E48-E47),"")</f>
        <v/>
      </c>
      <c r="BA47" s="1" t="str">
        <f t="shared" ref="BA47:BA107" si="37">IF(AND(E47&lt;$M$13,E47&gt;$M$10),AVERAGE(AW47:AW48)*(10^-6)*(E48-E47),"")</f>
        <v/>
      </c>
      <c r="BB47" s="2" t="str">
        <f t="shared" ref="BB47:BB106" si="38">IF(AND(E47&lt;$M$14,E47&gt;$M$12),AVERAGE(AX47:AX48)*(10^-6)*(E48-E47),"")</f>
        <v/>
      </c>
      <c r="BC47" s="1">
        <f t="shared" ref="BC47:BC107" si="39">IF(AY47="","",AY47*$AR$4*$AR$14)</f>
        <v>0.17908250115450777</v>
      </c>
      <c r="BD47" s="1" t="str">
        <f t="shared" ref="BD47:BD107" si="40">IF(AZ47="","",AZ47*$AR$4*$AR$17)</f>
        <v/>
      </c>
      <c r="BE47" s="1" t="str">
        <f t="shared" ref="BE47:BE107" si="41">IF(BA47="","",BA47*$AR$4*$AR$20)</f>
        <v/>
      </c>
      <c r="BF47" s="2" t="str">
        <f t="shared" ref="BF47:BF107" si="42">IF(BB47="","",BB47*$AR$4*$AR$23)</f>
        <v/>
      </c>
      <c r="BG47" s="2">
        <f t="shared" ref="BG47:BG107" si="43">SUM(BC47:BF47)</f>
        <v>0.17908250115450777</v>
      </c>
    </row>
    <row r="48" spans="1:59">
      <c r="B48" s="1"/>
      <c r="C48" s="34">
        <v>3</v>
      </c>
      <c r="D48" s="148" t="str">
        <f t="shared" si="1"/>
        <v>0</v>
      </c>
      <c r="E48" s="2">
        <v>0.60000000000000009</v>
      </c>
      <c r="F48" s="1">
        <f t="shared" si="2"/>
        <v>57.204999999999998</v>
      </c>
      <c r="G48" s="1">
        <f t="shared" si="2"/>
        <v>57.204999999999998</v>
      </c>
      <c r="H48" s="1">
        <f t="shared" si="3"/>
        <v>55</v>
      </c>
      <c r="I48" s="1">
        <f t="shared" si="3"/>
        <v>55</v>
      </c>
      <c r="J48" s="149">
        <v>1223258.8429292084</v>
      </c>
      <c r="K48" s="149">
        <v>1223258.8429292138</v>
      </c>
      <c r="L48" s="149">
        <v>2446517.6881359117</v>
      </c>
      <c r="M48" s="138">
        <v>777.2915219283542</v>
      </c>
      <c r="N48" s="138">
        <v>9888.1330516786184</v>
      </c>
      <c r="O48" s="103">
        <v>352.5131618722744</v>
      </c>
      <c r="P48" s="1">
        <f t="shared" si="4"/>
        <v>128.55212654337893</v>
      </c>
      <c r="Q48" s="2">
        <f t="shared" si="5"/>
        <v>16.303408580287435</v>
      </c>
      <c r="R48" s="32">
        <f t="shared" si="6"/>
        <v>157252.52557154291</v>
      </c>
      <c r="S48" s="147">
        <f t="shared" si="7"/>
        <v>39886.577468579999</v>
      </c>
      <c r="T48" s="1">
        <f t="shared" si="8"/>
        <v>114.41</v>
      </c>
      <c r="U48" s="1">
        <f t="shared" si="9"/>
        <v>114.41</v>
      </c>
      <c r="V48" s="1">
        <f t="shared" si="10"/>
        <v>110</v>
      </c>
      <c r="W48" s="1">
        <f t="shared" si="11"/>
        <v>110</v>
      </c>
      <c r="X48" s="1" t="str">
        <f t="shared" si="12"/>
        <v/>
      </c>
      <c r="Y48" s="1" t="str">
        <f t="shared" si="13"/>
        <v/>
      </c>
      <c r="Z48" s="1" t="str">
        <f t="shared" si="14"/>
        <v/>
      </c>
      <c r="AA48" s="1" t="str">
        <f t="shared" si="15"/>
        <v/>
      </c>
      <c r="AB48" s="1" t="str">
        <f t="shared" si="16"/>
        <v/>
      </c>
      <c r="AC48" s="1" t="str">
        <f t="shared" si="17"/>
        <v/>
      </c>
      <c r="AD48" s="1" t="str">
        <f t="shared" si="18"/>
        <v/>
      </c>
      <c r="AE48" s="2" t="str">
        <f t="shared" si="19"/>
        <v/>
      </c>
      <c r="AF48" s="1" t="str">
        <f t="shared" si="20"/>
        <v/>
      </c>
      <c r="AG48" s="1" t="str">
        <f t="shared" si="21"/>
        <v/>
      </c>
      <c r="AH48" s="2" t="str">
        <f t="shared" si="22"/>
        <v/>
      </c>
      <c r="AI48" s="1" t="str">
        <f t="shared" si="23"/>
        <v/>
      </c>
      <c r="AJ48" s="1">
        <v>1</v>
      </c>
      <c r="AK48" s="1">
        <v>0</v>
      </c>
      <c r="AL48" s="1">
        <v>0.93</v>
      </c>
      <c r="AM48" s="2">
        <f t="shared" si="24"/>
        <v>14.054431465019141</v>
      </c>
      <c r="AN48" s="1">
        <f t="shared" si="25"/>
        <v>130.70621262467802</v>
      </c>
      <c r="AO48" s="1">
        <f t="shared" si="26"/>
        <v>16.29621262467802</v>
      </c>
      <c r="AP48" s="34">
        <f t="shared" si="27"/>
        <v>-1041.8410000000001</v>
      </c>
      <c r="AQ48" s="34">
        <v>1759080.8631549298</v>
      </c>
      <c r="AR48" s="34">
        <f t="shared" si="28"/>
        <v>-80.676984021492743</v>
      </c>
      <c r="AS48" s="34">
        <f t="shared" si="29"/>
        <v>-177.89274976739136</v>
      </c>
      <c r="AT48" s="1">
        <f t="shared" si="30"/>
        <v>5.8565680802747071</v>
      </c>
      <c r="AU48" s="1">
        <f t="shared" si="31"/>
        <v>777.26780014977305</v>
      </c>
      <c r="AV48" s="1" t="str">
        <f t="shared" si="32"/>
        <v/>
      </c>
      <c r="AW48" s="1" t="str">
        <f t="shared" si="33"/>
        <v/>
      </c>
      <c r="AX48" s="2" t="str">
        <f t="shared" si="34"/>
        <v/>
      </c>
      <c r="AY48" s="1">
        <f t="shared" si="35"/>
        <v>1.5545356002995457E-4</v>
      </c>
      <c r="AZ48" s="1" t="str">
        <f t="shared" si="36"/>
        <v/>
      </c>
      <c r="BA48" s="1" t="str">
        <f t="shared" si="37"/>
        <v/>
      </c>
      <c r="BB48" s="2" t="str">
        <f t="shared" si="38"/>
        <v/>
      </c>
      <c r="BC48" s="1">
        <f t="shared" si="39"/>
        <v>0.17908250115450766</v>
      </c>
      <c r="BD48" s="1" t="str">
        <f t="shared" si="40"/>
        <v/>
      </c>
      <c r="BE48" s="1" t="str">
        <f t="shared" si="41"/>
        <v/>
      </c>
      <c r="BF48" s="2" t="str">
        <f t="shared" si="42"/>
        <v/>
      </c>
      <c r="BG48" s="2">
        <f t="shared" si="43"/>
        <v>0.17908250115450766</v>
      </c>
    </row>
    <row r="49" spans="2:59">
      <c r="B49" s="1"/>
      <c r="C49" s="34">
        <v>4</v>
      </c>
      <c r="D49" s="148" t="str">
        <f t="shared" si="1"/>
        <v>0</v>
      </c>
      <c r="E49" s="2">
        <v>0.8</v>
      </c>
      <c r="F49" s="1">
        <f t="shared" si="2"/>
        <v>57.204999999999998</v>
      </c>
      <c r="G49" s="1">
        <f t="shared" si="2"/>
        <v>57.204999999999998</v>
      </c>
      <c r="H49" s="1">
        <f t="shared" si="3"/>
        <v>55</v>
      </c>
      <c r="I49" s="1">
        <f t="shared" si="3"/>
        <v>55</v>
      </c>
      <c r="J49" s="149">
        <v>1223258.8429292084</v>
      </c>
      <c r="K49" s="149">
        <v>1223258.8429292138</v>
      </c>
      <c r="L49" s="149">
        <v>2446517.6881359117</v>
      </c>
      <c r="M49" s="138">
        <v>777.2915219283542</v>
      </c>
      <c r="N49" s="138">
        <v>9888.1330516786184</v>
      </c>
      <c r="O49" s="103">
        <v>352.5131618722744</v>
      </c>
      <c r="P49" s="1">
        <f t="shared" si="4"/>
        <v>128.55212654337893</v>
      </c>
      <c r="Q49" s="2">
        <f t="shared" si="5"/>
        <v>16.303408580287435</v>
      </c>
      <c r="R49" s="32">
        <f t="shared" si="6"/>
        <v>157252.52557154291</v>
      </c>
      <c r="S49" s="147">
        <f t="shared" si="7"/>
        <v>39886.577468579999</v>
      </c>
      <c r="T49" s="1">
        <f t="shared" si="8"/>
        <v>114.41</v>
      </c>
      <c r="U49" s="1">
        <f t="shared" si="9"/>
        <v>114.41</v>
      </c>
      <c r="V49" s="1">
        <f t="shared" si="10"/>
        <v>110</v>
      </c>
      <c r="W49" s="1">
        <f t="shared" si="11"/>
        <v>110</v>
      </c>
      <c r="X49" s="1" t="str">
        <f t="shared" si="12"/>
        <v/>
      </c>
      <c r="Y49" s="1" t="str">
        <f t="shared" si="13"/>
        <v/>
      </c>
      <c r="Z49" s="1" t="str">
        <f t="shared" si="14"/>
        <v/>
      </c>
      <c r="AA49" s="1" t="str">
        <f t="shared" si="15"/>
        <v/>
      </c>
      <c r="AB49" s="1" t="str">
        <f t="shared" si="16"/>
        <v/>
      </c>
      <c r="AC49" s="1" t="str">
        <f t="shared" si="17"/>
        <v/>
      </c>
      <c r="AD49" s="1" t="str">
        <f t="shared" si="18"/>
        <v/>
      </c>
      <c r="AE49" s="2" t="str">
        <f t="shared" si="19"/>
        <v/>
      </c>
      <c r="AF49" s="1" t="str">
        <f t="shared" si="20"/>
        <v/>
      </c>
      <c r="AG49" s="1" t="str">
        <f t="shared" si="21"/>
        <v/>
      </c>
      <c r="AH49" s="2" t="str">
        <f t="shared" si="22"/>
        <v/>
      </c>
      <c r="AI49" s="1" t="str">
        <f t="shared" si="23"/>
        <v/>
      </c>
      <c r="AJ49" s="1">
        <v>1</v>
      </c>
      <c r="AK49" s="1">
        <v>0</v>
      </c>
      <c r="AL49" s="1">
        <v>0.93</v>
      </c>
      <c r="AM49" s="2">
        <f t="shared" si="24"/>
        <v>14.054431465019141</v>
      </c>
      <c r="AN49" s="1">
        <f t="shared" si="25"/>
        <v>130.70621262467802</v>
      </c>
      <c r="AO49" s="1">
        <f t="shared" si="26"/>
        <v>16.29621262467802</v>
      </c>
      <c r="AP49" s="34">
        <f t="shared" si="27"/>
        <v>-1041.8410000000001</v>
      </c>
      <c r="AQ49" s="34">
        <v>1688824.7678449056</v>
      </c>
      <c r="AR49" s="34">
        <f t="shared" si="28"/>
        <v>-77.454818402242253</v>
      </c>
      <c r="AS49" s="34">
        <f t="shared" si="29"/>
        <v>-170.78787457694403</v>
      </c>
      <c r="AT49" s="1">
        <f t="shared" si="30"/>
        <v>6.1002047281209402</v>
      </c>
      <c r="AU49" s="1">
        <f t="shared" si="31"/>
        <v>777.26780014977305</v>
      </c>
      <c r="AV49" s="1" t="str">
        <f t="shared" si="32"/>
        <v/>
      </c>
      <c r="AW49" s="1" t="str">
        <f t="shared" si="33"/>
        <v/>
      </c>
      <c r="AX49" s="2" t="str">
        <f t="shared" si="34"/>
        <v/>
      </c>
      <c r="AY49" s="1">
        <f t="shared" si="35"/>
        <v>1.5545356002995457E-4</v>
      </c>
      <c r="AZ49" s="1" t="str">
        <f t="shared" si="36"/>
        <v/>
      </c>
      <c r="BA49" s="1" t="str">
        <f t="shared" si="37"/>
        <v/>
      </c>
      <c r="BB49" s="2" t="str">
        <f t="shared" si="38"/>
        <v/>
      </c>
      <c r="BC49" s="1">
        <f t="shared" si="39"/>
        <v>0.17908250115450766</v>
      </c>
      <c r="BD49" s="1" t="str">
        <f t="shared" si="40"/>
        <v/>
      </c>
      <c r="BE49" s="1" t="str">
        <f t="shared" si="41"/>
        <v/>
      </c>
      <c r="BF49" s="2" t="str">
        <f t="shared" si="42"/>
        <v/>
      </c>
      <c r="BG49" s="2">
        <f t="shared" si="43"/>
        <v>0.17908250115450766</v>
      </c>
    </row>
    <row r="50" spans="2:59">
      <c r="B50" s="1"/>
      <c r="C50" s="34">
        <v>5</v>
      </c>
      <c r="D50" s="148" t="str">
        <f t="shared" si="1"/>
        <v>0</v>
      </c>
      <c r="E50" s="2">
        <v>1</v>
      </c>
      <c r="F50" s="1">
        <f t="shared" si="2"/>
        <v>57.204999999999998</v>
      </c>
      <c r="G50" s="1">
        <f t="shared" si="2"/>
        <v>57.204999999999998</v>
      </c>
      <c r="H50" s="1">
        <f t="shared" si="3"/>
        <v>55</v>
      </c>
      <c r="I50" s="1">
        <f t="shared" si="3"/>
        <v>55</v>
      </c>
      <c r="J50" s="149">
        <v>1223258.8429292084</v>
      </c>
      <c r="K50" s="149">
        <v>1223258.8429292138</v>
      </c>
      <c r="L50" s="149">
        <v>2446517.6881359117</v>
      </c>
      <c r="M50" s="138">
        <v>777.2915219283542</v>
      </c>
      <c r="N50" s="138">
        <v>9888.1330516786184</v>
      </c>
      <c r="O50" s="103">
        <v>352.5131618722744</v>
      </c>
      <c r="P50" s="1">
        <f t="shared" si="4"/>
        <v>128.55212654337893</v>
      </c>
      <c r="Q50" s="2">
        <f t="shared" si="5"/>
        <v>16.303408580287435</v>
      </c>
      <c r="R50" s="32">
        <f t="shared" si="6"/>
        <v>157252.52557154291</v>
      </c>
      <c r="S50" s="147">
        <f t="shared" si="7"/>
        <v>39886.577468579999</v>
      </c>
      <c r="T50" s="1">
        <f t="shared" si="8"/>
        <v>114.41</v>
      </c>
      <c r="U50" s="1">
        <f t="shared" si="9"/>
        <v>114.41</v>
      </c>
      <c r="V50" s="1">
        <f t="shared" si="10"/>
        <v>110</v>
      </c>
      <c r="W50" s="1">
        <f t="shared" si="11"/>
        <v>110</v>
      </c>
      <c r="X50" s="1" t="str">
        <f t="shared" si="12"/>
        <v/>
      </c>
      <c r="Y50" s="1" t="str">
        <f t="shared" si="13"/>
        <v/>
      </c>
      <c r="Z50" s="1" t="str">
        <f t="shared" si="14"/>
        <v/>
      </c>
      <c r="AA50" s="1" t="str">
        <f t="shared" si="15"/>
        <v/>
      </c>
      <c r="AB50" s="1" t="str">
        <f t="shared" si="16"/>
        <v/>
      </c>
      <c r="AC50" s="1" t="str">
        <f t="shared" si="17"/>
        <v/>
      </c>
      <c r="AD50" s="1" t="str">
        <f t="shared" si="18"/>
        <v/>
      </c>
      <c r="AE50" s="2" t="str">
        <f t="shared" si="19"/>
        <v/>
      </c>
      <c r="AF50" s="1" t="str">
        <f t="shared" si="20"/>
        <v/>
      </c>
      <c r="AG50" s="1" t="str">
        <f t="shared" si="21"/>
        <v/>
      </c>
      <c r="AH50" s="2" t="str">
        <f t="shared" si="22"/>
        <v/>
      </c>
      <c r="AI50" s="1" t="str">
        <f t="shared" si="23"/>
        <v/>
      </c>
      <c r="AJ50" s="1">
        <v>1</v>
      </c>
      <c r="AK50" s="1">
        <v>0</v>
      </c>
      <c r="AL50" s="1">
        <v>0.93</v>
      </c>
      <c r="AM50" s="2">
        <f t="shared" si="24"/>
        <v>14.054431465019141</v>
      </c>
      <c r="AN50" s="1">
        <f t="shared" si="25"/>
        <v>130.70621262467802</v>
      </c>
      <c r="AO50" s="1">
        <f t="shared" si="26"/>
        <v>16.29621262467802</v>
      </c>
      <c r="AP50" s="34">
        <f t="shared" si="27"/>
        <v>-1041.8410000000001</v>
      </c>
      <c r="AQ50" s="34">
        <v>1620276.0969253762</v>
      </c>
      <c r="AR50" s="34">
        <f t="shared" si="28"/>
        <v>-74.310960638619733</v>
      </c>
      <c r="AS50" s="34">
        <f t="shared" si="29"/>
        <v>-163.85566820815637</v>
      </c>
      <c r="AT50" s="1">
        <f t="shared" si="30"/>
        <v>6.3582847721598661</v>
      </c>
      <c r="AU50" s="1">
        <f t="shared" si="31"/>
        <v>777.26780014977305</v>
      </c>
      <c r="AV50" s="1" t="str">
        <f t="shared" si="32"/>
        <v/>
      </c>
      <c r="AW50" s="1" t="str">
        <f t="shared" si="33"/>
        <v/>
      </c>
      <c r="AX50" s="2" t="str">
        <f t="shared" si="34"/>
        <v/>
      </c>
      <c r="AY50" s="1">
        <f t="shared" si="35"/>
        <v>1.5545356002995473E-4</v>
      </c>
      <c r="AZ50" s="1" t="str">
        <f t="shared" si="36"/>
        <v/>
      </c>
      <c r="BA50" s="1" t="str">
        <f t="shared" si="37"/>
        <v/>
      </c>
      <c r="BB50" s="2" t="str">
        <f t="shared" si="38"/>
        <v/>
      </c>
      <c r="BC50" s="1">
        <f t="shared" si="39"/>
        <v>0.17908250115450786</v>
      </c>
      <c r="BD50" s="1" t="str">
        <f t="shared" si="40"/>
        <v/>
      </c>
      <c r="BE50" s="1" t="str">
        <f t="shared" si="41"/>
        <v/>
      </c>
      <c r="BF50" s="2" t="str">
        <f t="shared" si="42"/>
        <v/>
      </c>
      <c r="BG50" s="2">
        <f t="shared" si="43"/>
        <v>0.17908250115450786</v>
      </c>
    </row>
    <row r="51" spans="2:59">
      <c r="B51" s="1"/>
      <c r="C51" s="34">
        <v>6</v>
      </c>
      <c r="D51" s="148" t="str">
        <f t="shared" si="1"/>
        <v>0</v>
      </c>
      <c r="E51" s="2">
        <v>1.2000000000000002</v>
      </c>
      <c r="F51" s="1">
        <f t="shared" si="2"/>
        <v>57.204999999999998</v>
      </c>
      <c r="G51" s="1">
        <f t="shared" si="2"/>
        <v>57.204999999999998</v>
      </c>
      <c r="H51" s="1">
        <f t="shared" si="3"/>
        <v>55</v>
      </c>
      <c r="I51" s="1">
        <f t="shared" si="3"/>
        <v>55</v>
      </c>
      <c r="J51" s="149">
        <v>1223258.8429292084</v>
      </c>
      <c r="K51" s="149">
        <v>1223258.8429292138</v>
      </c>
      <c r="L51" s="149">
        <v>2446517.6881359117</v>
      </c>
      <c r="M51" s="138">
        <v>777.2915219283542</v>
      </c>
      <c r="N51" s="138">
        <v>9888.1330516786184</v>
      </c>
      <c r="O51" s="103">
        <v>352.5131618722744</v>
      </c>
      <c r="P51" s="1">
        <f t="shared" si="4"/>
        <v>128.55212654337893</v>
      </c>
      <c r="Q51" s="2">
        <f t="shared" si="5"/>
        <v>16.303408580287435</v>
      </c>
      <c r="R51" s="32">
        <f t="shared" si="6"/>
        <v>157252.52557154291</v>
      </c>
      <c r="S51" s="147">
        <f t="shared" si="7"/>
        <v>39886.577468579999</v>
      </c>
      <c r="T51" s="1">
        <f t="shared" si="8"/>
        <v>114.41</v>
      </c>
      <c r="U51" s="1">
        <f t="shared" si="9"/>
        <v>114.41</v>
      </c>
      <c r="V51" s="1">
        <f t="shared" si="10"/>
        <v>110</v>
      </c>
      <c r="W51" s="1">
        <f t="shared" si="11"/>
        <v>110</v>
      </c>
      <c r="X51" s="1" t="str">
        <f t="shared" si="12"/>
        <v/>
      </c>
      <c r="Y51" s="1" t="str">
        <f t="shared" si="13"/>
        <v/>
      </c>
      <c r="Z51" s="1" t="str">
        <f t="shared" si="14"/>
        <v/>
      </c>
      <c r="AA51" s="1" t="str">
        <f t="shared" si="15"/>
        <v/>
      </c>
      <c r="AB51" s="1" t="str">
        <f t="shared" si="16"/>
        <v/>
      </c>
      <c r="AC51" s="1" t="str">
        <f t="shared" si="17"/>
        <v/>
      </c>
      <c r="AD51" s="1" t="str">
        <f t="shared" si="18"/>
        <v/>
      </c>
      <c r="AE51" s="2" t="str">
        <f t="shared" si="19"/>
        <v/>
      </c>
      <c r="AF51" s="1" t="str">
        <f t="shared" si="20"/>
        <v/>
      </c>
      <c r="AG51" s="1" t="str">
        <f t="shared" si="21"/>
        <v/>
      </c>
      <c r="AH51" s="2" t="str">
        <f t="shared" si="22"/>
        <v/>
      </c>
      <c r="AI51" s="1" t="str">
        <f t="shared" si="23"/>
        <v/>
      </c>
      <c r="AJ51" s="1">
        <v>1</v>
      </c>
      <c r="AK51" s="1">
        <v>0</v>
      </c>
      <c r="AL51" s="1">
        <v>0.93</v>
      </c>
      <c r="AM51" s="2">
        <f t="shared" si="24"/>
        <v>14.054431465019141</v>
      </c>
      <c r="AN51" s="1">
        <f t="shared" si="25"/>
        <v>130.70621262467802</v>
      </c>
      <c r="AO51" s="1">
        <f t="shared" si="26"/>
        <v>16.29621262467802</v>
      </c>
      <c r="AP51" s="34">
        <f t="shared" si="27"/>
        <v>-1041.8410000000001</v>
      </c>
      <c r="AQ51" s="34">
        <v>1553432.4786634007</v>
      </c>
      <c r="AR51" s="34">
        <f t="shared" si="28"/>
        <v>-71.245301955488912</v>
      </c>
      <c r="AS51" s="34">
        <f t="shared" si="29"/>
        <v>-157.09589081185294</v>
      </c>
      <c r="AT51" s="1">
        <f t="shared" si="30"/>
        <v>6.6318793866337904</v>
      </c>
      <c r="AU51" s="1">
        <f t="shared" si="31"/>
        <v>777.26780014977305</v>
      </c>
      <c r="AV51" s="1" t="str">
        <f t="shared" si="32"/>
        <v/>
      </c>
      <c r="AW51" s="1" t="str">
        <f t="shared" si="33"/>
        <v/>
      </c>
      <c r="AX51" s="2" t="str">
        <f t="shared" si="34"/>
        <v/>
      </c>
      <c r="AY51" s="1">
        <f t="shared" si="35"/>
        <v>1.5545356002995457E-4</v>
      </c>
      <c r="AZ51" s="1" t="str">
        <f t="shared" si="36"/>
        <v/>
      </c>
      <c r="BA51" s="1" t="str">
        <f t="shared" si="37"/>
        <v/>
      </c>
      <c r="BB51" s="2" t="str">
        <f t="shared" si="38"/>
        <v/>
      </c>
      <c r="BC51" s="1">
        <f t="shared" si="39"/>
        <v>0.17908250115450766</v>
      </c>
      <c r="BD51" s="1" t="str">
        <f t="shared" si="40"/>
        <v/>
      </c>
      <c r="BE51" s="1" t="str">
        <f t="shared" si="41"/>
        <v/>
      </c>
      <c r="BF51" s="2" t="str">
        <f t="shared" si="42"/>
        <v/>
      </c>
      <c r="BG51" s="2">
        <f t="shared" si="43"/>
        <v>0.17908250115450766</v>
      </c>
    </row>
    <row r="52" spans="2:59">
      <c r="B52" s="1"/>
      <c r="C52" s="34">
        <v>7</v>
      </c>
      <c r="D52" s="148" t="str">
        <f t="shared" si="1"/>
        <v>0-1接合</v>
      </c>
      <c r="E52" s="2">
        <v>1.4000000000000001</v>
      </c>
      <c r="F52" s="1">
        <f t="shared" si="2"/>
        <v>60.954999999999998</v>
      </c>
      <c r="G52" s="1">
        <f t="shared" si="2"/>
        <v>61.159749999999995</v>
      </c>
      <c r="H52" s="1">
        <f t="shared" si="3"/>
        <v>55</v>
      </c>
      <c r="I52" s="1">
        <f t="shared" si="3"/>
        <v>55</v>
      </c>
      <c r="J52" s="149">
        <v>3679059.7778962441</v>
      </c>
      <c r="K52" s="149">
        <v>3758310.0167815932</v>
      </c>
      <c r="L52" s="149">
        <v>7436160.4959747586</v>
      </c>
      <c r="M52" s="138">
        <v>2208.6491354470918</v>
      </c>
      <c r="N52" s="138">
        <v>10578.766475598</v>
      </c>
      <c r="O52" s="103">
        <v>364.6162660874765</v>
      </c>
      <c r="P52" s="1">
        <f t="shared" si="4"/>
        <v>113.35707457071749</v>
      </c>
      <c r="Q52" s="2">
        <f t="shared" si="5"/>
        <v>14.664851187162251</v>
      </c>
      <c r="R52" s="32">
        <f t="shared" si="6"/>
        <v>417047.45359311189</v>
      </c>
      <c r="S52" s="147">
        <f t="shared" si="7"/>
        <v>109050.18707732446</v>
      </c>
      <c r="T52" s="1">
        <f t="shared" si="8"/>
        <v>114.41</v>
      </c>
      <c r="U52" s="1">
        <f t="shared" si="9"/>
        <v>114.41</v>
      </c>
      <c r="V52" s="1">
        <f t="shared" si="10"/>
        <v>110</v>
      </c>
      <c r="W52" s="1">
        <f t="shared" si="11"/>
        <v>110</v>
      </c>
      <c r="X52" s="1">
        <f t="shared" si="12"/>
        <v>121.91</v>
      </c>
      <c r="Y52" s="1">
        <f t="shared" si="13"/>
        <v>122.31949999999999</v>
      </c>
      <c r="Z52" s="1">
        <f t="shared" si="14"/>
        <v>117.5</v>
      </c>
      <c r="AA52" s="1">
        <f t="shared" si="15"/>
        <v>119.96749999999999</v>
      </c>
      <c r="AB52" s="1" t="str">
        <f t="shared" si="16"/>
        <v/>
      </c>
      <c r="AC52" s="1" t="str">
        <f t="shared" si="17"/>
        <v/>
      </c>
      <c r="AD52" s="1" t="str">
        <f t="shared" si="18"/>
        <v/>
      </c>
      <c r="AE52" s="2" t="str">
        <f t="shared" si="19"/>
        <v/>
      </c>
      <c r="AF52" s="1" t="str">
        <f t="shared" si="20"/>
        <v/>
      </c>
      <c r="AG52" s="1" t="str">
        <f t="shared" si="21"/>
        <v/>
      </c>
      <c r="AH52" s="2" t="str">
        <f t="shared" si="22"/>
        <v/>
      </c>
      <c r="AI52" s="1" t="str">
        <f t="shared" si="23"/>
        <v/>
      </c>
      <c r="AJ52" s="1">
        <v>1</v>
      </c>
      <c r="AK52" s="1">
        <v>0</v>
      </c>
      <c r="AL52" s="1">
        <v>0.93</v>
      </c>
      <c r="AM52" s="2">
        <f t="shared" si="24"/>
        <v>14.054431465019141</v>
      </c>
      <c r="AN52" s="1">
        <f t="shared" si="25"/>
        <v>130.70621262467802</v>
      </c>
      <c r="AO52" s="1">
        <f t="shared" si="26"/>
        <v>8.7962126246780201</v>
      </c>
      <c r="AP52" s="34">
        <f t="shared" si="27"/>
        <v>-1493.5006500000002</v>
      </c>
      <c r="AQ52" s="34">
        <v>1488294.0814734129</v>
      </c>
      <c r="AR52" s="34">
        <f t="shared" si="28"/>
        <v>-23.453701575342617</v>
      </c>
      <c r="AS52" s="34">
        <f t="shared" si="29"/>
        <v>-139.66679288116524</v>
      </c>
      <c r="AT52" s="1">
        <f t="shared" si="30"/>
        <v>10.693312412999541</v>
      </c>
      <c r="AU52" s="1">
        <f t="shared" si="31"/>
        <v>777.26780014977305</v>
      </c>
      <c r="AV52" s="1">
        <f t="shared" si="32"/>
        <v>640.71917839285072</v>
      </c>
      <c r="AW52" s="1" t="str">
        <f t="shared" si="33"/>
        <v/>
      </c>
      <c r="AX52" s="2" t="str">
        <f t="shared" si="34"/>
        <v/>
      </c>
      <c r="AY52" s="1">
        <f t="shared" si="35"/>
        <v>1.5545356002995457E-4</v>
      </c>
      <c r="AZ52" s="1" t="str">
        <f t="shared" si="36"/>
        <v/>
      </c>
      <c r="BA52" s="1" t="str">
        <f t="shared" si="37"/>
        <v/>
      </c>
      <c r="BB52" s="2" t="str">
        <f t="shared" si="38"/>
        <v/>
      </c>
      <c r="BC52" s="1">
        <f t="shared" si="39"/>
        <v>0.17908250115450766</v>
      </c>
      <c r="BD52" s="1" t="str">
        <f t="shared" si="40"/>
        <v/>
      </c>
      <c r="BE52" s="1" t="str">
        <f t="shared" si="41"/>
        <v/>
      </c>
      <c r="BF52" s="2" t="str">
        <f t="shared" si="42"/>
        <v/>
      </c>
      <c r="BG52" s="2">
        <f t="shared" si="43"/>
        <v>0.17908250115450766</v>
      </c>
    </row>
    <row r="53" spans="2:59">
      <c r="B53" s="1"/>
      <c r="C53" s="34">
        <v>8</v>
      </c>
      <c r="D53" s="148" t="str">
        <f t="shared" si="1"/>
        <v>0-1接合</v>
      </c>
      <c r="E53" s="2">
        <v>1.6</v>
      </c>
      <c r="F53" s="1">
        <f t="shared" si="2"/>
        <v>60.155000000000001</v>
      </c>
      <c r="G53" s="1">
        <f t="shared" si="2"/>
        <v>60.342950000000002</v>
      </c>
      <c r="H53" s="1">
        <f t="shared" si="3"/>
        <v>55</v>
      </c>
      <c r="I53" s="1">
        <f t="shared" si="3"/>
        <v>55</v>
      </c>
      <c r="J53" s="149">
        <v>3120848.0485842838</v>
      </c>
      <c r="K53" s="149">
        <v>3190208.1344231623</v>
      </c>
      <c r="L53" s="149">
        <v>6309925.0111976694</v>
      </c>
      <c r="M53" s="138">
        <v>1900.557340455897</v>
      </c>
      <c r="N53" s="138">
        <v>10431.907697316108</v>
      </c>
      <c r="O53" s="103">
        <v>362.0765035923572</v>
      </c>
      <c r="P53" s="1">
        <f t="shared" si="4"/>
        <v>113.35707457071749</v>
      </c>
      <c r="Q53" s="2">
        <f t="shared" si="5"/>
        <v>14.664851187162251</v>
      </c>
      <c r="R53" s="32">
        <f t="shared" si="6"/>
        <v>353770.2049672468</v>
      </c>
      <c r="S53" s="147">
        <f t="shared" si="7"/>
        <v>92534.111291366906</v>
      </c>
      <c r="T53" s="1">
        <f t="shared" si="8"/>
        <v>114.41</v>
      </c>
      <c r="U53" s="1">
        <f t="shared" si="9"/>
        <v>114.41</v>
      </c>
      <c r="V53" s="1">
        <f t="shared" si="10"/>
        <v>110</v>
      </c>
      <c r="W53" s="1">
        <f t="shared" si="11"/>
        <v>110</v>
      </c>
      <c r="X53" s="1">
        <f t="shared" si="12"/>
        <v>120.31</v>
      </c>
      <c r="Y53" s="1">
        <f t="shared" si="13"/>
        <v>120.6859</v>
      </c>
      <c r="Z53" s="1">
        <f t="shared" si="14"/>
        <v>115.9</v>
      </c>
      <c r="AA53" s="1">
        <f t="shared" si="15"/>
        <v>118.3339</v>
      </c>
      <c r="AB53" s="1" t="str">
        <f t="shared" si="16"/>
        <v/>
      </c>
      <c r="AC53" s="1" t="str">
        <f t="shared" si="17"/>
        <v/>
      </c>
      <c r="AD53" s="1" t="str">
        <f t="shared" si="18"/>
        <v/>
      </c>
      <c r="AE53" s="2" t="str">
        <f t="shared" si="19"/>
        <v/>
      </c>
      <c r="AF53" s="1" t="str">
        <f t="shared" si="20"/>
        <v/>
      </c>
      <c r="AG53" s="1" t="str">
        <f t="shared" si="21"/>
        <v/>
      </c>
      <c r="AH53" s="2" t="str">
        <f t="shared" si="22"/>
        <v/>
      </c>
      <c r="AI53" s="1" t="str">
        <f t="shared" si="23"/>
        <v/>
      </c>
      <c r="AJ53" s="1">
        <v>1</v>
      </c>
      <c r="AK53" s="1">
        <v>0</v>
      </c>
      <c r="AL53" s="1">
        <v>0.93</v>
      </c>
      <c r="AM53" s="2">
        <f t="shared" si="24"/>
        <v>14.054431465019141</v>
      </c>
      <c r="AN53" s="1">
        <f t="shared" si="25"/>
        <v>130.70621262467802</v>
      </c>
      <c r="AO53" s="1">
        <f t="shared" si="26"/>
        <v>10.396212624678014</v>
      </c>
      <c r="AP53" s="34">
        <f t="shared" si="27"/>
        <v>-1493.5006500000002</v>
      </c>
      <c r="AQ53" s="34">
        <v>1424747.4834535397</v>
      </c>
      <c r="AR53" s="34">
        <f t="shared" si="28"/>
        <v>-26.28561113885668</v>
      </c>
      <c r="AS53" s="34">
        <f t="shared" si="29"/>
        <v>-135.50232542080622</v>
      </c>
      <c r="AT53" s="1">
        <f t="shared" si="30"/>
        <v>11.021955862099729</v>
      </c>
      <c r="AU53" s="1">
        <f t="shared" si="31"/>
        <v>777.26780014977305</v>
      </c>
      <c r="AV53" s="1">
        <f t="shared" si="32"/>
        <v>632.10542142516113</v>
      </c>
      <c r="AW53" s="1" t="str">
        <f t="shared" si="33"/>
        <v/>
      </c>
      <c r="AX53" s="2" t="str">
        <f t="shared" si="34"/>
        <v/>
      </c>
      <c r="AY53" s="1">
        <f t="shared" si="35"/>
        <v>1.5545356002995457E-4</v>
      </c>
      <c r="AZ53" s="1">
        <f t="shared" si="36"/>
        <v>1.2555970858826323E-4</v>
      </c>
      <c r="BA53" s="1" t="str">
        <f t="shared" si="37"/>
        <v/>
      </c>
      <c r="BB53" s="2" t="str">
        <f t="shared" si="38"/>
        <v/>
      </c>
      <c r="BC53" s="1">
        <f t="shared" si="39"/>
        <v>0.17908250115450766</v>
      </c>
      <c r="BD53" s="1">
        <f t="shared" si="40"/>
        <v>0.23071596453093371</v>
      </c>
      <c r="BE53" s="1" t="str">
        <f t="shared" si="41"/>
        <v/>
      </c>
      <c r="BF53" s="2" t="str">
        <f t="shared" si="42"/>
        <v/>
      </c>
      <c r="BG53" s="2">
        <f t="shared" si="43"/>
        <v>0.40979846568544137</v>
      </c>
    </row>
    <row r="54" spans="2:59">
      <c r="B54" s="1"/>
      <c r="C54" s="34">
        <v>9</v>
      </c>
      <c r="D54" s="148" t="str">
        <f t="shared" si="1"/>
        <v>1</v>
      </c>
      <c r="E54" s="2">
        <v>1.8</v>
      </c>
      <c r="F54" s="1">
        <f t="shared" si="2"/>
        <v>59.35499999999999</v>
      </c>
      <c r="G54" s="1">
        <f t="shared" si="2"/>
        <v>59.526149999999987</v>
      </c>
      <c r="H54" s="1">
        <f t="shared" si="3"/>
        <v>57.149999999999991</v>
      </c>
      <c r="I54" s="1">
        <f t="shared" si="3"/>
        <v>58.350149999999985</v>
      </c>
      <c r="J54" s="149">
        <v>1211743.2997121171</v>
      </c>
      <c r="K54" s="149">
        <v>917745.64794443373</v>
      </c>
      <c r="L54" s="149">
        <v>2031706.4797556736</v>
      </c>
      <c r="M54" s="138">
        <v>621.29100934949849</v>
      </c>
      <c r="N54" s="138">
        <v>10786.013039169729</v>
      </c>
      <c r="O54" s="103">
        <v>368.18282279477387</v>
      </c>
      <c r="P54" s="1">
        <f t="shared" si="4"/>
        <v>98.162022598056055</v>
      </c>
      <c r="Q54" s="2">
        <f t="shared" si="5"/>
        <v>13.026293794037066</v>
      </c>
      <c r="R54" s="32">
        <f t="shared" si="6"/>
        <v>118947.17316938385</v>
      </c>
      <c r="S54" s="147">
        <f t="shared" si="7"/>
        <v>26465.605508546225</v>
      </c>
      <c r="T54" s="1" t="str">
        <f t="shared" si="8"/>
        <v/>
      </c>
      <c r="U54" s="1" t="str">
        <f t="shared" si="9"/>
        <v/>
      </c>
      <c r="V54" s="1" t="str">
        <f t="shared" si="10"/>
        <v/>
      </c>
      <c r="W54" s="1" t="str">
        <f t="shared" si="11"/>
        <v/>
      </c>
      <c r="X54" s="1">
        <f t="shared" si="12"/>
        <v>118.70999999999998</v>
      </c>
      <c r="Y54" s="1">
        <f t="shared" si="13"/>
        <v>119.05229999999997</v>
      </c>
      <c r="Z54" s="1">
        <f t="shared" si="14"/>
        <v>114.29999999999998</v>
      </c>
      <c r="AA54" s="1">
        <f t="shared" si="15"/>
        <v>116.70029999999997</v>
      </c>
      <c r="AB54" s="1" t="str">
        <f t="shared" si="16"/>
        <v/>
      </c>
      <c r="AC54" s="1" t="str">
        <f t="shared" si="17"/>
        <v/>
      </c>
      <c r="AD54" s="1" t="str">
        <f t="shared" si="18"/>
        <v/>
      </c>
      <c r="AE54" s="2" t="str">
        <f t="shared" si="19"/>
        <v/>
      </c>
      <c r="AF54" s="1" t="str">
        <f t="shared" si="20"/>
        <v/>
      </c>
      <c r="AG54" s="1" t="str">
        <f t="shared" si="21"/>
        <v/>
      </c>
      <c r="AH54" s="2" t="str">
        <f t="shared" si="22"/>
        <v/>
      </c>
      <c r="AI54" s="1" t="str">
        <f t="shared" si="23"/>
        <v/>
      </c>
      <c r="AJ54" s="1">
        <v>1</v>
      </c>
      <c r="AK54" s="1">
        <v>0</v>
      </c>
      <c r="AL54" s="1">
        <v>0.92166666666666663</v>
      </c>
      <c r="AM54" s="2">
        <f t="shared" si="24"/>
        <v>14.054431465019141</v>
      </c>
      <c r="AN54" s="1">
        <f t="shared" si="25"/>
        <v>129.53501000259308</v>
      </c>
      <c r="AO54" s="1">
        <f t="shared" si="26"/>
        <v>10.825010002593103</v>
      </c>
      <c r="AP54" s="34">
        <f t="shared" si="27"/>
        <v>-1945.1603000000002</v>
      </c>
      <c r="AQ54" s="34">
        <v>1362647.8248293099</v>
      </c>
      <c r="AR54" s="34">
        <f t="shared" si="28"/>
        <v>-65.506978610674153</v>
      </c>
      <c r="AS54" s="34">
        <f t="shared" si="29"/>
        <v>-144.44288783653639</v>
      </c>
      <c r="AT54" s="1">
        <f t="shared" si="30"/>
        <v>13.466639508075371</v>
      </c>
      <c r="AU54" s="1" t="str">
        <f t="shared" si="31"/>
        <v/>
      </c>
      <c r="AV54" s="1">
        <f t="shared" si="32"/>
        <v>623.49166445747142</v>
      </c>
      <c r="AW54" s="1" t="str">
        <f t="shared" si="33"/>
        <v/>
      </c>
      <c r="AX54" s="2" t="str">
        <f t="shared" si="34"/>
        <v/>
      </c>
      <c r="AY54" s="1" t="str">
        <f t="shared" si="35"/>
        <v/>
      </c>
      <c r="AZ54" s="1">
        <f t="shared" si="36"/>
        <v>1.2383695719472531E-4</v>
      </c>
      <c r="BA54" s="1" t="str">
        <f t="shared" si="37"/>
        <v/>
      </c>
      <c r="BB54" s="2" t="str">
        <f t="shared" si="38"/>
        <v/>
      </c>
      <c r="BC54" s="1" t="str">
        <f t="shared" si="39"/>
        <v/>
      </c>
      <c r="BD54" s="1">
        <f t="shared" si="40"/>
        <v>0.22755040884530778</v>
      </c>
      <c r="BE54" s="1" t="str">
        <f t="shared" si="41"/>
        <v/>
      </c>
      <c r="BF54" s="2" t="str">
        <f t="shared" si="42"/>
        <v/>
      </c>
      <c r="BG54" s="2">
        <f t="shared" si="43"/>
        <v>0.22755040884530778</v>
      </c>
    </row>
    <row r="55" spans="2:59">
      <c r="B55" s="1"/>
      <c r="C55" s="34">
        <v>10</v>
      </c>
      <c r="D55" s="148" t="str">
        <f t="shared" si="1"/>
        <v>1</v>
      </c>
      <c r="E55" s="2">
        <v>2</v>
      </c>
      <c r="F55" s="1">
        <f t="shared" si="2"/>
        <v>58.554999999999993</v>
      </c>
      <c r="G55" s="1">
        <f t="shared" si="2"/>
        <v>58.709349999999993</v>
      </c>
      <c r="H55" s="1">
        <f t="shared" si="3"/>
        <v>56.349999999999994</v>
      </c>
      <c r="I55" s="1">
        <f t="shared" si="3"/>
        <v>57.533349999999992</v>
      </c>
      <c r="J55" s="149">
        <v>1162479.3559664465</v>
      </c>
      <c r="K55" s="149">
        <v>880158.55648699519</v>
      </c>
      <c r="L55" s="149">
        <v>1948813.6313182237</v>
      </c>
      <c r="M55" s="138">
        <v>612.73125817532093</v>
      </c>
      <c r="N55" s="138">
        <v>10490.459158868067</v>
      </c>
      <c r="O55" s="103">
        <v>363.10311963876768</v>
      </c>
      <c r="P55" s="1">
        <f t="shared" si="4"/>
        <v>98.162022598056055</v>
      </c>
      <c r="Q55" s="2">
        <f t="shared" si="5"/>
        <v>13.026293794037066</v>
      </c>
      <c r="R55" s="32">
        <f t="shared" si="6"/>
        <v>114111.32481015197</v>
      </c>
      <c r="S55" s="147">
        <f t="shared" si="7"/>
        <v>25385.818911375416</v>
      </c>
      <c r="T55" s="1" t="str">
        <f t="shared" si="8"/>
        <v/>
      </c>
      <c r="U55" s="1" t="str">
        <f t="shared" si="9"/>
        <v/>
      </c>
      <c r="V55" s="1" t="str">
        <f t="shared" si="10"/>
        <v/>
      </c>
      <c r="W55" s="1" t="str">
        <f t="shared" si="11"/>
        <v/>
      </c>
      <c r="X55" s="1">
        <f t="shared" si="12"/>
        <v>117.10999999999999</v>
      </c>
      <c r="Y55" s="1">
        <f t="shared" si="13"/>
        <v>117.41869999999999</v>
      </c>
      <c r="Z55" s="1">
        <f t="shared" si="14"/>
        <v>112.69999999999999</v>
      </c>
      <c r="AA55" s="1">
        <f t="shared" si="15"/>
        <v>115.06669999999998</v>
      </c>
      <c r="AB55" s="1" t="str">
        <f t="shared" si="16"/>
        <v/>
      </c>
      <c r="AC55" s="1" t="str">
        <f t="shared" si="17"/>
        <v/>
      </c>
      <c r="AD55" s="1" t="str">
        <f t="shared" si="18"/>
        <v/>
      </c>
      <c r="AE55" s="2" t="str">
        <f t="shared" si="19"/>
        <v/>
      </c>
      <c r="AF55" s="1" t="str">
        <f t="shared" si="20"/>
        <v/>
      </c>
      <c r="AG55" s="1" t="str">
        <f t="shared" si="21"/>
        <v/>
      </c>
      <c r="AH55" s="2" t="str">
        <f t="shared" si="22"/>
        <v/>
      </c>
      <c r="AI55" s="1" t="str">
        <f t="shared" si="23"/>
        <v/>
      </c>
      <c r="AJ55" s="1">
        <v>1</v>
      </c>
      <c r="AK55" s="1">
        <v>0</v>
      </c>
      <c r="AL55" s="1">
        <v>0.91333333333333333</v>
      </c>
      <c r="AM55" s="2">
        <f t="shared" si="24"/>
        <v>14.054431465019141</v>
      </c>
      <c r="AN55" s="1">
        <f t="shared" si="25"/>
        <v>128.36380738050815</v>
      </c>
      <c r="AO55" s="1">
        <f t="shared" si="26"/>
        <v>11.253807380508164</v>
      </c>
      <c r="AP55" s="34">
        <f t="shared" si="27"/>
        <v>-1945.1603000000002</v>
      </c>
      <c r="AQ55" s="34">
        <v>1302045.8596497206</v>
      </c>
      <c r="AR55" s="34">
        <f t="shared" si="28"/>
        <v>-64.350209203787998</v>
      </c>
      <c r="AS55" s="34">
        <f t="shared" si="29"/>
        <v>-141.89221129435242</v>
      </c>
      <c r="AT55" s="1">
        <f t="shared" si="30"/>
        <v>13.708717922260059</v>
      </c>
      <c r="AU55" s="1" t="str">
        <f t="shared" si="31"/>
        <v/>
      </c>
      <c r="AV55" s="1">
        <f t="shared" si="32"/>
        <v>614.87790748978182</v>
      </c>
      <c r="AW55" s="1" t="str">
        <f t="shared" si="33"/>
        <v/>
      </c>
      <c r="AX55" s="2" t="str">
        <f t="shared" si="34"/>
        <v/>
      </c>
      <c r="AY55" s="1" t="str">
        <f t="shared" si="35"/>
        <v/>
      </c>
      <c r="AZ55" s="1">
        <f t="shared" si="36"/>
        <v>1.2211420580118747E-4</v>
      </c>
      <c r="BA55" s="1" t="str">
        <f t="shared" si="37"/>
        <v/>
      </c>
      <c r="BB55" s="2" t="str">
        <f t="shared" si="38"/>
        <v/>
      </c>
      <c r="BC55" s="1" t="str">
        <f t="shared" si="39"/>
        <v/>
      </c>
      <c r="BD55" s="1">
        <f t="shared" si="40"/>
        <v>0.22438485315968199</v>
      </c>
      <c r="BE55" s="1" t="str">
        <f t="shared" si="41"/>
        <v/>
      </c>
      <c r="BF55" s="2" t="str">
        <f t="shared" si="42"/>
        <v/>
      </c>
      <c r="BG55" s="2">
        <f t="shared" si="43"/>
        <v>0.22438485315968199</v>
      </c>
    </row>
    <row r="56" spans="2:59">
      <c r="B56" s="1"/>
      <c r="C56" s="34">
        <v>11</v>
      </c>
      <c r="D56" s="148" t="str">
        <f t="shared" si="1"/>
        <v>1</v>
      </c>
      <c r="E56" s="2">
        <v>2.2000000000000002</v>
      </c>
      <c r="F56" s="1">
        <f t="shared" si="2"/>
        <v>57.754999999999995</v>
      </c>
      <c r="G56" s="1">
        <f t="shared" si="2"/>
        <v>57.892549999999993</v>
      </c>
      <c r="H56" s="1">
        <f t="shared" si="3"/>
        <v>55.55</v>
      </c>
      <c r="I56" s="1">
        <f t="shared" si="3"/>
        <v>56.716549999999991</v>
      </c>
      <c r="J56" s="149">
        <v>1114569.0696443412</v>
      </c>
      <c r="K56" s="149">
        <v>843612.00815889728</v>
      </c>
      <c r="L56" s="149">
        <v>1868206.6282120994</v>
      </c>
      <c r="M56" s="138">
        <v>604.17150583651039</v>
      </c>
      <c r="N56" s="138">
        <v>10199.010963173529</v>
      </c>
      <c r="O56" s="103">
        <v>358.02341798925573</v>
      </c>
      <c r="P56" s="1">
        <f t="shared" si="4"/>
        <v>98.162022598056055</v>
      </c>
      <c r="Q56" s="2">
        <f t="shared" si="5"/>
        <v>13.026293794037066</v>
      </c>
      <c r="R56" s="32">
        <f t="shared" si="6"/>
        <v>109408.35420152215</v>
      </c>
      <c r="S56" s="147">
        <f t="shared" si="7"/>
        <v>24335.808407058183</v>
      </c>
      <c r="T56" s="1" t="str">
        <f t="shared" si="8"/>
        <v/>
      </c>
      <c r="U56" s="1" t="str">
        <f t="shared" si="9"/>
        <v/>
      </c>
      <c r="V56" s="1" t="str">
        <f t="shared" si="10"/>
        <v/>
      </c>
      <c r="W56" s="1" t="str">
        <f t="shared" si="11"/>
        <v/>
      </c>
      <c r="X56" s="1">
        <f t="shared" si="12"/>
        <v>115.50999999999999</v>
      </c>
      <c r="Y56" s="1">
        <f t="shared" si="13"/>
        <v>115.78509999999999</v>
      </c>
      <c r="Z56" s="1">
        <f t="shared" si="14"/>
        <v>111.1</v>
      </c>
      <c r="AA56" s="1">
        <f t="shared" si="15"/>
        <v>113.43309999999998</v>
      </c>
      <c r="AB56" s="1" t="str">
        <f t="shared" si="16"/>
        <v/>
      </c>
      <c r="AC56" s="1" t="str">
        <f t="shared" si="17"/>
        <v/>
      </c>
      <c r="AD56" s="1" t="str">
        <f t="shared" si="18"/>
        <v/>
      </c>
      <c r="AE56" s="2" t="str">
        <f t="shared" si="19"/>
        <v/>
      </c>
      <c r="AF56" s="1" t="str">
        <f t="shared" si="20"/>
        <v/>
      </c>
      <c r="AG56" s="1" t="str">
        <f t="shared" si="21"/>
        <v/>
      </c>
      <c r="AH56" s="2" t="str">
        <f t="shared" si="22"/>
        <v/>
      </c>
      <c r="AI56" s="1" t="str">
        <f t="shared" si="23"/>
        <v/>
      </c>
      <c r="AJ56" s="1">
        <v>1</v>
      </c>
      <c r="AK56" s="1">
        <v>0</v>
      </c>
      <c r="AL56" s="1">
        <v>0.90500000000000003</v>
      </c>
      <c r="AM56" s="2">
        <f t="shared" si="24"/>
        <v>14.054431465019141</v>
      </c>
      <c r="AN56" s="1">
        <f t="shared" si="25"/>
        <v>127.19260475842323</v>
      </c>
      <c r="AO56" s="1">
        <f t="shared" si="26"/>
        <v>11.682604758423238</v>
      </c>
      <c r="AP56" s="34">
        <f t="shared" si="27"/>
        <v>-1945.1603000000002</v>
      </c>
      <c r="AQ56" s="34">
        <v>1243018.8374463071</v>
      </c>
      <c r="AR56" s="34">
        <f t="shared" si="28"/>
        <v>-63.181481171820025</v>
      </c>
      <c r="AS56" s="34">
        <f t="shared" si="29"/>
        <v>-139.31516598386304</v>
      </c>
      <c r="AT56" s="1">
        <f t="shared" si="30"/>
        <v>13.962301134000798</v>
      </c>
      <c r="AU56" s="1" t="str">
        <f t="shared" si="31"/>
        <v/>
      </c>
      <c r="AV56" s="1">
        <f t="shared" si="32"/>
        <v>606.26415052209211</v>
      </c>
      <c r="AW56" s="1" t="str">
        <f t="shared" si="33"/>
        <v/>
      </c>
      <c r="AX56" s="2" t="str">
        <f t="shared" si="34"/>
        <v/>
      </c>
      <c r="AY56" s="1" t="str">
        <f t="shared" si="35"/>
        <v/>
      </c>
      <c r="AZ56" s="1">
        <f t="shared" si="36"/>
        <v>1.2039145440764971E-4</v>
      </c>
      <c r="BA56" s="1" t="str">
        <f t="shared" si="37"/>
        <v/>
      </c>
      <c r="BB56" s="2" t="str">
        <f t="shared" si="38"/>
        <v/>
      </c>
      <c r="BC56" s="1" t="str">
        <f t="shared" si="39"/>
        <v/>
      </c>
      <c r="BD56" s="1">
        <f t="shared" si="40"/>
        <v>0.22121929747405639</v>
      </c>
      <c r="BE56" s="1" t="str">
        <f t="shared" si="41"/>
        <v/>
      </c>
      <c r="BF56" s="2" t="str">
        <f t="shared" si="42"/>
        <v/>
      </c>
      <c r="BG56" s="2">
        <f t="shared" si="43"/>
        <v>0.22121929747405639</v>
      </c>
    </row>
    <row r="57" spans="2:59">
      <c r="B57" s="1"/>
      <c r="C57" s="34">
        <v>12</v>
      </c>
      <c r="D57" s="148" t="str">
        <f t="shared" si="1"/>
        <v>1</v>
      </c>
      <c r="E57" s="2">
        <v>2.4000000000000004</v>
      </c>
      <c r="F57" s="1">
        <f t="shared" si="2"/>
        <v>56.954999999999991</v>
      </c>
      <c r="G57" s="1">
        <f t="shared" si="2"/>
        <v>57.075749999999992</v>
      </c>
      <c r="H57" s="1">
        <f t="shared" si="3"/>
        <v>54.749999999999993</v>
      </c>
      <c r="I57" s="1">
        <f t="shared" si="3"/>
        <v>55.89974999999999</v>
      </c>
      <c r="J57" s="149">
        <v>1067993.5828292519</v>
      </c>
      <c r="K57" s="149">
        <v>808091.39693825366</v>
      </c>
      <c r="L57" s="149">
        <v>1789853.5113139381</v>
      </c>
      <c r="M57" s="138">
        <v>595.6117522843299</v>
      </c>
      <c r="N57" s="138">
        <v>9911.6684520861127</v>
      </c>
      <c r="O57" s="103">
        <v>352.94371791125508</v>
      </c>
      <c r="P57" s="1">
        <f t="shared" si="4"/>
        <v>98.162022598056055</v>
      </c>
      <c r="Q57" s="2">
        <f t="shared" si="5"/>
        <v>13.026293794037066</v>
      </c>
      <c r="R57" s="32">
        <f t="shared" si="6"/>
        <v>104836.41021226389</v>
      </c>
      <c r="S57" s="147">
        <f t="shared" si="7"/>
        <v>23315.157686664203</v>
      </c>
      <c r="T57" s="1" t="str">
        <f t="shared" si="8"/>
        <v/>
      </c>
      <c r="U57" s="1" t="str">
        <f t="shared" si="9"/>
        <v/>
      </c>
      <c r="V57" s="1" t="str">
        <f t="shared" si="10"/>
        <v/>
      </c>
      <c r="W57" s="1" t="str">
        <f t="shared" si="11"/>
        <v/>
      </c>
      <c r="X57" s="1">
        <f t="shared" si="12"/>
        <v>113.90999999999998</v>
      </c>
      <c r="Y57" s="1">
        <f t="shared" si="13"/>
        <v>114.15149999999998</v>
      </c>
      <c r="Z57" s="1">
        <f t="shared" si="14"/>
        <v>109.49999999999999</v>
      </c>
      <c r="AA57" s="1">
        <f t="shared" si="15"/>
        <v>111.79949999999998</v>
      </c>
      <c r="AB57" s="1" t="str">
        <f t="shared" si="16"/>
        <v/>
      </c>
      <c r="AC57" s="1" t="str">
        <f t="shared" si="17"/>
        <v/>
      </c>
      <c r="AD57" s="1" t="str">
        <f t="shared" si="18"/>
        <v/>
      </c>
      <c r="AE57" s="2" t="str">
        <f t="shared" si="19"/>
        <v/>
      </c>
      <c r="AF57" s="1" t="str">
        <f t="shared" si="20"/>
        <v/>
      </c>
      <c r="AG57" s="1" t="str">
        <f t="shared" si="21"/>
        <v/>
      </c>
      <c r="AH57" s="2" t="str">
        <f t="shared" si="22"/>
        <v/>
      </c>
      <c r="AI57" s="1" t="str">
        <f t="shared" si="23"/>
        <v/>
      </c>
      <c r="AJ57" s="1">
        <v>1</v>
      </c>
      <c r="AK57" s="1">
        <v>0</v>
      </c>
      <c r="AL57" s="1">
        <v>0.89666666666666672</v>
      </c>
      <c r="AM57" s="2">
        <f t="shared" si="24"/>
        <v>14.054431465019141</v>
      </c>
      <c r="AN57" s="1">
        <f t="shared" si="25"/>
        <v>126.02140213633831</v>
      </c>
      <c r="AO57" s="1">
        <f t="shared" si="26"/>
        <v>12.111402136338327</v>
      </c>
      <c r="AP57" s="34">
        <f t="shared" si="27"/>
        <v>-1945.1603000000002</v>
      </c>
      <c r="AQ57" s="34">
        <v>1185559.2546073215</v>
      </c>
      <c r="AR57" s="34">
        <f t="shared" si="28"/>
        <v>-62.000792263694656</v>
      </c>
      <c r="AS57" s="34">
        <f t="shared" si="29"/>
        <v>-136.71174694144662</v>
      </c>
      <c r="AT57" s="1">
        <f t="shared" si="30"/>
        <v>14.228186995760566</v>
      </c>
      <c r="AU57" s="1" t="str">
        <f t="shared" si="31"/>
        <v/>
      </c>
      <c r="AV57" s="1">
        <f t="shared" si="32"/>
        <v>597.65039355440388</v>
      </c>
      <c r="AW57" s="1" t="str">
        <f t="shared" si="33"/>
        <v/>
      </c>
      <c r="AX57" s="2" t="str">
        <f t="shared" si="34"/>
        <v/>
      </c>
      <c r="AY57" s="1" t="str">
        <f t="shared" si="35"/>
        <v/>
      </c>
      <c r="AZ57" s="1">
        <f t="shared" si="36"/>
        <v>1.1866870301411166E-4</v>
      </c>
      <c r="BA57" s="1" t="str">
        <f t="shared" si="37"/>
        <v/>
      </c>
      <c r="BB57" s="2" t="str">
        <f t="shared" si="38"/>
        <v/>
      </c>
      <c r="BC57" s="1" t="str">
        <f t="shared" si="39"/>
        <v/>
      </c>
      <c r="BD57" s="1">
        <f t="shared" si="40"/>
        <v>0.21805374178843021</v>
      </c>
      <c r="BE57" s="1" t="str">
        <f t="shared" si="41"/>
        <v/>
      </c>
      <c r="BF57" s="2" t="str">
        <f t="shared" si="42"/>
        <v/>
      </c>
      <c r="BG57" s="2">
        <f t="shared" si="43"/>
        <v>0.21805374178843021</v>
      </c>
    </row>
    <row r="58" spans="2:59">
      <c r="B58" s="1"/>
      <c r="C58" s="34">
        <v>13</v>
      </c>
      <c r="D58" s="148" t="str">
        <f t="shared" si="1"/>
        <v>1</v>
      </c>
      <c r="E58" s="2">
        <v>2.6</v>
      </c>
      <c r="F58" s="1">
        <f t="shared" si="2"/>
        <v>56.154999999999994</v>
      </c>
      <c r="G58" s="1">
        <f t="shared" si="2"/>
        <v>56.258949999999992</v>
      </c>
      <c r="H58" s="1">
        <f t="shared" si="3"/>
        <v>53.949999999999996</v>
      </c>
      <c r="I58" s="1">
        <f t="shared" si="3"/>
        <v>55.08294999999999</v>
      </c>
      <c r="J58" s="149">
        <v>1022734.0376046608</v>
      </c>
      <c r="K58" s="149">
        <v>773582.11680316285</v>
      </c>
      <c r="L58" s="149">
        <v>1713722.3215004613</v>
      </c>
      <c r="M58" s="138">
        <v>587.05199746732103</v>
      </c>
      <c r="N58" s="138">
        <v>9628.4316256058191</v>
      </c>
      <c r="O58" s="103">
        <v>347.86401947362452</v>
      </c>
      <c r="P58" s="1">
        <f t="shared" si="4"/>
        <v>98.162022598056055</v>
      </c>
      <c r="Q58" s="2">
        <f t="shared" si="5"/>
        <v>13.026293794037066</v>
      </c>
      <c r="R58" s="32">
        <f t="shared" si="6"/>
        <v>100393.64171114984</v>
      </c>
      <c r="S58" s="147">
        <f t="shared" si="7"/>
        <v>22323.450441264253</v>
      </c>
      <c r="T58" s="1" t="str">
        <f t="shared" si="8"/>
        <v/>
      </c>
      <c r="U58" s="1" t="str">
        <f t="shared" si="9"/>
        <v/>
      </c>
      <c r="V58" s="1" t="str">
        <f t="shared" si="10"/>
        <v/>
      </c>
      <c r="W58" s="1" t="str">
        <f t="shared" si="11"/>
        <v/>
      </c>
      <c r="X58" s="1">
        <f t="shared" si="12"/>
        <v>112.30999999999999</v>
      </c>
      <c r="Y58" s="1">
        <f t="shared" si="13"/>
        <v>112.51789999999998</v>
      </c>
      <c r="Z58" s="1">
        <f t="shared" si="14"/>
        <v>107.89999999999999</v>
      </c>
      <c r="AA58" s="1">
        <f t="shared" si="15"/>
        <v>110.16589999999998</v>
      </c>
      <c r="AB58" s="1" t="str">
        <f t="shared" si="16"/>
        <v/>
      </c>
      <c r="AC58" s="1" t="str">
        <f t="shared" si="17"/>
        <v/>
      </c>
      <c r="AD58" s="1" t="str">
        <f t="shared" si="18"/>
        <v/>
      </c>
      <c r="AE58" s="2" t="str">
        <f t="shared" si="19"/>
        <v/>
      </c>
      <c r="AF58" s="1" t="str">
        <f t="shared" si="20"/>
        <v/>
      </c>
      <c r="AG58" s="1" t="str">
        <f t="shared" si="21"/>
        <v/>
      </c>
      <c r="AH58" s="2" t="str">
        <f t="shared" si="22"/>
        <v/>
      </c>
      <c r="AI58" s="1" t="str">
        <f t="shared" si="23"/>
        <v/>
      </c>
      <c r="AJ58" s="1">
        <v>1</v>
      </c>
      <c r="AK58" s="1">
        <v>0</v>
      </c>
      <c r="AL58" s="1">
        <v>0.88833333333333331</v>
      </c>
      <c r="AM58" s="2">
        <f t="shared" si="24"/>
        <v>14.054431465019141</v>
      </c>
      <c r="AN58" s="1">
        <f t="shared" si="25"/>
        <v>124.85019951425336</v>
      </c>
      <c r="AO58" s="1">
        <f t="shared" si="26"/>
        <v>12.540199514253374</v>
      </c>
      <c r="AP58" s="34">
        <f t="shared" si="27"/>
        <v>-1945.1603000000002</v>
      </c>
      <c r="AQ58" s="34">
        <v>1129658.6213039625</v>
      </c>
      <c r="AR58" s="34">
        <f t="shared" si="28"/>
        <v>-60.808117225659622</v>
      </c>
      <c r="AS58" s="34">
        <f t="shared" si="29"/>
        <v>-134.08189848257936</v>
      </c>
      <c r="AT58" s="1">
        <f t="shared" si="30"/>
        <v>14.507255058390495</v>
      </c>
      <c r="AU58" s="1" t="str">
        <f t="shared" si="31"/>
        <v/>
      </c>
      <c r="AV58" s="1">
        <f t="shared" si="32"/>
        <v>589.03663658671428</v>
      </c>
      <c r="AW58" s="1" t="str">
        <f t="shared" si="33"/>
        <v/>
      </c>
      <c r="AX58" s="2" t="str">
        <f t="shared" si="34"/>
        <v/>
      </c>
      <c r="AY58" s="1" t="str">
        <f t="shared" si="35"/>
        <v/>
      </c>
      <c r="AZ58" s="1">
        <f t="shared" si="36"/>
        <v>1.1694595162057414E-4</v>
      </c>
      <c r="BA58" s="1" t="str">
        <f t="shared" si="37"/>
        <v/>
      </c>
      <c r="BB58" s="2" t="str">
        <f t="shared" si="38"/>
        <v/>
      </c>
      <c r="BC58" s="1" t="str">
        <f t="shared" si="39"/>
        <v/>
      </c>
      <c r="BD58" s="1">
        <f t="shared" si="40"/>
        <v>0.214888186102805</v>
      </c>
      <c r="BE58" s="1" t="str">
        <f t="shared" si="41"/>
        <v/>
      </c>
      <c r="BF58" s="2" t="str">
        <f t="shared" si="42"/>
        <v/>
      </c>
      <c r="BG58" s="2">
        <f t="shared" si="43"/>
        <v>0.214888186102805</v>
      </c>
    </row>
    <row r="59" spans="2:59">
      <c r="B59" s="1"/>
      <c r="C59" s="34">
        <v>14</v>
      </c>
      <c r="D59" s="148" t="str">
        <f t="shared" si="1"/>
        <v>1</v>
      </c>
      <c r="E59" s="2">
        <v>2.8000000000000003</v>
      </c>
      <c r="F59" s="1">
        <f t="shared" si="2"/>
        <v>55.35499999999999</v>
      </c>
      <c r="G59" s="1">
        <f t="shared" si="2"/>
        <v>55.442149999999991</v>
      </c>
      <c r="H59" s="1">
        <f t="shared" si="3"/>
        <v>53.149999999999991</v>
      </c>
      <c r="I59" s="1">
        <f t="shared" si="3"/>
        <v>54.266149999999989</v>
      </c>
      <c r="J59" s="149">
        <v>978771.57605400751</v>
      </c>
      <c r="K59" s="149">
        <v>740069.56173170661</v>
      </c>
      <c r="L59" s="149">
        <v>1639781.0996483159</v>
      </c>
      <c r="M59" s="138">
        <v>578.49224133104042</v>
      </c>
      <c r="N59" s="138">
        <v>9349.3004837326498</v>
      </c>
      <c r="O59" s="103">
        <v>342.7843227492678</v>
      </c>
      <c r="P59" s="1">
        <f t="shared" si="4"/>
        <v>98.162022598056055</v>
      </c>
      <c r="Q59" s="2">
        <f t="shared" si="5"/>
        <v>13.026293794037066</v>
      </c>
      <c r="R59" s="32">
        <f t="shared" si="6"/>
        <v>96078.197566948424</v>
      </c>
      <c r="S59" s="147">
        <f t="shared" si="7"/>
        <v>21360.270361928131</v>
      </c>
      <c r="T59" s="1" t="str">
        <f t="shared" si="8"/>
        <v/>
      </c>
      <c r="U59" s="1" t="str">
        <f t="shared" si="9"/>
        <v/>
      </c>
      <c r="V59" s="1" t="str">
        <f t="shared" si="10"/>
        <v/>
      </c>
      <c r="W59" s="1" t="str">
        <f t="shared" si="11"/>
        <v/>
      </c>
      <c r="X59" s="1">
        <f t="shared" si="12"/>
        <v>110.70999999999998</v>
      </c>
      <c r="Y59" s="1">
        <f t="shared" si="13"/>
        <v>110.88429999999998</v>
      </c>
      <c r="Z59" s="1">
        <f t="shared" si="14"/>
        <v>106.29999999999998</v>
      </c>
      <c r="AA59" s="1">
        <f t="shared" si="15"/>
        <v>108.53229999999998</v>
      </c>
      <c r="AB59" s="1" t="str">
        <f t="shared" si="16"/>
        <v/>
      </c>
      <c r="AC59" s="1" t="str">
        <f t="shared" si="17"/>
        <v/>
      </c>
      <c r="AD59" s="1" t="str">
        <f t="shared" si="18"/>
        <v/>
      </c>
      <c r="AE59" s="2" t="str">
        <f t="shared" si="19"/>
        <v/>
      </c>
      <c r="AF59" s="1" t="str">
        <f t="shared" si="20"/>
        <v/>
      </c>
      <c r="AG59" s="1" t="str">
        <f t="shared" si="21"/>
        <v/>
      </c>
      <c r="AH59" s="2" t="str">
        <f t="shared" si="22"/>
        <v/>
      </c>
      <c r="AI59" s="1" t="str">
        <f t="shared" si="23"/>
        <v/>
      </c>
      <c r="AJ59" s="1">
        <v>1</v>
      </c>
      <c r="AK59" s="1">
        <v>0</v>
      </c>
      <c r="AL59" s="1">
        <v>0.88</v>
      </c>
      <c r="AM59" s="2">
        <f t="shared" si="24"/>
        <v>14.054431465019141</v>
      </c>
      <c r="AN59" s="1">
        <f t="shared" si="25"/>
        <v>123.67899689216844</v>
      </c>
      <c r="AO59" s="1">
        <f t="shared" si="26"/>
        <v>12.968996892168462</v>
      </c>
      <c r="AP59" s="34">
        <f t="shared" si="27"/>
        <v>-1945.1603000000002</v>
      </c>
      <c r="AQ59" s="34">
        <v>1075307.7005926801</v>
      </c>
      <c r="AR59" s="34">
        <f t="shared" si="28"/>
        <v>-59.603417644798192</v>
      </c>
      <c r="AS59" s="34">
        <f t="shared" si="29"/>
        <v>-131.42553590677991</v>
      </c>
      <c r="AT59" s="1">
        <f t="shared" si="30"/>
        <v>14.800474554501355</v>
      </c>
      <c r="AU59" s="1" t="str">
        <f t="shared" si="31"/>
        <v/>
      </c>
      <c r="AV59" s="1">
        <f t="shared" si="32"/>
        <v>580.42287961902605</v>
      </c>
      <c r="AW59" s="1" t="str">
        <f t="shared" si="33"/>
        <v/>
      </c>
      <c r="AX59" s="2" t="str">
        <f t="shared" si="34"/>
        <v/>
      </c>
      <c r="AY59" s="1" t="str">
        <f t="shared" si="35"/>
        <v/>
      </c>
      <c r="AZ59" s="1">
        <f t="shared" si="36"/>
        <v>1.1522320022703594E-4</v>
      </c>
      <c r="BA59" s="1" t="str">
        <f t="shared" si="37"/>
        <v/>
      </c>
      <c r="BB59" s="2" t="str">
        <f t="shared" si="38"/>
        <v/>
      </c>
      <c r="BC59" s="1" t="str">
        <f t="shared" si="39"/>
        <v/>
      </c>
      <c r="BD59" s="1">
        <f t="shared" si="40"/>
        <v>0.21172263041717854</v>
      </c>
      <c r="BE59" s="1" t="str">
        <f t="shared" si="41"/>
        <v/>
      </c>
      <c r="BF59" s="2" t="str">
        <f t="shared" si="42"/>
        <v/>
      </c>
      <c r="BG59" s="2">
        <f t="shared" si="43"/>
        <v>0.21172263041717854</v>
      </c>
    </row>
    <row r="60" spans="2:59">
      <c r="B60" s="1"/>
      <c r="C60" s="34">
        <v>15</v>
      </c>
      <c r="D60" s="148" t="str">
        <f t="shared" si="1"/>
        <v>1</v>
      </c>
      <c r="E60" s="2">
        <v>3</v>
      </c>
      <c r="F60" s="1">
        <f t="shared" si="2"/>
        <v>54.554999999999993</v>
      </c>
      <c r="G60" s="1">
        <f t="shared" si="2"/>
        <v>54.62534999999999</v>
      </c>
      <c r="H60" s="1">
        <f t="shared" si="3"/>
        <v>52.349999999999994</v>
      </c>
      <c r="I60" s="1">
        <f t="shared" si="3"/>
        <v>53.449349999999988</v>
      </c>
      <c r="J60" s="149">
        <v>936087.34026076098</v>
      </c>
      <c r="K60" s="149">
        <v>707539.12570196192</v>
      </c>
      <c r="L60" s="149">
        <v>1567997.8866341794</v>
      </c>
      <c r="M60" s="138">
        <v>569.93248381788862</v>
      </c>
      <c r="N60" s="138">
        <v>9074.2750264666047</v>
      </c>
      <c r="O60" s="103">
        <v>337.70462781549355</v>
      </c>
      <c r="P60" s="1">
        <f t="shared" si="4"/>
        <v>98.162022598056055</v>
      </c>
      <c r="Q60" s="2">
        <f t="shared" si="5"/>
        <v>13.026293794037066</v>
      </c>
      <c r="R60" s="32">
        <f t="shared" si="6"/>
        <v>91888.226648431009</v>
      </c>
      <c r="S60" s="147">
        <f t="shared" si="7"/>
        <v>20425.201139726043</v>
      </c>
      <c r="T60" s="1" t="str">
        <f t="shared" si="8"/>
        <v/>
      </c>
      <c r="U60" s="1" t="str">
        <f t="shared" si="9"/>
        <v/>
      </c>
      <c r="V60" s="1" t="str">
        <f t="shared" si="10"/>
        <v/>
      </c>
      <c r="W60" s="1" t="str">
        <f t="shared" si="11"/>
        <v/>
      </c>
      <c r="X60" s="1">
        <f t="shared" si="12"/>
        <v>109.10999999999999</v>
      </c>
      <c r="Y60" s="1">
        <f t="shared" si="13"/>
        <v>109.25069999999998</v>
      </c>
      <c r="Z60" s="1">
        <f t="shared" si="14"/>
        <v>104.69999999999999</v>
      </c>
      <c r="AA60" s="1">
        <f t="shared" si="15"/>
        <v>106.89869999999998</v>
      </c>
      <c r="AB60" s="1" t="str">
        <f t="shared" si="16"/>
        <v/>
      </c>
      <c r="AC60" s="1" t="str">
        <f t="shared" si="17"/>
        <v/>
      </c>
      <c r="AD60" s="1" t="str">
        <f t="shared" si="18"/>
        <v/>
      </c>
      <c r="AE60" s="2" t="str">
        <f t="shared" si="19"/>
        <v/>
      </c>
      <c r="AF60" s="1" t="str">
        <f t="shared" si="20"/>
        <v/>
      </c>
      <c r="AG60" s="1" t="str">
        <f t="shared" si="21"/>
        <v/>
      </c>
      <c r="AH60" s="2" t="str">
        <f t="shared" si="22"/>
        <v/>
      </c>
      <c r="AI60" s="1" t="str">
        <f t="shared" si="23"/>
        <v/>
      </c>
      <c r="AJ60" s="1">
        <v>1</v>
      </c>
      <c r="AK60" s="1">
        <v>0</v>
      </c>
      <c r="AL60" s="1">
        <v>0.8716666666666667</v>
      </c>
      <c r="AM60" s="2">
        <f t="shared" si="24"/>
        <v>14.054431465019141</v>
      </c>
      <c r="AN60" s="1">
        <f t="shared" si="25"/>
        <v>122.50779427008351</v>
      </c>
      <c r="AO60" s="1">
        <f t="shared" si="26"/>
        <v>13.397794270083523</v>
      </c>
      <c r="AP60" s="34">
        <f t="shared" si="27"/>
        <v>-1945.1603000000002</v>
      </c>
      <c r="AQ60" s="34">
        <v>1022496.6579978821</v>
      </c>
      <c r="AR60" s="34">
        <f t="shared" si="28"/>
        <v>-58.38664861807321</v>
      </c>
      <c r="AS60" s="34">
        <f t="shared" si="29"/>
        <v>-128.74256020285134</v>
      </c>
      <c r="AT60" s="1">
        <f t="shared" si="30"/>
        <v>15.108914231122457</v>
      </c>
      <c r="AU60" s="1" t="str">
        <f t="shared" si="31"/>
        <v/>
      </c>
      <c r="AV60" s="1">
        <f t="shared" si="32"/>
        <v>571.80912265133497</v>
      </c>
      <c r="AW60" s="1" t="str">
        <f t="shared" si="33"/>
        <v/>
      </c>
      <c r="AX60" s="2" t="str">
        <f t="shared" si="34"/>
        <v/>
      </c>
      <c r="AY60" s="1" t="str">
        <f t="shared" si="35"/>
        <v/>
      </c>
      <c r="AZ60" s="1">
        <f t="shared" si="36"/>
        <v>1.1350044883349826E-4</v>
      </c>
      <c r="BA60" s="1" t="str">
        <f t="shared" si="37"/>
        <v/>
      </c>
      <c r="BB60" s="2" t="str">
        <f t="shared" si="38"/>
        <v/>
      </c>
      <c r="BC60" s="1" t="str">
        <f t="shared" si="39"/>
        <v/>
      </c>
      <c r="BD60" s="1">
        <f t="shared" si="40"/>
        <v>0.20855707473155308</v>
      </c>
      <c r="BE60" s="1" t="str">
        <f t="shared" si="41"/>
        <v/>
      </c>
      <c r="BF60" s="2" t="str">
        <f t="shared" si="42"/>
        <v/>
      </c>
      <c r="BG60" s="2">
        <f t="shared" si="43"/>
        <v>0.20855707473155308</v>
      </c>
    </row>
    <row r="61" spans="2:59">
      <c r="B61" s="1"/>
      <c r="C61" s="34">
        <v>16</v>
      </c>
      <c r="D61" s="148" t="str">
        <f t="shared" si="1"/>
        <v>1</v>
      </c>
      <c r="E61" s="2">
        <v>3.2</v>
      </c>
      <c r="F61" s="1">
        <f t="shared" si="2"/>
        <v>53.754999999999995</v>
      </c>
      <c r="G61" s="1">
        <f t="shared" si="2"/>
        <v>53.808549999999997</v>
      </c>
      <c r="H61" s="1">
        <f t="shared" si="3"/>
        <v>51.55</v>
      </c>
      <c r="I61" s="1">
        <f t="shared" si="3"/>
        <v>52.632549999999995</v>
      </c>
      <c r="J61" s="149">
        <v>894662.47230836493</v>
      </c>
      <c r="K61" s="149">
        <v>675976.20269203314</v>
      </c>
      <c r="L61" s="149">
        <v>1498340.7233347523</v>
      </c>
      <c r="M61" s="138">
        <v>561.37272486687107</v>
      </c>
      <c r="N61" s="138">
        <v>8803.3552538076838</v>
      </c>
      <c r="O61" s="103">
        <v>332.62493475432638</v>
      </c>
      <c r="P61" s="1">
        <f t="shared" si="4"/>
        <v>98.162022598056055</v>
      </c>
      <c r="Q61" s="2">
        <f t="shared" si="5"/>
        <v>13.026293794037066</v>
      </c>
      <c r="R61" s="32">
        <f t="shared" si="6"/>
        <v>87821.877824366413</v>
      </c>
      <c r="S61" s="147">
        <f t="shared" si="7"/>
        <v>19517.826465728493</v>
      </c>
      <c r="T61" s="1" t="str">
        <f t="shared" si="8"/>
        <v/>
      </c>
      <c r="U61" s="1" t="str">
        <f t="shared" si="9"/>
        <v/>
      </c>
      <c r="V61" s="1" t="str">
        <f t="shared" si="10"/>
        <v/>
      </c>
      <c r="W61" s="1" t="str">
        <f t="shared" si="11"/>
        <v/>
      </c>
      <c r="X61" s="1">
        <f t="shared" si="12"/>
        <v>107.50999999999999</v>
      </c>
      <c r="Y61" s="1">
        <f t="shared" si="13"/>
        <v>107.61709999999999</v>
      </c>
      <c r="Z61" s="1">
        <f t="shared" si="14"/>
        <v>103.1</v>
      </c>
      <c r="AA61" s="1">
        <f t="shared" si="15"/>
        <v>105.26509999999999</v>
      </c>
      <c r="AB61" s="1" t="str">
        <f t="shared" si="16"/>
        <v/>
      </c>
      <c r="AC61" s="1" t="str">
        <f t="shared" si="17"/>
        <v/>
      </c>
      <c r="AD61" s="1" t="str">
        <f t="shared" si="18"/>
        <v/>
      </c>
      <c r="AE61" s="2" t="str">
        <f t="shared" si="19"/>
        <v/>
      </c>
      <c r="AF61" s="1" t="str">
        <f t="shared" si="20"/>
        <v/>
      </c>
      <c r="AG61" s="1" t="str">
        <f t="shared" si="21"/>
        <v/>
      </c>
      <c r="AH61" s="2" t="str">
        <f t="shared" si="22"/>
        <v/>
      </c>
      <c r="AI61" s="1" t="str">
        <f t="shared" si="23"/>
        <v/>
      </c>
      <c r="AJ61" s="1">
        <v>1</v>
      </c>
      <c r="AK61" s="1">
        <v>0</v>
      </c>
      <c r="AL61" s="1">
        <v>0.86333333333333329</v>
      </c>
      <c r="AM61" s="2">
        <f t="shared" si="24"/>
        <v>14.054431465019141</v>
      </c>
      <c r="AN61" s="1">
        <f t="shared" si="25"/>
        <v>121.33659164799857</v>
      </c>
      <c r="AO61" s="1">
        <f t="shared" si="26"/>
        <v>13.826591647998583</v>
      </c>
      <c r="AP61" s="34">
        <f t="shared" si="27"/>
        <v>-1945.1603000000002</v>
      </c>
      <c r="AQ61" s="34">
        <v>971215.16321827006</v>
      </c>
      <c r="AR61" s="34">
        <f t="shared" si="28"/>
        <v>-57.157763921190281</v>
      </c>
      <c r="AS61" s="34">
        <f t="shared" si="29"/>
        <v>-126.03286944622447</v>
      </c>
      <c r="AT61" s="1">
        <f t="shared" si="30"/>
        <v>15.433753976616066</v>
      </c>
      <c r="AU61" s="1" t="str">
        <f t="shared" si="31"/>
        <v/>
      </c>
      <c r="AV61" s="1">
        <f t="shared" si="32"/>
        <v>563.19536568364674</v>
      </c>
      <c r="AW61" s="1" t="str">
        <f t="shared" si="33"/>
        <v/>
      </c>
      <c r="AX61" s="2" t="str">
        <f t="shared" si="34"/>
        <v/>
      </c>
      <c r="AY61" s="1" t="str">
        <f t="shared" si="35"/>
        <v/>
      </c>
      <c r="AZ61" s="1">
        <f t="shared" si="36"/>
        <v>1.1177769743996063E-4</v>
      </c>
      <c r="BA61" s="1" t="str">
        <f t="shared" si="37"/>
        <v/>
      </c>
      <c r="BB61" s="2" t="str">
        <f t="shared" si="38"/>
        <v/>
      </c>
      <c r="BC61" s="1" t="str">
        <f t="shared" si="39"/>
        <v/>
      </c>
      <c r="BD61" s="1">
        <f t="shared" si="40"/>
        <v>0.20539151904592767</v>
      </c>
      <c r="BE61" s="1" t="str">
        <f t="shared" si="41"/>
        <v/>
      </c>
      <c r="BF61" s="2" t="str">
        <f t="shared" si="42"/>
        <v/>
      </c>
      <c r="BG61" s="2">
        <f t="shared" si="43"/>
        <v>0.20539151904592767</v>
      </c>
    </row>
    <row r="62" spans="2:59">
      <c r="B62" s="1"/>
      <c r="C62" s="34">
        <v>17</v>
      </c>
      <c r="D62" s="148" t="str">
        <f t="shared" si="1"/>
        <v>1</v>
      </c>
      <c r="E62" s="2">
        <v>3.4000000000000004</v>
      </c>
      <c r="F62" s="1">
        <f t="shared" si="2"/>
        <v>52.954999999999991</v>
      </c>
      <c r="G62" s="1">
        <f t="shared" si="2"/>
        <v>52.991749999999989</v>
      </c>
      <c r="H62" s="1">
        <f t="shared" si="3"/>
        <v>50.749999999999993</v>
      </c>
      <c r="I62" s="1">
        <f t="shared" si="3"/>
        <v>51.815749999999987</v>
      </c>
      <c r="J62" s="149">
        <v>854478.11428027973</v>
      </c>
      <c r="K62" s="149">
        <v>645366.18667999899</v>
      </c>
      <c r="L62" s="149">
        <v>1430777.6506266887</v>
      </c>
      <c r="M62" s="138">
        <v>552.81296441332825</v>
      </c>
      <c r="N62" s="138">
        <v>8536.5411657558834</v>
      </c>
      <c r="O62" s="103">
        <v>327.54524365288637</v>
      </c>
      <c r="P62" s="1">
        <f t="shared" si="4"/>
        <v>98.162022598056055</v>
      </c>
      <c r="Q62" s="2">
        <f t="shared" si="5"/>
        <v>13.026293794037066</v>
      </c>
      <c r="R62" s="32">
        <f t="shared" si="6"/>
        <v>83877.299963525147</v>
      </c>
      <c r="S62" s="147">
        <f t="shared" si="7"/>
        <v>18637.730031005369</v>
      </c>
      <c r="T62" s="1" t="str">
        <f t="shared" si="8"/>
        <v/>
      </c>
      <c r="U62" s="1" t="str">
        <f t="shared" si="9"/>
        <v/>
      </c>
      <c r="V62" s="1" t="str">
        <f t="shared" si="10"/>
        <v/>
      </c>
      <c r="W62" s="1" t="str">
        <f t="shared" si="11"/>
        <v/>
      </c>
      <c r="X62" s="1">
        <f t="shared" si="12"/>
        <v>105.90999999999998</v>
      </c>
      <c r="Y62" s="1">
        <f t="shared" si="13"/>
        <v>105.98349999999998</v>
      </c>
      <c r="Z62" s="1">
        <f t="shared" si="14"/>
        <v>101.49999999999999</v>
      </c>
      <c r="AA62" s="1">
        <f t="shared" si="15"/>
        <v>103.63149999999997</v>
      </c>
      <c r="AB62" s="1" t="str">
        <f t="shared" si="16"/>
        <v/>
      </c>
      <c r="AC62" s="1" t="str">
        <f t="shared" si="17"/>
        <v/>
      </c>
      <c r="AD62" s="1" t="str">
        <f t="shared" si="18"/>
        <v/>
      </c>
      <c r="AE62" s="2" t="str">
        <f t="shared" si="19"/>
        <v/>
      </c>
      <c r="AF62" s="1" t="str">
        <f t="shared" si="20"/>
        <v/>
      </c>
      <c r="AG62" s="1" t="str">
        <f t="shared" si="21"/>
        <v/>
      </c>
      <c r="AH62" s="2" t="str">
        <f t="shared" si="22"/>
        <v/>
      </c>
      <c r="AI62" s="1" t="str">
        <f t="shared" si="23"/>
        <v/>
      </c>
      <c r="AJ62" s="1">
        <v>1</v>
      </c>
      <c r="AK62" s="1">
        <v>0</v>
      </c>
      <c r="AL62" s="1">
        <v>0.85499999999999998</v>
      </c>
      <c r="AM62" s="2">
        <f t="shared" si="24"/>
        <v>14.054431465019141</v>
      </c>
      <c r="AN62" s="1">
        <f t="shared" si="25"/>
        <v>120.16538902591364</v>
      </c>
      <c r="AO62" s="1">
        <f t="shared" si="26"/>
        <v>14.255389025913658</v>
      </c>
      <c r="AP62" s="34">
        <f t="shared" si="27"/>
        <v>-1945.1603000000002</v>
      </c>
      <c r="AQ62" s="34">
        <v>921452.46278638695</v>
      </c>
      <c r="AR62" s="34">
        <f t="shared" si="28"/>
        <v>-55.916720426333583</v>
      </c>
      <c r="AS62" s="34">
        <f t="shared" si="29"/>
        <v>-123.29636854006546</v>
      </c>
      <c r="AT62" s="1">
        <f t="shared" si="30"/>
        <v>15.776298386013824</v>
      </c>
      <c r="AU62" s="1" t="str">
        <f t="shared" si="31"/>
        <v/>
      </c>
      <c r="AV62" s="1">
        <f t="shared" si="32"/>
        <v>554.58160871595851</v>
      </c>
      <c r="AW62" s="1" t="str">
        <f t="shared" si="33"/>
        <v/>
      </c>
      <c r="AX62" s="2" t="str">
        <f t="shared" si="34"/>
        <v/>
      </c>
      <c r="AY62" s="1" t="str">
        <f t="shared" si="35"/>
        <v/>
      </c>
      <c r="AZ62" s="1">
        <f t="shared" si="36"/>
        <v>1.1005494604642242E-4</v>
      </c>
      <c r="BA62" s="1" t="str">
        <f t="shared" si="37"/>
        <v/>
      </c>
      <c r="BB62" s="2" t="str">
        <f t="shared" si="38"/>
        <v/>
      </c>
      <c r="BC62" s="1" t="str">
        <f t="shared" si="39"/>
        <v/>
      </c>
      <c r="BD62" s="1">
        <f t="shared" si="40"/>
        <v>0.20222596336030121</v>
      </c>
      <c r="BE62" s="1" t="str">
        <f t="shared" si="41"/>
        <v/>
      </c>
      <c r="BF62" s="2" t="str">
        <f t="shared" si="42"/>
        <v/>
      </c>
      <c r="BG62" s="2">
        <f t="shared" si="43"/>
        <v>0.20222596336030121</v>
      </c>
    </row>
    <row r="63" spans="2:59">
      <c r="B63" s="1"/>
      <c r="C63" s="34">
        <v>18</v>
      </c>
      <c r="D63" s="148" t="str">
        <f t="shared" si="1"/>
        <v>1</v>
      </c>
      <c r="E63" s="2">
        <v>3.6</v>
      </c>
      <c r="F63" s="1">
        <f t="shared" si="2"/>
        <v>52.154999999999994</v>
      </c>
      <c r="G63" s="1">
        <f t="shared" si="2"/>
        <v>52.174949999999995</v>
      </c>
      <c r="H63" s="1">
        <f t="shared" si="3"/>
        <v>49.949999999999996</v>
      </c>
      <c r="I63" s="1">
        <f t="shared" si="3"/>
        <v>50.998949999999994</v>
      </c>
      <c r="J63" s="149">
        <v>815515.40825995314</v>
      </c>
      <c r="K63" s="149">
        <v>615694.47164392076</v>
      </c>
      <c r="L63" s="149">
        <v>1365276.7093866905</v>
      </c>
      <c r="M63" s="138">
        <v>544.25320238868767</v>
      </c>
      <c r="N63" s="138">
        <v>8273.8327623112091</v>
      </c>
      <c r="O63" s="103">
        <v>322.4655546037676</v>
      </c>
      <c r="P63" s="1">
        <f t="shared" si="4"/>
        <v>98.162022598056055</v>
      </c>
      <c r="Q63" s="2">
        <f t="shared" si="5"/>
        <v>13.026293794037066</v>
      </c>
      <c r="R63" s="32">
        <f t="shared" si="6"/>
        <v>80052.641934676431</v>
      </c>
      <c r="S63" s="147">
        <f t="shared" si="7"/>
        <v>17784.49552662719</v>
      </c>
      <c r="T63" s="1" t="str">
        <f t="shared" si="8"/>
        <v/>
      </c>
      <c r="U63" s="1" t="str">
        <f t="shared" si="9"/>
        <v/>
      </c>
      <c r="V63" s="1" t="str">
        <f t="shared" si="10"/>
        <v/>
      </c>
      <c r="W63" s="1" t="str">
        <f t="shared" si="11"/>
        <v/>
      </c>
      <c r="X63" s="1">
        <f t="shared" si="12"/>
        <v>104.30999999999999</v>
      </c>
      <c r="Y63" s="1">
        <f t="shared" si="13"/>
        <v>104.34989999999999</v>
      </c>
      <c r="Z63" s="1">
        <f t="shared" si="14"/>
        <v>99.899999999999991</v>
      </c>
      <c r="AA63" s="1">
        <f t="shared" si="15"/>
        <v>101.99789999999999</v>
      </c>
      <c r="AB63" s="1" t="str">
        <f t="shared" si="16"/>
        <v/>
      </c>
      <c r="AC63" s="1" t="str">
        <f t="shared" si="17"/>
        <v/>
      </c>
      <c r="AD63" s="1" t="str">
        <f t="shared" si="18"/>
        <v/>
      </c>
      <c r="AE63" s="2" t="str">
        <f t="shared" si="19"/>
        <v/>
      </c>
      <c r="AF63" s="1" t="str">
        <f t="shared" si="20"/>
        <v/>
      </c>
      <c r="AG63" s="1" t="str">
        <f t="shared" si="21"/>
        <v/>
      </c>
      <c r="AH63" s="2" t="str">
        <f t="shared" si="22"/>
        <v/>
      </c>
      <c r="AI63" s="1" t="str">
        <f t="shared" si="23"/>
        <v/>
      </c>
      <c r="AJ63" s="1">
        <v>1</v>
      </c>
      <c r="AK63" s="1">
        <v>0</v>
      </c>
      <c r="AL63" s="1">
        <v>0.84666666666666668</v>
      </c>
      <c r="AM63" s="2">
        <f t="shared" si="24"/>
        <v>14.054431465019141</v>
      </c>
      <c r="AN63" s="1">
        <f t="shared" si="25"/>
        <v>118.99418640382872</v>
      </c>
      <c r="AO63" s="1">
        <f t="shared" si="26"/>
        <v>14.684186403828733</v>
      </c>
      <c r="AP63" s="34">
        <f t="shared" si="27"/>
        <v>-1945.1603000000002</v>
      </c>
      <c r="AQ63" s="34">
        <v>873197.43355339509</v>
      </c>
      <c r="AR63" s="34">
        <f t="shared" si="28"/>
        <v>-54.663482167187645</v>
      </c>
      <c r="AS63" s="34">
        <f t="shared" si="29"/>
        <v>-120.53297817864866</v>
      </c>
      <c r="AT63" s="1">
        <f t="shared" si="30"/>
        <v>16.137992517839969</v>
      </c>
      <c r="AU63" s="1" t="str">
        <f t="shared" si="31"/>
        <v/>
      </c>
      <c r="AV63" s="1">
        <f t="shared" si="32"/>
        <v>545.96785174826744</v>
      </c>
      <c r="AW63" s="1" t="str">
        <f t="shared" si="33"/>
        <v/>
      </c>
      <c r="AX63" s="2" t="str">
        <f t="shared" si="34"/>
        <v/>
      </c>
      <c r="AY63" s="1" t="str">
        <f t="shared" si="35"/>
        <v/>
      </c>
      <c r="AZ63" s="1">
        <f t="shared" si="36"/>
        <v>1.0833219465288475E-4</v>
      </c>
      <c r="BA63" s="1" t="str">
        <f t="shared" si="37"/>
        <v/>
      </c>
      <c r="BB63" s="2" t="str">
        <f t="shared" si="38"/>
        <v/>
      </c>
      <c r="BC63" s="1" t="str">
        <f t="shared" si="39"/>
        <v/>
      </c>
      <c r="BD63" s="1">
        <f t="shared" si="40"/>
        <v>0.19906040767467573</v>
      </c>
      <c r="BE63" s="1" t="str">
        <f t="shared" si="41"/>
        <v/>
      </c>
      <c r="BF63" s="2" t="str">
        <f t="shared" si="42"/>
        <v/>
      </c>
      <c r="BG63" s="2">
        <f t="shared" si="43"/>
        <v>0.19906040767467573</v>
      </c>
    </row>
    <row r="64" spans="2:59">
      <c r="B64" s="1"/>
      <c r="C64" s="34">
        <v>19</v>
      </c>
      <c r="D64" s="148" t="str">
        <f t="shared" si="1"/>
        <v>1</v>
      </c>
      <c r="E64" s="2">
        <v>3.8000000000000003</v>
      </c>
      <c r="F64" s="1">
        <f t="shared" si="2"/>
        <v>51.35499999999999</v>
      </c>
      <c r="G64" s="1">
        <f t="shared" si="2"/>
        <v>51.358149999999988</v>
      </c>
      <c r="H64" s="1">
        <f t="shared" si="3"/>
        <v>49.149999999999991</v>
      </c>
      <c r="I64" s="1">
        <f t="shared" si="3"/>
        <v>50.182149999999986</v>
      </c>
      <c r="J64" s="149">
        <v>777755.49633082654</v>
      </c>
      <c r="K64" s="149">
        <v>586946.45156191313</v>
      </c>
      <c r="L64" s="149">
        <v>1301805.940491409</v>
      </c>
      <c r="M64" s="138">
        <v>535.69343872010711</v>
      </c>
      <c r="N64" s="138">
        <v>8015.2300434736553</v>
      </c>
      <c r="O64" s="103">
        <v>317.38586770550472</v>
      </c>
      <c r="P64" s="1">
        <f t="shared" si="4"/>
        <v>98.162022598056055</v>
      </c>
      <c r="Q64" s="2">
        <f t="shared" si="5"/>
        <v>13.026293794037066</v>
      </c>
      <c r="R64" s="32">
        <f t="shared" si="6"/>
        <v>76346.052606588899</v>
      </c>
      <c r="S64" s="147">
        <f t="shared" si="7"/>
        <v>16957.706643663827</v>
      </c>
      <c r="T64" s="1" t="str">
        <f t="shared" si="8"/>
        <v/>
      </c>
      <c r="U64" s="1" t="str">
        <f t="shared" si="9"/>
        <v/>
      </c>
      <c r="V64" s="1" t="str">
        <f t="shared" si="10"/>
        <v/>
      </c>
      <c r="W64" s="1" t="str">
        <f t="shared" si="11"/>
        <v/>
      </c>
      <c r="X64" s="1">
        <f t="shared" si="12"/>
        <v>102.70999999999998</v>
      </c>
      <c r="Y64" s="1">
        <f t="shared" si="13"/>
        <v>102.71629999999998</v>
      </c>
      <c r="Z64" s="1">
        <f t="shared" si="14"/>
        <v>98.299999999999983</v>
      </c>
      <c r="AA64" s="1">
        <f t="shared" si="15"/>
        <v>100.36429999999997</v>
      </c>
      <c r="AB64" s="1" t="str">
        <f t="shared" si="16"/>
        <v/>
      </c>
      <c r="AC64" s="1" t="str">
        <f t="shared" si="17"/>
        <v/>
      </c>
      <c r="AD64" s="1" t="str">
        <f t="shared" si="18"/>
        <v/>
      </c>
      <c r="AE64" s="2" t="str">
        <f t="shared" si="19"/>
        <v/>
      </c>
      <c r="AF64" s="1" t="str">
        <f t="shared" si="20"/>
        <v/>
      </c>
      <c r="AG64" s="1" t="str">
        <f t="shared" si="21"/>
        <v/>
      </c>
      <c r="AH64" s="2" t="str">
        <f t="shared" si="22"/>
        <v/>
      </c>
      <c r="AI64" s="1" t="str">
        <f t="shared" si="23"/>
        <v/>
      </c>
      <c r="AJ64" s="1">
        <v>1</v>
      </c>
      <c r="AK64" s="1">
        <v>0</v>
      </c>
      <c r="AL64" s="1">
        <v>0.83833333333333337</v>
      </c>
      <c r="AM64" s="2">
        <f t="shared" si="24"/>
        <v>14.054431465019141</v>
      </c>
      <c r="AN64" s="1">
        <f t="shared" si="25"/>
        <v>117.8229837817438</v>
      </c>
      <c r="AO64" s="1">
        <f t="shared" si="26"/>
        <v>15.112983781743822</v>
      </c>
      <c r="AP64" s="34">
        <f t="shared" si="27"/>
        <v>-1945.1603000000002</v>
      </c>
      <c r="AQ64" s="34">
        <v>826438.62263188406</v>
      </c>
      <c r="AR64" s="34">
        <f t="shared" si="28"/>
        <v>-53.398024288784022</v>
      </c>
      <c r="AS64" s="34">
        <f t="shared" si="29"/>
        <v>-117.74264355676868</v>
      </c>
      <c r="AT64" s="1">
        <f t="shared" si="30"/>
        <v>16.520440184122048</v>
      </c>
      <c r="AU64" s="1" t="str">
        <f t="shared" si="31"/>
        <v/>
      </c>
      <c r="AV64" s="1">
        <f t="shared" si="32"/>
        <v>537.3540947805792</v>
      </c>
      <c r="AW64" s="1" t="str">
        <f t="shared" si="33"/>
        <v/>
      </c>
      <c r="AX64" s="2" t="str">
        <f t="shared" si="34"/>
        <v/>
      </c>
      <c r="AY64" s="1" t="str">
        <f t="shared" si="35"/>
        <v/>
      </c>
      <c r="AZ64" s="1">
        <f t="shared" si="36"/>
        <v>1.0660944325934673E-4</v>
      </c>
      <c r="BA64" s="1" t="str">
        <f t="shared" si="37"/>
        <v/>
      </c>
      <c r="BB64" s="2" t="str">
        <f t="shared" si="38"/>
        <v/>
      </c>
      <c r="BC64" s="1" t="str">
        <f t="shared" si="39"/>
        <v/>
      </c>
      <c r="BD64" s="1">
        <f t="shared" si="40"/>
        <v>0.19589485198904966</v>
      </c>
      <c r="BE64" s="1" t="str">
        <f t="shared" si="41"/>
        <v/>
      </c>
      <c r="BF64" s="2" t="str">
        <f t="shared" si="42"/>
        <v/>
      </c>
      <c r="BG64" s="2">
        <f t="shared" si="43"/>
        <v>0.19589485198904966</v>
      </c>
    </row>
    <row r="65" spans="2:59">
      <c r="B65" s="1"/>
      <c r="C65" s="34">
        <v>20</v>
      </c>
      <c r="D65" s="148" t="str">
        <f t="shared" si="1"/>
        <v>1</v>
      </c>
      <c r="E65" s="2">
        <v>4</v>
      </c>
      <c r="F65" s="1">
        <f t="shared" si="2"/>
        <v>50.554999999999993</v>
      </c>
      <c r="G65" s="1">
        <f t="shared" si="2"/>
        <v>50.541349999999994</v>
      </c>
      <c r="H65" s="1">
        <f t="shared" si="3"/>
        <v>48.349999999999994</v>
      </c>
      <c r="I65" s="1">
        <f t="shared" si="3"/>
        <v>49.365349999999992</v>
      </c>
      <c r="J65" s="149">
        <v>741179.5205763533</v>
      </c>
      <c r="K65" s="149">
        <v>559107.52041201084</v>
      </c>
      <c r="L65" s="149">
        <v>1240333.3848175451</v>
      </c>
      <c r="M65" s="138">
        <v>527.13367333020426</v>
      </c>
      <c r="N65" s="138">
        <v>7760.7330092432285</v>
      </c>
      <c r="O65" s="103">
        <v>312.30618306303069</v>
      </c>
      <c r="P65" s="1">
        <f t="shared" si="4"/>
        <v>98.162022598056055</v>
      </c>
      <c r="Q65" s="2">
        <f t="shared" si="5"/>
        <v>13.026293794037066</v>
      </c>
      <c r="R65" s="32">
        <f t="shared" si="6"/>
        <v>72755.680848032353</v>
      </c>
      <c r="S65" s="147">
        <f t="shared" si="7"/>
        <v>16156.947073185775</v>
      </c>
      <c r="T65" s="1" t="str">
        <f t="shared" si="8"/>
        <v/>
      </c>
      <c r="U65" s="1" t="str">
        <f t="shared" si="9"/>
        <v/>
      </c>
      <c r="V65" s="1" t="str">
        <f t="shared" si="10"/>
        <v/>
      </c>
      <c r="W65" s="1" t="str">
        <f t="shared" si="11"/>
        <v/>
      </c>
      <c r="X65" s="1">
        <f t="shared" si="12"/>
        <v>101.10999999999999</v>
      </c>
      <c r="Y65" s="1">
        <f t="shared" si="13"/>
        <v>101.08269999999999</v>
      </c>
      <c r="Z65" s="1">
        <f t="shared" si="14"/>
        <v>96.699999999999989</v>
      </c>
      <c r="AA65" s="1">
        <f t="shared" si="15"/>
        <v>98.730699999999985</v>
      </c>
      <c r="AB65" s="1" t="str">
        <f t="shared" si="16"/>
        <v/>
      </c>
      <c r="AC65" s="1" t="str">
        <f t="shared" si="17"/>
        <v/>
      </c>
      <c r="AD65" s="1" t="str">
        <f t="shared" si="18"/>
        <v/>
      </c>
      <c r="AE65" s="2" t="str">
        <f t="shared" si="19"/>
        <v/>
      </c>
      <c r="AF65" s="1" t="str">
        <f t="shared" si="20"/>
        <v/>
      </c>
      <c r="AG65" s="1" t="str">
        <f t="shared" si="21"/>
        <v/>
      </c>
      <c r="AH65" s="2" t="str">
        <f t="shared" si="22"/>
        <v/>
      </c>
      <c r="AI65" s="1" t="str">
        <f t="shared" si="23"/>
        <v/>
      </c>
      <c r="AJ65" s="1">
        <v>1</v>
      </c>
      <c r="AK65" s="1">
        <v>0</v>
      </c>
      <c r="AL65" s="1">
        <v>0.83000000000000007</v>
      </c>
      <c r="AM65" s="2">
        <f t="shared" si="24"/>
        <v>14.054431465019141</v>
      </c>
      <c r="AN65" s="1">
        <f t="shared" si="25"/>
        <v>116.65178115965888</v>
      </c>
      <c r="AO65" s="1">
        <f t="shared" si="26"/>
        <v>15.541781159658896</v>
      </c>
      <c r="AP65" s="34">
        <f t="shared" si="27"/>
        <v>-1945.1603000000002</v>
      </c>
      <c r="AQ65" s="34">
        <v>781164.27715322783</v>
      </c>
      <c r="AR65" s="34">
        <f t="shared" si="28"/>
        <v>-52.120337035054973</v>
      </c>
      <c r="AS65" s="34">
        <f t="shared" si="29"/>
        <v>-114.92534316229613</v>
      </c>
      <c r="AT65" s="1">
        <f t="shared" si="30"/>
        <v>16.925425206284302</v>
      </c>
      <c r="AU65" s="1" t="str">
        <f t="shared" si="31"/>
        <v/>
      </c>
      <c r="AV65" s="1">
        <f t="shared" si="32"/>
        <v>528.74033781288949</v>
      </c>
      <c r="AW65" s="1" t="str">
        <f t="shared" si="33"/>
        <v/>
      </c>
      <c r="AX65" s="2" t="str">
        <f t="shared" si="34"/>
        <v/>
      </c>
      <c r="AY65" s="1" t="str">
        <f t="shared" si="35"/>
        <v/>
      </c>
      <c r="AZ65" s="1">
        <f t="shared" si="36"/>
        <v>1.0488669186580916E-4</v>
      </c>
      <c r="BA65" s="1" t="str">
        <f t="shared" si="37"/>
        <v/>
      </c>
      <c r="BB65" s="2" t="str">
        <f t="shared" si="38"/>
        <v/>
      </c>
      <c r="BC65" s="1" t="str">
        <f t="shared" si="39"/>
        <v/>
      </c>
      <c r="BD65" s="1">
        <f t="shared" si="40"/>
        <v>0.19272929630342434</v>
      </c>
      <c r="BE65" s="1" t="str">
        <f t="shared" si="41"/>
        <v/>
      </c>
      <c r="BF65" s="2" t="str">
        <f t="shared" si="42"/>
        <v/>
      </c>
      <c r="BG65" s="2">
        <f t="shared" si="43"/>
        <v>0.19272929630342434</v>
      </c>
    </row>
    <row r="66" spans="2:59">
      <c r="B66" s="1"/>
      <c r="C66" s="34">
        <v>21</v>
      </c>
      <c r="D66" s="148" t="str">
        <f t="shared" si="1"/>
        <v>1</v>
      </c>
      <c r="E66" s="2">
        <v>4.2</v>
      </c>
      <c r="F66" s="1">
        <f t="shared" si="2"/>
        <v>49.754999999999995</v>
      </c>
      <c r="G66" s="1">
        <f t="shared" si="2"/>
        <v>49.724549999999994</v>
      </c>
      <c r="H66" s="1">
        <f t="shared" si="3"/>
        <v>47.55</v>
      </c>
      <c r="I66" s="1">
        <f t="shared" si="3"/>
        <v>48.548549999999992</v>
      </c>
      <c r="J66" s="149">
        <v>705768.62307997711</v>
      </c>
      <c r="K66" s="149">
        <v>532163.07217230357</v>
      </c>
      <c r="L66" s="149">
        <v>1180827.0832417472</v>
      </c>
      <c r="M66" s="138">
        <v>518.57390613666166</v>
      </c>
      <c r="N66" s="138">
        <v>7510.3416596199231</v>
      </c>
      <c r="O66" s="103">
        <v>307.22650078823483</v>
      </c>
      <c r="P66" s="1">
        <f t="shared" si="4"/>
        <v>98.162022598056055</v>
      </c>
      <c r="Q66" s="2">
        <f t="shared" si="5"/>
        <v>13.026293794037066</v>
      </c>
      <c r="R66" s="32">
        <f t="shared" si="6"/>
        <v>69279.675527775617</v>
      </c>
      <c r="S66" s="147">
        <f t="shared" si="7"/>
        <v>15381.800506262862</v>
      </c>
      <c r="T66" s="1" t="str">
        <f t="shared" si="8"/>
        <v/>
      </c>
      <c r="U66" s="1" t="str">
        <f t="shared" si="9"/>
        <v/>
      </c>
      <c r="V66" s="1" t="str">
        <f t="shared" si="10"/>
        <v/>
      </c>
      <c r="W66" s="1" t="str">
        <f t="shared" si="11"/>
        <v/>
      </c>
      <c r="X66" s="1">
        <f t="shared" si="12"/>
        <v>99.509999999999991</v>
      </c>
      <c r="Y66" s="1">
        <f t="shared" si="13"/>
        <v>99.449099999999987</v>
      </c>
      <c r="Z66" s="1">
        <f t="shared" si="14"/>
        <v>95.1</v>
      </c>
      <c r="AA66" s="1">
        <f t="shared" si="15"/>
        <v>97.097099999999983</v>
      </c>
      <c r="AB66" s="1" t="str">
        <f t="shared" si="16"/>
        <v/>
      </c>
      <c r="AC66" s="1" t="str">
        <f t="shared" si="17"/>
        <v/>
      </c>
      <c r="AD66" s="1" t="str">
        <f t="shared" si="18"/>
        <v/>
      </c>
      <c r="AE66" s="2" t="str">
        <f t="shared" si="19"/>
        <v/>
      </c>
      <c r="AF66" s="1" t="str">
        <f t="shared" si="20"/>
        <v/>
      </c>
      <c r="AG66" s="1" t="str">
        <f t="shared" si="21"/>
        <v/>
      </c>
      <c r="AH66" s="2" t="str">
        <f t="shared" si="22"/>
        <v/>
      </c>
      <c r="AI66" s="1" t="str">
        <f t="shared" si="23"/>
        <v/>
      </c>
      <c r="AJ66" s="1">
        <v>1</v>
      </c>
      <c r="AK66" s="1">
        <v>0</v>
      </c>
      <c r="AL66" s="1">
        <v>0.82166666666666666</v>
      </c>
      <c r="AM66" s="2">
        <f t="shared" si="24"/>
        <v>14.054431465019141</v>
      </c>
      <c r="AN66" s="1">
        <f t="shared" si="25"/>
        <v>115.48057853757393</v>
      </c>
      <c r="AO66" s="1">
        <f t="shared" si="26"/>
        <v>15.970578537573942</v>
      </c>
      <c r="AP66" s="34">
        <f t="shared" si="27"/>
        <v>-1945.1603000000002</v>
      </c>
      <c r="AQ66" s="34">
        <v>737362.36584005773</v>
      </c>
      <c r="AR66" s="34">
        <f t="shared" si="28"/>
        <v>-50.830429875837844</v>
      </c>
      <c r="AS66" s="34">
        <f t="shared" si="29"/>
        <v>-112.08109787622236</v>
      </c>
      <c r="AT66" s="1">
        <f t="shared" si="30"/>
        <v>17.354936174413222</v>
      </c>
      <c r="AU66" s="1" t="str">
        <f t="shared" si="31"/>
        <v/>
      </c>
      <c r="AV66" s="1">
        <f t="shared" si="32"/>
        <v>520.12658084520126</v>
      </c>
      <c r="AW66" s="1" t="str">
        <f t="shared" si="33"/>
        <v/>
      </c>
      <c r="AX66" s="2" t="str">
        <f t="shared" si="34"/>
        <v/>
      </c>
      <c r="AY66" s="1" t="str">
        <f t="shared" si="35"/>
        <v/>
      </c>
      <c r="AZ66" s="1">
        <f t="shared" si="36"/>
        <v>1.0316394047227138E-4</v>
      </c>
      <c r="BA66" s="1" t="str">
        <f t="shared" si="37"/>
        <v/>
      </c>
      <c r="BB66" s="2" t="str">
        <f t="shared" si="38"/>
        <v/>
      </c>
      <c r="BC66" s="1" t="str">
        <f t="shared" si="39"/>
        <v/>
      </c>
      <c r="BD66" s="1">
        <f t="shared" si="40"/>
        <v>0.18956374061779868</v>
      </c>
      <c r="BE66" s="1" t="str">
        <f t="shared" si="41"/>
        <v/>
      </c>
      <c r="BF66" s="2" t="str">
        <f t="shared" si="42"/>
        <v/>
      </c>
      <c r="BG66" s="2">
        <f t="shared" si="43"/>
        <v>0.18956374061779868</v>
      </c>
    </row>
    <row r="67" spans="2:59">
      <c r="B67" s="1"/>
      <c r="C67" s="34">
        <v>22</v>
      </c>
      <c r="D67" s="148" t="str">
        <f t="shared" si="1"/>
        <v>1</v>
      </c>
      <c r="E67" s="2">
        <v>4.4000000000000004</v>
      </c>
      <c r="F67" s="1">
        <f t="shared" si="2"/>
        <v>48.954999999999991</v>
      </c>
      <c r="G67" s="1">
        <f t="shared" si="2"/>
        <v>48.907749999999993</v>
      </c>
      <c r="H67" s="1">
        <f t="shared" si="3"/>
        <v>46.749999999999993</v>
      </c>
      <c r="I67" s="1">
        <f t="shared" si="3"/>
        <v>47.731749999999991</v>
      </c>
      <c r="J67" s="149">
        <v>671503.9459251262</v>
      </c>
      <c r="K67" s="149">
        <v>506098.50082082819</v>
      </c>
      <c r="L67" s="149">
        <v>1123255.0766407168</v>
      </c>
      <c r="M67" s="138">
        <v>510.01413705181159</v>
      </c>
      <c r="N67" s="138">
        <v>7264.0559946037411</v>
      </c>
      <c r="O67" s="103">
        <v>302.14682100051652</v>
      </c>
      <c r="P67" s="1">
        <f t="shared" si="4"/>
        <v>98.162022598056055</v>
      </c>
      <c r="Q67" s="2">
        <f t="shared" si="5"/>
        <v>13.026293794037066</v>
      </c>
      <c r="R67" s="32">
        <f t="shared" si="6"/>
        <v>65916.185514586061</v>
      </c>
      <c r="S67" s="147">
        <f t="shared" si="7"/>
        <v>14631.850633965598</v>
      </c>
      <c r="T67" s="1" t="str">
        <f t="shared" si="8"/>
        <v/>
      </c>
      <c r="U67" s="1" t="str">
        <f t="shared" si="9"/>
        <v/>
      </c>
      <c r="V67" s="1" t="str">
        <f t="shared" si="10"/>
        <v/>
      </c>
      <c r="W67" s="1" t="str">
        <f t="shared" si="11"/>
        <v/>
      </c>
      <c r="X67" s="1">
        <f t="shared" si="12"/>
        <v>97.909999999999982</v>
      </c>
      <c r="Y67" s="1">
        <f t="shared" si="13"/>
        <v>97.815499999999986</v>
      </c>
      <c r="Z67" s="1">
        <f t="shared" si="14"/>
        <v>93.499999999999986</v>
      </c>
      <c r="AA67" s="1">
        <f t="shared" si="15"/>
        <v>95.463499999999982</v>
      </c>
      <c r="AB67" s="1" t="str">
        <f t="shared" si="16"/>
        <v/>
      </c>
      <c r="AC67" s="1" t="str">
        <f t="shared" si="17"/>
        <v/>
      </c>
      <c r="AD67" s="1" t="str">
        <f t="shared" si="18"/>
        <v/>
      </c>
      <c r="AE67" s="2" t="str">
        <f t="shared" si="19"/>
        <v/>
      </c>
      <c r="AF67" s="1" t="str">
        <f t="shared" si="20"/>
        <v/>
      </c>
      <c r="AG67" s="1" t="str">
        <f t="shared" si="21"/>
        <v/>
      </c>
      <c r="AH67" s="2" t="str">
        <f t="shared" si="22"/>
        <v/>
      </c>
      <c r="AI67" s="1" t="str">
        <f t="shared" si="23"/>
        <v/>
      </c>
      <c r="AJ67" s="1">
        <v>1</v>
      </c>
      <c r="AK67" s="1">
        <v>0</v>
      </c>
      <c r="AL67" s="1">
        <v>0.81333333333333335</v>
      </c>
      <c r="AM67" s="2">
        <f t="shared" si="24"/>
        <v>14.054431465019141</v>
      </c>
      <c r="AN67" s="1">
        <f t="shared" si="25"/>
        <v>114.30937591548901</v>
      </c>
      <c r="AO67" s="1">
        <f t="shared" si="26"/>
        <v>16.399375915489031</v>
      </c>
      <c r="AP67" s="34">
        <f t="shared" si="27"/>
        <v>-1945.1603000000002</v>
      </c>
      <c r="AQ67" s="34">
        <v>695020.59352176473</v>
      </c>
      <c r="AR67" s="34">
        <f t="shared" si="28"/>
        <v>-49.528335839754867</v>
      </c>
      <c r="AS67" s="34">
        <f t="shared" si="29"/>
        <v>-109.20998052665939</v>
      </c>
      <c r="AT67" s="1">
        <f t="shared" si="30"/>
        <v>17.811195374448076</v>
      </c>
      <c r="AU67" s="1" t="str">
        <f t="shared" si="31"/>
        <v/>
      </c>
      <c r="AV67" s="1">
        <f t="shared" si="32"/>
        <v>511.51282387751161</v>
      </c>
      <c r="AW67" s="1" t="str">
        <f t="shared" si="33"/>
        <v/>
      </c>
      <c r="AX67" s="2" t="str">
        <f t="shared" si="34"/>
        <v/>
      </c>
      <c r="AY67" s="1" t="str">
        <f t="shared" si="35"/>
        <v/>
      </c>
      <c r="AZ67" s="1">
        <f t="shared" si="36"/>
        <v>1.0144118907873343E-4</v>
      </c>
      <c r="BA67" s="1" t="str">
        <f t="shared" si="37"/>
        <v/>
      </c>
      <c r="BB67" s="2" t="str">
        <f t="shared" si="38"/>
        <v/>
      </c>
      <c r="BC67" s="1" t="str">
        <f t="shared" si="39"/>
        <v/>
      </c>
      <c r="BD67" s="1">
        <f t="shared" si="40"/>
        <v>0.18639818493217269</v>
      </c>
      <c r="BE67" s="1" t="str">
        <f t="shared" si="41"/>
        <v/>
      </c>
      <c r="BF67" s="2" t="str">
        <f t="shared" si="42"/>
        <v/>
      </c>
      <c r="BG67" s="2">
        <f t="shared" si="43"/>
        <v>0.18639818493217269</v>
      </c>
    </row>
    <row r="68" spans="2:59">
      <c r="B68" s="1"/>
      <c r="C68" s="34">
        <v>23</v>
      </c>
      <c r="D68" s="148" t="str">
        <f t="shared" si="1"/>
        <v>1</v>
      </c>
      <c r="E68" s="2">
        <v>4.6000000000000005</v>
      </c>
      <c r="F68" s="1">
        <f t="shared" si="2"/>
        <v>48.154999999999987</v>
      </c>
      <c r="G68" s="1">
        <f t="shared" si="2"/>
        <v>48.090949999999985</v>
      </c>
      <c r="H68" s="1">
        <f t="shared" si="3"/>
        <v>45.949999999999989</v>
      </c>
      <c r="I68" s="1">
        <f t="shared" si="3"/>
        <v>46.914949999999983</v>
      </c>
      <c r="J68" s="149">
        <v>638366.63119525125</v>
      </c>
      <c r="K68" s="149">
        <v>480899.20033566066</v>
      </c>
      <c r="L68" s="149">
        <v>1067585.4058910902</v>
      </c>
      <c r="M68" s="138">
        <v>501.45436598225291</v>
      </c>
      <c r="N68" s="138">
        <v>7021.8760141946814</v>
      </c>
      <c r="O68" s="103">
        <v>297.06714382743826</v>
      </c>
      <c r="P68" s="1">
        <f t="shared" si="4"/>
        <v>98.162022598056055</v>
      </c>
      <c r="Q68" s="2">
        <f t="shared" si="5"/>
        <v>13.026293794037066</v>
      </c>
      <c r="R68" s="32">
        <f t="shared" si="6"/>
        <v>62663.359677233173</v>
      </c>
      <c r="S68" s="147">
        <f t="shared" si="7"/>
        <v>13906.68114736365</v>
      </c>
      <c r="T68" s="1" t="str">
        <f t="shared" si="8"/>
        <v/>
      </c>
      <c r="U68" s="1" t="str">
        <f t="shared" si="9"/>
        <v/>
      </c>
      <c r="V68" s="1" t="str">
        <f t="shared" si="10"/>
        <v/>
      </c>
      <c r="W68" s="1" t="str">
        <f t="shared" si="11"/>
        <v/>
      </c>
      <c r="X68" s="1">
        <f t="shared" si="12"/>
        <v>96.309999999999974</v>
      </c>
      <c r="Y68" s="1">
        <f t="shared" si="13"/>
        <v>96.18189999999997</v>
      </c>
      <c r="Z68" s="1">
        <f t="shared" si="14"/>
        <v>91.899999999999977</v>
      </c>
      <c r="AA68" s="1">
        <f t="shared" si="15"/>
        <v>93.829899999999967</v>
      </c>
      <c r="AB68" s="1" t="str">
        <f t="shared" si="16"/>
        <v/>
      </c>
      <c r="AC68" s="1" t="str">
        <f t="shared" si="17"/>
        <v/>
      </c>
      <c r="AD68" s="1" t="str">
        <f t="shared" si="18"/>
        <v/>
      </c>
      <c r="AE68" s="2" t="str">
        <f t="shared" si="19"/>
        <v/>
      </c>
      <c r="AF68" s="1" t="str">
        <f t="shared" si="20"/>
        <v/>
      </c>
      <c r="AG68" s="1" t="str">
        <f t="shared" si="21"/>
        <v/>
      </c>
      <c r="AH68" s="2" t="str">
        <f t="shared" si="22"/>
        <v/>
      </c>
      <c r="AI68" s="1" t="str">
        <f t="shared" si="23"/>
        <v/>
      </c>
      <c r="AJ68" s="1">
        <v>1</v>
      </c>
      <c r="AK68" s="1">
        <v>0</v>
      </c>
      <c r="AL68" s="1">
        <v>0.80499999999999994</v>
      </c>
      <c r="AM68" s="2">
        <f t="shared" si="24"/>
        <v>14.054431465019141</v>
      </c>
      <c r="AN68" s="1">
        <f t="shared" si="25"/>
        <v>113.13817329340408</v>
      </c>
      <c r="AO68" s="1">
        <f t="shared" si="26"/>
        <v>16.828173293404106</v>
      </c>
      <c r="AP68" s="34">
        <f t="shared" si="27"/>
        <v>-1945.1603000000002</v>
      </c>
      <c r="AQ68" s="34">
        <v>654126.40925593965</v>
      </c>
      <c r="AR68" s="34">
        <f t="shared" si="28"/>
        <v>-48.214116101098689</v>
      </c>
      <c r="AS68" s="34">
        <f t="shared" si="29"/>
        <v>-106.31212600292253</v>
      </c>
      <c r="AT68" s="1">
        <f t="shared" si="30"/>
        <v>18.296692702265474</v>
      </c>
      <c r="AU68" s="1" t="str">
        <f t="shared" si="31"/>
        <v/>
      </c>
      <c r="AV68" s="1">
        <f t="shared" si="32"/>
        <v>502.89906690982195</v>
      </c>
      <c r="AW68" s="1" t="str">
        <f t="shared" si="33"/>
        <v/>
      </c>
      <c r="AX68" s="2" t="str">
        <f t="shared" si="34"/>
        <v/>
      </c>
      <c r="AY68" s="1" t="str">
        <f t="shared" si="35"/>
        <v/>
      </c>
      <c r="AZ68" s="1">
        <f t="shared" si="36"/>
        <v>9.9718437685195524E-5</v>
      </c>
      <c r="BA68" s="1" t="str">
        <f t="shared" si="37"/>
        <v/>
      </c>
      <c r="BB68" s="2" t="str">
        <f t="shared" si="38"/>
        <v/>
      </c>
      <c r="BC68" s="1" t="str">
        <f t="shared" si="39"/>
        <v/>
      </c>
      <c r="BD68" s="1">
        <f t="shared" si="40"/>
        <v>0.18323262924654679</v>
      </c>
      <c r="BE68" s="1" t="str">
        <f t="shared" si="41"/>
        <v/>
      </c>
      <c r="BF68" s="2" t="str">
        <f t="shared" si="42"/>
        <v/>
      </c>
      <c r="BG68" s="2">
        <f t="shared" si="43"/>
        <v>0.18323262924654679</v>
      </c>
    </row>
    <row r="69" spans="2:59">
      <c r="B69" s="1"/>
      <c r="C69" s="34">
        <v>24</v>
      </c>
      <c r="D69" s="148" t="str">
        <f t="shared" si="1"/>
        <v>1</v>
      </c>
      <c r="E69" s="2">
        <v>4.8000000000000007</v>
      </c>
      <c r="F69" s="1">
        <f t="shared" si="2"/>
        <v>47.35499999999999</v>
      </c>
      <c r="G69" s="1">
        <f t="shared" si="2"/>
        <v>47.274149999999992</v>
      </c>
      <c r="H69" s="1">
        <f t="shared" si="3"/>
        <v>45.149999999999991</v>
      </c>
      <c r="I69" s="1">
        <f t="shared" si="3"/>
        <v>46.09814999999999</v>
      </c>
      <c r="J69" s="149">
        <v>606337.82097377954</v>
      </c>
      <c r="K69" s="149">
        <v>456550.56469484494</v>
      </c>
      <c r="L69" s="149">
        <v>1013786.1118695905</v>
      </c>
      <c r="M69" s="138">
        <v>492.89459282829654</v>
      </c>
      <c r="N69" s="138">
        <v>6783.8017183927477</v>
      </c>
      <c r="O69" s="103">
        <v>291.98746940545203</v>
      </c>
      <c r="P69" s="1">
        <f t="shared" si="4"/>
        <v>98.162022598056055</v>
      </c>
      <c r="Q69" s="2">
        <f t="shared" si="5"/>
        <v>13.026293794037066</v>
      </c>
      <c r="R69" s="32">
        <f t="shared" si="6"/>
        <v>59519.346884484214</v>
      </c>
      <c r="S69" s="147">
        <f t="shared" si="7"/>
        <v>13205.875737527811</v>
      </c>
      <c r="T69" s="1" t="str">
        <f t="shared" si="8"/>
        <v/>
      </c>
      <c r="U69" s="1" t="str">
        <f t="shared" si="9"/>
        <v/>
      </c>
      <c r="V69" s="1" t="str">
        <f t="shared" si="10"/>
        <v/>
      </c>
      <c r="W69" s="1" t="str">
        <f t="shared" si="11"/>
        <v/>
      </c>
      <c r="X69" s="1">
        <f t="shared" si="12"/>
        <v>94.70999999999998</v>
      </c>
      <c r="Y69" s="1">
        <f t="shared" si="13"/>
        <v>94.548299999999983</v>
      </c>
      <c r="Z69" s="1">
        <f t="shared" si="14"/>
        <v>90.299999999999983</v>
      </c>
      <c r="AA69" s="1">
        <f t="shared" si="15"/>
        <v>92.196299999999979</v>
      </c>
      <c r="AB69" s="1" t="str">
        <f t="shared" si="16"/>
        <v/>
      </c>
      <c r="AC69" s="1" t="str">
        <f t="shared" si="17"/>
        <v/>
      </c>
      <c r="AD69" s="1" t="str">
        <f t="shared" si="18"/>
        <v/>
      </c>
      <c r="AE69" s="2" t="str">
        <f t="shared" si="19"/>
        <v/>
      </c>
      <c r="AF69" s="1" t="str">
        <f t="shared" si="20"/>
        <v/>
      </c>
      <c r="AG69" s="1" t="str">
        <f t="shared" si="21"/>
        <v/>
      </c>
      <c r="AH69" s="2" t="str">
        <f t="shared" si="22"/>
        <v/>
      </c>
      <c r="AI69" s="1" t="str">
        <f t="shared" si="23"/>
        <v/>
      </c>
      <c r="AJ69" s="1">
        <v>1</v>
      </c>
      <c r="AK69" s="1">
        <v>0</v>
      </c>
      <c r="AL69" s="1">
        <v>0.79666666666666663</v>
      </c>
      <c r="AM69" s="2">
        <f t="shared" si="24"/>
        <v>14.054431465019141</v>
      </c>
      <c r="AN69" s="1">
        <f t="shared" si="25"/>
        <v>111.96697067131915</v>
      </c>
      <c r="AO69" s="1">
        <f t="shared" si="26"/>
        <v>17.256970671319166</v>
      </c>
      <c r="AP69" s="34">
        <f t="shared" si="27"/>
        <v>-1945.1603000000002</v>
      </c>
      <c r="AQ69" s="34">
        <v>614667.00963596057</v>
      </c>
      <c r="AR69" s="34">
        <f t="shared" si="28"/>
        <v>-46.887864948831357</v>
      </c>
      <c r="AS69" s="34">
        <f t="shared" si="29"/>
        <v>-103.38774221217307</v>
      </c>
      <c r="AT69" s="1">
        <f t="shared" si="30"/>
        <v>18.814225539504754</v>
      </c>
      <c r="AU69" s="1" t="str">
        <f t="shared" si="31"/>
        <v/>
      </c>
      <c r="AV69" s="1">
        <f t="shared" si="32"/>
        <v>494.2853099421323</v>
      </c>
      <c r="AW69" s="1" t="str">
        <f t="shared" si="33"/>
        <v/>
      </c>
      <c r="AX69" s="2" t="str">
        <f t="shared" si="34"/>
        <v/>
      </c>
      <c r="AY69" s="1" t="str">
        <f t="shared" si="35"/>
        <v/>
      </c>
      <c r="AZ69" s="1">
        <f t="shared" si="36"/>
        <v>9.7995686291657279E-5</v>
      </c>
      <c r="BA69" s="1" t="str">
        <f t="shared" si="37"/>
        <v/>
      </c>
      <c r="BB69" s="2" t="str">
        <f t="shared" si="38"/>
        <v/>
      </c>
      <c r="BC69" s="1" t="str">
        <f t="shared" si="39"/>
        <v/>
      </c>
      <c r="BD69" s="1">
        <f t="shared" si="40"/>
        <v>0.18006707356092028</v>
      </c>
      <c r="BE69" s="1" t="str">
        <f t="shared" si="41"/>
        <v/>
      </c>
      <c r="BF69" s="2" t="str">
        <f t="shared" si="42"/>
        <v/>
      </c>
      <c r="BG69" s="2">
        <f t="shared" si="43"/>
        <v>0.18006707356092028</v>
      </c>
    </row>
    <row r="70" spans="2:59">
      <c r="B70" s="1"/>
      <c r="C70" s="34">
        <v>25</v>
      </c>
      <c r="D70" s="148" t="str">
        <f t="shared" si="1"/>
        <v>1-2接合</v>
      </c>
      <c r="E70" s="2">
        <v>5</v>
      </c>
      <c r="F70" s="1">
        <f t="shared" si="2"/>
        <v>49.613999999999997</v>
      </c>
      <c r="G70" s="1">
        <f t="shared" si="2"/>
        <v>49.743749999999991</v>
      </c>
      <c r="H70" s="1">
        <f t="shared" si="3"/>
        <v>44.349999999999994</v>
      </c>
      <c r="I70" s="1">
        <f t="shared" si="3"/>
        <v>45.281349999999989</v>
      </c>
      <c r="J70" s="149">
        <v>1653843.7274051565</v>
      </c>
      <c r="K70" s="149">
        <v>1566250.6570028318</v>
      </c>
      <c r="L70" s="149">
        <v>3210135.9402357247</v>
      </c>
      <c r="M70" s="138">
        <v>1443.0745801953599</v>
      </c>
      <c r="N70" s="138">
        <v>7012.7718961613318</v>
      </c>
      <c r="O70" s="103">
        <v>296.87712343632438</v>
      </c>
      <c r="P70" s="1">
        <f t="shared" si="4"/>
        <v>92.040190844350306</v>
      </c>
      <c r="Q70" s="2">
        <f t="shared" si="5"/>
        <v>14.154580518291704</v>
      </c>
      <c r="R70" s="32">
        <f t="shared" si="6"/>
        <v>152220.09229710227</v>
      </c>
      <c r="S70" s="147">
        <f t="shared" si="7"/>
        <v>45438.127640728606</v>
      </c>
      <c r="T70" s="1" t="str">
        <f t="shared" si="8"/>
        <v/>
      </c>
      <c r="U70" s="1" t="str">
        <f t="shared" si="9"/>
        <v/>
      </c>
      <c r="V70" s="1" t="str">
        <f t="shared" si="10"/>
        <v/>
      </c>
      <c r="W70" s="1" t="str">
        <f t="shared" si="11"/>
        <v/>
      </c>
      <c r="X70" s="1">
        <f t="shared" si="12"/>
        <v>93.109999999999985</v>
      </c>
      <c r="Y70" s="1">
        <f t="shared" si="13"/>
        <v>92.914699999999982</v>
      </c>
      <c r="Z70" s="1">
        <f t="shared" si="14"/>
        <v>88.699999999999989</v>
      </c>
      <c r="AA70" s="1">
        <f t="shared" si="15"/>
        <v>90.562699999999978</v>
      </c>
      <c r="AB70" s="1">
        <f t="shared" si="16"/>
        <v>99.227999999999994</v>
      </c>
      <c r="AC70" s="1">
        <f t="shared" si="17"/>
        <v>99.487499999999983</v>
      </c>
      <c r="AD70" s="1">
        <f t="shared" si="18"/>
        <v>95.699999999999989</v>
      </c>
      <c r="AE70" s="2">
        <f t="shared" si="19"/>
        <v>97.135499999999979</v>
      </c>
      <c r="AF70" s="1" t="str">
        <f t="shared" si="20"/>
        <v/>
      </c>
      <c r="AG70" s="1" t="str">
        <f t="shared" si="21"/>
        <v/>
      </c>
      <c r="AH70" s="2" t="str">
        <f t="shared" si="22"/>
        <v/>
      </c>
      <c r="AI70" s="1" t="str">
        <f t="shared" si="23"/>
        <v/>
      </c>
      <c r="AJ70" s="1">
        <v>1</v>
      </c>
      <c r="AK70" s="1">
        <v>0</v>
      </c>
      <c r="AL70" s="1">
        <v>0.78833333333333333</v>
      </c>
      <c r="AM70" s="2">
        <f t="shared" si="24"/>
        <v>14.054431465019141</v>
      </c>
      <c r="AN70" s="1">
        <f t="shared" si="25"/>
        <v>110.79576804923421</v>
      </c>
      <c r="AO70" s="1">
        <f t="shared" si="26"/>
        <v>11.567768049234218</v>
      </c>
      <c r="AP70" s="34">
        <f t="shared" si="27"/>
        <v>-1729.2051500000002</v>
      </c>
      <c r="AQ70" s="34">
        <v>576556.08762034029</v>
      </c>
      <c r="AR70" s="34">
        <f t="shared" si="28"/>
        <v>-16.378668467714849</v>
      </c>
      <c r="AS70" s="34">
        <f t="shared" si="29"/>
        <v>-86.217310814051018</v>
      </c>
      <c r="AT70" s="1">
        <f t="shared" si="30"/>
        <v>20.056356822929207</v>
      </c>
      <c r="AU70" s="1" t="str">
        <f t="shared" si="31"/>
        <v/>
      </c>
      <c r="AV70" s="1">
        <f t="shared" si="32"/>
        <v>485.67155297444407</v>
      </c>
      <c r="AW70" s="1">
        <f t="shared" si="33"/>
        <v>452.45083879312506</v>
      </c>
      <c r="AX70" s="2" t="str">
        <f t="shared" si="34"/>
        <v/>
      </c>
      <c r="AY70" s="1" t="str">
        <f t="shared" si="35"/>
        <v/>
      </c>
      <c r="AZ70" s="1">
        <f t="shared" si="36"/>
        <v>9.7134310594888888E-5</v>
      </c>
      <c r="BA70" s="1">
        <f t="shared" si="37"/>
        <v>8.9744615043171625E-5</v>
      </c>
      <c r="BB70" s="2" t="str">
        <f t="shared" si="38"/>
        <v/>
      </c>
      <c r="BC70" s="1" t="str">
        <f t="shared" si="39"/>
        <v/>
      </c>
      <c r="BD70" s="1">
        <f t="shared" si="40"/>
        <v>0.17848429571810834</v>
      </c>
      <c r="BE70" s="1">
        <f t="shared" si="41"/>
        <v>0.15346329172382348</v>
      </c>
      <c r="BF70" s="2" t="str">
        <f t="shared" si="42"/>
        <v/>
      </c>
      <c r="BG70" s="2">
        <f t="shared" si="43"/>
        <v>0.33194758744193181</v>
      </c>
    </row>
    <row r="71" spans="2:59">
      <c r="B71" s="1"/>
      <c r="C71" s="34">
        <v>26</v>
      </c>
      <c r="D71" s="148" t="str">
        <f t="shared" si="1"/>
        <v>2</v>
      </c>
      <c r="E71" s="2">
        <v>5.2</v>
      </c>
      <c r="F71" s="1">
        <f t="shared" si="2"/>
        <v>48.814</v>
      </c>
      <c r="G71" s="1">
        <f t="shared" si="2"/>
        <v>48.931749999999994</v>
      </c>
      <c r="H71" s="1">
        <f t="shared" si="3"/>
        <v>47.05</v>
      </c>
      <c r="I71" s="1">
        <f t="shared" si="3"/>
        <v>47.755749999999992</v>
      </c>
      <c r="J71" s="149">
        <v>560309.1954920491</v>
      </c>
      <c r="K71" s="149">
        <v>468281.16909528367</v>
      </c>
      <c r="L71" s="149">
        <v>1008585.2031832148</v>
      </c>
      <c r="M71" s="138">
        <v>444.24717998172008</v>
      </c>
      <c r="N71" s="138">
        <v>7279.7381595055194</v>
      </c>
      <c r="O71" s="103">
        <v>302.47118595681292</v>
      </c>
      <c r="P71" s="1">
        <f t="shared" si="4"/>
        <v>85.918359090644557</v>
      </c>
      <c r="Q71" s="2">
        <f t="shared" si="5"/>
        <v>15.282867242546342</v>
      </c>
      <c r="R71" s="32">
        <f t="shared" si="6"/>
        <v>48140.846660076037</v>
      </c>
      <c r="S71" s="147">
        <f t="shared" si="7"/>
        <v>15414.073763045697</v>
      </c>
      <c r="T71" s="1" t="str">
        <f t="shared" si="8"/>
        <v/>
      </c>
      <c r="U71" s="1" t="str">
        <f t="shared" si="9"/>
        <v/>
      </c>
      <c r="V71" s="1" t="str">
        <f t="shared" si="10"/>
        <v/>
      </c>
      <c r="W71" s="1" t="str">
        <f t="shared" si="11"/>
        <v/>
      </c>
      <c r="X71" s="1" t="str">
        <f t="shared" si="12"/>
        <v/>
      </c>
      <c r="Y71" s="1" t="str">
        <f t="shared" si="13"/>
        <v/>
      </c>
      <c r="Z71" s="1" t="str">
        <f t="shared" si="14"/>
        <v/>
      </c>
      <c r="AA71" s="1" t="str">
        <f t="shared" si="15"/>
        <v/>
      </c>
      <c r="AB71" s="1">
        <f t="shared" si="16"/>
        <v>97.628</v>
      </c>
      <c r="AC71" s="1">
        <f t="shared" si="17"/>
        <v>97.863499999999988</v>
      </c>
      <c r="AD71" s="1">
        <f t="shared" si="18"/>
        <v>94.1</v>
      </c>
      <c r="AE71" s="2">
        <f t="shared" si="19"/>
        <v>95.511499999999984</v>
      </c>
      <c r="AF71" s="1" t="str">
        <f t="shared" si="20"/>
        <v/>
      </c>
      <c r="AG71" s="1" t="str">
        <f t="shared" si="21"/>
        <v/>
      </c>
      <c r="AH71" s="2" t="str">
        <f t="shared" si="22"/>
        <v/>
      </c>
      <c r="AI71" s="1" t="str">
        <f t="shared" si="23"/>
        <v/>
      </c>
      <c r="AJ71" s="1">
        <v>1</v>
      </c>
      <c r="AK71" s="1">
        <v>0</v>
      </c>
      <c r="AL71" s="1">
        <v>0.78</v>
      </c>
      <c r="AM71" s="2">
        <f t="shared" si="24"/>
        <v>14.054431465019141</v>
      </c>
      <c r="AN71" s="1">
        <f t="shared" si="25"/>
        <v>109.62456542714929</v>
      </c>
      <c r="AO71" s="1">
        <f t="shared" si="26"/>
        <v>11.996565427149292</v>
      </c>
      <c r="AP71" s="34">
        <f t="shared" si="27"/>
        <v>-1513.25</v>
      </c>
      <c r="AQ71" s="34">
        <v>539718.11881719576</v>
      </c>
      <c r="AR71" s="34">
        <f t="shared" si="28"/>
        <v>-46.170523488245927</v>
      </c>
      <c r="AS71" s="34">
        <f t="shared" si="29"/>
        <v>-81.444803433265946</v>
      </c>
      <c r="AT71" s="1">
        <f t="shared" si="30"/>
        <v>18.580068171444765</v>
      </c>
      <c r="AU71" s="1" t="str">
        <f t="shared" si="31"/>
        <v/>
      </c>
      <c r="AV71" s="1" t="str">
        <f t="shared" si="32"/>
        <v/>
      </c>
      <c r="AW71" s="1">
        <f t="shared" si="33"/>
        <v>444.99531163859041</v>
      </c>
      <c r="AX71" s="2" t="str">
        <f t="shared" si="34"/>
        <v/>
      </c>
      <c r="AY71" s="1" t="str">
        <f t="shared" si="35"/>
        <v/>
      </c>
      <c r="AZ71" s="1" t="str">
        <f t="shared" si="36"/>
        <v/>
      </c>
      <c r="BA71" s="1">
        <f t="shared" si="37"/>
        <v>8.8253509612264846E-5</v>
      </c>
      <c r="BB71" s="2" t="str">
        <f t="shared" si="38"/>
        <v/>
      </c>
      <c r="BC71" s="1" t="str">
        <f t="shared" si="39"/>
        <v/>
      </c>
      <c r="BD71" s="1" t="str">
        <f t="shared" si="40"/>
        <v/>
      </c>
      <c r="BE71" s="1">
        <f t="shared" si="41"/>
        <v>0.15091350143697285</v>
      </c>
      <c r="BF71" s="2" t="str">
        <f t="shared" si="42"/>
        <v/>
      </c>
      <c r="BG71" s="2">
        <f t="shared" si="43"/>
        <v>0.15091350143697285</v>
      </c>
    </row>
    <row r="72" spans="2:59">
      <c r="B72" s="1"/>
      <c r="C72" s="34">
        <v>27</v>
      </c>
      <c r="D72" s="148" t="str">
        <f t="shared" si="1"/>
        <v>2</v>
      </c>
      <c r="E72" s="2">
        <v>5.4</v>
      </c>
      <c r="F72" s="1">
        <f t="shared" si="2"/>
        <v>48.014000000000003</v>
      </c>
      <c r="G72" s="1">
        <f t="shared" si="2"/>
        <v>48.119749999999996</v>
      </c>
      <c r="H72" s="1">
        <f t="shared" si="3"/>
        <v>46.25</v>
      </c>
      <c r="I72" s="1">
        <f t="shared" si="3"/>
        <v>46.943749999999994</v>
      </c>
      <c r="J72" s="149">
        <v>532709.0729163225</v>
      </c>
      <c r="K72" s="149">
        <v>445094.87184536812</v>
      </c>
      <c r="L72" s="149">
        <v>958778.45159491582</v>
      </c>
      <c r="M72" s="138">
        <v>436.81357519673054</v>
      </c>
      <c r="N72" s="138">
        <v>7038.0045931293516</v>
      </c>
      <c r="O72" s="103">
        <v>297.40666955524449</v>
      </c>
      <c r="P72" s="1">
        <f t="shared" si="4"/>
        <v>85.918359090644557</v>
      </c>
      <c r="Q72" s="2">
        <f t="shared" si="5"/>
        <v>15.282867242546342</v>
      </c>
      <c r="R72" s="32">
        <f t="shared" si="6"/>
        <v>45769.489417668949</v>
      </c>
      <c r="S72" s="147">
        <f t="shared" si="7"/>
        <v>14652.883790739243</v>
      </c>
      <c r="T72" s="1" t="str">
        <f t="shared" si="8"/>
        <v/>
      </c>
      <c r="U72" s="1" t="str">
        <f t="shared" si="9"/>
        <v/>
      </c>
      <c r="V72" s="1" t="str">
        <f t="shared" si="10"/>
        <v/>
      </c>
      <c r="W72" s="1" t="str">
        <f t="shared" si="11"/>
        <v/>
      </c>
      <c r="X72" s="1" t="str">
        <f t="shared" si="12"/>
        <v/>
      </c>
      <c r="Y72" s="1" t="str">
        <f t="shared" si="13"/>
        <v/>
      </c>
      <c r="Z72" s="1" t="str">
        <f t="shared" si="14"/>
        <v/>
      </c>
      <c r="AA72" s="1" t="str">
        <f t="shared" si="15"/>
        <v/>
      </c>
      <c r="AB72" s="1">
        <f t="shared" si="16"/>
        <v>96.028000000000006</v>
      </c>
      <c r="AC72" s="1">
        <f t="shared" si="17"/>
        <v>96.239499999999992</v>
      </c>
      <c r="AD72" s="1">
        <f t="shared" si="18"/>
        <v>92.5</v>
      </c>
      <c r="AE72" s="2">
        <f t="shared" si="19"/>
        <v>93.887499999999989</v>
      </c>
      <c r="AF72" s="1" t="str">
        <f t="shared" si="20"/>
        <v/>
      </c>
      <c r="AG72" s="1" t="str">
        <f t="shared" si="21"/>
        <v/>
      </c>
      <c r="AH72" s="2" t="str">
        <f t="shared" si="22"/>
        <v/>
      </c>
      <c r="AI72" s="1" t="str">
        <f t="shared" si="23"/>
        <v/>
      </c>
      <c r="AJ72" s="1">
        <v>1</v>
      </c>
      <c r="AK72" s="1">
        <v>0</v>
      </c>
      <c r="AL72" s="1">
        <v>0.77</v>
      </c>
      <c r="AM72" s="2">
        <f t="shared" si="24"/>
        <v>14.054431465019141</v>
      </c>
      <c r="AN72" s="1">
        <f t="shared" si="25"/>
        <v>108.21912228064738</v>
      </c>
      <c r="AO72" s="1">
        <f t="shared" si="26"/>
        <v>12.191122280647377</v>
      </c>
      <c r="AP72" s="34">
        <f t="shared" si="27"/>
        <v>-1513.25</v>
      </c>
      <c r="AQ72" s="34">
        <v>504233.97788618197</v>
      </c>
      <c r="AR72" s="34">
        <f t="shared" si="28"/>
        <v>-44.612635778149404</v>
      </c>
      <c r="AS72" s="34">
        <f t="shared" si="29"/>
        <v>-78.696689512655681</v>
      </c>
      <c r="AT72" s="1">
        <f t="shared" si="30"/>
        <v>19.228890177859963</v>
      </c>
      <c r="AU72" s="1" t="str">
        <f t="shared" si="31"/>
        <v/>
      </c>
      <c r="AV72" s="1" t="str">
        <f t="shared" si="32"/>
        <v/>
      </c>
      <c r="AW72" s="1">
        <f t="shared" si="33"/>
        <v>437.53978448405724</v>
      </c>
      <c r="AX72" s="2" t="str">
        <f t="shared" si="34"/>
        <v/>
      </c>
      <c r="AY72" s="1" t="str">
        <f t="shared" si="35"/>
        <v/>
      </c>
      <c r="AZ72" s="1" t="str">
        <f t="shared" si="36"/>
        <v/>
      </c>
      <c r="BA72" s="1">
        <f t="shared" si="37"/>
        <v>8.6762404181358054E-5</v>
      </c>
      <c r="BB72" s="2" t="str">
        <f t="shared" si="38"/>
        <v/>
      </c>
      <c r="BC72" s="1" t="str">
        <f t="shared" si="39"/>
        <v/>
      </c>
      <c r="BD72" s="1" t="str">
        <f t="shared" si="40"/>
        <v/>
      </c>
      <c r="BE72" s="1">
        <f t="shared" si="41"/>
        <v>0.14836371115012226</v>
      </c>
      <c r="BF72" s="2" t="str">
        <f t="shared" si="42"/>
        <v/>
      </c>
      <c r="BG72" s="2">
        <f t="shared" si="43"/>
        <v>0.14836371115012226</v>
      </c>
    </row>
    <row r="73" spans="2:59">
      <c r="B73" s="1"/>
      <c r="C73" s="34">
        <v>28</v>
      </c>
      <c r="D73" s="148" t="str">
        <f t="shared" si="1"/>
        <v>2</v>
      </c>
      <c r="E73" s="2">
        <v>5.6000000000000005</v>
      </c>
      <c r="F73" s="1">
        <f t="shared" si="2"/>
        <v>47.213999999999999</v>
      </c>
      <c r="G73" s="1">
        <f t="shared" si="2"/>
        <v>47.307749999999992</v>
      </c>
      <c r="H73" s="1">
        <f t="shared" si="3"/>
        <v>45.449999999999996</v>
      </c>
      <c r="I73" s="1">
        <f t="shared" si="3"/>
        <v>46.13174999999999</v>
      </c>
      <c r="J73" s="149">
        <v>506030.53046303388</v>
      </c>
      <c r="K73" s="149">
        <v>422686.84891304321</v>
      </c>
      <c r="L73" s="149">
        <v>910639.0119783096</v>
      </c>
      <c r="M73" s="138">
        <v>429.37996981325625</v>
      </c>
      <c r="N73" s="138">
        <v>6800.3525839287249</v>
      </c>
      <c r="O73" s="103">
        <v>292.34215404888585</v>
      </c>
      <c r="P73" s="1">
        <f t="shared" si="4"/>
        <v>85.918359090644557</v>
      </c>
      <c r="Q73" s="2">
        <f t="shared" si="5"/>
        <v>15.282867242546342</v>
      </c>
      <c r="R73" s="32">
        <f t="shared" si="6"/>
        <v>43477.312827152295</v>
      </c>
      <c r="S73" s="147">
        <f t="shared" si="7"/>
        <v>13917.175125948072</v>
      </c>
      <c r="T73" s="1" t="str">
        <f t="shared" si="8"/>
        <v/>
      </c>
      <c r="U73" s="1" t="str">
        <f t="shared" si="9"/>
        <v/>
      </c>
      <c r="V73" s="1" t="str">
        <f t="shared" si="10"/>
        <v/>
      </c>
      <c r="W73" s="1" t="str">
        <f t="shared" si="11"/>
        <v/>
      </c>
      <c r="X73" s="1" t="str">
        <f t="shared" si="12"/>
        <v/>
      </c>
      <c r="Y73" s="1" t="str">
        <f t="shared" si="13"/>
        <v/>
      </c>
      <c r="Z73" s="1" t="str">
        <f t="shared" si="14"/>
        <v/>
      </c>
      <c r="AA73" s="1" t="str">
        <f t="shared" si="15"/>
        <v/>
      </c>
      <c r="AB73" s="1">
        <f t="shared" si="16"/>
        <v>94.427999999999997</v>
      </c>
      <c r="AC73" s="1">
        <f t="shared" si="17"/>
        <v>94.615499999999983</v>
      </c>
      <c r="AD73" s="1">
        <f t="shared" si="18"/>
        <v>90.899999999999991</v>
      </c>
      <c r="AE73" s="2">
        <f t="shared" si="19"/>
        <v>92.263499999999979</v>
      </c>
      <c r="AF73" s="1" t="str">
        <f t="shared" si="20"/>
        <v/>
      </c>
      <c r="AG73" s="1" t="str">
        <f t="shared" si="21"/>
        <v/>
      </c>
      <c r="AH73" s="2" t="str">
        <f t="shared" si="22"/>
        <v/>
      </c>
      <c r="AI73" s="1" t="str">
        <f t="shared" si="23"/>
        <v/>
      </c>
      <c r="AJ73" s="1">
        <v>1</v>
      </c>
      <c r="AK73" s="1">
        <v>0</v>
      </c>
      <c r="AL73" s="1">
        <v>0.76</v>
      </c>
      <c r="AM73" s="2">
        <f t="shared" si="24"/>
        <v>14.054431465019141</v>
      </c>
      <c r="AN73" s="1">
        <f t="shared" si="25"/>
        <v>106.81367913414547</v>
      </c>
      <c r="AO73" s="1">
        <f t="shared" si="26"/>
        <v>12.385679134145477</v>
      </c>
      <c r="AP73" s="34">
        <f t="shared" si="27"/>
        <v>-1513.25</v>
      </c>
      <c r="AQ73" s="34">
        <v>470172.15749995771</v>
      </c>
      <c r="AR73" s="34">
        <f t="shared" si="28"/>
        <v>-43.048818381284178</v>
      </c>
      <c r="AS73" s="34">
        <f t="shared" si="29"/>
        <v>-75.938115624585421</v>
      </c>
      <c r="AT73" s="1">
        <f t="shared" si="30"/>
        <v>19.927410465135065</v>
      </c>
      <c r="AU73" s="1" t="str">
        <f t="shared" si="31"/>
        <v/>
      </c>
      <c r="AV73" s="1" t="str">
        <f t="shared" si="32"/>
        <v/>
      </c>
      <c r="AW73" s="1">
        <f t="shared" si="33"/>
        <v>430.08425732952259</v>
      </c>
      <c r="AX73" s="2" t="str">
        <f t="shared" si="34"/>
        <v/>
      </c>
      <c r="AY73" s="1" t="str">
        <f t="shared" si="35"/>
        <v/>
      </c>
      <c r="AZ73" s="1" t="str">
        <f t="shared" si="36"/>
        <v/>
      </c>
      <c r="BA73" s="1">
        <f t="shared" si="37"/>
        <v>8.5271298750451045E-5</v>
      </c>
      <c r="BB73" s="2" t="str">
        <f t="shared" si="38"/>
        <v/>
      </c>
      <c r="BC73" s="1" t="str">
        <f t="shared" si="39"/>
        <v/>
      </c>
      <c r="BD73" s="1" t="str">
        <f t="shared" si="40"/>
        <v/>
      </c>
      <c r="BE73" s="1">
        <f t="shared" si="41"/>
        <v>0.14581392086327127</v>
      </c>
      <c r="BF73" s="2" t="str">
        <f t="shared" si="42"/>
        <v/>
      </c>
      <c r="BG73" s="2">
        <f t="shared" si="43"/>
        <v>0.14581392086327127</v>
      </c>
    </row>
    <row r="74" spans="2:59">
      <c r="B74" s="1"/>
      <c r="C74" s="34">
        <v>29</v>
      </c>
      <c r="D74" s="148" t="str">
        <f t="shared" si="1"/>
        <v>2</v>
      </c>
      <c r="E74" s="2">
        <v>5.8000000000000007</v>
      </c>
      <c r="F74" s="1">
        <f t="shared" si="2"/>
        <v>46.413999999999994</v>
      </c>
      <c r="G74" s="1">
        <f t="shared" si="2"/>
        <v>46.495749999999987</v>
      </c>
      <c r="H74" s="1">
        <f t="shared" si="3"/>
        <v>44.649999999999991</v>
      </c>
      <c r="I74" s="1">
        <f t="shared" si="3"/>
        <v>45.319749999999985</v>
      </c>
      <c r="J74" s="149">
        <v>480257.91942906723</v>
      </c>
      <c r="K74" s="149">
        <v>401043.8142377687</v>
      </c>
      <c r="L74" s="149">
        <v>864138.49969917536</v>
      </c>
      <c r="M74" s="138">
        <v>421.94636380070312</v>
      </c>
      <c r="N74" s="138">
        <v>6566.7821319036439</v>
      </c>
      <c r="O74" s="103">
        <v>287.27763948508857</v>
      </c>
      <c r="P74" s="1">
        <f t="shared" si="4"/>
        <v>85.918359090644557</v>
      </c>
      <c r="Q74" s="2">
        <f t="shared" si="5"/>
        <v>15.282867242546342</v>
      </c>
      <c r="R74" s="32">
        <f t="shared" si="6"/>
        <v>41262.972377632439</v>
      </c>
      <c r="S74" s="147">
        <f t="shared" si="7"/>
        <v>13206.513970075668</v>
      </c>
      <c r="T74" s="1" t="str">
        <f t="shared" si="8"/>
        <v/>
      </c>
      <c r="U74" s="1" t="str">
        <f t="shared" si="9"/>
        <v/>
      </c>
      <c r="V74" s="1" t="str">
        <f t="shared" si="10"/>
        <v/>
      </c>
      <c r="W74" s="1" t="str">
        <f t="shared" si="11"/>
        <v/>
      </c>
      <c r="X74" s="1" t="str">
        <f t="shared" si="12"/>
        <v/>
      </c>
      <c r="Y74" s="1" t="str">
        <f t="shared" si="13"/>
        <v/>
      </c>
      <c r="Z74" s="1" t="str">
        <f t="shared" si="14"/>
        <v/>
      </c>
      <c r="AA74" s="1" t="str">
        <f t="shared" si="15"/>
        <v/>
      </c>
      <c r="AB74" s="1">
        <f t="shared" si="16"/>
        <v>92.827999999999989</v>
      </c>
      <c r="AC74" s="1">
        <f t="shared" si="17"/>
        <v>92.991499999999974</v>
      </c>
      <c r="AD74" s="1">
        <f t="shared" si="18"/>
        <v>89.299999999999983</v>
      </c>
      <c r="AE74" s="2">
        <f t="shared" si="19"/>
        <v>90.63949999999997</v>
      </c>
      <c r="AF74" s="1" t="str">
        <f t="shared" si="20"/>
        <v/>
      </c>
      <c r="AG74" s="1" t="str">
        <f t="shared" si="21"/>
        <v/>
      </c>
      <c r="AH74" s="2" t="str">
        <f t="shared" si="22"/>
        <v/>
      </c>
      <c r="AI74" s="1" t="str">
        <f t="shared" si="23"/>
        <v/>
      </c>
      <c r="AJ74" s="1">
        <v>1</v>
      </c>
      <c r="AK74" s="1">
        <v>0</v>
      </c>
      <c r="AL74" s="1">
        <v>0.75</v>
      </c>
      <c r="AM74" s="2">
        <f t="shared" si="24"/>
        <v>14.054431465019141</v>
      </c>
      <c r="AN74" s="1">
        <f t="shared" si="25"/>
        <v>105.40823598764355</v>
      </c>
      <c r="AO74" s="1">
        <f t="shared" si="26"/>
        <v>12.580235987643562</v>
      </c>
      <c r="AP74" s="34">
        <f t="shared" si="27"/>
        <v>-1513.25</v>
      </c>
      <c r="AQ74" s="34">
        <v>437516.27666634548</v>
      </c>
      <c r="AR74" s="34">
        <f t="shared" si="28"/>
        <v>-41.479776393597433</v>
      </c>
      <c r="AS74" s="34">
        <f t="shared" si="29"/>
        <v>-73.17032555830599</v>
      </c>
      <c r="AT74" s="1">
        <f t="shared" si="30"/>
        <v>20.681198128524962</v>
      </c>
      <c r="AU74" s="1" t="str">
        <f t="shared" si="31"/>
        <v/>
      </c>
      <c r="AV74" s="1" t="str">
        <f t="shared" si="32"/>
        <v/>
      </c>
      <c r="AW74" s="1">
        <f t="shared" si="33"/>
        <v>422.62873017498725</v>
      </c>
      <c r="AX74" s="2" t="str">
        <f t="shared" si="34"/>
        <v/>
      </c>
      <c r="AY74" s="1" t="str">
        <f t="shared" si="35"/>
        <v/>
      </c>
      <c r="AZ74" s="1" t="str">
        <f t="shared" si="36"/>
        <v/>
      </c>
      <c r="BA74" s="1">
        <f t="shared" si="37"/>
        <v>8.3780193319543683E-5</v>
      </c>
      <c r="BB74" s="2" t="str">
        <f t="shared" si="38"/>
        <v/>
      </c>
      <c r="BC74" s="1" t="str">
        <f t="shared" si="39"/>
        <v/>
      </c>
      <c r="BD74" s="1" t="str">
        <f t="shared" si="40"/>
        <v/>
      </c>
      <c r="BE74" s="1">
        <f t="shared" si="41"/>
        <v>0.14326413057641971</v>
      </c>
      <c r="BF74" s="2" t="str">
        <f t="shared" si="42"/>
        <v/>
      </c>
      <c r="BG74" s="2">
        <f t="shared" si="43"/>
        <v>0.14326413057641971</v>
      </c>
    </row>
    <row r="75" spans="2:59">
      <c r="B75" s="1"/>
      <c r="C75" s="34">
        <v>30</v>
      </c>
      <c r="D75" s="148" t="str">
        <f t="shared" si="1"/>
        <v>2</v>
      </c>
      <c r="E75" s="2">
        <v>6</v>
      </c>
      <c r="F75" s="1">
        <f t="shared" si="2"/>
        <v>45.614000000000004</v>
      </c>
      <c r="G75" s="1">
        <f t="shared" si="2"/>
        <v>45.683749999999996</v>
      </c>
      <c r="H75" s="1">
        <f t="shared" si="3"/>
        <v>43.85</v>
      </c>
      <c r="I75" s="1">
        <f t="shared" si="3"/>
        <v>44.507749999999994</v>
      </c>
      <c r="J75" s="149">
        <v>455375.59111130284</v>
      </c>
      <c r="K75" s="149">
        <v>380152.48175901209</v>
      </c>
      <c r="L75" s="149">
        <v>819248.53012333438</v>
      </c>
      <c r="M75" s="138">
        <v>414.51275712634771</v>
      </c>
      <c r="N75" s="138">
        <v>6337.2932370541084</v>
      </c>
      <c r="O75" s="103">
        <v>282.21312591458786</v>
      </c>
      <c r="P75" s="1">
        <f t="shared" si="4"/>
        <v>85.918359090644557</v>
      </c>
      <c r="Q75" s="2">
        <f t="shared" si="5"/>
        <v>15.282867242546342</v>
      </c>
      <c r="R75" s="32">
        <f t="shared" si="6"/>
        <v>39125.123558215448</v>
      </c>
      <c r="S75" s="147">
        <f t="shared" si="7"/>
        <v>12520.466524526146</v>
      </c>
      <c r="T75" s="1" t="str">
        <f t="shared" si="8"/>
        <v/>
      </c>
      <c r="U75" s="1" t="str">
        <f t="shared" si="9"/>
        <v/>
      </c>
      <c r="V75" s="1" t="str">
        <f t="shared" si="10"/>
        <v/>
      </c>
      <c r="W75" s="1" t="str">
        <f t="shared" si="11"/>
        <v/>
      </c>
      <c r="X75" s="1" t="str">
        <f t="shared" si="12"/>
        <v/>
      </c>
      <c r="Y75" s="1" t="str">
        <f t="shared" si="13"/>
        <v/>
      </c>
      <c r="Z75" s="1" t="str">
        <f t="shared" si="14"/>
        <v/>
      </c>
      <c r="AA75" s="1" t="str">
        <f t="shared" si="15"/>
        <v/>
      </c>
      <c r="AB75" s="1">
        <f t="shared" si="16"/>
        <v>91.228000000000009</v>
      </c>
      <c r="AC75" s="1">
        <f t="shared" si="17"/>
        <v>91.367499999999993</v>
      </c>
      <c r="AD75" s="1">
        <f t="shared" si="18"/>
        <v>87.7</v>
      </c>
      <c r="AE75" s="2">
        <f t="shared" si="19"/>
        <v>89.015499999999989</v>
      </c>
      <c r="AF75" s="1" t="str">
        <f t="shared" si="20"/>
        <v/>
      </c>
      <c r="AG75" s="1" t="str">
        <f t="shared" si="21"/>
        <v/>
      </c>
      <c r="AH75" s="2" t="str">
        <f t="shared" si="22"/>
        <v/>
      </c>
      <c r="AI75" s="1" t="str">
        <f t="shared" si="23"/>
        <v/>
      </c>
      <c r="AJ75" s="1">
        <v>1</v>
      </c>
      <c r="AK75" s="1">
        <v>0</v>
      </c>
      <c r="AL75" s="1">
        <v>0.74</v>
      </c>
      <c r="AM75" s="2">
        <f t="shared" si="24"/>
        <v>14.054431465019141</v>
      </c>
      <c r="AN75" s="1">
        <f t="shared" si="25"/>
        <v>104.00279284114164</v>
      </c>
      <c r="AO75" s="1">
        <f t="shared" si="26"/>
        <v>12.774792841141632</v>
      </c>
      <c r="AP75" s="34">
        <f t="shared" si="27"/>
        <v>-1513.25</v>
      </c>
      <c r="AQ75" s="34">
        <v>406249.5411116429</v>
      </c>
      <c r="AR75" s="34">
        <f t="shared" si="28"/>
        <v>-39.906298949089532</v>
      </c>
      <c r="AS75" s="34">
        <f t="shared" si="29"/>
        <v>-70.394711346194043</v>
      </c>
      <c r="AT75" s="1">
        <f t="shared" si="30"/>
        <v>21.496643299778448</v>
      </c>
      <c r="AU75" s="1" t="str">
        <f t="shared" si="31"/>
        <v/>
      </c>
      <c r="AV75" s="1" t="str">
        <f t="shared" si="32"/>
        <v/>
      </c>
      <c r="AW75" s="1">
        <f t="shared" si="33"/>
        <v>415.1732030204526</v>
      </c>
      <c r="AX75" s="2" t="str">
        <f t="shared" si="34"/>
        <v/>
      </c>
      <c r="AY75" s="1" t="str">
        <f t="shared" si="35"/>
        <v/>
      </c>
      <c r="AZ75" s="1" t="str">
        <f t="shared" si="36"/>
        <v/>
      </c>
      <c r="BA75" s="1">
        <f t="shared" si="37"/>
        <v>8.2289087888637202E-5</v>
      </c>
      <c r="BB75" s="2" t="str">
        <f t="shared" si="38"/>
        <v/>
      </c>
      <c r="BC75" s="1" t="str">
        <f t="shared" si="39"/>
        <v/>
      </c>
      <c r="BD75" s="1" t="str">
        <f t="shared" si="40"/>
        <v/>
      </c>
      <c r="BE75" s="1">
        <f t="shared" si="41"/>
        <v>0.14071434028956961</v>
      </c>
      <c r="BF75" s="2" t="str">
        <f t="shared" si="42"/>
        <v/>
      </c>
      <c r="BG75" s="2">
        <f t="shared" si="43"/>
        <v>0.14071434028956961</v>
      </c>
    </row>
    <row r="76" spans="2:59">
      <c r="B76" s="1"/>
      <c r="C76" s="34">
        <v>31</v>
      </c>
      <c r="D76" s="148" t="str">
        <f t="shared" si="1"/>
        <v>2</v>
      </c>
      <c r="E76" s="2">
        <v>6.2</v>
      </c>
      <c r="F76" s="1">
        <f t="shared" si="2"/>
        <v>44.814</v>
      </c>
      <c r="G76" s="1">
        <f t="shared" si="2"/>
        <v>44.871749999999992</v>
      </c>
      <c r="H76" s="1">
        <f t="shared" si="3"/>
        <v>43.05</v>
      </c>
      <c r="I76" s="1">
        <f t="shared" si="3"/>
        <v>43.69574999999999</v>
      </c>
      <c r="J76" s="149">
        <v>431367.89680660423</v>
      </c>
      <c r="K76" s="149">
        <v>359999.56541622203</v>
      </c>
      <c r="L76" s="149">
        <v>775940.71861654567</v>
      </c>
      <c r="M76" s="138">
        <v>407.07914975515479</v>
      </c>
      <c r="N76" s="138">
        <v>6111.885899380115</v>
      </c>
      <c r="O76" s="103">
        <v>277.14861339183653</v>
      </c>
      <c r="P76" s="1">
        <f t="shared" si="4"/>
        <v>85.918359090644557</v>
      </c>
      <c r="Q76" s="2">
        <f t="shared" si="5"/>
        <v>15.282867242546342</v>
      </c>
      <c r="R76" s="32">
        <f t="shared" si="6"/>
        <v>37062.421858005924</v>
      </c>
      <c r="S76" s="147">
        <f t="shared" si="7"/>
        <v>11858.598990702674</v>
      </c>
      <c r="T76" s="1" t="str">
        <f t="shared" si="8"/>
        <v/>
      </c>
      <c r="U76" s="1" t="str">
        <f t="shared" si="9"/>
        <v/>
      </c>
      <c r="V76" s="1" t="str">
        <f t="shared" si="10"/>
        <v/>
      </c>
      <c r="W76" s="1" t="str">
        <f t="shared" si="11"/>
        <v/>
      </c>
      <c r="X76" s="1" t="str">
        <f t="shared" si="12"/>
        <v/>
      </c>
      <c r="Y76" s="1" t="str">
        <f t="shared" si="13"/>
        <v/>
      </c>
      <c r="Z76" s="1" t="str">
        <f t="shared" si="14"/>
        <v/>
      </c>
      <c r="AA76" s="1" t="str">
        <f t="shared" si="15"/>
        <v/>
      </c>
      <c r="AB76" s="1">
        <f t="shared" si="16"/>
        <v>89.628</v>
      </c>
      <c r="AC76" s="1">
        <f t="shared" si="17"/>
        <v>89.743499999999983</v>
      </c>
      <c r="AD76" s="1">
        <f t="shared" si="18"/>
        <v>86.1</v>
      </c>
      <c r="AE76" s="2">
        <f t="shared" si="19"/>
        <v>87.391499999999979</v>
      </c>
      <c r="AF76" s="1" t="str">
        <f t="shared" si="20"/>
        <v/>
      </c>
      <c r="AG76" s="1" t="str">
        <f t="shared" si="21"/>
        <v/>
      </c>
      <c r="AH76" s="2" t="str">
        <f t="shared" si="22"/>
        <v/>
      </c>
      <c r="AI76" s="1" t="str">
        <f t="shared" si="23"/>
        <v/>
      </c>
      <c r="AJ76" s="1">
        <v>1</v>
      </c>
      <c r="AK76" s="1">
        <v>0</v>
      </c>
      <c r="AL76" s="1">
        <v>0.73</v>
      </c>
      <c r="AM76" s="2">
        <f t="shared" si="24"/>
        <v>14.054431465019141</v>
      </c>
      <c r="AN76" s="1">
        <f t="shared" si="25"/>
        <v>102.59734969463973</v>
      </c>
      <c r="AO76" s="1">
        <f t="shared" si="26"/>
        <v>12.969349694639732</v>
      </c>
      <c r="AP76" s="34">
        <f t="shared" si="27"/>
        <v>-1513.25</v>
      </c>
      <c r="AQ76" s="34">
        <v>376354.83529034536</v>
      </c>
      <c r="AR76" s="34">
        <f t="shared" si="28"/>
        <v>-38.329279360786956</v>
      </c>
      <c r="AS76" s="34">
        <f t="shared" si="29"/>
        <v>-67.612848792428295</v>
      </c>
      <c r="AT76" s="1">
        <f t="shared" si="30"/>
        <v>22.38110103370564</v>
      </c>
      <c r="AU76" s="1" t="str">
        <f t="shared" si="31"/>
        <v/>
      </c>
      <c r="AV76" s="1" t="str">
        <f t="shared" si="32"/>
        <v/>
      </c>
      <c r="AW76" s="1">
        <f t="shared" si="33"/>
        <v>407.71767586591869</v>
      </c>
      <c r="AX76" s="2" t="str">
        <f t="shared" si="34"/>
        <v/>
      </c>
      <c r="AY76" s="1" t="str">
        <f t="shared" si="35"/>
        <v/>
      </c>
      <c r="AZ76" s="1" t="str">
        <f t="shared" si="36"/>
        <v/>
      </c>
      <c r="BA76" s="1">
        <f t="shared" si="37"/>
        <v>8.0797982457730342E-5</v>
      </c>
      <c r="BB76" s="2" t="str">
        <f t="shared" si="38"/>
        <v/>
      </c>
      <c r="BC76" s="1" t="str">
        <f t="shared" si="39"/>
        <v/>
      </c>
      <c r="BD76" s="1" t="str">
        <f t="shared" si="40"/>
        <v/>
      </c>
      <c r="BE76" s="1">
        <f t="shared" si="41"/>
        <v>0.13816455000271888</v>
      </c>
      <c r="BF76" s="2" t="str">
        <f t="shared" si="42"/>
        <v/>
      </c>
      <c r="BG76" s="2">
        <f t="shared" si="43"/>
        <v>0.13816455000271888</v>
      </c>
    </row>
    <row r="77" spans="2:59">
      <c r="B77" s="1"/>
      <c r="C77" s="34">
        <v>32</v>
      </c>
      <c r="D77" s="148" t="str">
        <f t="shared" si="1"/>
        <v>2</v>
      </c>
      <c r="E77" s="2">
        <v>6.4</v>
      </c>
      <c r="F77" s="1">
        <f t="shared" si="2"/>
        <v>44.014000000000003</v>
      </c>
      <c r="G77" s="1">
        <f t="shared" si="2"/>
        <v>44.059750000000001</v>
      </c>
      <c r="H77" s="1">
        <f t="shared" si="3"/>
        <v>42.25</v>
      </c>
      <c r="I77" s="1">
        <f t="shared" si="3"/>
        <v>42.883749999999999</v>
      </c>
      <c r="J77" s="149">
        <v>408219.18781185965</v>
      </c>
      <c r="K77" s="149">
        <v>340571.77914885449</v>
      </c>
      <c r="L77" s="149">
        <v>734186.68054460606</v>
      </c>
      <c r="M77" s="138">
        <v>399.64554164959065</v>
      </c>
      <c r="N77" s="138">
        <v>5890.5601188816681</v>
      </c>
      <c r="O77" s="103">
        <v>272.08410197533863</v>
      </c>
      <c r="P77" s="1">
        <f t="shared" si="4"/>
        <v>85.918359090644557</v>
      </c>
      <c r="Q77" s="2">
        <f t="shared" si="5"/>
        <v>15.282867242546342</v>
      </c>
      <c r="R77" s="32">
        <f t="shared" si="6"/>
        <v>35073.522766110633</v>
      </c>
      <c r="S77" s="147">
        <f t="shared" si="7"/>
        <v>11220.477570008994</v>
      </c>
      <c r="T77" s="1" t="str">
        <f t="shared" si="8"/>
        <v/>
      </c>
      <c r="U77" s="1" t="str">
        <f t="shared" si="9"/>
        <v/>
      </c>
      <c r="V77" s="1" t="str">
        <f t="shared" si="10"/>
        <v/>
      </c>
      <c r="W77" s="1" t="str">
        <f t="shared" si="11"/>
        <v/>
      </c>
      <c r="X77" s="1" t="str">
        <f t="shared" si="12"/>
        <v/>
      </c>
      <c r="Y77" s="1" t="str">
        <f t="shared" si="13"/>
        <v/>
      </c>
      <c r="Z77" s="1" t="str">
        <f t="shared" si="14"/>
        <v/>
      </c>
      <c r="AA77" s="1" t="str">
        <f t="shared" si="15"/>
        <v/>
      </c>
      <c r="AB77" s="1">
        <f t="shared" si="16"/>
        <v>88.028000000000006</v>
      </c>
      <c r="AC77" s="1">
        <f t="shared" si="17"/>
        <v>88.119500000000002</v>
      </c>
      <c r="AD77" s="1">
        <f t="shared" si="18"/>
        <v>84.5</v>
      </c>
      <c r="AE77" s="2">
        <f t="shared" si="19"/>
        <v>85.767499999999998</v>
      </c>
      <c r="AF77" s="1" t="str">
        <f t="shared" si="20"/>
        <v/>
      </c>
      <c r="AG77" s="1" t="str">
        <f t="shared" si="21"/>
        <v/>
      </c>
      <c r="AH77" s="2" t="str">
        <f t="shared" si="22"/>
        <v/>
      </c>
      <c r="AI77" s="1" t="str">
        <f t="shared" si="23"/>
        <v/>
      </c>
      <c r="AJ77" s="1">
        <v>1</v>
      </c>
      <c r="AK77" s="1">
        <v>0</v>
      </c>
      <c r="AL77" s="1">
        <v>0.72</v>
      </c>
      <c r="AM77" s="2">
        <f t="shared" si="24"/>
        <v>14.054431465019141</v>
      </c>
      <c r="AN77" s="1">
        <f t="shared" si="25"/>
        <v>101.19190654813781</v>
      </c>
      <c r="AO77" s="1">
        <f t="shared" si="26"/>
        <v>13.163906548137803</v>
      </c>
      <c r="AP77" s="34">
        <f t="shared" si="27"/>
        <v>-1513.25</v>
      </c>
      <c r="AQ77" s="34">
        <v>347814.76725467149</v>
      </c>
      <c r="AR77" s="34">
        <f t="shared" si="28"/>
        <v>-36.749733939852426</v>
      </c>
      <c r="AS77" s="34">
        <f t="shared" si="29"/>
        <v>-64.826530669899782</v>
      </c>
      <c r="AT77" s="1">
        <f t="shared" si="30"/>
        <v>23.343066247144264</v>
      </c>
      <c r="AU77" s="1" t="str">
        <f t="shared" si="31"/>
        <v/>
      </c>
      <c r="AV77" s="1" t="str">
        <f t="shared" si="32"/>
        <v/>
      </c>
      <c r="AW77" s="1">
        <f t="shared" si="33"/>
        <v>400.2621487113841</v>
      </c>
      <c r="AX77" s="2" t="str">
        <f t="shared" si="34"/>
        <v/>
      </c>
      <c r="AY77" s="1" t="str">
        <f t="shared" si="35"/>
        <v/>
      </c>
      <c r="AZ77" s="1" t="str">
        <f t="shared" si="36"/>
        <v/>
      </c>
      <c r="BA77" s="1">
        <f t="shared" si="37"/>
        <v>7.9306877026823414E-5</v>
      </c>
      <c r="BB77" s="2" t="str">
        <f t="shared" si="38"/>
        <v/>
      </c>
      <c r="BC77" s="1" t="str">
        <f t="shared" si="39"/>
        <v/>
      </c>
      <c r="BD77" s="1" t="str">
        <f t="shared" si="40"/>
        <v/>
      </c>
      <c r="BE77" s="1">
        <f t="shared" si="41"/>
        <v>0.13561475971586803</v>
      </c>
      <c r="BF77" s="2" t="str">
        <f t="shared" si="42"/>
        <v/>
      </c>
      <c r="BG77" s="2">
        <f t="shared" si="43"/>
        <v>0.13561475971586803</v>
      </c>
    </row>
    <row r="78" spans="2:59">
      <c r="B78" s="1"/>
      <c r="C78" s="34">
        <v>33</v>
      </c>
      <c r="D78" s="148" t="str">
        <f t="shared" si="1"/>
        <v>2</v>
      </c>
      <c r="E78" s="2">
        <v>6.6000000000000005</v>
      </c>
      <c r="F78" s="1">
        <f t="shared" si="2"/>
        <v>43.214000000000006</v>
      </c>
      <c r="G78" s="1">
        <f t="shared" si="2"/>
        <v>43.247750000000003</v>
      </c>
      <c r="H78" s="1">
        <f t="shared" si="3"/>
        <v>41.45</v>
      </c>
      <c r="I78" s="1">
        <f t="shared" si="3"/>
        <v>42.071750000000002</v>
      </c>
      <c r="J78" s="149">
        <v>385913.81542393204</v>
      </c>
      <c r="K78" s="149">
        <v>321855.83689636656</v>
      </c>
      <c r="L78" s="149">
        <v>693958.03127332439</v>
      </c>
      <c r="M78" s="138">
        <v>392.21193276935571</v>
      </c>
      <c r="N78" s="138">
        <v>5673.3158955587633</v>
      </c>
      <c r="O78" s="103">
        <v>267.01959172803532</v>
      </c>
      <c r="P78" s="1">
        <f t="shared" si="4"/>
        <v>85.918359090644557</v>
      </c>
      <c r="Q78" s="2">
        <f t="shared" si="5"/>
        <v>15.282867242546342</v>
      </c>
      <c r="R78" s="32">
        <f t="shared" si="6"/>
        <v>33157.081771634119</v>
      </c>
      <c r="S78" s="147">
        <f t="shared" si="7"/>
        <v>10605.668463849037</v>
      </c>
      <c r="T78" s="1" t="str">
        <f t="shared" si="8"/>
        <v/>
      </c>
      <c r="U78" s="1" t="str">
        <f t="shared" si="9"/>
        <v/>
      </c>
      <c r="V78" s="1" t="str">
        <f t="shared" si="10"/>
        <v/>
      </c>
      <c r="W78" s="1" t="str">
        <f t="shared" si="11"/>
        <v/>
      </c>
      <c r="X78" s="1" t="str">
        <f t="shared" si="12"/>
        <v/>
      </c>
      <c r="Y78" s="1" t="str">
        <f t="shared" si="13"/>
        <v/>
      </c>
      <c r="Z78" s="1" t="str">
        <f t="shared" si="14"/>
        <v/>
      </c>
      <c r="AA78" s="1" t="str">
        <f t="shared" si="15"/>
        <v/>
      </c>
      <c r="AB78" s="1">
        <f t="shared" si="16"/>
        <v>86.428000000000011</v>
      </c>
      <c r="AC78" s="1">
        <f t="shared" si="17"/>
        <v>86.495500000000007</v>
      </c>
      <c r="AD78" s="1">
        <f t="shared" si="18"/>
        <v>82.9</v>
      </c>
      <c r="AE78" s="2">
        <f t="shared" si="19"/>
        <v>84.143500000000003</v>
      </c>
      <c r="AF78" s="1" t="str">
        <f t="shared" si="20"/>
        <v/>
      </c>
      <c r="AG78" s="1" t="str">
        <f t="shared" si="21"/>
        <v/>
      </c>
      <c r="AH78" s="2" t="str">
        <f t="shared" si="22"/>
        <v/>
      </c>
      <c r="AI78" s="1" t="str">
        <f t="shared" si="23"/>
        <v/>
      </c>
      <c r="AJ78" s="1">
        <v>1</v>
      </c>
      <c r="AK78" s="1">
        <v>0</v>
      </c>
      <c r="AL78" s="1">
        <v>0.71</v>
      </c>
      <c r="AM78" s="2">
        <f t="shared" si="24"/>
        <v>14.054431465019141</v>
      </c>
      <c r="AN78" s="1">
        <f t="shared" si="25"/>
        <v>99.786463401635899</v>
      </c>
      <c r="AO78" s="1">
        <f t="shared" si="26"/>
        <v>13.358463401635888</v>
      </c>
      <c r="AP78" s="34">
        <f t="shared" si="27"/>
        <v>-1513.25</v>
      </c>
      <c r="AQ78" s="34">
        <v>320611.69148639293</v>
      </c>
      <c r="AR78" s="34">
        <f t="shared" si="28"/>
        <v>-35.168821590625868</v>
      </c>
      <c r="AS78" s="34">
        <f t="shared" si="29"/>
        <v>-62.037801285864134</v>
      </c>
      <c r="AT78" s="1">
        <f t="shared" si="30"/>
        <v>24.392386071632224</v>
      </c>
      <c r="AU78" s="1" t="str">
        <f t="shared" si="31"/>
        <v/>
      </c>
      <c r="AV78" s="1" t="str">
        <f t="shared" si="32"/>
        <v/>
      </c>
      <c r="AW78" s="1">
        <f t="shared" si="33"/>
        <v>392.80662155684945</v>
      </c>
      <c r="AX78" s="2" t="str">
        <f t="shared" si="34"/>
        <v/>
      </c>
      <c r="AY78" s="1" t="str">
        <f t="shared" si="35"/>
        <v/>
      </c>
      <c r="AZ78" s="1" t="str">
        <f t="shared" si="36"/>
        <v/>
      </c>
      <c r="BA78" s="1">
        <f t="shared" si="37"/>
        <v>7.7815771595916554E-5</v>
      </c>
      <c r="BB78" s="2" t="str">
        <f t="shared" si="38"/>
        <v/>
      </c>
      <c r="BC78" s="1" t="str">
        <f t="shared" si="39"/>
        <v/>
      </c>
      <c r="BD78" s="1" t="str">
        <f t="shared" si="40"/>
        <v/>
      </c>
      <c r="BE78" s="1">
        <f t="shared" si="41"/>
        <v>0.1330649694290173</v>
      </c>
      <c r="BF78" s="2" t="str">
        <f t="shared" si="42"/>
        <v/>
      </c>
      <c r="BG78" s="2">
        <f t="shared" si="43"/>
        <v>0.1330649694290173</v>
      </c>
    </row>
    <row r="79" spans="2:59">
      <c r="B79" s="1"/>
      <c r="C79" s="34">
        <v>34</v>
      </c>
      <c r="D79" s="148" t="str">
        <f t="shared" si="1"/>
        <v>2</v>
      </c>
      <c r="E79" s="2">
        <v>6.8000000000000007</v>
      </c>
      <c r="F79" s="1">
        <f t="shared" si="2"/>
        <v>42.414000000000001</v>
      </c>
      <c r="G79" s="1">
        <f t="shared" si="2"/>
        <v>42.435749999999999</v>
      </c>
      <c r="H79" s="1">
        <f t="shared" si="3"/>
        <v>40.65</v>
      </c>
      <c r="I79" s="1">
        <f t="shared" si="3"/>
        <v>41.259749999999997</v>
      </c>
      <c r="J79" s="149">
        <v>364436.13093970128</v>
      </c>
      <c r="K79" s="149">
        <v>303838.45259820542</v>
      </c>
      <c r="L79" s="149">
        <v>655226.38616846059</v>
      </c>
      <c r="M79" s="138">
        <v>384.77832307116603</v>
      </c>
      <c r="N79" s="138">
        <v>5460.1532294113995</v>
      </c>
      <c r="O79" s="103">
        <v>261.95508271774128</v>
      </c>
      <c r="P79" s="1">
        <f t="shared" si="4"/>
        <v>85.918359090644557</v>
      </c>
      <c r="Q79" s="2">
        <f t="shared" si="5"/>
        <v>15.282867242546342</v>
      </c>
      <c r="R79" s="32">
        <f t="shared" si="6"/>
        <v>31311.754363682416</v>
      </c>
      <c r="S79" s="147">
        <f t="shared" si="7"/>
        <v>10013.737873625985</v>
      </c>
      <c r="T79" s="1" t="str">
        <f t="shared" si="8"/>
        <v/>
      </c>
      <c r="U79" s="1" t="str">
        <f t="shared" si="9"/>
        <v/>
      </c>
      <c r="V79" s="1" t="str">
        <f t="shared" si="10"/>
        <v/>
      </c>
      <c r="W79" s="1" t="str">
        <f t="shared" si="11"/>
        <v/>
      </c>
      <c r="X79" s="1" t="str">
        <f t="shared" si="12"/>
        <v/>
      </c>
      <c r="Y79" s="1" t="str">
        <f t="shared" si="13"/>
        <v/>
      </c>
      <c r="Z79" s="1" t="str">
        <f t="shared" si="14"/>
        <v/>
      </c>
      <c r="AA79" s="1" t="str">
        <f t="shared" si="15"/>
        <v/>
      </c>
      <c r="AB79" s="1">
        <f t="shared" si="16"/>
        <v>84.828000000000003</v>
      </c>
      <c r="AC79" s="1">
        <f t="shared" si="17"/>
        <v>84.871499999999997</v>
      </c>
      <c r="AD79" s="1">
        <f t="shared" si="18"/>
        <v>81.3</v>
      </c>
      <c r="AE79" s="2">
        <f t="shared" si="19"/>
        <v>82.519499999999994</v>
      </c>
      <c r="AF79" s="1" t="str">
        <f t="shared" si="20"/>
        <v/>
      </c>
      <c r="AG79" s="1" t="str">
        <f t="shared" si="21"/>
        <v/>
      </c>
      <c r="AH79" s="2" t="str">
        <f t="shared" si="22"/>
        <v/>
      </c>
      <c r="AI79" s="1" t="str">
        <f t="shared" si="23"/>
        <v/>
      </c>
      <c r="AJ79" s="1">
        <v>1</v>
      </c>
      <c r="AK79" s="1">
        <v>0</v>
      </c>
      <c r="AL79" s="1">
        <v>0.7</v>
      </c>
      <c r="AM79" s="2">
        <f t="shared" si="24"/>
        <v>14.054431465019141</v>
      </c>
      <c r="AN79" s="1">
        <f t="shared" si="25"/>
        <v>98.38102025513399</v>
      </c>
      <c r="AO79" s="1">
        <f t="shared" si="26"/>
        <v>13.553020255133987</v>
      </c>
      <c r="AP79" s="34">
        <f t="shared" si="27"/>
        <v>-1513.25</v>
      </c>
      <c r="AQ79" s="34">
        <v>294727.7174162289</v>
      </c>
      <c r="AR79" s="34">
        <f t="shared" si="28"/>
        <v>-33.587864979710595</v>
      </c>
      <c r="AS79" s="34">
        <f t="shared" si="29"/>
        <v>-59.248993824209585</v>
      </c>
      <c r="AT79" s="1">
        <f t="shared" si="30"/>
        <v>25.540518113940944</v>
      </c>
      <c r="AU79" s="1" t="str">
        <f t="shared" si="31"/>
        <v/>
      </c>
      <c r="AV79" s="1" t="str">
        <f t="shared" si="32"/>
        <v/>
      </c>
      <c r="AW79" s="1">
        <f t="shared" si="33"/>
        <v>385.35109440231554</v>
      </c>
      <c r="AX79" s="2" t="str">
        <f t="shared" si="34"/>
        <v/>
      </c>
      <c r="AY79" s="1" t="str">
        <f t="shared" si="35"/>
        <v/>
      </c>
      <c r="AZ79" s="1" t="str">
        <f t="shared" si="36"/>
        <v/>
      </c>
      <c r="BA79" s="1">
        <f t="shared" si="37"/>
        <v>7.6324666165009369E-5</v>
      </c>
      <c r="BB79" s="2" t="str">
        <f t="shared" si="38"/>
        <v/>
      </c>
      <c r="BC79" s="1" t="str">
        <f t="shared" si="39"/>
        <v/>
      </c>
      <c r="BD79" s="1" t="str">
        <f t="shared" si="40"/>
        <v/>
      </c>
      <c r="BE79" s="1">
        <f t="shared" si="41"/>
        <v>0.13051517914216601</v>
      </c>
      <c r="BF79" s="2" t="str">
        <f t="shared" si="42"/>
        <v/>
      </c>
      <c r="BG79" s="2">
        <f t="shared" si="43"/>
        <v>0.13051517914216601</v>
      </c>
    </row>
    <row r="80" spans="2:59">
      <c r="B80" s="1"/>
      <c r="C80" s="34">
        <v>35</v>
      </c>
      <c r="D80" s="148" t="str">
        <f t="shared" si="1"/>
        <v>2</v>
      </c>
      <c r="E80" s="2">
        <v>7</v>
      </c>
      <c r="F80" s="1">
        <f t="shared" si="2"/>
        <v>41.614000000000004</v>
      </c>
      <c r="G80" s="1">
        <f t="shared" si="2"/>
        <v>41.623750000000001</v>
      </c>
      <c r="H80" s="1">
        <f t="shared" si="3"/>
        <v>39.85</v>
      </c>
      <c r="I80" s="1">
        <f t="shared" si="3"/>
        <v>40.447749999999999</v>
      </c>
      <c r="J80" s="149">
        <v>343770.48565603344</v>
      </c>
      <c r="K80" s="149">
        <v>286506.34019381274</v>
      </c>
      <c r="L80" s="149">
        <v>617963.36059582164</v>
      </c>
      <c r="M80" s="138">
        <v>377.34471250844638</v>
      </c>
      <c r="N80" s="138">
        <v>5251.0721204395832</v>
      </c>
      <c r="O80" s="103">
        <v>256.8905750176159</v>
      </c>
      <c r="P80" s="1">
        <f t="shared" si="4"/>
        <v>85.918359090644557</v>
      </c>
      <c r="Q80" s="2">
        <f t="shared" si="5"/>
        <v>15.282867242546342</v>
      </c>
      <c r="R80" s="32">
        <f t="shared" si="6"/>
        <v>29536.196031360356</v>
      </c>
      <c r="S80" s="147">
        <f t="shared" si="7"/>
        <v>9444.2520007437342</v>
      </c>
      <c r="T80" s="1" t="str">
        <f t="shared" si="8"/>
        <v/>
      </c>
      <c r="U80" s="1" t="str">
        <f t="shared" si="9"/>
        <v/>
      </c>
      <c r="V80" s="1" t="str">
        <f t="shared" si="10"/>
        <v/>
      </c>
      <c r="W80" s="1" t="str">
        <f t="shared" si="11"/>
        <v/>
      </c>
      <c r="X80" s="1" t="str">
        <f t="shared" si="12"/>
        <v/>
      </c>
      <c r="Y80" s="1" t="str">
        <f t="shared" si="13"/>
        <v/>
      </c>
      <c r="Z80" s="1" t="str">
        <f t="shared" si="14"/>
        <v/>
      </c>
      <c r="AA80" s="1" t="str">
        <f t="shared" si="15"/>
        <v/>
      </c>
      <c r="AB80" s="1">
        <f t="shared" si="16"/>
        <v>83.228000000000009</v>
      </c>
      <c r="AC80" s="1">
        <f t="shared" si="17"/>
        <v>83.247500000000002</v>
      </c>
      <c r="AD80" s="1">
        <f t="shared" si="18"/>
        <v>79.7</v>
      </c>
      <c r="AE80" s="2">
        <f t="shared" si="19"/>
        <v>80.895499999999998</v>
      </c>
      <c r="AF80" s="1" t="str">
        <f t="shared" si="20"/>
        <v/>
      </c>
      <c r="AG80" s="1" t="str">
        <f t="shared" si="21"/>
        <v/>
      </c>
      <c r="AH80" s="2" t="str">
        <f t="shared" si="22"/>
        <v/>
      </c>
      <c r="AI80" s="1" t="str">
        <f t="shared" si="23"/>
        <v/>
      </c>
      <c r="AJ80" s="1">
        <v>1</v>
      </c>
      <c r="AK80" s="1">
        <v>0</v>
      </c>
      <c r="AL80" s="1">
        <v>0.69000000000000006</v>
      </c>
      <c r="AM80" s="2">
        <f t="shared" si="24"/>
        <v>14.054431465019141</v>
      </c>
      <c r="AN80" s="1">
        <f t="shared" si="25"/>
        <v>96.975577108632081</v>
      </c>
      <c r="AO80" s="1">
        <f t="shared" si="26"/>
        <v>13.747577108632072</v>
      </c>
      <c r="AP80" s="34">
        <f t="shared" si="27"/>
        <v>-1513.25</v>
      </c>
      <c r="AQ80" s="34">
        <v>270144.73613108619</v>
      </c>
      <c r="AR80" s="34">
        <f t="shared" si="28"/>
        <v>-32.008377249410565</v>
      </c>
      <c r="AS80" s="34">
        <f t="shared" si="29"/>
        <v>-56.462777467960329</v>
      </c>
      <c r="AT80" s="1">
        <f t="shared" si="30"/>
        <v>26.800842393180005</v>
      </c>
      <c r="AU80" s="1" t="str">
        <f t="shared" si="31"/>
        <v/>
      </c>
      <c r="AV80" s="1" t="str">
        <f t="shared" si="32"/>
        <v/>
      </c>
      <c r="AW80" s="1">
        <f t="shared" si="33"/>
        <v>377.89556724778095</v>
      </c>
      <c r="AX80" s="2" t="str">
        <f t="shared" si="34"/>
        <v/>
      </c>
      <c r="AY80" s="1" t="str">
        <f t="shared" si="35"/>
        <v/>
      </c>
      <c r="AZ80" s="1" t="str">
        <f t="shared" si="36"/>
        <v/>
      </c>
      <c r="BA80" s="1">
        <f t="shared" si="37"/>
        <v>7.4833560734102861E-5</v>
      </c>
      <c r="BB80" s="2" t="str">
        <f t="shared" si="38"/>
        <v/>
      </c>
      <c r="BC80" s="1" t="str">
        <f t="shared" si="39"/>
        <v/>
      </c>
      <c r="BD80" s="1" t="str">
        <f t="shared" si="40"/>
        <v/>
      </c>
      <c r="BE80" s="1">
        <f t="shared" si="41"/>
        <v>0.12796538885531589</v>
      </c>
      <c r="BF80" s="2" t="str">
        <f t="shared" si="42"/>
        <v/>
      </c>
      <c r="BG80" s="2">
        <f t="shared" si="43"/>
        <v>0.12796538885531589</v>
      </c>
    </row>
    <row r="81" spans="2:59">
      <c r="B81" s="1"/>
      <c r="C81" s="34">
        <v>36</v>
      </c>
      <c r="D81" s="148" t="str">
        <f t="shared" si="1"/>
        <v>2</v>
      </c>
      <c r="E81" s="2">
        <v>7.2</v>
      </c>
      <c r="F81" s="1">
        <f t="shared" si="2"/>
        <v>40.814</v>
      </c>
      <c r="G81" s="1">
        <f t="shared" si="2"/>
        <v>40.811749999999996</v>
      </c>
      <c r="H81" s="1">
        <f t="shared" si="3"/>
        <v>39.049999999999997</v>
      </c>
      <c r="I81" s="1">
        <f t="shared" si="3"/>
        <v>39.635749999999994</v>
      </c>
      <c r="J81" s="149">
        <v>323901.23086980614</v>
      </c>
      <c r="K81" s="149">
        <v>269846.2136226499</v>
      </c>
      <c r="L81" s="149">
        <v>582140.56992117211</v>
      </c>
      <c r="M81" s="138">
        <v>369.91110103102125</v>
      </c>
      <c r="N81" s="138">
        <v>5046.0725686433088</v>
      </c>
      <c r="O81" s="103">
        <v>251.82606870669187</v>
      </c>
      <c r="P81" s="1">
        <f t="shared" si="4"/>
        <v>85.918359090644557</v>
      </c>
      <c r="Q81" s="2">
        <f t="shared" si="5"/>
        <v>15.282867242546342</v>
      </c>
      <c r="R81" s="32">
        <f t="shared" si="6"/>
        <v>27829.062263773772</v>
      </c>
      <c r="S81" s="147">
        <f t="shared" si="7"/>
        <v>8896.777046605539</v>
      </c>
      <c r="T81" s="1" t="str">
        <f t="shared" si="8"/>
        <v/>
      </c>
      <c r="U81" s="1" t="str">
        <f t="shared" si="9"/>
        <v/>
      </c>
      <c r="V81" s="1" t="str">
        <f t="shared" si="10"/>
        <v/>
      </c>
      <c r="W81" s="1" t="str">
        <f t="shared" si="11"/>
        <v/>
      </c>
      <c r="X81" s="1" t="str">
        <f t="shared" si="12"/>
        <v/>
      </c>
      <c r="Y81" s="1" t="str">
        <f t="shared" si="13"/>
        <v/>
      </c>
      <c r="Z81" s="1" t="str">
        <f t="shared" si="14"/>
        <v/>
      </c>
      <c r="AA81" s="1" t="str">
        <f t="shared" si="15"/>
        <v/>
      </c>
      <c r="AB81" s="1">
        <f t="shared" si="16"/>
        <v>81.628</v>
      </c>
      <c r="AC81" s="1">
        <f t="shared" si="17"/>
        <v>81.623499999999993</v>
      </c>
      <c r="AD81" s="1">
        <f t="shared" si="18"/>
        <v>78.099999999999994</v>
      </c>
      <c r="AE81" s="2">
        <f t="shared" si="19"/>
        <v>79.271499999999989</v>
      </c>
      <c r="AF81" s="1" t="str">
        <f t="shared" si="20"/>
        <v/>
      </c>
      <c r="AG81" s="1" t="str">
        <f t="shared" si="21"/>
        <v/>
      </c>
      <c r="AH81" s="2" t="str">
        <f t="shared" si="22"/>
        <v/>
      </c>
      <c r="AI81" s="1" t="str">
        <f t="shared" si="23"/>
        <v/>
      </c>
      <c r="AJ81" s="1">
        <v>1</v>
      </c>
      <c r="AK81" s="1">
        <v>0</v>
      </c>
      <c r="AL81" s="1">
        <v>0.67999999999999994</v>
      </c>
      <c r="AM81" s="2">
        <f t="shared" si="24"/>
        <v>14.054431465019141</v>
      </c>
      <c r="AN81" s="1">
        <f t="shared" si="25"/>
        <v>95.570133962130143</v>
      </c>
      <c r="AO81" s="1">
        <f t="shared" si="26"/>
        <v>13.942133962130143</v>
      </c>
      <c r="AP81" s="34">
        <f t="shared" si="27"/>
        <v>-1513.25</v>
      </c>
      <c r="AQ81" s="34">
        <v>246658.64592805039</v>
      </c>
      <c r="AR81" s="34">
        <f t="shared" si="28"/>
        <v>-30.409186846091359</v>
      </c>
      <c r="AS81" s="34">
        <f t="shared" si="29"/>
        <v>-53.641805596505243</v>
      </c>
      <c r="AT81" s="1">
        <f t="shared" si="30"/>
        <v>28.210273371159378</v>
      </c>
      <c r="AU81" s="1" t="str">
        <f t="shared" si="31"/>
        <v/>
      </c>
      <c r="AV81" s="1" t="str">
        <f t="shared" si="32"/>
        <v/>
      </c>
      <c r="AW81" s="1">
        <f t="shared" si="33"/>
        <v>370.44004009324698</v>
      </c>
      <c r="AX81" s="2" t="str">
        <f t="shared" si="34"/>
        <v/>
      </c>
      <c r="AY81" s="1" t="str">
        <f t="shared" si="35"/>
        <v/>
      </c>
      <c r="AZ81" s="1" t="str">
        <f t="shared" si="36"/>
        <v/>
      </c>
      <c r="BA81" s="1">
        <f t="shared" si="37"/>
        <v>7.3342455303196001E-5</v>
      </c>
      <c r="BB81" s="2" t="str">
        <f t="shared" si="38"/>
        <v/>
      </c>
      <c r="BC81" s="1" t="str">
        <f t="shared" si="39"/>
        <v/>
      </c>
      <c r="BD81" s="1" t="str">
        <f t="shared" si="40"/>
        <v/>
      </c>
      <c r="BE81" s="1">
        <f t="shared" si="41"/>
        <v>0.12541559856846515</v>
      </c>
      <c r="BF81" s="2" t="str">
        <f t="shared" si="42"/>
        <v/>
      </c>
      <c r="BG81" s="2">
        <f t="shared" si="43"/>
        <v>0.12541559856846515</v>
      </c>
    </row>
    <row r="82" spans="2:59">
      <c r="B82" s="1"/>
      <c r="C82" s="34">
        <v>37</v>
      </c>
      <c r="D82" s="148" t="str">
        <f t="shared" si="1"/>
        <v>2</v>
      </c>
      <c r="E82" s="2">
        <v>7.4</v>
      </c>
      <c r="F82" s="1">
        <f t="shared" si="2"/>
        <v>40.014000000000003</v>
      </c>
      <c r="G82" s="1">
        <f t="shared" si="2"/>
        <v>39.999749999999999</v>
      </c>
      <c r="H82" s="1">
        <f t="shared" si="3"/>
        <v>38.25</v>
      </c>
      <c r="I82" s="1">
        <f t="shared" si="3"/>
        <v>38.823749999999997</v>
      </c>
      <c r="J82" s="149">
        <v>304812.71787787543</v>
      </c>
      <c r="K82" s="149">
        <v>253844.78682415205</v>
      </c>
      <c r="L82" s="149">
        <v>547729.62951030536</v>
      </c>
      <c r="M82" s="138">
        <v>362.47748858476479</v>
      </c>
      <c r="N82" s="138">
        <v>4845.1545740225793</v>
      </c>
      <c r="O82" s="103">
        <v>246.76156387050492</v>
      </c>
      <c r="P82" s="1">
        <f t="shared" si="4"/>
        <v>85.918359090644557</v>
      </c>
      <c r="Q82" s="2">
        <f t="shared" si="5"/>
        <v>15.282867242546342</v>
      </c>
      <c r="R82" s="32">
        <f t="shared" si="6"/>
        <v>26189.008550026636</v>
      </c>
      <c r="S82" s="147">
        <f t="shared" si="7"/>
        <v>8370.8792126150893</v>
      </c>
      <c r="T82" s="1" t="str">
        <f t="shared" si="8"/>
        <v/>
      </c>
      <c r="U82" s="1" t="str">
        <f t="shared" si="9"/>
        <v/>
      </c>
      <c r="V82" s="1" t="str">
        <f t="shared" si="10"/>
        <v/>
      </c>
      <c r="W82" s="1" t="str">
        <f t="shared" si="11"/>
        <v/>
      </c>
      <c r="X82" s="1" t="str">
        <f t="shared" si="12"/>
        <v/>
      </c>
      <c r="Y82" s="1" t="str">
        <f t="shared" si="13"/>
        <v/>
      </c>
      <c r="Z82" s="1" t="str">
        <f t="shared" si="14"/>
        <v/>
      </c>
      <c r="AA82" s="1" t="str">
        <f t="shared" si="15"/>
        <v/>
      </c>
      <c r="AB82" s="1">
        <f t="shared" si="16"/>
        <v>80.028000000000006</v>
      </c>
      <c r="AC82" s="1">
        <f t="shared" si="17"/>
        <v>79.999499999999998</v>
      </c>
      <c r="AD82" s="1">
        <f t="shared" si="18"/>
        <v>76.5</v>
      </c>
      <c r="AE82" s="2">
        <f t="shared" si="19"/>
        <v>77.647499999999994</v>
      </c>
      <c r="AF82" s="1" t="str">
        <f t="shared" si="20"/>
        <v/>
      </c>
      <c r="AG82" s="1" t="str">
        <f t="shared" si="21"/>
        <v/>
      </c>
      <c r="AH82" s="2" t="str">
        <f t="shared" si="22"/>
        <v/>
      </c>
      <c r="AI82" s="1" t="str">
        <f t="shared" si="23"/>
        <v/>
      </c>
      <c r="AJ82" s="1">
        <v>1</v>
      </c>
      <c r="AK82" s="1">
        <v>0</v>
      </c>
      <c r="AL82" s="1">
        <v>0.66999999999999993</v>
      </c>
      <c r="AM82" s="2">
        <f t="shared" si="24"/>
        <v>14.054431465019141</v>
      </c>
      <c r="AN82" s="1">
        <f t="shared" si="25"/>
        <v>94.164690815628234</v>
      </c>
      <c r="AO82" s="1">
        <f t="shared" si="26"/>
        <v>14.136690815628228</v>
      </c>
      <c r="AP82" s="34">
        <f t="shared" si="27"/>
        <v>-1513.25</v>
      </c>
      <c r="AQ82" s="34">
        <v>224313.6989376868</v>
      </c>
      <c r="AR82" s="34">
        <f t="shared" si="28"/>
        <v>-28.797498109466822</v>
      </c>
      <c r="AS82" s="34">
        <f t="shared" si="29"/>
        <v>-50.798786665099556</v>
      </c>
      <c r="AT82" s="1">
        <f t="shared" si="30"/>
        <v>29.78909732581571</v>
      </c>
      <c r="AU82" s="1" t="str">
        <f t="shared" si="31"/>
        <v/>
      </c>
      <c r="AV82" s="1" t="str">
        <f t="shared" si="32"/>
        <v/>
      </c>
      <c r="AW82" s="1">
        <f t="shared" si="33"/>
        <v>362.98451293871238</v>
      </c>
      <c r="AX82" s="2" t="str">
        <f t="shared" si="34"/>
        <v/>
      </c>
      <c r="AY82" s="1" t="str">
        <f t="shared" si="35"/>
        <v/>
      </c>
      <c r="AZ82" s="1" t="str">
        <f t="shared" si="36"/>
        <v/>
      </c>
      <c r="BA82" s="1">
        <f t="shared" si="37"/>
        <v>7.1851349872289073E-5</v>
      </c>
      <c r="BB82" s="2" t="str">
        <f t="shared" si="38"/>
        <v/>
      </c>
      <c r="BC82" s="1" t="str">
        <f t="shared" si="39"/>
        <v/>
      </c>
      <c r="BD82" s="1" t="str">
        <f t="shared" si="40"/>
        <v/>
      </c>
      <c r="BE82" s="1">
        <f t="shared" si="41"/>
        <v>0.12286580828161431</v>
      </c>
      <c r="BF82" s="2" t="str">
        <f t="shared" si="42"/>
        <v/>
      </c>
      <c r="BG82" s="2">
        <f t="shared" si="43"/>
        <v>0.12286580828161431</v>
      </c>
    </row>
    <row r="83" spans="2:59">
      <c r="B83" s="1"/>
      <c r="C83" s="34">
        <v>38</v>
      </c>
      <c r="D83" s="148" t="str">
        <f t="shared" si="1"/>
        <v>2</v>
      </c>
      <c r="E83" s="2">
        <v>7.6000000000000005</v>
      </c>
      <c r="F83" s="1">
        <f t="shared" si="2"/>
        <v>39.214000000000006</v>
      </c>
      <c r="G83" s="1">
        <f t="shared" si="2"/>
        <v>39.187750000000001</v>
      </c>
      <c r="H83" s="1">
        <f t="shared" si="3"/>
        <v>37.450000000000003</v>
      </c>
      <c r="I83" s="1">
        <f t="shared" si="3"/>
        <v>38.011749999999999</v>
      </c>
      <c r="J83" s="149">
        <v>286489.29797711445</v>
      </c>
      <c r="K83" s="149">
        <v>238488.77373775776</v>
      </c>
      <c r="L83" s="149">
        <v>514702.15472897963</v>
      </c>
      <c r="M83" s="138">
        <v>355.04387511119131</v>
      </c>
      <c r="N83" s="138">
        <v>4648.3181365773944</v>
      </c>
      <c r="O83" s="103">
        <v>241.69706060175471</v>
      </c>
      <c r="P83" s="1">
        <f t="shared" si="4"/>
        <v>85.918359090644557</v>
      </c>
      <c r="Q83" s="2">
        <f t="shared" si="5"/>
        <v>15.282867242546342</v>
      </c>
      <c r="R83" s="32">
        <f t="shared" si="6"/>
        <v>24614.690379224387</v>
      </c>
      <c r="S83" s="147">
        <f t="shared" si="7"/>
        <v>7866.124700175541</v>
      </c>
      <c r="T83" s="1" t="str">
        <f t="shared" si="8"/>
        <v/>
      </c>
      <c r="U83" s="1" t="str">
        <f t="shared" si="9"/>
        <v/>
      </c>
      <c r="V83" s="1" t="str">
        <f t="shared" si="10"/>
        <v/>
      </c>
      <c r="W83" s="1" t="str">
        <f t="shared" si="11"/>
        <v/>
      </c>
      <c r="X83" s="1" t="str">
        <f t="shared" si="12"/>
        <v/>
      </c>
      <c r="Y83" s="1" t="str">
        <f t="shared" si="13"/>
        <v/>
      </c>
      <c r="Z83" s="1" t="str">
        <f t="shared" si="14"/>
        <v/>
      </c>
      <c r="AA83" s="1" t="str">
        <f t="shared" si="15"/>
        <v/>
      </c>
      <c r="AB83" s="1">
        <f t="shared" si="16"/>
        <v>78.428000000000011</v>
      </c>
      <c r="AC83" s="1">
        <f t="shared" si="17"/>
        <v>78.375500000000002</v>
      </c>
      <c r="AD83" s="1">
        <f t="shared" si="18"/>
        <v>74.900000000000006</v>
      </c>
      <c r="AE83" s="2">
        <f t="shared" si="19"/>
        <v>76.023499999999999</v>
      </c>
      <c r="AF83" s="1" t="str">
        <f t="shared" si="20"/>
        <v/>
      </c>
      <c r="AG83" s="1" t="str">
        <f t="shared" si="21"/>
        <v/>
      </c>
      <c r="AH83" s="2" t="str">
        <f t="shared" si="22"/>
        <v/>
      </c>
      <c r="AI83" s="1" t="str">
        <f t="shared" si="23"/>
        <v/>
      </c>
      <c r="AJ83" s="1">
        <v>1</v>
      </c>
      <c r="AK83" s="1">
        <v>0</v>
      </c>
      <c r="AL83" s="1">
        <v>0.65999999999999992</v>
      </c>
      <c r="AM83" s="2">
        <f t="shared" si="24"/>
        <v>14.054431465019141</v>
      </c>
      <c r="AN83" s="1">
        <f t="shared" si="25"/>
        <v>92.75924766912631</v>
      </c>
      <c r="AO83" s="1">
        <f t="shared" si="26"/>
        <v>14.331247669126299</v>
      </c>
      <c r="AP83" s="34">
        <f t="shared" si="27"/>
        <v>-1513.25</v>
      </c>
      <c r="AQ83" s="34">
        <v>203200.92661207487</v>
      </c>
      <c r="AR83" s="34">
        <f t="shared" si="28"/>
        <v>-27.188093844665254</v>
      </c>
      <c r="AS83" s="34">
        <f t="shared" si="29"/>
        <v>-47.959797541989587</v>
      </c>
      <c r="AT83" s="1">
        <f t="shared" si="30"/>
        <v>31.552468474770453</v>
      </c>
      <c r="AU83" s="1" t="str">
        <f t="shared" si="31"/>
        <v/>
      </c>
      <c r="AV83" s="1" t="str">
        <f t="shared" si="32"/>
        <v/>
      </c>
      <c r="AW83" s="1">
        <f t="shared" si="33"/>
        <v>355.52898578417773</v>
      </c>
      <c r="AX83" s="2" t="str">
        <f t="shared" si="34"/>
        <v/>
      </c>
      <c r="AY83" s="1" t="str">
        <f t="shared" si="35"/>
        <v/>
      </c>
      <c r="AZ83" s="1" t="str">
        <f t="shared" si="36"/>
        <v/>
      </c>
      <c r="BA83" s="1">
        <f t="shared" si="37"/>
        <v>7.0360244441382213E-5</v>
      </c>
      <c r="BB83" s="2" t="str">
        <f t="shared" si="38"/>
        <v/>
      </c>
      <c r="BC83" s="1" t="str">
        <f t="shared" si="39"/>
        <v/>
      </c>
      <c r="BD83" s="1" t="str">
        <f t="shared" si="40"/>
        <v/>
      </c>
      <c r="BE83" s="1">
        <f t="shared" si="41"/>
        <v>0.12031601799476357</v>
      </c>
      <c r="BF83" s="2" t="str">
        <f t="shared" si="42"/>
        <v/>
      </c>
      <c r="BG83" s="2">
        <f t="shared" si="43"/>
        <v>0.12031601799476357</v>
      </c>
    </row>
    <row r="84" spans="2:59">
      <c r="B84" s="1"/>
      <c r="C84" s="34">
        <v>39</v>
      </c>
      <c r="D84" s="148" t="str">
        <f t="shared" si="1"/>
        <v>2</v>
      </c>
      <c r="E84" s="2">
        <v>7.8000000000000007</v>
      </c>
      <c r="F84" s="1">
        <f t="shared" si="2"/>
        <v>38.414000000000001</v>
      </c>
      <c r="G84" s="1">
        <f t="shared" si="2"/>
        <v>38.375749999999996</v>
      </c>
      <c r="H84" s="1">
        <f t="shared" si="3"/>
        <v>36.65</v>
      </c>
      <c r="I84" s="1">
        <f t="shared" si="3"/>
        <v>37.199749999999995</v>
      </c>
      <c r="J84" s="149">
        <v>268915.3224643789</v>
      </c>
      <c r="K84" s="149">
        <v>223764.888302907</v>
      </c>
      <c r="L84" s="149">
        <v>483029.7609429782</v>
      </c>
      <c r="M84" s="138">
        <v>347.6102605470208</v>
      </c>
      <c r="N84" s="138">
        <v>4455.5632563077497</v>
      </c>
      <c r="O84" s="103">
        <v>236.63255900107754</v>
      </c>
      <c r="P84" s="1">
        <f t="shared" si="4"/>
        <v>85.918359090644557</v>
      </c>
      <c r="Q84" s="2">
        <f t="shared" si="5"/>
        <v>15.282867242546342</v>
      </c>
      <c r="R84" s="32">
        <f t="shared" si="6"/>
        <v>23104.763240470984</v>
      </c>
      <c r="S84" s="147">
        <f t="shared" si="7"/>
        <v>7382.079710690432</v>
      </c>
      <c r="T84" s="1" t="str">
        <f t="shared" si="8"/>
        <v/>
      </c>
      <c r="U84" s="1" t="str">
        <f t="shared" si="9"/>
        <v/>
      </c>
      <c r="V84" s="1" t="str">
        <f t="shared" si="10"/>
        <v/>
      </c>
      <c r="W84" s="1" t="str">
        <f t="shared" si="11"/>
        <v/>
      </c>
      <c r="X84" s="1" t="str">
        <f t="shared" si="12"/>
        <v/>
      </c>
      <c r="Y84" s="1" t="str">
        <f t="shared" si="13"/>
        <v/>
      </c>
      <c r="Z84" s="1" t="str">
        <f t="shared" si="14"/>
        <v/>
      </c>
      <c r="AA84" s="1" t="str">
        <f t="shared" si="15"/>
        <v/>
      </c>
      <c r="AB84" s="1">
        <f t="shared" si="16"/>
        <v>76.828000000000003</v>
      </c>
      <c r="AC84" s="1">
        <f t="shared" si="17"/>
        <v>76.751499999999993</v>
      </c>
      <c r="AD84" s="1">
        <f t="shared" si="18"/>
        <v>73.3</v>
      </c>
      <c r="AE84" s="2">
        <f t="shared" si="19"/>
        <v>74.399499999999989</v>
      </c>
      <c r="AF84" s="1" t="str">
        <f t="shared" si="20"/>
        <v/>
      </c>
      <c r="AG84" s="1" t="str">
        <f t="shared" si="21"/>
        <v/>
      </c>
      <c r="AH84" s="2" t="str">
        <f t="shared" si="22"/>
        <v/>
      </c>
      <c r="AI84" s="1" t="str">
        <f t="shared" si="23"/>
        <v/>
      </c>
      <c r="AJ84" s="1">
        <v>1</v>
      </c>
      <c r="AK84" s="1">
        <v>0</v>
      </c>
      <c r="AL84" s="1">
        <v>0.64999999999999991</v>
      </c>
      <c r="AM84" s="2">
        <f t="shared" si="24"/>
        <v>14.054431465019141</v>
      </c>
      <c r="AN84" s="1">
        <f t="shared" si="25"/>
        <v>91.353804522624401</v>
      </c>
      <c r="AO84" s="1">
        <f t="shared" si="26"/>
        <v>14.525804522624398</v>
      </c>
      <c r="AP84" s="34">
        <f t="shared" si="27"/>
        <v>-1513.25</v>
      </c>
      <c r="AQ84" s="34">
        <v>183300.87367403953</v>
      </c>
      <c r="AR84" s="34">
        <f t="shared" si="28"/>
        <v>-25.582954246295667</v>
      </c>
      <c r="AS84" s="34">
        <f t="shared" si="29"/>
        <v>-45.128331290465631</v>
      </c>
      <c r="AT84" s="1">
        <f t="shared" si="30"/>
        <v>33.532150574326863</v>
      </c>
      <c r="AU84" s="1" t="str">
        <f t="shared" si="31"/>
        <v/>
      </c>
      <c r="AV84" s="1" t="str">
        <f t="shared" si="32"/>
        <v/>
      </c>
      <c r="AW84" s="1">
        <f t="shared" si="33"/>
        <v>348.07345862964382</v>
      </c>
      <c r="AX84" s="2" t="str">
        <f t="shared" si="34"/>
        <v/>
      </c>
      <c r="AY84" s="1" t="str">
        <f t="shared" si="35"/>
        <v/>
      </c>
      <c r="AZ84" s="1" t="str">
        <f t="shared" si="36"/>
        <v/>
      </c>
      <c r="BA84" s="1">
        <f t="shared" si="37"/>
        <v>6.8869139010475054E-5</v>
      </c>
      <c r="BB84" s="2" t="str">
        <f t="shared" si="38"/>
        <v/>
      </c>
      <c r="BC84" s="1" t="str">
        <f t="shared" si="39"/>
        <v/>
      </c>
      <c r="BD84" s="1" t="str">
        <f t="shared" si="40"/>
        <v/>
      </c>
      <c r="BE84" s="1">
        <f t="shared" si="41"/>
        <v>0.11776622770791233</v>
      </c>
      <c r="BF84" s="2" t="str">
        <f t="shared" si="42"/>
        <v/>
      </c>
      <c r="BG84" s="2">
        <f t="shared" si="43"/>
        <v>0.11776622770791233</v>
      </c>
    </row>
    <row r="85" spans="2:59">
      <c r="B85" s="1"/>
      <c r="C85" s="34">
        <v>40</v>
      </c>
      <c r="D85" s="148" t="str">
        <f t="shared" si="1"/>
        <v>2</v>
      </c>
      <c r="E85" s="2">
        <v>8</v>
      </c>
      <c r="F85" s="1">
        <f t="shared" si="2"/>
        <v>37.614000000000004</v>
      </c>
      <c r="G85" s="1">
        <f t="shared" si="2"/>
        <v>37.563749999999999</v>
      </c>
      <c r="H85" s="1">
        <f t="shared" si="3"/>
        <v>35.85</v>
      </c>
      <c r="I85" s="1">
        <f t="shared" si="3"/>
        <v>36.387749999999997</v>
      </c>
      <c r="J85" s="149">
        <v>252075.14263653583</v>
      </c>
      <c r="K85" s="149">
        <v>209659.84445903188</v>
      </c>
      <c r="L85" s="149">
        <v>452684.06351807056</v>
      </c>
      <c r="M85" s="138">
        <v>340.17664482366717</v>
      </c>
      <c r="N85" s="138">
        <v>4266.8899332136525</v>
      </c>
      <c r="O85" s="103">
        <v>231.5680591779068</v>
      </c>
      <c r="P85" s="1">
        <f t="shared" si="4"/>
        <v>85.918359090644557</v>
      </c>
      <c r="Q85" s="2">
        <f t="shared" si="5"/>
        <v>15.282867242546342</v>
      </c>
      <c r="R85" s="32">
        <f t="shared" si="6"/>
        <v>21657.882622871333</v>
      </c>
      <c r="S85" s="147">
        <f t="shared" si="7"/>
        <v>6918.3104455630883</v>
      </c>
      <c r="T85" s="1" t="str">
        <f t="shared" si="8"/>
        <v/>
      </c>
      <c r="U85" s="1" t="str">
        <f t="shared" si="9"/>
        <v/>
      </c>
      <c r="V85" s="1" t="str">
        <f t="shared" si="10"/>
        <v/>
      </c>
      <c r="W85" s="1" t="str">
        <f t="shared" si="11"/>
        <v/>
      </c>
      <c r="X85" s="1" t="str">
        <f t="shared" si="12"/>
        <v/>
      </c>
      <c r="Y85" s="1" t="str">
        <f t="shared" si="13"/>
        <v/>
      </c>
      <c r="Z85" s="1" t="str">
        <f t="shared" si="14"/>
        <v/>
      </c>
      <c r="AA85" s="1" t="str">
        <f t="shared" si="15"/>
        <v/>
      </c>
      <c r="AB85" s="1">
        <f t="shared" si="16"/>
        <v>75.228000000000009</v>
      </c>
      <c r="AC85" s="1">
        <f t="shared" si="17"/>
        <v>75.127499999999998</v>
      </c>
      <c r="AD85" s="1">
        <f t="shared" si="18"/>
        <v>71.7</v>
      </c>
      <c r="AE85" s="2">
        <f t="shared" si="19"/>
        <v>72.775499999999994</v>
      </c>
      <c r="AF85" s="1" t="str">
        <f t="shared" si="20"/>
        <v/>
      </c>
      <c r="AG85" s="1" t="str">
        <f t="shared" si="21"/>
        <v/>
      </c>
      <c r="AH85" s="2" t="str">
        <f t="shared" si="22"/>
        <v/>
      </c>
      <c r="AI85" s="1" t="str">
        <f t="shared" si="23"/>
        <v/>
      </c>
      <c r="AJ85" s="1">
        <v>1</v>
      </c>
      <c r="AK85" s="1">
        <v>0</v>
      </c>
      <c r="AL85" s="1">
        <v>0.6399999999999999</v>
      </c>
      <c r="AM85" s="2">
        <f t="shared" si="24"/>
        <v>14.054431465019141</v>
      </c>
      <c r="AN85" s="1">
        <f t="shared" si="25"/>
        <v>89.948361376122492</v>
      </c>
      <c r="AO85" s="1">
        <f t="shared" si="26"/>
        <v>14.720361376122483</v>
      </c>
      <c r="AP85" s="34">
        <f t="shared" si="27"/>
        <v>-1513.25</v>
      </c>
      <c r="AQ85" s="34">
        <v>164593.62013189815</v>
      </c>
      <c r="AR85" s="34">
        <f t="shared" si="28"/>
        <v>-23.984327813719922</v>
      </c>
      <c r="AS85" s="34">
        <f t="shared" si="29"/>
        <v>-42.308354263402009</v>
      </c>
      <c r="AT85" s="1">
        <f t="shared" si="30"/>
        <v>35.767167651543623</v>
      </c>
      <c r="AU85" s="1" t="str">
        <f t="shared" si="31"/>
        <v/>
      </c>
      <c r="AV85" s="1" t="str">
        <f t="shared" si="32"/>
        <v/>
      </c>
      <c r="AW85" s="1">
        <f t="shared" si="33"/>
        <v>340.61793147510923</v>
      </c>
      <c r="AX85" s="2" t="str">
        <f t="shared" si="34"/>
        <v/>
      </c>
      <c r="AY85" s="1" t="str">
        <f t="shared" si="35"/>
        <v/>
      </c>
      <c r="AZ85" s="1" t="str">
        <f t="shared" si="36"/>
        <v/>
      </c>
      <c r="BA85" s="1">
        <f t="shared" si="37"/>
        <v>6.7378033579568736E-5</v>
      </c>
      <c r="BB85" s="2" t="str">
        <f t="shared" si="38"/>
        <v/>
      </c>
      <c r="BC85" s="1" t="str">
        <f t="shared" si="39"/>
        <v/>
      </c>
      <c r="BD85" s="1" t="str">
        <f t="shared" si="40"/>
        <v/>
      </c>
      <c r="BE85" s="1">
        <f t="shared" si="41"/>
        <v>0.11521643742106254</v>
      </c>
      <c r="BF85" s="2" t="str">
        <f t="shared" si="42"/>
        <v/>
      </c>
      <c r="BG85" s="2">
        <f t="shared" si="43"/>
        <v>0.11521643742106254</v>
      </c>
    </row>
    <row r="86" spans="2:59">
      <c r="B86" s="1"/>
      <c r="C86" s="34">
        <v>41</v>
      </c>
      <c r="D86" s="148" t="str">
        <f t="shared" si="1"/>
        <v>2</v>
      </c>
      <c r="E86" s="2">
        <v>8.2000000000000011</v>
      </c>
      <c r="F86" s="1">
        <f t="shared" si="2"/>
        <v>36.814</v>
      </c>
      <c r="G86" s="1">
        <f t="shared" si="2"/>
        <v>36.751749999999994</v>
      </c>
      <c r="H86" s="1">
        <f t="shared" si="3"/>
        <v>35.049999999999997</v>
      </c>
      <c r="I86" s="1">
        <f t="shared" si="3"/>
        <v>35.575749999999992</v>
      </c>
      <c r="J86" s="149">
        <v>235953.10979043809</v>
      </c>
      <c r="K86" s="149">
        <v>196160.3561455672</v>
      </c>
      <c r="L86" s="149">
        <v>423636.6778200267</v>
      </c>
      <c r="M86" s="138">
        <v>332.7430278666767</v>
      </c>
      <c r="N86" s="138">
        <v>4082.2981672950978</v>
      </c>
      <c r="O86" s="103">
        <v>226.50356125147479</v>
      </c>
      <c r="P86" s="1">
        <f t="shared" si="4"/>
        <v>85.918359090644557</v>
      </c>
      <c r="Q86" s="2">
        <f t="shared" si="5"/>
        <v>15.282867242546342</v>
      </c>
      <c r="R86" s="32">
        <f t="shared" si="6"/>
        <v>20272.70401552914</v>
      </c>
      <c r="S86" s="147">
        <f t="shared" si="7"/>
        <v>6474.383106196844</v>
      </c>
      <c r="T86" s="1" t="str">
        <f t="shared" si="8"/>
        <v/>
      </c>
      <c r="U86" s="1" t="str">
        <f t="shared" si="9"/>
        <v/>
      </c>
      <c r="V86" s="1" t="str">
        <f t="shared" si="10"/>
        <v/>
      </c>
      <c r="W86" s="1" t="str">
        <f t="shared" si="11"/>
        <v/>
      </c>
      <c r="X86" s="1" t="str">
        <f t="shared" si="12"/>
        <v/>
      </c>
      <c r="Y86" s="1" t="str">
        <f t="shared" si="13"/>
        <v/>
      </c>
      <c r="Z86" s="1" t="str">
        <f t="shared" si="14"/>
        <v/>
      </c>
      <c r="AA86" s="1" t="str">
        <f t="shared" si="15"/>
        <v/>
      </c>
      <c r="AB86" s="1">
        <f t="shared" si="16"/>
        <v>73.628</v>
      </c>
      <c r="AC86" s="1">
        <f t="shared" si="17"/>
        <v>73.503499999999988</v>
      </c>
      <c r="AD86" s="1">
        <f t="shared" si="18"/>
        <v>70.099999999999994</v>
      </c>
      <c r="AE86" s="2">
        <f t="shared" si="19"/>
        <v>71.151499999999984</v>
      </c>
      <c r="AF86" s="1" t="str">
        <f t="shared" si="20"/>
        <v/>
      </c>
      <c r="AG86" s="1" t="str">
        <f t="shared" si="21"/>
        <v/>
      </c>
      <c r="AH86" s="2" t="str">
        <f t="shared" si="22"/>
        <v/>
      </c>
      <c r="AI86" s="1" t="str">
        <f t="shared" si="23"/>
        <v/>
      </c>
      <c r="AJ86" s="1">
        <v>1</v>
      </c>
      <c r="AK86" s="1">
        <v>0</v>
      </c>
      <c r="AL86" s="1">
        <v>0.62999999999999989</v>
      </c>
      <c r="AM86" s="2">
        <f t="shared" si="24"/>
        <v>14.054431465019141</v>
      </c>
      <c r="AN86" s="1">
        <f t="shared" si="25"/>
        <v>88.542918229620568</v>
      </c>
      <c r="AO86" s="1">
        <f t="shared" si="26"/>
        <v>14.914918229620568</v>
      </c>
      <c r="AP86" s="34">
        <f t="shared" si="27"/>
        <v>-1513.25</v>
      </c>
      <c r="AQ86" s="34">
        <v>147058.63251794243</v>
      </c>
      <c r="AR86" s="34">
        <f t="shared" si="28"/>
        <v>-22.394749483606272</v>
      </c>
      <c r="AS86" s="34">
        <f t="shared" si="29"/>
        <v>-39.504338089081529</v>
      </c>
      <c r="AT86" s="1">
        <f t="shared" si="30"/>
        <v>38.305919633121057</v>
      </c>
      <c r="AU86" s="1" t="str">
        <f t="shared" si="31"/>
        <v/>
      </c>
      <c r="AV86" s="1" t="str">
        <f t="shared" si="32"/>
        <v/>
      </c>
      <c r="AW86" s="1">
        <f t="shared" si="33"/>
        <v>333.16240432057458</v>
      </c>
      <c r="AX86" s="2" t="str">
        <f t="shared" si="34"/>
        <v/>
      </c>
      <c r="AY86" s="1" t="str">
        <f t="shared" si="35"/>
        <v/>
      </c>
      <c r="AZ86" s="1" t="str">
        <f t="shared" si="36"/>
        <v/>
      </c>
      <c r="BA86" s="1">
        <f t="shared" si="37"/>
        <v>6.5886928148661293E-5</v>
      </c>
      <c r="BB86" s="2" t="str">
        <f t="shared" si="38"/>
        <v/>
      </c>
      <c r="BC86" s="1" t="str">
        <f t="shared" si="39"/>
        <v/>
      </c>
      <c r="BD86" s="1" t="str">
        <f t="shared" si="40"/>
        <v/>
      </c>
      <c r="BE86" s="1">
        <f t="shared" si="41"/>
        <v>0.11266664713421079</v>
      </c>
      <c r="BF86" s="2" t="str">
        <f t="shared" si="42"/>
        <v/>
      </c>
      <c r="BG86" s="2">
        <f t="shared" si="43"/>
        <v>0.11266664713421079</v>
      </c>
    </row>
    <row r="87" spans="2:59">
      <c r="B87" s="1"/>
      <c r="C87" s="34">
        <v>42</v>
      </c>
      <c r="D87" s="148" t="str">
        <f t="shared" si="1"/>
        <v>2-3接合</v>
      </c>
      <c r="E87" s="2">
        <v>8.4</v>
      </c>
      <c r="F87" s="1">
        <f t="shared" si="2"/>
        <v>38.964000000000013</v>
      </c>
      <c r="G87" s="1">
        <f t="shared" si="2"/>
        <v>38.376000000000012</v>
      </c>
      <c r="H87" s="1">
        <f t="shared" si="3"/>
        <v>34.250000000000007</v>
      </c>
      <c r="I87" s="1">
        <f t="shared" si="3"/>
        <v>34.763750000000002</v>
      </c>
      <c r="J87" s="149">
        <v>683916.61797374324</v>
      </c>
      <c r="K87" s="149">
        <v>597518.34474236553</v>
      </c>
      <c r="L87" s="149">
        <v>1270091.1661728602</v>
      </c>
      <c r="M87" s="138">
        <v>957.14881432705283</v>
      </c>
      <c r="N87" s="138">
        <v>4205.6922270772129</v>
      </c>
      <c r="O87" s="103">
        <v>229.89897867142443</v>
      </c>
      <c r="P87" s="1">
        <f t="shared" si="4"/>
        <v>85.490597517664085</v>
      </c>
      <c r="Q87" s="2">
        <f t="shared" si="5"/>
        <v>13.872508837228047</v>
      </c>
      <c r="R87" s="32">
        <f t="shared" si="6"/>
        <v>58468.440322835304</v>
      </c>
      <c r="S87" s="147">
        <f t="shared" si="7"/>
        <v>17619.350926818279</v>
      </c>
      <c r="T87" s="1" t="str">
        <f t="shared" si="8"/>
        <v/>
      </c>
      <c r="U87" s="1" t="str">
        <f t="shared" si="9"/>
        <v/>
      </c>
      <c r="V87" s="1" t="str">
        <f t="shared" si="10"/>
        <v/>
      </c>
      <c r="W87" s="1" t="str">
        <f t="shared" si="11"/>
        <v/>
      </c>
      <c r="X87" s="1" t="str">
        <f t="shared" si="12"/>
        <v/>
      </c>
      <c r="Y87" s="1" t="str">
        <f t="shared" si="13"/>
        <v/>
      </c>
      <c r="Z87" s="1" t="str">
        <f t="shared" si="14"/>
        <v/>
      </c>
      <c r="AA87" s="1" t="str">
        <f t="shared" si="15"/>
        <v/>
      </c>
      <c r="AB87" s="1">
        <f t="shared" si="16"/>
        <v>72.02800000000002</v>
      </c>
      <c r="AC87" s="1">
        <f t="shared" si="17"/>
        <v>71.879500000000007</v>
      </c>
      <c r="AD87" s="1">
        <f t="shared" si="18"/>
        <v>68.500000000000014</v>
      </c>
      <c r="AE87" s="2">
        <f t="shared" si="19"/>
        <v>69.527500000000003</v>
      </c>
      <c r="AF87" s="1">
        <f t="shared" si="20"/>
        <v>77.928000000000026</v>
      </c>
      <c r="AG87" s="1">
        <f t="shared" si="21"/>
        <v>76.752000000000024</v>
      </c>
      <c r="AH87" s="2">
        <f t="shared" si="22"/>
        <v>74.40000000000002</v>
      </c>
      <c r="AI87" s="1">
        <f t="shared" si="23"/>
        <v>74.40000000000002</v>
      </c>
      <c r="AJ87" s="1">
        <v>1</v>
      </c>
      <c r="AK87" s="1">
        <v>0</v>
      </c>
      <c r="AL87" s="1">
        <v>0.61999999999999988</v>
      </c>
      <c r="AM87" s="2">
        <f t="shared" si="24"/>
        <v>14.054431465019141</v>
      </c>
      <c r="AN87" s="1">
        <f t="shared" si="25"/>
        <v>87.137475083118659</v>
      </c>
      <c r="AO87" s="1">
        <f t="shared" si="26"/>
        <v>9.2094750831186332</v>
      </c>
      <c r="AP87" s="34">
        <f t="shared" si="27"/>
        <v>-1513.25</v>
      </c>
      <c r="AQ87" s="34">
        <v>130686.66303007054</v>
      </c>
      <c r="AR87" s="34">
        <f t="shared" si="28"/>
        <v>-6.9950730071680498</v>
      </c>
      <c r="AS87" s="34">
        <f t="shared" si="29"/>
        <v>-32.974774155790229</v>
      </c>
      <c r="AT87" s="1">
        <f t="shared" si="30"/>
        <v>45.891140689868223</v>
      </c>
      <c r="AU87" s="1" t="str">
        <f t="shared" si="31"/>
        <v/>
      </c>
      <c r="AV87" s="1" t="str">
        <f t="shared" si="32"/>
        <v/>
      </c>
      <c r="AW87" s="1">
        <f t="shared" si="33"/>
        <v>325.70687716604067</v>
      </c>
      <c r="AX87" s="2">
        <f t="shared" si="34"/>
        <v>350.10682620034561</v>
      </c>
      <c r="AY87" s="1" t="str">
        <f t="shared" si="35"/>
        <v/>
      </c>
      <c r="AZ87" s="1" t="str">
        <f t="shared" si="36"/>
        <v/>
      </c>
      <c r="BA87" s="1">
        <f t="shared" si="37"/>
        <v>6.4395822717754365E-5</v>
      </c>
      <c r="BB87" s="2" t="str">
        <f t="shared" si="38"/>
        <v/>
      </c>
      <c r="BC87" s="1" t="str">
        <f t="shared" si="39"/>
        <v/>
      </c>
      <c r="BD87" s="1" t="str">
        <f t="shared" si="40"/>
        <v/>
      </c>
      <c r="BE87" s="1">
        <f t="shared" si="41"/>
        <v>0.11011685684735996</v>
      </c>
      <c r="BF87" s="2" t="str">
        <f t="shared" si="42"/>
        <v/>
      </c>
      <c r="BG87" s="2">
        <f t="shared" si="43"/>
        <v>0.11011685684735996</v>
      </c>
    </row>
    <row r="88" spans="2:59">
      <c r="B88" s="1"/>
      <c r="C88" s="34">
        <v>43</v>
      </c>
      <c r="D88" s="148" t="str">
        <f t="shared" si="1"/>
        <v>2-3接合</v>
      </c>
      <c r="E88" s="2">
        <v>8.6</v>
      </c>
      <c r="F88" s="1">
        <f t="shared" si="2"/>
        <v>38.114000000000011</v>
      </c>
      <c r="G88" s="1">
        <f t="shared" si="2"/>
        <v>37.52600000000001</v>
      </c>
      <c r="H88" s="1">
        <f t="shared" si="3"/>
        <v>33.45000000000001</v>
      </c>
      <c r="I88" s="1">
        <f t="shared" si="3"/>
        <v>33.951750000000004</v>
      </c>
      <c r="J88" s="149">
        <v>631923.16099534603</v>
      </c>
      <c r="K88" s="149">
        <v>551853.81899235421</v>
      </c>
      <c r="L88" s="149">
        <v>1173289.1329555158</v>
      </c>
      <c r="M88" s="138">
        <v>925.61267067812059</v>
      </c>
      <c r="N88" s="138">
        <v>4017.495154114134</v>
      </c>
      <c r="O88" s="103">
        <v>224.69635372047756</v>
      </c>
      <c r="P88" s="1">
        <f t="shared" si="4"/>
        <v>85.490597517664085</v>
      </c>
      <c r="Q88" s="2">
        <f t="shared" si="5"/>
        <v>13.872508837228047</v>
      </c>
      <c r="R88" s="32">
        <f t="shared" si="6"/>
        <v>54023.488618743169</v>
      </c>
      <c r="S88" s="147">
        <f t="shared" si="7"/>
        <v>16276.463865549023</v>
      </c>
      <c r="T88" s="1" t="str">
        <f t="shared" si="8"/>
        <v/>
      </c>
      <c r="U88" s="1" t="str">
        <f t="shared" si="9"/>
        <v/>
      </c>
      <c r="V88" s="1" t="str">
        <f t="shared" si="10"/>
        <v/>
      </c>
      <c r="W88" s="1" t="str">
        <f t="shared" si="11"/>
        <v/>
      </c>
      <c r="X88" s="1" t="str">
        <f t="shared" si="12"/>
        <v/>
      </c>
      <c r="Y88" s="1" t="str">
        <f t="shared" si="13"/>
        <v/>
      </c>
      <c r="Z88" s="1" t="str">
        <f t="shared" si="14"/>
        <v/>
      </c>
      <c r="AA88" s="1" t="str">
        <f t="shared" si="15"/>
        <v/>
      </c>
      <c r="AB88" s="1">
        <f t="shared" si="16"/>
        <v>70.428000000000026</v>
      </c>
      <c r="AC88" s="1">
        <f t="shared" si="17"/>
        <v>70.255500000000012</v>
      </c>
      <c r="AD88" s="1">
        <f t="shared" si="18"/>
        <v>66.90000000000002</v>
      </c>
      <c r="AE88" s="2">
        <f t="shared" si="19"/>
        <v>67.903500000000008</v>
      </c>
      <c r="AF88" s="1">
        <f t="shared" si="20"/>
        <v>76.228000000000023</v>
      </c>
      <c r="AG88" s="1">
        <f t="shared" si="21"/>
        <v>75.052000000000021</v>
      </c>
      <c r="AH88" s="2">
        <f t="shared" si="22"/>
        <v>72.700000000000017</v>
      </c>
      <c r="AI88" s="1">
        <f t="shared" si="23"/>
        <v>72.700000000000017</v>
      </c>
      <c r="AJ88" s="1">
        <v>0.99999999999999911</v>
      </c>
      <c r="AK88" s="1">
        <v>8.8817841970012523E-16</v>
      </c>
      <c r="AL88" s="1">
        <v>0.60999999999999988</v>
      </c>
      <c r="AM88" s="2">
        <f t="shared" si="24"/>
        <v>14.054431465019141</v>
      </c>
      <c r="AN88" s="1">
        <f t="shared" si="25"/>
        <v>85.73203193661675</v>
      </c>
      <c r="AO88" s="1">
        <f t="shared" si="26"/>
        <v>9.5040319366167267</v>
      </c>
      <c r="AP88" s="34">
        <f t="shared" si="27"/>
        <v>-1513.25</v>
      </c>
      <c r="AQ88" s="34">
        <v>115429.34883223238</v>
      </c>
      <c r="AR88" s="34">
        <f t="shared" si="28"/>
        <v>-6.536068330537673</v>
      </c>
      <c r="AS88" s="34">
        <f t="shared" si="29"/>
        <v>-30.484222693627718</v>
      </c>
      <c r="AT88" s="1">
        <f t="shared" si="30"/>
        <v>49.640432534837863</v>
      </c>
      <c r="AU88" s="1" t="str">
        <f t="shared" si="31"/>
        <v/>
      </c>
      <c r="AV88" s="1" t="str">
        <f t="shared" si="32"/>
        <v/>
      </c>
      <c r="AW88" s="1">
        <f t="shared" si="33"/>
        <v>318.25135001150534</v>
      </c>
      <c r="AX88" s="2">
        <f t="shared" si="34"/>
        <v>342.25598615902464</v>
      </c>
      <c r="AY88" s="1" t="str">
        <f t="shared" si="35"/>
        <v/>
      </c>
      <c r="AZ88" s="1" t="str">
        <f t="shared" si="36"/>
        <v/>
      </c>
      <c r="BA88" s="1">
        <f t="shared" si="37"/>
        <v>6.3650270002301403E-5</v>
      </c>
      <c r="BB88" s="2">
        <f t="shared" si="38"/>
        <v>6.7666113227673181E-5</v>
      </c>
      <c r="BC88" s="1" t="str">
        <f t="shared" si="39"/>
        <v/>
      </c>
      <c r="BD88" s="1" t="str">
        <f t="shared" si="40"/>
        <v/>
      </c>
      <c r="BE88" s="1">
        <f t="shared" si="41"/>
        <v>0.10884196170393538</v>
      </c>
      <c r="BF88" s="2">
        <f t="shared" si="42"/>
        <v>0.10149916984150976</v>
      </c>
      <c r="BG88" s="2">
        <f t="shared" si="43"/>
        <v>0.21034113154544515</v>
      </c>
    </row>
    <row r="89" spans="2:59">
      <c r="B89" s="1"/>
      <c r="C89" s="34">
        <v>44</v>
      </c>
      <c r="D89" s="148">
        <f t="shared" si="1"/>
        <v>3</v>
      </c>
      <c r="E89" s="2">
        <v>8.8000000000000007</v>
      </c>
      <c r="F89" s="1">
        <f t="shared" si="2"/>
        <v>37.264000000000003</v>
      </c>
      <c r="G89" s="1">
        <f t="shared" si="2"/>
        <v>36.676000000000002</v>
      </c>
      <c r="H89" s="1">
        <f t="shared" si="3"/>
        <v>35.5</v>
      </c>
      <c r="I89" s="1">
        <f t="shared" si="3"/>
        <v>35.5</v>
      </c>
      <c r="J89" s="149">
        <v>244283.36444402966</v>
      </c>
      <c r="K89" s="149">
        <v>195878.08713809028</v>
      </c>
      <c r="L89" s="149">
        <v>430892.94790021697</v>
      </c>
      <c r="M89" s="138">
        <v>334.95713967476382</v>
      </c>
      <c r="N89" s="138">
        <v>4124.7654345297551</v>
      </c>
      <c r="O89" s="103">
        <v>227.68004153823412</v>
      </c>
      <c r="P89" s="1">
        <f t="shared" si="4"/>
        <v>60.342950000000002</v>
      </c>
      <c r="Q89" s="2">
        <f t="shared" si="5"/>
        <v>12.462150431909752</v>
      </c>
      <c r="R89" s="32">
        <f t="shared" si="6"/>
        <v>14740.77884647786</v>
      </c>
      <c r="S89" s="147">
        <f t="shared" si="7"/>
        <v>5369.852736781555</v>
      </c>
      <c r="T89" s="1" t="str">
        <f t="shared" si="8"/>
        <v/>
      </c>
      <c r="U89" s="1" t="str">
        <f t="shared" si="9"/>
        <v/>
      </c>
      <c r="V89" s="1" t="str">
        <f t="shared" si="10"/>
        <v/>
      </c>
      <c r="W89" s="1" t="str">
        <f t="shared" si="11"/>
        <v/>
      </c>
      <c r="X89" s="1" t="str">
        <f t="shared" si="12"/>
        <v/>
      </c>
      <c r="Y89" s="1" t="str">
        <f t="shared" si="13"/>
        <v/>
      </c>
      <c r="Z89" s="1" t="str">
        <f t="shared" si="14"/>
        <v/>
      </c>
      <c r="AA89" s="1" t="str">
        <f t="shared" si="15"/>
        <v/>
      </c>
      <c r="AB89" s="1" t="str">
        <f t="shared" si="16"/>
        <v/>
      </c>
      <c r="AC89" s="1" t="str">
        <f t="shared" si="17"/>
        <v/>
      </c>
      <c r="AD89" s="1" t="str">
        <f t="shared" si="18"/>
        <v/>
      </c>
      <c r="AE89" s="2" t="str">
        <f t="shared" si="19"/>
        <v/>
      </c>
      <c r="AF89" s="1">
        <f t="shared" si="20"/>
        <v>74.528000000000006</v>
      </c>
      <c r="AG89" s="1">
        <f t="shared" si="21"/>
        <v>73.352000000000004</v>
      </c>
      <c r="AH89" s="2">
        <f t="shared" si="22"/>
        <v>71</v>
      </c>
      <c r="AI89" s="1">
        <f t="shared" si="23"/>
        <v>71</v>
      </c>
      <c r="AJ89" s="1">
        <v>0.90909090909090784</v>
      </c>
      <c r="AK89" s="1">
        <v>9.0909090909092161E-2</v>
      </c>
      <c r="AL89" s="1">
        <v>0.6018181818181817</v>
      </c>
      <c r="AM89" s="2">
        <f t="shared" si="24"/>
        <v>13.970598223294886</v>
      </c>
      <c r="AN89" s="1">
        <f t="shared" si="25"/>
        <v>84.07760021655649</v>
      </c>
      <c r="AO89" s="1">
        <f t="shared" si="26"/>
        <v>9.5496002165564846</v>
      </c>
      <c r="AP89" s="34">
        <f t="shared" si="27"/>
        <v>-1513.25</v>
      </c>
      <c r="AQ89" s="34">
        <v>101225.32930935518</v>
      </c>
      <c r="AR89" s="34">
        <f t="shared" si="28"/>
        <v>-15.075852337774565</v>
      </c>
      <c r="AS89" s="34">
        <f t="shared" si="29"/>
        <v>-26.593803523834378</v>
      </c>
      <c r="AT89" s="1">
        <f t="shared" si="30"/>
        <v>56.902353160719109</v>
      </c>
      <c r="AU89" s="1" t="str">
        <f t="shared" si="31"/>
        <v/>
      </c>
      <c r="AV89" s="1" t="str">
        <f t="shared" si="32"/>
        <v/>
      </c>
      <c r="AW89" s="1" t="str">
        <f t="shared" si="33"/>
        <v/>
      </c>
      <c r="AX89" s="2">
        <f t="shared" si="34"/>
        <v>334.40514611770368</v>
      </c>
      <c r="AY89" s="1" t="str">
        <f t="shared" si="35"/>
        <v/>
      </c>
      <c r="AZ89" s="1" t="str">
        <f t="shared" si="36"/>
        <v/>
      </c>
      <c r="BA89" s="1" t="str">
        <f t="shared" si="37"/>
        <v/>
      </c>
      <c r="BB89" s="2">
        <f t="shared" si="38"/>
        <v>6.609594521940841E-5</v>
      </c>
      <c r="BC89" s="1" t="str">
        <f t="shared" si="39"/>
        <v/>
      </c>
      <c r="BD89" s="1" t="str">
        <f t="shared" si="40"/>
        <v/>
      </c>
      <c r="BE89" s="1" t="str">
        <f t="shared" si="41"/>
        <v/>
      </c>
      <c r="BF89" s="2">
        <f t="shared" si="42"/>
        <v>9.914391782911261E-2</v>
      </c>
      <c r="BG89" s="2">
        <f t="shared" si="43"/>
        <v>9.914391782911261E-2</v>
      </c>
    </row>
    <row r="90" spans="2:59">
      <c r="B90" s="1"/>
      <c r="C90" s="34">
        <v>45</v>
      </c>
      <c r="D90" s="148">
        <f t="shared" si="1"/>
        <v>3</v>
      </c>
      <c r="E90" s="2">
        <v>9</v>
      </c>
      <c r="F90" s="1">
        <f t="shared" si="2"/>
        <v>36.414000000000009</v>
      </c>
      <c r="G90" s="1">
        <f t="shared" si="2"/>
        <v>35.826000000000008</v>
      </c>
      <c r="H90" s="1">
        <f t="shared" si="3"/>
        <v>34.650000000000006</v>
      </c>
      <c r="I90" s="1">
        <f t="shared" si="3"/>
        <v>34.650000000000006</v>
      </c>
      <c r="J90" s="149">
        <v>227550.49286979524</v>
      </c>
      <c r="K90" s="149">
        <v>182372.54064451248</v>
      </c>
      <c r="L90" s="149">
        <v>401281.94461374643</v>
      </c>
      <c r="M90" s="138">
        <v>327.10602958630545</v>
      </c>
      <c r="N90" s="138">
        <v>3933.5146985571705</v>
      </c>
      <c r="O90" s="103">
        <v>222.33921603793496</v>
      </c>
      <c r="P90" s="1">
        <f t="shared" si="4"/>
        <v>59.526149999999987</v>
      </c>
      <c r="Q90" s="2">
        <f t="shared" si="5"/>
        <v>12.462150431909752</v>
      </c>
      <c r="R90" s="32">
        <f t="shared" si="6"/>
        <v>13545.204771141358</v>
      </c>
      <c r="S90" s="147">
        <f t="shared" si="7"/>
        <v>5000.8359593857849</v>
      </c>
      <c r="T90" s="1" t="str">
        <f t="shared" si="8"/>
        <v/>
      </c>
      <c r="U90" s="1" t="str">
        <f t="shared" si="9"/>
        <v/>
      </c>
      <c r="V90" s="1" t="str">
        <f t="shared" si="10"/>
        <v/>
      </c>
      <c r="W90" s="1" t="str">
        <f t="shared" si="11"/>
        <v/>
      </c>
      <c r="X90" s="1" t="str">
        <f t="shared" si="12"/>
        <v/>
      </c>
      <c r="Y90" s="1" t="str">
        <f t="shared" si="13"/>
        <v/>
      </c>
      <c r="Z90" s="1" t="str">
        <f t="shared" si="14"/>
        <v/>
      </c>
      <c r="AA90" s="1" t="str">
        <f t="shared" si="15"/>
        <v/>
      </c>
      <c r="AB90" s="1" t="str">
        <f t="shared" si="16"/>
        <v/>
      </c>
      <c r="AC90" s="1" t="str">
        <f t="shared" si="17"/>
        <v/>
      </c>
      <c r="AD90" s="1" t="str">
        <f t="shared" si="18"/>
        <v/>
      </c>
      <c r="AE90" s="2" t="str">
        <f t="shared" si="19"/>
        <v/>
      </c>
      <c r="AF90" s="1">
        <f t="shared" si="20"/>
        <v>72.828000000000017</v>
      </c>
      <c r="AG90" s="1">
        <f t="shared" si="21"/>
        <v>71.652000000000015</v>
      </c>
      <c r="AH90" s="2">
        <f t="shared" si="22"/>
        <v>69.300000000000011</v>
      </c>
      <c r="AI90" s="1">
        <f t="shared" si="23"/>
        <v>69.300000000000011</v>
      </c>
      <c r="AJ90" s="1">
        <v>0.81818181818181746</v>
      </c>
      <c r="AK90" s="1">
        <v>0.18181818181818254</v>
      </c>
      <c r="AL90" s="1">
        <v>0.59363636363636352</v>
      </c>
      <c r="AM90" s="2">
        <f t="shared" si="24"/>
        <v>13.886764981570634</v>
      </c>
      <c r="AN90" s="1">
        <f t="shared" si="25"/>
        <v>82.436886663323847</v>
      </c>
      <c r="AO90" s="1">
        <f t="shared" si="26"/>
        <v>9.6088866633238297</v>
      </c>
      <c r="AP90" s="34">
        <f t="shared" si="27"/>
        <v>-1513.25</v>
      </c>
      <c r="AQ90" s="34">
        <v>88097.535820017642</v>
      </c>
      <c r="AR90" s="34">
        <f t="shared" si="28"/>
        <v>-13.756426555173492</v>
      </c>
      <c r="AS90" s="34">
        <f t="shared" si="29"/>
        <v>-24.266336443326079</v>
      </c>
      <c r="AT90" s="1">
        <f t="shared" si="30"/>
        <v>62.360051898818291</v>
      </c>
      <c r="AU90" s="1" t="str">
        <f t="shared" si="31"/>
        <v/>
      </c>
      <c r="AV90" s="1" t="str">
        <f t="shared" si="32"/>
        <v/>
      </c>
      <c r="AW90" s="1" t="str">
        <f t="shared" si="33"/>
        <v/>
      </c>
      <c r="AX90" s="2">
        <f t="shared" si="34"/>
        <v>326.55430607638272</v>
      </c>
      <c r="AY90" s="1" t="str">
        <f t="shared" si="35"/>
        <v/>
      </c>
      <c r="AZ90" s="1" t="str">
        <f t="shared" si="36"/>
        <v/>
      </c>
      <c r="BA90" s="1" t="str">
        <f t="shared" si="37"/>
        <v/>
      </c>
      <c r="BB90" s="2">
        <f t="shared" si="38"/>
        <v>6.452577721114479E-5</v>
      </c>
      <c r="BC90" s="1" t="str">
        <f t="shared" si="39"/>
        <v/>
      </c>
      <c r="BD90" s="1" t="str">
        <f t="shared" si="40"/>
        <v/>
      </c>
      <c r="BE90" s="1" t="str">
        <f t="shared" si="41"/>
        <v/>
      </c>
      <c r="BF90" s="2">
        <f t="shared" si="42"/>
        <v>9.678866581671719E-2</v>
      </c>
      <c r="BG90" s="2">
        <f t="shared" si="43"/>
        <v>9.678866581671719E-2</v>
      </c>
    </row>
    <row r="91" spans="2:59">
      <c r="B91" s="1"/>
      <c r="C91" s="34">
        <v>46</v>
      </c>
      <c r="D91" s="148">
        <f t="shared" si="1"/>
        <v>3</v>
      </c>
      <c r="E91" s="2">
        <v>9.2000000000000011</v>
      </c>
      <c r="F91" s="1">
        <f t="shared" si="2"/>
        <v>35.564000000000007</v>
      </c>
      <c r="G91" s="1">
        <f t="shared" si="2"/>
        <v>34.976000000000006</v>
      </c>
      <c r="H91" s="1">
        <f t="shared" si="3"/>
        <v>33.800000000000004</v>
      </c>
      <c r="I91" s="1">
        <f t="shared" si="3"/>
        <v>33.800000000000004</v>
      </c>
      <c r="J91" s="149">
        <v>211599.72667707765</v>
      </c>
      <c r="K91" s="149">
        <v>169502.5068851395</v>
      </c>
      <c r="L91" s="149">
        <v>373059.55524661078</v>
      </c>
      <c r="M91" s="138">
        <v>319.2549180643847</v>
      </c>
      <c r="N91" s="138">
        <v>3746.8035639690206</v>
      </c>
      <c r="O91" s="103">
        <v>216.99839275317626</v>
      </c>
      <c r="P91" s="1">
        <f t="shared" si="4"/>
        <v>58.709349999999993</v>
      </c>
      <c r="Q91" s="2">
        <f t="shared" si="5"/>
        <v>12.462150431909752</v>
      </c>
      <c r="R91" s="32">
        <f t="shared" si="6"/>
        <v>12422.882413388887</v>
      </c>
      <c r="S91" s="147">
        <f t="shared" si="7"/>
        <v>4649.1242975446103</v>
      </c>
      <c r="T91" s="1" t="str">
        <f t="shared" si="8"/>
        <v/>
      </c>
      <c r="U91" s="1" t="str">
        <f t="shared" si="9"/>
        <v/>
      </c>
      <c r="V91" s="1" t="str">
        <f t="shared" si="10"/>
        <v/>
      </c>
      <c r="W91" s="1" t="str">
        <f t="shared" si="11"/>
        <v/>
      </c>
      <c r="X91" s="1" t="str">
        <f t="shared" si="12"/>
        <v/>
      </c>
      <c r="Y91" s="1" t="str">
        <f t="shared" si="13"/>
        <v/>
      </c>
      <c r="Z91" s="1" t="str">
        <f t="shared" si="14"/>
        <v/>
      </c>
      <c r="AA91" s="1" t="str">
        <f t="shared" si="15"/>
        <v/>
      </c>
      <c r="AB91" s="1" t="str">
        <f t="shared" si="16"/>
        <v/>
      </c>
      <c r="AC91" s="1" t="str">
        <f t="shared" si="17"/>
        <v/>
      </c>
      <c r="AD91" s="1" t="str">
        <f t="shared" si="18"/>
        <v/>
      </c>
      <c r="AE91" s="2" t="str">
        <f t="shared" si="19"/>
        <v/>
      </c>
      <c r="AF91" s="1">
        <f t="shared" si="20"/>
        <v>71.128000000000014</v>
      </c>
      <c r="AG91" s="1">
        <f t="shared" si="21"/>
        <v>69.952000000000012</v>
      </c>
      <c r="AH91" s="2">
        <f t="shared" si="22"/>
        <v>67.600000000000009</v>
      </c>
      <c r="AI91" s="1">
        <f t="shared" si="23"/>
        <v>67.600000000000009</v>
      </c>
      <c r="AJ91" s="1">
        <v>0.72727272727272574</v>
      </c>
      <c r="AK91" s="1">
        <v>0.27272727272727426</v>
      </c>
      <c r="AL91" s="1">
        <v>0.58545454545454534</v>
      </c>
      <c r="AM91" s="2">
        <f t="shared" si="24"/>
        <v>13.802931739846379</v>
      </c>
      <c r="AN91" s="1">
        <f t="shared" si="25"/>
        <v>80.80989127691879</v>
      </c>
      <c r="AO91" s="1">
        <f t="shared" si="26"/>
        <v>9.6818912769187762</v>
      </c>
      <c r="AP91" s="34">
        <f t="shared" si="27"/>
        <v>-1513.25</v>
      </c>
      <c r="AQ91" s="34">
        <v>76062.634405925943</v>
      </c>
      <c r="AR91" s="34">
        <f t="shared" si="28"/>
        <v>-12.466955075476926</v>
      </c>
      <c r="AS91" s="34">
        <f t="shared" si="29"/>
        <v>-21.991708753141335</v>
      </c>
      <c r="AT91" s="1">
        <f t="shared" si="30"/>
        <v>68.810023676938911</v>
      </c>
      <c r="AU91" s="1" t="str">
        <f t="shared" si="31"/>
        <v/>
      </c>
      <c r="AV91" s="1" t="str">
        <f t="shared" si="32"/>
        <v/>
      </c>
      <c r="AW91" s="1" t="str">
        <f t="shared" si="33"/>
        <v/>
      </c>
      <c r="AX91" s="2">
        <f t="shared" si="34"/>
        <v>318.70346603506175</v>
      </c>
      <c r="AY91" s="1" t="str">
        <f t="shared" si="35"/>
        <v/>
      </c>
      <c r="AZ91" s="1" t="str">
        <f t="shared" si="36"/>
        <v/>
      </c>
      <c r="BA91" s="1" t="str">
        <f t="shared" si="37"/>
        <v/>
      </c>
      <c r="BB91" s="2">
        <f t="shared" si="38"/>
        <v>6.29556092028801E-5</v>
      </c>
      <c r="BC91" s="1" t="str">
        <f t="shared" si="39"/>
        <v/>
      </c>
      <c r="BD91" s="1" t="str">
        <f t="shared" si="40"/>
        <v/>
      </c>
      <c r="BE91" s="1" t="str">
        <f t="shared" si="41"/>
        <v/>
      </c>
      <c r="BF91" s="2">
        <f t="shared" si="42"/>
        <v>9.4433413804320146E-2</v>
      </c>
      <c r="BG91" s="2">
        <f t="shared" si="43"/>
        <v>9.4433413804320146E-2</v>
      </c>
    </row>
    <row r="92" spans="2:59">
      <c r="B92" s="1"/>
      <c r="C92" s="34">
        <v>47</v>
      </c>
      <c r="D92" s="148">
        <f t="shared" si="1"/>
        <v>3</v>
      </c>
      <c r="E92" s="2">
        <v>9.4</v>
      </c>
      <c r="F92" s="1">
        <f t="shared" si="2"/>
        <v>34.714000000000006</v>
      </c>
      <c r="G92" s="1">
        <f t="shared" si="2"/>
        <v>34.126000000000005</v>
      </c>
      <c r="H92" s="1">
        <f t="shared" si="3"/>
        <v>32.950000000000003</v>
      </c>
      <c r="I92" s="1">
        <f t="shared" si="3"/>
        <v>32.950000000000003</v>
      </c>
      <c r="J92" s="149">
        <v>196412.34687724823</v>
      </c>
      <c r="K92" s="149">
        <v>157252.67041822113</v>
      </c>
      <c r="L92" s="149">
        <v>346192.43256708019</v>
      </c>
      <c r="M92" s="138">
        <v>311.40380500542886</v>
      </c>
      <c r="N92" s="138">
        <v>3564.6320307653095</v>
      </c>
      <c r="O92" s="103">
        <v>211.65757185168579</v>
      </c>
      <c r="P92" s="1">
        <f t="shared" si="4"/>
        <v>57.892549999999993</v>
      </c>
      <c r="Q92" s="2">
        <f t="shared" si="5"/>
        <v>12.462150431909752</v>
      </c>
      <c r="R92" s="32">
        <f t="shared" si="6"/>
        <v>11370.811612208436</v>
      </c>
      <c r="S92" s="147">
        <f t="shared" si="7"/>
        <v>4314.3021730397259</v>
      </c>
      <c r="T92" s="1" t="str">
        <f t="shared" si="8"/>
        <v/>
      </c>
      <c r="U92" s="1" t="str">
        <f t="shared" si="9"/>
        <v/>
      </c>
      <c r="V92" s="1" t="str">
        <f t="shared" si="10"/>
        <v/>
      </c>
      <c r="W92" s="1" t="str">
        <f t="shared" si="11"/>
        <v/>
      </c>
      <c r="X92" s="1" t="str">
        <f t="shared" si="12"/>
        <v/>
      </c>
      <c r="Y92" s="1" t="str">
        <f t="shared" si="13"/>
        <v/>
      </c>
      <c r="Z92" s="1" t="str">
        <f t="shared" si="14"/>
        <v/>
      </c>
      <c r="AA92" s="1" t="str">
        <f t="shared" si="15"/>
        <v/>
      </c>
      <c r="AB92" s="1" t="str">
        <f t="shared" si="16"/>
        <v/>
      </c>
      <c r="AC92" s="1" t="str">
        <f t="shared" si="17"/>
        <v/>
      </c>
      <c r="AD92" s="1" t="str">
        <f t="shared" si="18"/>
        <v/>
      </c>
      <c r="AE92" s="2" t="str">
        <f t="shared" si="19"/>
        <v/>
      </c>
      <c r="AF92" s="1">
        <f t="shared" si="20"/>
        <v>69.428000000000011</v>
      </c>
      <c r="AG92" s="1">
        <f t="shared" si="21"/>
        <v>68.25200000000001</v>
      </c>
      <c r="AH92" s="2">
        <f t="shared" si="22"/>
        <v>65.900000000000006</v>
      </c>
      <c r="AI92" s="1">
        <f t="shared" si="23"/>
        <v>65.900000000000006</v>
      </c>
      <c r="AJ92" s="1">
        <v>0.6363636363636358</v>
      </c>
      <c r="AK92" s="1">
        <v>0.3636363636363642</v>
      </c>
      <c r="AL92" s="1">
        <v>0.57727272727272716</v>
      </c>
      <c r="AM92" s="2">
        <f t="shared" si="24"/>
        <v>13.719098498122127</v>
      </c>
      <c r="AN92" s="1">
        <f t="shared" si="25"/>
        <v>79.196614057341364</v>
      </c>
      <c r="AO92" s="1">
        <f t="shared" si="26"/>
        <v>9.7686140573413525</v>
      </c>
      <c r="AP92" s="34">
        <f t="shared" si="27"/>
        <v>-1513.25</v>
      </c>
      <c r="AQ92" s="34">
        <v>65083.999103817601</v>
      </c>
      <c r="AR92" s="34">
        <f t="shared" si="28"/>
        <v>-11.210709981773661</v>
      </c>
      <c r="AS92" s="34">
        <f t="shared" si="29"/>
        <v>-19.775692407848769</v>
      </c>
      <c r="AT92" s="1">
        <f t="shared" si="30"/>
        <v>76.520708796998008</v>
      </c>
      <c r="AU92" s="1" t="str">
        <f t="shared" si="31"/>
        <v/>
      </c>
      <c r="AV92" s="1" t="str">
        <f t="shared" si="32"/>
        <v/>
      </c>
      <c r="AW92" s="1" t="str">
        <f t="shared" si="33"/>
        <v/>
      </c>
      <c r="AX92" s="2">
        <f t="shared" si="34"/>
        <v>310.85262599374147</v>
      </c>
      <c r="AY92" s="1" t="str">
        <f t="shared" si="35"/>
        <v/>
      </c>
      <c r="AZ92" s="1" t="str">
        <f t="shared" si="36"/>
        <v/>
      </c>
      <c r="BA92" s="1" t="str">
        <f t="shared" si="37"/>
        <v/>
      </c>
      <c r="BB92" s="2">
        <f t="shared" si="38"/>
        <v>6.1385441194616522E-5</v>
      </c>
      <c r="BC92" s="1" t="str">
        <f t="shared" si="39"/>
        <v/>
      </c>
      <c r="BD92" s="1" t="str">
        <f t="shared" si="40"/>
        <v/>
      </c>
      <c r="BE92" s="1" t="str">
        <f t="shared" si="41"/>
        <v/>
      </c>
      <c r="BF92" s="2">
        <f t="shared" si="42"/>
        <v>9.2078161791924781E-2</v>
      </c>
      <c r="BG92" s="2">
        <f t="shared" si="43"/>
        <v>9.2078161791924781E-2</v>
      </c>
    </row>
    <row r="93" spans="2:59">
      <c r="B93" s="1"/>
      <c r="C93" s="34">
        <v>48</v>
      </c>
      <c r="D93" s="148">
        <f t="shared" si="1"/>
        <v>3</v>
      </c>
      <c r="E93" s="2">
        <v>9.6000000000000014</v>
      </c>
      <c r="F93" s="1">
        <f t="shared" si="2"/>
        <v>33.864000000000004</v>
      </c>
      <c r="G93" s="1">
        <f t="shared" si="2"/>
        <v>33.276000000000003</v>
      </c>
      <c r="H93" s="1">
        <f t="shared" si="3"/>
        <v>32.1</v>
      </c>
      <c r="I93" s="1">
        <f t="shared" si="3"/>
        <v>32.1</v>
      </c>
      <c r="J93" s="149">
        <v>181969.63448167872</v>
      </c>
      <c r="K93" s="149">
        <v>145607.71580199761</v>
      </c>
      <c r="L93" s="149">
        <v>320647.22934341995</v>
      </c>
      <c r="M93" s="138">
        <v>303.55269029566716</v>
      </c>
      <c r="N93" s="138">
        <v>3387.0000989460345</v>
      </c>
      <c r="O93" s="103">
        <v>206.31675351855694</v>
      </c>
      <c r="P93" s="1">
        <f t="shared" si="4"/>
        <v>57.075749999999992</v>
      </c>
      <c r="Q93" s="2">
        <f t="shared" si="5"/>
        <v>12.462150431909752</v>
      </c>
      <c r="R93" s="32">
        <f t="shared" si="6"/>
        <v>10386.053365267671</v>
      </c>
      <c r="S93" s="147">
        <f t="shared" si="7"/>
        <v>3995.954007652766</v>
      </c>
      <c r="T93" s="1" t="str">
        <f t="shared" si="8"/>
        <v/>
      </c>
      <c r="U93" s="1" t="str">
        <f t="shared" si="9"/>
        <v/>
      </c>
      <c r="V93" s="1" t="str">
        <f t="shared" si="10"/>
        <v/>
      </c>
      <c r="W93" s="1" t="str">
        <f t="shared" si="11"/>
        <v/>
      </c>
      <c r="X93" s="1" t="str">
        <f t="shared" si="12"/>
        <v/>
      </c>
      <c r="Y93" s="1" t="str">
        <f t="shared" si="13"/>
        <v/>
      </c>
      <c r="Z93" s="1" t="str">
        <f t="shared" si="14"/>
        <v/>
      </c>
      <c r="AA93" s="1" t="str">
        <f t="shared" si="15"/>
        <v/>
      </c>
      <c r="AB93" s="1" t="str">
        <f t="shared" si="16"/>
        <v/>
      </c>
      <c r="AC93" s="1" t="str">
        <f t="shared" si="17"/>
        <v/>
      </c>
      <c r="AD93" s="1" t="str">
        <f t="shared" si="18"/>
        <v/>
      </c>
      <c r="AE93" s="2" t="str">
        <f t="shared" si="19"/>
        <v/>
      </c>
      <c r="AF93" s="1">
        <f t="shared" si="20"/>
        <v>67.728000000000009</v>
      </c>
      <c r="AG93" s="1">
        <f t="shared" si="21"/>
        <v>66.552000000000007</v>
      </c>
      <c r="AH93" s="2">
        <f t="shared" si="22"/>
        <v>64.2</v>
      </c>
      <c r="AI93" s="1">
        <f t="shared" si="23"/>
        <v>64.2</v>
      </c>
      <c r="AJ93" s="1">
        <v>0.54545454545454408</v>
      </c>
      <c r="AK93" s="1">
        <v>0.45454545454545592</v>
      </c>
      <c r="AL93" s="1">
        <v>0.56909090909090898</v>
      </c>
      <c r="AM93" s="2">
        <f t="shared" si="24"/>
        <v>13.635265256397872</v>
      </c>
      <c r="AN93" s="1">
        <f t="shared" si="25"/>
        <v>77.59705500459151</v>
      </c>
      <c r="AO93" s="1">
        <f t="shared" si="26"/>
        <v>9.8690550045915018</v>
      </c>
      <c r="AP93" s="34">
        <f t="shared" si="27"/>
        <v>-1513.25</v>
      </c>
      <c r="AQ93" s="34">
        <v>55124.367753307153</v>
      </c>
      <c r="AR93" s="34">
        <f t="shared" si="28"/>
        <v>-9.9912927913400296</v>
      </c>
      <c r="AS93" s="34">
        <f t="shared" si="29"/>
        <v>-17.624640483923841</v>
      </c>
      <c r="AT93" s="1">
        <f t="shared" si="30"/>
        <v>85.859907405220412</v>
      </c>
      <c r="AU93" s="1" t="str">
        <f t="shared" si="31"/>
        <v/>
      </c>
      <c r="AV93" s="1" t="str">
        <f t="shared" si="32"/>
        <v/>
      </c>
      <c r="AW93" s="1" t="str">
        <f t="shared" si="33"/>
        <v/>
      </c>
      <c r="AX93" s="2">
        <f t="shared" si="34"/>
        <v>303.00178595242051</v>
      </c>
      <c r="AY93" s="1" t="str">
        <f t="shared" si="35"/>
        <v/>
      </c>
      <c r="AZ93" s="1" t="str">
        <f t="shared" si="36"/>
        <v/>
      </c>
      <c r="BA93" s="1" t="str">
        <f t="shared" si="37"/>
        <v/>
      </c>
      <c r="BB93" s="2">
        <f t="shared" si="38"/>
        <v>5.9815273186351798E-5</v>
      </c>
      <c r="BC93" s="1" t="str">
        <f t="shared" si="39"/>
        <v/>
      </c>
      <c r="BD93" s="1" t="str">
        <f t="shared" si="40"/>
        <v/>
      </c>
      <c r="BE93" s="1" t="str">
        <f t="shared" si="41"/>
        <v/>
      </c>
      <c r="BF93" s="2">
        <f t="shared" si="42"/>
        <v>8.9722909779527696E-2</v>
      </c>
      <c r="BG93" s="2">
        <f t="shared" si="43"/>
        <v>8.9722909779527696E-2</v>
      </c>
    </row>
    <row r="94" spans="2:59">
      <c r="B94" s="1"/>
      <c r="C94" s="34">
        <v>49</v>
      </c>
      <c r="D94" s="148">
        <f t="shared" si="1"/>
        <v>3</v>
      </c>
      <c r="E94" s="2">
        <v>9.8000000000000007</v>
      </c>
      <c r="F94" s="1">
        <f t="shared" si="2"/>
        <v>33.014000000000003</v>
      </c>
      <c r="G94" s="1">
        <f t="shared" si="2"/>
        <v>32.426000000000002</v>
      </c>
      <c r="H94" s="1">
        <f t="shared" si="3"/>
        <v>31.25</v>
      </c>
      <c r="I94" s="1">
        <f t="shared" si="3"/>
        <v>31.25</v>
      </c>
      <c r="J94" s="149">
        <v>168252.87050172751</v>
      </c>
      <c r="K94" s="149">
        <v>134552.3275947003</v>
      </c>
      <c r="L94" s="149">
        <v>296390.59834389156</v>
      </c>
      <c r="M94" s="138">
        <v>295.70157380981533</v>
      </c>
      <c r="N94" s="138">
        <v>3213.9077685111984</v>
      </c>
      <c r="O94" s="103">
        <v>200.97593795856886</v>
      </c>
      <c r="P94" s="1">
        <f t="shared" si="4"/>
        <v>56.258949999999992</v>
      </c>
      <c r="Q94" s="2">
        <f t="shared" si="5"/>
        <v>12.462150431909752</v>
      </c>
      <c r="R94" s="32">
        <f t="shared" si="6"/>
        <v>9465.7298289131613</v>
      </c>
      <c r="S94" s="147">
        <f t="shared" si="7"/>
        <v>3693.6642231653177</v>
      </c>
      <c r="T94" s="1" t="str">
        <f t="shared" si="8"/>
        <v/>
      </c>
      <c r="U94" s="1" t="str">
        <f t="shared" si="9"/>
        <v/>
      </c>
      <c r="V94" s="1" t="str">
        <f t="shared" si="10"/>
        <v/>
      </c>
      <c r="W94" s="1" t="str">
        <f t="shared" si="11"/>
        <v/>
      </c>
      <c r="X94" s="1" t="str">
        <f t="shared" si="12"/>
        <v/>
      </c>
      <c r="Y94" s="1" t="str">
        <f t="shared" si="13"/>
        <v/>
      </c>
      <c r="Z94" s="1" t="str">
        <f t="shared" si="14"/>
        <v/>
      </c>
      <c r="AA94" s="1" t="str">
        <f t="shared" si="15"/>
        <v/>
      </c>
      <c r="AB94" s="1" t="str">
        <f t="shared" si="16"/>
        <v/>
      </c>
      <c r="AC94" s="1" t="str">
        <f t="shared" si="17"/>
        <v/>
      </c>
      <c r="AD94" s="1" t="str">
        <f t="shared" si="18"/>
        <v/>
      </c>
      <c r="AE94" s="2" t="str">
        <f t="shared" si="19"/>
        <v/>
      </c>
      <c r="AF94" s="1">
        <f t="shared" si="20"/>
        <v>66.028000000000006</v>
      </c>
      <c r="AG94" s="1">
        <f t="shared" si="21"/>
        <v>64.852000000000004</v>
      </c>
      <c r="AH94" s="2">
        <f t="shared" si="22"/>
        <v>62.5</v>
      </c>
      <c r="AI94" s="1">
        <f t="shared" si="23"/>
        <v>62.5</v>
      </c>
      <c r="AJ94" s="1">
        <v>0.45454545454545414</v>
      </c>
      <c r="AK94" s="1">
        <v>0.54545454545454586</v>
      </c>
      <c r="AL94" s="1">
        <v>0.5609090909090908</v>
      </c>
      <c r="AM94" s="2">
        <f t="shared" si="24"/>
        <v>13.551432014673619</v>
      </c>
      <c r="AN94" s="1">
        <f t="shared" si="25"/>
        <v>76.011214118669287</v>
      </c>
      <c r="AO94" s="1">
        <f t="shared" si="26"/>
        <v>9.9832141186692809</v>
      </c>
      <c r="AP94" s="34">
        <f t="shared" si="27"/>
        <v>-1513.25</v>
      </c>
      <c r="AQ94" s="34">
        <v>46146.117956465678</v>
      </c>
      <c r="AR94" s="34">
        <f t="shared" si="28"/>
        <v>-8.8127296595628142</v>
      </c>
      <c r="AS94" s="34">
        <f t="shared" si="29"/>
        <v>-15.545655119468829</v>
      </c>
      <c r="AT94" s="1">
        <f t="shared" si="30"/>
        <v>97.342311299885921</v>
      </c>
      <c r="AU94" s="1" t="str">
        <f t="shared" si="31"/>
        <v/>
      </c>
      <c r="AV94" s="1" t="str">
        <f t="shared" si="32"/>
        <v/>
      </c>
      <c r="AW94" s="1" t="str">
        <f t="shared" si="33"/>
        <v/>
      </c>
      <c r="AX94" s="2">
        <f t="shared" si="34"/>
        <v>295.15094591109954</v>
      </c>
      <c r="AY94" s="1" t="str">
        <f t="shared" si="35"/>
        <v/>
      </c>
      <c r="AZ94" s="1" t="str">
        <f t="shared" si="36"/>
        <v/>
      </c>
      <c r="BA94" s="1" t="str">
        <f t="shared" si="37"/>
        <v/>
      </c>
      <c r="BB94" s="2">
        <f t="shared" si="38"/>
        <v>5.8245105178087569E-5</v>
      </c>
      <c r="BC94" s="1" t="str">
        <f t="shared" si="39"/>
        <v/>
      </c>
      <c r="BD94" s="1" t="str">
        <f t="shared" si="40"/>
        <v/>
      </c>
      <c r="BE94" s="1" t="str">
        <f t="shared" si="41"/>
        <v/>
      </c>
      <c r="BF94" s="2">
        <f t="shared" si="42"/>
        <v>8.736765776713136E-2</v>
      </c>
      <c r="BG94" s="2">
        <f t="shared" si="43"/>
        <v>8.736765776713136E-2</v>
      </c>
    </row>
    <row r="95" spans="2:59">
      <c r="B95" s="1"/>
      <c r="C95" s="34">
        <v>50</v>
      </c>
      <c r="D95" s="148">
        <f t="shared" si="1"/>
        <v>3</v>
      </c>
      <c r="E95" s="2">
        <v>10</v>
      </c>
      <c r="F95" s="1">
        <f t="shared" si="2"/>
        <v>32.164000000000009</v>
      </c>
      <c r="G95" s="1">
        <f t="shared" si="2"/>
        <v>31.576000000000004</v>
      </c>
      <c r="H95" s="1">
        <f t="shared" si="3"/>
        <v>30.400000000000006</v>
      </c>
      <c r="I95" s="1">
        <f t="shared" si="3"/>
        <v>30.400000000000006</v>
      </c>
      <c r="J95" s="149">
        <v>155243.33594875393</v>
      </c>
      <c r="K95" s="149">
        <v>124071.19035455438</v>
      </c>
      <c r="L95" s="149">
        <v>273389.19233675278</v>
      </c>
      <c r="M95" s="138">
        <v>287.85045540962079</v>
      </c>
      <c r="N95" s="138">
        <v>3045.3550394607992</v>
      </c>
      <c r="O95" s="103">
        <v>195.63512539885878</v>
      </c>
      <c r="P95" s="1">
        <f t="shared" si="4"/>
        <v>55.442149999999991</v>
      </c>
      <c r="Q95" s="2">
        <f t="shared" si="5"/>
        <v>12.462150431909752</v>
      </c>
      <c r="R95" s="32">
        <f t="shared" si="6"/>
        <v>8607.0243181712067</v>
      </c>
      <c r="S95" s="147">
        <f t="shared" si="7"/>
        <v>3407.0172413589221</v>
      </c>
      <c r="T95" s="1" t="str">
        <f t="shared" si="8"/>
        <v/>
      </c>
      <c r="U95" s="1" t="str">
        <f t="shared" si="9"/>
        <v/>
      </c>
      <c r="V95" s="1" t="str">
        <f t="shared" si="10"/>
        <v/>
      </c>
      <c r="W95" s="1" t="str">
        <f t="shared" si="11"/>
        <v/>
      </c>
      <c r="X95" s="1" t="str">
        <f t="shared" si="12"/>
        <v/>
      </c>
      <c r="Y95" s="1" t="str">
        <f t="shared" si="13"/>
        <v/>
      </c>
      <c r="Z95" s="1" t="str">
        <f t="shared" si="14"/>
        <v/>
      </c>
      <c r="AA95" s="1" t="str">
        <f t="shared" si="15"/>
        <v/>
      </c>
      <c r="AB95" s="1" t="str">
        <f t="shared" si="16"/>
        <v/>
      </c>
      <c r="AC95" s="1" t="str">
        <f t="shared" si="17"/>
        <v/>
      </c>
      <c r="AD95" s="1" t="str">
        <f t="shared" si="18"/>
        <v/>
      </c>
      <c r="AE95" s="2" t="str">
        <f t="shared" si="19"/>
        <v/>
      </c>
      <c r="AF95" s="1">
        <f t="shared" si="20"/>
        <v>64.328000000000017</v>
      </c>
      <c r="AG95" s="1">
        <f t="shared" si="21"/>
        <v>63.152000000000008</v>
      </c>
      <c r="AH95" s="2">
        <f t="shared" si="22"/>
        <v>60.800000000000011</v>
      </c>
      <c r="AI95" s="1">
        <f t="shared" si="23"/>
        <v>60.800000000000011</v>
      </c>
      <c r="AJ95" s="1">
        <v>0.36363636363636331</v>
      </c>
      <c r="AK95" s="1">
        <v>0.63636363636363669</v>
      </c>
      <c r="AL95" s="1">
        <v>0.55272727272727273</v>
      </c>
      <c r="AM95" s="2">
        <f t="shared" si="24"/>
        <v>13.467598772949367</v>
      </c>
      <c r="AN95" s="1">
        <f t="shared" si="25"/>
        <v>74.439091399574693</v>
      </c>
      <c r="AO95" s="1">
        <f t="shared" si="26"/>
        <v>10.111091399574676</v>
      </c>
      <c r="AP95" s="34">
        <f t="shared" si="27"/>
        <v>-1513.25</v>
      </c>
      <c r="AQ95" s="34">
        <v>38111.385558277638</v>
      </c>
      <c r="AR95" s="34">
        <f t="shared" si="28"/>
        <v>-7.6795590338743338</v>
      </c>
      <c r="AS95" s="34">
        <f t="shared" si="29"/>
        <v>-13.546742135754346</v>
      </c>
      <c r="AT95" s="1">
        <f t="shared" si="30"/>
        <v>111.7058245322343</v>
      </c>
      <c r="AU95" s="1" t="str">
        <f t="shared" si="31"/>
        <v/>
      </c>
      <c r="AV95" s="1" t="str">
        <f t="shared" si="32"/>
        <v/>
      </c>
      <c r="AW95" s="1" t="str">
        <f t="shared" si="33"/>
        <v/>
      </c>
      <c r="AX95" s="2">
        <f t="shared" si="34"/>
        <v>287.30010586977824</v>
      </c>
      <c r="AY95" s="1" t="str">
        <f t="shared" si="35"/>
        <v/>
      </c>
      <c r="AZ95" s="1" t="str">
        <f t="shared" si="36"/>
        <v/>
      </c>
      <c r="BA95" s="1" t="str">
        <f t="shared" si="37"/>
        <v/>
      </c>
      <c r="BB95" s="2">
        <f t="shared" si="38"/>
        <v>5.6674937169823814E-5</v>
      </c>
      <c r="BC95" s="1" t="str">
        <f t="shared" si="39"/>
        <v/>
      </c>
      <c r="BD95" s="1" t="str">
        <f t="shared" si="40"/>
        <v/>
      </c>
      <c r="BE95" s="1" t="str">
        <f t="shared" si="41"/>
        <v/>
      </c>
      <c r="BF95" s="2">
        <f t="shared" si="42"/>
        <v>8.5012405754735718E-2</v>
      </c>
      <c r="BG95" s="2">
        <f t="shared" si="43"/>
        <v>8.5012405754735718E-2</v>
      </c>
    </row>
    <row r="96" spans="2:59">
      <c r="B96" s="1"/>
      <c r="C96" s="34">
        <v>51</v>
      </c>
      <c r="D96" s="148">
        <f t="shared" si="1"/>
        <v>3</v>
      </c>
      <c r="E96" s="2">
        <v>10.200000000000001</v>
      </c>
      <c r="F96" s="1">
        <f t="shared" si="2"/>
        <v>31.314000000000004</v>
      </c>
      <c r="G96" s="1">
        <f t="shared" si="2"/>
        <v>30.726000000000003</v>
      </c>
      <c r="H96" s="1">
        <f t="shared" si="3"/>
        <v>29.550000000000004</v>
      </c>
      <c r="I96" s="1">
        <f t="shared" si="3"/>
        <v>29.550000000000004</v>
      </c>
      <c r="J96" s="149">
        <v>142922.31183410806</v>
      </c>
      <c r="K96" s="149">
        <v>114148.98863977261</v>
      </c>
      <c r="L96" s="149">
        <v>251609.66409023598</v>
      </c>
      <c r="M96" s="138">
        <v>279.99933494210359</v>
      </c>
      <c r="N96" s="138">
        <v>2881.3419117948365</v>
      </c>
      <c r="O96" s="103">
        <v>190.29431609206446</v>
      </c>
      <c r="P96" s="1">
        <f t="shared" si="4"/>
        <v>54.62534999999999</v>
      </c>
      <c r="Q96" s="2">
        <f t="shared" si="5"/>
        <v>12.462150431909752</v>
      </c>
      <c r="R96" s="32">
        <f t="shared" si="6"/>
        <v>7807.1813067472931</v>
      </c>
      <c r="S96" s="147">
        <f t="shared" si="7"/>
        <v>3135.5974840148019</v>
      </c>
      <c r="T96" s="1" t="str">
        <f t="shared" si="8"/>
        <v/>
      </c>
      <c r="U96" s="1" t="str">
        <f t="shared" si="9"/>
        <v/>
      </c>
      <c r="V96" s="1" t="str">
        <f t="shared" si="10"/>
        <v/>
      </c>
      <c r="W96" s="1" t="str">
        <f t="shared" si="11"/>
        <v/>
      </c>
      <c r="X96" s="1" t="str">
        <f t="shared" si="12"/>
        <v/>
      </c>
      <c r="Y96" s="1" t="str">
        <f t="shared" si="13"/>
        <v/>
      </c>
      <c r="Z96" s="1" t="str">
        <f t="shared" si="14"/>
        <v/>
      </c>
      <c r="AA96" s="1" t="str">
        <f t="shared" si="15"/>
        <v/>
      </c>
      <c r="AB96" s="1" t="str">
        <f t="shared" si="16"/>
        <v/>
      </c>
      <c r="AC96" s="1" t="str">
        <f t="shared" si="17"/>
        <v/>
      </c>
      <c r="AD96" s="1" t="str">
        <f t="shared" si="18"/>
        <v/>
      </c>
      <c r="AE96" s="2" t="str">
        <f t="shared" si="19"/>
        <v/>
      </c>
      <c r="AF96" s="1">
        <f t="shared" si="20"/>
        <v>62.628000000000007</v>
      </c>
      <c r="AG96" s="1">
        <f t="shared" si="21"/>
        <v>61.452000000000005</v>
      </c>
      <c r="AH96" s="2">
        <f t="shared" si="22"/>
        <v>59.100000000000009</v>
      </c>
      <c r="AI96" s="1">
        <f t="shared" si="23"/>
        <v>59.100000000000009</v>
      </c>
      <c r="AJ96" s="1">
        <v>0.2727272727272716</v>
      </c>
      <c r="AK96" s="1">
        <v>0.7272727272727284</v>
      </c>
      <c r="AL96" s="1">
        <v>0.54454545454545444</v>
      </c>
      <c r="AM96" s="2">
        <f t="shared" si="24"/>
        <v>13.383765531225112</v>
      </c>
      <c r="AN96" s="1">
        <f t="shared" si="25"/>
        <v>72.880686847307643</v>
      </c>
      <c r="AO96" s="1">
        <f t="shared" si="26"/>
        <v>10.252686847307636</v>
      </c>
      <c r="AP96" s="34">
        <f t="shared" si="27"/>
        <v>-1513.25</v>
      </c>
      <c r="AQ96" s="34">
        <v>30982.0773773453</v>
      </c>
      <c r="AR96" s="34">
        <f t="shared" si="28"/>
        <v>-6.5969166510666826</v>
      </c>
      <c r="AS96" s="34">
        <f t="shared" si="29"/>
        <v>-11.636960972481624</v>
      </c>
      <c r="AT96" s="1">
        <f t="shared" si="30"/>
        <v>130.03824654722493</v>
      </c>
      <c r="AU96" s="1" t="str">
        <f t="shared" si="31"/>
        <v/>
      </c>
      <c r="AV96" s="1" t="str">
        <f t="shared" si="32"/>
        <v/>
      </c>
      <c r="AW96" s="1" t="str">
        <f t="shared" si="33"/>
        <v/>
      </c>
      <c r="AX96" s="2">
        <f t="shared" si="34"/>
        <v>279.44926582845693</v>
      </c>
      <c r="AY96" s="1" t="str">
        <f t="shared" si="35"/>
        <v/>
      </c>
      <c r="AZ96" s="1" t="str">
        <f t="shared" si="36"/>
        <v/>
      </c>
      <c r="BA96" s="1" t="str">
        <f t="shared" si="37"/>
        <v/>
      </c>
      <c r="BB96" s="2">
        <f t="shared" si="38"/>
        <v>5.510476916155909E-5</v>
      </c>
      <c r="BC96" s="1" t="str">
        <f t="shared" si="39"/>
        <v/>
      </c>
      <c r="BD96" s="1" t="str">
        <f t="shared" si="40"/>
        <v/>
      </c>
      <c r="BE96" s="1" t="str">
        <f t="shared" si="41"/>
        <v/>
      </c>
      <c r="BF96" s="2">
        <f t="shared" si="42"/>
        <v>8.2657153742338632E-2</v>
      </c>
      <c r="BG96" s="2">
        <f t="shared" si="43"/>
        <v>8.2657153742338632E-2</v>
      </c>
    </row>
    <row r="97" spans="2:59">
      <c r="B97" s="1"/>
      <c r="C97" s="34">
        <v>52</v>
      </c>
      <c r="D97" s="148">
        <f t="shared" si="1"/>
        <v>3</v>
      </c>
      <c r="E97" s="2">
        <v>10.4</v>
      </c>
      <c r="F97" s="1">
        <f t="shared" si="2"/>
        <v>30.464000000000002</v>
      </c>
      <c r="G97" s="1">
        <f t="shared" si="2"/>
        <v>29.876000000000001</v>
      </c>
      <c r="H97" s="1">
        <f t="shared" si="3"/>
        <v>28.700000000000003</v>
      </c>
      <c r="I97" s="1">
        <f t="shared" si="3"/>
        <v>28.700000000000003</v>
      </c>
      <c r="J97" s="149">
        <v>131271.0791691241</v>
      </c>
      <c r="K97" s="149">
        <v>104770.40700855716</v>
      </c>
      <c r="L97" s="149">
        <v>231018.66637257583</v>
      </c>
      <c r="M97" s="138">
        <v>272.1482122375827</v>
      </c>
      <c r="N97" s="138">
        <v>2721.8683855133108</v>
      </c>
      <c r="O97" s="103">
        <v>184.95351032001986</v>
      </c>
      <c r="P97" s="1">
        <f t="shared" si="4"/>
        <v>53.808549999999997</v>
      </c>
      <c r="Q97" s="2">
        <f t="shared" si="5"/>
        <v>12.462150431909752</v>
      </c>
      <c r="R97" s="32">
        <f t="shared" si="6"/>
        <v>7063.5064270257726</v>
      </c>
      <c r="S97" s="147">
        <f t="shared" si="7"/>
        <v>2878.9893729142104</v>
      </c>
      <c r="T97" s="1" t="str">
        <f t="shared" si="8"/>
        <v/>
      </c>
      <c r="U97" s="1" t="str">
        <f t="shared" si="9"/>
        <v/>
      </c>
      <c r="V97" s="1" t="str">
        <f t="shared" si="10"/>
        <v/>
      </c>
      <c r="W97" s="1" t="str">
        <f t="shared" si="11"/>
        <v/>
      </c>
      <c r="X97" s="1" t="str">
        <f t="shared" si="12"/>
        <v/>
      </c>
      <c r="Y97" s="1" t="str">
        <f t="shared" si="13"/>
        <v/>
      </c>
      <c r="Z97" s="1" t="str">
        <f t="shared" si="14"/>
        <v/>
      </c>
      <c r="AA97" s="1" t="str">
        <f t="shared" si="15"/>
        <v/>
      </c>
      <c r="AB97" s="1" t="str">
        <f t="shared" si="16"/>
        <v/>
      </c>
      <c r="AC97" s="1" t="str">
        <f t="shared" si="17"/>
        <v/>
      </c>
      <c r="AD97" s="1" t="str">
        <f t="shared" si="18"/>
        <v/>
      </c>
      <c r="AE97" s="2" t="str">
        <f t="shared" si="19"/>
        <v/>
      </c>
      <c r="AF97" s="1">
        <f t="shared" si="20"/>
        <v>60.928000000000004</v>
      </c>
      <c r="AG97" s="1">
        <f t="shared" si="21"/>
        <v>59.752000000000002</v>
      </c>
      <c r="AH97" s="2">
        <f t="shared" si="22"/>
        <v>57.400000000000006</v>
      </c>
      <c r="AI97" s="1">
        <f t="shared" si="23"/>
        <v>57.400000000000006</v>
      </c>
      <c r="AJ97" s="1">
        <v>0.18181818181818166</v>
      </c>
      <c r="AK97" s="1">
        <v>0.81818181818181834</v>
      </c>
      <c r="AL97" s="1">
        <v>0.53636363636363638</v>
      </c>
      <c r="AM97" s="2">
        <f t="shared" si="24"/>
        <v>13.299932289500861</v>
      </c>
      <c r="AN97" s="1">
        <f t="shared" si="25"/>
        <v>71.336000461868252</v>
      </c>
      <c r="AO97" s="1">
        <f t="shared" si="26"/>
        <v>10.408000461868248</v>
      </c>
      <c r="AP97" s="34">
        <f t="shared" si="27"/>
        <v>-1513.25</v>
      </c>
      <c r="AQ97" s="34">
        <v>24719.781997062029</v>
      </c>
      <c r="AR97" s="34">
        <f t="shared" si="28"/>
        <v>-5.5706146065498849</v>
      </c>
      <c r="AS97" s="34">
        <f t="shared" si="29"/>
        <v>-9.8265641659539931</v>
      </c>
      <c r="AT97" s="1">
        <f t="shared" si="30"/>
        <v>153.99583968961841</v>
      </c>
      <c r="AU97" s="1" t="str">
        <f t="shared" si="31"/>
        <v/>
      </c>
      <c r="AV97" s="1" t="str">
        <f t="shared" si="32"/>
        <v/>
      </c>
      <c r="AW97" s="1" t="str">
        <f t="shared" si="33"/>
        <v/>
      </c>
      <c r="AX97" s="2">
        <f t="shared" si="34"/>
        <v>271.59842578713597</v>
      </c>
      <c r="AY97" s="1" t="str">
        <f t="shared" si="35"/>
        <v/>
      </c>
      <c r="AZ97" s="1" t="str">
        <f t="shared" si="36"/>
        <v/>
      </c>
      <c r="BA97" s="1" t="str">
        <f t="shared" si="37"/>
        <v/>
      </c>
      <c r="BB97" s="2">
        <f t="shared" si="38"/>
        <v>5.3534601153295389E-5</v>
      </c>
      <c r="BC97" s="1" t="str">
        <f t="shared" si="39"/>
        <v/>
      </c>
      <c r="BD97" s="1" t="str">
        <f t="shared" si="40"/>
        <v/>
      </c>
      <c r="BE97" s="1" t="str">
        <f t="shared" si="41"/>
        <v/>
      </c>
      <c r="BF97" s="2">
        <f t="shared" si="42"/>
        <v>8.0301901729943087E-2</v>
      </c>
      <c r="BG97" s="2">
        <f t="shared" si="43"/>
        <v>8.0301901729943087E-2</v>
      </c>
    </row>
    <row r="98" spans="2:59">
      <c r="B98" s="1"/>
      <c r="C98" s="34">
        <v>53</v>
      </c>
      <c r="D98" s="148">
        <f t="shared" si="1"/>
        <v>3</v>
      </c>
      <c r="E98" s="2">
        <v>10.600000000000001</v>
      </c>
      <c r="F98" s="1">
        <f t="shared" si="2"/>
        <v>29.614000000000001</v>
      </c>
      <c r="G98" s="1">
        <f t="shared" si="2"/>
        <v>29.026</v>
      </c>
      <c r="H98" s="1">
        <f t="shared" si="3"/>
        <v>27.85</v>
      </c>
      <c r="I98" s="1">
        <f t="shared" si="3"/>
        <v>27.85</v>
      </c>
      <c r="J98" s="149">
        <v>120270.91896513785</v>
      </c>
      <c r="K98" s="149">
        <v>95920.130019099452</v>
      </c>
      <c r="L98" s="149">
        <v>211582.85195198414</v>
      </c>
      <c r="M98" s="138">
        <v>264.29708710729716</v>
      </c>
      <c r="N98" s="138">
        <v>2566.9344606162231</v>
      </c>
      <c r="O98" s="103">
        <v>179.61270839806491</v>
      </c>
      <c r="P98" s="1">
        <f t="shared" si="4"/>
        <v>52.991749999999989</v>
      </c>
      <c r="Q98" s="2">
        <f t="shared" si="5"/>
        <v>12.462150431909752</v>
      </c>
      <c r="R98" s="32">
        <f t="shared" si="6"/>
        <v>6373.3664700708432</v>
      </c>
      <c r="S98" s="147">
        <f t="shared" si="7"/>
        <v>2636.7773298381157</v>
      </c>
      <c r="T98" s="1" t="str">
        <f t="shared" si="8"/>
        <v/>
      </c>
      <c r="U98" s="1" t="str">
        <f t="shared" si="9"/>
        <v/>
      </c>
      <c r="V98" s="1" t="str">
        <f t="shared" si="10"/>
        <v/>
      </c>
      <c r="W98" s="1" t="str">
        <f t="shared" si="11"/>
        <v/>
      </c>
      <c r="X98" s="1" t="str">
        <f t="shared" si="12"/>
        <v/>
      </c>
      <c r="Y98" s="1" t="str">
        <f t="shared" si="13"/>
        <v/>
      </c>
      <c r="Z98" s="1" t="str">
        <f t="shared" si="14"/>
        <v/>
      </c>
      <c r="AA98" s="1" t="str">
        <f t="shared" si="15"/>
        <v/>
      </c>
      <c r="AB98" s="1" t="str">
        <f t="shared" si="16"/>
        <v/>
      </c>
      <c r="AC98" s="1" t="str">
        <f t="shared" si="17"/>
        <v/>
      </c>
      <c r="AD98" s="1" t="str">
        <f t="shared" si="18"/>
        <v/>
      </c>
      <c r="AE98" s="2" t="str">
        <f t="shared" si="19"/>
        <v/>
      </c>
      <c r="AF98" s="1">
        <f t="shared" si="20"/>
        <v>59.228000000000002</v>
      </c>
      <c r="AG98" s="1">
        <f t="shared" si="21"/>
        <v>58.052</v>
      </c>
      <c r="AH98" s="2">
        <f t="shared" si="22"/>
        <v>55.7</v>
      </c>
      <c r="AI98" s="1">
        <f t="shared" si="23"/>
        <v>55.7</v>
      </c>
      <c r="AJ98" s="1">
        <v>9.090909090908994E-2</v>
      </c>
      <c r="AK98" s="1">
        <v>0.90909090909091006</v>
      </c>
      <c r="AL98" s="1">
        <v>0.52818181818181809</v>
      </c>
      <c r="AM98" s="2">
        <f t="shared" si="24"/>
        <v>13.216099047776606</v>
      </c>
      <c r="AN98" s="1">
        <f t="shared" si="25"/>
        <v>69.80503224325642</v>
      </c>
      <c r="AO98" s="1">
        <f t="shared" si="26"/>
        <v>10.577032243256419</v>
      </c>
      <c r="AP98" s="34">
        <f t="shared" si="27"/>
        <v>-1513.25</v>
      </c>
      <c r="AQ98" s="34">
        <v>19285.53839739988</v>
      </c>
      <c r="AR98" s="34">
        <f t="shared" si="28"/>
        <v>-4.6071992631461489</v>
      </c>
      <c r="AS98" s="34">
        <f t="shared" si="29"/>
        <v>-8.1270995001898036</v>
      </c>
      <c r="AT98" s="1">
        <f t="shared" si="30"/>
        <v>186.19804026819887</v>
      </c>
      <c r="AU98" s="1" t="str">
        <f t="shared" si="31"/>
        <v/>
      </c>
      <c r="AV98" s="1" t="str">
        <f t="shared" si="32"/>
        <v/>
      </c>
      <c r="AW98" s="1" t="str">
        <f t="shared" si="33"/>
        <v/>
      </c>
      <c r="AX98" s="2">
        <f t="shared" si="34"/>
        <v>263.747585745815</v>
      </c>
      <c r="AY98" s="1" t="str">
        <f t="shared" si="35"/>
        <v/>
      </c>
      <c r="AZ98" s="1" t="str">
        <f t="shared" si="36"/>
        <v/>
      </c>
      <c r="BA98" s="1" t="str">
        <f t="shared" si="37"/>
        <v/>
      </c>
      <c r="BB98" s="2">
        <f t="shared" si="38"/>
        <v>5.1964433145030706E-5</v>
      </c>
      <c r="BC98" s="1" t="str">
        <f t="shared" si="39"/>
        <v/>
      </c>
      <c r="BD98" s="1" t="str">
        <f t="shared" si="40"/>
        <v/>
      </c>
      <c r="BE98" s="1" t="str">
        <f t="shared" si="41"/>
        <v/>
      </c>
      <c r="BF98" s="2">
        <f t="shared" si="42"/>
        <v>7.7946649717546057E-2</v>
      </c>
      <c r="BG98" s="2">
        <f t="shared" si="43"/>
        <v>7.7946649717546057E-2</v>
      </c>
    </row>
    <row r="99" spans="2:59">
      <c r="B99" s="1"/>
      <c r="C99" s="34">
        <v>54</v>
      </c>
      <c r="D99" s="148">
        <f t="shared" si="1"/>
        <v>3</v>
      </c>
      <c r="E99" s="2">
        <v>10.8</v>
      </c>
      <c r="F99" s="1">
        <f t="shared" si="2"/>
        <v>28.763999999999999</v>
      </c>
      <c r="G99" s="1">
        <f t="shared" si="2"/>
        <v>28.175999999999998</v>
      </c>
      <c r="H99" s="1">
        <f t="shared" si="3"/>
        <v>27</v>
      </c>
      <c r="I99" s="1">
        <f t="shared" si="3"/>
        <v>27</v>
      </c>
      <c r="J99" s="149">
        <v>109903.11223346776</v>
      </c>
      <c r="K99" s="149">
        <v>87582.842229569054</v>
      </c>
      <c r="L99" s="149">
        <v>193268.87359665739</v>
      </c>
      <c r="M99" s="138">
        <v>256.44595934069611</v>
      </c>
      <c r="N99" s="138">
        <v>2416.5401371035723</v>
      </c>
      <c r="O99" s="103">
        <v>174.27191068021784</v>
      </c>
      <c r="P99" s="1">
        <f t="shared" si="4"/>
        <v>52.174949999999995</v>
      </c>
      <c r="Q99" s="2">
        <f t="shared" si="5"/>
        <v>12.462150431909752</v>
      </c>
      <c r="R99" s="32">
        <f t="shared" si="6"/>
        <v>5734.1893856255683</v>
      </c>
      <c r="S99" s="147">
        <f t="shared" si="7"/>
        <v>2408.545776567295</v>
      </c>
      <c r="T99" s="1" t="str">
        <f t="shared" si="8"/>
        <v/>
      </c>
      <c r="U99" s="1" t="str">
        <f t="shared" si="9"/>
        <v/>
      </c>
      <c r="V99" s="1" t="str">
        <f t="shared" si="10"/>
        <v/>
      </c>
      <c r="W99" s="1" t="str">
        <f t="shared" si="11"/>
        <v/>
      </c>
      <c r="X99" s="1" t="str">
        <f t="shared" si="12"/>
        <v/>
      </c>
      <c r="Y99" s="1" t="str">
        <f t="shared" si="13"/>
        <v/>
      </c>
      <c r="Z99" s="1" t="str">
        <f t="shared" si="14"/>
        <v/>
      </c>
      <c r="AA99" s="1" t="str">
        <f t="shared" si="15"/>
        <v/>
      </c>
      <c r="AB99" s="1" t="str">
        <f t="shared" si="16"/>
        <v/>
      </c>
      <c r="AC99" s="1" t="str">
        <f t="shared" si="17"/>
        <v/>
      </c>
      <c r="AD99" s="1" t="str">
        <f t="shared" si="18"/>
        <v/>
      </c>
      <c r="AE99" s="2" t="str">
        <f t="shared" si="19"/>
        <v/>
      </c>
      <c r="AF99" s="1">
        <f t="shared" si="20"/>
        <v>57.527999999999999</v>
      </c>
      <c r="AG99" s="1">
        <f t="shared" si="21"/>
        <v>56.351999999999997</v>
      </c>
      <c r="AH99" s="2">
        <f t="shared" si="22"/>
        <v>54</v>
      </c>
      <c r="AI99" s="1">
        <f t="shared" si="23"/>
        <v>54</v>
      </c>
      <c r="AJ99" s="1">
        <v>0</v>
      </c>
      <c r="AK99" s="1">
        <v>1</v>
      </c>
      <c r="AL99" s="1">
        <v>0.52</v>
      </c>
      <c r="AM99" s="2">
        <f t="shared" si="24"/>
        <v>13.132265806052354</v>
      </c>
      <c r="AN99" s="1">
        <f t="shared" si="25"/>
        <v>68.287782191472246</v>
      </c>
      <c r="AO99" s="1">
        <f t="shared" si="26"/>
        <v>10.759782191472247</v>
      </c>
      <c r="AP99" s="34">
        <f t="shared" si="27"/>
        <v>-1513.25</v>
      </c>
      <c r="AQ99" s="34">
        <v>14639.31341936824</v>
      </c>
      <c r="AR99" s="34">
        <f t="shared" si="28"/>
        <v>-3.7139379264505306</v>
      </c>
      <c r="AS99" s="34">
        <f t="shared" si="29"/>
        <v>-6.5513865022587332</v>
      </c>
      <c r="AT99" s="1">
        <f t="shared" si="30"/>
        <v>230.98164021894817</v>
      </c>
      <c r="AU99" s="1" t="str">
        <f t="shared" si="31"/>
        <v/>
      </c>
      <c r="AV99" s="1" t="str">
        <f t="shared" si="32"/>
        <v/>
      </c>
      <c r="AW99" s="1" t="str">
        <f t="shared" si="33"/>
        <v/>
      </c>
      <c r="AX99" s="2">
        <f t="shared" si="34"/>
        <v>255.89674570449401</v>
      </c>
      <c r="AY99" s="1" t="str">
        <f t="shared" si="35"/>
        <v/>
      </c>
      <c r="AZ99" s="1" t="str">
        <f t="shared" si="36"/>
        <v/>
      </c>
      <c r="BA99" s="1" t="str">
        <f t="shared" si="37"/>
        <v/>
      </c>
      <c r="BB99" s="2">
        <f t="shared" si="38"/>
        <v>5.0394265136766524E-5</v>
      </c>
      <c r="BC99" s="1" t="str">
        <f t="shared" si="39"/>
        <v/>
      </c>
      <c r="BD99" s="1" t="str">
        <f t="shared" si="40"/>
        <v/>
      </c>
      <c r="BE99" s="1" t="str">
        <f t="shared" si="41"/>
        <v/>
      </c>
      <c r="BF99" s="2">
        <f t="shared" si="42"/>
        <v>7.559139770514979E-2</v>
      </c>
      <c r="BG99" s="2">
        <f t="shared" si="43"/>
        <v>7.559139770514979E-2</v>
      </c>
    </row>
    <row r="100" spans="2:59">
      <c r="B100" s="1"/>
      <c r="C100" s="34">
        <v>55</v>
      </c>
      <c r="D100" s="148">
        <f t="shared" si="1"/>
        <v>3</v>
      </c>
      <c r="E100" s="2">
        <v>11</v>
      </c>
      <c r="F100" s="1">
        <f t="shared" si="2"/>
        <v>27.914000000000005</v>
      </c>
      <c r="G100" s="1">
        <f t="shared" si="2"/>
        <v>27.326000000000004</v>
      </c>
      <c r="H100" s="1">
        <f t="shared" si="3"/>
        <v>26.150000000000006</v>
      </c>
      <c r="I100" s="1">
        <f t="shared" si="3"/>
        <v>26.150000000000006</v>
      </c>
      <c r="J100" s="149">
        <v>100148.93998541973</v>
      </c>
      <c r="K100" s="149">
        <v>79743.228198122495</v>
      </c>
      <c r="L100" s="149">
        <v>176043.38407477498</v>
      </c>
      <c r="M100" s="138">
        <v>248.59482870217604</v>
      </c>
      <c r="N100" s="138">
        <v>2270.6854149753599</v>
      </c>
      <c r="O100" s="103">
        <v>168.93111756526497</v>
      </c>
      <c r="P100" s="1">
        <f t="shared" si="4"/>
        <v>51.358149999999988</v>
      </c>
      <c r="Q100" s="2">
        <f t="shared" si="5"/>
        <v>12.462150431909752</v>
      </c>
      <c r="R100" s="32">
        <f t="shared" si="6"/>
        <v>5143.4642821121824</v>
      </c>
      <c r="S100" s="147">
        <f t="shared" si="7"/>
        <v>2193.8791348823111</v>
      </c>
      <c r="T100" s="1" t="str">
        <f t="shared" si="8"/>
        <v/>
      </c>
      <c r="U100" s="1" t="str">
        <f t="shared" si="9"/>
        <v/>
      </c>
      <c r="V100" s="1" t="str">
        <f t="shared" si="10"/>
        <v/>
      </c>
      <c r="W100" s="1" t="str">
        <f t="shared" si="11"/>
        <v/>
      </c>
      <c r="X100" s="1" t="str">
        <f t="shared" si="12"/>
        <v/>
      </c>
      <c r="Y100" s="1" t="str">
        <f t="shared" si="13"/>
        <v/>
      </c>
      <c r="Z100" s="1" t="str">
        <f t="shared" si="14"/>
        <v/>
      </c>
      <c r="AA100" s="1" t="str">
        <f t="shared" si="15"/>
        <v/>
      </c>
      <c r="AB100" s="1" t="str">
        <f t="shared" si="16"/>
        <v/>
      </c>
      <c r="AC100" s="1" t="str">
        <f t="shared" si="17"/>
        <v/>
      </c>
      <c r="AD100" s="1" t="str">
        <f t="shared" si="18"/>
        <v/>
      </c>
      <c r="AE100" s="2" t="str">
        <f t="shared" si="19"/>
        <v/>
      </c>
      <c r="AF100" s="1">
        <f t="shared" si="20"/>
        <v>55.82800000000001</v>
      </c>
      <c r="AG100" s="1">
        <f t="shared" si="21"/>
        <v>54.652000000000008</v>
      </c>
      <c r="AH100" s="2">
        <f t="shared" si="22"/>
        <v>52.300000000000011</v>
      </c>
      <c r="AI100" s="1">
        <f t="shared" si="23"/>
        <v>52.300000000000011</v>
      </c>
      <c r="AJ100" s="1">
        <v>0</v>
      </c>
      <c r="AK100" s="1">
        <v>1</v>
      </c>
      <c r="AL100" s="1">
        <v>0.50250000000000006</v>
      </c>
      <c r="AM100" s="2">
        <f t="shared" si="24"/>
        <v>13.132265806052354</v>
      </c>
      <c r="AN100" s="1">
        <f t="shared" si="25"/>
        <v>65.989635675413098</v>
      </c>
      <c r="AO100" s="1">
        <f t="shared" si="26"/>
        <v>10.161635675413088</v>
      </c>
      <c r="AP100" s="34">
        <f t="shared" si="27"/>
        <v>-1513.25</v>
      </c>
      <c r="AQ100" s="34">
        <v>10738.430969216366</v>
      </c>
      <c r="AR100" s="34">
        <f t="shared" si="28"/>
        <v>-2.8984956406140467</v>
      </c>
      <c r="AS100" s="34">
        <f t="shared" si="29"/>
        <v>-5.1129463100431769</v>
      </c>
      <c r="AT100" s="1">
        <f t="shared" si="30"/>
        <v>295.96438300703011</v>
      </c>
      <c r="AU100" s="1" t="str">
        <f t="shared" si="31"/>
        <v/>
      </c>
      <c r="AV100" s="1" t="str">
        <f t="shared" si="32"/>
        <v/>
      </c>
      <c r="AW100" s="1" t="str">
        <f t="shared" si="33"/>
        <v/>
      </c>
      <c r="AX100" s="2">
        <f t="shared" si="34"/>
        <v>248.04590566317304</v>
      </c>
      <c r="AY100" s="1" t="str">
        <f t="shared" si="35"/>
        <v/>
      </c>
      <c r="AZ100" s="1" t="str">
        <f t="shared" si="36"/>
        <v/>
      </c>
      <c r="BA100" s="1" t="str">
        <f t="shared" si="37"/>
        <v/>
      </c>
      <c r="BB100" s="2">
        <f t="shared" si="38"/>
        <v>4.882409712850277E-5</v>
      </c>
      <c r="BC100" s="1" t="str">
        <f t="shared" si="39"/>
        <v/>
      </c>
      <c r="BD100" s="1" t="str">
        <f t="shared" si="40"/>
        <v/>
      </c>
      <c r="BE100" s="1" t="str">
        <f t="shared" si="41"/>
        <v/>
      </c>
      <c r="BF100" s="2">
        <f t="shared" si="42"/>
        <v>7.3236145692754148E-2</v>
      </c>
      <c r="BG100" s="2">
        <f t="shared" si="43"/>
        <v>7.3236145692754148E-2</v>
      </c>
    </row>
    <row r="101" spans="2:59">
      <c r="B101" s="1"/>
      <c r="C101" s="34">
        <v>56</v>
      </c>
      <c r="D101" s="148">
        <f t="shared" si="1"/>
        <v>3</v>
      </c>
      <c r="E101" s="2">
        <v>11.200000000000001</v>
      </c>
      <c r="F101" s="1">
        <f t="shared" si="2"/>
        <v>27.064000000000004</v>
      </c>
      <c r="G101" s="1">
        <f t="shared" si="2"/>
        <v>26.476000000000003</v>
      </c>
      <c r="H101" s="1">
        <f t="shared" si="3"/>
        <v>25.300000000000004</v>
      </c>
      <c r="I101" s="1">
        <f t="shared" si="3"/>
        <v>25.300000000000004</v>
      </c>
      <c r="J101" s="149">
        <v>90989.683232287731</v>
      </c>
      <c r="K101" s="149">
        <v>72385.972482893922</v>
      </c>
      <c r="L101" s="149">
        <v>159873.03615449922</v>
      </c>
      <c r="M101" s="138">
        <v>240.74369492725958</v>
      </c>
      <c r="N101" s="138">
        <v>2129.3702942315836</v>
      </c>
      <c r="O101" s="103">
        <v>163.59032950407644</v>
      </c>
      <c r="P101" s="1">
        <f t="shared" si="4"/>
        <v>50.541349999999994</v>
      </c>
      <c r="Q101" s="2">
        <f t="shared" si="5"/>
        <v>12.462150431909752</v>
      </c>
      <c r="R101" s="32">
        <f t="shared" si="6"/>
        <v>4598.7414266321848</v>
      </c>
      <c r="S101" s="147">
        <f t="shared" si="7"/>
        <v>1992.3618265635157</v>
      </c>
      <c r="T101" s="1" t="str">
        <f t="shared" si="8"/>
        <v/>
      </c>
      <c r="U101" s="1" t="str">
        <f t="shared" si="9"/>
        <v/>
      </c>
      <c r="V101" s="1" t="str">
        <f t="shared" si="10"/>
        <v/>
      </c>
      <c r="W101" s="1" t="str">
        <f t="shared" si="11"/>
        <v/>
      </c>
      <c r="X101" s="1" t="str">
        <f t="shared" si="12"/>
        <v/>
      </c>
      <c r="Y101" s="1" t="str">
        <f t="shared" si="13"/>
        <v/>
      </c>
      <c r="Z101" s="1" t="str">
        <f t="shared" si="14"/>
        <v/>
      </c>
      <c r="AA101" s="1" t="str">
        <f t="shared" si="15"/>
        <v/>
      </c>
      <c r="AB101" s="1" t="str">
        <f t="shared" si="16"/>
        <v/>
      </c>
      <c r="AC101" s="1" t="str">
        <f t="shared" si="17"/>
        <v/>
      </c>
      <c r="AD101" s="1" t="str">
        <f t="shared" si="18"/>
        <v/>
      </c>
      <c r="AE101" s="2" t="str">
        <f t="shared" si="19"/>
        <v/>
      </c>
      <c r="AF101" s="1">
        <f t="shared" si="20"/>
        <v>54.128000000000007</v>
      </c>
      <c r="AG101" s="1">
        <f t="shared" si="21"/>
        <v>52.952000000000005</v>
      </c>
      <c r="AH101" s="2">
        <f t="shared" si="22"/>
        <v>50.600000000000009</v>
      </c>
      <c r="AI101" s="1">
        <f t="shared" si="23"/>
        <v>50.600000000000009</v>
      </c>
      <c r="AJ101" s="1">
        <v>0</v>
      </c>
      <c r="AK101" s="1">
        <v>1</v>
      </c>
      <c r="AL101" s="1">
        <v>0.48499999999999999</v>
      </c>
      <c r="AM101" s="2">
        <f t="shared" si="24"/>
        <v>13.132265806052354</v>
      </c>
      <c r="AN101" s="1">
        <f t="shared" si="25"/>
        <v>63.691489159353907</v>
      </c>
      <c r="AO101" s="1">
        <f t="shared" si="26"/>
        <v>9.5634891593538995</v>
      </c>
      <c r="AP101" s="34">
        <f t="shared" si="27"/>
        <v>-1513.25</v>
      </c>
      <c r="AQ101" s="34">
        <v>7536.2881581665151</v>
      </c>
      <c r="AR101" s="34">
        <f t="shared" si="28"/>
        <v>-2.168543614481981</v>
      </c>
      <c r="AS101" s="34">
        <f t="shared" si="29"/>
        <v>-3.825310935946213</v>
      </c>
      <c r="AT101" s="1">
        <f t="shared" si="30"/>
        <v>395.5887574471613</v>
      </c>
      <c r="AU101" s="1" t="str">
        <f t="shared" si="31"/>
        <v/>
      </c>
      <c r="AV101" s="1" t="str">
        <f t="shared" si="32"/>
        <v/>
      </c>
      <c r="AW101" s="1" t="str">
        <f t="shared" si="33"/>
        <v/>
      </c>
      <c r="AX101" s="2">
        <f t="shared" si="34"/>
        <v>240.19506562185208</v>
      </c>
      <c r="AY101" s="1" t="str">
        <f t="shared" si="35"/>
        <v/>
      </c>
      <c r="AZ101" s="1" t="str">
        <f t="shared" si="36"/>
        <v/>
      </c>
      <c r="BA101" s="1" t="str">
        <f t="shared" si="37"/>
        <v/>
      </c>
      <c r="BB101" s="2">
        <f t="shared" si="38"/>
        <v>4.7253929120238181E-5</v>
      </c>
      <c r="BC101" s="1" t="str">
        <f t="shared" si="39"/>
        <v/>
      </c>
      <c r="BD101" s="1" t="str">
        <f t="shared" si="40"/>
        <v/>
      </c>
      <c r="BE101" s="1" t="str">
        <f t="shared" si="41"/>
        <v/>
      </c>
      <c r="BF101" s="2">
        <f t="shared" si="42"/>
        <v>7.0880893680357271E-2</v>
      </c>
      <c r="BG101" s="2">
        <f t="shared" si="43"/>
        <v>7.0880893680357271E-2</v>
      </c>
    </row>
    <row r="102" spans="2:59">
      <c r="B102" s="1"/>
      <c r="C102" s="34">
        <v>57</v>
      </c>
      <c r="D102" s="148">
        <f t="shared" si="1"/>
        <v>3</v>
      </c>
      <c r="E102" s="2">
        <v>11.4</v>
      </c>
      <c r="F102" s="1">
        <f t="shared" si="2"/>
        <v>26.214000000000002</v>
      </c>
      <c r="G102" s="1">
        <f t="shared" si="2"/>
        <v>25.626000000000001</v>
      </c>
      <c r="H102" s="1">
        <f t="shared" si="3"/>
        <v>24.450000000000003</v>
      </c>
      <c r="I102" s="1">
        <f t="shared" si="3"/>
        <v>24.450000000000003</v>
      </c>
      <c r="J102" s="149">
        <v>82406.622985344642</v>
      </c>
      <c r="K102" s="149">
        <v>65495.759641995137</v>
      </c>
      <c r="L102" s="149">
        <v>144724.48260395986</v>
      </c>
      <c r="M102" s="138">
        <v>232.89255771804528</v>
      </c>
      <c r="N102" s="138">
        <v>1992.5947748722444</v>
      </c>
      <c r="O102" s="103">
        <v>158.24954700840391</v>
      </c>
      <c r="P102" s="1">
        <f t="shared" si="4"/>
        <v>49.724549999999994</v>
      </c>
      <c r="Q102" s="2">
        <f t="shared" si="5"/>
        <v>12.462150431909752</v>
      </c>
      <c r="R102" s="32">
        <f t="shared" si="6"/>
        <v>4097.6322449659183</v>
      </c>
      <c r="S102" s="147">
        <f t="shared" si="7"/>
        <v>1803.5782733908536</v>
      </c>
      <c r="T102" s="1" t="str">
        <f t="shared" si="8"/>
        <v/>
      </c>
      <c r="U102" s="1" t="str">
        <f t="shared" si="9"/>
        <v/>
      </c>
      <c r="V102" s="1" t="str">
        <f t="shared" si="10"/>
        <v/>
      </c>
      <c r="W102" s="1" t="str">
        <f t="shared" si="11"/>
        <v/>
      </c>
      <c r="X102" s="1" t="str">
        <f t="shared" si="12"/>
        <v/>
      </c>
      <c r="Y102" s="1" t="str">
        <f t="shared" si="13"/>
        <v/>
      </c>
      <c r="Z102" s="1" t="str">
        <f t="shared" si="14"/>
        <v/>
      </c>
      <c r="AA102" s="1" t="str">
        <f t="shared" si="15"/>
        <v/>
      </c>
      <c r="AB102" s="1" t="str">
        <f t="shared" si="16"/>
        <v/>
      </c>
      <c r="AC102" s="1" t="str">
        <f t="shared" si="17"/>
        <v/>
      </c>
      <c r="AD102" s="1" t="str">
        <f t="shared" si="18"/>
        <v/>
      </c>
      <c r="AE102" s="2" t="str">
        <f t="shared" si="19"/>
        <v/>
      </c>
      <c r="AF102" s="1">
        <f t="shared" si="20"/>
        <v>52.428000000000004</v>
      </c>
      <c r="AG102" s="1">
        <f t="shared" si="21"/>
        <v>51.252000000000002</v>
      </c>
      <c r="AH102" s="2">
        <f t="shared" si="22"/>
        <v>48.900000000000006</v>
      </c>
      <c r="AI102" s="1">
        <f t="shared" si="23"/>
        <v>48.900000000000006</v>
      </c>
      <c r="AJ102" s="1">
        <v>0</v>
      </c>
      <c r="AK102" s="1">
        <v>1</v>
      </c>
      <c r="AL102" s="1">
        <v>0.46750000000000003</v>
      </c>
      <c r="AM102" s="2">
        <f t="shared" si="24"/>
        <v>13.132265806052354</v>
      </c>
      <c r="AN102" s="1">
        <f t="shared" si="25"/>
        <v>61.393342643294758</v>
      </c>
      <c r="AO102" s="1">
        <f t="shared" si="26"/>
        <v>8.9653426432947541</v>
      </c>
      <c r="AP102" s="34">
        <f t="shared" si="27"/>
        <v>-1513.25</v>
      </c>
      <c r="AQ102" s="34">
        <v>4983.2430805880995</v>
      </c>
      <c r="AR102" s="34">
        <f t="shared" si="28"/>
        <v>-1.5318612648392074</v>
      </c>
      <c r="AS102" s="34">
        <f t="shared" si="29"/>
        <v>-2.7022032711763608</v>
      </c>
      <c r="AT102" s="1">
        <f t="shared" si="30"/>
        <v>560.00598331791332</v>
      </c>
      <c r="AU102" s="1" t="str">
        <f t="shared" si="31"/>
        <v/>
      </c>
      <c r="AV102" s="1" t="str">
        <f t="shared" si="32"/>
        <v/>
      </c>
      <c r="AW102" s="1" t="str">
        <f t="shared" si="33"/>
        <v/>
      </c>
      <c r="AX102" s="2">
        <f t="shared" si="34"/>
        <v>232.34422558053146</v>
      </c>
      <c r="AY102" s="1" t="str">
        <f t="shared" si="35"/>
        <v/>
      </c>
      <c r="AZ102" s="1" t="str">
        <f t="shared" si="36"/>
        <v/>
      </c>
      <c r="BA102" s="1" t="str">
        <f t="shared" si="37"/>
        <v/>
      </c>
      <c r="BB102" s="2">
        <f t="shared" si="38"/>
        <v>4.5683761111974433E-5</v>
      </c>
      <c r="BC102" s="1" t="str">
        <f t="shared" si="39"/>
        <v/>
      </c>
      <c r="BD102" s="1" t="str">
        <f t="shared" si="40"/>
        <v/>
      </c>
      <c r="BE102" s="1" t="str">
        <f t="shared" si="41"/>
        <v/>
      </c>
      <c r="BF102" s="2">
        <f t="shared" si="42"/>
        <v>6.8525641667961656E-2</v>
      </c>
      <c r="BG102" s="2">
        <f t="shared" si="43"/>
        <v>6.8525641667961656E-2</v>
      </c>
    </row>
    <row r="103" spans="2:59">
      <c r="B103" s="1"/>
      <c r="C103" s="34">
        <v>58</v>
      </c>
      <c r="D103" s="148">
        <f t="shared" si="1"/>
        <v>3</v>
      </c>
      <c r="E103" s="2">
        <v>11.600000000000001</v>
      </c>
      <c r="F103" s="1">
        <f t="shared" si="2"/>
        <v>25.364000000000001</v>
      </c>
      <c r="G103" s="1">
        <f t="shared" si="2"/>
        <v>24.776</v>
      </c>
      <c r="H103" s="1">
        <f t="shared" si="3"/>
        <v>23.6</v>
      </c>
      <c r="I103" s="1">
        <f t="shared" si="3"/>
        <v>23.6</v>
      </c>
      <c r="J103" s="149">
        <v>74381.040255846456</v>
      </c>
      <c r="K103" s="149">
        <v>59057.274233506672</v>
      </c>
      <c r="L103" s="149">
        <v>130564.37619126137</v>
      </c>
      <c r="M103" s="138">
        <v>225.04141673777031</v>
      </c>
      <c r="N103" s="138">
        <v>1860.3588568973425</v>
      </c>
      <c r="O103" s="103">
        <v>152.90877066150026</v>
      </c>
      <c r="P103" s="1">
        <f t="shared" si="4"/>
        <v>48.907749999999993</v>
      </c>
      <c r="Q103" s="2">
        <f t="shared" si="5"/>
        <v>12.462150431909752</v>
      </c>
      <c r="R103" s="32">
        <f t="shared" si="6"/>
        <v>3637.8093215728741</v>
      </c>
      <c r="S103" s="147">
        <f t="shared" si="7"/>
        <v>1627.1128971439553</v>
      </c>
      <c r="T103" s="1" t="str">
        <f t="shared" si="8"/>
        <v/>
      </c>
      <c r="U103" s="1" t="str">
        <f t="shared" si="9"/>
        <v/>
      </c>
      <c r="V103" s="1" t="str">
        <f t="shared" si="10"/>
        <v/>
      </c>
      <c r="W103" s="1" t="str">
        <f t="shared" si="11"/>
        <v/>
      </c>
      <c r="X103" s="1" t="str">
        <f t="shared" si="12"/>
        <v/>
      </c>
      <c r="Y103" s="1" t="str">
        <f t="shared" si="13"/>
        <v/>
      </c>
      <c r="Z103" s="1" t="str">
        <f t="shared" si="14"/>
        <v/>
      </c>
      <c r="AA103" s="1" t="str">
        <f t="shared" si="15"/>
        <v/>
      </c>
      <c r="AB103" s="1" t="str">
        <f t="shared" si="16"/>
        <v/>
      </c>
      <c r="AC103" s="1" t="str">
        <f t="shared" si="17"/>
        <v/>
      </c>
      <c r="AD103" s="1" t="str">
        <f t="shared" si="18"/>
        <v/>
      </c>
      <c r="AE103" s="2" t="str">
        <f t="shared" si="19"/>
        <v/>
      </c>
      <c r="AF103" s="1">
        <f t="shared" si="20"/>
        <v>50.728000000000002</v>
      </c>
      <c r="AG103" s="1">
        <f t="shared" si="21"/>
        <v>49.552</v>
      </c>
      <c r="AH103" s="2">
        <f t="shared" si="22"/>
        <v>47.2</v>
      </c>
      <c r="AI103" s="1">
        <f t="shared" si="23"/>
        <v>47.2</v>
      </c>
      <c r="AJ103" s="1">
        <v>0</v>
      </c>
      <c r="AK103" s="1">
        <v>1</v>
      </c>
      <c r="AL103" s="1">
        <v>0.44999999999999996</v>
      </c>
      <c r="AM103" s="2">
        <f t="shared" si="24"/>
        <v>13.132265806052354</v>
      </c>
      <c r="AN103" s="1">
        <f t="shared" si="25"/>
        <v>59.095196127235589</v>
      </c>
      <c r="AO103" s="1">
        <f t="shared" si="26"/>
        <v>8.3671961272355873</v>
      </c>
      <c r="AP103" s="34">
        <f t="shared" si="27"/>
        <v>-1513.25</v>
      </c>
      <c r="AQ103" s="34">
        <v>3027.5102662482655</v>
      </c>
      <c r="AR103" s="34">
        <f t="shared" si="28"/>
        <v>-0.99648386313693871</v>
      </c>
      <c r="AS103" s="34">
        <f t="shared" si="29"/>
        <v>-1.7577975345735593</v>
      </c>
      <c r="AT103" s="1">
        <f t="shared" si="30"/>
        <v>860.87844034160264</v>
      </c>
      <c r="AU103" s="1" t="str">
        <f t="shared" si="31"/>
        <v/>
      </c>
      <c r="AV103" s="1" t="str">
        <f t="shared" si="32"/>
        <v/>
      </c>
      <c r="AW103" s="1" t="str">
        <f t="shared" si="33"/>
        <v/>
      </c>
      <c r="AX103" s="2">
        <f t="shared" si="34"/>
        <v>224.49338553921049</v>
      </c>
      <c r="AY103" s="1" t="str">
        <f t="shared" si="35"/>
        <v/>
      </c>
      <c r="AZ103" s="1" t="str">
        <f t="shared" si="36"/>
        <v/>
      </c>
      <c r="BA103" s="1" t="str">
        <f t="shared" si="37"/>
        <v/>
      </c>
      <c r="BB103" s="2">
        <f t="shared" si="38"/>
        <v>4.4113593103709845E-5</v>
      </c>
      <c r="BC103" s="1" t="str">
        <f t="shared" si="39"/>
        <v/>
      </c>
      <c r="BD103" s="1" t="str">
        <f t="shared" si="40"/>
        <v/>
      </c>
      <c r="BE103" s="1" t="str">
        <f t="shared" si="41"/>
        <v/>
      </c>
      <c r="BF103" s="2">
        <f t="shared" si="42"/>
        <v>6.6170389655564765E-2</v>
      </c>
      <c r="BG103" s="2">
        <f t="shared" si="43"/>
        <v>6.6170389655564765E-2</v>
      </c>
    </row>
    <row r="104" spans="2:59">
      <c r="B104" s="1"/>
      <c r="C104" s="34">
        <v>59</v>
      </c>
      <c r="D104" s="148">
        <f t="shared" si="1"/>
        <v>3</v>
      </c>
      <c r="E104" s="2">
        <v>11.8</v>
      </c>
      <c r="F104" s="1">
        <f t="shared" si="2"/>
        <v>24.513999999999999</v>
      </c>
      <c r="G104" s="1">
        <f t="shared" si="2"/>
        <v>23.925999999999998</v>
      </c>
      <c r="H104" s="1">
        <f t="shared" si="3"/>
        <v>22.75</v>
      </c>
      <c r="I104" s="1">
        <f t="shared" si="3"/>
        <v>22.75</v>
      </c>
      <c r="J104" s="149">
        <v>66894.216055024255</v>
      </c>
      <c r="K104" s="149">
        <v>53055.20081547946</v>
      </c>
      <c r="L104" s="149">
        <v>117359.36968447249</v>
      </c>
      <c r="M104" s="138">
        <v>217.19027160427385</v>
      </c>
      <c r="N104" s="138">
        <v>1732.6625403068781</v>
      </c>
      <c r="O104" s="103">
        <v>147.5680011310715</v>
      </c>
      <c r="P104" s="1">
        <f t="shared" si="4"/>
        <v>48.090949999999985</v>
      </c>
      <c r="Q104" s="2">
        <f t="shared" si="5"/>
        <v>12.462150431909752</v>
      </c>
      <c r="R104" s="32">
        <f t="shared" si="6"/>
        <v>3217.0063995913674</v>
      </c>
      <c r="S104" s="147">
        <f t="shared" si="7"/>
        <v>1462.550119602005</v>
      </c>
      <c r="T104" s="1" t="str">
        <f t="shared" si="8"/>
        <v/>
      </c>
      <c r="U104" s="1" t="str">
        <f t="shared" si="9"/>
        <v/>
      </c>
      <c r="V104" s="1" t="str">
        <f t="shared" si="10"/>
        <v/>
      </c>
      <c r="W104" s="1" t="str">
        <f t="shared" si="11"/>
        <v/>
      </c>
      <c r="X104" s="1" t="str">
        <f t="shared" si="12"/>
        <v/>
      </c>
      <c r="Y104" s="1" t="str">
        <f t="shared" si="13"/>
        <v/>
      </c>
      <c r="Z104" s="1" t="str">
        <f t="shared" si="14"/>
        <v/>
      </c>
      <c r="AA104" s="1" t="str">
        <f t="shared" si="15"/>
        <v/>
      </c>
      <c r="AB104" s="1" t="str">
        <f t="shared" si="16"/>
        <v/>
      </c>
      <c r="AC104" s="1" t="str">
        <f t="shared" si="17"/>
        <v/>
      </c>
      <c r="AD104" s="1" t="str">
        <f t="shared" si="18"/>
        <v/>
      </c>
      <c r="AE104" s="2" t="str">
        <f t="shared" si="19"/>
        <v/>
      </c>
      <c r="AF104" s="1">
        <f t="shared" si="20"/>
        <v>49.027999999999999</v>
      </c>
      <c r="AG104" s="1">
        <f t="shared" si="21"/>
        <v>47.851999999999997</v>
      </c>
      <c r="AH104" s="2">
        <f t="shared" si="22"/>
        <v>45.5</v>
      </c>
      <c r="AI104" s="1">
        <f t="shared" si="23"/>
        <v>45.5</v>
      </c>
      <c r="AJ104" s="1">
        <v>0</v>
      </c>
      <c r="AK104" s="1">
        <v>1</v>
      </c>
      <c r="AL104" s="1">
        <v>0.43249999999999988</v>
      </c>
      <c r="AM104" s="2">
        <f t="shared" si="24"/>
        <v>13.132265806052354</v>
      </c>
      <c r="AN104" s="1">
        <f t="shared" si="25"/>
        <v>56.797049611176419</v>
      </c>
      <c r="AO104" s="1">
        <f t="shared" si="26"/>
        <v>7.7690496111764205</v>
      </c>
      <c r="AP104" s="34">
        <f t="shared" si="27"/>
        <v>-1513.25</v>
      </c>
      <c r="AQ104" s="34">
        <v>1614.4364166540481</v>
      </c>
      <c r="AR104" s="34">
        <f t="shared" si="28"/>
        <v>-0.57033871758039589</v>
      </c>
      <c r="AS104" s="34">
        <f t="shared" si="29"/>
        <v>-1.0060774978118179</v>
      </c>
      <c r="AT104" s="1">
        <f t="shared" si="30"/>
        <v>1504.1087821676401</v>
      </c>
      <c r="AU104" s="1" t="str">
        <f t="shared" si="31"/>
        <v/>
      </c>
      <c r="AV104" s="1" t="str">
        <f t="shared" si="32"/>
        <v/>
      </c>
      <c r="AW104" s="1" t="str">
        <f t="shared" si="33"/>
        <v/>
      </c>
      <c r="AX104" s="2">
        <f t="shared" si="34"/>
        <v>216.64254549788953</v>
      </c>
      <c r="AY104" s="1" t="str">
        <f t="shared" si="35"/>
        <v/>
      </c>
      <c r="AZ104" s="1" t="str">
        <f t="shared" si="36"/>
        <v/>
      </c>
      <c r="BA104" s="1" t="str">
        <f t="shared" si="37"/>
        <v/>
      </c>
      <c r="BB104" s="2">
        <f t="shared" si="38"/>
        <v>4.254342509544569E-5</v>
      </c>
      <c r="BC104" s="1" t="str">
        <f t="shared" si="39"/>
        <v/>
      </c>
      <c r="BD104" s="1" t="str">
        <f t="shared" si="40"/>
        <v/>
      </c>
      <c r="BE104" s="1" t="str">
        <f t="shared" si="41"/>
        <v/>
      </c>
      <c r="BF104" s="2">
        <f t="shared" si="42"/>
        <v>6.381513764316854E-2</v>
      </c>
      <c r="BG104" s="2">
        <f t="shared" si="43"/>
        <v>6.381513764316854E-2</v>
      </c>
    </row>
    <row r="105" spans="2:59">
      <c r="B105" s="1"/>
      <c r="C105" s="34">
        <v>60</v>
      </c>
      <c r="D105" s="148">
        <f t="shared" si="1"/>
        <v>3</v>
      </c>
      <c r="E105" s="2">
        <v>12</v>
      </c>
      <c r="F105" s="1">
        <f t="shared" si="2"/>
        <v>23.664000000000005</v>
      </c>
      <c r="G105" s="1">
        <f t="shared" si="2"/>
        <v>23.076000000000004</v>
      </c>
      <c r="H105" s="1">
        <f t="shared" si="3"/>
        <v>21.900000000000006</v>
      </c>
      <c r="I105" s="1">
        <f t="shared" si="3"/>
        <v>21.900000000000006</v>
      </c>
      <c r="J105" s="149">
        <v>59927.431394081439</v>
      </c>
      <c r="K105" s="149">
        <v>47474.223945923681</v>
      </c>
      <c r="L105" s="149">
        <v>105076.11585162103</v>
      </c>
      <c r="M105" s="138">
        <v>209.33912188211937</v>
      </c>
      <c r="N105" s="138">
        <v>1609.5058251008518</v>
      </c>
      <c r="O105" s="103">
        <v>142.22723918513893</v>
      </c>
      <c r="P105" s="1">
        <f t="shared" si="4"/>
        <v>47.274149999999992</v>
      </c>
      <c r="Q105" s="2">
        <f t="shared" si="5"/>
        <v>12.462150431909752</v>
      </c>
      <c r="R105" s="32">
        <f t="shared" si="6"/>
        <v>2833.0183808385145</v>
      </c>
      <c r="S105" s="147">
        <f t="shared" si="7"/>
        <v>1309.4743625436779</v>
      </c>
      <c r="T105" s="1" t="str">
        <f t="shared" si="8"/>
        <v/>
      </c>
      <c r="U105" s="1" t="str">
        <f t="shared" si="9"/>
        <v/>
      </c>
      <c r="V105" s="1" t="str">
        <f t="shared" si="10"/>
        <v/>
      </c>
      <c r="W105" s="1" t="str">
        <f t="shared" si="11"/>
        <v/>
      </c>
      <c r="X105" s="1" t="str">
        <f t="shared" si="12"/>
        <v/>
      </c>
      <c r="Y105" s="1" t="str">
        <f t="shared" si="13"/>
        <v/>
      </c>
      <c r="Z105" s="1" t="str">
        <f t="shared" si="14"/>
        <v/>
      </c>
      <c r="AA105" s="1" t="str">
        <f t="shared" si="15"/>
        <v/>
      </c>
      <c r="AB105" s="1" t="str">
        <f t="shared" si="16"/>
        <v/>
      </c>
      <c r="AC105" s="1" t="str">
        <f t="shared" si="17"/>
        <v/>
      </c>
      <c r="AD105" s="1" t="str">
        <f t="shared" si="18"/>
        <v/>
      </c>
      <c r="AE105" s="2" t="str">
        <f t="shared" si="19"/>
        <v/>
      </c>
      <c r="AF105" s="1">
        <f t="shared" si="20"/>
        <v>47.32800000000001</v>
      </c>
      <c r="AG105" s="1">
        <f t="shared" si="21"/>
        <v>46.152000000000008</v>
      </c>
      <c r="AH105" s="2">
        <f t="shared" si="22"/>
        <v>43.800000000000011</v>
      </c>
      <c r="AI105" s="1">
        <f t="shared" si="23"/>
        <v>43.800000000000011</v>
      </c>
      <c r="AJ105" s="1">
        <v>0</v>
      </c>
      <c r="AK105" s="1">
        <v>1</v>
      </c>
      <c r="AL105" s="1">
        <v>0.41500000000000004</v>
      </c>
      <c r="AM105" s="2">
        <f t="shared" si="24"/>
        <v>13.132265806052354</v>
      </c>
      <c r="AN105" s="1">
        <f t="shared" si="25"/>
        <v>54.498903095117278</v>
      </c>
      <c r="AO105" s="1">
        <f t="shared" si="26"/>
        <v>7.1709030951172679</v>
      </c>
      <c r="AP105" s="34">
        <f t="shared" si="27"/>
        <v>-1513.25</v>
      </c>
      <c r="AQ105" s="34">
        <v>684.1945922769321</v>
      </c>
      <c r="AR105" s="34">
        <f t="shared" si="28"/>
        <v>-0.26010327555591689</v>
      </c>
      <c r="AS105" s="34">
        <f t="shared" si="29"/>
        <v>-0.45882217808063724</v>
      </c>
      <c r="AT105" s="1">
        <f t="shared" si="30"/>
        <v>3298.1186880073806</v>
      </c>
      <c r="AU105" s="1" t="str">
        <f t="shared" si="31"/>
        <v/>
      </c>
      <c r="AV105" s="1" t="str">
        <f t="shared" si="32"/>
        <v/>
      </c>
      <c r="AW105" s="1" t="str">
        <f t="shared" si="33"/>
        <v/>
      </c>
      <c r="AX105" s="2">
        <f t="shared" si="34"/>
        <v>208.79170545656893</v>
      </c>
      <c r="AY105" s="1" t="str">
        <f t="shared" si="35"/>
        <v/>
      </c>
      <c r="AZ105" s="1" t="str">
        <f t="shared" si="36"/>
        <v/>
      </c>
      <c r="BA105" s="1" t="str">
        <f t="shared" si="37"/>
        <v/>
      </c>
      <c r="BB105" s="2">
        <f t="shared" si="38"/>
        <v>4.0973257087181888E-5</v>
      </c>
      <c r="BC105" s="1" t="str">
        <f t="shared" si="39"/>
        <v/>
      </c>
      <c r="BD105" s="1" t="str">
        <f t="shared" si="40"/>
        <v/>
      </c>
      <c r="BE105" s="1" t="str">
        <f t="shared" si="41"/>
        <v/>
      </c>
      <c r="BF105" s="2">
        <f t="shared" si="42"/>
        <v>6.1459885630772829E-2</v>
      </c>
      <c r="BG105" s="2">
        <f t="shared" si="43"/>
        <v>6.1459885630772829E-2</v>
      </c>
    </row>
    <row r="106" spans="2:59">
      <c r="B106" s="1"/>
      <c r="C106" s="34">
        <v>61</v>
      </c>
      <c r="D106" s="148">
        <f t="shared" si="1"/>
        <v>3</v>
      </c>
      <c r="E106" s="2">
        <v>12.200000000000001</v>
      </c>
      <c r="F106" s="1">
        <f t="shared" si="2"/>
        <v>22.814000000000004</v>
      </c>
      <c r="G106" s="1">
        <f t="shared" si="2"/>
        <v>22.226000000000003</v>
      </c>
      <c r="H106" s="1">
        <f t="shared" si="3"/>
        <v>21.050000000000004</v>
      </c>
      <c r="I106" s="1">
        <f t="shared" si="3"/>
        <v>21.050000000000004</v>
      </c>
      <c r="J106" s="149">
        <v>53461.967284188715</v>
      </c>
      <c r="K106" s="149">
        <v>42299.02818280174</v>
      </c>
      <c r="L106" s="149">
        <v>93681.267460690142</v>
      </c>
      <c r="M106" s="138">
        <v>201.48796707299752</v>
      </c>
      <c r="N106" s="138">
        <v>1490.8887112792618</v>
      </c>
      <c r="O106" s="103">
        <v>136.88648571160593</v>
      </c>
      <c r="P106" s="1">
        <f t="shared" si="4"/>
        <v>49.743749999999991</v>
      </c>
      <c r="Q106" s="2">
        <f t="shared" si="5"/>
        <v>12.462150431909752</v>
      </c>
      <c r="R106" s="32">
        <f t="shared" si="6"/>
        <v>2659.3987350928619</v>
      </c>
      <c r="S106" s="147">
        <f t="shared" si="7"/>
        <v>1167.4700477470926</v>
      </c>
      <c r="T106" s="1" t="str">
        <f t="shared" si="8"/>
        <v/>
      </c>
      <c r="U106" s="1" t="str">
        <f t="shared" si="9"/>
        <v/>
      </c>
      <c r="V106" s="1" t="str">
        <f t="shared" si="10"/>
        <v/>
      </c>
      <c r="W106" s="1" t="str">
        <f t="shared" si="11"/>
        <v/>
      </c>
      <c r="X106" s="1" t="str">
        <f t="shared" si="12"/>
        <v/>
      </c>
      <c r="Y106" s="1" t="str">
        <f t="shared" si="13"/>
        <v/>
      </c>
      <c r="Z106" s="1" t="str">
        <f t="shared" si="14"/>
        <v/>
      </c>
      <c r="AA106" s="1" t="str">
        <f t="shared" si="15"/>
        <v/>
      </c>
      <c r="AB106" s="1" t="str">
        <f t="shared" si="16"/>
        <v/>
      </c>
      <c r="AC106" s="1" t="str">
        <f t="shared" si="17"/>
        <v/>
      </c>
      <c r="AD106" s="1" t="str">
        <f t="shared" si="18"/>
        <v/>
      </c>
      <c r="AE106" s="2" t="str">
        <f t="shared" si="19"/>
        <v/>
      </c>
      <c r="AF106" s="1">
        <f t="shared" si="20"/>
        <v>45.628000000000007</v>
      </c>
      <c r="AG106" s="1">
        <f t="shared" si="21"/>
        <v>44.452000000000005</v>
      </c>
      <c r="AH106" s="2">
        <f t="shared" si="22"/>
        <v>42.100000000000009</v>
      </c>
      <c r="AI106" s="1">
        <f t="shared" si="23"/>
        <v>42.100000000000009</v>
      </c>
      <c r="AJ106" s="1">
        <v>0</v>
      </c>
      <c r="AK106" s="1">
        <v>1</v>
      </c>
      <c r="AL106" s="1">
        <v>0.39749999999999996</v>
      </c>
      <c r="AM106" s="2">
        <f t="shared" si="24"/>
        <v>13.132265806052354</v>
      </c>
      <c r="AN106" s="1">
        <f t="shared" si="25"/>
        <v>52.200756579058101</v>
      </c>
      <c r="AO106" s="1">
        <f t="shared" si="26"/>
        <v>6.572756579058094</v>
      </c>
      <c r="AP106" s="34">
        <f t="shared" si="27"/>
        <v>-1513.25</v>
      </c>
      <c r="AQ106" s="34">
        <v>165.87234684488141</v>
      </c>
      <c r="AR106" s="34">
        <f t="shared" si="28"/>
        <v>-6.8046734824848951E-2</v>
      </c>
      <c r="AS106" s="34">
        <f t="shared" si="29"/>
        <v>-0.1200344402310335</v>
      </c>
      <c r="AT106" s="1">
        <f t="shared" si="30"/>
        <v>12606.798491228077</v>
      </c>
      <c r="AU106" s="1" t="str">
        <f t="shared" si="31"/>
        <v/>
      </c>
      <c r="AV106" s="1" t="str">
        <f t="shared" si="32"/>
        <v/>
      </c>
      <c r="AW106" s="1" t="str">
        <f t="shared" si="33"/>
        <v/>
      </c>
      <c r="AX106" s="2">
        <f t="shared" si="34"/>
        <v>200.94086541524777</v>
      </c>
      <c r="AY106" s="1" t="str">
        <f t="shared" si="35"/>
        <v/>
      </c>
      <c r="AZ106" s="1" t="str">
        <f t="shared" si="36"/>
        <v/>
      </c>
      <c r="BA106" s="1" t="str">
        <f t="shared" si="37"/>
        <v/>
      </c>
      <c r="BB106" s="2">
        <f t="shared" si="38"/>
        <v>3.9403089078917333E-5</v>
      </c>
      <c r="BC106" s="1" t="str">
        <f t="shared" si="39"/>
        <v/>
      </c>
      <c r="BD106" s="1" t="str">
        <f t="shared" si="40"/>
        <v/>
      </c>
      <c r="BE106" s="1" t="str">
        <f t="shared" si="41"/>
        <v/>
      </c>
      <c r="BF106" s="2">
        <f t="shared" si="42"/>
        <v>5.9104633618376E-2</v>
      </c>
      <c r="BG106" s="2">
        <f t="shared" si="43"/>
        <v>5.9104633618376E-2</v>
      </c>
    </row>
    <row r="107" spans="2:59">
      <c r="B107" s="1"/>
      <c r="C107" s="34">
        <v>62</v>
      </c>
      <c r="D107" s="148">
        <f t="shared" si="1"/>
        <v>3</v>
      </c>
      <c r="E107" s="2">
        <v>12.4</v>
      </c>
      <c r="F107" s="1">
        <f t="shared" si="2"/>
        <v>21.964000000000002</v>
      </c>
      <c r="G107" s="1">
        <f t="shared" si="2"/>
        <v>21.376000000000001</v>
      </c>
      <c r="H107" s="1">
        <f t="shared" si="3"/>
        <v>20.200000000000003</v>
      </c>
      <c r="I107" s="1">
        <f t="shared" si="3"/>
        <v>20.200000000000003</v>
      </c>
      <c r="J107" s="149">
        <v>47479.10473647638</v>
      </c>
      <c r="K107" s="149">
        <v>37514.298084023023</v>
      </c>
      <c r="L107" s="149">
        <v>83141.477279603263</v>
      </c>
      <c r="M107" s="138">
        <v>193.63680660400416</v>
      </c>
      <c r="N107" s="138">
        <v>1376.811198842109</v>
      </c>
      <c r="O107" s="103">
        <v>131.54574174259807</v>
      </c>
      <c r="P107" s="1">
        <f t="shared" si="4"/>
        <v>48.931749999999994</v>
      </c>
      <c r="Q107" s="2">
        <f t="shared" si="5"/>
        <v>12.462150431909752</v>
      </c>
      <c r="R107" s="32">
        <f t="shared" si="6"/>
        <v>2323.2356831890775</v>
      </c>
      <c r="S107" s="147">
        <f t="shared" si="7"/>
        <v>1036.1215969896225</v>
      </c>
      <c r="T107" s="1" t="str">
        <f t="shared" si="8"/>
        <v/>
      </c>
      <c r="U107" s="1" t="str">
        <f t="shared" si="9"/>
        <v/>
      </c>
      <c r="V107" s="1" t="str">
        <f t="shared" si="10"/>
        <v/>
      </c>
      <c r="W107" s="1" t="str">
        <f t="shared" si="11"/>
        <v/>
      </c>
      <c r="X107" s="1" t="str">
        <f t="shared" si="12"/>
        <v/>
      </c>
      <c r="Y107" s="1" t="str">
        <f t="shared" si="13"/>
        <v/>
      </c>
      <c r="Z107" s="1" t="str">
        <f t="shared" si="14"/>
        <v/>
      </c>
      <c r="AA107" s="1" t="str">
        <f t="shared" si="15"/>
        <v/>
      </c>
      <c r="AB107" s="1" t="str">
        <f t="shared" si="16"/>
        <v/>
      </c>
      <c r="AC107" s="1" t="str">
        <f t="shared" si="17"/>
        <v/>
      </c>
      <c r="AD107" s="1" t="str">
        <f t="shared" si="18"/>
        <v/>
      </c>
      <c r="AE107" s="2" t="str">
        <f t="shared" si="19"/>
        <v/>
      </c>
      <c r="AF107" s="1">
        <f t="shared" si="20"/>
        <v>43.928000000000004</v>
      </c>
      <c r="AG107" s="1">
        <f t="shared" si="21"/>
        <v>42.752000000000002</v>
      </c>
      <c r="AH107" s="2">
        <f t="shared" si="22"/>
        <v>40.400000000000006</v>
      </c>
      <c r="AI107" s="1">
        <f t="shared" si="23"/>
        <v>40.400000000000006</v>
      </c>
      <c r="AJ107" s="1">
        <v>0</v>
      </c>
      <c r="AK107" s="1">
        <v>1</v>
      </c>
      <c r="AL107" s="1">
        <v>0.37999999999999989</v>
      </c>
      <c r="AM107" s="2">
        <f t="shared" si="24"/>
        <v>13.132265806052354</v>
      </c>
      <c r="AN107" s="1">
        <f t="shared" si="25"/>
        <v>49.902610062998932</v>
      </c>
      <c r="AO107" s="1">
        <f t="shared" si="26"/>
        <v>5.9746100629989272</v>
      </c>
      <c r="AP107" s="34">
        <f t="shared" si="27"/>
        <v>-1513.25</v>
      </c>
      <c r="AQ107" s="34">
        <v>0</v>
      </c>
      <c r="AR107" s="34">
        <f t="shared" si="28"/>
        <v>0</v>
      </c>
      <c r="AS107" s="34">
        <f t="shared" si="29"/>
        <v>0</v>
      </c>
      <c r="AT107" s="1">
        <v>0</v>
      </c>
      <c r="AU107" s="1" t="str">
        <f t="shared" si="31"/>
        <v/>
      </c>
      <c r="AV107" s="1" t="str">
        <f t="shared" si="32"/>
        <v/>
      </c>
      <c r="AW107" s="1" t="str">
        <f t="shared" si="33"/>
        <v/>
      </c>
      <c r="AX107" s="2">
        <f t="shared" si="34"/>
        <v>193.09002537392698</v>
      </c>
      <c r="AY107" s="1" t="str">
        <f t="shared" si="35"/>
        <v/>
      </c>
      <c r="AZ107" s="1" t="str">
        <f t="shared" si="36"/>
        <v/>
      </c>
      <c r="BA107" s="1" t="str">
        <f t="shared" si="37"/>
        <v/>
      </c>
      <c r="BB107" s="2">
        <v>0</v>
      </c>
      <c r="BC107" s="1" t="str">
        <f t="shared" si="39"/>
        <v/>
      </c>
      <c r="BD107" s="1" t="str">
        <f t="shared" si="40"/>
        <v/>
      </c>
      <c r="BE107" s="1" t="str">
        <f t="shared" si="41"/>
        <v/>
      </c>
      <c r="BF107" s="2">
        <f t="shared" si="42"/>
        <v>0</v>
      </c>
      <c r="BG107" s="2">
        <f t="shared" si="43"/>
        <v>0</v>
      </c>
    </row>
    <row r="108" spans="2:59">
      <c r="AY108" s="76"/>
    </row>
    <row r="109" spans="2:59">
      <c r="AY109" s="76"/>
    </row>
    <row r="110" spans="2:59">
      <c r="AY110" s="76"/>
    </row>
    <row r="111" spans="2:59">
      <c r="AY111" s="76"/>
    </row>
    <row r="112" spans="2:59">
      <c r="AY112" s="76"/>
    </row>
    <row r="113" spans="51:51">
      <c r="AY113" s="76"/>
    </row>
    <row r="114" spans="51:51">
      <c r="AY114" s="76"/>
    </row>
    <row r="115" spans="51:51">
      <c r="AY115" s="76"/>
    </row>
    <row r="116" spans="51:51">
      <c r="AY116" s="76"/>
    </row>
    <row r="117" spans="51:51">
      <c r="AY117" s="76"/>
    </row>
    <row r="118" spans="51:51">
      <c r="AY118" s="76"/>
    </row>
    <row r="119" spans="51:51">
      <c r="AY119" s="76"/>
    </row>
    <row r="120" spans="51:51">
      <c r="AY120" s="76"/>
    </row>
    <row r="121" spans="51:51">
      <c r="AY121" s="76"/>
    </row>
    <row r="122" spans="51:51">
      <c r="AY122" s="76"/>
    </row>
    <row r="123" spans="51:51">
      <c r="AY123" s="76"/>
    </row>
    <row r="124" spans="51:51">
      <c r="AY124" s="76"/>
    </row>
    <row r="125" spans="51:51">
      <c r="AY125" s="76"/>
    </row>
    <row r="126" spans="51:51">
      <c r="AY126" s="76"/>
    </row>
    <row r="127" spans="51:51">
      <c r="AY127" s="76"/>
    </row>
    <row r="128" spans="51:51">
      <c r="AY128" s="76"/>
    </row>
    <row r="129" spans="51:51">
      <c r="AY129" s="76"/>
    </row>
    <row r="130" spans="51:51">
      <c r="AY130" s="76"/>
    </row>
    <row r="131" spans="51:51">
      <c r="AY131" s="76"/>
    </row>
    <row r="132" spans="51:51">
      <c r="AY132" s="76"/>
    </row>
    <row r="133" spans="51:51">
      <c r="AY133" s="76"/>
    </row>
    <row r="134" spans="51:51">
      <c r="AY134" s="76"/>
    </row>
    <row r="135" spans="51:51">
      <c r="AY135" s="76"/>
    </row>
    <row r="136" spans="51:51">
      <c r="AY136" s="76"/>
    </row>
    <row r="137" spans="51:51">
      <c r="AY137" s="76"/>
    </row>
    <row r="138" spans="51:51">
      <c r="AY138" s="76"/>
    </row>
    <row r="139" spans="51:51">
      <c r="AY139" s="76"/>
    </row>
    <row r="140" spans="51:51">
      <c r="AY140" s="76"/>
    </row>
    <row r="141" spans="51:51">
      <c r="AY141" s="76"/>
    </row>
    <row r="142" spans="51:51">
      <c r="AY142" s="76"/>
    </row>
    <row r="143" spans="51:51">
      <c r="AY143" s="76"/>
    </row>
    <row r="144" spans="51:51">
      <c r="AY144" s="76"/>
    </row>
    <row r="145" spans="51:51">
      <c r="AY145" s="76"/>
    </row>
    <row r="146" spans="51:51">
      <c r="AY146" s="76"/>
    </row>
    <row r="147" spans="51:51">
      <c r="AY147" s="76"/>
    </row>
    <row r="148" spans="51:51">
      <c r="AY148" s="76"/>
    </row>
    <row r="149" spans="51:51">
      <c r="AY149" s="76"/>
    </row>
    <row r="150" spans="51:51">
      <c r="AY150" s="76"/>
    </row>
    <row r="151" spans="51:51">
      <c r="AY151" s="76"/>
    </row>
    <row r="152" spans="51:51">
      <c r="AY152" s="76"/>
    </row>
    <row r="153" spans="51:51">
      <c r="AY153" s="76"/>
    </row>
    <row r="154" spans="51:51">
      <c r="AY154" s="76"/>
    </row>
    <row r="155" spans="51:51">
      <c r="AY155" s="76"/>
    </row>
    <row r="156" spans="51:51">
      <c r="AY156" s="76"/>
    </row>
    <row r="157" spans="51:51">
      <c r="AY157" s="76"/>
    </row>
    <row r="158" spans="51:51">
      <c r="AY158" s="76"/>
    </row>
    <row r="159" spans="51:51">
      <c r="AY159" s="76"/>
    </row>
    <row r="160" spans="51:51">
      <c r="AY160" s="76"/>
    </row>
    <row r="161" spans="51:51">
      <c r="AY161" s="76"/>
    </row>
    <row r="162" spans="51:51">
      <c r="AY162" s="76"/>
    </row>
    <row r="163" spans="51:51">
      <c r="AY163" s="76"/>
    </row>
    <row r="164" spans="51:51">
      <c r="AY164" s="76"/>
    </row>
    <row r="165" spans="51:51">
      <c r="AY165" s="76"/>
    </row>
    <row r="166" spans="51:51">
      <c r="AY166" s="76"/>
    </row>
    <row r="167" spans="51:51">
      <c r="AY167" s="76"/>
    </row>
    <row r="168" spans="51:51">
      <c r="AY168" s="76"/>
    </row>
    <row r="169" spans="51:51">
      <c r="AY169" s="76"/>
    </row>
    <row r="170" spans="51:51">
      <c r="AY170" s="76"/>
    </row>
    <row r="171" spans="51:51">
      <c r="AY171" s="76"/>
    </row>
    <row r="172" spans="51:51">
      <c r="AY172" s="76"/>
    </row>
    <row r="173" spans="51:51">
      <c r="AY173" s="76"/>
    </row>
    <row r="174" spans="51:51">
      <c r="AY174" s="76"/>
    </row>
    <row r="175" spans="51:51">
      <c r="AY175" s="76"/>
    </row>
    <row r="176" spans="51:51">
      <c r="AY176" s="76"/>
    </row>
    <row r="177" spans="51:51">
      <c r="AY177" s="76"/>
    </row>
    <row r="178" spans="51:51">
      <c r="AY178" s="76"/>
    </row>
    <row r="179" spans="51:51">
      <c r="AY179" s="76"/>
    </row>
    <row r="180" spans="51:51">
      <c r="AY180" s="76"/>
    </row>
    <row r="181" spans="51:51">
      <c r="AY181" s="76"/>
    </row>
    <row r="182" spans="51:51">
      <c r="AY182" s="76"/>
    </row>
    <row r="183" spans="51:51">
      <c r="AY183" s="76"/>
    </row>
    <row r="184" spans="51:51">
      <c r="AY184" s="76"/>
    </row>
    <row r="185" spans="51:51">
      <c r="AY185" s="76"/>
    </row>
    <row r="186" spans="51:51">
      <c r="AY186" s="76"/>
    </row>
    <row r="187" spans="51:51">
      <c r="AY187" s="76"/>
    </row>
    <row r="188" spans="51:51">
      <c r="AY188" s="76"/>
    </row>
    <row r="189" spans="51:51">
      <c r="AY189" s="76"/>
    </row>
    <row r="190" spans="51:51">
      <c r="AY190" s="76"/>
    </row>
    <row r="191" spans="51:51">
      <c r="AY191" s="76"/>
    </row>
    <row r="192" spans="51:51">
      <c r="AY192" s="76"/>
    </row>
    <row r="193" spans="51:51">
      <c r="AY193" s="76"/>
    </row>
    <row r="194" spans="51:51">
      <c r="AY194" s="76"/>
    </row>
    <row r="195" spans="51:51">
      <c r="AY195" s="76"/>
    </row>
    <row r="196" spans="51:51">
      <c r="AY196" s="76"/>
    </row>
    <row r="197" spans="51:51">
      <c r="AY197" s="76"/>
    </row>
    <row r="198" spans="51:51">
      <c r="AY198" s="76"/>
    </row>
    <row r="199" spans="51:51">
      <c r="AY199" s="76"/>
    </row>
    <row r="200" spans="51:51">
      <c r="AY200" s="76"/>
    </row>
    <row r="201" spans="51:51">
      <c r="AY201" s="76"/>
    </row>
    <row r="202" spans="51:51">
      <c r="AY202" s="76"/>
    </row>
    <row r="203" spans="51:51">
      <c r="AY203" s="76"/>
    </row>
    <row r="204" spans="51:51">
      <c r="AY204" s="76"/>
    </row>
    <row r="205" spans="51:51">
      <c r="AY205" s="76"/>
    </row>
    <row r="206" spans="51:51">
      <c r="AY206" s="76"/>
    </row>
    <row r="207" spans="51:51">
      <c r="AY207" s="76"/>
    </row>
    <row r="208" spans="51:51">
      <c r="AY208" s="76"/>
    </row>
    <row r="209" spans="51:51">
      <c r="AY209" s="76"/>
    </row>
    <row r="210" spans="51:51">
      <c r="AY210" s="76"/>
    </row>
    <row r="211" spans="51:51">
      <c r="AY211" s="76"/>
    </row>
    <row r="212" spans="51:51">
      <c r="AY212" s="76"/>
    </row>
    <row r="213" spans="51:51">
      <c r="AY213" s="76"/>
    </row>
    <row r="214" spans="51:51">
      <c r="AY214" s="76"/>
    </row>
    <row r="215" spans="51:51">
      <c r="AY215" s="76"/>
    </row>
    <row r="216" spans="51:51">
      <c r="AY216" s="76"/>
    </row>
    <row r="217" spans="51:51">
      <c r="AY217" s="76"/>
    </row>
    <row r="218" spans="51:51">
      <c r="AY218" s="76"/>
    </row>
    <row r="219" spans="51:51">
      <c r="AY219" s="76"/>
    </row>
    <row r="220" spans="51:51">
      <c r="AY220" s="76"/>
    </row>
    <row r="221" spans="51:51">
      <c r="AY221" s="76"/>
    </row>
    <row r="222" spans="51:51">
      <c r="AY222" s="76"/>
    </row>
    <row r="223" spans="51:51">
      <c r="AY223" s="76"/>
    </row>
  </sheetData>
  <phoneticPr fontId="2"/>
  <conditionalFormatting sqref="AO45:AO107">
    <cfRule type="cellIs" dxfId="0" priority="1" operator="lessThan">
      <formula>10</formula>
    </cfRule>
  </conditionalFormatting>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DEFF-48A5-4CBC-A158-532DA3909C5D}">
  <sheetPr codeName="Sheet9">
    <tabColor theme="7" tint="0.59999389629810485"/>
  </sheetPr>
  <dimension ref="A1:CV127"/>
  <sheetViews>
    <sheetView zoomScale="60" zoomScaleNormal="60" workbookViewId="0">
      <selection activeCell="N37" sqref="N37"/>
    </sheetView>
  </sheetViews>
  <sheetFormatPr defaultColWidth="7.6640625" defaultRowHeight="19.5"/>
  <cols>
    <col min="1" max="16384" width="7.6640625" style="3"/>
  </cols>
  <sheetData>
    <row r="1" spans="1:100" s="74" customFormat="1">
      <c r="A1" s="133"/>
      <c r="J1" s="134"/>
      <c r="K1" s="133"/>
      <c r="AN1" s="134"/>
      <c r="AO1" s="133"/>
      <c r="AX1" s="134"/>
      <c r="CV1" s="134"/>
    </row>
    <row r="2" spans="1:100">
      <c r="A2" s="75"/>
      <c r="B2" s="3" t="s">
        <v>735</v>
      </c>
      <c r="J2" s="76"/>
      <c r="K2" s="75"/>
      <c r="L2" s="3" t="s">
        <v>736</v>
      </c>
      <c r="P2" s="3" t="s">
        <v>835</v>
      </c>
      <c r="T2" s="3" t="s">
        <v>836</v>
      </c>
      <c r="X2" s="3" t="s">
        <v>837</v>
      </c>
      <c r="AB2" s="3" t="s">
        <v>63</v>
      </c>
      <c r="AF2" s="3" t="s">
        <v>838</v>
      </c>
      <c r="AH2" s="3" t="s">
        <v>839</v>
      </c>
      <c r="AJ2" s="3" t="s">
        <v>840</v>
      </c>
      <c r="AL2" s="3" t="s">
        <v>841</v>
      </c>
      <c r="AN2" s="76"/>
      <c r="AO2" s="75"/>
      <c r="AP2" s="3" t="s">
        <v>741</v>
      </c>
      <c r="AX2" s="76"/>
      <c r="CV2" s="76"/>
    </row>
    <row r="3" spans="1:100">
      <c r="A3" s="75"/>
      <c r="B3" s="135" t="s">
        <v>742</v>
      </c>
      <c r="C3" s="135" t="s">
        <v>743</v>
      </c>
      <c r="D3" s="135" t="s">
        <v>434</v>
      </c>
      <c r="E3" s="135" t="s">
        <v>842</v>
      </c>
      <c r="F3" s="135" t="s">
        <v>698</v>
      </c>
      <c r="G3" s="135" t="s">
        <v>126</v>
      </c>
      <c r="H3" s="135" t="s">
        <v>745</v>
      </c>
      <c r="I3" s="135" t="s">
        <v>746</v>
      </c>
      <c r="J3" s="76"/>
      <c r="K3" s="75"/>
      <c r="L3" s="135"/>
      <c r="M3" s="135" t="s">
        <v>184</v>
      </c>
      <c r="N3" s="135" t="s">
        <v>184</v>
      </c>
      <c r="O3" s="135" t="s">
        <v>184</v>
      </c>
      <c r="P3" s="135" t="s">
        <v>748</v>
      </c>
      <c r="Q3" s="135" t="s">
        <v>749</v>
      </c>
      <c r="R3" s="135" t="s">
        <v>750</v>
      </c>
      <c r="S3" s="135" t="s">
        <v>751</v>
      </c>
      <c r="T3" s="135" t="s">
        <v>748</v>
      </c>
      <c r="U3" s="135" t="s">
        <v>749</v>
      </c>
      <c r="V3" s="135" t="s">
        <v>750</v>
      </c>
      <c r="W3" s="135" t="s">
        <v>751</v>
      </c>
      <c r="X3" s="135" t="s">
        <v>748</v>
      </c>
      <c r="Y3" s="135" t="s">
        <v>749</v>
      </c>
      <c r="Z3" s="135" t="s">
        <v>750</v>
      </c>
      <c r="AA3" s="135" t="s">
        <v>751</v>
      </c>
      <c r="AB3" s="135" t="s">
        <v>748</v>
      </c>
      <c r="AC3" s="135" t="s">
        <v>749</v>
      </c>
      <c r="AD3" s="135" t="s">
        <v>750</v>
      </c>
      <c r="AE3" s="135" t="s">
        <v>751</v>
      </c>
      <c r="AF3" s="135" t="s">
        <v>752</v>
      </c>
      <c r="AG3" s="135" t="s">
        <v>753</v>
      </c>
      <c r="AH3" s="135" t="s">
        <v>752</v>
      </c>
      <c r="AI3" s="135" t="s">
        <v>753</v>
      </c>
      <c r="AJ3" s="135" t="s">
        <v>752</v>
      </c>
      <c r="AK3" s="135" t="s">
        <v>753</v>
      </c>
      <c r="AL3" s="135" t="s">
        <v>752</v>
      </c>
      <c r="AM3" s="135" t="s">
        <v>753</v>
      </c>
      <c r="AN3" s="76"/>
      <c r="AO3" s="75"/>
      <c r="AP3" s="135" t="s">
        <v>508</v>
      </c>
      <c r="AQ3" s="135" t="s">
        <v>171</v>
      </c>
      <c r="AR3" s="135" t="s">
        <v>172</v>
      </c>
      <c r="AS3" s="135" t="s">
        <v>173</v>
      </c>
      <c r="AX3" s="76"/>
      <c r="CV3" s="76"/>
    </row>
    <row r="4" spans="1:100">
      <c r="A4" s="75"/>
      <c r="B4" s="1" t="s">
        <v>51</v>
      </c>
      <c r="C4" s="1" t="s">
        <v>843</v>
      </c>
      <c r="D4" s="1" t="s">
        <v>51</v>
      </c>
      <c r="E4" s="1" t="s">
        <v>51</v>
      </c>
      <c r="F4" s="1" t="s">
        <v>844</v>
      </c>
      <c r="G4" s="1" t="s">
        <v>845</v>
      </c>
      <c r="H4" s="1" t="s">
        <v>648</v>
      </c>
      <c r="I4" s="1" t="s">
        <v>399</v>
      </c>
      <c r="J4" s="76"/>
      <c r="K4" s="75"/>
      <c r="L4" s="135"/>
      <c r="M4" s="1" t="s">
        <v>26</v>
      </c>
      <c r="N4" s="1" t="s">
        <v>28</v>
      </c>
      <c r="O4" s="1" t="s">
        <v>29</v>
      </c>
      <c r="P4" s="1" t="s">
        <v>846</v>
      </c>
      <c r="Q4" s="1" t="s">
        <v>847</v>
      </c>
      <c r="R4" s="1" t="s">
        <v>848</v>
      </c>
      <c r="S4" s="1" t="s">
        <v>846</v>
      </c>
      <c r="T4" s="1" t="s">
        <v>847</v>
      </c>
      <c r="U4" s="1" t="s">
        <v>848</v>
      </c>
      <c r="V4" s="1" t="s">
        <v>849</v>
      </c>
      <c r="W4" s="1" t="s">
        <v>850</v>
      </c>
      <c r="X4" s="1" t="s">
        <v>851</v>
      </c>
      <c r="Y4" s="1" t="s">
        <v>852</v>
      </c>
      <c r="Z4" s="1" t="s">
        <v>853</v>
      </c>
      <c r="AA4" s="1" t="s">
        <v>850</v>
      </c>
      <c r="AB4" s="1" t="s">
        <v>851</v>
      </c>
      <c r="AC4" s="1" t="s">
        <v>852</v>
      </c>
      <c r="AD4" s="1" t="s">
        <v>853</v>
      </c>
      <c r="AE4" s="1" t="s">
        <v>850</v>
      </c>
      <c r="AF4" s="1" t="s">
        <v>51</v>
      </c>
      <c r="AG4" s="1" t="s">
        <v>51</v>
      </c>
      <c r="AH4" s="1" t="s">
        <v>51</v>
      </c>
      <c r="AI4" s="1" t="s">
        <v>51</v>
      </c>
      <c r="AJ4" s="1" t="s">
        <v>51</v>
      </c>
      <c r="AK4" s="1" t="s">
        <v>51</v>
      </c>
      <c r="AL4" s="1" t="s">
        <v>51</v>
      </c>
      <c r="AM4" s="1" t="s">
        <v>51</v>
      </c>
      <c r="AN4" s="76"/>
      <c r="AO4" s="75"/>
      <c r="AP4" s="1" t="s">
        <v>148</v>
      </c>
      <c r="AQ4" s="1" t="s">
        <v>51</v>
      </c>
      <c r="AR4" s="34">
        <v>1500</v>
      </c>
      <c r="AS4" s="1" t="s">
        <v>159</v>
      </c>
      <c r="AX4" s="76"/>
      <c r="CV4" s="76"/>
    </row>
    <row r="5" spans="1:100">
      <c r="A5" s="75"/>
      <c r="B5" s="1" t="s">
        <v>51</v>
      </c>
      <c r="C5" s="1" t="s">
        <v>854</v>
      </c>
      <c r="D5" s="1" t="s">
        <v>854</v>
      </c>
      <c r="E5" s="1" t="s">
        <v>854</v>
      </c>
      <c r="F5" s="1" t="s">
        <v>764</v>
      </c>
      <c r="G5" s="1" t="s">
        <v>162</v>
      </c>
      <c r="H5" s="1" t="s">
        <v>162</v>
      </c>
      <c r="I5" s="1" t="s">
        <v>43</v>
      </c>
      <c r="J5" s="76"/>
      <c r="K5" s="75"/>
      <c r="L5" s="135"/>
      <c r="M5" s="1" t="s">
        <v>43</v>
      </c>
      <c r="N5" s="1" t="s">
        <v>43</v>
      </c>
      <c r="O5" s="1" t="s">
        <v>43</v>
      </c>
      <c r="P5" s="1" t="s">
        <v>855</v>
      </c>
      <c r="Q5" s="1" t="s">
        <v>855</v>
      </c>
      <c r="R5" s="1" t="s">
        <v>855</v>
      </c>
      <c r="S5" s="1" t="s">
        <v>855</v>
      </c>
      <c r="T5" s="1" t="s">
        <v>855</v>
      </c>
      <c r="U5" s="1" t="s">
        <v>855</v>
      </c>
      <c r="V5" s="1" t="s">
        <v>855</v>
      </c>
      <c r="W5" s="1" t="s">
        <v>855</v>
      </c>
      <c r="X5" s="1" t="s">
        <v>855</v>
      </c>
      <c r="Y5" s="1" t="s">
        <v>855</v>
      </c>
      <c r="Z5" s="1" t="s">
        <v>855</v>
      </c>
      <c r="AA5" s="1" t="s">
        <v>855</v>
      </c>
      <c r="AB5" s="1" t="s">
        <v>855</v>
      </c>
      <c r="AC5" s="1" t="s">
        <v>855</v>
      </c>
      <c r="AD5" s="1" t="s">
        <v>855</v>
      </c>
      <c r="AE5" s="1" t="s">
        <v>855</v>
      </c>
      <c r="AF5" s="1" t="s">
        <v>51</v>
      </c>
      <c r="AG5" s="1" t="s">
        <v>855</v>
      </c>
      <c r="AH5" s="1" t="s">
        <v>51</v>
      </c>
      <c r="AI5" s="1" t="s">
        <v>855</v>
      </c>
      <c r="AJ5" s="1" t="s">
        <v>51</v>
      </c>
      <c r="AK5" s="1" t="s">
        <v>855</v>
      </c>
      <c r="AL5" s="1" t="s">
        <v>51</v>
      </c>
      <c r="AM5" s="1" t="s">
        <v>855</v>
      </c>
      <c r="AN5" s="76"/>
      <c r="AO5" s="75"/>
      <c r="AX5" s="76"/>
      <c r="CV5" s="76"/>
    </row>
    <row r="6" spans="1:100">
      <c r="A6" s="75"/>
      <c r="B6" s="1" t="s">
        <v>856</v>
      </c>
      <c r="C6" s="34">
        <v>7</v>
      </c>
      <c r="D6" s="34">
        <v>7</v>
      </c>
      <c r="E6" s="34">
        <v>0</v>
      </c>
      <c r="F6" s="23">
        <v>0</v>
      </c>
      <c r="G6" s="1">
        <v>76.180994952308694</v>
      </c>
      <c r="H6" s="1">
        <v>13.671029065039718</v>
      </c>
      <c r="I6" s="1">
        <f>SQRT((M7-M6)*(M7-M6)+(N7-N6)*(N7-N6)+(O7-O6)*(O7-O6))</f>
        <v>0.41250000000000003</v>
      </c>
      <c r="J6" s="76"/>
      <c r="K6" s="75"/>
      <c r="L6" s="135" t="s">
        <v>767</v>
      </c>
      <c r="M6" s="23">
        <v>0</v>
      </c>
      <c r="N6" s="23">
        <v>0.23499999999999999</v>
      </c>
      <c r="O6" s="23">
        <v>0</v>
      </c>
      <c r="P6" s="1">
        <f>R6+2*$D$27*$C$6</f>
        <v>100</v>
      </c>
      <c r="Q6" s="1">
        <f>S6+2*$D$27*$D$6</f>
        <v>60.8232</v>
      </c>
      <c r="R6" s="23">
        <f>100-2.058</f>
        <v>97.942000000000007</v>
      </c>
      <c r="S6" s="1">
        <f>R6*$D$20</f>
        <v>58.7652</v>
      </c>
      <c r="T6" s="1"/>
      <c r="U6" s="1"/>
      <c r="V6" s="1"/>
      <c r="W6" s="1"/>
      <c r="X6" s="1"/>
      <c r="Y6" s="1"/>
      <c r="Z6" s="1"/>
      <c r="AA6" s="1"/>
      <c r="AB6" s="1"/>
      <c r="AC6" s="1"/>
      <c r="AD6" s="1"/>
      <c r="AE6" s="1"/>
      <c r="AF6" s="1">
        <f t="array" ref="AF6:AG6">LINEST(R6:R7,M6:M7,TRUE,FALSE)</f>
        <v>0</v>
      </c>
      <c r="AG6" s="1">
        <v>97.942000000000007</v>
      </c>
      <c r="AH6" s="1"/>
      <c r="AI6" s="1"/>
      <c r="AJ6" s="1"/>
      <c r="AK6" s="1"/>
      <c r="AL6" s="1"/>
      <c r="AM6" s="1"/>
      <c r="AN6" s="76"/>
      <c r="AO6" s="75"/>
      <c r="AX6" s="76"/>
      <c r="CV6" s="76"/>
    </row>
    <row r="7" spans="1:100">
      <c r="A7" s="75"/>
      <c r="B7" s="1" t="s">
        <v>857</v>
      </c>
      <c r="C7" s="34">
        <f t="shared" ref="C7:E8" si="0">C6</f>
        <v>7</v>
      </c>
      <c r="D7" s="34">
        <f t="shared" si="0"/>
        <v>7</v>
      </c>
      <c r="E7" s="34">
        <f t="shared" si="0"/>
        <v>0</v>
      </c>
      <c r="F7" s="23">
        <v>0</v>
      </c>
      <c r="G7" s="1">
        <f>G6</f>
        <v>76.180994952308694</v>
      </c>
      <c r="H7" s="1">
        <f>H6</f>
        <v>13.671029065039718</v>
      </c>
      <c r="I7" s="1">
        <f>N7*2</f>
        <v>0.32500000000000001</v>
      </c>
      <c r="J7" s="76"/>
      <c r="K7" s="75"/>
      <c r="L7" s="135" t="s">
        <v>856</v>
      </c>
      <c r="M7" s="23">
        <v>0.25</v>
      </c>
      <c r="N7" s="23">
        <v>0.16250000000000001</v>
      </c>
      <c r="O7" s="23">
        <v>0.32</v>
      </c>
      <c r="P7" s="1">
        <f>R7+2*$D$27*$C$6</f>
        <v>100</v>
      </c>
      <c r="Q7" s="1">
        <f>S7+2*$D$27*$D$6</f>
        <v>60.8232</v>
      </c>
      <c r="R7" s="1">
        <f>R6-$F$6*(M7-M6)</f>
        <v>97.942000000000007</v>
      </c>
      <c r="S7" s="1">
        <f>R7*$D$20</f>
        <v>58.7652</v>
      </c>
      <c r="T7" s="1">
        <f>V7+2*$D$27*$C$7</f>
        <v>100</v>
      </c>
      <c r="U7" s="1">
        <f>W7+2*$D$27*$D$7</f>
        <v>90.205800000000011</v>
      </c>
      <c r="V7" s="23">
        <f>100-2.058</f>
        <v>97.942000000000007</v>
      </c>
      <c r="W7" s="1">
        <f>V7*$D$19</f>
        <v>88.147800000000004</v>
      </c>
      <c r="X7" s="1">
        <f>Z7+2*$D$27*$C$8</f>
        <v>100</v>
      </c>
      <c r="Y7" s="1">
        <f>AA7+2*$D$27*$D$8</f>
        <v>90.205800000000011</v>
      </c>
      <c r="Z7" s="23">
        <f>100-2.058</f>
        <v>97.942000000000007</v>
      </c>
      <c r="AA7" s="1">
        <f>Z7*$D$19</f>
        <v>88.147800000000004</v>
      </c>
      <c r="AB7" s="1"/>
      <c r="AC7" s="1"/>
      <c r="AD7" s="1"/>
      <c r="AE7" s="1"/>
      <c r="AF7" s="1"/>
      <c r="AG7" s="1"/>
      <c r="AH7" s="1">
        <f t="array" ref="AH7:AI7">LINEST(V7,M7,TRUE,FALSE)</f>
        <v>0</v>
      </c>
      <c r="AI7" s="1">
        <v>97.942000000000007</v>
      </c>
      <c r="AJ7" s="1"/>
      <c r="AK7" s="1"/>
      <c r="AL7" s="1"/>
      <c r="AM7" s="1"/>
      <c r="AN7" s="76"/>
      <c r="AO7" s="75"/>
      <c r="AX7" s="76"/>
      <c r="CV7" s="76"/>
    </row>
    <row r="8" spans="1:100">
      <c r="A8" s="75"/>
      <c r="B8" s="1" t="s">
        <v>837</v>
      </c>
      <c r="C8" s="34">
        <f t="shared" si="0"/>
        <v>7</v>
      </c>
      <c r="D8" s="34">
        <f t="shared" si="0"/>
        <v>7</v>
      </c>
      <c r="E8" s="34">
        <f t="shared" si="0"/>
        <v>0</v>
      </c>
      <c r="F8" s="23">
        <v>0</v>
      </c>
      <c r="G8" s="1">
        <f>G7</f>
        <v>76.180994952308694</v>
      </c>
      <c r="H8" s="1">
        <f>H7</f>
        <v>13.671029065039718</v>
      </c>
      <c r="I8" s="1">
        <f>SQRT((M9-M7)*(M9-M7)+(N9-N8)*(N9-N8)+(O9-O7)*(O9-O7))</f>
        <v>0.6</v>
      </c>
      <c r="J8" s="76"/>
      <c r="K8" s="75"/>
      <c r="L8" s="135" t="s">
        <v>858</v>
      </c>
      <c r="M8" s="23">
        <v>0.45</v>
      </c>
      <c r="N8" s="23">
        <v>0</v>
      </c>
      <c r="O8" s="23">
        <v>0.32</v>
      </c>
      <c r="P8" s="1"/>
      <c r="Q8" s="1"/>
      <c r="R8" s="1"/>
      <c r="S8" s="1"/>
      <c r="T8" s="1"/>
      <c r="U8" s="1"/>
      <c r="V8" s="1"/>
      <c r="W8" s="1"/>
      <c r="X8" s="1">
        <f>Z8+2*$D$27*$C$8</f>
        <v>100</v>
      </c>
      <c r="Y8" s="1">
        <f>AA8+2*$D$27*$D$8</f>
        <v>90.205800000000011</v>
      </c>
      <c r="Z8" s="1">
        <f>Z7-$F$8*(M8-M7)</f>
        <v>97.942000000000007</v>
      </c>
      <c r="AA8" s="1">
        <f>Z8*$D$19</f>
        <v>88.147800000000004</v>
      </c>
      <c r="AB8" s="1">
        <f>AD8+2*$D$27*$C$9</f>
        <v>107.352</v>
      </c>
      <c r="AC8" s="1">
        <f>AE8+2*$D$27*$D$9</f>
        <v>96.263999999999996</v>
      </c>
      <c r="AD8" s="23">
        <v>105</v>
      </c>
      <c r="AE8" s="1">
        <f>AD8*$D$19</f>
        <v>94.5</v>
      </c>
      <c r="AF8" s="1"/>
      <c r="AG8" s="1"/>
      <c r="AH8" s="1"/>
      <c r="AI8" s="1"/>
      <c r="AJ8" s="1">
        <f t="array" ref="AJ8:AK8">LINEST(Z7:Z9,M7:M9,TRUE,FALSE)</f>
        <v>0</v>
      </c>
      <c r="AK8" s="1">
        <v>97.942000000000007</v>
      </c>
      <c r="AL8" s="1"/>
      <c r="AM8" s="1"/>
      <c r="AN8" s="76"/>
      <c r="AO8" s="75"/>
      <c r="AX8" s="76"/>
      <c r="CV8" s="76"/>
    </row>
    <row r="9" spans="1:100">
      <c r="A9" s="75"/>
      <c r="B9" s="1" t="s">
        <v>63</v>
      </c>
      <c r="C9" s="34">
        <v>8</v>
      </c>
      <c r="D9" s="34">
        <v>6</v>
      </c>
      <c r="E9" s="34">
        <v>2</v>
      </c>
      <c r="F9" s="23">
        <v>7.9365078999999996</v>
      </c>
      <c r="G9" s="1">
        <v>85.062835944683613</v>
      </c>
      <c r="H9" s="1">
        <v>12.462150431909752</v>
      </c>
      <c r="I9" s="1">
        <f>SQRT((M10-M8)*(M10-M8)+(N10-N8)*(N10-N8)+(O10-O8)*(O10-O8))</f>
        <v>2.75</v>
      </c>
      <c r="J9" s="76"/>
      <c r="K9" s="75"/>
      <c r="L9" s="135" t="s">
        <v>859</v>
      </c>
      <c r="M9" s="23">
        <v>0.85</v>
      </c>
      <c r="N9" s="23">
        <v>0</v>
      </c>
      <c r="O9" s="23">
        <v>0.32</v>
      </c>
      <c r="P9" s="1"/>
      <c r="Q9" s="1"/>
      <c r="R9" s="1"/>
      <c r="S9" s="1"/>
      <c r="T9" s="1"/>
      <c r="U9" s="1"/>
      <c r="V9" s="1"/>
      <c r="W9" s="1"/>
      <c r="X9" s="1">
        <f>Z9+2*$D$27*$C$8</f>
        <v>100</v>
      </c>
      <c r="Y9" s="1">
        <f>AA9+2*$D$27*$D$8</f>
        <v>90.205800000000011</v>
      </c>
      <c r="Z9" s="1">
        <f>Z8-$F$8*(M9-M8)</f>
        <v>97.942000000000007</v>
      </c>
      <c r="AA9" s="1">
        <f>Z9*$D$19</f>
        <v>88.147800000000004</v>
      </c>
      <c r="AB9" s="1">
        <f>AD9+2*$D$27*$C$9</f>
        <v>104.17739684</v>
      </c>
      <c r="AC9" s="1">
        <f>AE9+2*$D$27*$D$9</f>
        <v>93.406857156000001</v>
      </c>
      <c r="AD9" s="1">
        <f>AD8-$F$9*(M9-M8)</f>
        <v>101.82539684</v>
      </c>
      <c r="AE9" s="1">
        <f>AD9*$D$19</f>
        <v>91.642857156000005</v>
      </c>
      <c r="AF9" s="1"/>
      <c r="AG9" s="1"/>
      <c r="AH9" s="1"/>
      <c r="AI9" s="1"/>
      <c r="AJ9" s="1"/>
      <c r="AK9" s="1"/>
      <c r="AL9" s="1">
        <f t="array" ref="AL9:AM9">LINEST(AD8:AD10,M8:M10,TRUE,FALSE)</f>
        <v>-7.9365078999999987</v>
      </c>
      <c r="AM9" s="1">
        <v>108.571428555</v>
      </c>
      <c r="AN9" s="76"/>
      <c r="AO9" s="75"/>
      <c r="AX9" s="76"/>
      <c r="CV9" s="76"/>
    </row>
    <row r="10" spans="1:100">
      <c r="A10" s="75"/>
      <c r="D10" s="136"/>
      <c r="E10" s="136"/>
      <c r="J10" s="76"/>
      <c r="K10" s="75"/>
      <c r="L10" s="150" t="s">
        <v>860</v>
      </c>
      <c r="M10" s="151">
        <v>3.2</v>
      </c>
      <c r="N10" s="151">
        <v>0</v>
      </c>
      <c r="O10" s="151">
        <v>0.32</v>
      </c>
      <c r="P10" s="22"/>
      <c r="Q10" s="22"/>
      <c r="R10" s="22"/>
      <c r="S10" s="22"/>
      <c r="T10" s="22"/>
      <c r="U10" s="22"/>
      <c r="V10" s="22"/>
      <c r="W10" s="22"/>
      <c r="X10" s="22"/>
      <c r="Y10" s="22"/>
      <c r="Z10" s="22"/>
      <c r="AA10" s="22"/>
      <c r="AB10" s="1">
        <f>AD10+2*$D$27*$C$9</f>
        <v>85.526603274999999</v>
      </c>
      <c r="AC10" s="1">
        <f>AE10+2*$D$27*$D$9</f>
        <v>76.62114294749999</v>
      </c>
      <c r="AD10" s="1">
        <f>AD9-$F$9*(M10-M9)</f>
        <v>83.174603274999996</v>
      </c>
      <c r="AE10" s="1">
        <f>AD10*$D$19</f>
        <v>74.857142947499995</v>
      </c>
      <c r="AF10" s="1"/>
      <c r="AG10" s="1"/>
      <c r="AH10" s="1"/>
      <c r="AI10" s="1"/>
      <c r="AJ10" s="1"/>
      <c r="AK10" s="1"/>
      <c r="AL10" s="1"/>
      <c r="AM10" s="1"/>
      <c r="AN10" s="76"/>
      <c r="AO10" s="75"/>
      <c r="AX10" s="76"/>
      <c r="CV10" s="76"/>
    </row>
    <row r="11" spans="1:100">
      <c r="A11" s="75"/>
      <c r="J11" s="76"/>
      <c r="K11" s="75"/>
      <c r="L11" s="39"/>
      <c r="M11" s="39"/>
      <c r="N11" s="39"/>
      <c r="O11" s="39"/>
      <c r="P11" s="39"/>
      <c r="Q11" s="39"/>
      <c r="R11" s="39"/>
      <c r="S11" s="39"/>
      <c r="T11" s="39"/>
      <c r="U11" s="39"/>
      <c r="V11" s="39"/>
      <c r="W11" s="39"/>
      <c r="X11" s="39"/>
      <c r="Y11" s="39"/>
      <c r="Z11" s="39"/>
      <c r="AA11" s="39"/>
      <c r="AB11" s="39"/>
      <c r="AC11" s="39"/>
      <c r="AD11" s="39"/>
      <c r="AE11" s="39"/>
      <c r="AN11" s="76"/>
      <c r="AO11" s="75"/>
      <c r="AX11" s="76"/>
      <c r="CV11" s="76"/>
    </row>
    <row r="12" spans="1:100">
      <c r="A12" s="75"/>
      <c r="B12" s="3" t="s">
        <v>774</v>
      </c>
      <c r="J12" s="76"/>
      <c r="K12" s="75"/>
      <c r="M12" s="3" t="s">
        <v>28</v>
      </c>
      <c r="O12" s="3" t="s">
        <v>29</v>
      </c>
      <c r="R12" s="3" t="s">
        <v>861</v>
      </c>
      <c r="S12" s="3" t="s">
        <v>862</v>
      </c>
      <c r="T12" s="3" t="s">
        <v>108</v>
      </c>
      <c r="AA12" s="3" t="s">
        <v>65</v>
      </c>
      <c r="AF12" s="3" t="s">
        <v>863</v>
      </c>
      <c r="AN12" s="76"/>
      <c r="AO12" s="75"/>
      <c r="AX12" s="76"/>
      <c r="CV12" s="76"/>
    </row>
    <row r="13" spans="1:100">
      <c r="A13" s="75"/>
      <c r="B13" s="135" t="s">
        <v>742</v>
      </c>
      <c r="C13" s="135" t="s">
        <v>776</v>
      </c>
      <c r="D13" s="135" t="s">
        <v>777</v>
      </c>
      <c r="J13" s="76"/>
      <c r="K13" s="75"/>
      <c r="L13" s="135"/>
      <c r="M13" s="135" t="s">
        <v>752</v>
      </c>
      <c r="N13" s="135" t="s">
        <v>753</v>
      </c>
      <c r="O13" s="135" t="s">
        <v>752</v>
      </c>
      <c r="P13" s="135" t="s">
        <v>753</v>
      </c>
      <c r="R13" s="3">
        <v>0</v>
      </c>
      <c r="S13" s="3">
        <v>0.5</v>
      </c>
      <c r="T13" s="3">
        <v>0</v>
      </c>
      <c r="AA13" s="135" t="s">
        <v>508</v>
      </c>
      <c r="AB13" s="135" t="s">
        <v>171</v>
      </c>
      <c r="AC13" s="135" t="s">
        <v>172</v>
      </c>
      <c r="AD13" s="135" t="s">
        <v>173</v>
      </c>
      <c r="AF13" s="10" t="s">
        <v>508</v>
      </c>
      <c r="AG13" s="10" t="s">
        <v>171</v>
      </c>
      <c r="AH13" s="10" t="s">
        <v>172</v>
      </c>
      <c r="AI13" s="10" t="s">
        <v>173</v>
      </c>
      <c r="AN13" s="76"/>
      <c r="AO13" s="75"/>
      <c r="AX13" s="76"/>
      <c r="CV13" s="76"/>
    </row>
    <row r="14" spans="1:100">
      <c r="A14" s="75"/>
      <c r="B14" s="1" t="s">
        <v>51</v>
      </c>
      <c r="C14" s="1" t="s">
        <v>43</v>
      </c>
      <c r="D14" s="1" t="s">
        <v>855</v>
      </c>
      <c r="J14" s="76"/>
      <c r="K14" s="75"/>
      <c r="L14" s="135"/>
      <c r="M14" s="1" t="s">
        <v>51</v>
      </c>
      <c r="N14" s="1" t="s">
        <v>51</v>
      </c>
      <c r="O14" s="1" t="s">
        <v>51</v>
      </c>
      <c r="P14" s="1" t="s">
        <v>51</v>
      </c>
      <c r="R14" s="3">
        <v>0</v>
      </c>
      <c r="S14" s="3">
        <v>-0.5</v>
      </c>
      <c r="T14" s="3">
        <v>0</v>
      </c>
      <c r="AA14" s="1" t="s">
        <v>835</v>
      </c>
      <c r="AB14" s="1" t="s">
        <v>779</v>
      </c>
      <c r="AC14" s="1">
        <f>SUM(BB45:BB116)*2*AC26</f>
        <v>0.24250593683549448</v>
      </c>
      <c r="AD14" s="1" t="s">
        <v>42</v>
      </c>
      <c r="AF14" s="1" t="s">
        <v>25</v>
      </c>
      <c r="AG14" s="1" t="s">
        <v>27</v>
      </c>
      <c r="AH14" s="1">
        <f>AC31</f>
        <v>2.9365792244257554</v>
      </c>
      <c r="AI14" s="1" t="s">
        <v>10</v>
      </c>
      <c r="AN14" s="76"/>
      <c r="AO14" s="75"/>
      <c r="AX14" s="76"/>
      <c r="CV14" s="76"/>
    </row>
    <row r="15" spans="1:100">
      <c r="A15" s="75"/>
      <c r="B15" s="1" t="s">
        <v>864</v>
      </c>
      <c r="C15" s="1">
        <f>M9-M8</f>
        <v>0.39999999999999997</v>
      </c>
      <c r="D15" s="1">
        <f>(AD8-X8)/2</f>
        <v>2.5</v>
      </c>
      <c r="J15" s="76"/>
      <c r="K15" s="75"/>
      <c r="L15" s="135"/>
      <c r="M15" s="1" t="s">
        <v>51</v>
      </c>
      <c r="N15" s="1" t="s">
        <v>855</v>
      </c>
      <c r="O15" s="1" t="s">
        <v>51</v>
      </c>
      <c r="P15" s="1" t="s">
        <v>855</v>
      </c>
      <c r="AA15" s="1"/>
      <c r="AB15" s="1" t="s">
        <v>0</v>
      </c>
      <c r="AC15" s="23">
        <v>0</v>
      </c>
      <c r="AD15" s="1" t="s">
        <v>42</v>
      </c>
      <c r="AF15" s="1" t="s">
        <v>313</v>
      </c>
      <c r="AG15" s="1" t="s">
        <v>512</v>
      </c>
      <c r="AH15" s="1">
        <f>SUMPRODUCT(BF45:BF116,E45:E116)/SUM(BF45:BF116)</f>
        <v>1.3514890980716574</v>
      </c>
      <c r="AI15" s="1" t="s">
        <v>9</v>
      </c>
      <c r="AN15" s="76"/>
      <c r="AO15" s="75"/>
      <c r="AX15" s="76"/>
      <c r="CV15" s="76"/>
    </row>
    <row r="16" spans="1:100" ht="20.25" thickBot="1">
      <c r="A16" s="75"/>
      <c r="J16" s="76"/>
      <c r="K16" s="75"/>
      <c r="L16" s="135" t="s">
        <v>767</v>
      </c>
      <c r="M16" s="1">
        <f t="array" ref="M16:N16">LINEST(N6:N7,M6:M7,TRUE,FALSE)</f>
        <v>-0.28999999999999992</v>
      </c>
      <c r="N16" s="1">
        <v>0.23499999999999999</v>
      </c>
      <c r="O16" s="1">
        <f t="array" ref="O16:P16">LINEST(O6:O7,M6:M7,TRUE,FALSE)</f>
        <v>1.2799999999999998</v>
      </c>
      <c r="P16" s="1">
        <v>2.7755575615628914E-17</v>
      </c>
      <c r="AA16" s="20" t="s">
        <v>865</v>
      </c>
      <c r="AB16" s="20" t="s">
        <v>781</v>
      </c>
      <c r="AC16" s="20">
        <f>AC14+AC15</f>
        <v>0.24250593683549448</v>
      </c>
      <c r="AD16" s="20" t="s">
        <v>42</v>
      </c>
      <c r="AF16" s="1" t="s">
        <v>515</v>
      </c>
      <c r="AG16" s="1" t="s">
        <v>516</v>
      </c>
      <c r="AH16" s="1">
        <v>0</v>
      </c>
      <c r="AI16" s="1" t="s">
        <v>9</v>
      </c>
      <c r="AN16" s="76"/>
      <c r="AO16" s="75"/>
      <c r="AX16" s="76"/>
      <c r="CV16" s="76"/>
    </row>
    <row r="17" spans="1:100" ht="20.25" thickTop="1">
      <c r="A17" s="75"/>
      <c r="J17" s="76"/>
      <c r="K17" s="75"/>
      <c r="L17" s="135" t="s">
        <v>856</v>
      </c>
      <c r="M17" s="1">
        <f t="array" ref="M17:N17">LINEST(N7,M7,TRUE,FALSE)</f>
        <v>0</v>
      </c>
      <c r="N17" s="1">
        <v>0.16250000000000001</v>
      </c>
      <c r="O17" s="1">
        <f t="array" ref="O17:P17">LINEST(O7:O8,M7:M8,TRUE,FALSE)</f>
        <v>0</v>
      </c>
      <c r="P17" s="1">
        <v>0.32</v>
      </c>
      <c r="AA17" s="28" t="s">
        <v>836</v>
      </c>
      <c r="AB17" s="28" t="s">
        <v>779</v>
      </c>
      <c r="AC17" s="1">
        <f>SUM(BC45:BC116)*AC26</f>
        <v>0.15566763070375467</v>
      </c>
      <c r="AD17" s="28" t="s">
        <v>42</v>
      </c>
      <c r="AF17" s="1"/>
      <c r="AG17" s="1" t="s">
        <v>520</v>
      </c>
      <c r="AH17" s="1">
        <f t="array" ref="AH17">SUMPRODUCT(BF45:BF116,G45:G116)/SUM(BF45:BF116)</f>
        <v>0.30931295414109083</v>
      </c>
      <c r="AI17" s="1" t="s">
        <v>9</v>
      </c>
      <c r="AN17" s="76"/>
      <c r="AO17" s="75"/>
      <c r="AX17" s="76"/>
      <c r="CV17" s="76"/>
    </row>
    <row r="18" spans="1:100">
      <c r="A18" s="75"/>
      <c r="B18" s="135" t="s">
        <v>68</v>
      </c>
      <c r="C18" s="135" t="s">
        <v>69</v>
      </c>
      <c r="D18" s="135" t="s">
        <v>70</v>
      </c>
      <c r="E18" s="135" t="s">
        <v>71</v>
      </c>
      <c r="J18" s="76"/>
      <c r="K18" s="75"/>
      <c r="L18" s="135" t="s">
        <v>858</v>
      </c>
      <c r="M18" s="1">
        <f t="array" ref="M18:N18">LINEST(N8:N9,M8:M9,TRUE,FALSE)</f>
        <v>0</v>
      </c>
      <c r="N18" s="1">
        <v>0</v>
      </c>
      <c r="O18" s="1">
        <f t="array" ref="O18:P18">LINEST(O8:O9,M8:M9,TRUE,FALSE)</f>
        <v>0</v>
      </c>
      <c r="P18" s="1">
        <v>0.32</v>
      </c>
      <c r="AA18" s="1"/>
      <c r="AB18" s="1" t="s">
        <v>0</v>
      </c>
      <c r="AC18" s="23">
        <v>0</v>
      </c>
      <c r="AD18" s="1" t="s">
        <v>42</v>
      </c>
      <c r="AF18" s="1" t="s">
        <v>30</v>
      </c>
      <c r="AG18" s="1" t="s">
        <v>32</v>
      </c>
      <c r="AH18" s="1">
        <f>SUMPRODUCT(BF45:BF116,BH45:BH116)</f>
        <v>0.16954833279692161</v>
      </c>
      <c r="AI18" s="1" t="s">
        <v>44</v>
      </c>
      <c r="AN18" s="76"/>
      <c r="AO18" s="75"/>
      <c r="AX18" s="76"/>
      <c r="CV18" s="76"/>
    </row>
    <row r="19" spans="1:100" ht="20.25" thickBot="1">
      <c r="A19" s="75"/>
      <c r="B19" s="1" t="s">
        <v>784</v>
      </c>
      <c r="C19" s="1" t="s">
        <v>51</v>
      </c>
      <c r="D19" s="23">
        <v>0.9</v>
      </c>
      <c r="E19" s="1" t="s">
        <v>51</v>
      </c>
      <c r="J19" s="76"/>
      <c r="K19" s="75"/>
      <c r="L19" s="135" t="s">
        <v>859</v>
      </c>
      <c r="M19" s="1">
        <f t="array" ref="M19:N19">LINEST(N9:N10,M9:M10,TRUE,FALSE)</f>
        <v>0</v>
      </c>
      <c r="N19" s="1">
        <v>0</v>
      </c>
      <c r="O19" s="1">
        <f t="array" ref="O19:P19">LINEST(O9:O10,M9:M10,TRUE,FALSE)</f>
        <v>0</v>
      </c>
      <c r="P19" s="1">
        <v>0.32</v>
      </c>
      <c r="AA19" s="20" t="s">
        <v>865</v>
      </c>
      <c r="AB19" s="20" t="s">
        <v>781</v>
      </c>
      <c r="AC19" s="20">
        <f>AC17+AC18</f>
        <v>0.15566763070375467</v>
      </c>
      <c r="AD19" s="20" t="s">
        <v>42</v>
      </c>
      <c r="AF19" s="1"/>
      <c r="AG19" s="1" t="s">
        <v>34</v>
      </c>
      <c r="AH19" s="1">
        <f>SUMPRODUCT(BF45:BF116,BI45:BI116)</f>
        <v>4.8610744233556025</v>
      </c>
      <c r="AI19" s="1" t="s">
        <v>44</v>
      </c>
      <c r="AN19" s="76"/>
      <c r="AO19" s="75"/>
      <c r="AX19" s="76"/>
      <c r="CV19" s="76"/>
    </row>
    <row r="20" spans="1:100" ht="20.25" thickTop="1">
      <c r="A20" s="75"/>
      <c r="B20" s="1" t="s">
        <v>866</v>
      </c>
      <c r="C20" s="1" t="s">
        <v>52</v>
      </c>
      <c r="D20" s="23">
        <v>0.6</v>
      </c>
      <c r="E20" s="1" t="s">
        <v>52</v>
      </c>
      <c r="J20" s="76"/>
      <c r="K20" s="75"/>
      <c r="L20" s="135" t="s">
        <v>860</v>
      </c>
      <c r="M20" s="1"/>
      <c r="N20" s="1"/>
      <c r="O20" s="1"/>
      <c r="P20" s="1"/>
      <c r="AA20" s="28" t="s">
        <v>837</v>
      </c>
      <c r="AB20" s="28" t="s">
        <v>779</v>
      </c>
      <c r="AC20" s="1">
        <f>SUM(BD45:BD116)*AC26</f>
        <v>0.28738639514539327</v>
      </c>
      <c r="AD20" s="28" t="s">
        <v>42</v>
      </c>
      <c r="AF20" s="1"/>
      <c r="AG20" s="1" t="s">
        <v>36</v>
      </c>
      <c r="AH20" s="1">
        <f>SUMPRODUCT(BF45:BF116,BJ45:BJ116)</f>
        <v>4.6915260905586802</v>
      </c>
      <c r="AI20" s="1" t="s">
        <v>44</v>
      </c>
      <c r="AN20" s="76"/>
      <c r="AO20" s="75"/>
      <c r="AX20" s="76"/>
      <c r="CV20" s="76"/>
    </row>
    <row r="21" spans="1:100">
      <c r="A21" s="75"/>
      <c r="B21" s="1"/>
      <c r="C21" s="1"/>
      <c r="D21" s="23">
        <v>1</v>
      </c>
      <c r="E21" s="1" t="s">
        <v>51</v>
      </c>
      <c r="J21" s="76"/>
      <c r="K21" s="75"/>
      <c r="AA21" s="1"/>
      <c r="AB21" s="1" t="s">
        <v>0</v>
      </c>
      <c r="AC21" s="23">
        <v>0</v>
      </c>
      <c r="AD21" s="1" t="s">
        <v>42</v>
      </c>
      <c r="AF21" s="1"/>
      <c r="AG21" s="1" t="s">
        <v>38</v>
      </c>
      <c r="AH21" s="1">
        <v>0</v>
      </c>
      <c r="AI21" s="1" t="s">
        <v>469</v>
      </c>
      <c r="AN21" s="76"/>
      <c r="AO21" s="75"/>
      <c r="AX21" s="76"/>
      <c r="CV21" s="76"/>
    </row>
    <row r="22" spans="1:100" ht="20.25" thickBot="1">
      <c r="A22" s="75"/>
      <c r="J22" s="76"/>
      <c r="K22" s="75"/>
      <c r="AA22" s="20" t="s">
        <v>865</v>
      </c>
      <c r="AB22" s="20" t="s">
        <v>781</v>
      </c>
      <c r="AC22" s="20">
        <f>AC20+AC21</f>
        <v>0.28738639514539327</v>
      </c>
      <c r="AD22" s="20" t="s">
        <v>42</v>
      </c>
      <c r="AF22" s="1"/>
      <c r="AG22" s="1" t="s">
        <v>40</v>
      </c>
      <c r="AH22" s="1">
        <v>0</v>
      </c>
      <c r="AI22" s="1" t="s">
        <v>469</v>
      </c>
      <c r="AN22" s="76"/>
      <c r="AO22" s="75"/>
      <c r="AX22" s="76"/>
      <c r="CV22" s="76"/>
    </row>
    <row r="23" spans="1:100" ht="20.25" thickTop="1">
      <c r="A23" s="75"/>
      <c r="B23" s="135" t="s">
        <v>68</v>
      </c>
      <c r="C23" s="135" t="s">
        <v>69</v>
      </c>
      <c r="D23" s="135" t="s">
        <v>70</v>
      </c>
      <c r="E23" s="135" t="s">
        <v>71</v>
      </c>
      <c r="I23" s="3">
        <v>395.97979746446703</v>
      </c>
      <c r="J23" s="76"/>
      <c r="K23" s="75"/>
      <c r="AA23" s="28" t="s">
        <v>63</v>
      </c>
      <c r="AB23" s="28" t="s">
        <v>779</v>
      </c>
      <c r="AC23" s="1">
        <f>SUM(BE45:BE116)*AC26</f>
        <v>1.2510192617411129</v>
      </c>
      <c r="AD23" s="28" t="s">
        <v>42</v>
      </c>
      <c r="AF23" s="1"/>
      <c r="AG23" s="1" t="s">
        <v>482</v>
      </c>
      <c r="AH23" s="1">
        <f>SUMPRODUCT(BF45:BF116,BK45:BK116)</f>
        <v>0.7464691440225939</v>
      </c>
      <c r="AI23" s="1" t="s">
        <v>469</v>
      </c>
      <c r="AN23" s="76"/>
      <c r="AO23" s="75"/>
      <c r="AX23" s="76"/>
      <c r="CV23" s="76"/>
    </row>
    <row r="24" spans="1:100">
      <c r="A24" s="75"/>
      <c r="B24" s="1" t="s">
        <v>867</v>
      </c>
      <c r="C24" s="1" t="s">
        <v>843</v>
      </c>
      <c r="D24" s="34">
        <f>M10/D30</f>
        <v>64</v>
      </c>
      <c r="E24" s="1" t="s">
        <v>51</v>
      </c>
      <c r="F24" s="3" t="s">
        <v>868</v>
      </c>
      <c r="J24" s="76"/>
      <c r="K24" s="75"/>
      <c r="M24" s="3">
        <f>(780-57)*COS(RADIANS(65))</f>
        <v>305.55300323852572</v>
      </c>
      <c r="AA24" s="1"/>
      <c r="AB24" s="1" t="s">
        <v>0</v>
      </c>
      <c r="AC24" s="23">
        <v>0</v>
      </c>
      <c r="AD24" s="1" t="s">
        <v>42</v>
      </c>
      <c r="AN24" s="76"/>
      <c r="AO24" s="75"/>
      <c r="AX24" s="76"/>
      <c r="CV24" s="76"/>
    </row>
    <row r="25" spans="1:100" ht="20.25" thickBot="1">
      <c r="A25" s="75"/>
      <c r="B25" s="1" t="s">
        <v>785</v>
      </c>
      <c r="C25" s="1" t="s">
        <v>43</v>
      </c>
      <c r="D25" s="34">
        <v>1440</v>
      </c>
      <c r="E25" s="1" t="s">
        <v>51</v>
      </c>
      <c r="F25" s="3" t="s">
        <v>785</v>
      </c>
      <c r="J25" s="76"/>
      <c r="K25" s="75"/>
      <c r="M25" s="3">
        <f>(780-57)*SIN(RADIANS(65))</f>
        <v>655.26053002749791</v>
      </c>
      <c r="AA25" s="20" t="s">
        <v>865</v>
      </c>
      <c r="AB25" s="20" t="s">
        <v>781</v>
      </c>
      <c r="AC25" s="20">
        <f>AC23+AC24</f>
        <v>1.2510192617411129</v>
      </c>
      <c r="AD25" s="20" t="s">
        <v>42</v>
      </c>
      <c r="AN25" s="76"/>
      <c r="AO25" s="75"/>
      <c r="AX25" s="76"/>
      <c r="CV25" s="76"/>
    </row>
    <row r="26" spans="1:100" ht="20.25" thickTop="1">
      <c r="A26" s="75"/>
      <c r="J26" s="76"/>
      <c r="K26" s="75"/>
      <c r="AA26" s="28" t="s">
        <v>869</v>
      </c>
      <c r="AB26" s="28" t="s">
        <v>51</v>
      </c>
      <c r="AC26" s="28">
        <v>1.05</v>
      </c>
      <c r="AD26" s="28" t="s">
        <v>51</v>
      </c>
      <c r="AN26" s="76"/>
      <c r="AO26" s="75"/>
      <c r="AX26" s="76"/>
      <c r="CV26" s="76"/>
    </row>
    <row r="27" spans="1:100">
      <c r="A27" s="75"/>
      <c r="B27" s="1" t="s">
        <v>174</v>
      </c>
      <c r="C27" s="1" t="s">
        <v>175</v>
      </c>
      <c r="D27" s="1">
        <v>0.14699999999999999</v>
      </c>
      <c r="E27" s="1" t="s">
        <v>176</v>
      </c>
      <c r="J27" s="76"/>
      <c r="K27" s="75"/>
      <c r="AA27" s="1" t="s">
        <v>870</v>
      </c>
      <c r="AB27" s="1" t="s">
        <v>52</v>
      </c>
      <c r="AC27" s="34">
        <v>5</v>
      </c>
      <c r="AD27" s="1" t="s">
        <v>871</v>
      </c>
      <c r="AN27" s="76"/>
      <c r="AO27" s="75"/>
      <c r="AX27" s="76"/>
      <c r="CV27" s="76"/>
    </row>
    <row r="28" spans="1:100" ht="20.25" thickBot="1">
      <c r="A28" s="75"/>
      <c r="J28" s="76"/>
      <c r="K28" s="75"/>
      <c r="AA28" s="20" t="s">
        <v>872</v>
      </c>
      <c r="AB28" s="20" t="s">
        <v>52</v>
      </c>
      <c r="AC28" s="20">
        <v>0.2</v>
      </c>
      <c r="AD28" s="20" t="s">
        <v>873</v>
      </c>
      <c r="AN28" s="76"/>
      <c r="AO28" s="75"/>
      <c r="AX28" s="76"/>
      <c r="CV28" s="76"/>
    </row>
    <row r="29" spans="1:100" ht="20.25" thickTop="1">
      <c r="A29" s="75"/>
      <c r="J29" s="76"/>
      <c r="K29" s="75"/>
      <c r="AA29" s="2" t="s">
        <v>5</v>
      </c>
      <c r="AB29" s="2" t="s">
        <v>874</v>
      </c>
      <c r="AC29" s="2">
        <f>AC16+AC19+AC22+AC27*AC28</f>
        <v>1.6855599626846425</v>
      </c>
      <c r="AD29" s="2" t="s">
        <v>42</v>
      </c>
      <c r="AN29" s="76"/>
      <c r="AO29" s="75"/>
      <c r="AX29" s="76"/>
      <c r="CV29" s="76"/>
    </row>
    <row r="30" spans="1:100">
      <c r="A30" s="75"/>
      <c r="B30" s="1" t="s">
        <v>875</v>
      </c>
      <c r="C30" s="1" t="s">
        <v>876</v>
      </c>
      <c r="D30" s="23">
        <v>0.05</v>
      </c>
      <c r="E30" s="1" t="s">
        <v>43</v>
      </c>
      <c r="J30" s="76"/>
      <c r="K30" s="75"/>
      <c r="AA30" s="1"/>
      <c r="AB30" s="1" t="s">
        <v>63</v>
      </c>
      <c r="AC30" s="1">
        <f>AC23</f>
        <v>1.2510192617411129</v>
      </c>
      <c r="AD30" s="1" t="s">
        <v>42</v>
      </c>
      <c r="AN30" s="76"/>
      <c r="AO30" s="75"/>
      <c r="AX30" s="76"/>
      <c r="CV30" s="76"/>
    </row>
    <row r="31" spans="1:100">
      <c r="A31" s="75"/>
      <c r="B31" s="1"/>
      <c r="C31" s="1"/>
      <c r="D31" s="1"/>
      <c r="E31" s="1"/>
      <c r="J31" s="76"/>
      <c r="K31" s="75"/>
      <c r="AA31" s="1"/>
      <c r="AB31" s="1" t="s">
        <v>5</v>
      </c>
      <c r="AC31" s="1">
        <f>AC29+AC30</f>
        <v>2.9365792244257554</v>
      </c>
      <c r="AD31" s="1" t="s">
        <v>42</v>
      </c>
      <c r="AN31" s="76"/>
      <c r="AO31" s="75"/>
      <c r="AX31" s="76"/>
      <c r="CV31" s="76"/>
    </row>
    <row r="32" spans="1:100">
      <c r="A32" s="75"/>
      <c r="B32" s="1"/>
      <c r="C32" s="1"/>
      <c r="D32" s="1"/>
      <c r="E32" s="1"/>
      <c r="J32" s="76"/>
      <c r="K32" s="75"/>
      <c r="AN32" s="76"/>
      <c r="AO32" s="75"/>
      <c r="AX32" s="76"/>
      <c r="CV32" s="76"/>
    </row>
    <row r="33" spans="1:100">
      <c r="A33" s="75"/>
      <c r="B33" s="1" t="s">
        <v>867</v>
      </c>
      <c r="C33" s="1" t="s">
        <v>843</v>
      </c>
      <c r="D33" s="34">
        <f>D24</f>
        <v>64</v>
      </c>
      <c r="E33" s="1" t="s">
        <v>51</v>
      </c>
      <c r="J33" s="76"/>
      <c r="K33" s="75"/>
      <c r="AN33" s="76"/>
      <c r="AO33" s="75"/>
      <c r="AX33" s="76"/>
      <c r="CV33" s="76"/>
    </row>
    <row r="34" spans="1:100">
      <c r="A34" s="75"/>
      <c r="J34" s="76"/>
      <c r="K34" s="75"/>
      <c r="AN34" s="76"/>
      <c r="AO34" s="75"/>
      <c r="AX34" s="76"/>
      <c r="CV34" s="76"/>
    </row>
    <row r="35" spans="1:100">
      <c r="A35" s="75"/>
      <c r="J35" s="76"/>
      <c r="K35" s="75"/>
      <c r="AN35" s="76"/>
      <c r="AO35" s="75"/>
      <c r="AX35" s="76"/>
      <c r="CV35" s="76"/>
    </row>
    <row r="36" spans="1:100">
      <c r="A36" s="75"/>
      <c r="J36" s="76"/>
      <c r="K36" s="75"/>
      <c r="AN36" s="76"/>
      <c r="AO36" s="75"/>
      <c r="AX36" s="76"/>
      <c r="CV36" s="76"/>
    </row>
    <row r="37" spans="1:100">
      <c r="A37" s="75"/>
      <c r="J37" s="76"/>
      <c r="K37" s="75"/>
      <c r="AN37" s="76"/>
      <c r="AO37" s="75"/>
      <c r="AX37" s="76"/>
      <c r="CV37" s="76"/>
    </row>
    <row r="38" spans="1:100">
      <c r="A38" s="75"/>
      <c r="J38" s="76"/>
      <c r="K38" s="75"/>
      <c r="AN38" s="76"/>
      <c r="AO38" s="75"/>
      <c r="AX38" s="76"/>
      <c r="CV38" s="76"/>
    </row>
    <row r="39" spans="1:100" ht="20.25" thickBot="1">
      <c r="A39" s="83"/>
      <c r="B39" s="84"/>
      <c r="C39" s="84"/>
      <c r="D39" s="84"/>
      <c r="E39" s="84"/>
      <c r="F39" s="84"/>
      <c r="G39" s="84"/>
      <c r="H39" s="84"/>
      <c r="I39" s="84"/>
      <c r="J39" s="85"/>
      <c r="K39" s="83"/>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5"/>
      <c r="AO39" s="83"/>
      <c r="AP39" s="84"/>
      <c r="AQ39" s="84"/>
      <c r="AR39" s="84"/>
      <c r="AS39" s="84"/>
      <c r="AT39" s="84"/>
      <c r="AU39" s="84"/>
      <c r="AV39" s="84"/>
      <c r="AW39" s="84"/>
      <c r="AX39" s="85"/>
      <c r="AY39" s="84"/>
      <c r="AZ39" s="84"/>
      <c r="BA39" s="84"/>
      <c r="BB39" s="84"/>
      <c r="BC39" s="84"/>
      <c r="BD39" s="84"/>
      <c r="BE39" s="84"/>
      <c r="BF39" s="84"/>
      <c r="BG39" s="84"/>
      <c r="BH39" s="84"/>
      <c r="BI39" s="84"/>
      <c r="BJ39" s="84"/>
      <c r="BK39" s="84"/>
      <c r="BL39" s="84"/>
      <c r="BM39" s="84"/>
      <c r="BN39" s="84"/>
      <c r="BO39" s="84"/>
      <c r="BP39" s="84"/>
      <c r="BQ39" s="84"/>
      <c r="BR39" s="84"/>
      <c r="BS39" s="84"/>
      <c r="BT39" s="84"/>
      <c r="BU39" s="84"/>
      <c r="BV39" s="84"/>
      <c r="BW39" s="84"/>
      <c r="BX39" s="84"/>
      <c r="BY39" s="84"/>
      <c r="BZ39" s="84"/>
      <c r="CA39" s="84"/>
      <c r="CB39" s="84"/>
      <c r="CC39" s="84"/>
      <c r="CD39" s="84"/>
      <c r="CE39" s="84"/>
      <c r="CF39" s="84"/>
      <c r="CG39" s="84"/>
      <c r="CH39" s="84"/>
      <c r="CI39" s="84"/>
      <c r="CJ39" s="84"/>
      <c r="CK39" s="84"/>
      <c r="CL39" s="84"/>
      <c r="CM39" s="84"/>
      <c r="CN39" s="84"/>
      <c r="CO39" s="84"/>
      <c r="CP39" s="84"/>
      <c r="CQ39" s="84"/>
      <c r="CR39" s="84"/>
      <c r="CS39" s="84"/>
      <c r="CT39" s="84"/>
      <c r="CU39" s="84"/>
      <c r="CV39" s="85"/>
    </row>
    <row r="40" spans="1:100" s="84" customFormat="1" ht="20.25" thickBot="1">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row>
    <row r="41" spans="1:100">
      <c r="AD41" s="3" t="s">
        <v>856</v>
      </c>
      <c r="AH41" s="3" t="s">
        <v>857</v>
      </c>
      <c r="AL41" s="3" t="s">
        <v>837</v>
      </c>
      <c r="AM41" s="3" t="s">
        <v>877</v>
      </c>
      <c r="AP41" s="3" t="s">
        <v>63</v>
      </c>
      <c r="AT41" s="3" t="s">
        <v>800</v>
      </c>
      <c r="AX41" s="3" t="s">
        <v>551</v>
      </c>
      <c r="BB41" s="3" t="s">
        <v>25</v>
      </c>
      <c r="BF41" s="3" t="s">
        <v>5</v>
      </c>
      <c r="BH41" s="3" t="s">
        <v>30</v>
      </c>
      <c r="BK41" s="3" t="s">
        <v>878</v>
      </c>
      <c r="BM41" s="3" t="s">
        <v>879</v>
      </c>
    </row>
    <row r="42" spans="1:100">
      <c r="B42" s="135" t="s">
        <v>508</v>
      </c>
      <c r="C42" s="135" t="s">
        <v>880</v>
      </c>
      <c r="D42" s="135" t="s">
        <v>881</v>
      </c>
      <c r="E42" s="135" t="s">
        <v>184</v>
      </c>
      <c r="F42" s="135"/>
      <c r="G42" s="135"/>
      <c r="H42" s="135" t="s">
        <v>802</v>
      </c>
      <c r="I42" s="135" t="s">
        <v>803</v>
      </c>
      <c r="J42" s="135" t="s">
        <v>804</v>
      </c>
      <c r="K42" s="135" t="s">
        <v>805</v>
      </c>
      <c r="L42" s="135" t="s">
        <v>806</v>
      </c>
      <c r="M42" s="135"/>
      <c r="N42" s="135" t="s">
        <v>807</v>
      </c>
      <c r="O42" s="135" t="s">
        <v>800</v>
      </c>
      <c r="P42" s="135" t="s">
        <v>808</v>
      </c>
      <c r="Q42" s="135" t="s">
        <v>809</v>
      </c>
      <c r="R42" s="135" t="s">
        <v>126</v>
      </c>
      <c r="S42" s="135" t="s">
        <v>745</v>
      </c>
      <c r="T42" s="135" t="s">
        <v>810</v>
      </c>
      <c r="U42" s="135" t="s">
        <v>811</v>
      </c>
      <c r="V42" s="135" t="s">
        <v>748</v>
      </c>
      <c r="W42" s="135"/>
      <c r="X42" s="135" t="s">
        <v>749</v>
      </c>
      <c r="Y42" s="135"/>
      <c r="Z42" s="135" t="s">
        <v>750</v>
      </c>
      <c r="AA42" s="135"/>
      <c r="AB42" s="135" t="s">
        <v>751</v>
      </c>
      <c r="AC42" s="135"/>
      <c r="AD42" s="135" t="s">
        <v>748</v>
      </c>
      <c r="AE42" s="135" t="s">
        <v>749</v>
      </c>
      <c r="AF42" s="135" t="s">
        <v>750</v>
      </c>
      <c r="AG42" s="135" t="s">
        <v>751</v>
      </c>
      <c r="AH42" s="135" t="s">
        <v>748</v>
      </c>
      <c r="AI42" s="135" t="s">
        <v>749</v>
      </c>
      <c r="AJ42" s="135" t="s">
        <v>750</v>
      </c>
      <c r="AK42" s="135" t="s">
        <v>751</v>
      </c>
      <c r="AL42" s="135" t="s">
        <v>748</v>
      </c>
      <c r="AM42" s="135" t="s">
        <v>749</v>
      </c>
      <c r="AN42" s="135" t="s">
        <v>750</v>
      </c>
      <c r="AO42" s="135" t="s">
        <v>751</v>
      </c>
      <c r="AP42" s="135" t="s">
        <v>748</v>
      </c>
      <c r="AQ42" s="135" t="s">
        <v>749</v>
      </c>
      <c r="AR42" s="135" t="s">
        <v>750</v>
      </c>
      <c r="AS42" s="135" t="s">
        <v>751</v>
      </c>
      <c r="AT42" s="135" t="s">
        <v>856</v>
      </c>
      <c r="AU42" s="135" t="s">
        <v>857</v>
      </c>
      <c r="AV42" s="135" t="s">
        <v>837</v>
      </c>
      <c r="AW42" s="135" t="s">
        <v>63</v>
      </c>
      <c r="AX42" s="135" t="s">
        <v>856</v>
      </c>
      <c r="AY42" s="135" t="s">
        <v>857</v>
      </c>
      <c r="AZ42" s="135" t="s">
        <v>837</v>
      </c>
      <c r="BA42" s="135" t="s">
        <v>63</v>
      </c>
      <c r="BB42" s="135" t="s">
        <v>856</v>
      </c>
      <c r="BC42" s="135" t="s">
        <v>857</v>
      </c>
      <c r="BD42" s="135" t="s">
        <v>837</v>
      </c>
      <c r="BE42" s="135" t="s">
        <v>63</v>
      </c>
      <c r="BF42" s="135" t="s">
        <v>25</v>
      </c>
      <c r="BH42" s="135" t="s">
        <v>882</v>
      </c>
      <c r="BI42" s="135"/>
      <c r="BJ42" s="135"/>
      <c r="BK42" s="135" t="s">
        <v>883</v>
      </c>
      <c r="BM42" s="135" t="s">
        <v>184</v>
      </c>
    </row>
    <row r="43" spans="1:100">
      <c r="B43" s="1" t="s">
        <v>171</v>
      </c>
      <c r="C43" s="1" t="s">
        <v>843</v>
      </c>
      <c r="D43" s="1" t="s">
        <v>51</v>
      </c>
      <c r="E43" s="1" t="s">
        <v>26</v>
      </c>
      <c r="F43" s="1" t="s">
        <v>28</v>
      </c>
      <c r="G43" s="1" t="s">
        <v>29</v>
      </c>
      <c r="H43" s="1" t="s">
        <v>851</v>
      </c>
      <c r="I43" s="1" t="s">
        <v>852</v>
      </c>
      <c r="J43" s="1" t="s">
        <v>853</v>
      </c>
      <c r="K43" s="1" t="s">
        <v>850</v>
      </c>
      <c r="L43" s="1" t="s">
        <v>884</v>
      </c>
      <c r="M43" s="1" t="s">
        <v>885</v>
      </c>
      <c r="N43" s="1" t="s">
        <v>886</v>
      </c>
      <c r="O43" s="1" t="s">
        <v>887</v>
      </c>
      <c r="P43" s="1" t="s">
        <v>888</v>
      </c>
      <c r="Q43" s="1" t="s">
        <v>399</v>
      </c>
      <c r="R43" s="1" t="s">
        <v>845</v>
      </c>
      <c r="S43" s="1" t="s">
        <v>648</v>
      </c>
      <c r="T43" s="1" t="s">
        <v>889</v>
      </c>
      <c r="U43" s="1" t="s">
        <v>890</v>
      </c>
      <c r="V43" s="1" t="s">
        <v>891</v>
      </c>
      <c r="W43" s="1" t="s">
        <v>51</v>
      </c>
      <c r="X43" s="1" t="s">
        <v>891</v>
      </c>
      <c r="Y43" s="1" t="s">
        <v>51</v>
      </c>
      <c r="Z43" s="1" t="s">
        <v>891</v>
      </c>
      <c r="AA43" s="1" t="s">
        <v>51</v>
      </c>
      <c r="AB43" s="1" t="s">
        <v>891</v>
      </c>
      <c r="AC43" s="1" t="s">
        <v>51</v>
      </c>
      <c r="AD43" s="1" t="s">
        <v>851</v>
      </c>
      <c r="AE43" s="1" t="s">
        <v>852</v>
      </c>
      <c r="AF43" s="1" t="s">
        <v>853</v>
      </c>
      <c r="AG43" s="1" t="s">
        <v>850</v>
      </c>
      <c r="AH43" s="1" t="s">
        <v>851</v>
      </c>
      <c r="AI43" s="1" t="s">
        <v>852</v>
      </c>
      <c r="AJ43" s="1" t="s">
        <v>853</v>
      </c>
      <c r="AK43" s="1" t="s">
        <v>850</v>
      </c>
      <c r="AL43" s="1" t="s">
        <v>851</v>
      </c>
      <c r="AM43" s="1" t="s">
        <v>852</v>
      </c>
      <c r="AN43" s="1" t="s">
        <v>853</v>
      </c>
      <c r="AO43" s="1" t="s">
        <v>850</v>
      </c>
      <c r="AP43" s="1" t="s">
        <v>851</v>
      </c>
      <c r="AQ43" s="1" t="s">
        <v>852</v>
      </c>
      <c r="AR43" s="1" t="s">
        <v>853</v>
      </c>
      <c r="AS43" s="1" t="s">
        <v>850</v>
      </c>
      <c r="AT43" s="1" t="s">
        <v>51</v>
      </c>
      <c r="AU43" s="1" t="s">
        <v>51</v>
      </c>
      <c r="AV43" s="1" t="s">
        <v>51</v>
      </c>
      <c r="AW43" s="1"/>
      <c r="AX43" s="1" t="s">
        <v>51</v>
      </c>
      <c r="AY43" s="1" t="s">
        <v>51</v>
      </c>
      <c r="AZ43" s="1" t="s">
        <v>51</v>
      </c>
      <c r="BA43" s="1"/>
      <c r="BB43" s="1" t="s">
        <v>51</v>
      </c>
      <c r="BC43" s="1" t="s">
        <v>51</v>
      </c>
      <c r="BD43" s="1" t="s">
        <v>51</v>
      </c>
      <c r="BE43" s="1"/>
      <c r="BF43" s="1" t="s">
        <v>51</v>
      </c>
      <c r="BH43" s="1" t="s">
        <v>892</v>
      </c>
      <c r="BI43" s="1" t="s">
        <v>893</v>
      </c>
      <c r="BJ43" s="1" t="s">
        <v>894</v>
      </c>
      <c r="BK43" s="1" t="s">
        <v>895</v>
      </c>
      <c r="BM43" s="77" t="str">
        <f>"-y"</f>
        <v>-y</v>
      </c>
    </row>
    <row r="44" spans="1:100" ht="20.25" thickBot="1">
      <c r="B44" s="1" t="s">
        <v>173</v>
      </c>
      <c r="C44" s="1" t="s">
        <v>51</v>
      </c>
      <c r="D44" s="1" t="s">
        <v>51</v>
      </c>
      <c r="E44" s="1" t="s">
        <v>43</v>
      </c>
      <c r="F44" s="1" t="s">
        <v>9</v>
      </c>
      <c r="G44" s="1" t="s">
        <v>9</v>
      </c>
      <c r="H44" s="1" t="s">
        <v>855</v>
      </c>
      <c r="I44" s="1" t="s">
        <v>855</v>
      </c>
      <c r="J44" s="1" t="s">
        <v>855</v>
      </c>
      <c r="K44" s="1" t="s">
        <v>855</v>
      </c>
      <c r="L44" s="1" t="s">
        <v>896</v>
      </c>
      <c r="M44" s="1" t="s">
        <v>896</v>
      </c>
      <c r="N44" s="1" t="s">
        <v>896</v>
      </c>
      <c r="O44" s="1" t="s">
        <v>897</v>
      </c>
      <c r="P44" s="1" t="s">
        <v>898</v>
      </c>
      <c r="Q44" s="1" t="s">
        <v>855</v>
      </c>
      <c r="R44" s="1" t="s">
        <v>162</v>
      </c>
      <c r="S44" s="1" t="s">
        <v>162</v>
      </c>
      <c r="T44" s="1" t="s">
        <v>899</v>
      </c>
      <c r="U44" s="1" t="s">
        <v>899</v>
      </c>
      <c r="V44" s="1" t="s">
        <v>855</v>
      </c>
      <c r="W44" s="1" t="s">
        <v>855</v>
      </c>
      <c r="X44" s="1" t="s">
        <v>855</v>
      </c>
      <c r="Y44" s="1" t="s">
        <v>855</v>
      </c>
      <c r="Z44" s="1" t="s">
        <v>855</v>
      </c>
      <c r="AA44" s="1" t="s">
        <v>855</v>
      </c>
      <c r="AB44" s="1" t="s">
        <v>855</v>
      </c>
      <c r="AC44" s="1" t="s">
        <v>855</v>
      </c>
      <c r="AD44" s="1" t="s">
        <v>855</v>
      </c>
      <c r="AE44" s="1" t="s">
        <v>855</v>
      </c>
      <c r="AF44" s="1" t="s">
        <v>855</v>
      </c>
      <c r="AG44" s="1" t="s">
        <v>855</v>
      </c>
      <c r="AH44" s="1" t="s">
        <v>855</v>
      </c>
      <c r="AI44" s="1" t="s">
        <v>855</v>
      </c>
      <c r="AJ44" s="1" t="s">
        <v>855</v>
      </c>
      <c r="AK44" s="1" t="s">
        <v>855</v>
      </c>
      <c r="AL44" s="1" t="s">
        <v>855</v>
      </c>
      <c r="AM44" s="1" t="s">
        <v>855</v>
      </c>
      <c r="AN44" s="1" t="s">
        <v>855</v>
      </c>
      <c r="AO44" s="1" t="s">
        <v>855</v>
      </c>
      <c r="AP44" s="1" t="s">
        <v>855</v>
      </c>
      <c r="AQ44" s="1" t="s">
        <v>855</v>
      </c>
      <c r="AR44" s="1" t="s">
        <v>855</v>
      </c>
      <c r="AS44" s="1" t="s">
        <v>855</v>
      </c>
      <c r="AT44" s="1" t="s">
        <v>897</v>
      </c>
      <c r="AU44" s="1" t="s">
        <v>833</v>
      </c>
      <c r="AV44" s="1" t="s">
        <v>896</v>
      </c>
      <c r="AW44" s="1"/>
      <c r="AX44" s="1" t="s">
        <v>900</v>
      </c>
      <c r="AY44" s="1" t="s">
        <v>901</v>
      </c>
      <c r="AZ44" s="1" t="s">
        <v>902</v>
      </c>
      <c r="BA44" s="1"/>
      <c r="BB44" s="1" t="s">
        <v>42</v>
      </c>
      <c r="BC44" s="1" t="s">
        <v>42</v>
      </c>
      <c r="BD44" s="1" t="s">
        <v>42</v>
      </c>
      <c r="BE44" s="1"/>
      <c r="BF44" s="1" t="s">
        <v>42</v>
      </c>
      <c r="BH44" s="20" t="s">
        <v>437</v>
      </c>
      <c r="BI44" s="20" t="s">
        <v>437</v>
      </c>
      <c r="BJ44" s="20" t="s">
        <v>437</v>
      </c>
      <c r="BK44" s="20" t="s">
        <v>437</v>
      </c>
      <c r="BM44" s="20" t="s">
        <v>9</v>
      </c>
    </row>
    <row r="45" spans="1:100" ht="20.25" thickTop="1">
      <c r="B45" s="1" t="s">
        <v>172</v>
      </c>
      <c r="C45" s="34">
        <v>0</v>
      </c>
      <c r="D45" s="1" t="str">
        <f>IF(E45&lt;$M$7,"パイプ",IF(E45=$M$7,"T字",IF(E45&lt;=$M$8,"胴接",IF(E45&lt;=$M$9,"0胴接合","胴体"))))</f>
        <v>パイプ</v>
      </c>
      <c r="E45" s="1">
        <f>C45*$D$30</f>
        <v>0</v>
      </c>
      <c r="F45" s="1">
        <f>IF(E45&lt;=$M$7,$M$16*E45+$N$16,IF(E45&lt;$M$8,$M$18*E45+$N$18,IF(E45&lt;$M$9,$M$18*E45+$N$18,$M$19*E45+$N$19)))</f>
        <v>0.23499999999999999</v>
      </c>
      <c r="G45" s="1">
        <f>IF(E45&lt;=$M$7,$O$16*E45+$P$16,IF(E45&lt;$M$8,$O$18*E45+$P$18,IF(E45&lt;$M$9,$O$17*E45+$P$17,$O$19*E45+$P$19)))</f>
        <v>2.7755575615628914E-17</v>
      </c>
      <c r="H45" s="2">
        <f t="shared" ref="H45:K60" si="1">MAX(AD45,AH45,AL45,AP45)/2</f>
        <v>50</v>
      </c>
      <c r="I45" s="2">
        <f t="shared" si="1"/>
        <v>30.4116</v>
      </c>
      <c r="J45" s="2">
        <f t="shared" si="1"/>
        <v>48.971000000000004</v>
      </c>
      <c r="K45" s="1">
        <f t="shared" si="1"/>
        <v>29.3826</v>
      </c>
      <c r="L45" s="1"/>
      <c r="M45" s="1"/>
      <c r="N45" s="1"/>
      <c r="O45" s="1"/>
      <c r="P45" s="1"/>
      <c r="Q45" s="1"/>
      <c r="R45" s="2">
        <f>IF(E45&lt;$M$7,$G$7,IF(E45=$M$7,$G$8,IF(E45&lt;$M$8,$G$8,IF(E45&lt;$M$9,($G$8+$G$9)/2,$G$9))))</f>
        <v>76.180994952308694</v>
      </c>
      <c r="S45" s="2">
        <f>IF(E45&lt;$M$7,$H$7,IF(E45=$M$7,$H$8,IF(E45&lt;$M$8,$H$8,IF(E45&lt;$M$9,($H$8+$H$9)/2,$H$9))))</f>
        <v>13.671029065039718</v>
      </c>
      <c r="T45" s="147">
        <f>R45*(10^9)*L45*(10^-12)</f>
        <v>0</v>
      </c>
      <c r="U45" s="147">
        <f>S45*(10^9)*N45*(10^-12)</f>
        <v>0</v>
      </c>
      <c r="V45" s="2">
        <f>H45</f>
        <v>50</v>
      </c>
      <c r="W45" s="2">
        <f>-H45</f>
        <v>-50</v>
      </c>
      <c r="X45" s="2">
        <f>I45</f>
        <v>30.4116</v>
      </c>
      <c r="Y45" s="2">
        <f>-I45</f>
        <v>-30.4116</v>
      </c>
      <c r="Z45" s="2">
        <f>J45</f>
        <v>48.971000000000004</v>
      </c>
      <c r="AA45" s="2">
        <f>-J45</f>
        <v>-48.971000000000004</v>
      </c>
      <c r="AB45" s="2">
        <f>K45</f>
        <v>29.3826</v>
      </c>
      <c r="AC45" s="2">
        <f>-K45</f>
        <v>-29.3826</v>
      </c>
      <c r="AD45" s="2">
        <f>IF(AF45="","",AF45+2*$D$27*$C$6)</f>
        <v>100</v>
      </c>
      <c r="AE45" s="2">
        <f>IF(AG45="","",AG45+2*$D$27*$D$6)</f>
        <v>60.8232</v>
      </c>
      <c r="AF45" s="2">
        <f>IF(E45&lt;=$M$7,$AF$6*E45+$AG$6,"")</f>
        <v>97.942000000000007</v>
      </c>
      <c r="AG45" s="2">
        <f t="shared" ref="AG45:AG108" si="2">IF(AF45="","",AF45*$D$20)</f>
        <v>58.7652</v>
      </c>
      <c r="AH45" s="2" t="str">
        <f>IF(AJ45="","",AJ45+2*$D$27*$C$7)</f>
        <v/>
      </c>
      <c r="AI45" s="2" t="str">
        <f>IF(AK45="","",AK45+2*$D$27*$D$7)</f>
        <v/>
      </c>
      <c r="AJ45" s="2" t="str">
        <f>IF(E45=$M$7,$AH$7*E45+$AI$7,"")</f>
        <v/>
      </c>
      <c r="AK45" s="2" t="str">
        <f>IF(AJ45="","",AJ45*$D$19)</f>
        <v/>
      </c>
      <c r="AL45" s="2" t="str">
        <f>IF(AN45="","",AN45+2*$D$27*$C$8)</f>
        <v/>
      </c>
      <c r="AM45" s="2" t="str">
        <f>IF(AO45="","",AO45+2*$D$27*$D$8)</f>
        <v/>
      </c>
      <c r="AN45" s="2" t="str">
        <f>IF(E45&lt;$M$7,"",IF(E45&lt;$M$9,$AJ$8*E45+$AK$8,""))</f>
        <v/>
      </c>
      <c r="AO45" s="2" t="str">
        <f>IF(AN45="","",AN45*$D$19)</f>
        <v/>
      </c>
      <c r="AP45" s="2" t="str">
        <f>IF(AR45="","",AR45+2*$D$27*$C$9)</f>
        <v/>
      </c>
      <c r="AQ45" s="2" t="str">
        <f>IF(AS45="","",AS45+2*$D$27*$D$9)</f>
        <v/>
      </c>
      <c r="AR45" s="2" t="str">
        <f>IF(E45&lt;=$M$8,"",IF(E45&lt;=$M$10,$AL$9*E45+$AM$9,""))</f>
        <v/>
      </c>
      <c r="AS45" s="2" t="str">
        <f>IF(AR45="","",AR45*$D$19)</f>
        <v/>
      </c>
      <c r="AT45" s="2">
        <f>IF(AD45="","",PI()*(AD45*AE45-AF45*AG45)/4)</f>
        <v>256.62003897935926</v>
      </c>
      <c r="AU45" s="2" t="str">
        <f>IF(AH45="","",PI()*(AH45*AI45-AJ45*AK45)/4)</f>
        <v/>
      </c>
      <c r="AV45" s="2" t="str">
        <f>IF(AL45="","",PI()*(AL45*AM45-AN45*AO45)/4)</f>
        <v/>
      </c>
      <c r="AW45" s="2" t="str">
        <f>IF(AP45="","",PI()*(AP45*AQ45-AR45*AS45)/4)</f>
        <v/>
      </c>
      <c r="AX45" s="2">
        <f>IF($E45&lt;=$M$7,AVERAGE(AT45:AT46)*(10^-6)*($E46-$E45),"")</f>
        <v>1.2831001948967962E-5</v>
      </c>
      <c r="AY45" s="2" t="str">
        <f>IF($E45=$M$7,AU45*(10^-6)*($F45-$F46)*2,"")</f>
        <v/>
      </c>
      <c r="AZ45" s="2" t="str">
        <f>IF($E45&lt;$M$7,"",IF($E45&lt;$M$9,AVERAGE(AV45:AV46)*(10^-6)*($E46-$E45),""))</f>
        <v/>
      </c>
      <c r="BA45" s="2" t="str">
        <f>IF($E45&lt;=$M$8,"",IF($E45&lt;=$M$10,AVERAGE(AW45:AW46)*(10^-6)*($E46-$E45),""))</f>
        <v/>
      </c>
      <c r="BB45" s="2">
        <f t="shared" ref="BB45:BE60" si="3">IF(AX45="","",AX45*$AR$4)</f>
        <v>1.9246502923451942E-2</v>
      </c>
      <c r="BC45" s="2" t="str">
        <f t="shared" si="3"/>
        <v/>
      </c>
      <c r="BD45" s="2" t="str">
        <f t="shared" si="3"/>
        <v/>
      </c>
      <c r="BE45" s="2" t="str">
        <f t="shared" si="3"/>
        <v/>
      </c>
      <c r="BF45" s="1">
        <f>SUM(BB45:BE45)</f>
        <v>1.9246502923451942E-2</v>
      </c>
      <c r="BH45" s="2">
        <f>G45*G45</f>
        <v>7.7037197775489434E-34</v>
      </c>
      <c r="BI45" s="2">
        <f>G45*G45+E45*E45</f>
        <v>7.7037197775489434E-34</v>
      </c>
      <c r="BJ45" s="2">
        <f>E45*E45</f>
        <v>0</v>
      </c>
      <c r="BK45" s="2">
        <f>E45*G45</f>
        <v>0</v>
      </c>
      <c r="BM45" s="2">
        <f>-F45</f>
        <v>-0.23499999999999999</v>
      </c>
    </row>
    <row r="46" spans="1:100">
      <c r="B46" s="1"/>
      <c r="C46" s="34">
        <v>1</v>
      </c>
      <c r="D46" s="1" t="str">
        <f>IF(E46&lt;$M$7,"パイプ",IF(E46=$M$7,"T字",IF(E46&lt;=$M$8,"胴接",IF(E46&lt;=$M$9,"0胴接合","胴体"))))</f>
        <v>パイプ</v>
      </c>
      <c r="E46" s="1">
        <f>C46*$D$30</f>
        <v>0.05</v>
      </c>
      <c r="F46" s="1">
        <f>IF(E46&lt;=$M$7,$M$16*E46+$N$16,IF(E46&lt;$M$8,$M$18*E46+$N$18,IF(E46&lt;$M$9,$M$18*E46+$N$18,$M$19*E46+$N$19)))</f>
        <v>0.2205</v>
      </c>
      <c r="G46" s="1">
        <f>IF(E46&lt;=$M$7,$O$16*E46+$P$16,IF(E46&lt;$M$8,$O$18*E46+$P$18,IF(E46&lt;$M$9,$O$17*E46+$P$17,$O$19*E46+$P$19)))</f>
        <v>6.4000000000000015E-2</v>
      </c>
      <c r="H46" s="2">
        <f t="shared" si="1"/>
        <v>50</v>
      </c>
      <c r="I46" s="2">
        <f t="shared" si="1"/>
        <v>30.4116</v>
      </c>
      <c r="J46" s="2">
        <f t="shared" si="1"/>
        <v>48.971000000000004</v>
      </c>
      <c r="K46" s="1">
        <f t="shared" si="1"/>
        <v>29.3826</v>
      </c>
      <c r="L46" s="1"/>
      <c r="M46" s="1"/>
      <c r="N46" s="1"/>
      <c r="O46" s="1"/>
      <c r="P46" s="1"/>
      <c r="Q46" s="1"/>
      <c r="R46" s="2">
        <f>IF(E46&lt;$M$7,$G$7,IF(E46=$M$7,$G$8,IF(E46&lt;$M$8,$G$8,IF(E46&lt;$M$9,($G$8+$G$9)/2,$G$9))))</f>
        <v>76.180994952308694</v>
      </c>
      <c r="S46" s="2">
        <f>IF(E46&lt;$M$7,$H$7,IF(E46=$M$7,$H$8,IF(E46&lt;$M$8,$H$8,IF(E46&lt;$M$9,($H$8+$H$9)/2,$H$9))))</f>
        <v>13.671029065039718</v>
      </c>
      <c r="T46" s="147">
        <f>R46*(10^9)*L46*(10^-12)</f>
        <v>0</v>
      </c>
      <c r="U46" s="147">
        <f>S46*(10^9)*N46*(10^-12)</f>
        <v>0</v>
      </c>
      <c r="V46" s="2">
        <f>H46</f>
        <v>50</v>
      </c>
      <c r="W46" s="2">
        <f>-H46</f>
        <v>-50</v>
      </c>
      <c r="X46" s="2">
        <f>I46</f>
        <v>30.4116</v>
      </c>
      <c r="Y46" s="2">
        <f>-I46</f>
        <v>-30.4116</v>
      </c>
      <c r="Z46" s="2">
        <f>J46</f>
        <v>48.971000000000004</v>
      </c>
      <c r="AA46" s="2">
        <f>-J46</f>
        <v>-48.971000000000004</v>
      </c>
      <c r="AB46" s="2">
        <f>K46</f>
        <v>29.3826</v>
      </c>
      <c r="AC46" s="2">
        <f>-K46</f>
        <v>-29.3826</v>
      </c>
      <c r="AD46" s="2">
        <f>IF(AF46="","",AF46+2*$D$27*$C$6)</f>
        <v>100</v>
      </c>
      <c r="AE46" s="2">
        <f>IF(AG46="","",AG46+2*$D$27*$D$6)</f>
        <v>60.8232</v>
      </c>
      <c r="AF46" s="2">
        <f>IF(E46&lt;=$M$7,$AF$6*E46+$AG$6,"")</f>
        <v>97.942000000000007</v>
      </c>
      <c r="AG46" s="2">
        <f t="shared" si="2"/>
        <v>58.7652</v>
      </c>
      <c r="AH46" s="2" t="str">
        <f>IF(AJ46="","",AJ46+2*$D$27*$C$7)</f>
        <v/>
      </c>
      <c r="AI46" s="2" t="str">
        <f>IF(AK46="","",AK46+2*$D$27*$D$7)</f>
        <v/>
      </c>
      <c r="AJ46" s="2" t="str">
        <f>IF(E46=$M$7,$AH$7*E46+$AI$7,"")</f>
        <v/>
      </c>
      <c r="AK46" s="2" t="str">
        <f>IF(AJ46="","",AJ46*$D$19)</f>
        <v/>
      </c>
      <c r="AL46" s="2" t="str">
        <f>IF(AN46="","",AN46+2*$D$27*$C$8)</f>
        <v/>
      </c>
      <c r="AM46" s="2" t="str">
        <f>IF(AO46="","",AO46+2*$D$27*$D$8)</f>
        <v/>
      </c>
      <c r="AN46" s="2" t="str">
        <f>IF(E46&lt;$M$7,"",IF(E46&lt;$M$9,$AJ$8*E46+$AK$8,""))</f>
        <v/>
      </c>
      <c r="AO46" s="2" t="str">
        <f>IF(AN46="","",AN46*$D$19)</f>
        <v/>
      </c>
      <c r="AP46" s="2" t="str">
        <f>IF(AR46="","",AR46+2*$D$27*$C$9)</f>
        <v/>
      </c>
      <c r="AQ46" s="2" t="str">
        <f>IF(AS46="","",AS46+2*$D$27*$D$9)</f>
        <v/>
      </c>
      <c r="AR46" s="2" t="str">
        <f>IF(E46&lt;=$M$8,"",IF(E46&lt;=$M$10,$AL$9*E46+$AM$9,""))</f>
        <v/>
      </c>
      <c r="AS46" s="2" t="str">
        <f>IF(AR46="","",AR46*$D$19)</f>
        <v/>
      </c>
      <c r="AT46" s="2">
        <f>IF(AD46="","",PI()*(AD46*AE46-AF46*AG46)/4)</f>
        <v>256.62003897935926</v>
      </c>
      <c r="AU46" s="2" t="str">
        <f>IF(AH46="","",PI()*(AH46*AI46-AJ46*AK46)/4)</f>
        <v/>
      </c>
      <c r="AV46" s="2" t="str">
        <f>IF(AL46="","",PI()*(AL46*AM46-AN46*AO46)/4)</f>
        <v/>
      </c>
      <c r="AW46" s="2" t="str">
        <f>IF(AP46="","",PI()*(AP46*AQ46-AR46*AS46)/4)</f>
        <v/>
      </c>
      <c r="AX46" s="2">
        <f>IF($E46&lt;=$M$7,AVERAGE(AT46:AT47)*(10^-6)*($E47-$E46),"")</f>
        <v>1.2831001948967962E-5</v>
      </c>
      <c r="AY46" s="2" t="str">
        <f>IF($E46=$M$7,AU46*(10^-6)*($F46-$F47)*2,"")</f>
        <v/>
      </c>
      <c r="AZ46" s="2" t="str">
        <f>IF($E46&lt;$M$7,"",IF($E46&lt;$M$9,AVERAGE(AV46:AV47)*(10^-6)*($E47-$E46),""))</f>
        <v/>
      </c>
      <c r="BA46" s="2" t="str">
        <f>IF($E46&lt;=$M$8,"",IF($E46&lt;=$M$10,AVERAGE(AW46:AW47)*(10^-6)*($E47-$E46),""))</f>
        <v/>
      </c>
      <c r="BB46" s="2">
        <f t="shared" si="3"/>
        <v>1.9246502923451942E-2</v>
      </c>
      <c r="BC46" s="2" t="str">
        <f t="shared" si="3"/>
        <v/>
      </c>
      <c r="BD46" s="2" t="str">
        <f t="shared" si="3"/>
        <v/>
      </c>
      <c r="BE46" s="2" t="str">
        <f t="shared" si="3"/>
        <v/>
      </c>
      <c r="BF46" s="1">
        <f>SUM(BB46:BE46)</f>
        <v>1.9246502923451942E-2</v>
      </c>
      <c r="BH46" s="2">
        <f>G46*G46</f>
        <v>4.0960000000000015E-3</v>
      </c>
      <c r="BI46" s="2">
        <f>G46*G46+E46*E46</f>
        <v>6.596000000000002E-3</v>
      </c>
      <c r="BJ46" s="2">
        <f>E46*E46</f>
        <v>2.5000000000000005E-3</v>
      </c>
      <c r="BK46" s="1">
        <f>E46*G46</f>
        <v>3.200000000000001E-3</v>
      </c>
      <c r="BM46" s="1">
        <f>-F46</f>
        <v>-0.2205</v>
      </c>
    </row>
    <row r="47" spans="1:100">
      <c r="B47" s="1"/>
      <c r="C47" s="34">
        <v>2</v>
      </c>
      <c r="D47" s="1" t="str">
        <f t="shared" ref="D47:D110" si="4">IF(E47&lt;$M$7,"パイプ",IF(E47=$M$7,"T字",IF(E47&lt;=$M$8,"胴接",IF(E47&lt;=$M$9,"0胴接合","胴体"))))</f>
        <v>パイプ</v>
      </c>
      <c r="E47" s="1">
        <f t="shared" ref="E47:E110" si="5">C47*$D$30</f>
        <v>0.1</v>
      </c>
      <c r="F47" s="1">
        <f t="shared" ref="F47:F110" si="6">IF(E47&lt;=$M$7,$M$16*E47+$N$16,IF(E47&lt;$M$8,$M$18*E47+$N$18,IF(E47&lt;$M$9,$M$18*E47+$N$18,$M$19*E47+$N$19)))</f>
        <v>0.20599999999999999</v>
      </c>
      <c r="G47" s="1">
        <f t="shared" ref="G47:G110" si="7">IF(E47&lt;=$M$7,$O$16*E47+$P$16,IF(E47&lt;$M$8,$O$18*E47+$P$18,IF(E47&lt;$M$9,$O$17*E47+$P$17,$O$19*E47+$P$19)))</f>
        <v>0.128</v>
      </c>
      <c r="H47" s="2">
        <f t="shared" si="1"/>
        <v>50</v>
      </c>
      <c r="I47" s="2">
        <f t="shared" si="1"/>
        <v>30.4116</v>
      </c>
      <c r="J47" s="2">
        <f t="shared" si="1"/>
        <v>48.971000000000004</v>
      </c>
      <c r="K47" s="1">
        <f t="shared" si="1"/>
        <v>29.3826</v>
      </c>
      <c r="L47" s="1"/>
      <c r="M47" s="1"/>
      <c r="N47" s="1"/>
      <c r="O47" s="1"/>
      <c r="P47" s="1"/>
      <c r="Q47" s="1"/>
      <c r="R47" s="2">
        <f t="shared" ref="R47:R110" si="8">IF(E47&lt;$M$7,$G$7,IF(E47=$M$7,$G$8,IF(E47&lt;$M$8,$G$8,IF(E47&lt;$M$9,($G$8+$G$9)/2,$G$9))))</f>
        <v>76.180994952308694</v>
      </c>
      <c r="S47" s="2">
        <f t="shared" ref="S47:S110" si="9">IF(E47&lt;$M$7,$H$7,IF(E47=$M$7,$H$8,IF(E47&lt;$M$8,$H$8,IF(E47&lt;$M$9,($H$8+$H$9)/2,$H$9))))</f>
        <v>13.671029065039718</v>
      </c>
      <c r="T47" s="147">
        <f t="shared" ref="T47:T110" si="10">R47*(10^9)*L47*(10^-12)</f>
        <v>0</v>
      </c>
      <c r="U47" s="147">
        <f t="shared" ref="U47:U110" si="11">S47*(10^9)*N47*(10^-12)</f>
        <v>0</v>
      </c>
      <c r="V47" s="2">
        <f t="shared" ref="V47:V110" si="12">H47</f>
        <v>50</v>
      </c>
      <c r="W47" s="2">
        <f t="shared" ref="W47:W110" si="13">-H47</f>
        <v>-50</v>
      </c>
      <c r="X47" s="2">
        <f t="shared" ref="X47:X110" si="14">I47</f>
        <v>30.4116</v>
      </c>
      <c r="Y47" s="2">
        <f t="shared" ref="Y47:Y110" si="15">-I47</f>
        <v>-30.4116</v>
      </c>
      <c r="Z47" s="2">
        <f t="shared" ref="Z47:Z110" si="16">J47</f>
        <v>48.971000000000004</v>
      </c>
      <c r="AA47" s="2">
        <f t="shared" ref="AA47:AA110" si="17">-J47</f>
        <v>-48.971000000000004</v>
      </c>
      <c r="AB47" s="2">
        <f t="shared" ref="AB47:AB110" si="18">K47</f>
        <v>29.3826</v>
      </c>
      <c r="AC47" s="2">
        <f t="shared" ref="AC47:AC110" si="19">-K47</f>
        <v>-29.3826</v>
      </c>
      <c r="AD47" s="2">
        <f t="shared" ref="AD47:AD110" si="20">IF(AF47="","",AF47+2*$D$27*$C$6)</f>
        <v>100</v>
      </c>
      <c r="AE47" s="2">
        <f t="shared" ref="AE47:AE110" si="21">IF(AG47="","",AG47+2*$D$27*$D$6)</f>
        <v>60.8232</v>
      </c>
      <c r="AF47" s="2">
        <f t="shared" ref="AF47:AF110" si="22">IF(E47&lt;=$M$7,$AF$6*E47+$AG$6,"")</f>
        <v>97.942000000000007</v>
      </c>
      <c r="AG47" s="2">
        <f t="shared" si="2"/>
        <v>58.7652</v>
      </c>
      <c r="AH47" s="2" t="str">
        <f t="shared" ref="AH47:AH110" si="23">IF(AJ47="","",AJ47+2*$D$27*$C$7)</f>
        <v/>
      </c>
      <c r="AI47" s="2" t="str">
        <f t="shared" ref="AI47:AI110" si="24">IF(AK47="","",AK47+2*$D$27*$D$7)</f>
        <v/>
      </c>
      <c r="AJ47" s="2" t="str">
        <f t="shared" ref="AJ47:AJ110" si="25">IF(E47=$M$7,$AH$7*E47+$AI$7,"")</f>
        <v/>
      </c>
      <c r="AK47" s="2" t="str">
        <f t="shared" ref="AK47:AK110" si="26">IF(AJ47="","",AJ47*$D$19)</f>
        <v/>
      </c>
      <c r="AL47" s="2" t="str">
        <f t="shared" ref="AL47:AL110" si="27">IF(AN47="","",AN47+2*$D$27*$C$8)</f>
        <v/>
      </c>
      <c r="AM47" s="2" t="str">
        <f t="shared" ref="AM47:AM110" si="28">IF(AO47="","",AO47+2*$D$27*$D$8)</f>
        <v/>
      </c>
      <c r="AN47" s="2" t="str">
        <f t="shared" ref="AN47:AN110" si="29">IF(E47&lt;$M$7,"",IF(E47&lt;$M$9,$AJ$8*E47+$AK$8,""))</f>
        <v/>
      </c>
      <c r="AO47" s="2" t="str">
        <f t="shared" ref="AO47:AO110" si="30">IF(AN47="","",AN47*$D$19)</f>
        <v/>
      </c>
      <c r="AP47" s="2" t="str">
        <f t="shared" ref="AP47:AP110" si="31">IF(AR47="","",AR47+2*$D$27*$C$9)</f>
        <v/>
      </c>
      <c r="AQ47" s="2" t="str">
        <f t="shared" ref="AQ47:AQ110" si="32">IF(AS47="","",AS47+2*$D$27*$D$9)</f>
        <v/>
      </c>
      <c r="AR47" s="2" t="str">
        <f t="shared" ref="AR47:AR110" si="33">IF(E47&lt;=$M$8,"",IF(E47&lt;=$M$10,$AL$9*E47+$AM$9,""))</f>
        <v/>
      </c>
      <c r="AS47" s="2" t="str">
        <f t="shared" ref="AS47:AS110" si="34">IF(AR47="","",AR47*$D$19)</f>
        <v/>
      </c>
      <c r="AT47" s="2">
        <f t="shared" ref="AT47:AT110" si="35">IF(AD47="","",PI()*(AD47*AE47-AF47*AG47)/4)</f>
        <v>256.62003897935926</v>
      </c>
      <c r="AU47" s="2" t="str">
        <f t="shared" ref="AU47:AU110" si="36">IF(AH47="","",PI()*(AH47*AI47-AJ47*AK47)/4)</f>
        <v/>
      </c>
      <c r="AV47" s="2" t="str">
        <f t="shared" ref="AV47:AV110" si="37">IF(AL47="","",PI()*(AL47*AM47-AN47*AO47)/4)</f>
        <v/>
      </c>
      <c r="AW47" s="2" t="str">
        <f t="shared" ref="AW47:AW110" si="38">IF(AP47="","",PI()*(AP47*AQ47-AR47*AS47)/4)</f>
        <v/>
      </c>
      <c r="AX47" s="2">
        <f t="shared" ref="AX47:AX110" si="39">IF($E47&lt;=$M$7,AVERAGE(AT47:AT48)*(10^-6)*($E48-$E47),"")</f>
        <v>1.2831001948967966E-5</v>
      </c>
      <c r="AY47" s="2" t="str">
        <f t="shared" ref="AY47:AY110" si="40">IF($E47=$M$7,AU47*(10^-6)*($F47-$F48)*2,"")</f>
        <v/>
      </c>
      <c r="AZ47" s="2" t="str">
        <f t="shared" ref="AZ47:AZ110" si="41">IF($E47&lt;$M$7,"",IF($E47&lt;$M$9,AVERAGE(AV47:AV48)*(10^-6)*($E48-$E47),""))</f>
        <v/>
      </c>
      <c r="BA47" s="2" t="str">
        <f t="shared" ref="BA47:BA110" si="42">IF($E47&lt;=$M$8,"",IF($E47&lt;=$M$10,AVERAGE(AW47:AW48)*(10^-6)*($E48-$E47),""))</f>
        <v/>
      </c>
      <c r="BB47" s="2">
        <f t="shared" si="3"/>
        <v>1.9246502923451949E-2</v>
      </c>
      <c r="BC47" s="2" t="str">
        <f t="shared" si="3"/>
        <v/>
      </c>
      <c r="BD47" s="2" t="str">
        <f t="shared" si="3"/>
        <v/>
      </c>
      <c r="BE47" s="2" t="str">
        <f t="shared" si="3"/>
        <v/>
      </c>
      <c r="BF47" s="1">
        <f t="shared" ref="BF47:BF110" si="43">SUM(BB47:BE47)</f>
        <v>1.9246502923451949E-2</v>
      </c>
      <c r="BH47" s="2">
        <f t="shared" ref="BH47:BH110" si="44">G47*G47</f>
        <v>1.6383999999999999E-2</v>
      </c>
      <c r="BI47" s="2">
        <f t="shared" ref="BI47:BI110" si="45">G47*G47+E47*E47</f>
        <v>2.6384000000000001E-2</v>
      </c>
      <c r="BJ47" s="2">
        <f t="shared" ref="BJ47:BJ110" si="46">E47*E47</f>
        <v>1.0000000000000002E-2</v>
      </c>
      <c r="BK47" s="1">
        <f t="shared" ref="BK47:BK110" si="47">E47*G47</f>
        <v>1.2800000000000001E-2</v>
      </c>
      <c r="BM47" s="1">
        <f t="shared" ref="BM47:BM110" si="48">-F47</f>
        <v>-0.20599999999999999</v>
      </c>
    </row>
    <row r="48" spans="1:100">
      <c r="B48" s="1"/>
      <c r="C48" s="34">
        <v>3</v>
      </c>
      <c r="D48" s="1" t="str">
        <f t="shared" si="4"/>
        <v>パイプ</v>
      </c>
      <c r="E48" s="1">
        <f t="shared" si="5"/>
        <v>0.15000000000000002</v>
      </c>
      <c r="F48" s="1">
        <f t="shared" si="6"/>
        <v>0.1915</v>
      </c>
      <c r="G48" s="1">
        <f t="shared" si="7"/>
        <v>0.19200000000000003</v>
      </c>
      <c r="H48" s="2">
        <f t="shared" si="1"/>
        <v>50</v>
      </c>
      <c r="I48" s="2">
        <f t="shared" si="1"/>
        <v>30.4116</v>
      </c>
      <c r="J48" s="2">
        <f t="shared" si="1"/>
        <v>48.971000000000004</v>
      </c>
      <c r="K48" s="1">
        <f t="shared" si="1"/>
        <v>29.3826</v>
      </c>
      <c r="L48" s="1"/>
      <c r="M48" s="1"/>
      <c r="N48" s="1"/>
      <c r="O48" s="1"/>
      <c r="P48" s="1"/>
      <c r="Q48" s="1"/>
      <c r="R48" s="2">
        <f t="shared" si="8"/>
        <v>76.180994952308694</v>
      </c>
      <c r="S48" s="2">
        <f t="shared" si="9"/>
        <v>13.671029065039718</v>
      </c>
      <c r="T48" s="147">
        <f t="shared" si="10"/>
        <v>0</v>
      </c>
      <c r="U48" s="147">
        <f t="shared" si="11"/>
        <v>0</v>
      </c>
      <c r="V48" s="2">
        <f t="shared" si="12"/>
        <v>50</v>
      </c>
      <c r="W48" s="2">
        <f t="shared" si="13"/>
        <v>-50</v>
      </c>
      <c r="X48" s="2">
        <f t="shared" si="14"/>
        <v>30.4116</v>
      </c>
      <c r="Y48" s="2">
        <f t="shared" si="15"/>
        <v>-30.4116</v>
      </c>
      <c r="Z48" s="2">
        <f t="shared" si="16"/>
        <v>48.971000000000004</v>
      </c>
      <c r="AA48" s="2">
        <f t="shared" si="17"/>
        <v>-48.971000000000004</v>
      </c>
      <c r="AB48" s="2">
        <f t="shared" si="18"/>
        <v>29.3826</v>
      </c>
      <c r="AC48" s="2">
        <f t="shared" si="19"/>
        <v>-29.3826</v>
      </c>
      <c r="AD48" s="2">
        <f t="shared" si="20"/>
        <v>100</v>
      </c>
      <c r="AE48" s="2">
        <f t="shared" si="21"/>
        <v>60.8232</v>
      </c>
      <c r="AF48" s="2">
        <f t="shared" si="22"/>
        <v>97.942000000000007</v>
      </c>
      <c r="AG48" s="2">
        <f t="shared" si="2"/>
        <v>58.7652</v>
      </c>
      <c r="AH48" s="2" t="str">
        <f t="shared" si="23"/>
        <v/>
      </c>
      <c r="AI48" s="2" t="str">
        <f t="shared" si="24"/>
        <v/>
      </c>
      <c r="AJ48" s="2" t="str">
        <f t="shared" si="25"/>
        <v/>
      </c>
      <c r="AK48" s="2" t="str">
        <f t="shared" si="26"/>
        <v/>
      </c>
      <c r="AL48" s="2" t="str">
        <f t="shared" si="27"/>
        <v/>
      </c>
      <c r="AM48" s="2" t="str">
        <f t="shared" si="28"/>
        <v/>
      </c>
      <c r="AN48" s="2" t="str">
        <f t="shared" si="29"/>
        <v/>
      </c>
      <c r="AO48" s="2" t="str">
        <f t="shared" si="30"/>
        <v/>
      </c>
      <c r="AP48" s="2" t="str">
        <f t="shared" si="31"/>
        <v/>
      </c>
      <c r="AQ48" s="2" t="str">
        <f t="shared" si="32"/>
        <v/>
      </c>
      <c r="AR48" s="2" t="str">
        <f t="shared" si="33"/>
        <v/>
      </c>
      <c r="AS48" s="2" t="str">
        <f t="shared" si="34"/>
        <v/>
      </c>
      <c r="AT48" s="2">
        <f t="shared" si="35"/>
        <v>256.62003897935926</v>
      </c>
      <c r="AU48" s="2" t="str">
        <f t="shared" si="36"/>
        <v/>
      </c>
      <c r="AV48" s="2" t="str">
        <f t="shared" si="37"/>
        <v/>
      </c>
      <c r="AW48" s="2" t="str">
        <f t="shared" si="38"/>
        <v/>
      </c>
      <c r="AX48" s="2">
        <f t="shared" si="39"/>
        <v>1.2831001948967959E-5</v>
      </c>
      <c r="AY48" s="2" t="str">
        <f t="shared" si="40"/>
        <v/>
      </c>
      <c r="AZ48" s="2" t="str">
        <f t="shared" si="41"/>
        <v/>
      </c>
      <c r="BA48" s="2" t="str">
        <f t="shared" si="42"/>
        <v/>
      </c>
      <c r="BB48" s="2">
        <f t="shared" si="3"/>
        <v>1.9246502923451939E-2</v>
      </c>
      <c r="BC48" s="2" t="str">
        <f t="shared" si="3"/>
        <v/>
      </c>
      <c r="BD48" s="2" t="str">
        <f t="shared" si="3"/>
        <v/>
      </c>
      <c r="BE48" s="2" t="str">
        <f t="shared" si="3"/>
        <v/>
      </c>
      <c r="BF48" s="1">
        <f t="shared" si="43"/>
        <v>1.9246502923451939E-2</v>
      </c>
      <c r="BH48" s="2">
        <f t="shared" si="44"/>
        <v>3.6864000000000015E-2</v>
      </c>
      <c r="BI48" s="2">
        <f t="shared" si="45"/>
        <v>5.9364000000000021E-2</v>
      </c>
      <c r="BJ48" s="2">
        <f t="shared" si="46"/>
        <v>2.2500000000000006E-2</v>
      </c>
      <c r="BK48" s="1">
        <f t="shared" si="47"/>
        <v>2.880000000000001E-2</v>
      </c>
      <c r="BM48" s="1">
        <f t="shared" si="48"/>
        <v>-0.1915</v>
      </c>
    </row>
    <row r="49" spans="2:65">
      <c r="B49" s="1"/>
      <c r="C49" s="34">
        <v>4</v>
      </c>
      <c r="D49" s="1" t="str">
        <f t="shared" si="4"/>
        <v>パイプ</v>
      </c>
      <c r="E49" s="1">
        <f t="shared" si="5"/>
        <v>0.2</v>
      </c>
      <c r="F49" s="1">
        <f t="shared" si="6"/>
        <v>0.17699999999999999</v>
      </c>
      <c r="G49" s="1">
        <f t="shared" si="7"/>
        <v>0.25600000000000001</v>
      </c>
      <c r="H49" s="2">
        <f t="shared" si="1"/>
        <v>50</v>
      </c>
      <c r="I49" s="2">
        <f t="shared" si="1"/>
        <v>30.4116</v>
      </c>
      <c r="J49" s="2">
        <f t="shared" si="1"/>
        <v>48.971000000000004</v>
      </c>
      <c r="K49" s="1">
        <f t="shared" si="1"/>
        <v>29.3826</v>
      </c>
      <c r="L49" s="1"/>
      <c r="M49" s="1"/>
      <c r="N49" s="1"/>
      <c r="O49" s="1"/>
      <c r="P49" s="1"/>
      <c r="Q49" s="1"/>
      <c r="R49" s="2">
        <f t="shared" si="8"/>
        <v>76.180994952308694</v>
      </c>
      <c r="S49" s="2">
        <f t="shared" si="9"/>
        <v>13.671029065039718</v>
      </c>
      <c r="T49" s="147">
        <f t="shared" si="10"/>
        <v>0</v>
      </c>
      <c r="U49" s="147">
        <f t="shared" si="11"/>
        <v>0</v>
      </c>
      <c r="V49" s="2">
        <f t="shared" si="12"/>
        <v>50</v>
      </c>
      <c r="W49" s="2">
        <f t="shared" si="13"/>
        <v>-50</v>
      </c>
      <c r="X49" s="2">
        <f t="shared" si="14"/>
        <v>30.4116</v>
      </c>
      <c r="Y49" s="2">
        <f t="shared" si="15"/>
        <v>-30.4116</v>
      </c>
      <c r="Z49" s="2">
        <f t="shared" si="16"/>
        <v>48.971000000000004</v>
      </c>
      <c r="AA49" s="2">
        <f t="shared" si="17"/>
        <v>-48.971000000000004</v>
      </c>
      <c r="AB49" s="2">
        <f t="shared" si="18"/>
        <v>29.3826</v>
      </c>
      <c r="AC49" s="2">
        <f t="shared" si="19"/>
        <v>-29.3826</v>
      </c>
      <c r="AD49" s="2">
        <f t="shared" si="20"/>
        <v>100</v>
      </c>
      <c r="AE49" s="2">
        <f t="shared" si="21"/>
        <v>60.8232</v>
      </c>
      <c r="AF49" s="2">
        <f t="shared" si="22"/>
        <v>97.942000000000007</v>
      </c>
      <c r="AG49" s="2">
        <f t="shared" si="2"/>
        <v>58.7652</v>
      </c>
      <c r="AH49" s="2" t="str">
        <f t="shared" si="23"/>
        <v/>
      </c>
      <c r="AI49" s="2" t="str">
        <f t="shared" si="24"/>
        <v/>
      </c>
      <c r="AJ49" s="2" t="str">
        <f t="shared" si="25"/>
        <v/>
      </c>
      <c r="AK49" s="2" t="str">
        <f t="shared" si="26"/>
        <v/>
      </c>
      <c r="AL49" s="2" t="str">
        <f t="shared" si="27"/>
        <v/>
      </c>
      <c r="AM49" s="2" t="str">
        <f t="shared" si="28"/>
        <v/>
      </c>
      <c r="AN49" s="2" t="str">
        <f t="shared" si="29"/>
        <v/>
      </c>
      <c r="AO49" s="2" t="str">
        <f t="shared" si="30"/>
        <v/>
      </c>
      <c r="AP49" s="2" t="str">
        <f t="shared" si="31"/>
        <v/>
      </c>
      <c r="AQ49" s="2" t="str">
        <f t="shared" si="32"/>
        <v/>
      </c>
      <c r="AR49" s="2" t="str">
        <f t="shared" si="33"/>
        <v/>
      </c>
      <c r="AS49" s="2" t="str">
        <f t="shared" si="34"/>
        <v/>
      </c>
      <c r="AT49" s="2">
        <f t="shared" si="35"/>
        <v>256.62003897935926</v>
      </c>
      <c r="AU49" s="2" t="str">
        <f t="shared" si="36"/>
        <v/>
      </c>
      <c r="AV49" s="2" t="str">
        <f t="shared" si="37"/>
        <v/>
      </c>
      <c r="AW49" s="2" t="str">
        <f t="shared" si="38"/>
        <v/>
      </c>
      <c r="AX49" s="2">
        <f t="shared" si="39"/>
        <v>1.2831001948967959E-5</v>
      </c>
      <c r="AY49" s="2" t="str">
        <f t="shared" si="40"/>
        <v/>
      </c>
      <c r="AZ49" s="2" t="str">
        <f t="shared" si="41"/>
        <v/>
      </c>
      <c r="BA49" s="2" t="str">
        <f t="shared" si="42"/>
        <v/>
      </c>
      <c r="BB49" s="2">
        <f t="shared" si="3"/>
        <v>1.9246502923451939E-2</v>
      </c>
      <c r="BC49" s="2" t="str">
        <f t="shared" si="3"/>
        <v/>
      </c>
      <c r="BD49" s="2" t="str">
        <f t="shared" si="3"/>
        <v/>
      </c>
      <c r="BE49" s="2" t="str">
        <f t="shared" si="3"/>
        <v/>
      </c>
      <c r="BF49" s="1">
        <f t="shared" si="43"/>
        <v>1.9246502923451939E-2</v>
      </c>
      <c r="BH49" s="2">
        <f t="shared" si="44"/>
        <v>6.5535999999999997E-2</v>
      </c>
      <c r="BI49" s="2">
        <f t="shared" si="45"/>
        <v>0.105536</v>
      </c>
      <c r="BJ49" s="2">
        <f t="shared" si="46"/>
        <v>4.0000000000000008E-2</v>
      </c>
      <c r="BK49" s="1">
        <f t="shared" si="47"/>
        <v>5.1200000000000002E-2</v>
      </c>
      <c r="BM49" s="1">
        <f t="shared" si="48"/>
        <v>-0.17699999999999999</v>
      </c>
    </row>
    <row r="50" spans="2:65">
      <c r="B50" s="1"/>
      <c r="C50" s="34">
        <v>5</v>
      </c>
      <c r="D50" s="1" t="str">
        <f t="shared" si="4"/>
        <v>T字</v>
      </c>
      <c r="E50" s="1">
        <f t="shared" si="5"/>
        <v>0.25</v>
      </c>
      <c r="F50" s="1">
        <f t="shared" si="6"/>
        <v>0.16250000000000001</v>
      </c>
      <c r="G50" s="1">
        <f t="shared" si="7"/>
        <v>0.31999999999999995</v>
      </c>
      <c r="H50" s="2">
        <f t="shared" si="1"/>
        <v>50</v>
      </c>
      <c r="I50" s="2">
        <f t="shared" si="1"/>
        <v>45.102900000000005</v>
      </c>
      <c r="J50" s="2">
        <f t="shared" si="1"/>
        <v>48.971000000000004</v>
      </c>
      <c r="K50" s="1">
        <f t="shared" si="1"/>
        <v>44.073900000000002</v>
      </c>
      <c r="L50" s="1"/>
      <c r="M50" s="1"/>
      <c r="N50" s="1"/>
      <c r="O50" s="1"/>
      <c r="P50" s="1"/>
      <c r="Q50" s="1"/>
      <c r="R50" s="2">
        <f t="shared" si="8"/>
        <v>76.180994952308694</v>
      </c>
      <c r="S50" s="2">
        <f t="shared" si="9"/>
        <v>13.671029065039718</v>
      </c>
      <c r="T50" s="147">
        <f t="shared" si="10"/>
        <v>0</v>
      </c>
      <c r="U50" s="147">
        <f t="shared" si="11"/>
        <v>0</v>
      </c>
      <c r="V50" s="2">
        <f t="shared" si="12"/>
        <v>50</v>
      </c>
      <c r="W50" s="2">
        <f t="shared" si="13"/>
        <v>-50</v>
      </c>
      <c r="X50" s="2">
        <f t="shared" si="14"/>
        <v>45.102900000000005</v>
      </c>
      <c r="Y50" s="2">
        <f t="shared" si="15"/>
        <v>-45.102900000000005</v>
      </c>
      <c r="Z50" s="2">
        <f t="shared" si="16"/>
        <v>48.971000000000004</v>
      </c>
      <c r="AA50" s="2">
        <f t="shared" si="17"/>
        <v>-48.971000000000004</v>
      </c>
      <c r="AB50" s="2">
        <f t="shared" si="18"/>
        <v>44.073900000000002</v>
      </c>
      <c r="AC50" s="2">
        <f t="shared" si="19"/>
        <v>-44.073900000000002</v>
      </c>
      <c r="AD50" s="2">
        <f t="shared" si="20"/>
        <v>100</v>
      </c>
      <c r="AE50" s="2">
        <f t="shared" si="21"/>
        <v>60.8232</v>
      </c>
      <c r="AF50" s="2">
        <f t="shared" si="22"/>
        <v>97.942000000000007</v>
      </c>
      <c r="AG50" s="2">
        <f t="shared" si="2"/>
        <v>58.7652</v>
      </c>
      <c r="AH50" s="2">
        <f t="shared" si="23"/>
        <v>100</v>
      </c>
      <c r="AI50" s="2">
        <f t="shared" si="24"/>
        <v>90.205800000000011</v>
      </c>
      <c r="AJ50" s="2">
        <f t="shared" si="25"/>
        <v>97.942000000000007</v>
      </c>
      <c r="AK50" s="2">
        <f t="shared" si="26"/>
        <v>88.147800000000004</v>
      </c>
      <c r="AL50" s="2">
        <f t="shared" si="27"/>
        <v>100</v>
      </c>
      <c r="AM50" s="2">
        <f t="shared" si="28"/>
        <v>90.205800000000011</v>
      </c>
      <c r="AN50" s="2">
        <f t="shared" si="29"/>
        <v>97.942000000000007</v>
      </c>
      <c r="AO50" s="2">
        <f t="shared" si="30"/>
        <v>88.147800000000004</v>
      </c>
      <c r="AP50" s="2" t="str">
        <f t="shared" si="31"/>
        <v/>
      </c>
      <c r="AQ50" s="2" t="str">
        <f t="shared" si="32"/>
        <v/>
      </c>
      <c r="AR50" s="2" t="str">
        <f t="shared" si="33"/>
        <v/>
      </c>
      <c r="AS50" s="2" t="str">
        <f t="shared" si="34"/>
        <v/>
      </c>
      <c r="AT50" s="2">
        <f t="shared" si="35"/>
        <v>256.62003897935926</v>
      </c>
      <c r="AU50" s="2">
        <f t="shared" si="36"/>
        <v>304.11258745544251</v>
      </c>
      <c r="AV50" s="2">
        <f t="shared" si="37"/>
        <v>304.11258745544251</v>
      </c>
      <c r="AW50" s="2" t="str">
        <f t="shared" si="38"/>
        <v/>
      </c>
      <c r="AX50" s="2">
        <f t="shared" si="39"/>
        <v>1.2831001948967973E-5</v>
      </c>
      <c r="AY50" s="2">
        <f t="shared" si="40"/>
        <v>9.8836590923018824E-5</v>
      </c>
      <c r="AZ50" s="2">
        <f t="shared" si="41"/>
        <v>1.5205629372772139E-5</v>
      </c>
      <c r="BA50" s="2" t="str">
        <f t="shared" si="42"/>
        <v/>
      </c>
      <c r="BB50" s="2">
        <f t="shared" si="3"/>
        <v>1.9246502923451959E-2</v>
      </c>
      <c r="BC50" s="2">
        <f t="shared" si="3"/>
        <v>0.14825488638452824</v>
      </c>
      <c r="BD50" s="2">
        <f t="shared" si="3"/>
        <v>2.280844405915821E-2</v>
      </c>
      <c r="BE50" s="2" t="str">
        <f t="shared" si="3"/>
        <v/>
      </c>
      <c r="BF50" s="1">
        <f t="shared" si="43"/>
        <v>0.19030983336713841</v>
      </c>
      <c r="BH50" s="2">
        <f t="shared" si="44"/>
        <v>0.10239999999999996</v>
      </c>
      <c r="BI50" s="2">
        <f t="shared" si="45"/>
        <v>0.16489999999999996</v>
      </c>
      <c r="BJ50" s="2">
        <f t="shared" si="46"/>
        <v>6.25E-2</v>
      </c>
      <c r="BK50" s="1">
        <f t="shared" si="47"/>
        <v>7.9999999999999988E-2</v>
      </c>
      <c r="BM50" s="1">
        <f t="shared" si="48"/>
        <v>-0.16250000000000001</v>
      </c>
    </row>
    <row r="51" spans="2:65">
      <c r="B51" s="1"/>
      <c r="C51" s="34">
        <v>6</v>
      </c>
      <c r="D51" s="1" t="str">
        <f t="shared" si="4"/>
        <v>胴接</v>
      </c>
      <c r="E51" s="1">
        <f t="shared" si="5"/>
        <v>0.30000000000000004</v>
      </c>
      <c r="F51" s="1">
        <f t="shared" si="6"/>
        <v>0</v>
      </c>
      <c r="G51" s="1">
        <f t="shared" si="7"/>
        <v>0.32</v>
      </c>
      <c r="H51" s="2">
        <f t="shared" si="1"/>
        <v>50</v>
      </c>
      <c r="I51" s="2">
        <f t="shared" si="1"/>
        <v>45.102900000000005</v>
      </c>
      <c r="J51" s="2">
        <f t="shared" si="1"/>
        <v>48.971000000000004</v>
      </c>
      <c r="K51" s="1">
        <f t="shared" si="1"/>
        <v>44.073900000000002</v>
      </c>
      <c r="L51" s="1"/>
      <c r="M51" s="1"/>
      <c r="N51" s="1"/>
      <c r="O51" s="1"/>
      <c r="P51" s="1"/>
      <c r="Q51" s="1"/>
      <c r="R51" s="2">
        <f t="shared" si="8"/>
        <v>76.180994952308694</v>
      </c>
      <c r="S51" s="2">
        <f t="shared" si="9"/>
        <v>13.671029065039718</v>
      </c>
      <c r="T51" s="147">
        <f t="shared" si="10"/>
        <v>0</v>
      </c>
      <c r="U51" s="147">
        <f t="shared" si="11"/>
        <v>0</v>
      </c>
      <c r="V51" s="2">
        <f t="shared" si="12"/>
        <v>50</v>
      </c>
      <c r="W51" s="2">
        <f t="shared" si="13"/>
        <v>-50</v>
      </c>
      <c r="X51" s="2">
        <f t="shared" si="14"/>
        <v>45.102900000000005</v>
      </c>
      <c r="Y51" s="2">
        <f t="shared" si="15"/>
        <v>-45.102900000000005</v>
      </c>
      <c r="Z51" s="2">
        <f t="shared" si="16"/>
        <v>48.971000000000004</v>
      </c>
      <c r="AA51" s="2">
        <f t="shared" si="17"/>
        <v>-48.971000000000004</v>
      </c>
      <c r="AB51" s="2">
        <f t="shared" si="18"/>
        <v>44.073900000000002</v>
      </c>
      <c r="AC51" s="2">
        <f t="shared" si="19"/>
        <v>-44.073900000000002</v>
      </c>
      <c r="AD51" s="2" t="str">
        <f t="shared" si="20"/>
        <v/>
      </c>
      <c r="AE51" s="2" t="str">
        <f t="shared" si="21"/>
        <v/>
      </c>
      <c r="AF51" s="2" t="str">
        <f t="shared" si="22"/>
        <v/>
      </c>
      <c r="AG51" s="2" t="str">
        <f t="shared" si="2"/>
        <v/>
      </c>
      <c r="AH51" s="2" t="str">
        <f t="shared" si="23"/>
        <v/>
      </c>
      <c r="AI51" s="2" t="str">
        <f t="shared" si="24"/>
        <v/>
      </c>
      <c r="AJ51" s="2" t="str">
        <f t="shared" si="25"/>
        <v/>
      </c>
      <c r="AK51" s="2" t="str">
        <f t="shared" si="26"/>
        <v/>
      </c>
      <c r="AL51" s="2">
        <f t="shared" si="27"/>
        <v>100</v>
      </c>
      <c r="AM51" s="2">
        <f t="shared" si="28"/>
        <v>90.205800000000011</v>
      </c>
      <c r="AN51" s="2">
        <f t="shared" si="29"/>
        <v>97.942000000000007</v>
      </c>
      <c r="AO51" s="2">
        <f t="shared" si="30"/>
        <v>88.147800000000004</v>
      </c>
      <c r="AP51" s="2" t="str">
        <f t="shared" si="31"/>
        <v/>
      </c>
      <c r="AQ51" s="2" t="str">
        <f t="shared" si="32"/>
        <v/>
      </c>
      <c r="AR51" s="2" t="str">
        <f t="shared" si="33"/>
        <v/>
      </c>
      <c r="AS51" s="2" t="str">
        <f t="shared" si="34"/>
        <v/>
      </c>
      <c r="AT51" s="2" t="str">
        <f t="shared" si="35"/>
        <v/>
      </c>
      <c r="AU51" s="2" t="str">
        <f t="shared" si="36"/>
        <v/>
      </c>
      <c r="AV51" s="2">
        <f t="shared" si="37"/>
        <v>304.11258745544251</v>
      </c>
      <c r="AW51" s="2" t="str">
        <f t="shared" si="38"/>
        <v/>
      </c>
      <c r="AX51" s="2" t="str">
        <f t="shared" si="39"/>
        <v/>
      </c>
      <c r="AY51" s="2" t="str">
        <f t="shared" si="40"/>
        <v/>
      </c>
      <c r="AZ51" s="2">
        <f t="shared" si="41"/>
        <v>1.5205629372772122E-5</v>
      </c>
      <c r="BA51" s="2" t="str">
        <f t="shared" si="42"/>
        <v/>
      </c>
      <c r="BB51" s="2" t="str">
        <f t="shared" si="3"/>
        <v/>
      </c>
      <c r="BC51" s="2" t="str">
        <f t="shared" si="3"/>
        <v/>
      </c>
      <c r="BD51" s="2">
        <f t="shared" si="3"/>
        <v>2.2808444059158182E-2</v>
      </c>
      <c r="BE51" s="2" t="str">
        <f t="shared" si="3"/>
        <v/>
      </c>
      <c r="BF51" s="1">
        <f t="shared" si="43"/>
        <v>2.2808444059158182E-2</v>
      </c>
      <c r="BH51" s="2">
        <f t="shared" si="44"/>
        <v>0.1024</v>
      </c>
      <c r="BI51" s="2">
        <f t="shared" si="45"/>
        <v>0.19240000000000002</v>
      </c>
      <c r="BJ51" s="2">
        <f t="shared" si="46"/>
        <v>9.0000000000000024E-2</v>
      </c>
      <c r="BK51" s="1">
        <f t="shared" si="47"/>
        <v>9.6000000000000016E-2</v>
      </c>
      <c r="BM51" s="1">
        <f t="shared" si="48"/>
        <v>0</v>
      </c>
    </row>
    <row r="52" spans="2:65">
      <c r="B52" s="1"/>
      <c r="C52" s="34">
        <v>7</v>
      </c>
      <c r="D52" s="1" t="str">
        <f t="shared" si="4"/>
        <v>胴接</v>
      </c>
      <c r="E52" s="1">
        <f t="shared" si="5"/>
        <v>0.35000000000000003</v>
      </c>
      <c r="F52" s="1">
        <f t="shared" si="6"/>
        <v>0</v>
      </c>
      <c r="G52" s="1">
        <f t="shared" si="7"/>
        <v>0.32</v>
      </c>
      <c r="H52" s="2">
        <f t="shared" si="1"/>
        <v>50</v>
      </c>
      <c r="I52" s="2">
        <f t="shared" si="1"/>
        <v>45.102900000000005</v>
      </c>
      <c r="J52" s="2">
        <f t="shared" si="1"/>
        <v>48.971000000000004</v>
      </c>
      <c r="K52" s="1">
        <f t="shared" si="1"/>
        <v>44.073900000000002</v>
      </c>
      <c r="L52" s="1"/>
      <c r="M52" s="1"/>
      <c r="N52" s="1"/>
      <c r="O52" s="1"/>
      <c r="P52" s="1"/>
      <c r="Q52" s="1"/>
      <c r="R52" s="2">
        <f t="shared" si="8"/>
        <v>76.180994952308694</v>
      </c>
      <c r="S52" s="2">
        <f t="shared" si="9"/>
        <v>13.671029065039718</v>
      </c>
      <c r="T52" s="147">
        <f t="shared" si="10"/>
        <v>0</v>
      </c>
      <c r="U52" s="147">
        <f t="shared" si="11"/>
        <v>0</v>
      </c>
      <c r="V52" s="2">
        <f t="shared" si="12"/>
        <v>50</v>
      </c>
      <c r="W52" s="2">
        <f t="shared" si="13"/>
        <v>-50</v>
      </c>
      <c r="X52" s="2">
        <f t="shared" si="14"/>
        <v>45.102900000000005</v>
      </c>
      <c r="Y52" s="2">
        <f t="shared" si="15"/>
        <v>-45.102900000000005</v>
      </c>
      <c r="Z52" s="2">
        <f t="shared" si="16"/>
        <v>48.971000000000004</v>
      </c>
      <c r="AA52" s="2">
        <f t="shared" si="17"/>
        <v>-48.971000000000004</v>
      </c>
      <c r="AB52" s="2">
        <f t="shared" si="18"/>
        <v>44.073900000000002</v>
      </c>
      <c r="AC52" s="2">
        <f t="shared" si="19"/>
        <v>-44.073900000000002</v>
      </c>
      <c r="AD52" s="2" t="str">
        <f t="shared" si="20"/>
        <v/>
      </c>
      <c r="AE52" s="2" t="str">
        <f t="shared" si="21"/>
        <v/>
      </c>
      <c r="AF52" s="2" t="str">
        <f t="shared" si="22"/>
        <v/>
      </c>
      <c r="AG52" s="2" t="str">
        <f t="shared" si="2"/>
        <v/>
      </c>
      <c r="AH52" s="2" t="str">
        <f t="shared" si="23"/>
        <v/>
      </c>
      <c r="AI52" s="2" t="str">
        <f t="shared" si="24"/>
        <v/>
      </c>
      <c r="AJ52" s="2" t="str">
        <f t="shared" si="25"/>
        <v/>
      </c>
      <c r="AK52" s="2" t="str">
        <f t="shared" si="26"/>
        <v/>
      </c>
      <c r="AL52" s="2">
        <f t="shared" si="27"/>
        <v>100</v>
      </c>
      <c r="AM52" s="2">
        <f t="shared" si="28"/>
        <v>90.205800000000011</v>
      </c>
      <c r="AN52" s="2">
        <f t="shared" si="29"/>
        <v>97.942000000000007</v>
      </c>
      <c r="AO52" s="2">
        <f t="shared" si="30"/>
        <v>88.147800000000004</v>
      </c>
      <c r="AP52" s="2" t="str">
        <f t="shared" si="31"/>
        <v/>
      </c>
      <c r="AQ52" s="2" t="str">
        <f t="shared" si="32"/>
        <v/>
      </c>
      <c r="AR52" s="2" t="str">
        <f t="shared" si="33"/>
        <v/>
      </c>
      <c r="AS52" s="2" t="str">
        <f t="shared" si="34"/>
        <v/>
      </c>
      <c r="AT52" s="2" t="str">
        <f t="shared" si="35"/>
        <v/>
      </c>
      <c r="AU52" s="2" t="str">
        <f t="shared" si="36"/>
        <v/>
      </c>
      <c r="AV52" s="2">
        <f t="shared" si="37"/>
        <v>304.11258745544251</v>
      </c>
      <c r="AW52" s="2" t="str">
        <f t="shared" si="38"/>
        <v/>
      </c>
      <c r="AX52" s="2" t="str">
        <f t="shared" si="39"/>
        <v/>
      </c>
      <c r="AY52" s="2" t="str">
        <f t="shared" si="40"/>
        <v/>
      </c>
      <c r="AZ52" s="2">
        <f t="shared" si="41"/>
        <v>1.5205629372772122E-5</v>
      </c>
      <c r="BA52" s="2" t="str">
        <f t="shared" si="42"/>
        <v/>
      </c>
      <c r="BB52" s="2" t="str">
        <f t="shared" si="3"/>
        <v/>
      </c>
      <c r="BC52" s="2" t="str">
        <f t="shared" si="3"/>
        <v/>
      </c>
      <c r="BD52" s="2">
        <f t="shared" si="3"/>
        <v>2.2808444059158182E-2</v>
      </c>
      <c r="BE52" s="2" t="str">
        <f t="shared" si="3"/>
        <v/>
      </c>
      <c r="BF52" s="1">
        <f t="shared" si="43"/>
        <v>2.2808444059158182E-2</v>
      </c>
      <c r="BH52" s="2">
        <f t="shared" si="44"/>
        <v>0.1024</v>
      </c>
      <c r="BI52" s="2">
        <f t="shared" si="45"/>
        <v>0.22490000000000004</v>
      </c>
      <c r="BJ52" s="2">
        <f t="shared" si="46"/>
        <v>0.12250000000000003</v>
      </c>
      <c r="BK52" s="1">
        <f t="shared" si="47"/>
        <v>0.11200000000000002</v>
      </c>
      <c r="BM52" s="1">
        <f t="shared" si="48"/>
        <v>0</v>
      </c>
    </row>
    <row r="53" spans="2:65">
      <c r="B53" s="1"/>
      <c r="C53" s="34">
        <v>8</v>
      </c>
      <c r="D53" s="1" t="str">
        <f t="shared" si="4"/>
        <v>胴接</v>
      </c>
      <c r="E53" s="1">
        <f t="shared" si="5"/>
        <v>0.4</v>
      </c>
      <c r="F53" s="1">
        <f t="shared" si="6"/>
        <v>0</v>
      </c>
      <c r="G53" s="1">
        <f t="shared" si="7"/>
        <v>0.32</v>
      </c>
      <c r="H53" s="2">
        <f t="shared" si="1"/>
        <v>50</v>
      </c>
      <c r="I53" s="2">
        <f t="shared" si="1"/>
        <v>45.102900000000005</v>
      </c>
      <c r="J53" s="2">
        <f t="shared" si="1"/>
        <v>48.971000000000004</v>
      </c>
      <c r="K53" s="1">
        <f t="shared" si="1"/>
        <v>44.073900000000002</v>
      </c>
      <c r="L53" s="1"/>
      <c r="M53" s="1"/>
      <c r="N53" s="1"/>
      <c r="O53" s="1"/>
      <c r="P53" s="1"/>
      <c r="Q53" s="1"/>
      <c r="R53" s="2">
        <f t="shared" si="8"/>
        <v>76.180994952308694</v>
      </c>
      <c r="S53" s="2">
        <f t="shared" si="9"/>
        <v>13.671029065039718</v>
      </c>
      <c r="T53" s="147">
        <f t="shared" si="10"/>
        <v>0</v>
      </c>
      <c r="U53" s="147">
        <f t="shared" si="11"/>
        <v>0</v>
      </c>
      <c r="V53" s="2">
        <f t="shared" si="12"/>
        <v>50</v>
      </c>
      <c r="W53" s="2">
        <f t="shared" si="13"/>
        <v>-50</v>
      </c>
      <c r="X53" s="2">
        <f t="shared" si="14"/>
        <v>45.102900000000005</v>
      </c>
      <c r="Y53" s="2">
        <f t="shared" si="15"/>
        <v>-45.102900000000005</v>
      </c>
      <c r="Z53" s="2">
        <f t="shared" si="16"/>
        <v>48.971000000000004</v>
      </c>
      <c r="AA53" s="2">
        <f t="shared" si="17"/>
        <v>-48.971000000000004</v>
      </c>
      <c r="AB53" s="2">
        <f t="shared" si="18"/>
        <v>44.073900000000002</v>
      </c>
      <c r="AC53" s="2">
        <f t="shared" si="19"/>
        <v>-44.073900000000002</v>
      </c>
      <c r="AD53" s="2" t="str">
        <f t="shared" si="20"/>
        <v/>
      </c>
      <c r="AE53" s="2" t="str">
        <f t="shared" si="21"/>
        <v/>
      </c>
      <c r="AF53" s="2" t="str">
        <f t="shared" si="22"/>
        <v/>
      </c>
      <c r="AG53" s="2" t="str">
        <f t="shared" si="2"/>
        <v/>
      </c>
      <c r="AH53" s="2" t="str">
        <f t="shared" si="23"/>
        <v/>
      </c>
      <c r="AI53" s="2" t="str">
        <f t="shared" si="24"/>
        <v/>
      </c>
      <c r="AJ53" s="2" t="str">
        <f t="shared" si="25"/>
        <v/>
      </c>
      <c r="AK53" s="2" t="str">
        <f t="shared" si="26"/>
        <v/>
      </c>
      <c r="AL53" s="2">
        <f t="shared" si="27"/>
        <v>100</v>
      </c>
      <c r="AM53" s="2">
        <f t="shared" si="28"/>
        <v>90.205800000000011</v>
      </c>
      <c r="AN53" s="2">
        <f t="shared" si="29"/>
        <v>97.942000000000007</v>
      </c>
      <c r="AO53" s="2">
        <f t="shared" si="30"/>
        <v>88.147800000000004</v>
      </c>
      <c r="AP53" s="2" t="str">
        <f t="shared" si="31"/>
        <v/>
      </c>
      <c r="AQ53" s="2" t="str">
        <f t="shared" si="32"/>
        <v/>
      </c>
      <c r="AR53" s="2" t="str">
        <f t="shared" si="33"/>
        <v/>
      </c>
      <c r="AS53" s="2" t="str">
        <f t="shared" si="34"/>
        <v/>
      </c>
      <c r="AT53" s="2" t="str">
        <f t="shared" si="35"/>
        <v/>
      </c>
      <c r="AU53" s="2" t="str">
        <f t="shared" si="36"/>
        <v/>
      </c>
      <c r="AV53" s="2">
        <f t="shared" si="37"/>
        <v>304.11258745544251</v>
      </c>
      <c r="AW53" s="2" t="str">
        <f t="shared" si="38"/>
        <v/>
      </c>
      <c r="AX53" s="2" t="str">
        <f t="shared" si="39"/>
        <v/>
      </c>
      <c r="AY53" s="2" t="str">
        <f t="shared" si="40"/>
        <v/>
      </c>
      <c r="AZ53" s="2">
        <f t="shared" si="41"/>
        <v>1.5205629372772122E-5</v>
      </c>
      <c r="BA53" s="2" t="str">
        <f t="shared" si="42"/>
        <v/>
      </c>
      <c r="BB53" s="2" t="str">
        <f t="shared" si="3"/>
        <v/>
      </c>
      <c r="BC53" s="2" t="str">
        <f t="shared" si="3"/>
        <v/>
      </c>
      <c r="BD53" s="2">
        <f t="shared" si="3"/>
        <v>2.2808444059158182E-2</v>
      </c>
      <c r="BE53" s="2" t="str">
        <f t="shared" si="3"/>
        <v/>
      </c>
      <c r="BF53" s="1">
        <f t="shared" si="43"/>
        <v>2.2808444059158182E-2</v>
      </c>
      <c r="BH53" s="2">
        <f t="shared" si="44"/>
        <v>0.1024</v>
      </c>
      <c r="BI53" s="2">
        <f t="shared" si="45"/>
        <v>0.26240000000000002</v>
      </c>
      <c r="BJ53" s="2">
        <f t="shared" si="46"/>
        <v>0.16000000000000003</v>
      </c>
      <c r="BK53" s="1">
        <f t="shared" si="47"/>
        <v>0.128</v>
      </c>
      <c r="BM53" s="1">
        <f t="shared" si="48"/>
        <v>0</v>
      </c>
    </row>
    <row r="54" spans="2:65">
      <c r="B54" s="1"/>
      <c r="C54" s="34">
        <v>9</v>
      </c>
      <c r="D54" s="1" t="str">
        <f t="shared" si="4"/>
        <v>胴接</v>
      </c>
      <c r="E54" s="1">
        <f t="shared" si="5"/>
        <v>0.45</v>
      </c>
      <c r="F54" s="1">
        <f t="shared" si="6"/>
        <v>0</v>
      </c>
      <c r="G54" s="1">
        <f t="shared" si="7"/>
        <v>0.32</v>
      </c>
      <c r="H54" s="2">
        <f t="shared" si="1"/>
        <v>50</v>
      </c>
      <c r="I54" s="2">
        <f t="shared" si="1"/>
        <v>45.102900000000005</v>
      </c>
      <c r="J54" s="2">
        <f t="shared" si="1"/>
        <v>48.971000000000004</v>
      </c>
      <c r="K54" s="1">
        <f t="shared" si="1"/>
        <v>44.073900000000002</v>
      </c>
      <c r="L54" s="1"/>
      <c r="M54" s="1"/>
      <c r="N54" s="1"/>
      <c r="O54" s="1"/>
      <c r="P54" s="1"/>
      <c r="Q54" s="1"/>
      <c r="R54" s="2">
        <f t="shared" si="8"/>
        <v>80.621915448496154</v>
      </c>
      <c r="S54" s="2">
        <f t="shared" si="9"/>
        <v>13.066589748474735</v>
      </c>
      <c r="T54" s="147">
        <f t="shared" si="10"/>
        <v>0</v>
      </c>
      <c r="U54" s="147">
        <f t="shared" si="11"/>
        <v>0</v>
      </c>
      <c r="V54" s="2">
        <f t="shared" si="12"/>
        <v>50</v>
      </c>
      <c r="W54" s="2">
        <f t="shared" si="13"/>
        <v>-50</v>
      </c>
      <c r="X54" s="2">
        <f t="shared" si="14"/>
        <v>45.102900000000005</v>
      </c>
      <c r="Y54" s="2">
        <f t="shared" si="15"/>
        <v>-45.102900000000005</v>
      </c>
      <c r="Z54" s="2">
        <f t="shared" si="16"/>
        <v>48.971000000000004</v>
      </c>
      <c r="AA54" s="2">
        <f t="shared" si="17"/>
        <v>-48.971000000000004</v>
      </c>
      <c r="AB54" s="2">
        <f t="shared" si="18"/>
        <v>44.073900000000002</v>
      </c>
      <c r="AC54" s="2">
        <f t="shared" si="19"/>
        <v>-44.073900000000002</v>
      </c>
      <c r="AD54" s="2" t="str">
        <f t="shared" si="20"/>
        <v/>
      </c>
      <c r="AE54" s="2" t="str">
        <f t="shared" si="21"/>
        <v/>
      </c>
      <c r="AF54" s="2" t="str">
        <f t="shared" si="22"/>
        <v/>
      </c>
      <c r="AG54" s="2" t="str">
        <f t="shared" si="2"/>
        <v/>
      </c>
      <c r="AH54" s="2" t="str">
        <f t="shared" si="23"/>
        <v/>
      </c>
      <c r="AI54" s="2" t="str">
        <f t="shared" si="24"/>
        <v/>
      </c>
      <c r="AJ54" s="2" t="str">
        <f t="shared" si="25"/>
        <v/>
      </c>
      <c r="AK54" s="2" t="str">
        <f t="shared" si="26"/>
        <v/>
      </c>
      <c r="AL54" s="2">
        <f t="shared" si="27"/>
        <v>100</v>
      </c>
      <c r="AM54" s="2">
        <f t="shared" si="28"/>
        <v>90.205800000000011</v>
      </c>
      <c r="AN54" s="2">
        <f t="shared" si="29"/>
        <v>97.942000000000007</v>
      </c>
      <c r="AO54" s="2">
        <f t="shared" si="30"/>
        <v>88.147800000000004</v>
      </c>
      <c r="AP54" s="2" t="str">
        <f t="shared" si="31"/>
        <v/>
      </c>
      <c r="AQ54" s="2" t="str">
        <f t="shared" si="32"/>
        <v/>
      </c>
      <c r="AR54" s="2" t="str">
        <f t="shared" si="33"/>
        <v/>
      </c>
      <c r="AS54" s="2" t="str">
        <f t="shared" si="34"/>
        <v/>
      </c>
      <c r="AT54" s="2" t="str">
        <f t="shared" si="35"/>
        <v/>
      </c>
      <c r="AU54" s="2" t="str">
        <f t="shared" si="36"/>
        <v/>
      </c>
      <c r="AV54" s="2">
        <f t="shared" si="37"/>
        <v>304.11258745544251</v>
      </c>
      <c r="AW54" s="2" t="str">
        <f t="shared" si="38"/>
        <v/>
      </c>
      <c r="AX54" s="2" t="str">
        <f t="shared" si="39"/>
        <v/>
      </c>
      <c r="AY54" s="2" t="str">
        <f t="shared" si="40"/>
        <v/>
      </c>
      <c r="AZ54" s="2">
        <f t="shared" si="41"/>
        <v>1.5205629372772122E-5</v>
      </c>
      <c r="BA54" s="2" t="str">
        <f t="shared" si="42"/>
        <v/>
      </c>
      <c r="BB54" s="2" t="str">
        <f t="shared" si="3"/>
        <v/>
      </c>
      <c r="BC54" s="2" t="str">
        <f t="shared" si="3"/>
        <v/>
      </c>
      <c r="BD54" s="2">
        <f t="shared" si="3"/>
        <v>2.2808444059158182E-2</v>
      </c>
      <c r="BE54" s="2" t="str">
        <f t="shared" si="3"/>
        <v/>
      </c>
      <c r="BF54" s="1">
        <f t="shared" si="43"/>
        <v>2.2808444059158182E-2</v>
      </c>
      <c r="BH54" s="2">
        <f t="shared" si="44"/>
        <v>0.1024</v>
      </c>
      <c r="BI54" s="2">
        <f t="shared" si="45"/>
        <v>0.3049</v>
      </c>
      <c r="BJ54" s="2">
        <f t="shared" si="46"/>
        <v>0.20250000000000001</v>
      </c>
      <c r="BK54" s="1">
        <f t="shared" si="47"/>
        <v>0.14400000000000002</v>
      </c>
      <c r="BM54" s="1">
        <f t="shared" si="48"/>
        <v>0</v>
      </c>
    </row>
    <row r="55" spans="2:65">
      <c r="B55" s="1"/>
      <c r="C55" s="34">
        <v>10</v>
      </c>
      <c r="D55" s="1" t="str">
        <f t="shared" si="4"/>
        <v>0胴接合</v>
      </c>
      <c r="E55" s="1">
        <f t="shared" si="5"/>
        <v>0.5</v>
      </c>
      <c r="F55" s="1">
        <f t="shared" si="6"/>
        <v>0</v>
      </c>
      <c r="G55" s="1">
        <f t="shared" si="7"/>
        <v>0.32</v>
      </c>
      <c r="H55" s="2">
        <f t="shared" si="1"/>
        <v>53.477587302499998</v>
      </c>
      <c r="I55" s="2">
        <f t="shared" si="1"/>
        <v>47.953428572249997</v>
      </c>
      <c r="J55" s="2">
        <f t="shared" si="1"/>
        <v>52.301587302499996</v>
      </c>
      <c r="K55" s="1">
        <f t="shared" si="1"/>
        <v>47.071428572249999</v>
      </c>
      <c r="L55" s="1"/>
      <c r="M55" s="1"/>
      <c r="N55" s="1"/>
      <c r="O55" s="1"/>
      <c r="P55" s="1"/>
      <c r="Q55" s="1"/>
      <c r="R55" s="2">
        <f t="shared" si="8"/>
        <v>80.621915448496154</v>
      </c>
      <c r="S55" s="2">
        <f t="shared" si="9"/>
        <v>13.066589748474735</v>
      </c>
      <c r="T55" s="147">
        <f t="shared" si="10"/>
        <v>0</v>
      </c>
      <c r="U55" s="147">
        <f t="shared" si="11"/>
        <v>0</v>
      </c>
      <c r="V55" s="2">
        <f t="shared" si="12"/>
        <v>53.477587302499998</v>
      </c>
      <c r="W55" s="2">
        <f t="shared" si="13"/>
        <v>-53.477587302499998</v>
      </c>
      <c r="X55" s="2">
        <f t="shared" si="14"/>
        <v>47.953428572249997</v>
      </c>
      <c r="Y55" s="2">
        <f t="shared" si="15"/>
        <v>-47.953428572249997</v>
      </c>
      <c r="Z55" s="2">
        <f t="shared" si="16"/>
        <v>52.301587302499996</v>
      </c>
      <c r="AA55" s="2">
        <f t="shared" si="17"/>
        <v>-52.301587302499996</v>
      </c>
      <c r="AB55" s="2">
        <f t="shared" si="18"/>
        <v>47.071428572249999</v>
      </c>
      <c r="AC55" s="2">
        <f t="shared" si="19"/>
        <v>-47.071428572249999</v>
      </c>
      <c r="AD55" s="2" t="str">
        <f t="shared" si="20"/>
        <v/>
      </c>
      <c r="AE55" s="2" t="str">
        <f t="shared" si="21"/>
        <v/>
      </c>
      <c r="AF55" s="2" t="str">
        <f t="shared" si="22"/>
        <v/>
      </c>
      <c r="AG55" s="2" t="str">
        <f t="shared" si="2"/>
        <v/>
      </c>
      <c r="AH55" s="2" t="str">
        <f t="shared" si="23"/>
        <v/>
      </c>
      <c r="AI55" s="2" t="str">
        <f t="shared" si="24"/>
        <v/>
      </c>
      <c r="AJ55" s="2" t="str">
        <f t="shared" si="25"/>
        <v/>
      </c>
      <c r="AK55" s="2" t="str">
        <f t="shared" si="26"/>
        <v/>
      </c>
      <c r="AL55" s="2">
        <f t="shared" si="27"/>
        <v>100</v>
      </c>
      <c r="AM55" s="2">
        <f t="shared" si="28"/>
        <v>90.205800000000011</v>
      </c>
      <c r="AN55" s="2">
        <f t="shared" si="29"/>
        <v>97.942000000000007</v>
      </c>
      <c r="AO55" s="2">
        <f t="shared" si="30"/>
        <v>88.147800000000004</v>
      </c>
      <c r="AP55" s="2">
        <f t="shared" si="31"/>
        <v>106.955174605</v>
      </c>
      <c r="AQ55" s="2">
        <f t="shared" si="32"/>
        <v>95.906857144499995</v>
      </c>
      <c r="AR55" s="2">
        <f t="shared" si="33"/>
        <v>104.60317460499999</v>
      </c>
      <c r="AS55" s="2">
        <f t="shared" si="34"/>
        <v>94.142857144499999</v>
      </c>
      <c r="AT55" s="2" t="str">
        <f t="shared" si="35"/>
        <v/>
      </c>
      <c r="AU55" s="2" t="str">
        <f t="shared" si="36"/>
        <v/>
      </c>
      <c r="AV55" s="2">
        <f t="shared" si="37"/>
        <v>304.11258745544251</v>
      </c>
      <c r="AW55" s="2">
        <f t="shared" si="38"/>
        <v>322.08623247904654</v>
      </c>
      <c r="AX55" s="2" t="str">
        <f t="shared" si="39"/>
        <v/>
      </c>
      <c r="AY55" s="2" t="str">
        <f t="shared" si="40"/>
        <v/>
      </c>
      <c r="AZ55" s="2">
        <f t="shared" si="41"/>
        <v>1.5205629372772139E-5</v>
      </c>
      <c r="BA55" s="2">
        <f t="shared" si="42"/>
        <v>1.6074073794800598E-5</v>
      </c>
      <c r="BB55" s="2" t="str">
        <f t="shared" si="3"/>
        <v/>
      </c>
      <c r="BC55" s="2" t="str">
        <f t="shared" si="3"/>
        <v/>
      </c>
      <c r="BD55" s="2">
        <f t="shared" si="3"/>
        <v>2.280844405915821E-2</v>
      </c>
      <c r="BE55" s="2">
        <f t="shared" si="3"/>
        <v>2.4111110692200899E-2</v>
      </c>
      <c r="BF55" s="1">
        <f t="shared" si="43"/>
        <v>4.6919554751359109E-2</v>
      </c>
      <c r="BH55" s="2">
        <f t="shared" si="44"/>
        <v>0.1024</v>
      </c>
      <c r="BI55" s="2">
        <f t="shared" si="45"/>
        <v>0.35239999999999999</v>
      </c>
      <c r="BJ55" s="2">
        <f t="shared" si="46"/>
        <v>0.25</v>
      </c>
      <c r="BK55" s="1">
        <f t="shared" si="47"/>
        <v>0.16</v>
      </c>
      <c r="BM55" s="1">
        <f t="shared" si="48"/>
        <v>0</v>
      </c>
    </row>
    <row r="56" spans="2:65">
      <c r="B56" s="1"/>
      <c r="C56" s="34">
        <v>11</v>
      </c>
      <c r="D56" s="1" t="str">
        <f t="shared" si="4"/>
        <v>0胴接合</v>
      </c>
      <c r="E56" s="1">
        <f t="shared" si="5"/>
        <v>0.55000000000000004</v>
      </c>
      <c r="F56" s="1">
        <f t="shared" si="6"/>
        <v>0</v>
      </c>
      <c r="G56" s="1">
        <f t="shared" si="7"/>
        <v>0.32</v>
      </c>
      <c r="H56" s="2">
        <f t="shared" si="1"/>
        <v>53.279174605000001</v>
      </c>
      <c r="I56" s="2">
        <f t="shared" si="1"/>
        <v>47.774857144499997</v>
      </c>
      <c r="J56" s="2">
        <f t="shared" si="1"/>
        <v>52.103174605</v>
      </c>
      <c r="K56" s="1">
        <f t="shared" si="1"/>
        <v>46.892857144499999</v>
      </c>
      <c r="L56" s="1"/>
      <c r="M56" s="1"/>
      <c r="N56" s="1"/>
      <c r="O56" s="1"/>
      <c r="P56" s="1"/>
      <c r="Q56" s="1"/>
      <c r="R56" s="2">
        <f t="shared" si="8"/>
        <v>80.621915448496154</v>
      </c>
      <c r="S56" s="2">
        <f t="shared" si="9"/>
        <v>13.066589748474735</v>
      </c>
      <c r="T56" s="147">
        <f t="shared" si="10"/>
        <v>0</v>
      </c>
      <c r="U56" s="147">
        <f t="shared" si="11"/>
        <v>0</v>
      </c>
      <c r="V56" s="2">
        <f t="shared" si="12"/>
        <v>53.279174605000001</v>
      </c>
      <c r="W56" s="2">
        <f t="shared" si="13"/>
        <v>-53.279174605000001</v>
      </c>
      <c r="X56" s="2">
        <f t="shared" si="14"/>
        <v>47.774857144499997</v>
      </c>
      <c r="Y56" s="2">
        <f t="shared" si="15"/>
        <v>-47.774857144499997</v>
      </c>
      <c r="Z56" s="2">
        <f t="shared" si="16"/>
        <v>52.103174605</v>
      </c>
      <c r="AA56" s="2">
        <f t="shared" si="17"/>
        <v>-52.103174605</v>
      </c>
      <c r="AB56" s="2">
        <f t="shared" si="18"/>
        <v>46.892857144499999</v>
      </c>
      <c r="AC56" s="2">
        <f t="shared" si="19"/>
        <v>-46.892857144499999</v>
      </c>
      <c r="AD56" s="2" t="str">
        <f t="shared" si="20"/>
        <v/>
      </c>
      <c r="AE56" s="2" t="str">
        <f t="shared" si="21"/>
        <v/>
      </c>
      <c r="AF56" s="2" t="str">
        <f t="shared" si="22"/>
        <v/>
      </c>
      <c r="AG56" s="2" t="str">
        <f t="shared" si="2"/>
        <v/>
      </c>
      <c r="AH56" s="2" t="str">
        <f t="shared" si="23"/>
        <v/>
      </c>
      <c r="AI56" s="2" t="str">
        <f t="shared" si="24"/>
        <v/>
      </c>
      <c r="AJ56" s="2" t="str">
        <f t="shared" si="25"/>
        <v/>
      </c>
      <c r="AK56" s="2" t="str">
        <f t="shared" si="26"/>
        <v/>
      </c>
      <c r="AL56" s="2">
        <f t="shared" si="27"/>
        <v>100</v>
      </c>
      <c r="AM56" s="2">
        <f t="shared" si="28"/>
        <v>90.205800000000011</v>
      </c>
      <c r="AN56" s="2">
        <f t="shared" si="29"/>
        <v>97.942000000000007</v>
      </c>
      <c r="AO56" s="2">
        <f t="shared" si="30"/>
        <v>88.147800000000004</v>
      </c>
      <c r="AP56" s="2">
        <f t="shared" si="31"/>
        <v>106.55834921</v>
      </c>
      <c r="AQ56" s="2">
        <f t="shared" si="32"/>
        <v>95.549714288999994</v>
      </c>
      <c r="AR56" s="2">
        <f t="shared" si="33"/>
        <v>104.20634921</v>
      </c>
      <c r="AS56" s="2">
        <f t="shared" si="34"/>
        <v>93.785714288999998</v>
      </c>
      <c r="AT56" s="2" t="str">
        <f t="shared" si="35"/>
        <v/>
      </c>
      <c r="AU56" s="2" t="str">
        <f t="shared" si="36"/>
        <v/>
      </c>
      <c r="AV56" s="2">
        <f t="shared" si="37"/>
        <v>304.11258745544251</v>
      </c>
      <c r="AW56" s="2">
        <f t="shared" si="38"/>
        <v>320.87671931297689</v>
      </c>
      <c r="AX56" s="2" t="str">
        <f t="shared" si="39"/>
        <v/>
      </c>
      <c r="AY56" s="2" t="str">
        <f t="shared" si="40"/>
        <v/>
      </c>
      <c r="AZ56" s="2">
        <f t="shared" si="41"/>
        <v>1.5205629372772139E-5</v>
      </c>
      <c r="BA56" s="2">
        <f t="shared" si="42"/>
        <v>1.601359813649715E-5</v>
      </c>
      <c r="BB56" s="2" t="str">
        <f t="shared" si="3"/>
        <v/>
      </c>
      <c r="BC56" s="2" t="str">
        <f t="shared" si="3"/>
        <v/>
      </c>
      <c r="BD56" s="2">
        <f t="shared" si="3"/>
        <v>2.280844405915821E-2</v>
      </c>
      <c r="BE56" s="2">
        <f t="shared" si="3"/>
        <v>2.4020397204745726E-2</v>
      </c>
      <c r="BF56" s="1">
        <f t="shared" si="43"/>
        <v>4.6828841263903936E-2</v>
      </c>
      <c r="BH56" s="2">
        <f t="shared" si="44"/>
        <v>0.1024</v>
      </c>
      <c r="BI56" s="2">
        <f t="shared" si="45"/>
        <v>0.40490000000000004</v>
      </c>
      <c r="BJ56" s="2">
        <f t="shared" si="46"/>
        <v>0.30250000000000005</v>
      </c>
      <c r="BK56" s="1">
        <f t="shared" si="47"/>
        <v>0.17600000000000002</v>
      </c>
      <c r="BM56" s="1">
        <f t="shared" si="48"/>
        <v>0</v>
      </c>
    </row>
    <row r="57" spans="2:65">
      <c r="B57" s="1"/>
      <c r="C57" s="34">
        <v>12</v>
      </c>
      <c r="D57" s="1" t="str">
        <f t="shared" si="4"/>
        <v>0胴接合</v>
      </c>
      <c r="E57" s="1">
        <f t="shared" si="5"/>
        <v>0.60000000000000009</v>
      </c>
      <c r="F57" s="1">
        <f t="shared" si="6"/>
        <v>0</v>
      </c>
      <c r="G57" s="1">
        <f t="shared" si="7"/>
        <v>0.32</v>
      </c>
      <c r="H57" s="2">
        <f t="shared" si="1"/>
        <v>53.080761907499998</v>
      </c>
      <c r="I57" s="2">
        <f t="shared" si="1"/>
        <v>47.596285716749996</v>
      </c>
      <c r="J57" s="2">
        <f t="shared" si="1"/>
        <v>51.904761907499996</v>
      </c>
      <c r="K57" s="1">
        <f t="shared" si="1"/>
        <v>46.714285716749998</v>
      </c>
      <c r="L57" s="1"/>
      <c r="M57" s="1"/>
      <c r="N57" s="1"/>
      <c r="O57" s="1"/>
      <c r="P57" s="1"/>
      <c r="Q57" s="1"/>
      <c r="R57" s="2">
        <f t="shared" si="8"/>
        <v>80.621915448496154</v>
      </c>
      <c r="S57" s="2">
        <f t="shared" si="9"/>
        <v>13.066589748474735</v>
      </c>
      <c r="T57" s="147">
        <f t="shared" si="10"/>
        <v>0</v>
      </c>
      <c r="U57" s="147">
        <f t="shared" si="11"/>
        <v>0</v>
      </c>
      <c r="V57" s="2">
        <f t="shared" si="12"/>
        <v>53.080761907499998</v>
      </c>
      <c r="W57" s="2">
        <f t="shared" si="13"/>
        <v>-53.080761907499998</v>
      </c>
      <c r="X57" s="2">
        <f t="shared" si="14"/>
        <v>47.596285716749996</v>
      </c>
      <c r="Y57" s="2">
        <f t="shared" si="15"/>
        <v>-47.596285716749996</v>
      </c>
      <c r="Z57" s="2">
        <f t="shared" si="16"/>
        <v>51.904761907499996</v>
      </c>
      <c r="AA57" s="2">
        <f t="shared" si="17"/>
        <v>-51.904761907499996</v>
      </c>
      <c r="AB57" s="2">
        <f t="shared" si="18"/>
        <v>46.714285716749998</v>
      </c>
      <c r="AC57" s="2">
        <f t="shared" si="19"/>
        <v>-46.714285716749998</v>
      </c>
      <c r="AD57" s="2" t="str">
        <f t="shared" si="20"/>
        <v/>
      </c>
      <c r="AE57" s="2" t="str">
        <f t="shared" si="21"/>
        <v/>
      </c>
      <c r="AF57" s="2" t="str">
        <f t="shared" si="22"/>
        <v/>
      </c>
      <c r="AG57" s="2" t="str">
        <f t="shared" si="2"/>
        <v/>
      </c>
      <c r="AH57" s="2" t="str">
        <f t="shared" si="23"/>
        <v/>
      </c>
      <c r="AI57" s="2" t="str">
        <f t="shared" si="24"/>
        <v/>
      </c>
      <c r="AJ57" s="2" t="str">
        <f t="shared" si="25"/>
        <v/>
      </c>
      <c r="AK57" s="2" t="str">
        <f t="shared" si="26"/>
        <v/>
      </c>
      <c r="AL57" s="2">
        <f t="shared" si="27"/>
        <v>100</v>
      </c>
      <c r="AM57" s="2">
        <f t="shared" si="28"/>
        <v>90.205800000000011</v>
      </c>
      <c r="AN57" s="2">
        <f t="shared" si="29"/>
        <v>97.942000000000007</v>
      </c>
      <c r="AO57" s="2">
        <f t="shared" si="30"/>
        <v>88.147800000000004</v>
      </c>
      <c r="AP57" s="2">
        <f t="shared" si="31"/>
        <v>106.161523815</v>
      </c>
      <c r="AQ57" s="2">
        <f t="shared" si="32"/>
        <v>95.192571433499992</v>
      </c>
      <c r="AR57" s="2">
        <f t="shared" si="33"/>
        <v>103.80952381499999</v>
      </c>
      <c r="AS57" s="2">
        <f t="shared" si="34"/>
        <v>93.428571433499997</v>
      </c>
      <c r="AT57" s="2" t="str">
        <f t="shared" si="35"/>
        <v/>
      </c>
      <c r="AU57" s="2" t="str">
        <f t="shared" si="36"/>
        <v/>
      </c>
      <c r="AV57" s="2">
        <f t="shared" si="37"/>
        <v>304.11258745544251</v>
      </c>
      <c r="AW57" s="2">
        <f t="shared" si="38"/>
        <v>319.66720614690865</v>
      </c>
      <c r="AX57" s="2" t="str">
        <f t="shared" si="39"/>
        <v/>
      </c>
      <c r="AY57" s="2" t="str">
        <f t="shared" si="40"/>
        <v/>
      </c>
      <c r="AZ57" s="2">
        <f t="shared" si="41"/>
        <v>1.5205629372772105E-5</v>
      </c>
      <c r="BA57" s="2">
        <f t="shared" si="42"/>
        <v>1.5953122478193706E-5</v>
      </c>
      <c r="BB57" s="2" t="str">
        <f t="shared" si="3"/>
        <v/>
      </c>
      <c r="BC57" s="2" t="str">
        <f t="shared" si="3"/>
        <v/>
      </c>
      <c r="BD57" s="2">
        <f t="shared" si="3"/>
        <v>2.2808444059158158E-2</v>
      </c>
      <c r="BE57" s="2">
        <f t="shared" si="3"/>
        <v>2.3929683717290557E-2</v>
      </c>
      <c r="BF57" s="1">
        <f t="shared" si="43"/>
        <v>4.6738127776448715E-2</v>
      </c>
      <c r="BH57" s="2">
        <f t="shared" si="44"/>
        <v>0.1024</v>
      </c>
      <c r="BI57" s="2">
        <f t="shared" si="45"/>
        <v>0.46240000000000009</v>
      </c>
      <c r="BJ57" s="2">
        <f t="shared" si="46"/>
        <v>0.3600000000000001</v>
      </c>
      <c r="BK57" s="1">
        <f t="shared" si="47"/>
        <v>0.19200000000000003</v>
      </c>
      <c r="BM57" s="1">
        <f t="shared" si="48"/>
        <v>0</v>
      </c>
    </row>
    <row r="58" spans="2:65">
      <c r="B58" s="1"/>
      <c r="C58" s="34">
        <v>13</v>
      </c>
      <c r="D58" s="1" t="str">
        <f t="shared" si="4"/>
        <v>0胴接合</v>
      </c>
      <c r="E58" s="1">
        <f t="shared" si="5"/>
        <v>0.65</v>
      </c>
      <c r="F58" s="1">
        <f t="shared" si="6"/>
        <v>0</v>
      </c>
      <c r="G58" s="1">
        <f t="shared" si="7"/>
        <v>0.32</v>
      </c>
      <c r="H58" s="2">
        <f t="shared" si="1"/>
        <v>52.882349210000001</v>
      </c>
      <c r="I58" s="2">
        <f t="shared" si="1"/>
        <v>47.417714288999996</v>
      </c>
      <c r="J58" s="2">
        <f t="shared" si="1"/>
        <v>51.706349209999999</v>
      </c>
      <c r="K58" s="1">
        <f t="shared" si="1"/>
        <v>46.535714288999998</v>
      </c>
      <c r="L58" s="1"/>
      <c r="M58" s="1"/>
      <c r="N58" s="1"/>
      <c r="O58" s="1"/>
      <c r="P58" s="1"/>
      <c r="Q58" s="1"/>
      <c r="R58" s="2">
        <f t="shared" si="8"/>
        <v>80.621915448496154</v>
      </c>
      <c r="S58" s="2">
        <f t="shared" si="9"/>
        <v>13.066589748474735</v>
      </c>
      <c r="T58" s="147">
        <f t="shared" si="10"/>
        <v>0</v>
      </c>
      <c r="U58" s="147">
        <f t="shared" si="11"/>
        <v>0</v>
      </c>
      <c r="V58" s="2">
        <f t="shared" si="12"/>
        <v>52.882349210000001</v>
      </c>
      <c r="W58" s="2">
        <f t="shared" si="13"/>
        <v>-52.882349210000001</v>
      </c>
      <c r="X58" s="2">
        <f t="shared" si="14"/>
        <v>47.417714288999996</v>
      </c>
      <c r="Y58" s="2">
        <f t="shared" si="15"/>
        <v>-47.417714288999996</v>
      </c>
      <c r="Z58" s="2">
        <f t="shared" si="16"/>
        <v>51.706349209999999</v>
      </c>
      <c r="AA58" s="2">
        <f t="shared" si="17"/>
        <v>-51.706349209999999</v>
      </c>
      <c r="AB58" s="2">
        <f t="shared" si="18"/>
        <v>46.535714288999998</v>
      </c>
      <c r="AC58" s="2">
        <f t="shared" si="19"/>
        <v>-46.535714288999998</v>
      </c>
      <c r="AD58" s="2" t="str">
        <f t="shared" si="20"/>
        <v/>
      </c>
      <c r="AE58" s="2" t="str">
        <f t="shared" si="21"/>
        <v/>
      </c>
      <c r="AF58" s="2" t="str">
        <f t="shared" si="22"/>
        <v/>
      </c>
      <c r="AG58" s="2" t="str">
        <f t="shared" si="2"/>
        <v/>
      </c>
      <c r="AH58" s="2" t="str">
        <f t="shared" si="23"/>
        <v/>
      </c>
      <c r="AI58" s="2" t="str">
        <f t="shared" si="24"/>
        <v/>
      </c>
      <c r="AJ58" s="2" t="str">
        <f t="shared" si="25"/>
        <v/>
      </c>
      <c r="AK58" s="2" t="str">
        <f t="shared" si="26"/>
        <v/>
      </c>
      <c r="AL58" s="2">
        <f t="shared" si="27"/>
        <v>100</v>
      </c>
      <c r="AM58" s="2">
        <f t="shared" si="28"/>
        <v>90.205800000000011</v>
      </c>
      <c r="AN58" s="2">
        <f t="shared" si="29"/>
        <v>97.942000000000007</v>
      </c>
      <c r="AO58" s="2">
        <f t="shared" si="30"/>
        <v>88.147800000000004</v>
      </c>
      <c r="AP58" s="2">
        <f t="shared" si="31"/>
        <v>105.76469842</v>
      </c>
      <c r="AQ58" s="2">
        <f t="shared" si="32"/>
        <v>94.835428577999991</v>
      </c>
      <c r="AR58" s="2">
        <f t="shared" si="33"/>
        <v>103.41269842</v>
      </c>
      <c r="AS58" s="2">
        <f t="shared" si="34"/>
        <v>93.071428577999995</v>
      </c>
      <c r="AT58" s="2" t="str">
        <f t="shared" si="35"/>
        <v/>
      </c>
      <c r="AU58" s="2" t="str">
        <f t="shared" si="36"/>
        <v/>
      </c>
      <c r="AV58" s="2">
        <f t="shared" si="37"/>
        <v>304.11258745544251</v>
      </c>
      <c r="AW58" s="2">
        <f t="shared" si="38"/>
        <v>318.45769298084036</v>
      </c>
      <c r="AX58" s="2" t="str">
        <f t="shared" si="39"/>
        <v/>
      </c>
      <c r="AY58" s="2" t="str">
        <f t="shared" si="40"/>
        <v/>
      </c>
      <c r="AZ58" s="2">
        <f t="shared" si="41"/>
        <v>1.5205629372772139E-5</v>
      </c>
      <c r="BA58" s="2">
        <f t="shared" si="42"/>
        <v>1.5892646819890329E-5</v>
      </c>
      <c r="BB58" s="2" t="str">
        <f t="shared" si="3"/>
        <v/>
      </c>
      <c r="BC58" s="2" t="str">
        <f t="shared" si="3"/>
        <v/>
      </c>
      <c r="BD58" s="2">
        <f t="shared" si="3"/>
        <v>2.280844405915821E-2</v>
      </c>
      <c r="BE58" s="2">
        <f>IF(BA58="","",BA58*$AR$4)</f>
        <v>2.3838970229835492E-2</v>
      </c>
      <c r="BF58" s="1">
        <f t="shared" si="43"/>
        <v>4.6647414288993702E-2</v>
      </c>
      <c r="BH58" s="2">
        <f t="shared" si="44"/>
        <v>0.1024</v>
      </c>
      <c r="BI58" s="2">
        <f t="shared" si="45"/>
        <v>0.52490000000000003</v>
      </c>
      <c r="BJ58" s="2">
        <f t="shared" si="46"/>
        <v>0.42250000000000004</v>
      </c>
      <c r="BK58" s="1">
        <f t="shared" si="47"/>
        <v>0.20800000000000002</v>
      </c>
      <c r="BM58" s="1">
        <f t="shared" si="48"/>
        <v>0</v>
      </c>
    </row>
    <row r="59" spans="2:65">
      <c r="B59" s="1"/>
      <c r="C59" s="34">
        <v>14</v>
      </c>
      <c r="D59" s="1" t="str">
        <f t="shared" si="4"/>
        <v>0胴接合</v>
      </c>
      <c r="E59" s="1">
        <f t="shared" si="5"/>
        <v>0.70000000000000007</v>
      </c>
      <c r="F59" s="1">
        <f t="shared" si="6"/>
        <v>0</v>
      </c>
      <c r="G59" s="1">
        <f t="shared" si="7"/>
        <v>0.32</v>
      </c>
      <c r="H59" s="2">
        <f t="shared" si="1"/>
        <v>52.683936512499997</v>
      </c>
      <c r="I59" s="2">
        <f t="shared" si="1"/>
        <v>47.239142861249995</v>
      </c>
      <c r="J59" s="2">
        <f t="shared" si="1"/>
        <v>51.507936512499995</v>
      </c>
      <c r="K59" s="1">
        <f t="shared" si="1"/>
        <v>46.357142861249997</v>
      </c>
      <c r="L59" s="1"/>
      <c r="M59" s="1"/>
      <c r="N59" s="1"/>
      <c r="O59" s="1"/>
      <c r="P59" s="1"/>
      <c r="Q59" s="1"/>
      <c r="R59" s="2">
        <f t="shared" si="8"/>
        <v>80.621915448496154</v>
      </c>
      <c r="S59" s="2">
        <f t="shared" si="9"/>
        <v>13.066589748474735</v>
      </c>
      <c r="T59" s="147">
        <f t="shared" si="10"/>
        <v>0</v>
      </c>
      <c r="U59" s="147">
        <f t="shared" si="11"/>
        <v>0</v>
      </c>
      <c r="V59" s="2">
        <f t="shared" si="12"/>
        <v>52.683936512499997</v>
      </c>
      <c r="W59" s="2">
        <f t="shared" si="13"/>
        <v>-52.683936512499997</v>
      </c>
      <c r="X59" s="2">
        <f t="shared" si="14"/>
        <v>47.239142861249995</v>
      </c>
      <c r="Y59" s="2">
        <f t="shared" si="15"/>
        <v>-47.239142861249995</v>
      </c>
      <c r="Z59" s="2">
        <f t="shared" si="16"/>
        <v>51.507936512499995</v>
      </c>
      <c r="AA59" s="2">
        <f t="shared" si="17"/>
        <v>-51.507936512499995</v>
      </c>
      <c r="AB59" s="2">
        <f t="shared" si="18"/>
        <v>46.357142861249997</v>
      </c>
      <c r="AC59" s="2">
        <f t="shared" si="19"/>
        <v>-46.357142861249997</v>
      </c>
      <c r="AD59" s="2" t="str">
        <f t="shared" si="20"/>
        <v/>
      </c>
      <c r="AE59" s="2" t="str">
        <f t="shared" si="21"/>
        <v/>
      </c>
      <c r="AF59" s="2" t="str">
        <f t="shared" si="22"/>
        <v/>
      </c>
      <c r="AG59" s="2" t="str">
        <f t="shared" si="2"/>
        <v/>
      </c>
      <c r="AH59" s="2" t="str">
        <f t="shared" si="23"/>
        <v/>
      </c>
      <c r="AI59" s="2" t="str">
        <f t="shared" si="24"/>
        <v/>
      </c>
      <c r="AJ59" s="2" t="str">
        <f t="shared" si="25"/>
        <v/>
      </c>
      <c r="AK59" s="2" t="str">
        <f t="shared" si="26"/>
        <v/>
      </c>
      <c r="AL59" s="2">
        <f t="shared" si="27"/>
        <v>100</v>
      </c>
      <c r="AM59" s="2">
        <f t="shared" si="28"/>
        <v>90.205800000000011</v>
      </c>
      <c r="AN59" s="2">
        <f t="shared" si="29"/>
        <v>97.942000000000007</v>
      </c>
      <c r="AO59" s="2">
        <f t="shared" si="30"/>
        <v>88.147800000000004</v>
      </c>
      <c r="AP59" s="2">
        <f t="shared" si="31"/>
        <v>105.36787302499999</v>
      </c>
      <c r="AQ59" s="2">
        <f t="shared" si="32"/>
        <v>94.47828572249999</v>
      </c>
      <c r="AR59" s="2">
        <f t="shared" si="33"/>
        <v>103.01587302499999</v>
      </c>
      <c r="AS59" s="2">
        <f t="shared" si="34"/>
        <v>92.714285722499994</v>
      </c>
      <c r="AT59" s="2" t="str">
        <f t="shared" si="35"/>
        <v/>
      </c>
      <c r="AU59" s="2" t="str">
        <f t="shared" si="36"/>
        <v/>
      </c>
      <c r="AV59" s="2">
        <f t="shared" si="37"/>
        <v>304.11258745544251</v>
      </c>
      <c r="AW59" s="2">
        <f t="shared" si="38"/>
        <v>317.24817981477213</v>
      </c>
      <c r="AX59" s="2" t="str">
        <f t="shared" si="39"/>
        <v/>
      </c>
      <c r="AY59" s="2" t="str">
        <f t="shared" si="40"/>
        <v/>
      </c>
      <c r="AZ59" s="2">
        <f t="shared" si="41"/>
        <v>1.5205629372772105E-5</v>
      </c>
      <c r="BA59" s="2">
        <f t="shared" si="42"/>
        <v>1.5832171161586877E-5</v>
      </c>
      <c r="BB59" s="2" t="str">
        <f t="shared" si="3"/>
        <v/>
      </c>
      <c r="BC59" s="2" t="str">
        <f t="shared" si="3"/>
        <v/>
      </c>
      <c r="BD59" s="2">
        <f t="shared" si="3"/>
        <v>2.2808444059158158E-2</v>
      </c>
      <c r="BE59" s="2">
        <f t="shared" si="3"/>
        <v>2.3748256742380316E-2</v>
      </c>
      <c r="BF59" s="1">
        <f t="shared" si="43"/>
        <v>4.6556700801538474E-2</v>
      </c>
      <c r="BH59" s="2">
        <f t="shared" si="44"/>
        <v>0.1024</v>
      </c>
      <c r="BI59" s="2">
        <f t="shared" si="45"/>
        <v>0.59240000000000015</v>
      </c>
      <c r="BJ59" s="2">
        <f t="shared" si="46"/>
        <v>0.4900000000000001</v>
      </c>
      <c r="BK59" s="1">
        <f t="shared" si="47"/>
        <v>0.22400000000000003</v>
      </c>
      <c r="BM59" s="1">
        <f t="shared" si="48"/>
        <v>0</v>
      </c>
    </row>
    <row r="60" spans="2:65">
      <c r="B60" s="1"/>
      <c r="C60" s="34">
        <v>15</v>
      </c>
      <c r="D60" s="1" t="str">
        <f t="shared" si="4"/>
        <v>0胴接合</v>
      </c>
      <c r="E60" s="1">
        <f t="shared" si="5"/>
        <v>0.75</v>
      </c>
      <c r="F60" s="1">
        <f t="shared" si="6"/>
        <v>0</v>
      </c>
      <c r="G60" s="1">
        <f t="shared" si="7"/>
        <v>0.32</v>
      </c>
      <c r="H60" s="2">
        <f t="shared" si="1"/>
        <v>52.485523815000001</v>
      </c>
      <c r="I60" s="2">
        <f t="shared" si="1"/>
        <v>47.060571433499994</v>
      </c>
      <c r="J60" s="2">
        <f t="shared" si="1"/>
        <v>51.309523814999999</v>
      </c>
      <c r="K60" s="1">
        <f t="shared" si="1"/>
        <v>46.178571433499997</v>
      </c>
      <c r="L60" s="1"/>
      <c r="M60" s="1"/>
      <c r="N60" s="1"/>
      <c r="O60" s="1"/>
      <c r="P60" s="1"/>
      <c r="Q60" s="1"/>
      <c r="R60" s="2">
        <f t="shared" si="8"/>
        <v>80.621915448496154</v>
      </c>
      <c r="S60" s="2">
        <f t="shared" si="9"/>
        <v>13.066589748474735</v>
      </c>
      <c r="T60" s="147">
        <f t="shared" si="10"/>
        <v>0</v>
      </c>
      <c r="U60" s="147">
        <f t="shared" si="11"/>
        <v>0</v>
      </c>
      <c r="V60" s="2">
        <f t="shared" si="12"/>
        <v>52.485523815000001</v>
      </c>
      <c r="W60" s="2">
        <f t="shared" si="13"/>
        <v>-52.485523815000001</v>
      </c>
      <c r="X60" s="2">
        <f t="shared" si="14"/>
        <v>47.060571433499994</v>
      </c>
      <c r="Y60" s="2">
        <f t="shared" si="15"/>
        <v>-47.060571433499994</v>
      </c>
      <c r="Z60" s="2">
        <f t="shared" si="16"/>
        <v>51.309523814999999</v>
      </c>
      <c r="AA60" s="2">
        <f t="shared" si="17"/>
        <v>-51.309523814999999</v>
      </c>
      <c r="AB60" s="2">
        <f t="shared" si="18"/>
        <v>46.178571433499997</v>
      </c>
      <c r="AC60" s="2">
        <f t="shared" si="19"/>
        <v>-46.178571433499997</v>
      </c>
      <c r="AD60" s="2" t="str">
        <f t="shared" si="20"/>
        <v/>
      </c>
      <c r="AE60" s="2" t="str">
        <f t="shared" si="21"/>
        <v/>
      </c>
      <c r="AF60" s="2" t="str">
        <f t="shared" si="22"/>
        <v/>
      </c>
      <c r="AG60" s="2" t="str">
        <f t="shared" si="2"/>
        <v/>
      </c>
      <c r="AH60" s="2" t="str">
        <f t="shared" si="23"/>
        <v/>
      </c>
      <c r="AI60" s="2" t="str">
        <f t="shared" si="24"/>
        <v/>
      </c>
      <c r="AJ60" s="2" t="str">
        <f t="shared" si="25"/>
        <v/>
      </c>
      <c r="AK60" s="2" t="str">
        <f t="shared" si="26"/>
        <v/>
      </c>
      <c r="AL60" s="2">
        <f t="shared" si="27"/>
        <v>100</v>
      </c>
      <c r="AM60" s="2">
        <f t="shared" si="28"/>
        <v>90.205800000000011</v>
      </c>
      <c r="AN60" s="2">
        <f t="shared" si="29"/>
        <v>97.942000000000007</v>
      </c>
      <c r="AO60" s="2">
        <f t="shared" si="30"/>
        <v>88.147800000000004</v>
      </c>
      <c r="AP60" s="2">
        <f t="shared" si="31"/>
        <v>104.97104763</v>
      </c>
      <c r="AQ60" s="2">
        <f t="shared" si="32"/>
        <v>94.121142866999989</v>
      </c>
      <c r="AR60" s="2">
        <f t="shared" si="33"/>
        <v>102.61904763</v>
      </c>
      <c r="AS60" s="2">
        <f t="shared" si="34"/>
        <v>92.357142866999993</v>
      </c>
      <c r="AT60" s="2" t="str">
        <f t="shared" si="35"/>
        <v/>
      </c>
      <c r="AU60" s="2" t="str">
        <f t="shared" si="36"/>
        <v/>
      </c>
      <c r="AV60" s="2">
        <f t="shared" si="37"/>
        <v>304.11258745544251</v>
      </c>
      <c r="AW60" s="2">
        <f t="shared" si="38"/>
        <v>316.0386666487039</v>
      </c>
      <c r="AX60" s="2" t="str">
        <f t="shared" si="39"/>
        <v/>
      </c>
      <c r="AY60" s="2" t="str">
        <f t="shared" si="40"/>
        <v/>
      </c>
      <c r="AZ60" s="2">
        <f t="shared" si="41"/>
        <v>1.5205629372772139E-5</v>
      </c>
      <c r="BA60" s="2">
        <f t="shared" si="42"/>
        <v>1.5771695503283504E-5</v>
      </c>
      <c r="BB60" s="2" t="str">
        <f t="shared" si="3"/>
        <v/>
      </c>
      <c r="BC60" s="2" t="str">
        <f t="shared" si="3"/>
        <v/>
      </c>
      <c r="BD60" s="2">
        <f t="shared" si="3"/>
        <v>2.280844405915821E-2</v>
      </c>
      <c r="BE60" s="2">
        <f t="shared" si="3"/>
        <v>2.3657543254925258E-2</v>
      </c>
      <c r="BF60" s="1">
        <f t="shared" si="43"/>
        <v>4.6465987314083468E-2</v>
      </c>
      <c r="BH60" s="2">
        <f t="shared" si="44"/>
        <v>0.1024</v>
      </c>
      <c r="BI60" s="2">
        <f t="shared" si="45"/>
        <v>0.66490000000000005</v>
      </c>
      <c r="BJ60" s="2">
        <f t="shared" si="46"/>
        <v>0.5625</v>
      </c>
      <c r="BK60" s="1">
        <f t="shared" si="47"/>
        <v>0.24</v>
      </c>
      <c r="BM60" s="1">
        <f t="shared" si="48"/>
        <v>0</v>
      </c>
    </row>
    <row r="61" spans="2:65">
      <c r="B61" s="1"/>
      <c r="C61" s="34">
        <v>16</v>
      </c>
      <c r="D61" s="1" t="str">
        <f t="shared" si="4"/>
        <v>0胴接合</v>
      </c>
      <c r="E61" s="1">
        <f t="shared" si="5"/>
        <v>0.8</v>
      </c>
      <c r="F61" s="1">
        <f t="shared" si="6"/>
        <v>0</v>
      </c>
      <c r="G61" s="1">
        <f t="shared" si="7"/>
        <v>0.32</v>
      </c>
      <c r="H61" s="2">
        <f t="shared" ref="H61:K116" si="49">MAX(AD61,AH61,AL61,AP61)/2</f>
        <v>52.287111117500004</v>
      </c>
      <c r="I61" s="2">
        <f t="shared" si="49"/>
        <v>46.882000005750001</v>
      </c>
      <c r="J61" s="2">
        <f t="shared" si="49"/>
        <v>51.111111117500002</v>
      </c>
      <c r="K61" s="1">
        <f t="shared" si="49"/>
        <v>46.000000005750003</v>
      </c>
      <c r="L61" s="1"/>
      <c r="M61" s="1"/>
      <c r="N61" s="1"/>
      <c r="O61" s="1"/>
      <c r="P61" s="1"/>
      <c r="Q61" s="1"/>
      <c r="R61" s="2">
        <f t="shared" si="8"/>
        <v>80.621915448496154</v>
      </c>
      <c r="S61" s="2">
        <f t="shared" si="9"/>
        <v>13.066589748474735</v>
      </c>
      <c r="T61" s="147">
        <f t="shared" si="10"/>
        <v>0</v>
      </c>
      <c r="U61" s="147">
        <f t="shared" si="11"/>
        <v>0</v>
      </c>
      <c r="V61" s="2">
        <f t="shared" si="12"/>
        <v>52.287111117500004</v>
      </c>
      <c r="W61" s="2">
        <f t="shared" si="13"/>
        <v>-52.287111117500004</v>
      </c>
      <c r="X61" s="2">
        <f t="shared" si="14"/>
        <v>46.882000005750001</v>
      </c>
      <c r="Y61" s="2">
        <f t="shared" si="15"/>
        <v>-46.882000005750001</v>
      </c>
      <c r="Z61" s="2">
        <f t="shared" si="16"/>
        <v>51.111111117500002</v>
      </c>
      <c r="AA61" s="2">
        <f t="shared" si="17"/>
        <v>-51.111111117500002</v>
      </c>
      <c r="AB61" s="2">
        <f t="shared" si="18"/>
        <v>46.000000005750003</v>
      </c>
      <c r="AC61" s="2">
        <f t="shared" si="19"/>
        <v>-46.000000005750003</v>
      </c>
      <c r="AD61" s="2" t="str">
        <f t="shared" si="20"/>
        <v/>
      </c>
      <c r="AE61" s="2" t="str">
        <f t="shared" si="21"/>
        <v/>
      </c>
      <c r="AF61" s="2" t="str">
        <f t="shared" si="22"/>
        <v/>
      </c>
      <c r="AG61" s="2" t="str">
        <f t="shared" si="2"/>
        <v/>
      </c>
      <c r="AH61" s="2" t="str">
        <f t="shared" si="23"/>
        <v/>
      </c>
      <c r="AI61" s="2" t="str">
        <f t="shared" si="24"/>
        <v/>
      </c>
      <c r="AJ61" s="2" t="str">
        <f t="shared" si="25"/>
        <v/>
      </c>
      <c r="AK61" s="2" t="str">
        <f t="shared" si="26"/>
        <v/>
      </c>
      <c r="AL61" s="2">
        <f t="shared" si="27"/>
        <v>100</v>
      </c>
      <c r="AM61" s="2">
        <f t="shared" si="28"/>
        <v>90.205800000000011</v>
      </c>
      <c r="AN61" s="2">
        <f t="shared" si="29"/>
        <v>97.942000000000007</v>
      </c>
      <c r="AO61" s="2">
        <f t="shared" si="30"/>
        <v>88.147800000000004</v>
      </c>
      <c r="AP61" s="2">
        <f t="shared" si="31"/>
        <v>104.57422223500001</v>
      </c>
      <c r="AQ61" s="2">
        <f t="shared" si="32"/>
        <v>93.764000011500002</v>
      </c>
      <c r="AR61" s="2">
        <f t="shared" si="33"/>
        <v>102.222222235</v>
      </c>
      <c r="AS61" s="2">
        <f t="shared" si="34"/>
        <v>92.000000011500006</v>
      </c>
      <c r="AT61" s="2" t="str">
        <f t="shared" si="35"/>
        <v/>
      </c>
      <c r="AU61" s="2" t="str">
        <f t="shared" si="36"/>
        <v/>
      </c>
      <c r="AV61" s="2">
        <f t="shared" si="37"/>
        <v>304.11258745544251</v>
      </c>
      <c r="AW61" s="2">
        <f t="shared" si="38"/>
        <v>314.82915348263566</v>
      </c>
      <c r="AX61" s="2" t="str">
        <f t="shared" si="39"/>
        <v/>
      </c>
      <c r="AY61" s="2" t="str">
        <f t="shared" si="40"/>
        <v/>
      </c>
      <c r="AZ61" s="2">
        <f t="shared" si="41"/>
        <v>1.5205629372772139E-5</v>
      </c>
      <c r="BA61" s="2">
        <f t="shared" si="42"/>
        <v>1.571121984498009E-5</v>
      </c>
      <c r="BB61" s="2" t="str">
        <f t="shared" ref="BB61:BE116" si="50">IF(AX61="","",AX61*$AR$4)</f>
        <v/>
      </c>
      <c r="BC61" s="2" t="str">
        <f t="shared" si="50"/>
        <v/>
      </c>
      <c r="BD61" s="2">
        <f t="shared" si="50"/>
        <v>2.280844405915821E-2</v>
      </c>
      <c r="BE61" s="2">
        <f t="shared" si="50"/>
        <v>2.3566829767470134E-2</v>
      </c>
      <c r="BF61" s="1">
        <f t="shared" si="43"/>
        <v>4.6375273826628344E-2</v>
      </c>
      <c r="BH61" s="2">
        <f t="shared" si="44"/>
        <v>0.1024</v>
      </c>
      <c r="BI61" s="2">
        <f t="shared" si="45"/>
        <v>0.74240000000000017</v>
      </c>
      <c r="BJ61" s="2">
        <f t="shared" si="46"/>
        <v>0.64000000000000012</v>
      </c>
      <c r="BK61" s="1">
        <f t="shared" si="47"/>
        <v>0.25600000000000001</v>
      </c>
      <c r="BM61" s="1">
        <f t="shared" si="48"/>
        <v>0</v>
      </c>
    </row>
    <row r="62" spans="2:65">
      <c r="B62" s="1"/>
      <c r="C62" s="34">
        <v>17</v>
      </c>
      <c r="D62" s="1" t="str">
        <f t="shared" si="4"/>
        <v>0胴接合</v>
      </c>
      <c r="E62" s="1">
        <f t="shared" si="5"/>
        <v>0.85000000000000009</v>
      </c>
      <c r="F62" s="1">
        <f t="shared" si="6"/>
        <v>0</v>
      </c>
      <c r="G62" s="1">
        <f t="shared" si="7"/>
        <v>0.32</v>
      </c>
      <c r="H62" s="2">
        <f t="shared" si="49"/>
        <v>52.08869842</v>
      </c>
      <c r="I62" s="2">
        <f t="shared" si="49"/>
        <v>46.703428578</v>
      </c>
      <c r="J62" s="2">
        <f t="shared" si="49"/>
        <v>50.912698419999998</v>
      </c>
      <c r="K62" s="1">
        <f t="shared" si="49"/>
        <v>45.821428578000003</v>
      </c>
      <c r="L62" s="1"/>
      <c r="M62" s="1"/>
      <c r="N62" s="1"/>
      <c r="O62" s="1"/>
      <c r="P62" s="1"/>
      <c r="Q62" s="1"/>
      <c r="R62" s="2">
        <f t="shared" si="8"/>
        <v>85.062835944683613</v>
      </c>
      <c r="S62" s="2">
        <f t="shared" si="9"/>
        <v>12.462150431909752</v>
      </c>
      <c r="T62" s="147">
        <f t="shared" si="10"/>
        <v>0</v>
      </c>
      <c r="U62" s="147">
        <f t="shared" si="11"/>
        <v>0</v>
      </c>
      <c r="V62" s="2">
        <f t="shared" si="12"/>
        <v>52.08869842</v>
      </c>
      <c r="W62" s="2">
        <f t="shared" si="13"/>
        <v>-52.08869842</v>
      </c>
      <c r="X62" s="2">
        <f t="shared" si="14"/>
        <v>46.703428578</v>
      </c>
      <c r="Y62" s="2">
        <f t="shared" si="15"/>
        <v>-46.703428578</v>
      </c>
      <c r="Z62" s="2">
        <f t="shared" si="16"/>
        <v>50.912698419999998</v>
      </c>
      <c r="AA62" s="2">
        <f t="shared" si="17"/>
        <v>-50.912698419999998</v>
      </c>
      <c r="AB62" s="2">
        <f t="shared" si="18"/>
        <v>45.821428578000003</v>
      </c>
      <c r="AC62" s="2">
        <f t="shared" si="19"/>
        <v>-45.821428578000003</v>
      </c>
      <c r="AD62" s="2" t="str">
        <f t="shared" si="20"/>
        <v/>
      </c>
      <c r="AE62" s="2" t="str">
        <f t="shared" si="21"/>
        <v/>
      </c>
      <c r="AF62" s="2" t="str">
        <f t="shared" si="22"/>
        <v/>
      </c>
      <c r="AG62" s="2" t="str">
        <f t="shared" si="2"/>
        <v/>
      </c>
      <c r="AH62" s="2" t="str">
        <f t="shared" si="23"/>
        <v/>
      </c>
      <c r="AI62" s="2" t="str">
        <f t="shared" si="24"/>
        <v/>
      </c>
      <c r="AJ62" s="2" t="str">
        <f t="shared" si="25"/>
        <v/>
      </c>
      <c r="AK62" s="2" t="str">
        <f t="shared" si="26"/>
        <v/>
      </c>
      <c r="AL62" s="2" t="str">
        <f t="shared" si="27"/>
        <v/>
      </c>
      <c r="AM62" s="2" t="str">
        <f t="shared" si="28"/>
        <v/>
      </c>
      <c r="AN62" s="2" t="str">
        <f t="shared" si="29"/>
        <v/>
      </c>
      <c r="AO62" s="2" t="str">
        <f t="shared" si="30"/>
        <v/>
      </c>
      <c r="AP62" s="2">
        <f t="shared" si="31"/>
        <v>104.17739684</v>
      </c>
      <c r="AQ62" s="2">
        <f t="shared" si="32"/>
        <v>93.406857156000001</v>
      </c>
      <c r="AR62" s="2">
        <f t="shared" si="33"/>
        <v>101.82539684</v>
      </c>
      <c r="AS62" s="2">
        <f t="shared" si="34"/>
        <v>91.642857156000005</v>
      </c>
      <c r="AT62" s="2" t="str">
        <f t="shared" si="35"/>
        <v/>
      </c>
      <c r="AU62" s="2" t="str">
        <f t="shared" si="36"/>
        <v/>
      </c>
      <c r="AV62" s="2" t="str">
        <f t="shared" si="37"/>
        <v/>
      </c>
      <c r="AW62" s="2">
        <f t="shared" si="38"/>
        <v>313.61964031656743</v>
      </c>
      <c r="AX62" s="2" t="str">
        <f t="shared" si="39"/>
        <v/>
      </c>
      <c r="AY62" s="2" t="str">
        <f t="shared" si="40"/>
        <v/>
      </c>
      <c r="AZ62" s="2" t="str">
        <f t="shared" si="41"/>
        <v/>
      </c>
      <c r="BA62" s="2">
        <f t="shared" si="42"/>
        <v>1.5650744186676645E-5</v>
      </c>
      <c r="BB62" s="2" t="str">
        <f t="shared" si="50"/>
        <v/>
      </c>
      <c r="BC62" s="2" t="str">
        <f t="shared" si="50"/>
        <v/>
      </c>
      <c r="BD62" s="2" t="str">
        <f t="shared" si="50"/>
        <v/>
      </c>
      <c r="BE62" s="2">
        <f t="shared" si="50"/>
        <v>2.3476116280014968E-2</v>
      </c>
      <c r="BF62" s="1">
        <f t="shared" si="43"/>
        <v>2.3476116280014968E-2</v>
      </c>
      <c r="BH62" s="2">
        <f t="shared" si="44"/>
        <v>0.1024</v>
      </c>
      <c r="BI62" s="2">
        <f t="shared" si="45"/>
        <v>0.82490000000000019</v>
      </c>
      <c r="BJ62" s="2">
        <f t="shared" si="46"/>
        <v>0.72250000000000014</v>
      </c>
      <c r="BK62" s="1">
        <f t="shared" si="47"/>
        <v>0.27200000000000002</v>
      </c>
      <c r="BM62" s="1">
        <f t="shared" si="48"/>
        <v>0</v>
      </c>
    </row>
    <row r="63" spans="2:65">
      <c r="B63" s="1"/>
      <c r="C63" s="34">
        <v>18</v>
      </c>
      <c r="D63" s="1" t="str">
        <f t="shared" si="4"/>
        <v>胴体</v>
      </c>
      <c r="E63" s="1">
        <f t="shared" si="5"/>
        <v>0.9</v>
      </c>
      <c r="F63" s="1">
        <f t="shared" si="6"/>
        <v>0</v>
      </c>
      <c r="G63" s="1">
        <f t="shared" si="7"/>
        <v>0.32</v>
      </c>
      <c r="H63" s="2">
        <f t="shared" si="49"/>
        <v>51.890285722500003</v>
      </c>
      <c r="I63" s="2">
        <f t="shared" si="49"/>
        <v>46.52485715025</v>
      </c>
      <c r="J63" s="2">
        <f t="shared" si="49"/>
        <v>50.714285722500001</v>
      </c>
      <c r="K63" s="1">
        <f t="shared" si="49"/>
        <v>45.642857150250002</v>
      </c>
      <c r="L63" s="1"/>
      <c r="M63" s="1"/>
      <c r="N63" s="1"/>
      <c r="O63" s="1"/>
      <c r="P63" s="1"/>
      <c r="Q63" s="1"/>
      <c r="R63" s="2">
        <f t="shared" si="8"/>
        <v>85.062835944683613</v>
      </c>
      <c r="S63" s="2">
        <f t="shared" si="9"/>
        <v>12.462150431909752</v>
      </c>
      <c r="T63" s="147">
        <f t="shared" si="10"/>
        <v>0</v>
      </c>
      <c r="U63" s="147">
        <f t="shared" si="11"/>
        <v>0</v>
      </c>
      <c r="V63" s="2">
        <f t="shared" si="12"/>
        <v>51.890285722500003</v>
      </c>
      <c r="W63" s="2">
        <f t="shared" si="13"/>
        <v>-51.890285722500003</v>
      </c>
      <c r="X63" s="2">
        <f t="shared" si="14"/>
        <v>46.52485715025</v>
      </c>
      <c r="Y63" s="2">
        <f t="shared" si="15"/>
        <v>-46.52485715025</v>
      </c>
      <c r="Z63" s="2">
        <f t="shared" si="16"/>
        <v>50.714285722500001</v>
      </c>
      <c r="AA63" s="2">
        <f t="shared" si="17"/>
        <v>-50.714285722500001</v>
      </c>
      <c r="AB63" s="2">
        <f t="shared" si="18"/>
        <v>45.642857150250002</v>
      </c>
      <c r="AC63" s="2">
        <f t="shared" si="19"/>
        <v>-45.642857150250002</v>
      </c>
      <c r="AD63" s="2" t="str">
        <f t="shared" si="20"/>
        <v/>
      </c>
      <c r="AE63" s="2" t="str">
        <f t="shared" si="21"/>
        <v/>
      </c>
      <c r="AF63" s="2" t="str">
        <f t="shared" si="22"/>
        <v/>
      </c>
      <c r="AG63" s="2" t="str">
        <f t="shared" si="2"/>
        <v/>
      </c>
      <c r="AH63" s="2" t="str">
        <f t="shared" si="23"/>
        <v/>
      </c>
      <c r="AI63" s="2" t="str">
        <f t="shared" si="24"/>
        <v/>
      </c>
      <c r="AJ63" s="2" t="str">
        <f t="shared" si="25"/>
        <v/>
      </c>
      <c r="AK63" s="2" t="str">
        <f t="shared" si="26"/>
        <v/>
      </c>
      <c r="AL63" s="2" t="str">
        <f t="shared" si="27"/>
        <v/>
      </c>
      <c r="AM63" s="2" t="str">
        <f t="shared" si="28"/>
        <v/>
      </c>
      <c r="AN63" s="2" t="str">
        <f t="shared" si="29"/>
        <v/>
      </c>
      <c r="AO63" s="2" t="str">
        <f t="shared" si="30"/>
        <v/>
      </c>
      <c r="AP63" s="2">
        <f t="shared" si="31"/>
        <v>103.78057144500001</v>
      </c>
      <c r="AQ63" s="2">
        <f t="shared" si="32"/>
        <v>93.0497143005</v>
      </c>
      <c r="AR63" s="2">
        <f t="shared" si="33"/>
        <v>101.428571445</v>
      </c>
      <c r="AS63" s="2">
        <f t="shared" si="34"/>
        <v>91.285714300500004</v>
      </c>
      <c r="AT63" s="2" t="str">
        <f t="shared" si="35"/>
        <v/>
      </c>
      <c r="AU63" s="2" t="str">
        <f t="shared" si="36"/>
        <v/>
      </c>
      <c r="AV63" s="2" t="str">
        <f t="shared" si="37"/>
        <v/>
      </c>
      <c r="AW63" s="2">
        <f t="shared" si="38"/>
        <v>312.41012715049919</v>
      </c>
      <c r="AX63" s="2" t="str">
        <f t="shared" si="39"/>
        <v/>
      </c>
      <c r="AY63" s="2" t="str">
        <f t="shared" si="40"/>
        <v/>
      </c>
      <c r="AZ63" s="2" t="str">
        <f t="shared" si="41"/>
        <v/>
      </c>
      <c r="BA63" s="2">
        <f t="shared" si="42"/>
        <v>1.5590268528373265E-5</v>
      </c>
      <c r="BB63" s="2" t="str">
        <f t="shared" si="50"/>
        <v/>
      </c>
      <c r="BC63" s="2" t="str">
        <f t="shared" si="50"/>
        <v/>
      </c>
      <c r="BD63" s="2" t="str">
        <f t="shared" si="50"/>
        <v/>
      </c>
      <c r="BE63" s="2">
        <f t="shared" si="50"/>
        <v>2.3385402792559899E-2</v>
      </c>
      <c r="BF63" s="1">
        <f t="shared" si="43"/>
        <v>2.3385402792559899E-2</v>
      </c>
      <c r="BH63" s="2">
        <f t="shared" si="44"/>
        <v>0.1024</v>
      </c>
      <c r="BI63" s="2">
        <f t="shared" si="45"/>
        <v>0.9124000000000001</v>
      </c>
      <c r="BJ63" s="2">
        <f t="shared" si="46"/>
        <v>0.81</v>
      </c>
      <c r="BK63" s="1">
        <f t="shared" si="47"/>
        <v>0.28800000000000003</v>
      </c>
      <c r="BM63" s="1">
        <f t="shared" si="48"/>
        <v>0</v>
      </c>
    </row>
    <row r="64" spans="2:65">
      <c r="B64" s="1"/>
      <c r="C64" s="34">
        <v>19</v>
      </c>
      <c r="D64" s="1" t="str">
        <f t="shared" si="4"/>
        <v>胴体</v>
      </c>
      <c r="E64" s="1">
        <f t="shared" si="5"/>
        <v>0.95000000000000007</v>
      </c>
      <c r="F64" s="1">
        <f t="shared" si="6"/>
        <v>0</v>
      </c>
      <c r="G64" s="1">
        <f t="shared" si="7"/>
        <v>0.32</v>
      </c>
      <c r="H64" s="2">
        <f t="shared" si="49"/>
        <v>51.691873025</v>
      </c>
      <c r="I64" s="2">
        <f t="shared" si="49"/>
        <v>46.346285722499999</v>
      </c>
      <c r="J64" s="2">
        <f t="shared" si="49"/>
        <v>50.515873024999998</v>
      </c>
      <c r="K64" s="1">
        <f t="shared" si="49"/>
        <v>45.464285722500001</v>
      </c>
      <c r="L64" s="1"/>
      <c r="M64" s="1"/>
      <c r="N64" s="1"/>
      <c r="O64" s="1"/>
      <c r="P64" s="1"/>
      <c r="Q64" s="1"/>
      <c r="R64" s="2">
        <f t="shared" si="8"/>
        <v>85.062835944683613</v>
      </c>
      <c r="S64" s="2">
        <f t="shared" si="9"/>
        <v>12.462150431909752</v>
      </c>
      <c r="T64" s="147">
        <f t="shared" si="10"/>
        <v>0</v>
      </c>
      <c r="U64" s="147">
        <f t="shared" si="11"/>
        <v>0</v>
      </c>
      <c r="V64" s="2">
        <f t="shared" si="12"/>
        <v>51.691873025</v>
      </c>
      <c r="W64" s="2">
        <f t="shared" si="13"/>
        <v>-51.691873025</v>
      </c>
      <c r="X64" s="2">
        <f t="shared" si="14"/>
        <v>46.346285722499999</v>
      </c>
      <c r="Y64" s="2">
        <f t="shared" si="15"/>
        <v>-46.346285722499999</v>
      </c>
      <c r="Z64" s="2">
        <f t="shared" si="16"/>
        <v>50.515873024999998</v>
      </c>
      <c r="AA64" s="2">
        <f t="shared" si="17"/>
        <v>-50.515873024999998</v>
      </c>
      <c r="AB64" s="2">
        <f t="shared" si="18"/>
        <v>45.464285722500001</v>
      </c>
      <c r="AC64" s="2">
        <f t="shared" si="19"/>
        <v>-45.464285722500001</v>
      </c>
      <c r="AD64" s="2" t="str">
        <f t="shared" si="20"/>
        <v/>
      </c>
      <c r="AE64" s="2" t="str">
        <f t="shared" si="21"/>
        <v/>
      </c>
      <c r="AF64" s="2" t="str">
        <f t="shared" si="22"/>
        <v/>
      </c>
      <c r="AG64" s="2" t="str">
        <f t="shared" si="2"/>
        <v/>
      </c>
      <c r="AH64" s="2" t="str">
        <f t="shared" si="23"/>
        <v/>
      </c>
      <c r="AI64" s="2" t="str">
        <f t="shared" si="24"/>
        <v/>
      </c>
      <c r="AJ64" s="2" t="str">
        <f t="shared" si="25"/>
        <v/>
      </c>
      <c r="AK64" s="2" t="str">
        <f t="shared" si="26"/>
        <v/>
      </c>
      <c r="AL64" s="2" t="str">
        <f t="shared" si="27"/>
        <v/>
      </c>
      <c r="AM64" s="2" t="str">
        <f t="shared" si="28"/>
        <v/>
      </c>
      <c r="AN64" s="2" t="str">
        <f t="shared" si="29"/>
        <v/>
      </c>
      <c r="AO64" s="2" t="str">
        <f t="shared" si="30"/>
        <v/>
      </c>
      <c r="AP64" s="2">
        <f t="shared" si="31"/>
        <v>103.38374605</v>
      </c>
      <c r="AQ64" s="2">
        <f t="shared" si="32"/>
        <v>92.692571444999999</v>
      </c>
      <c r="AR64" s="2">
        <f t="shared" si="33"/>
        <v>101.03174605</v>
      </c>
      <c r="AS64" s="2">
        <f t="shared" si="34"/>
        <v>90.928571445000003</v>
      </c>
      <c r="AT64" s="2" t="str">
        <f t="shared" si="35"/>
        <v/>
      </c>
      <c r="AU64" s="2" t="str">
        <f t="shared" si="36"/>
        <v/>
      </c>
      <c r="AV64" s="2" t="str">
        <f t="shared" si="37"/>
        <v/>
      </c>
      <c r="AW64" s="2">
        <f t="shared" si="38"/>
        <v>311.20061398443096</v>
      </c>
      <c r="AX64" s="2" t="str">
        <f t="shared" si="39"/>
        <v/>
      </c>
      <c r="AY64" s="2" t="str">
        <f t="shared" si="40"/>
        <v/>
      </c>
      <c r="AZ64" s="2" t="str">
        <f t="shared" si="41"/>
        <v/>
      </c>
      <c r="BA64" s="2">
        <f t="shared" si="42"/>
        <v>1.5529792870069821E-5</v>
      </c>
      <c r="BB64" s="2" t="str">
        <f t="shared" si="50"/>
        <v/>
      </c>
      <c r="BC64" s="2" t="str">
        <f t="shared" si="50"/>
        <v/>
      </c>
      <c r="BD64" s="2" t="str">
        <f t="shared" si="50"/>
        <v/>
      </c>
      <c r="BE64" s="2">
        <f t="shared" si="50"/>
        <v>2.329468930510473E-2</v>
      </c>
      <c r="BF64" s="1">
        <f t="shared" si="43"/>
        <v>2.329468930510473E-2</v>
      </c>
      <c r="BH64" s="2">
        <f t="shared" si="44"/>
        <v>0.1024</v>
      </c>
      <c r="BI64" s="2">
        <f t="shared" si="45"/>
        <v>1.0049000000000001</v>
      </c>
      <c r="BJ64" s="2">
        <f t="shared" si="46"/>
        <v>0.90250000000000008</v>
      </c>
      <c r="BK64" s="1">
        <f t="shared" si="47"/>
        <v>0.30400000000000005</v>
      </c>
      <c r="BM64" s="1">
        <f t="shared" si="48"/>
        <v>0</v>
      </c>
    </row>
    <row r="65" spans="2:65">
      <c r="B65" s="1"/>
      <c r="C65" s="34">
        <v>20</v>
      </c>
      <c r="D65" s="1" t="str">
        <f t="shared" si="4"/>
        <v>胴体</v>
      </c>
      <c r="E65" s="1">
        <f t="shared" si="5"/>
        <v>1</v>
      </c>
      <c r="F65" s="1">
        <f t="shared" si="6"/>
        <v>0</v>
      </c>
      <c r="G65" s="1">
        <f t="shared" si="7"/>
        <v>0.32</v>
      </c>
      <c r="H65" s="2">
        <f t="shared" si="49"/>
        <v>51.493460327500003</v>
      </c>
      <c r="I65" s="2">
        <f t="shared" si="49"/>
        <v>46.167714294749999</v>
      </c>
      <c r="J65" s="2">
        <f t="shared" si="49"/>
        <v>50.317460327500001</v>
      </c>
      <c r="K65" s="1">
        <f t="shared" si="49"/>
        <v>45.285714294750001</v>
      </c>
      <c r="L65" s="1"/>
      <c r="M65" s="1"/>
      <c r="N65" s="1"/>
      <c r="O65" s="1"/>
      <c r="P65" s="1"/>
      <c r="Q65" s="1"/>
      <c r="R65" s="2">
        <f t="shared" si="8"/>
        <v>85.062835944683613</v>
      </c>
      <c r="S65" s="2">
        <f t="shared" si="9"/>
        <v>12.462150431909752</v>
      </c>
      <c r="T65" s="147">
        <f t="shared" si="10"/>
        <v>0</v>
      </c>
      <c r="U65" s="147">
        <f t="shared" si="11"/>
        <v>0</v>
      </c>
      <c r="V65" s="2">
        <f t="shared" si="12"/>
        <v>51.493460327500003</v>
      </c>
      <c r="W65" s="2">
        <f t="shared" si="13"/>
        <v>-51.493460327500003</v>
      </c>
      <c r="X65" s="2">
        <f t="shared" si="14"/>
        <v>46.167714294749999</v>
      </c>
      <c r="Y65" s="2">
        <f t="shared" si="15"/>
        <v>-46.167714294749999</v>
      </c>
      <c r="Z65" s="2">
        <f t="shared" si="16"/>
        <v>50.317460327500001</v>
      </c>
      <c r="AA65" s="2">
        <f t="shared" si="17"/>
        <v>-50.317460327500001</v>
      </c>
      <c r="AB65" s="2">
        <f t="shared" si="18"/>
        <v>45.285714294750001</v>
      </c>
      <c r="AC65" s="2">
        <f t="shared" si="19"/>
        <v>-45.285714294750001</v>
      </c>
      <c r="AD65" s="2" t="str">
        <f t="shared" si="20"/>
        <v/>
      </c>
      <c r="AE65" s="2" t="str">
        <f t="shared" si="21"/>
        <v/>
      </c>
      <c r="AF65" s="2" t="str">
        <f t="shared" si="22"/>
        <v/>
      </c>
      <c r="AG65" s="2" t="str">
        <f t="shared" si="2"/>
        <v/>
      </c>
      <c r="AH65" s="2" t="str">
        <f t="shared" si="23"/>
        <v/>
      </c>
      <c r="AI65" s="2" t="str">
        <f t="shared" si="24"/>
        <v/>
      </c>
      <c r="AJ65" s="2" t="str">
        <f t="shared" si="25"/>
        <v/>
      </c>
      <c r="AK65" s="2" t="str">
        <f t="shared" si="26"/>
        <v/>
      </c>
      <c r="AL65" s="2" t="str">
        <f t="shared" si="27"/>
        <v/>
      </c>
      <c r="AM65" s="2" t="str">
        <f t="shared" si="28"/>
        <v/>
      </c>
      <c r="AN65" s="2" t="str">
        <f t="shared" si="29"/>
        <v/>
      </c>
      <c r="AO65" s="2" t="str">
        <f t="shared" si="30"/>
        <v/>
      </c>
      <c r="AP65" s="2">
        <f t="shared" si="31"/>
        <v>102.98692065500001</v>
      </c>
      <c r="AQ65" s="2">
        <f t="shared" si="32"/>
        <v>92.335428589499998</v>
      </c>
      <c r="AR65" s="2">
        <f t="shared" si="33"/>
        <v>100.634920655</v>
      </c>
      <c r="AS65" s="2">
        <f t="shared" si="34"/>
        <v>90.571428589500002</v>
      </c>
      <c r="AT65" s="2" t="str">
        <f t="shared" si="35"/>
        <v/>
      </c>
      <c r="AU65" s="2" t="str">
        <f t="shared" si="36"/>
        <v/>
      </c>
      <c r="AV65" s="2" t="str">
        <f t="shared" si="37"/>
        <v/>
      </c>
      <c r="AW65" s="2">
        <f t="shared" si="38"/>
        <v>309.99110081836272</v>
      </c>
      <c r="AX65" s="2" t="str">
        <f t="shared" si="39"/>
        <v/>
      </c>
      <c r="AY65" s="2" t="str">
        <f t="shared" si="40"/>
        <v/>
      </c>
      <c r="AZ65" s="2" t="str">
        <f t="shared" si="41"/>
        <v/>
      </c>
      <c r="BA65" s="2">
        <f t="shared" si="42"/>
        <v>1.5469317211766444E-5</v>
      </c>
      <c r="BB65" s="2" t="str">
        <f t="shared" si="50"/>
        <v/>
      </c>
      <c r="BC65" s="2" t="str">
        <f t="shared" si="50"/>
        <v/>
      </c>
      <c r="BD65" s="2" t="str">
        <f t="shared" si="50"/>
        <v/>
      </c>
      <c r="BE65" s="2">
        <f t="shared" si="50"/>
        <v>2.3203975817649665E-2</v>
      </c>
      <c r="BF65" s="1">
        <f t="shared" si="43"/>
        <v>2.3203975817649665E-2</v>
      </c>
      <c r="BH65" s="2">
        <f t="shared" si="44"/>
        <v>0.1024</v>
      </c>
      <c r="BI65" s="2">
        <f t="shared" si="45"/>
        <v>1.1024</v>
      </c>
      <c r="BJ65" s="2">
        <f t="shared" si="46"/>
        <v>1</v>
      </c>
      <c r="BK65" s="1">
        <f t="shared" si="47"/>
        <v>0.32</v>
      </c>
      <c r="BM65" s="1">
        <f t="shared" si="48"/>
        <v>0</v>
      </c>
    </row>
    <row r="66" spans="2:65">
      <c r="B66" s="1"/>
      <c r="C66" s="34">
        <v>21</v>
      </c>
      <c r="D66" s="1" t="str">
        <f t="shared" si="4"/>
        <v>胴体</v>
      </c>
      <c r="E66" s="1">
        <f t="shared" si="5"/>
        <v>1.05</v>
      </c>
      <c r="F66" s="1">
        <f t="shared" si="6"/>
        <v>0</v>
      </c>
      <c r="G66" s="1">
        <f t="shared" si="7"/>
        <v>0.32</v>
      </c>
      <c r="H66" s="2">
        <f t="shared" si="49"/>
        <v>51.295047629999999</v>
      </c>
      <c r="I66" s="2">
        <f t="shared" si="49"/>
        <v>45.989142866999998</v>
      </c>
      <c r="J66" s="2">
        <f t="shared" si="49"/>
        <v>50.119047629999997</v>
      </c>
      <c r="K66" s="1">
        <f t="shared" si="49"/>
        <v>45.107142867</v>
      </c>
      <c r="L66" s="1"/>
      <c r="M66" s="1"/>
      <c r="N66" s="1"/>
      <c r="O66" s="1"/>
      <c r="P66" s="1"/>
      <c r="Q66" s="1"/>
      <c r="R66" s="2">
        <f t="shared" si="8"/>
        <v>85.062835944683613</v>
      </c>
      <c r="S66" s="2">
        <f t="shared" si="9"/>
        <v>12.462150431909752</v>
      </c>
      <c r="T66" s="147">
        <f t="shared" si="10"/>
        <v>0</v>
      </c>
      <c r="U66" s="147">
        <f t="shared" si="11"/>
        <v>0</v>
      </c>
      <c r="V66" s="2">
        <f t="shared" si="12"/>
        <v>51.295047629999999</v>
      </c>
      <c r="W66" s="2">
        <f t="shared" si="13"/>
        <v>-51.295047629999999</v>
      </c>
      <c r="X66" s="2">
        <f t="shared" si="14"/>
        <v>45.989142866999998</v>
      </c>
      <c r="Y66" s="2">
        <f t="shared" si="15"/>
        <v>-45.989142866999998</v>
      </c>
      <c r="Z66" s="2">
        <f t="shared" si="16"/>
        <v>50.119047629999997</v>
      </c>
      <c r="AA66" s="2">
        <f t="shared" si="17"/>
        <v>-50.119047629999997</v>
      </c>
      <c r="AB66" s="2">
        <f t="shared" si="18"/>
        <v>45.107142867</v>
      </c>
      <c r="AC66" s="2">
        <f t="shared" si="19"/>
        <v>-45.107142867</v>
      </c>
      <c r="AD66" s="2" t="str">
        <f t="shared" si="20"/>
        <v/>
      </c>
      <c r="AE66" s="2" t="str">
        <f t="shared" si="21"/>
        <v/>
      </c>
      <c r="AF66" s="2" t="str">
        <f t="shared" si="22"/>
        <v/>
      </c>
      <c r="AG66" s="2" t="str">
        <f t="shared" si="2"/>
        <v/>
      </c>
      <c r="AH66" s="2" t="str">
        <f t="shared" si="23"/>
        <v/>
      </c>
      <c r="AI66" s="2" t="str">
        <f t="shared" si="24"/>
        <v/>
      </c>
      <c r="AJ66" s="2" t="str">
        <f t="shared" si="25"/>
        <v/>
      </c>
      <c r="AK66" s="2" t="str">
        <f t="shared" si="26"/>
        <v/>
      </c>
      <c r="AL66" s="2" t="str">
        <f t="shared" si="27"/>
        <v/>
      </c>
      <c r="AM66" s="2" t="str">
        <f t="shared" si="28"/>
        <v/>
      </c>
      <c r="AN66" s="2" t="str">
        <f t="shared" si="29"/>
        <v/>
      </c>
      <c r="AO66" s="2" t="str">
        <f t="shared" si="30"/>
        <v/>
      </c>
      <c r="AP66" s="2">
        <f t="shared" si="31"/>
        <v>102.59009526</v>
      </c>
      <c r="AQ66" s="2">
        <f t="shared" si="32"/>
        <v>91.978285733999996</v>
      </c>
      <c r="AR66" s="2">
        <f t="shared" si="33"/>
        <v>100.23809525999999</v>
      </c>
      <c r="AS66" s="2">
        <f t="shared" si="34"/>
        <v>90.214285734000001</v>
      </c>
      <c r="AT66" s="2" t="str">
        <f t="shared" si="35"/>
        <v/>
      </c>
      <c r="AU66" s="2" t="str">
        <f t="shared" si="36"/>
        <v/>
      </c>
      <c r="AV66" s="2" t="str">
        <f t="shared" si="37"/>
        <v/>
      </c>
      <c r="AW66" s="2">
        <f t="shared" si="38"/>
        <v>308.78158765229449</v>
      </c>
      <c r="AX66" s="2" t="str">
        <f t="shared" si="39"/>
        <v/>
      </c>
      <c r="AY66" s="2" t="str">
        <f t="shared" si="40"/>
        <v/>
      </c>
      <c r="AZ66" s="2" t="str">
        <f t="shared" si="41"/>
        <v/>
      </c>
      <c r="BA66" s="2">
        <f t="shared" si="42"/>
        <v>1.5408841553462996E-5</v>
      </c>
      <c r="BB66" s="2" t="str">
        <f t="shared" si="50"/>
        <v/>
      </c>
      <c r="BC66" s="2" t="str">
        <f t="shared" si="50"/>
        <v/>
      </c>
      <c r="BD66" s="2" t="str">
        <f t="shared" si="50"/>
        <v/>
      </c>
      <c r="BE66" s="2">
        <f t="shared" si="50"/>
        <v>2.3113262330194492E-2</v>
      </c>
      <c r="BF66" s="1">
        <f t="shared" si="43"/>
        <v>2.3113262330194492E-2</v>
      </c>
      <c r="BH66" s="2">
        <f t="shared" si="44"/>
        <v>0.1024</v>
      </c>
      <c r="BI66" s="2">
        <f t="shared" si="45"/>
        <v>1.2049000000000001</v>
      </c>
      <c r="BJ66" s="2">
        <f t="shared" si="46"/>
        <v>1.1025</v>
      </c>
      <c r="BK66" s="1">
        <f t="shared" si="47"/>
        <v>0.33600000000000002</v>
      </c>
      <c r="BM66" s="1">
        <f t="shared" si="48"/>
        <v>0</v>
      </c>
    </row>
    <row r="67" spans="2:65">
      <c r="B67" s="1"/>
      <c r="C67" s="34">
        <v>22</v>
      </c>
      <c r="D67" s="1" t="str">
        <f t="shared" si="4"/>
        <v>胴体</v>
      </c>
      <c r="E67" s="1">
        <f t="shared" si="5"/>
        <v>1.1000000000000001</v>
      </c>
      <c r="F67" s="1">
        <f t="shared" si="6"/>
        <v>0</v>
      </c>
      <c r="G67" s="1">
        <f t="shared" si="7"/>
        <v>0.32</v>
      </c>
      <c r="H67" s="2">
        <f t="shared" si="49"/>
        <v>51.096634932500002</v>
      </c>
      <c r="I67" s="2">
        <f t="shared" si="49"/>
        <v>45.810571439249998</v>
      </c>
      <c r="J67" s="2">
        <f t="shared" si="49"/>
        <v>49.920634932500001</v>
      </c>
      <c r="K67" s="1">
        <f t="shared" si="49"/>
        <v>44.92857143925</v>
      </c>
      <c r="L67" s="1"/>
      <c r="M67" s="1"/>
      <c r="N67" s="1"/>
      <c r="O67" s="1"/>
      <c r="P67" s="1"/>
      <c r="Q67" s="1"/>
      <c r="R67" s="2">
        <f t="shared" si="8"/>
        <v>85.062835944683613</v>
      </c>
      <c r="S67" s="2">
        <f t="shared" si="9"/>
        <v>12.462150431909752</v>
      </c>
      <c r="T67" s="147">
        <f t="shared" si="10"/>
        <v>0</v>
      </c>
      <c r="U67" s="147">
        <f t="shared" si="11"/>
        <v>0</v>
      </c>
      <c r="V67" s="2">
        <f t="shared" si="12"/>
        <v>51.096634932500002</v>
      </c>
      <c r="W67" s="2">
        <f t="shared" si="13"/>
        <v>-51.096634932500002</v>
      </c>
      <c r="X67" s="2">
        <f t="shared" si="14"/>
        <v>45.810571439249998</v>
      </c>
      <c r="Y67" s="2">
        <f t="shared" si="15"/>
        <v>-45.810571439249998</v>
      </c>
      <c r="Z67" s="2">
        <f t="shared" si="16"/>
        <v>49.920634932500001</v>
      </c>
      <c r="AA67" s="2">
        <f t="shared" si="17"/>
        <v>-49.920634932500001</v>
      </c>
      <c r="AB67" s="2">
        <f t="shared" si="18"/>
        <v>44.92857143925</v>
      </c>
      <c r="AC67" s="2">
        <f t="shared" si="19"/>
        <v>-44.92857143925</v>
      </c>
      <c r="AD67" s="2" t="str">
        <f t="shared" si="20"/>
        <v/>
      </c>
      <c r="AE67" s="2" t="str">
        <f t="shared" si="21"/>
        <v/>
      </c>
      <c r="AF67" s="2" t="str">
        <f t="shared" si="22"/>
        <v/>
      </c>
      <c r="AG67" s="2" t="str">
        <f t="shared" si="2"/>
        <v/>
      </c>
      <c r="AH67" s="2" t="str">
        <f t="shared" si="23"/>
        <v/>
      </c>
      <c r="AI67" s="2" t="str">
        <f t="shared" si="24"/>
        <v/>
      </c>
      <c r="AJ67" s="2" t="str">
        <f t="shared" si="25"/>
        <v/>
      </c>
      <c r="AK67" s="2" t="str">
        <f t="shared" si="26"/>
        <v/>
      </c>
      <c r="AL67" s="2" t="str">
        <f t="shared" si="27"/>
        <v/>
      </c>
      <c r="AM67" s="2" t="str">
        <f t="shared" si="28"/>
        <v/>
      </c>
      <c r="AN67" s="2" t="str">
        <f t="shared" si="29"/>
        <v/>
      </c>
      <c r="AO67" s="2" t="str">
        <f t="shared" si="30"/>
        <v/>
      </c>
      <c r="AP67" s="2">
        <f t="shared" si="31"/>
        <v>102.193269865</v>
      </c>
      <c r="AQ67" s="2">
        <f t="shared" si="32"/>
        <v>91.621142878499995</v>
      </c>
      <c r="AR67" s="2">
        <f t="shared" si="33"/>
        <v>99.841269865000001</v>
      </c>
      <c r="AS67" s="2">
        <f t="shared" si="34"/>
        <v>89.857142878499999</v>
      </c>
      <c r="AT67" s="2" t="str">
        <f t="shared" si="35"/>
        <v/>
      </c>
      <c r="AU67" s="2" t="str">
        <f t="shared" si="36"/>
        <v/>
      </c>
      <c r="AV67" s="2" t="str">
        <f t="shared" si="37"/>
        <v/>
      </c>
      <c r="AW67" s="2">
        <f t="shared" si="38"/>
        <v>307.57207448622484</v>
      </c>
      <c r="AX67" s="2" t="str">
        <f t="shared" si="39"/>
        <v/>
      </c>
      <c r="AY67" s="2" t="str">
        <f t="shared" si="40"/>
        <v/>
      </c>
      <c r="AZ67" s="2" t="str">
        <f t="shared" si="41"/>
        <v/>
      </c>
      <c r="BA67" s="2">
        <f t="shared" si="42"/>
        <v>1.5348365895159585E-5</v>
      </c>
      <c r="BB67" s="2" t="str">
        <f t="shared" si="50"/>
        <v/>
      </c>
      <c r="BC67" s="2" t="str">
        <f t="shared" si="50"/>
        <v/>
      </c>
      <c r="BD67" s="2" t="str">
        <f t="shared" si="50"/>
        <v/>
      </c>
      <c r="BE67" s="2">
        <f t="shared" si="50"/>
        <v>2.3022548842739379E-2</v>
      </c>
      <c r="BF67" s="1">
        <f t="shared" si="43"/>
        <v>2.3022548842739379E-2</v>
      </c>
      <c r="BH67" s="2">
        <f t="shared" si="44"/>
        <v>0.1024</v>
      </c>
      <c r="BI67" s="2">
        <f t="shared" si="45"/>
        <v>1.3124000000000002</v>
      </c>
      <c r="BJ67" s="2">
        <f t="shared" si="46"/>
        <v>1.2100000000000002</v>
      </c>
      <c r="BK67" s="1">
        <f t="shared" si="47"/>
        <v>0.35200000000000004</v>
      </c>
      <c r="BM67" s="1">
        <f t="shared" si="48"/>
        <v>0</v>
      </c>
    </row>
    <row r="68" spans="2:65">
      <c r="B68" s="1"/>
      <c r="C68" s="34">
        <v>23</v>
      </c>
      <c r="D68" s="1" t="str">
        <f t="shared" si="4"/>
        <v>胴体</v>
      </c>
      <c r="E68" s="1">
        <f t="shared" si="5"/>
        <v>1.1500000000000001</v>
      </c>
      <c r="F68" s="1">
        <f t="shared" si="6"/>
        <v>0</v>
      </c>
      <c r="G68" s="1">
        <f t="shared" si="7"/>
        <v>0.32</v>
      </c>
      <c r="H68" s="2">
        <f t="shared" si="49"/>
        <v>50.898222234999999</v>
      </c>
      <c r="I68" s="2">
        <f t="shared" si="49"/>
        <v>45.632000011499997</v>
      </c>
      <c r="J68" s="2">
        <f t="shared" si="49"/>
        <v>49.722222234999997</v>
      </c>
      <c r="K68" s="1">
        <f t="shared" si="49"/>
        <v>44.750000011499999</v>
      </c>
      <c r="L68" s="1"/>
      <c r="M68" s="1"/>
      <c r="N68" s="1"/>
      <c r="O68" s="1"/>
      <c r="P68" s="1"/>
      <c r="Q68" s="1"/>
      <c r="R68" s="2">
        <f t="shared" si="8"/>
        <v>85.062835944683613</v>
      </c>
      <c r="S68" s="2">
        <f t="shared" si="9"/>
        <v>12.462150431909752</v>
      </c>
      <c r="T68" s="147">
        <f t="shared" si="10"/>
        <v>0</v>
      </c>
      <c r="U68" s="147">
        <f t="shared" si="11"/>
        <v>0</v>
      </c>
      <c r="V68" s="2">
        <f t="shared" si="12"/>
        <v>50.898222234999999</v>
      </c>
      <c r="W68" s="2">
        <f t="shared" si="13"/>
        <v>-50.898222234999999</v>
      </c>
      <c r="X68" s="2">
        <f t="shared" si="14"/>
        <v>45.632000011499997</v>
      </c>
      <c r="Y68" s="2">
        <f t="shared" si="15"/>
        <v>-45.632000011499997</v>
      </c>
      <c r="Z68" s="2">
        <f t="shared" si="16"/>
        <v>49.722222234999997</v>
      </c>
      <c r="AA68" s="2">
        <f t="shared" si="17"/>
        <v>-49.722222234999997</v>
      </c>
      <c r="AB68" s="2">
        <f t="shared" si="18"/>
        <v>44.750000011499999</v>
      </c>
      <c r="AC68" s="2">
        <f t="shared" si="19"/>
        <v>-44.750000011499999</v>
      </c>
      <c r="AD68" s="2" t="str">
        <f t="shared" si="20"/>
        <v/>
      </c>
      <c r="AE68" s="2" t="str">
        <f t="shared" si="21"/>
        <v/>
      </c>
      <c r="AF68" s="2" t="str">
        <f t="shared" si="22"/>
        <v/>
      </c>
      <c r="AG68" s="2" t="str">
        <f t="shared" si="2"/>
        <v/>
      </c>
      <c r="AH68" s="2" t="str">
        <f t="shared" si="23"/>
        <v/>
      </c>
      <c r="AI68" s="2" t="str">
        <f t="shared" si="24"/>
        <v/>
      </c>
      <c r="AJ68" s="2" t="str">
        <f t="shared" si="25"/>
        <v/>
      </c>
      <c r="AK68" s="2" t="str">
        <f t="shared" si="26"/>
        <v/>
      </c>
      <c r="AL68" s="2" t="str">
        <f t="shared" si="27"/>
        <v/>
      </c>
      <c r="AM68" s="2" t="str">
        <f t="shared" si="28"/>
        <v/>
      </c>
      <c r="AN68" s="2" t="str">
        <f t="shared" si="29"/>
        <v/>
      </c>
      <c r="AO68" s="2" t="str">
        <f t="shared" si="30"/>
        <v/>
      </c>
      <c r="AP68" s="2">
        <f t="shared" si="31"/>
        <v>101.79644447</v>
      </c>
      <c r="AQ68" s="2">
        <f t="shared" si="32"/>
        <v>91.264000022999994</v>
      </c>
      <c r="AR68" s="2">
        <f t="shared" si="33"/>
        <v>99.444444469999993</v>
      </c>
      <c r="AS68" s="2">
        <f t="shared" si="34"/>
        <v>89.500000022999998</v>
      </c>
      <c r="AT68" s="2" t="str">
        <f t="shared" si="35"/>
        <v/>
      </c>
      <c r="AU68" s="2" t="str">
        <f t="shared" si="36"/>
        <v/>
      </c>
      <c r="AV68" s="2" t="str">
        <f t="shared" si="37"/>
        <v/>
      </c>
      <c r="AW68" s="2">
        <f t="shared" si="38"/>
        <v>306.36256132015802</v>
      </c>
      <c r="AX68" s="2" t="str">
        <f t="shared" si="39"/>
        <v/>
      </c>
      <c r="AY68" s="2" t="str">
        <f t="shared" si="40"/>
        <v/>
      </c>
      <c r="AZ68" s="2" t="str">
        <f t="shared" si="41"/>
        <v/>
      </c>
      <c r="BA68" s="2">
        <f t="shared" si="42"/>
        <v>1.5287890236856208E-5</v>
      </c>
      <c r="BB68" s="2" t="str">
        <f t="shared" si="50"/>
        <v/>
      </c>
      <c r="BC68" s="2" t="str">
        <f t="shared" si="50"/>
        <v/>
      </c>
      <c r="BD68" s="2" t="str">
        <f t="shared" si="50"/>
        <v/>
      </c>
      <c r="BE68" s="2">
        <f t="shared" si="50"/>
        <v>2.2931835355284313E-2</v>
      </c>
      <c r="BF68" s="1">
        <f t="shared" si="43"/>
        <v>2.2931835355284313E-2</v>
      </c>
      <c r="BH68" s="2">
        <f t="shared" si="44"/>
        <v>0.1024</v>
      </c>
      <c r="BI68" s="2">
        <f t="shared" si="45"/>
        <v>1.4249000000000003</v>
      </c>
      <c r="BJ68" s="2">
        <f t="shared" si="46"/>
        <v>1.3225000000000002</v>
      </c>
      <c r="BK68" s="1">
        <f t="shared" si="47"/>
        <v>0.36800000000000005</v>
      </c>
      <c r="BM68" s="1">
        <f t="shared" si="48"/>
        <v>0</v>
      </c>
    </row>
    <row r="69" spans="2:65">
      <c r="B69" s="1"/>
      <c r="C69" s="34">
        <v>24</v>
      </c>
      <c r="D69" s="1" t="str">
        <f t="shared" si="4"/>
        <v>胴体</v>
      </c>
      <c r="E69" s="1">
        <f t="shared" si="5"/>
        <v>1.2000000000000002</v>
      </c>
      <c r="F69" s="1">
        <f t="shared" si="6"/>
        <v>0</v>
      </c>
      <c r="G69" s="1">
        <f t="shared" si="7"/>
        <v>0.32</v>
      </c>
      <c r="H69" s="2">
        <f t="shared" si="49"/>
        <v>50.699809537500002</v>
      </c>
      <c r="I69" s="2">
        <f t="shared" si="49"/>
        <v>45.453428583749997</v>
      </c>
      <c r="J69" s="2">
        <f t="shared" si="49"/>
        <v>49.5238095375</v>
      </c>
      <c r="K69" s="1">
        <f t="shared" si="49"/>
        <v>44.571428583749999</v>
      </c>
      <c r="L69" s="1"/>
      <c r="M69" s="1"/>
      <c r="N69" s="1"/>
      <c r="O69" s="1"/>
      <c r="P69" s="1"/>
      <c r="Q69" s="1"/>
      <c r="R69" s="2">
        <f t="shared" si="8"/>
        <v>85.062835944683613</v>
      </c>
      <c r="S69" s="2">
        <f t="shared" si="9"/>
        <v>12.462150431909752</v>
      </c>
      <c r="T69" s="147">
        <f t="shared" si="10"/>
        <v>0</v>
      </c>
      <c r="U69" s="147">
        <f t="shared" si="11"/>
        <v>0</v>
      </c>
      <c r="V69" s="2">
        <f t="shared" si="12"/>
        <v>50.699809537500002</v>
      </c>
      <c r="W69" s="2">
        <f t="shared" si="13"/>
        <v>-50.699809537500002</v>
      </c>
      <c r="X69" s="2">
        <f t="shared" si="14"/>
        <v>45.453428583749997</v>
      </c>
      <c r="Y69" s="2">
        <f t="shared" si="15"/>
        <v>-45.453428583749997</v>
      </c>
      <c r="Z69" s="2">
        <f t="shared" si="16"/>
        <v>49.5238095375</v>
      </c>
      <c r="AA69" s="2">
        <f t="shared" si="17"/>
        <v>-49.5238095375</v>
      </c>
      <c r="AB69" s="2">
        <f t="shared" si="18"/>
        <v>44.571428583749999</v>
      </c>
      <c r="AC69" s="2">
        <f t="shared" si="19"/>
        <v>-44.571428583749999</v>
      </c>
      <c r="AD69" s="2" t="str">
        <f t="shared" si="20"/>
        <v/>
      </c>
      <c r="AE69" s="2" t="str">
        <f t="shared" si="21"/>
        <v/>
      </c>
      <c r="AF69" s="2" t="str">
        <f t="shared" si="22"/>
        <v/>
      </c>
      <c r="AG69" s="2" t="str">
        <f t="shared" si="2"/>
        <v/>
      </c>
      <c r="AH69" s="2" t="str">
        <f t="shared" si="23"/>
        <v/>
      </c>
      <c r="AI69" s="2" t="str">
        <f t="shared" si="24"/>
        <v/>
      </c>
      <c r="AJ69" s="2" t="str">
        <f t="shared" si="25"/>
        <v/>
      </c>
      <c r="AK69" s="2" t="str">
        <f t="shared" si="26"/>
        <v/>
      </c>
      <c r="AL69" s="2" t="str">
        <f t="shared" si="27"/>
        <v/>
      </c>
      <c r="AM69" s="2" t="str">
        <f t="shared" si="28"/>
        <v/>
      </c>
      <c r="AN69" s="2" t="str">
        <f t="shared" si="29"/>
        <v/>
      </c>
      <c r="AO69" s="2" t="str">
        <f t="shared" si="30"/>
        <v/>
      </c>
      <c r="AP69" s="2">
        <f t="shared" si="31"/>
        <v>101.399619075</v>
      </c>
      <c r="AQ69" s="2">
        <f t="shared" si="32"/>
        <v>90.906857167499993</v>
      </c>
      <c r="AR69" s="2">
        <f t="shared" si="33"/>
        <v>99.047619075</v>
      </c>
      <c r="AS69" s="2">
        <f t="shared" si="34"/>
        <v>89.142857167499997</v>
      </c>
      <c r="AT69" s="2" t="str">
        <f t="shared" si="35"/>
        <v/>
      </c>
      <c r="AU69" s="2" t="str">
        <f t="shared" si="36"/>
        <v/>
      </c>
      <c r="AV69" s="2" t="str">
        <f t="shared" si="37"/>
        <v/>
      </c>
      <c r="AW69" s="2">
        <f t="shared" si="38"/>
        <v>305.15304815408979</v>
      </c>
      <c r="AX69" s="2" t="str">
        <f t="shared" si="39"/>
        <v/>
      </c>
      <c r="AY69" s="2" t="str">
        <f t="shared" si="40"/>
        <v/>
      </c>
      <c r="AZ69" s="2" t="str">
        <f t="shared" si="41"/>
        <v/>
      </c>
      <c r="BA69" s="2">
        <f t="shared" si="42"/>
        <v>1.5227414578552693E-5</v>
      </c>
      <c r="BB69" s="2" t="str">
        <f t="shared" si="50"/>
        <v/>
      </c>
      <c r="BC69" s="2" t="str">
        <f t="shared" si="50"/>
        <v/>
      </c>
      <c r="BD69" s="2" t="str">
        <f t="shared" si="50"/>
        <v/>
      </c>
      <c r="BE69" s="2">
        <f t="shared" si="50"/>
        <v>2.284112186782904E-2</v>
      </c>
      <c r="BF69" s="1">
        <f t="shared" si="43"/>
        <v>2.284112186782904E-2</v>
      </c>
      <c r="BH69" s="2">
        <f t="shared" si="44"/>
        <v>0.1024</v>
      </c>
      <c r="BI69" s="2">
        <f t="shared" si="45"/>
        <v>1.5424000000000004</v>
      </c>
      <c r="BJ69" s="2">
        <f t="shared" si="46"/>
        <v>1.4400000000000004</v>
      </c>
      <c r="BK69" s="1">
        <f t="shared" si="47"/>
        <v>0.38400000000000006</v>
      </c>
      <c r="BM69" s="1">
        <f t="shared" si="48"/>
        <v>0</v>
      </c>
    </row>
    <row r="70" spans="2:65">
      <c r="B70" s="1"/>
      <c r="C70" s="34">
        <v>25</v>
      </c>
      <c r="D70" s="1" t="str">
        <f t="shared" si="4"/>
        <v>胴体</v>
      </c>
      <c r="E70" s="1">
        <f t="shared" si="5"/>
        <v>1.25</v>
      </c>
      <c r="F70" s="1">
        <f t="shared" si="6"/>
        <v>0</v>
      </c>
      <c r="G70" s="1">
        <f t="shared" si="7"/>
        <v>0.32</v>
      </c>
      <c r="H70" s="2">
        <f t="shared" si="49"/>
        <v>50.501396839999998</v>
      </c>
      <c r="I70" s="2">
        <f t="shared" si="49"/>
        <v>45.274857155999996</v>
      </c>
      <c r="J70" s="2">
        <f t="shared" si="49"/>
        <v>49.325396839999996</v>
      </c>
      <c r="K70" s="1">
        <f t="shared" si="49"/>
        <v>44.392857155999998</v>
      </c>
      <c r="L70" s="1"/>
      <c r="M70" s="1"/>
      <c r="N70" s="1"/>
      <c r="O70" s="1"/>
      <c r="P70" s="1"/>
      <c r="Q70" s="1"/>
      <c r="R70" s="2">
        <f t="shared" si="8"/>
        <v>85.062835944683613</v>
      </c>
      <c r="S70" s="2">
        <f t="shared" si="9"/>
        <v>12.462150431909752</v>
      </c>
      <c r="T70" s="147">
        <f t="shared" si="10"/>
        <v>0</v>
      </c>
      <c r="U70" s="147">
        <f t="shared" si="11"/>
        <v>0</v>
      </c>
      <c r="V70" s="2">
        <f t="shared" si="12"/>
        <v>50.501396839999998</v>
      </c>
      <c r="W70" s="2">
        <f t="shared" si="13"/>
        <v>-50.501396839999998</v>
      </c>
      <c r="X70" s="2">
        <f t="shared" si="14"/>
        <v>45.274857155999996</v>
      </c>
      <c r="Y70" s="2">
        <f t="shared" si="15"/>
        <v>-45.274857155999996</v>
      </c>
      <c r="Z70" s="2">
        <f t="shared" si="16"/>
        <v>49.325396839999996</v>
      </c>
      <c r="AA70" s="2">
        <f t="shared" si="17"/>
        <v>-49.325396839999996</v>
      </c>
      <c r="AB70" s="2">
        <f t="shared" si="18"/>
        <v>44.392857155999998</v>
      </c>
      <c r="AC70" s="2">
        <f t="shared" si="19"/>
        <v>-44.392857155999998</v>
      </c>
      <c r="AD70" s="2" t="str">
        <f t="shared" si="20"/>
        <v/>
      </c>
      <c r="AE70" s="2" t="str">
        <f t="shared" si="21"/>
        <v/>
      </c>
      <c r="AF70" s="2" t="str">
        <f t="shared" si="22"/>
        <v/>
      </c>
      <c r="AG70" s="2" t="str">
        <f t="shared" si="2"/>
        <v/>
      </c>
      <c r="AH70" s="2" t="str">
        <f t="shared" si="23"/>
        <v/>
      </c>
      <c r="AI70" s="2" t="str">
        <f t="shared" si="24"/>
        <v/>
      </c>
      <c r="AJ70" s="2" t="str">
        <f t="shared" si="25"/>
        <v/>
      </c>
      <c r="AK70" s="2" t="str">
        <f t="shared" si="26"/>
        <v/>
      </c>
      <c r="AL70" s="2" t="str">
        <f t="shared" si="27"/>
        <v/>
      </c>
      <c r="AM70" s="2" t="str">
        <f t="shared" si="28"/>
        <v/>
      </c>
      <c r="AN70" s="2" t="str">
        <f t="shared" si="29"/>
        <v/>
      </c>
      <c r="AO70" s="2" t="str">
        <f t="shared" si="30"/>
        <v/>
      </c>
      <c r="AP70" s="2">
        <f t="shared" si="31"/>
        <v>101.00279368</v>
      </c>
      <c r="AQ70" s="2">
        <f t="shared" si="32"/>
        <v>90.549714311999992</v>
      </c>
      <c r="AR70" s="2">
        <f t="shared" si="33"/>
        <v>98.650793679999992</v>
      </c>
      <c r="AS70" s="2">
        <f t="shared" si="34"/>
        <v>88.785714311999996</v>
      </c>
      <c r="AT70" s="2" t="str">
        <f t="shared" si="35"/>
        <v/>
      </c>
      <c r="AU70" s="2" t="str">
        <f t="shared" si="36"/>
        <v/>
      </c>
      <c r="AV70" s="2" t="str">
        <f t="shared" si="37"/>
        <v/>
      </c>
      <c r="AW70" s="2">
        <f t="shared" si="38"/>
        <v>303.94353498802008</v>
      </c>
      <c r="AX70" s="2" t="str">
        <f t="shared" si="39"/>
        <v/>
      </c>
      <c r="AY70" s="2" t="str">
        <f t="shared" si="40"/>
        <v/>
      </c>
      <c r="AZ70" s="2" t="str">
        <f t="shared" si="41"/>
        <v/>
      </c>
      <c r="BA70" s="2">
        <f t="shared" si="42"/>
        <v>1.5166938920249312E-5</v>
      </c>
      <c r="BB70" s="2" t="str">
        <f t="shared" si="50"/>
        <v/>
      </c>
      <c r="BC70" s="2" t="str">
        <f t="shared" si="50"/>
        <v/>
      </c>
      <c r="BD70" s="2" t="str">
        <f t="shared" si="50"/>
        <v/>
      </c>
      <c r="BE70" s="2">
        <f t="shared" si="50"/>
        <v>2.2750408380373968E-2</v>
      </c>
      <c r="BF70" s="1">
        <f t="shared" si="43"/>
        <v>2.2750408380373968E-2</v>
      </c>
      <c r="BH70" s="2">
        <f t="shared" si="44"/>
        <v>0.1024</v>
      </c>
      <c r="BI70" s="2">
        <f t="shared" si="45"/>
        <v>1.6649</v>
      </c>
      <c r="BJ70" s="2">
        <f t="shared" si="46"/>
        <v>1.5625</v>
      </c>
      <c r="BK70" s="1">
        <f t="shared" si="47"/>
        <v>0.4</v>
      </c>
      <c r="BM70" s="1">
        <f t="shared" si="48"/>
        <v>0</v>
      </c>
    </row>
    <row r="71" spans="2:65">
      <c r="B71" s="1"/>
      <c r="C71" s="34">
        <v>26</v>
      </c>
      <c r="D71" s="1" t="str">
        <f t="shared" si="4"/>
        <v>胴体</v>
      </c>
      <c r="E71" s="1">
        <f t="shared" si="5"/>
        <v>1.3</v>
      </c>
      <c r="F71" s="1">
        <f t="shared" si="6"/>
        <v>0</v>
      </c>
      <c r="G71" s="1">
        <f t="shared" si="7"/>
        <v>0.32</v>
      </c>
      <c r="H71" s="2">
        <f t="shared" si="49"/>
        <v>50.302984142500001</v>
      </c>
      <c r="I71" s="2">
        <f t="shared" si="49"/>
        <v>45.096285728249995</v>
      </c>
      <c r="J71" s="2">
        <f t="shared" si="49"/>
        <v>49.1269841425</v>
      </c>
      <c r="K71" s="1">
        <f t="shared" si="49"/>
        <v>44.214285728249997</v>
      </c>
      <c r="L71" s="1"/>
      <c r="M71" s="1"/>
      <c r="N71" s="1"/>
      <c r="O71" s="1"/>
      <c r="P71" s="1"/>
      <c r="Q71" s="1"/>
      <c r="R71" s="2">
        <f t="shared" si="8"/>
        <v>85.062835944683613</v>
      </c>
      <c r="S71" s="2">
        <f t="shared" si="9"/>
        <v>12.462150431909752</v>
      </c>
      <c r="T71" s="147">
        <f t="shared" si="10"/>
        <v>0</v>
      </c>
      <c r="U71" s="147">
        <f t="shared" si="11"/>
        <v>0</v>
      </c>
      <c r="V71" s="2">
        <f t="shared" si="12"/>
        <v>50.302984142500001</v>
      </c>
      <c r="W71" s="2">
        <f t="shared" si="13"/>
        <v>-50.302984142500001</v>
      </c>
      <c r="X71" s="2">
        <f t="shared" si="14"/>
        <v>45.096285728249995</v>
      </c>
      <c r="Y71" s="2">
        <f t="shared" si="15"/>
        <v>-45.096285728249995</v>
      </c>
      <c r="Z71" s="2">
        <f t="shared" si="16"/>
        <v>49.1269841425</v>
      </c>
      <c r="AA71" s="2">
        <f t="shared" si="17"/>
        <v>-49.1269841425</v>
      </c>
      <c r="AB71" s="2">
        <f t="shared" si="18"/>
        <v>44.214285728249997</v>
      </c>
      <c r="AC71" s="2">
        <f t="shared" si="19"/>
        <v>-44.214285728249997</v>
      </c>
      <c r="AD71" s="2" t="str">
        <f t="shared" si="20"/>
        <v/>
      </c>
      <c r="AE71" s="2" t="str">
        <f t="shared" si="21"/>
        <v/>
      </c>
      <c r="AF71" s="2" t="str">
        <f t="shared" si="22"/>
        <v/>
      </c>
      <c r="AG71" s="2" t="str">
        <f t="shared" si="2"/>
        <v/>
      </c>
      <c r="AH71" s="2" t="str">
        <f t="shared" si="23"/>
        <v/>
      </c>
      <c r="AI71" s="2" t="str">
        <f t="shared" si="24"/>
        <v/>
      </c>
      <c r="AJ71" s="2" t="str">
        <f t="shared" si="25"/>
        <v/>
      </c>
      <c r="AK71" s="2" t="str">
        <f t="shared" si="26"/>
        <v/>
      </c>
      <c r="AL71" s="2" t="str">
        <f t="shared" si="27"/>
        <v/>
      </c>
      <c r="AM71" s="2" t="str">
        <f t="shared" si="28"/>
        <v/>
      </c>
      <c r="AN71" s="2" t="str">
        <f t="shared" si="29"/>
        <v/>
      </c>
      <c r="AO71" s="2" t="str">
        <f t="shared" si="30"/>
        <v/>
      </c>
      <c r="AP71" s="2">
        <f t="shared" si="31"/>
        <v>100.605968285</v>
      </c>
      <c r="AQ71" s="2">
        <f t="shared" si="32"/>
        <v>90.192571456499991</v>
      </c>
      <c r="AR71" s="2">
        <f t="shared" si="33"/>
        <v>98.253968284999999</v>
      </c>
      <c r="AS71" s="2">
        <f t="shared" si="34"/>
        <v>88.428571456499995</v>
      </c>
      <c r="AT71" s="2" t="str">
        <f t="shared" si="35"/>
        <v/>
      </c>
      <c r="AU71" s="2" t="str">
        <f t="shared" si="36"/>
        <v/>
      </c>
      <c r="AV71" s="2" t="str">
        <f t="shared" si="37"/>
        <v/>
      </c>
      <c r="AW71" s="2">
        <f t="shared" si="38"/>
        <v>302.73402182195184</v>
      </c>
      <c r="AX71" s="2" t="str">
        <f t="shared" si="39"/>
        <v/>
      </c>
      <c r="AY71" s="2" t="str">
        <f t="shared" si="40"/>
        <v/>
      </c>
      <c r="AZ71" s="2" t="str">
        <f t="shared" si="41"/>
        <v/>
      </c>
      <c r="BA71" s="2">
        <f t="shared" si="42"/>
        <v>1.5106463261945936E-5</v>
      </c>
      <c r="BB71" s="2" t="str">
        <f t="shared" si="50"/>
        <v/>
      </c>
      <c r="BC71" s="2" t="str">
        <f t="shared" si="50"/>
        <v/>
      </c>
      <c r="BD71" s="2" t="str">
        <f t="shared" si="50"/>
        <v/>
      </c>
      <c r="BE71" s="2">
        <f t="shared" si="50"/>
        <v>2.2659694892918903E-2</v>
      </c>
      <c r="BF71" s="1">
        <f t="shared" si="43"/>
        <v>2.2659694892918903E-2</v>
      </c>
      <c r="BH71" s="2">
        <f t="shared" si="44"/>
        <v>0.1024</v>
      </c>
      <c r="BI71" s="2">
        <f t="shared" si="45"/>
        <v>1.7924000000000002</v>
      </c>
      <c r="BJ71" s="2">
        <f t="shared" si="46"/>
        <v>1.6900000000000002</v>
      </c>
      <c r="BK71" s="1">
        <f t="shared" si="47"/>
        <v>0.41600000000000004</v>
      </c>
      <c r="BM71" s="1">
        <f t="shared" si="48"/>
        <v>0</v>
      </c>
    </row>
    <row r="72" spans="2:65">
      <c r="B72" s="1"/>
      <c r="C72" s="34">
        <v>27</v>
      </c>
      <c r="D72" s="1" t="str">
        <f t="shared" si="4"/>
        <v>胴体</v>
      </c>
      <c r="E72" s="1">
        <f t="shared" si="5"/>
        <v>1.35</v>
      </c>
      <c r="F72" s="1">
        <f t="shared" si="6"/>
        <v>0</v>
      </c>
      <c r="G72" s="1">
        <f t="shared" si="7"/>
        <v>0.32</v>
      </c>
      <c r="H72" s="2">
        <f t="shared" si="49"/>
        <v>50.104571445000005</v>
      </c>
      <c r="I72" s="2">
        <f t="shared" si="49"/>
        <v>44.917714300500002</v>
      </c>
      <c r="J72" s="2">
        <f t="shared" si="49"/>
        <v>48.928571445000003</v>
      </c>
      <c r="K72" s="1">
        <f t="shared" si="49"/>
        <v>44.035714300500004</v>
      </c>
      <c r="L72" s="1"/>
      <c r="M72" s="1"/>
      <c r="N72" s="1"/>
      <c r="O72" s="1"/>
      <c r="P72" s="1"/>
      <c r="Q72" s="1"/>
      <c r="R72" s="2">
        <f t="shared" si="8"/>
        <v>85.062835944683613</v>
      </c>
      <c r="S72" s="2">
        <f t="shared" si="9"/>
        <v>12.462150431909752</v>
      </c>
      <c r="T72" s="147">
        <f t="shared" si="10"/>
        <v>0</v>
      </c>
      <c r="U72" s="147">
        <f t="shared" si="11"/>
        <v>0</v>
      </c>
      <c r="V72" s="2">
        <f t="shared" si="12"/>
        <v>50.104571445000005</v>
      </c>
      <c r="W72" s="2">
        <f t="shared" si="13"/>
        <v>-50.104571445000005</v>
      </c>
      <c r="X72" s="2">
        <f t="shared" si="14"/>
        <v>44.917714300500002</v>
      </c>
      <c r="Y72" s="2">
        <f t="shared" si="15"/>
        <v>-44.917714300500002</v>
      </c>
      <c r="Z72" s="2">
        <f t="shared" si="16"/>
        <v>48.928571445000003</v>
      </c>
      <c r="AA72" s="2">
        <f t="shared" si="17"/>
        <v>-48.928571445000003</v>
      </c>
      <c r="AB72" s="2">
        <f t="shared" si="18"/>
        <v>44.035714300500004</v>
      </c>
      <c r="AC72" s="2">
        <f t="shared" si="19"/>
        <v>-44.035714300500004</v>
      </c>
      <c r="AD72" s="2" t="str">
        <f t="shared" si="20"/>
        <v/>
      </c>
      <c r="AE72" s="2" t="str">
        <f t="shared" si="21"/>
        <v/>
      </c>
      <c r="AF72" s="2" t="str">
        <f t="shared" si="22"/>
        <v/>
      </c>
      <c r="AG72" s="2" t="str">
        <f t="shared" si="2"/>
        <v/>
      </c>
      <c r="AH72" s="2" t="str">
        <f t="shared" si="23"/>
        <v/>
      </c>
      <c r="AI72" s="2" t="str">
        <f t="shared" si="24"/>
        <v/>
      </c>
      <c r="AJ72" s="2" t="str">
        <f t="shared" si="25"/>
        <v/>
      </c>
      <c r="AK72" s="2" t="str">
        <f t="shared" si="26"/>
        <v/>
      </c>
      <c r="AL72" s="2" t="str">
        <f t="shared" si="27"/>
        <v/>
      </c>
      <c r="AM72" s="2" t="str">
        <f t="shared" si="28"/>
        <v/>
      </c>
      <c r="AN72" s="2" t="str">
        <f t="shared" si="29"/>
        <v/>
      </c>
      <c r="AO72" s="2" t="str">
        <f t="shared" si="30"/>
        <v/>
      </c>
      <c r="AP72" s="2">
        <f t="shared" si="31"/>
        <v>100.20914289000001</v>
      </c>
      <c r="AQ72" s="2">
        <f t="shared" si="32"/>
        <v>89.835428601000004</v>
      </c>
      <c r="AR72" s="2">
        <f t="shared" si="33"/>
        <v>97.857142890000006</v>
      </c>
      <c r="AS72" s="2">
        <f t="shared" si="34"/>
        <v>88.071428601000008</v>
      </c>
      <c r="AT72" s="2" t="str">
        <f t="shared" si="35"/>
        <v/>
      </c>
      <c r="AU72" s="2" t="str">
        <f t="shared" si="36"/>
        <v/>
      </c>
      <c r="AV72" s="2" t="str">
        <f t="shared" si="37"/>
        <v/>
      </c>
      <c r="AW72" s="2">
        <f t="shared" si="38"/>
        <v>301.52450865588503</v>
      </c>
      <c r="AX72" s="2" t="str">
        <f t="shared" si="39"/>
        <v/>
      </c>
      <c r="AY72" s="2" t="str">
        <f t="shared" si="40"/>
        <v/>
      </c>
      <c r="AZ72" s="2" t="str">
        <f t="shared" si="41"/>
        <v/>
      </c>
      <c r="BA72" s="2">
        <f t="shared" si="42"/>
        <v>1.5045987603642523E-5</v>
      </c>
      <c r="BB72" s="2" t="str">
        <f t="shared" si="50"/>
        <v/>
      </c>
      <c r="BC72" s="2" t="str">
        <f t="shared" si="50"/>
        <v/>
      </c>
      <c r="BD72" s="2" t="str">
        <f t="shared" si="50"/>
        <v/>
      </c>
      <c r="BE72" s="2">
        <f t="shared" si="50"/>
        <v>2.2568981405463786E-2</v>
      </c>
      <c r="BF72" s="1">
        <f t="shared" si="43"/>
        <v>2.2568981405463786E-2</v>
      </c>
      <c r="BH72" s="2">
        <f t="shared" si="44"/>
        <v>0.1024</v>
      </c>
      <c r="BI72" s="2">
        <f t="shared" si="45"/>
        <v>1.9249000000000003</v>
      </c>
      <c r="BJ72" s="2">
        <f t="shared" si="46"/>
        <v>1.8225000000000002</v>
      </c>
      <c r="BK72" s="1">
        <f t="shared" si="47"/>
        <v>0.43200000000000005</v>
      </c>
      <c r="BM72" s="1">
        <f t="shared" si="48"/>
        <v>0</v>
      </c>
    </row>
    <row r="73" spans="2:65">
      <c r="B73" s="1"/>
      <c r="C73" s="34">
        <v>28</v>
      </c>
      <c r="D73" s="1" t="str">
        <f t="shared" si="4"/>
        <v>胴体</v>
      </c>
      <c r="E73" s="1">
        <f t="shared" si="5"/>
        <v>1.4000000000000001</v>
      </c>
      <c r="F73" s="1">
        <f t="shared" si="6"/>
        <v>0</v>
      </c>
      <c r="G73" s="1">
        <f t="shared" si="7"/>
        <v>0.32</v>
      </c>
      <c r="H73" s="2">
        <f t="shared" si="49"/>
        <v>49.906158747500001</v>
      </c>
      <c r="I73" s="2">
        <f t="shared" si="49"/>
        <v>44.739142872750001</v>
      </c>
      <c r="J73" s="2">
        <f t="shared" si="49"/>
        <v>48.730158747499999</v>
      </c>
      <c r="K73" s="1">
        <f t="shared" si="49"/>
        <v>43.857142872750003</v>
      </c>
      <c r="L73" s="1"/>
      <c r="M73" s="1"/>
      <c r="N73" s="1"/>
      <c r="O73" s="1"/>
      <c r="P73" s="1"/>
      <c r="Q73" s="1"/>
      <c r="R73" s="2">
        <f t="shared" si="8"/>
        <v>85.062835944683613</v>
      </c>
      <c r="S73" s="2">
        <f t="shared" si="9"/>
        <v>12.462150431909752</v>
      </c>
      <c r="T73" s="147">
        <f t="shared" si="10"/>
        <v>0</v>
      </c>
      <c r="U73" s="147">
        <f t="shared" si="11"/>
        <v>0</v>
      </c>
      <c r="V73" s="2">
        <f t="shared" si="12"/>
        <v>49.906158747500001</v>
      </c>
      <c r="W73" s="2">
        <f t="shared" si="13"/>
        <v>-49.906158747500001</v>
      </c>
      <c r="X73" s="2">
        <f t="shared" si="14"/>
        <v>44.739142872750001</v>
      </c>
      <c r="Y73" s="2">
        <f t="shared" si="15"/>
        <v>-44.739142872750001</v>
      </c>
      <c r="Z73" s="2">
        <f t="shared" si="16"/>
        <v>48.730158747499999</v>
      </c>
      <c r="AA73" s="2">
        <f t="shared" si="17"/>
        <v>-48.730158747499999</v>
      </c>
      <c r="AB73" s="2">
        <f t="shared" si="18"/>
        <v>43.857142872750003</v>
      </c>
      <c r="AC73" s="2">
        <f t="shared" si="19"/>
        <v>-43.857142872750003</v>
      </c>
      <c r="AD73" s="2" t="str">
        <f t="shared" si="20"/>
        <v/>
      </c>
      <c r="AE73" s="2" t="str">
        <f t="shared" si="21"/>
        <v/>
      </c>
      <c r="AF73" s="2" t="str">
        <f t="shared" si="22"/>
        <v/>
      </c>
      <c r="AG73" s="2" t="str">
        <f t="shared" si="2"/>
        <v/>
      </c>
      <c r="AH73" s="2" t="str">
        <f t="shared" si="23"/>
        <v/>
      </c>
      <c r="AI73" s="2" t="str">
        <f t="shared" si="24"/>
        <v/>
      </c>
      <c r="AJ73" s="2" t="str">
        <f t="shared" si="25"/>
        <v/>
      </c>
      <c r="AK73" s="2" t="str">
        <f t="shared" si="26"/>
        <v/>
      </c>
      <c r="AL73" s="2" t="str">
        <f t="shared" si="27"/>
        <v/>
      </c>
      <c r="AM73" s="2" t="str">
        <f t="shared" si="28"/>
        <v/>
      </c>
      <c r="AN73" s="2" t="str">
        <f t="shared" si="29"/>
        <v/>
      </c>
      <c r="AO73" s="2" t="str">
        <f t="shared" si="30"/>
        <v/>
      </c>
      <c r="AP73" s="2">
        <f t="shared" si="31"/>
        <v>99.812317495000002</v>
      </c>
      <c r="AQ73" s="2">
        <f t="shared" si="32"/>
        <v>89.478285745500003</v>
      </c>
      <c r="AR73" s="2">
        <f t="shared" si="33"/>
        <v>97.460317494999998</v>
      </c>
      <c r="AS73" s="2">
        <f t="shared" si="34"/>
        <v>87.714285745500007</v>
      </c>
      <c r="AT73" s="2" t="str">
        <f t="shared" si="35"/>
        <v/>
      </c>
      <c r="AU73" s="2" t="str">
        <f t="shared" si="36"/>
        <v/>
      </c>
      <c r="AV73" s="2" t="str">
        <f t="shared" si="37"/>
        <v/>
      </c>
      <c r="AW73" s="2">
        <f t="shared" si="38"/>
        <v>300.31499548981537</v>
      </c>
      <c r="AX73" s="2" t="str">
        <f t="shared" si="39"/>
        <v/>
      </c>
      <c r="AY73" s="2" t="str">
        <f t="shared" si="40"/>
        <v/>
      </c>
      <c r="AZ73" s="2" t="str">
        <f t="shared" si="41"/>
        <v/>
      </c>
      <c r="BA73" s="2">
        <f t="shared" si="42"/>
        <v>1.4985511945339074E-5</v>
      </c>
      <c r="BB73" s="2" t="str">
        <f t="shared" si="50"/>
        <v/>
      </c>
      <c r="BC73" s="2" t="str">
        <f t="shared" si="50"/>
        <v/>
      </c>
      <c r="BD73" s="2" t="str">
        <f t="shared" si="50"/>
        <v/>
      </c>
      <c r="BE73" s="2">
        <f t="shared" si="50"/>
        <v>2.247826791800861E-2</v>
      </c>
      <c r="BF73" s="1">
        <f t="shared" si="43"/>
        <v>2.247826791800861E-2</v>
      </c>
      <c r="BH73" s="2">
        <f t="shared" si="44"/>
        <v>0.1024</v>
      </c>
      <c r="BI73" s="2">
        <f t="shared" si="45"/>
        <v>2.0624000000000002</v>
      </c>
      <c r="BJ73" s="2">
        <f t="shared" si="46"/>
        <v>1.9600000000000004</v>
      </c>
      <c r="BK73" s="1">
        <f t="shared" si="47"/>
        <v>0.44800000000000006</v>
      </c>
      <c r="BM73" s="1">
        <f t="shared" si="48"/>
        <v>0</v>
      </c>
    </row>
    <row r="74" spans="2:65">
      <c r="B74" s="1"/>
      <c r="C74" s="34">
        <v>29</v>
      </c>
      <c r="D74" s="1" t="str">
        <f t="shared" si="4"/>
        <v>胴体</v>
      </c>
      <c r="E74" s="1">
        <f t="shared" si="5"/>
        <v>1.4500000000000002</v>
      </c>
      <c r="F74" s="1">
        <f t="shared" si="6"/>
        <v>0</v>
      </c>
      <c r="G74" s="1">
        <f t="shared" si="7"/>
        <v>0.32</v>
      </c>
      <c r="H74" s="2">
        <f t="shared" si="49"/>
        <v>49.707746049999997</v>
      </c>
      <c r="I74" s="2">
        <f t="shared" si="49"/>
        <v>44.560571444999994</v>
      </c>
      <c r="J74" s="2">
        <f t="shared" si="49"/>
        <v>48.531746049999995</v>
      </c>
      <c r="K74" s="1">
        <f t="shared" si="49"/>
        <v>43.678571444999996</v>
      </c>
      <c r="L74" s="1"/>
      <c r="M74" s="1"/>
      <c r="N74" s="1"/>
      <c r="O74" s="1"/>
      <c r="P74" s="1"/>
      <c r="Q74" s="1"/>
      <c r="R74" s="2">
        <f t="shared" si="8"/>
        <v>85.062835944683613</v>
      </c>
      <c r="S74" s="2">
        <f t="shared" si="9"/>
        <v>12.462150431909752</v>
      </c>
      <c r="T74" s="147">
        <f t="shared" si="10"/>
        <v>0</v>
      </c>
      <c r="U74" s="147">
        <f t="shared" si="11"/>
        <v>0</v>
      </c>
      <c r="V74" s="2">
        <f t="shared" si="12"/>
        <v>49.707746049999997</v>
      </c>
      <c r="W74" s="2">
        <f t="shared" si="13"/>
        <v>-49.707746049999997</v>
      </c>
      <c r="X74" s="2">
        <f t="shared" si="14"/>
        <v>44.560571444999994</v>
      </c>
      <c r="Y74" s="2">
        <f t="shared" si="15"/>
        <v>-44.560571444999994</v>
      </c>
      <c r="Z74" s="2">
        <f t="shared" si="16"/>
        <v>48.531746049999995</v>
      </c>
      <c r="AA74" s="2">
        <f t="shared" si="17"/>
        <v>-48.531746049999995</v>
      </c>
      <c r="AB74" s="2">
        <f t="shared" si="18"/>
        <v>43.678571444999996</v>
      </c>
      <c r="AC74" s="2">
        <f t="shared" si="19"/>
        <v>-43.678571444999996</v>
      </c>
      <c r="AD74" s="2" t="str">
        <f t="shared" si="20"/>
        <v/>
      </c>
      <c r="AE74" s="2" t="str">
        <f t="shared" si="21"/>
        <v/>
      </c>
      <c r="AF74" s="2" t="str">
        <f t="shared" si="22"/>
        <v/>
      </c>
      <c r="AG74" s="2" t="str">
        <f t="shared" si="2"/>
        <v/>
      </c>
      <c r="AH74" s="2" t="str">
        <f t="shared" si="23"/>
        <v/>
      </c>
      <c r="AI74" s="2" t="str">
        <f t="shared" si="24"/>
        <v/>
      </c>
      <c r="AJ74" s="2" t="str">
        <f t="shared" si="25"/>
        <v/>
      </c>
      <c r="AK74" s="2" t="str">
        <f t="shared" si="26"/>
        <v/>
      </c>
      <c r="AL74" s="2" t="str">
        <f t="shared" si="27"/>
        <v/>
      </c>
      <c r="AM74" s="2" t="str">
        <f t="shared" si="28"/>
        <v/>
      </c>
      <c r="AN74" s="2" t="str">
        <f t="shared" si="29"/>
        <v/>
      </c>
      <c r="AO74" s="2" t="str">
        <f t="shared" si="30"/>
        <v/>
      </c>
      <c r="AP74" s="2">
        <f t="shared" si="31"/>
        <v>99.415492099999994</v>
      </c>
      <c r="AQ74" s="2">
        <f t="shared" si="32"/>
        <v>89.121142889999987</v>
      </c>
      <c r="AR74" s="2">
        <f t="shared" si="33"/>
        <v>97.063492099999991</v>
      </c>
      <c r="AS74" s="2">
        <f t="shared" si="34"/>
        <v>87.357142889999992</v>
      </c>
      <c r="AT74" s="2" t="str">
        <f t="shared" si="35"/>
        <v/>
      </c>
      <c r="AU74" s="2" t="str">
        <f t="shared" si="36"/>
        <v/>
      </c>
      <c r="AV74" s="2" t="str">
        <f t="shared" si="37"/>
        <v/>
      </c>
      <c r="AW74" s="2">
        <f t="shared" si="38"/>
        <v>299.10548232374714</v>
      </c>
      <c r="AX74" s="2" t="str">
        <f t="shared" si="39"/>
        <v/>
      </c>
      <c r="AY74" s="2" t="str">
        <f t="shared" si="40"/>
        <v/>
      </c>
      <c r="AZ74" s="2" t="str">
        <f t="shared" si="41"/>
        <v/>
      </c>
      <c r="BA74" s="2">
        <f t="shared" si="42"/>
        <v>1.4925036287035632E-5</v>
      </c>
      <c r="BB74" s="2" t="str">
        <f t="shared" si="50"/>
        <v/>
      </c>
      <c r="BC74" s="2" t="str">
        <f t="shared" si="50"/>
        <v/>
      </c>
      <c r="BD74" s="2" t="str">
        <f t="shared" si="50"/>
        <v/>
      </c>
      <c r="BE74" s="2">
        <f t="shared" si="50"/>
        <v>2.2387554430553448E-2</v>
      </c>
      <c r="BF74" s="1">
        <f t="shared" si="43"/>
        <v>2.2387554430553448E-2</v>
      </c>
      <c r="BH74" s="2">
        <f t="shared" si="44"/>
        <v>0.1024</v>
      </c>
      <c r="BI74" s="2">
        <f t="shared" si="45"/>
        <v>2.2049000000000003</v>
      </c>
      <c r="BJ74" s="2">
        <f t="shared" si="46"/>
        <v>2.1025000000000005</v>
      </c>
      <c r="BK74" s="1">
        <f t="shared" si="47"/>
        <v>0.46400000000000008</v>
      </c>
      <c r="BM74" s="1">
        <f t="shared" si="48"/>
        <v>0</v>
      </c>
    </row>
    <row r="75" spans="2:65">
      <c r="B75" s="1"/>
      <c r="C75" s="34">
        <v>30</v>
      </c>
      <c r="D75" s="1" t="str">
        <f t="shared" si="4"/>
        <v>胴体</v>
      </c>
      <c r="E75" s="1">
        <f t="shared" si="5"/>
        <v>1.5</v>
      </c>
      <c r="F75" s="1">
        <f t="shared" si="6"/>
        <v>0</v>
      </c>
      <c r="G75" s="1">
        <f t="shared" si="7"/>
        <v>0.32</v>
      </c>
      <c r="H75" s="2">
        <f t="shared" si="49"/>
        <v>49.509333352500001</v>
      </c>
      <c r="I75" s="2">
        <f t="shared" si="49"/>
        <v>44.38200001725</v>
      </c>
      <c r="J75" s="2">
        <f t="shared" si="49"/>
        <v>48.333333352499999</v>
      </c>
      <c r="K75" s="1">
        <f t="shared" si="49"/>
        <v>43.500000017250002</v>
      </c>
      <c r="L75" s="1"/>
      <c r="M75" s="1"/>
      <c r="N75" s="1"/>
      <c r="O75" s="1"/>
      <c r="P75" s="1"/>
      <c r="Q75" s="1"/>
      <c r="R75" s="2">
        <f t="shared" si="8"/>
        <v>85.062835944683613</v>
      </c>
      <c r="S75" s="2">
        <f t="shared" si="9"/>
        <v>12.462150431909752</v>
      </c>
      <c r="T75" s="147">
        <f t="shared" si="10"/>
        <v>0</v>
      </c>
      <c r="U75" s="147">
        <f t="shared" si="11"/>
        <v>0</v>
      </c>
      <c r="V75" s="2">
        <f t="shared" si="12"/>
        <v>49.509333352500001</v>
      </c>
      <c r="W75" s="2">
        <f t="shared" si="13"/>
        <v>-49.509333352500001</v>
      </c>
      <c r="X75" s="2">
        <f t="shared" si="14"/>
        <v>44.38200001725</v>
      </c>
      <c r="Y75" s="2">
        <f t="shared" si="15"/>
        <v>-44.38200001725</v>
      </c>
      <c r="Z75" s="2">
        <f t="shared" si="16"/>
        <v>48.333333352499999</v>
      </c>
      <c r="AA75" s="2">
        <f t="shared" si="17"/>
        <v>-48.333333352499999</v>
      </c>
      <c r="AB75" s="2">
        <f t="shared" si="18"/>
        <v>43.500000017250002</v>
      </c>
      <c r="AC75" s="2">
        <f t="shared" si="19"/>
        <v>-43.500000017250002</v>
      </c>
      <c r="AD75" s="2" t="str">
        <f t="shared" si="20"/>
        <v/>
      </c>
      <c r="AE75" s="2" t="str">
        <f t="shared" si="21"/>
        <v/>
      </c>
      <c r="AF75" s="2" t="str">
        <f t="shared" si="22"/>
        <v/>
      </c>
      <c r="AG75" s="2" t="str">
        <f t="shared" si="2"/>
        <v/>
      </c>
      <c r="AH75" s="2" t="str">
        <f t="shared" si="23"/>
        <v/>
      </c>
      <c r="AI75" s="2" t="str">
        <f t="shared" si="24"/>
        <v/>
      </c>
      <c r="AJ75" s="2" t="str">
        <f t="shared" si="25"/>
        <v/>
      </c>
      <c r="AK75" s="2" t="str">
        <f t="shared" si="26"/>
        <v/>
      </c>
      <c r="AL75" s="2" t="str">
        <f t="shared" si="27"/>
        <v/>
      </c>
      <c r="AM75" s="2" t="str">
        <f t="shared" si="28"/>
        <v/>
      </c>
      <c r="AN75" s="2" t="str">
        <f t="shared" si="29"/>
        <v/>
      </c>
      <c r="AO75" s="2" t="str">
        <f t="shared" si="30"/>
        <v/>
      </c>
      <c r="AP75" s="2">
        <f t="shared" si="31"/>
        <v>99.018666705000001</v>
      </c>
      <c r="AQ75" s="2">
        <f t="shared" si="32"/>
        <v>88.7640000345</v>
      </c>
      <c r="AR75" s="2">
        <f t="shared" si="33"/>
        <v>96.666666704999997</v>
      </c>
      <c r="AS75" s="2">
        <f t="shared" si="34"/>
        <v>87.000000034500005</v>
      </c>
      <c r="AT75" s="2" t="str">
        <f t="shared" si="35"/>
        <v/>
      </c>
      <c r="AU75" s="2" t="str">
        <f t="shared" si="36"/>
        <v/>
      </c>
      <c r="AV75" s="2" t="str">
        <f t="shared" si="37"/>
        <v/>
      </c>
      <c r="AW75" s="2">
        <f t="shared" si="38"/>
        <v>297.89596915768033</v>
      </c>
      <c r="AX75" s="2" t="str">
        <f t="shared" si="39"/>
        <v/>
      </c>
      <c r="AY75" s="2" t="str">
        <f t="shared" si="40"/>
        <v/>
      </c>
      <c r="AZ75" s="2" t="str">
        <f t="shared" si="41"/>
        <v/>
      </c>
      <c r="BA75" s="2">
        <f t="shared" si="42"/>
        <v>1.4864560628732325E-5</v>
      </c>
      <c r="BB75" s="2" t="str">
        <f t="shared" si="50"/>
        <v/>
      </c>
      <c r="BC75" s="2" t="str">
        <f t="shared" si="50"/>
        <v/>
      </c>
      <c r="BD75" s="2" t="str">
        <f t="shared" si="50"/>
        <v/>
      </c>
      <c r="BE75" s="2">
        <f t="shared" si="50"/>
        <v>2.2296840943098487E-2</v>
      </c>
      <c r="BF75" s="1">
        <f t="shared" si="43"/>
        <v>2.2296840943098487E-2</v>
      </c>
      <c r="BH75" s="2">
        <f t="shared" si="44"/>
        <v>0.1024</v>
      </c>
      <c r="BI75" s="2">
        <f t="shared" si="45"/>
        <v>2.3523999999999998</v>
      </c>
      <c r="BJ75" s="2">
        <f t="shared" si="46"/>
        <v>2.25</v>
      </c>
      <c r="BK75" s="1">
        <f t="shared" si="47"/>
        <v>0.48</v>
      </c>
      <c r="BM75" s="1">
        <f t="shared" si="48"/>
        <v>0</v>
      </c>
    </row>
    <row r="76" spans="2:65">
      <c r="B76" s="1"/>
      <c r="C76" s="34">
        <v>31</v>
      </c>
      <c r="D76" s="1" t="str">
        <f t="shared" si="4"/>
        <v>胴体</v>
      </c>
      <c r="E76" s="1">
        <f t="shared" si="5"/>
        <v>1.55</v>
      </c>
      <c r="F76" s="1">
        <f t="shared" si="6"/>
        <v>0</v>
      </c>
      <c r="G76" s="1">
        <f t="shared" si="7"/>
        <v>0.32</v>
      </c>
      <c r="H76" s="2">
        <f t="shared" si="49"/>
        <v>49.310920655000004</v>
      </c>
      <c r="I76" s="2">
        <f t="shared" si="49"/>
        <v>44.2034285895</v>
      </c>
      <c r="J76" s="2">
        <f t="shared" si="49"/>
        <v>48.134920655000002</v>
      </c>
      <c r="K76" s="1">
        <f t="shared" si="49"/>
        <v>43.321428589500002</v>
      </c>
      <c r="L76" s="1"/>
      <c r="M76" s="1"/>
      <c r="N76" s="1"/>
      <c r="O76" s="1"/>
      <c r="P76" s="1"/>
      <c r="Q76" s="1"/>
      <c r="R76" s="2">
        <f t="shared" si="8"/>
        <v>85.062835944683613</v>
      </c>
      <c r="S76" s="2">
        <f t="shared" si="9"/>
        <v>12.462150431909752</v>
      </c>
      <c r="T76" s="147">
        <f t="shared" si="10"/>
        <v>0</v>
      </c>
      <c r="U76" s="147">
        <f t="shared" si="11"/>
        <v>0</v>
      </c>
      <c r="V76" s="2">
        <f t="shared" si="12"/>
        <v>49.310920655000004</v>
      </c>
      <c r="W76" s="2">
        <f t="shared" si="13"/>
        <v>-49.310920655000004</v>
      </c>
      <c r="X76" s="2">
        <f t="shared" si="14"/>
        <v>44.2034285895</v>
      </c>
      <c r="Y76" s="2">
        <f t="shared" si="15"/>
        <v>-44.2034285895</v>
      </c>
      <c r="Z76" s="2">
        <f t="shared" si="16"/>
        <v>48.134920655000002</v>
      </c>
      <c r="AA76" s="2">
        <f t="shared" si="17"/>
        <v>-48.134920655000002</v>
      </c>
      <c r="AB76" s="2">
        <f t="shared" si="18"/>
        <v>43.321428589500002</v>
      </c>
      <c r="AC76" s="2">
        <f t="shared" si="19"/>
        <v>-43.321428589500002</v>
      </c>
      <c r="AD76" s="2" t="str">
        <f t="shared" si="20"/>
        <v/>
      </c>
      <c r="AE76" s="2" t="str">
        <f t="shared" si="21"/>
        <v/>
      </c>
      <c r="AF76" s="2" t="str">
        <f t="shared" si="22"/>
        <v/>
      </c>
      <c r="AG76" s="2" t="str">
        <f t="shared" si="2"/>
        <v/>
      </c>
      <c r="AH76" s="2" t="str">
        <f t="shared" si="23"/>
        <v/>
      </c>
      <c r="AI76" s="2" t="str">
        <f t="shared" si="24"/>
        <v/>
      </c>
      <c r="AJ76" s="2" t="str">
        <f t="shared" si="25"/>
        <v/>
      </c>
      <c r="AK76" s="2" t="str">
        <f t="shared" si="26"/>
        <v/>
      </c>
      <c r="AL76" s="2" t="str">
        <f t="shared" si="27"/>
        <v/>
      </c>
      <c r="AM76" s="2" t="str">
        <f t="shared" si="28"/>
        <v/>
      </c>
      <c r="AN76" s="2" t="str">
        <f t="shared" si="29"/>
        <v/>
      </c>
      <c r="AO76" s="2" t="str">
        <f t="shared" si="30"/>
        <v/>
      </c>
      <c r="AP76" s="2">
        <f t="shared" si="31"/>
        <v>98.621841310000008</v>
      </c>
      <c r="AQ76" s="2">
        <f t="shared" si="32"/>
        <v>88.406857178999999</v>
      </c>
      <c r="AR76" s="2">
        <f t="shared" si="33"/>
        <v>96.269841310000004</v>
      </c>
      <c r="AS76" s="2">
        <f t="shared" si="34"/>
        <v>86.642857179000003</v>
      </c>
      <c r="AT76" s="2" t="str">
        <f t="shared" si="35"/>
        <v/>
      </c>
      <c r="AU76" s="2" t="str">
        <f t="shared" si="36"/>
        <v/>
      </c>
      <c r="AV76" s="2" t="str">
        <f t="shared" si="37"/>
        <v/>
      </c>
      <c r="AW76" s="2">
        <f t="shared" si="38"/>
        <v>296.68645599161209</v>
      </c>
      <c r="AX76" s="2" t="str">
        <f t="shared" si="39"/>
        <v/>
      </c>
      <c r="AY76" s="2" t="str">
        <f t="shared" si="40"/>
        <v/>
      </c>
      <c r="AZ76" s="2" t="str">
        <f t="shared" si="41"/>
        <v/>
      </c>
      <c r="BA76" s="2">
        <f t="shared" si="42"/>
        <v>1.4804084970428911E-5</v>
      </c>
      <c r="BB76" s="2" t="str">
        <f t="shared" si="50"/>
        <v/>
      </c>
      <c r="BC76" s="2" t="str">
        <f t="shared" si="50"/>
        <v/>
      </c>
      <c r="BD76" s="2" t="str">
        <f t="shared" si="50"/>
        <v/>
      </c>
      <c r="BE76" s="2">
        <f t="shared" si="50"/>
        <v>2.2206127455643366E-2</v>
      </c>
      <c r="BF76" s="1">
        <f t="shared" si="43"/>
        <v>2.2206127455643366E-2</v>
      </c>
      <c r="BH76" s="2">
        <f t="shared" si="44"/>
        <v>0.1024</v>
      </c>
      <c r="BI76" s="2">
        <f t="shared" si="45"/>
        <v>2.5049000000000001</v>
      </c>
      <c r="BJ76" s="2">
        <f t="shared" si="46"/>
        <v>2.4025000000000003</v>
      </c>
      <c r="BK76" s="1">
        <f t="shared" si="47"/>
        <v>0.49600000000000005</v>
      </c>
      <c r="BM76" s="1">
        <f t="shared" si="48"/>
        <v>0</v>
      </c>
    </row>
    <row r="77" spans="2:65">
      <c r="B77" s="1"/>
      <c r="C77" s="34">
        <v>32</v>
      </c>
      <c r="D77" s="1" t="str">
        <f t="shared" si="4"/>
        <v>胴体</v>
      </c>
      <c r="E77" s="1">
        <f t="shared" si="5"/>
        <v>1.6</v>
      </c>
      <c r="F77" s="1">
        <f t="shared" si="6"/>
        <v>0</v>
      </c>
      <c r="G77" s="1">
        <f t="shared" si="7"/>
        <v>0.32</v>
      </c>
      <c r="H77" s="2">
        <f t="shared" si="49"/>
        <v>49.1125079575</v>
      </c>
      <c r="I77" s="2">
        <f t="shared" si="49"/>
        <v>44.024857161749999</v>
      </c>
      <c r="J77" s="2">
        <f t="shared" si="49"/>
        <v>47.936507957499998</v>
      </c>
      <c r="K77" s="1">
        <f t="shared" si="49"/>
        <v>43.142857161750001</v>
      </c>
      <c r="L77" s="1"/>
      <c r="M77" s="1"/>
      <c r="N77" s="1"/>
      <c r="O77" s="1"/>
      <c r="P77" s="1"/>
      <c r="Q77" s="1"/>
      <c r="R77" s="2">
        <f t="shared" si="8"/>
        <v>85.062835944683613</v>
      </c>
      <c r="S77" s="2">
        <f t="shared" si="9"/>
        <v>12.462150431909752</v>
      </c>
      <c r="T77" s="147">
        <f t="shared" si="10"/>
        <v>0</v>
      </c>
      <c r="U77" s="147">
        <f t="shared" si="11"/>
        <v>0</v>
      </c>
      <c r="V77" s="2">
        <f t="shared" si="12"/>
        <v>49.1125079575</v>
      </c>
      <c r="W77" s="2">
        <f t="shared" si="13"/>
        <v>-49.1125079575</v>
      </c>
      <c r="X77" s="2">
        <f t="shared" si="14"/>
        <v>44.024857161749999</v>
      </c>
      <c r="Y77" s="2">
        <f t="shared" si="15"/>
        <v>-44.024857161749999</v>
      </c>
      <c r="Z77" s="2">
        <f t="shared" si="16"/>
        <v>47.936507957499998</v>
      </c>
      <c r="AA77" s="2">
        <f t="shared" si="17"/>
        <v>-47.936507957499998</v>
      </c>
      <c r="AB77" s="2">
        <f t="shared" si="18"/>
        <v>43.142857161750001</v>
      </c>
      <c r="AC77" s="2">
        <f t="shared" si="19"/>
        <v>-43.142857161750001</v>
      </c>
      <c r="AD77" s="2" t="str">
        <f t="shared" si="20"/>
        <v/>
      </c>
      <c r="AE77" s="2" t="str">
        <f t="shared" si="21"/>
        <v/>
      </c>
      <c r="AF77" s="2" t="str">
        <f t="shared" si="22"/>
        <v/>
      </c>
      <c r="AG77" s="2" t="str">
        <f t="shared" si="2"/>
        <v/>
      </c>
      <c r="AH77" s="2" t="str">
        <f t="shared" si="23"/>
        <v/>
      </c>
      <c r="AI77" s="2" t="str">
        <f t="shared" si="24"/>
        <v/>
      </c>
      <c r="AJ77" s="2" t="str">
        <f t="shared" si="25"/>
        <v/>
      </c>
      <c r="AK77" s="2" t="str">
        <f t="shared" si="26"/>
        <v/>
      </c>
      <c r="AL77" s="2" t="str">
        <f t="shared" si="27"/>
        <v/>
      </c>
      <c r="AM77" s="2" t="str">
        <f t="shared" si="28"/>
        <v/>
      </c>
      <c r="AN77" s="2" t="str">
        <f t="shared" si="29"/>
        <v/>
      </c>
      <c r="AO77" s="2" t="str">
        <f t="shared" si="30"/>
        <v/>
      </c>
      <c r="AP77" s="2">
        <f t="shared" si="31"/>
        <v>98.225015915</v>
      </c>
      <c r="AQ77" s="2">
        <f t="shared" si="32"/>
        <v>88.049714323499998</v>
      </c>
      <c r="AR77" s="2">
        <f t="shared" si="33"/>
        <v>95.873015914999996</v>
      </c>
      <c r="AS77" s="2">
        <f t="shared" si="34"/>
        <v>86.285714323500002</v>
      </c>
      <c r="AT77" s="2" t="str">
        <f t="shared" si="35"/>
        <v/>
      </c>
      <c r="AU77" s="2" t="str">
        <f t="shared" si="36"/>
        <v/>
      </c>
      <c r="AV77" s="2" t="str">
        <f t="shared" si="37"/>
        <v/>
      </c>
      <c r="AW77" s="2">
        <f t="shared" si="38"/>
        <v>295.47694282554386</v>
      </c>
      <c r="AX77" s="2" t="str">
        <f t="shared" si="39"/>
        <v/>
      </c>
      <c r="AY77" s="2" t="str">
        <f t="shared" si="40"/>
        <v/>
      </c>
      <c r="AZ77" s="2" t="str">
        <f t="shared" si="41"/>
        <v/>
      </c>
      <c r="BA77" s="2">
        <f t="shared" si="42"/>
        <v>1.4743609312125463E-5</v>
      </c>
      <c r="BB77" s="2" t="str">
        <f t="shared" si="50"/>
        <v/>
      </c>
      <c r="BC77" s="2" t="str">
        <f t="shared" si="50"/>
        <v/>
      </c>
      <c r="BD77" s="2" t="str">
        <f t="shared" si="50"/>
        <v/>
      </c>
      <c r="BE77" s="2">
        <f t="shared" si="50"/>
        <v>2.2115413968188193E-2</v>
      </c>
      <c r="BF77" s="1">
        <f t="shared" si="43"/>
        <v>2.2115413968188193E-2</v>
      </c>
      <c r="BH77" s="2">
        <f t="shared" si="44"/>
        <v>0.1024</v>
      </c>
      <c r="BI77" s="2">
        <f t="shared" si="45"/>
        <v>2.6624000000000003</v>
      </c>
      <c r="BJ77" s="2">
        <f t="shared" si="46"/>
        <v>2.5600000000000005</v>
      </c>
      <c r="BK77" s="1">
        <f t="shared" si="47"/>
        <v>0.51200000000000001</v>
      </c>
      <c r="BM77" s="1">
        <f t="shared" si="48"/>
        <v>0</v>
      </c>
    </row>
    <row r="78" spans="2:65">
      <c r="B78" s="1"/>
      <c r="C78" s="34">
        <v>33</v>
      </c>
      <c r="D78" s="1" t="str">
        <f t="shared" si="4"/>
        <v>胴体</v>
      </c>
      <c r="E78" s="1">
        <f t="shared" si="5"/>
        <v>1.6500000000000001</v>
      </c>
      <c r="F78" s="1">
        <f t="shared" si="6"/>
        <v>0</v>
      </c>
      <c r="G78" s="1">
        <f t="shared" si="7"/>
        <v>0.32</v>
      </c>
      <c r="H78" s="2">
        <f t="shared" si="49"/>
        <v>48.914095260000003</v>
      </c>
      <c r="I78" s="2">
        <f t="shared" si="49"/>
        <v>43.846285733999999</v>
      </c>
      <c r="J78" s="2">
        <f t="shared" si="49"/>
        <v>47.738095260000001</v>
      </c>
      <c r="K78" s="1">
        <f t="shared" si="49"/>
        <v>42.964285734000001</v>
      </c>
      <c r="L78" s="1"/>
      <c r="M78" s="1"/>
      <c r="N78" s="1"/>
      <c r="O78" s="1"/>
      <c r="P78" s="1"/>
      <c r="Q78" s="1"/>
      <c r="R78" s="2">
        <f t="shared" si="8"/>
        <v>85.062835944683613</v>
      </c>
      <c r="S78" s="2">
        <f t="shared" si="9"/>
        <v>12.462150431909752</v>
      </c>
      <c r="T78" s="147">
        <f t="shared" si="10"/>
        <v>0</v>
      </c>
      <c r="U78" s="147">
        <f t="shared" si="11"/>
        <v>0</v>
      </c>
      <c r="V78" s="2">
        <f t="shared" si="12"/>
        <v>48.914095260000003</v>
      </c>
      <c r="W78" s="2">
        <f t="shared" si="13"/>
        <v>-48.914095260000003</v>
      </c>
      <c r="X78" s="2">
        <f t="shared" si="14"/>
        <v>43.846285733999999</v>
      </c>
      <c r="Y78" s="2">
        <f t="shared" si="15"/>
        <v>-43.846285733999999</v>
      </c>
      <c r="Z78" s="2">
        <f t="shared" si="16"/>
        <v>47.738095260000001</v>
      </c>
      <c r="AA78" s="2">
        <f t="shared" si="17"/>
        <v>-47.738095260000001</v>
      </c>
      <c r="AB78" s="2">
        <f t="shared" si="18"/>
        <v>42.964285734000001</v>
      </c>
      <c r="AC78" s="2">
        <f t="shared" si="19"/>
        <v>-42.964285734000001</v>
      </c>
      <c r="AD78" s="2" t="str">
        <f t="shared" si="20"/>
        <v/>
      </c>
      <c r="AE78" s="2" t="str">
        <f t="shared" si="21"/>
        <v/>
      </c>
      <c r="AF78" s="2" t="str">
        <f t="shared" si="22"/>
        <v/>
      </c>
      <c r="AG78" s="2" t="str">
        <f t="shared" si="2"/>
        <v/>
      </c>
      <c r="AH78" s="2" t="str">
        <f t="shared" si="23"/>
        <v/>
      </c>
      <c r="AI78" s="2" t="str">
        <f t="shared" si="24"/>
        <v/>
      </c>
      <c r="AJ78" s="2" t="str">
        <f t="shared" si="25"/>
        <v/>
      </c>
      <c r="AK78" s="2" t="str">
        <f t="shared" si="26"/>
        <v/>
      </c>
      <c r="AL78" s="2" t="str">
        <f t="shared" si="27"/>
        <v/>
      </c>
      <c r="AM78" s="2" t="str">
        <f t="shared" si="28"/>
        <v/>
      </c>
      <c r="AN78" s="2" t="str">
        <f t="shared" si="29"/>
        <v/>
      </c>
      <c r="AO78" s="2" t="str">
        <f t="shared" si="30"/>
        <v/>
      </c>
      <c r="AP78" s="2">
        <f t="shared" si="31"/>
        <v>97.828190520000007</v>
      </c>
      <c r="AQ78" s="2">
        <f t="shared" si="32"/>
        <v>87.692571467999997</v>
      </c>
      <c r="AR78" s="2">
        <f t="shared" si="33"/>
        <v>95.476190520000003</v>
      </c>
      <c r="AS78" s="2">
        <f t="shared" si="34"/>
        <v>85.928571468000001</v>
      </c>
      <c r="AT78" s="2" t="str">
        <f t="shared" si="35"/>
        <v/>
      </c>
      <c r="AU78" s="2" t="str">
        <f t="shared" si="36"/>
        <v/>
      </c>
      <c r="AV78" s="2" t="str">
        <f t="shared" si="37"/>
        <v/>
      </c>
      <c r="AW78" s="2">
        <f t="shared" si="38"/>
        <v>294.2674296594742</v>
      </c>
      <c r="AX78" s="2" t="str">
        <f t="shared" si="39"/>
        <v/>
      </c>
      <c r="AY78" s="2" t="str">
        <f t="shared" si="40"/>
        <v/>
      </c>
      <c r="AZ78" s="2" t="str">
        <f t="shared" si="41"/>
        <v/>
      </c>
      <c r="BA78" s="2">
        <f t="shared" si="42"/>
        <v>1.4683133653822034E-5</v>
      </c>
      <c r="BB78" s="2" t="str">
        <f t="shared" si="50"/>
        <v/>
      </c>
      <c r="BC78" s="2" t="str">
        <f t="shared" si="50"/>
        <v/>
      </c>
      <c r="BD78" s="2" t="str">
        <f t="shared" si="50"/>
        <v/>
      </c>
      <c r="BE78" s="2">
        <f t="shared" si="50"/>
        <v>2.2024700480733052E-2</v>
      </c>
      <c r="BF78" s="1">
        <f t="shared" si="43"/>
        <v>2.2024700480733052E-2</v>
      </c>
      <c r="BH78" s="2">
        <f t="shared" si="44"/>
        <v>0.1024</v>
      </c>
      <c r="BI78" s="2">
        <f t="shared" si="45"/>
        <v>2.8249000000000004</v>
      </c>
      <c r="BJ78" s="2">
        <f t="shared" si="46"/>
        <v>2.7225000000000006</v>
      </c>
      <c r="BK78" s="1">
        <f t="shared" si="47"/>
        <v>0.52800000000000002</v>
      </c>
      <c r="BM78" s="1">
        <f t="shared" si="48"/>
        <v>0</v>
      </c>
    </row>
    <row r="79" spans="2:65">
      <c r="B79" s="1"/>
      <c r="C79" s="34">
        <v>34</v>
      </c>
      <c r="D79" s="1" t="str">
        <f t="shared" si="4"/>
        <v>胴体</v>
      </c>
      <c r="E79" s="1">
        <f t="shared" si="5"/>
        <v>1.7000000000000002</v>
      </c>
      <c r="F79" s="1">
        <f t="shared" si="6"/>
        <v>0</v>
      </c>
      <c r="G79" s="1">
        <f t="shared" si="7"/>
        <v>0.32</v>
      </c>
      <c r="H79" s="2">
        <f t="shared" si="49"/>
        <v>48.7156825625</v>
      </c>
      <c r="I79" s="2">
        <f t="shared" si="49"/>
        <v>43.667714306249998</v>
      </c>
      <c r="J79" s="2">
        <f t="shared" si="49"/>
        <v>47.539682562499998</v>
      </c>
      <c r="K79" s="1">
        <f t="shared" si="49"/>
        <v>42.78571430625</v>
      </c>
      <c r="L79" s="1"/>
      <c r="M79" s="1"/>
      <c r="N79" s="1"/>
      <c r="O79" s="1"/>
      <c r="P79" s="1"/>
      <c r="Q79" s="1"/>
      <c r="R79" s="2">
        <f t="shared" si="8"/>
        <v>85.062835944683613</v>
      </c>
      <c r="S79" s="2">
        <f t="shared" si="9"/>
        <v>12.462150431909752</v>
      </c>
      <c r="T79" s="147">
        <f t="shared" si="10"/>
        <v>0</v>
      </c>
      <c r="U79" s="147">
        <f t="shared" si="11"/>
        <v>0</v>
      </c>
      <c r="V79" s="2">
        <f t="shared" si="12"/>
        <v>48.7156825625</v>
      </c>
      <c r="W79" s="2">
        <f t="shared" si="13"/>
        <v>-48.7156825625</v>
      </c>
      <c r="X79" s="2">
        <f t="shared" si="14"/>
        <v>43.667714306249998</v>
      </c>
      <c r="Y79" s="2">
        <f t="shared" si="15"/>
        <v>-43.667714306249998</v>
      </c>
      <c r="Z79" s="2">
        <f t="shared" si="16"/>
        <v>47.539682562499998</v>
      </c>
      <c r="AA79" s="2">
        <f t="shared" si="17"/>
        <v>-47.539682562499998</v>
      </c>
      <c r="AB79" s="2">
        <f t="shared" si="18"/>
        <v>42.78571430625</v>
      </c>
      <c r="AC79" s="2">
        <f t="shared" si="19"/>
        <v>-42.78571430625</v>
      </c>
      <c r="AD79" s="2" t="str">
        <f t="shared" si="20"/>
        <v/>
      </c>
      <c r="AE79" s="2" t="str">
        <f t="shared" si="21"/>
        <v/>
      </c>
      <c r="AF79" s="2" t="str">
        <f t="shared" si="22"/>
        <v/>
      </c>
      <c r="AG79" s="2" t="str">
        <f t="shared" si="2"/>
        <v/>
      </c>
      <c r="AH79" s="2" t="str">
        <f t="shared" si="23"/>
        <v/>
      </c>
      <c r="AI79" s="2" t="str">
        <f t="shared" si="24"/>
        <v/>
      </c>
      <c r="AJ79" s="2" t="str">
        <f t="shared" si="25"/>
        <v/>
      </c>
      <c r="AK79" s="2" t="str">
        <f t="shared" si="26"/>
        <v/>
      </c>
      <c r="AL79" s="2" t="str">
        <f t="shared" si="27"/>
        <v/>
      </c>
      <c r="AM79" s="2" t="str">
        <f t="shared" si="28"/>
        <v/>
      </c>
      <c r="AN79" s="2" t="str">
        <f t="shared" si="29"/>
        <v/>
      </c>
      <c r="AO79" s="2" t="str">
        <f t="shared" si="30"/>
        <v/>
      </c>
      <c r="AP79" s="2">
        <f t="shared" si="31"/>
        <v>97.431365124999999</v>
      </c>
      <c r="AQ79" s="2">
        <f t="shared" si="32"/>
        <v>87.335428612499996</v>
      </c>
      <c r="AR79" s="2">
        <f t="shared" si="33"/>
        <v>95.079365124999995</v>
      </c>
      <c r="AS79" s="2">
        <f t="shared" si="34"/>
        <v>85.5714286125</v>
      </c>
      <c r="AT79" s="2" t="str">
        <f t="shared" si="35"/>
        <v/>
      </c>
      <c r="AU79" s="2" t="str">
        <f t="shared" si="36"/>
        <v/>
      </c>
      <c r="AV79" s="2" t="str">
        <f t="shared" si="37"/>
        <v/>
      </c>
      <c r="AW79" s="2">
        <f t="shared" si="38"/>
        <v>293.05791649340665</v>
      </c>
      <c r="AX79" s="2" t="str">
        <f t="shared" si="39"/>
        <v/>
      </c>
      <c r="AY79" s="2" t="str">
        <f t="shared" si="40"/>
        <v/>
      </c>
      <c r="AZ79" s="2" t="str">
        <f t="shared" si="41"/>
        <v/>
      </c>
      <c r="BA79" s="2">
        <f t="shared" si="42"/>
        <v>1.4622657995518574E-5</v>
      </c>
      <c r="BB79" s="2" t="str">
        <f t="shared" si="50"/>
        <v/>
      </c>
      <c r="BC79" s="2" t="str">
        <f t="shared" si="50"/>
        <v/>
      </c>
      <c r="BD79" s="2" t="str">
        <f t="shared" si="50"/>
        <v/>
      </c>
      <c r="BE79" s="2">
        <f t="shared" si="50"/>
        <v>2.1933986993277862E-2</v>
      </c>
      <c r="BF79" s="1">
        <f t="shared" si="43"/>
        <v>2.1933986993277862E-2</v>
      </c>
      <c r="BH79" s="2">
        <f t="shared" si="44"/>
        <v>0.1024</v>
      </c>
      <c r="BI79" s="2">
        <f t="shared" si="45"/>
        <v>2.9924000000000004</v>
      </c>
      <c r="BJ79" s="2">
        <f t="shared" si="46"/>
        <v>2.8900000000000006</v>
      </c>
      <c r="BK79" s="1">
        <f t="shared" si="47"/>
        <v>0.54400000000000004</v>
      </c>
      <c r="BM79" s="1">
        <f t="shared" si="48"/>
        <v>0</v>
      </c>
    </row>
    <row r="80" spans="2:65">
      <c r="B80" s="1"/>
      <c r="C80" s="34">
        <v>35</v>
      </c>
      <c r="D80" s="1" t="str">
        <f t="shared" si="4"/>
        <v>胴体</v>
      </c>
      <c r="E80" s="1">
        <f t="shared" si="5"/>
        <v>1.75</v>
      </c>
      <c r="F80" s="1">
        <f t="shared" si="6"/>
        <v>0</v>
      </c>
      <c r="G80" s="1">
        <f t="shared" si="7"/>
        <v>0.32</v>
      </c>
      <c r="H80" s="2">
        <f t="shared" si="49"/>
        <v>48.517269865000003</v>
      </c>
      <c r="I80" s="2">
        <f t="shared" si="49"/>
        <v>43.489142878499997</v>
      </c>
      <c r="J80" s="2">
        <f t="shared" si="49"/>
        <v>47.341269865000001</v>
      </c>
      <c r="K80" s="1">
        <f t="shared" si="49"/>
        <v>42.607142878499999</v>
      </c>
      <c r="L80" s="1"/>
      <c r="M80" s="1"/>
      <c r="N80" s="1"/>
      <c r="O80" s="1"/>
      <c r="P80" s="1"/>
      <c r="Q80" s="1"/>
      <c r="R80" s="2">
        <f t="shared" si="8"/>
        <v>85.062835944683613</v>
      </c>
      <c r="S80" s="2">
        <f t="shared" si="9"/>
        <v>12.462150431909752</v>
      </c>
      <c r="T80" s="147">
        <f t="shared" si="10"/>
        <v>0</v>
      </c>
      <c r="U80" s="147">
        <f t="shared" si="11"/>
        <v>0</v>
      </c>
      <c r="V80" s="2">
        <f t="shared" si="12"/>
        <v>48.517269865000003</v>
      </c>
      <c r="W80" s="2">
        <f t="shared" si="13"/>
        <v>-48.517269865000003</v>
      </c>
      <c r="X80" s="2">
        <f t="shared" si="14"/>
        <v>43.489142878499997</v>
      </c>
      <c r="Y80" s="2">
        <f t="shared" si="15"/>
        <v>-43.489142878499997</v>
      </c>
      <c r="Z80" s="2">
        <f t="shared" si="16"/>
        <v>47.341269865000001</v>
      </c>
      <c r="AA80" s="2">
        <f t="shared" si="17"/>
        <v>-47.341269865000001</v>
      </c>
      <c r="AB80" s="2">
        <f t="shared" si="18"/>
        <v>42.607142878499999</v>
      </c>
      <c r="AC80" s="2">
        <f t="shared" si="19"/>
        <v>-42.607142878499999</v>
      </c>
      <c r="AD80" s="2" t="str">
        <f t="shared" si="20"/>
        <v/>
      </c>
      <c r="AE80" s="2" t="str">
        <f t="shared" si="21"/>
        <v/>
      </c>
      <c r="AF80" s="2" t="str">
        <f t="shared" si="22"/>
        <v/>
      </c>
      <c r="AG80" s="2" t="str">
        <f t="shared" si="2"/>
        <v/>
      </c>
      <c r="AH80" s="2" t="str">
        <f t="shared" si="23"/>
        <v/>
      </c>
      <c r="AI80" s="2" t="str">
        <f t="shared" si="24"/>
        <v/>
      </c>
      <c r="AJ80" s="2" t="str">
        <f t="shared" si="25"/>
        <v/>
      </c>
      <c r="AK80" s="2" t="str">
        <f t="shared" si="26"/>
        <v/>
      </c>
      <c r="AL80" s="2" t="str">
        <f t="shared" si="27"/>
        <v/>
      </c>
      <c r="AM80" s="2" t="str">
        <f t="shared" si="28"/>
        <v/>
      </c>
      <c r="AN80" s="2" t="str">
        <f t="shared" si="29"/>
        <v/>
      </c>
      <c r="AO80" s="2" t="str">
        <f t="shared" si="30"/>
        <v/>
      </c>
      <c r="AP80" s="2">
        <f t="shared" si="31"/>
        <v>97.034539730000006</v>
      </c>
      <c r="AQ80" s="2">
        <f t="shared" si="32"/>
        <v>86.978285756999995</v>
      </c>
      <c r="AR80" s="2">
        <f t="shared" si="33"/>
        <v>94.682539730000002</v>
      </c>
      <c r="AS80" s="2">
        <f t="shared" si="34"/>
        <v>85.214285756999999</v>
      </c>
      <c r="AT80" s="2" t="str">
        <f t="shared" si="35"/>
        <v/>
      </c>
      <c r="AU80" s="2" t="str">
        <f t="shared" si="36"/>
        <v/>
      </c>
      <c r="AV80" s="2" t="str">
        <f t="shared" si="37"/>
        <v/>
      </c>
      <c r="AW80" s="2">
        <f t="shared" si="38"/>
        <v>291.84840332733842</v>
      </c>
      <c r="AX80" s="2" t="str">
        <f t="shared" si="39"/>
        <v/>
      </c>
      <c r="AY80" s="2" t="str">
        <f t="shared" si="40"/>
        <v/>
      </c>
      <c r="AZ80" s="2" t="str">
        <f t="shared" si="41"/>
        <v/>
      </c>
      <c r="BA80" s="2">
        <f t="shared" si="42"/>
        <v>1.4562182337215229E-5</v>
      </c>
      <c r="BB80" s="2" t="str">
        <f t="shared" si="50"/>
        <v/>
      </c>
      <c r="BC80" s="2" t="str">
        <f t="shared" si="50"/>
        <v/>
      </c>
      <c r="BD80" s="2" t="str">
        <f t="shared" si="50"/>
        <v/>
      </c>
      <c r="BE80" s="2">
        <f t="shared" si="50"/>
        <v>2.1843273505822845E-2</v>
      </c>
      <c r="BF80" s="1">
        <f t="shared" si="43"/>
        <v>2.1843273505822845E-2</v>
      </c>
      <c r="BH80" s="2">
        <f t="shared" si="44"/>
        <v>0.1024</v>
      </c>
      <c r="BI80" s="2">
        <f t="shared" si="45"/>
        <v>3.1648999999999998</v>
      </c>
      <c r="BJ80" s="2">
        <f t="shared" si="46"/>
        <v>3.0625</v>
      </c>
      <c r="BK80" s="1">
        <f t="shared" si="47"/>
        <v>0.56000000000000005</v>
      </c>
      <c r="BM80" s="1">
        <f t="shared" si="48"/>
        <v>0</v>
      </c>
    </row>
    <row r="81" spans="2:65">
      <c r="B81" s="1"/>
      <c r="C81" s="34">
        <v>36</v>
      </c>
      <c r="D81" s="1" t="str">
        <f t="shared" si="4"/>
        <v>胴体</v>
      </c>
      <c r="E81" s="1">
        <f t="shared" si="5"/>
        <v>1.8</v>
      </c>
      <c r="F81" s="1">
        <f t="shared" si="6"/>
        <v>0</v>
      </c>
      <c r="G81" s="1">
        <f t="shared" si="7"/>
        <v>0.32</v>
      </c>
      <c r="H81" s="2">
        <f t="shared" si="49"/>
        <v>48.318857167499999</v>
      </c>
      <c r="I81" s="2">
        <f t="shared" si="49"/>
        <v>43.310571450749997</v>
      </c>
      <c r="J81" s="2">
        <f t="shared" si="49"/>
        <v>47.142857167499997</v>
      </c>
      <c r="K81" s="1">
        <f t="shared" si="49"/>
        <v>42.428571450749999</v>
      </c>
      <c r="L81" s="1"/>
      <c r="M81" s="1"/>
      <c r="N81" s="1"/>
      <c r="O81" s="1"/>
      <c r="P81" s="1"/>
      <c r="Q81" s="1"/>
      <c r="R81" s="2">
        <f t="shared" si="8"/>
        <v>85.062835944683613</v>
      </c>
      <c r="S81" s="2">
        <f t="shared" si="9"/>
        <v>12.462150431909752</v>
      </c>
      <c r="T81" s="147">
        <f t="shared" si="10"/>
        <v>0</v>
      </c>
      <c r="U81" s="147">
        <f t="shared" si="11"/>
        <v>0</v>
      </c>
      <c r="V81" s="2">
        <f t="shared" si="12"/>
        <v>48.318857167499999</v>
      </c>
      <c r="W81" s="2">
        <f t="shared" si="13"/>
        <v>-48.318857167499999</v>
      </c>
      <c r="X81" s="2">
        <f t="shared" si="14"/>
        <v>43.310571450749997</v>
      </c>
      <c r="Y81" s="2">
        <f t="shared" si="15"/>
        <v>-43.310571450749997</v>
      </c>
      <c r="Z81" s="2">
        <f t="shared" si="16"/>
        <v>47.142857167499997</v>
      </c>
      <c r="AA81" s="2">
        <f t="shared" si="17"/>
        <v>-47.142857167499997</v>
      </c>
      <c r="AB81" s="2">
        <f t="shared" si="18"/>
        <v>42.428571450749999</v>
      </c>
      <c r="AC81" s="2">
        <f t="shared" si="19"/>
        <v>-42.428571450749999</v>
      </c>
      <c r="AD81" s="2" t="str">
        <f t="shared" si="20"/>
        <v/>
      </c>
      <c r="AE81" s="2" t="str">
        <f t="shared" si="21"/>
        <v/>
      </c>
      <c r="AF81" s="2" t="str">
        <f t="shared" si="22"/>
        <v/>
      </c>
      <c r="AG81" s="2" t="str">
        <f t="shared" si="2"/>
        <v/>
      </c>
      <c r="AH81" s="2" t="str">
        <f t="shared" si="23"/>
        <v/>
      </c>
      <c r="AI81" s="2" t="str">
        <f t="shared" si="24"/>
        <v/>
      </c>
      <c r="AJ81" s="2" t="str">
        <f t="shared" si="25"/>
        <v/>
      </c>
      <c r="AK81" s="2" t="str">
        <f t="shared" si="26"/>
        <v/>
      </c>
      <c r="AL81" s="2" t="str">
        <f t="shared" si="27"/>
        <v/>
      </c>
      <c r="AM81" s="2" t="str">
        <f t="shared" si="28"/>
        <v/>
      </c>
      <c r="AN81" s="2" t="str">
        <f t="shared" si="29"/>
        <v/>
      </c>
      <c r="AO81" s="2" t="str">
        <f t="shared" si="30"/>
        <v/>
      </c>
      <c r="AP81" s="2">
        <f t="shared" si="31"/>
        <v>96.637714334999998</v>
      </c>
      <c r="AQ81" s="2">
        <f t="shared" si="32"/>
        <v>86.621142901499994</v>
      </c>
      <c r="AR81" s="2">
        <f t="shared" si="33"/>
        <v>94.285714334999994</v>
      </c>
      <c r="AS81" s="2">
        <f t="shared" si="34"/>
        <v>84.857142901499998</v>
      </c>
      <c r="AT81" s="2" t="str">
        <f t="shared" si="35"/>
        <v/>
      </c>
      <c r="AU81" s="2" t="str">
        <f t="shared" si="36"/>
        <v/>
      </c>
      <c r="AV81" s="2" t="str">
        <f t="shared" si="37"/>
        <v/>
      </c>
      <c r="AW81" s="2">
        <f t="shared" si="38"/>
        <v>290.63889016127018</v>
      </c>
      <c r="AX81" s="2" t="str">
        <f t="shared" si="39"/>
        <v/>
      </c>
      <c r="AY81" s="2" t="str">
        <f t="shared" si="40"/>
        <v/>
      </c>
      <c r="AZ81" s="2" t="str">
        <f t="shared" si="41"/>
        <v/>
      </c>
      <c r="BA81" s="2">
        <f t="shared" si="42"/>
        <v>1.450170667891178E-5</v>
      </c>
      <c r="BB81" s="2" t="str">
        <f t="shared" si="50"/>
        <v/>
      </c>
      <c r="BC81" s="2" t="str">
        <f t="shared" si="50"/>
        <v/>
      </c>
      <c r="BD81" s="2" t="str">
        <f t="shared" si="50"/>
        <v/>
      </c>
      <c r="BE81" s="2">
        <f t="shared" si="50"/>
        <v>2.1752560018367669E-2</v>
      </c>
      <c r="BF81" s="1">
        <f t="shared" si="43"/>
        <v>2.1752560018367669E-2</v>
      </c>
      <c r="BH81" s="2">
        <f t="shared" si="44"/>
        <v>0.1024</v>
      </c>
      <c r="BI81" s="2">
        <f t="shared" si="45"/>
        <v>3.3424</v>
      </c>
      <c r="BJ81" s="2">
        <f t="shared" si="46"/>
        <v>3.24</v>
      </c>
      <c r="BK81" s="1">
        <f t="shared" si="47"/>
        <v>0.57600000000000007</v>
      </c>
      <c r="BM81" s="1">
        <f t="shared" si="48"/>
        <v>0</v>
      </c>
    </row>
    <row r="82" spans="2:65">
      <c r="B82" s="1"/>
      <c r="C82" s="34">
        <v>37</v>
      </c>
      <c r="D82" s="1" t="str">
        <f t="shared" si="4"/>
        <v>胴体</v>
      </c>
      <c r="E82" s="1">
        <f t="shared" si="5"/>
        <v>1.85</v>
      </c>
      <c r="F82" s="1">
        <f t="shared" si="6"/>
        <v>0</v>
      </c>
      <c r="G82" s="1">
        <f t="shared" si="7"/>
        <v>0.32</v>
      </c>
      <c r="H82" s="2">
        <f t="shared" si="49"/>
        <v>48.120444470000002</v>
      </c>
      <c r="I82" s="2">
        <f t="shared" si="49"/>
        <v>43.132000022999996</v>
      </c>
      <c r="J82" s="2">
        <f t="shared" si="49"/>
        <v>46.944444470000001</v>
      </c>
      <c r="K82" s="1">
        <f t="shared" si="49"/>
        <v>42.250000022999998</v>
      </c>
      <c r="L82" s="1"/>
      <c r="M82" s="1"/>
      <c r="N82" s="1"/>
      <c r="O82" s="1"/>
      <c r="P82" s="1"/>
      <c r="Q82" s="1"/>
      <c r="R82" s="2">
        <f t="shared" si="8"/>
        <v>85.062835944683613</v>
      </c>
      <c r="S82" s="2">
        <f t="shared" si="9"/>
        <v>12.462150431909752</v>
      </c>
      <c r="T82" s="147">
        <f t="shared" si="10"/>
        <v>0</v>
      </c>
      <c r="U82" s="147">
        <f t="shared" si="11"/>
        <v>0</v>
      </c>
      <c r="V82" s="2">
        <f t="shared" si="12"/>
        <v>48.120444470000002</v>
      </c>
      <c r="W82" s="2">
        <f t="shared" si="13"/>
        <v>-48.120444470000002</v>
      </c>
      <c r="X82" s="2">
        <f t="shared" si="14"/>
        <v>43.132000022999996</v>
      </c>
      <c r="Y82" s="2">
        <f t="shared" si="15"/>
        <v>-43.132000022999996</v>
      </c>
      <c r="Z82" s="2">
        <f t="shared" si="16"/>
        <v>46.944444470000001</v>
      </c>
      <c r="AA82" s="2">
        <f t="shared" si="17"/>
        <v>-46.944444470000001</v>
      </c>
      <c r="AB82" s="2">
        <f t="shared" si="18"/>
        <v>42.250000022999998</v>
      </c>
      <c r="AC82" s="2">
        <f t="shared" si="19"/>
        <v>-42.250000022999998</v>
      </c>
      <c r="AD82" s="2" t="str">
        <f t="shared" si="20"/>
        <v/>
      </c>
      <c r="AE82" s="2" t="str">
        <f t="shared" si="21"/>
        <v/>
      </c>
      <c r="AF82" s="2" t="str">
        <f t="shared" si="22"/>
        <v/>
      </c>
      <c r="AG82" s="2" t="str">
        <f t="shared" si="2"/>
        <v/>
      </c>
      <c r="AH82" s="2" t="str">
        <f t="shared" si="23"/>
        <v/>
      </c>
      <c r="AI82" s="2" t="str">
        <f t="shared" si="24"/>
        <v/>
      </c>
      <c r="AJ82" s="2" t="str">
        <f t="shared" si="25"/>
        <v/>
      </c>
      <c r="AK82" s="2" t="str">
        <f t="shared" si="26"/>
        <v/>
      </c>
      <c r="AL82" s="2" t="str">
        <f t="shared" si="27"/>
        <v/>
      </c>
      <c r="AM82" s="2" t="str">
        <f t="shared" si="28"/>
        <v/>
      </c>
      <c r="AN82" s="2" t="str">
        <f t="shared" si="29"/>
        <v/>
      </c>
      <c r="AO82" s="2" t="str">
        <f t="shared" si="30"/>
        <v/>
      </c>
      <c r="AP82" s="2">
        <f t="shared" si="31"/>
        <v>96.240888940000005</v>
      </c>
      <c r="AQ82" s="2">
        <f t="shared" si="32"/>
        <v>86.264000045999992</v>
      </c>
      <c r="AR82" s="2">
        <f t="shared" si="33"/>
        <v>93.888888940000001</v>
      </c>
      <c r="AS82" s="2">
        <f t="shared" si="34"/>
        <v>84.500000045999997</v>
      </c>
      <c r="AT82" s="2" t="str">
        <f t="shared" si="35"/>
        <v/>
      </c>
      <c r="AU82" s="2" t="str">
        <f t="shared" si="36"/>
        <v/>
      </c>
      <c r="AV82" s="2" t="str">
        <f t="shared" si="37"/>
        <v/>
      </c>
      <c r="AW82" s="2">
        <f t="shared" si="38"/>
        <v>289.42937699520053</v>
      </c>
      <c r="AX82" s="2" t="str">
        <f t="shared" si="39"/>
        <v/>
      </c>
      <c r="AY82" s="2" t="str">
        <f t="shared" si="40"/>
        <v/>
      </c>
      <c r="AZ82" s="2" t="str">
        <f t="shared" si="41"/>
        <v/>
      </c>
      <c r="BA82" s="2">
        <f t="shared" si="42"/>
        <v>1.4441231020608349E-5</v>
      </c>
      <c r="BB82" s="2" t="str">
        <f t="shared" si="50"/>
        <v/>
      </c>
      <c r="BC82" s="2" t="str">
        <f t="shared" si="50"/>
        <v/>
      </c>
      <c r="BD82" s="2" t="str">
        <f t="shared" si="50"/>
        <v/>
      </c>
      <c r="BE82" s="2">
        <f t="shared" si="50"/>
        <v>2.1661846530912524E-2</v>
      </c>
      <c r="BF82" s="1">
        <f t="shared" si="43"/>
        <v>2.1661846530912524E-2</v>
      </c>
      <c r="BH82" s="2">
        <f t="shared" si="44"/>
        <v>0.1024</v>
      </c>
      <c r="BI82" s="2">
        <f t="shared" si="45"/>
        <v>3.5249000000000001</v>
      </c>
      <c r="BJ82" s="2">
        <f t="shared" si="46"/>
        <v>3.4225000000000003</v>
      </c>
      <c r="BK82" s="1">
        <f t="shared" si="47"/>
        <v>0.59200000000000008</v>
      </c>
      <c r="BM82" s="1">
        <f t="shared" si="48"/>
        <v>0</v>
      </c>
    </row>
    <row r="83" spans="2:65">
      <c r="B83" s="1"/>
      <c r="C83" s="34">
        <v>38</v>
      </c>
      <c r="D83" s="1" t="str">
        <f t="shared" si="4"/>
        <v>胴体</v>
      </c>
      <c r="E83" s="1">
        <f t="shared" si="5"/>
        <v>1.9000000000000001</v>
      </c>
      <c r="F83" s="1">
        <f t="shared" si="6"/>
        <v>0</v>
      </c>
      <c r="G83" s="1">
        <f t="shared" si="7"/>
        <v>0.32</v>
      </c>
      <c r="H83" s="2">
        <f t="shared" si="49"/>
        <v>47.922031772499999</v>
      </c>
      <c r="I83" s="2">
        <f t="shared" si="49"/>
        <v>42.953428595249996</v>
      </c>
      <c r="J83" s="2">
        <f t="shared" si="49"/>
        <v>46.746031772499997</v>
      </c>
      <c r="K83" s="1">
        <f t="shared" si="49"/>
        <v>42.071428595249998</v>
      </c>
      <c r="L83" s="1"/>
      <c r="M83" s="1"/>
      <c r="N83" s="1"/>
      <c r="O83" s="1"/>
      <c r="P83" s="1"/>
      <c r="Q83" s="1"/>
      <c r="R83" s="2">
        <f t="shared" si="8"/>
        <v>85.062835944683613</v>
      </c>
      <c r="S83" s="2">
        <f t="shared" si="9"/>
        <v>12.462150431909752</v>
      </c>
      <c r="T83" s="147">
        <f t="shared" si="10"/>
        <v>0</v>
      </c>
      <c r="U83" s="147">
        <f t="shared" si="11"/>
        <v>0</v>
      </c>
      <c r="V83" s="2">
        <f t="shared" si="12"/>
        <v>47.922031772499999</v>
      </c>
      <c r="W83" s="2">
        <f t="shared" si="13"/>
        <v>-47.922031772499999</v>
      </c>
      <c r="X83" s="2">
        <f t="shared" si="14"/>
        <v>42.953428595249996</v>
      </c>
      <c r="Y83" s="2">
        <f t="shared" si="15"/>
        <v>-42.953428595249996</v>
      </c>
      <c r="Z83" s="2">
        <f t="shared" si="16"/>
        <v>46.746031772499997</v>
      </c>
      <c r="AA83" s="2">
        <f t="shared" si="17"/>
        <v>-46.746031772499997</v>
      </c>
      <c r="AB83" s="2">
        <f t="shared" si="18"/>
        <v>42.071428595249998</v>
      </c>
      <c r="AC83" s="2">
        <f t="shared" si="19"/>
        <v>-42.071428595249998</v>
      </c>
      <c r="AD83" s="2" t="str">
        <f t="shared" si="20"/>
        <v/>
      </c>
      <c r="AE83" s="2" t="str">
        <f t="shared" si="21"/>
        <v/>
      </c>
      <c r="AF83" s="2" t="str">
        <f t="shared" si="22"/>
        <v/>
      </c>
      <c r="AG83" s="2" t="str">
        <f t="shared" si="2"/>
        <v/>
      </c>
      <c r="AH83" s="2" t="str">
        <f t="shared" si="23"/>
        <v/>
      </c>
      <c r="AI83" s="2" t="str">
        <f t="shared" si="24"/>
        <v/>
      </c>
      <c r="AJ83" s="2" t="str">
        <f t="shared" si="25"/>
        <v/>
      </c>
      <c r="AK83" s="2" t="str">
        <f t="shared" si="26"/>
        <v/>
      </c>
      <c r="AL83" s="2" t="str">
        <f t="shared" si="27"/>
        <v/>
      </c>
      <c r="AM83" s="2" t="str">
        <f t="shared" si="28"/>
        <v/>
      </c>
      <c r="AN83" s="2" t="str">
        <f t="shared" si="29"/>
        <v/>
      </c>
      <c r="AO83" s="2" t="str">
        <f t="shared" si="30"/>
        <v/>
      </c>
      <c r="AP83" s="2">
        <f t="shared" si="31"/>
        <v>95.844063544999997</v>
      </c>
      <c r="AQ83" s="2">
        <f t="shared" si="32"/>
        <v>85.906857190499991</v>
      </c>
      <c r="AR83" s="2">
        <f t="shared" si="33"/>
        <v>93.492063544999993</v>
      </c>
      <c r="AS83" s="2">
        <f t="shared" si="34"/>
        <v>84.142857190499996</v>
      </c>
      <c r="AT83" s="2" t="str">
        <f t="shared" si="35"/>
        <v/>
      </c>
      <c r="AU83" s="2" t="str">
        <f t="shared" si="36"/>
        <v/>
      </c>
      <c r="AV83" s="2" t="str">
        <f t="shared" si="37"/>
        <v/>
      </c>
      <c r="AW83" s="2">
        <f t="shared" si="38"/>
        <v>288.21986382913298</v>
      </c>
      <c r="AX83" s="2" t="str">
        <f t="shared" si="39"/>
        <v/>
      </c>
      <c r="AY83" s="2" t="str">
        <f t="shared" si="40"/>
        <v/>
      </c>
      <c r="AZ83" s="2" t="str">
        <f t="shared" si="41"/>
        <v/>
      </c>
      <c r="BA83" s="2">
        <f t="shared" si="42"/>
        <v>1.4380755362304958E-5</v>
      </c>
      <c r="BB83" s="2" t="str">
        <f t="shared" si="50"/>
        <v/>
      </c>
      <c r="BC83" s="2" t="str">
        <f t="shared" si="50"/>
        <v/>
      </c>
      <c r="BD83" s="2" t="str">
        <f t="shared" si="50"/>
        <v/>
      </c>
      <c r="BE83" s="2">
        <f t="shared" si="50"/>
        <v>2.1571133043457438E-2</v>
      </c>
      <c r="BF83" s="1">
        <f t="shared" si="43"/>
        <v>2.1571133043457438E-2</v>
      </c>
      <c r="BH83" s="2">
        <f t="shared" si="44"/>
        <v>0.1024</v>
      </c>
      <c r="BI83" s="2">
        <f t="shared" si="45"/>
        <v>3.7124000000000001</v>
      </c>
      <c r="BJ83" s="2">
        <f t="shared" si="46"/>
        <v>3.6100000000000003</v>
      </c>
      <c r="BK83" s="1">
        <f t="shared" si="47"/>
        <v>0.6080000000000001</v>
      </c>
      <c r="BM83" s="1">
        <f t="shared" si="48"/>
        <v>0</v>
      </c>
    </row>
    <row r="84" spans="2:65">
      <c r="B84" s="1"/>
      <c r="C84" s="34">
        <v>39</v>
      </c>
      <c r="D84" s="1" t="str">
        <f t="shared" si="4"/>
        <v>胴体</v>
      </c>
      <c r="E84" s="1">
        <f t="shared" si="5"/>
        <v>1.9500000000000002</v>
      </c>
      <c r="F84" s="1">
        <f t="shared" si="6"/>
        <v>0</v>
      </c>
      <c r="G84" s="1">
        <f t="shared" si="7"/>
        <v>0.32</v>
      </c>
      <c r="H84" s="2">
        <f t="shared" si="49"/>
        <v>47.723619075000002</v>
      </c>
      <c r="I84" s="2">
        <f t="shared" si="49"/>
        <v>42.774857167500002</v>
      </c>
      <c r="J84" s="2">
        <f t="shared" si="49"/>
        <v>46.547619075</v>
      </c>
      <c r="K84" s="1">
        <f t="shared" si="49"/>
        <v>41.892857167500004</v>
      </c>
      <c r="L84" s="1"/>
      <c r="M84" s="1"/>
      <c r="N84" s="1"/>
      <c r="O84" s="1"/>
      <c r="P84" s="1"/>
      <c r="Q84" s="1"/>
      <c r="R84" s="2">
        <f t="shared" si="8"/>
        <v>85.062835944683613</v>
      </c>
      <c r="S84" s="2">
        <f t="shared" si="9"/>
        <v>12.462150431909752</v>
      </c>
      <c r="T84" s="147">
        <f t="shared" si="10"/>
        <v>0</v>
      </c>
      <c r="U84" s="147">
        <f t="shared" si="11"/>
        <v>0</v>
      </c>
      <c r="V84" s="2">
        <f t="shared" si="12"/>
        <v>47.723619075000002</v>
      </c>
      <c r="W84" s="2">
        <f t="shared" si="13"/>
        <v>-47.723619075000002</v>
      </c>
      <c r="X84" s="2">
        <f t="shared" si="14"/>
        <v>42.774857167500002</v>
      </c>
      <c r="Y84" s="2">
        <f t="shared" si="15"/>
        <v>-42.774857167500002</v>
      </c>
      <c r="Z84" s="2">
        <f t="shared" si="16"/>
        <v>46.547619075</v>
      </c>
      <c r="AA84" s="2">
        <f t="shared" si="17"/>
        <v>-46.547619075</v>
      </c>
      <c r="AB84" s="2">
        <f t="shared" si="18"/>
        <v>41.892857167500004</v>
      </c>
      <c r="AC84" s="2">
        <f t="shared" si="19"/>
        <v>-41.892857167500004</v>
      </c>
      <c r="AD84" s="2" t="str">
        <f t="shared" si="20"/>
        <v/>
      </c>
      <c r="AE84" s="2" t="str">
        <f t="shared" si="21"/>
        <v/>
      </c>
      <c r="AF84" s="2" t="str">
        <f t="shared" si="22"/>
        <v/>
      </c>
      <c r="AG84" s="2" t="str">
        <f t="shared" si="2"/>
        <v/>
      </c>
      <c r="AH84" s="2" t="str">
        <f t="shared" si="23"/>
        <v/>
      </c>
      <c r="AI84" s="2" t="str">
        <f t="shared" si="24"/>
        <v/>
      </c>
      <c r="AJ84" s="2" t="str">
        <f t="shared" si="25"/>
        <v/>
      </c>
      <c r="AK84" s="2" t="str">
        <f t="shared" si="26"/>
        <v/>
      </c>
      <c r="AL84" s="2" t="str">
        <f t="shared" si="27"/>
        <v/>
      </c>
      <c r="AM84" s="2" t="str">
        <f t="shared" si="28"/>
        <v/>
      </c>
      <c r="AN84" s="2" t="str">
        <f t="shared" si="29"/>
        <v/>
      </c>
      <c r="AO84" s="2" t="str">
        <f t="shared" si="30"/>
        <v/>
      </c>
      <c r="AP84" s="2">
        <f t="shared" si="31"/>
        <v>95.447238150000004</v>
      </c>
      <c r="AQ84" s="2">
        <f t="shared" si="32"/>
        <v>85.549714335000004</v>
      </c>
      <c r="AR84" s="2">
        <f t="shared" si="33"/>
        <v>93.09523815</v>
      </c>
      <c r="AS84" s="2">
        <f t="shared" si="34"/>
        <v>83.785714335000009</v>
      </c>
      <c r="AT84" s="2" t="str">
        <f t="shared" si="35"/>
        <v/>
      </c>
      <c r="AU84" s="2" t="str">
        <f t="shared" si="36"/>
        <v/>
      </c>
      <c r="AV84" s="2" t="str">
        <f t="shared" si="37"/>
        <v/>
      </c>
      <c r="AW84" s="2">
        <f t="shared" si="38"/>
        <v>287.01035066306474</v>
      </c>
      <c r="AX84" s="2" t="str">
        <f t="shared" si="39"/>
        <v/>
      </c>
      <c r="AY84" s="2" t="str">
        <f t="shared" si="40"/>
        <v/>
      </c>
      <c r="AZ84" s="2" t="str">
        <f t="shared" si="41"/>
        <v/>
      </c>
      <c r="BA84" s="2">
        <f t="shared" si="42"/>
        <v>1.432027970400148E-5</v>
      </c>
      <c r="BB84" s="2" t="str">
        <f t="shared" si="50"/>
        <v/>
      </c>
      <c r="BC84" s="2" t="str">
        <f t="shared" si="50"/>
        <v/>
      </c>
      <c r="BD84" s="2" t="str">
        <f t="shared" si="50"/>
        <v/>
      </c>
      <c r="BE84" s="2">
        <f t="shared" si="50"/>
        <v>2.1480419556002221E-2</v>
      </c>
      <c r="BF84" s="1">
        <f t="shared" si="43"/>
        <v>2.1480419556002221E-2</v>
      </c>
      <c r="BH84" s="2">
        <f t="shared" si="44"/>
        <v>0.1024</v>
      </c>
      <c r="BI84" s="2">
        <f t="shared" si="45"/>
        <v>3.9049000000000005</v>
      </c>
      <c r="BJ84" s="2">
        <f t="shared" si="46"/>
        <v>3.8025000000000007</v>
      </c>
      <c r="BK84" s="1">
        <f t="shared" si="47"/>
        <v>0.62400000000000011</v>
      </c>
      <c r="BM84" s="1">
        <f t="shared" si="48"/>
        <v>0</v>
      </c>
    </row>
    <row r="85" spans="2:65">
      <c r="B85" s="1"/>
      <c r="C85" s="34">
        <v>40</v>
      </c>
      <c r="D85" s="1" t="str">
        <f t="shared" si="4"/>
        <v>胴体</v>
      </c>
      <c r="E85" s="1">
        <f t="shared" si="5"/>
        <v>2</v>
      </c>
      <c r="F85" s="1">
        <f t="shared" si="6"/>
        <v>0</v>
      </c>
      <c r="G85" s="1">
        <f t="shared" si="7"/>
        <v>0.32</v>
      </c>
      <c r="H85" s="2">
        <f t="shared" si="49"/>
        <v>47.525206377499998</v>
      </c>
      <c r="I85" s="2">
        <f t="shared" si="49"/>
        <v>42.596285739749995</v>
      </c>
      <c r="J85" s="2">
        <f t="shared" si="49"/>
        <v>46.349206377499996</v>
      </c>
      <c r="K85" s="1">
        <f t="shared" si="49"/>
        <v>41.714285739749997</v>
      </c>
      <c r="L85" s="1"/>
      <c r="M85" s="1"/>
      <c r="N85" s="1"/>
      <c r="O85" s="1"/>
      <c r="P85" s="1"/>
      <c r="Q85" s="1"/>
      <c r="R85" s="2">
        <f t="shared" si="8"/>
        <v>85.062835944683613</v>
      </c>
      <c r="S85" s="2">
        <f t="shared" si="9"/>
        <v>12.462150431909752</v>
      </c>
      <c r="T85" s="147">
        <f t="shared" si="10"/>
        <v>0</v>
      </c>
      <c r="U85" s="147">
        <f t="shared" si="11"/>
        <v>0</v>
      </c>
      <c r="V85" s="2">
        <f t="shared" si="12"/>
        <v>47.525206377499998</v>
      </c>
      <c r="W85" s="2">
        <f t="shared" si="13"/>
        <v>-47.525206377499998</v>
      </c>
      <c r="X85" s="2">
        <f t="shared" si="14"/>
        <v>42.596285739749995</v>
      </c>
      <c r="Y85" s="2">
        <f t="shared" si="15"/>
        <v>-42.596285739749995</v>
      </c>
      <c r="Z85" s="2">
        <f t="shared" si="16"/>
        <v>46.349206377499996</v>
      </c>
      <c r="AA85" s="2">
        <f t="shared" si="17"/>
        <v>-46.349206377499996</v>
      </c>
      <c r="AB85" s="2">
        <f t="shared" si="18"/>
        <v>41.714285739749997</v>
      </c>
      <c r="AC85" s="2">
        <f t="shared" si="19"/>
        <v>-41.714285739749997</v>
      </c>
      <c r="AD85" s="2" t="str">
        <f t="shared" si="20"/>
        <v/>
      </c>
      <c r="AE85" s="2" t="str">
        <f t="shared" si="21"/>
        <v/>
      </c>
      <c r="AF85" s="2" t="str">
        <f t="shared" si="22"/>
        <v/>
      </c>
      <c r="AG85" s="2" t="str">
        <f t="shared" si="2"/>
        <v/>
      </c>
      <c r="AH85" s="2" t="str">
        <f t="shared" si="23"/>
        <v/>
      </c>
      <c r="AI85" s="2" t="str">
        <f t="shared" si="24"/>
        <v/>
      </c>
      <c r="AJ85" s="2" t="str">
        <f t="shared" si="25"/>
        <v/>
      </c>
      <c r="AK85" s="2" t="str">
        <f t="shared" si="26"/>
        <v/>
      </c>
      <c r="AL85" s="2" t="str">
        <f t="shared" si="27"/>
        <v/>
      </c>
      <c r="AM85" s="2" t="str">
        <f t="shared" si="28"/>
        <v/>
      </c>
      <c r="AN85" s="2" t="str">
        <f t="shared" si="29"/>
        <v/>
      </c>
      <c r="AO85" s="2" t="str">
        <f t="shared" si="30"/>
        <v/>
      </c>
      <c r="AP85" s="2">
        <f t="shared" si="31"/>
        <v>95.050412754999996</v>
      </c>
      <c r="AQ85" s="2">
        <f t="shared" si="32"/>
        <v>85.192571479499989</v>
      </c>
      <c r="AR85" s="2">
        <f t="shared" si="33"/>
        <v>92.698412754999993</v>
      </c>
      <c r="AS85" s="2">
        <f t="shared" si="34"/>
        <v>83.428571479499993</v>
      </c>
      <c r="AT85" s="2" t="str">
        <f t="shared" si="35"/>
        <v/>
      </c>
      <c r="AU85" s="2" t="str">
        <f t="shared" si="36"/>
        <v/>
      </c>
      <c r="AV85" s="2" t="str">
        <f t="shared" si="37"/>
        <v/>
      </c>
      <c r="AW85" s="2">
        <f t="shared" si="38"/>
        <v>285.80083749699651</v>
      </c>
      <c r="AX85" s="2" t="str">
        <f t="shared" si="39"/>
        <v/>
      </c>
      <c r="AY85" s="2" t="str">
        <f t="shared" si="40"/>
        <v/>
      </c>
      <c r="AZ85" s="2" t="str">
        <f t="shared" si="41"/>
        <v/>
      </c>
      <c r="BA85" s="2">
        <f t="shared" si="42"/>
        <v>1.4259804045698196E-5</v>
      </c>
      <c r="BB85" s="2" t="str">
        <f t="shared" si="50"/>
        <v/>
      </c>
      <c r="BC85" s="2" t="str">
        <f t="shared" si="50"/>
        <v/>
      </c>
      <c r="BD85" s="2" t="str">
        <f t="shared" si="50"/>
        <v/>
      </c>
      <c r="BE85" s="2">
        <f t="shared" si="50"/>
        <v>2.1389706068547294E-2</v>
      </c>
      <c r="BF85" s="1">
        <f t="shared" si="43"/>
        <v>2.1389706068547294E-2</v>
      </c>
      <c r="BH85" s="2">
        <f t="shared" si="44"/>
        <v>0.1024</v>
      </c>
      <c r="BI85" s="2">
        <f t="shared" si="45"/>
        <v>4.1024000000000003</v>
      </c>
      <c r="BJ85" s="2">
        <f t="shared" si="46"/>
        <v>4</v>
      </c>
      <c r="BK85" s="1">
        <f t="shared" si="47"/>
        <v>0.64</v>
      </c>
      <c r="BM85" s="1">
        <f t="shared" si="48"/>
        <v>0</v>
      </c>
    </row>
    <row r="86" spans="2:65">
      <c r="B86" s="1"/>
      <c r="C86" s="34">
        <v>41</v>
      </c>
      <c r="D86" s="1" t="str">
        <f t="shared" si="4"/>
        <v>胴体</v>
      </c>
      <c r="E86" s="1">
        <f t="shared" si="5"/>
        <v>2.0500000000000003</v>
      </c>
      <c r="F86" s="1">
        <f t="shared" si="6"/>
        <v>0</v>
      </c>
      <c r="G86" s="1">
        <f t="shared" si="7"/>
        <v>0.32</v>
      </c>
      <c r="H86" s="2">
        <f t="shared" si="49"/>
        <v>47.326793680000002</v>
      </c>
      <c r="I86" s="2">
        <f t="shared" si="49"/>
        <v>42.417714312000001</v>
      </c>
      <c r="J86" s="2">
        <f t="shared" si="49"/>
        <v>46.15079368</v>
      </c>
      <c r="K86" s="1">
        <f t="shared" si="49"/>
        <v>41.535714312000003</v>
      </c>
      <c r="L86" s="1"/>
      <c r="M86" s="1"/>
      <c r="N86" s="1"/>
      <c r="O86" s="1"/>
      <c r="P86" s="1"/>
      <c r="Q86" s="1"/>
      <c r="R86" s="2">
        <f t="shared" si="8"/>
        <v>85.062835944683613</v>
      </c>
      <c r="S86" s="2">
        <f t="shared" si="9"/>
        <v>12.462150431909752</v>
      </c>
      <c r="T86" s="147">
        <f t="shared" si="10"/>
        <v>0</v>
      </c>
      <c r="U86" s="147">
        <f t="shared" si="11"/>
        <v>0</v>
      </c>
      <c r="V86" s="2">
        <f t="shared" si="12"/>
        <v>47.326793680000002</v>
      </c>
      <c r="W86" s="2">
        <f t="shared" si="13"/>
        <v>-47.326793680000002</v>
      </c>
      <c r="X86" s="2">
        <f t="shared" si="14"/>
        <v>42.417714312000001</v>
      </c>
      <c r="Y86" s="2">
        <f t="shared" si="15"/>
        <v>-42.417714312000001</v>
      </c>
      <c r="Z86" s="2">
        <f t="shared" si="16"/>
        <v>46.15079368</v>
      </c>
      <c r="AA86" s="2">
        <f t="shared" si="17"/>
        <v>-46.15079368</v>
      </c>
      <c r="AB86" s="2">
        <f t="shared" si="18"/>
        <v>41.535714312000003</v>
      </c>
      <c r="AC86" s="2">
        <f t="shared" si="19"/>
        <v>-41.535714312000003</v>
      </c>
      <c r="AD86" s="2" t="str">
        <f t="shared" si="20"/>
        <v/>
      </c>
      <c r="AE86" s="2" t="str">
        <f t="shared" si="21"/>
        <v/>
      </c>
      <c r="AF86" s="2" t="str">
        <f t="shared" si="22"/>
        <v/>
      </c>
      <c r="AG86" s="2" t="str">
        <f t="shared" si="2"/>
        <v/>
      </c>
      <c r="AH86" s="2" t="str">
        <f t="shared" si="23"/>
        <v/>
      </c>
      <c r="AI86" s="2" t="str">
        <f t="shared" si="24"/>
        <v/>
      </c>
      <c r="AJ86" s="2" t="str">
        <f t="shared" si="25"/>
        <v/>
      </c>
      <c r="AK86" s="2" t="str">
        <f t="shared" si="26"/>
        <v/>
      </c>
      <c r="AL86" s="2" t="str">
        <f t="shared" si="27"/>
        <v/>
      </c>
      <c r="AM86" s="2" t="str">
        <f t="shared" si="28"/>
        <v/>
      </c>
      <c r="AN86" s="2" t="str">
        <f t="shared" si="29"/>
        <v/>
      </c>
      <c r="AO86" s="2" t="str">
        <f t="shared" si="30"/>
        <v/>
      </c>
      <c r="AP86" s="2">
        <f t="shared" si="31"/>
        <v>94.653587360000003</v>
      </c>
      <c r="AQ86" s="2">
        <f t="shared" si="32"/>
        <v>84.835428624000002</v>
      </c>
      <c r="AR86" s="2">
        <f t="shared" si="33"/>
        <v>92.301587359999999</v>
      </c>
      <c r="AS86" s="2">
        <f t="shared" si="34"/>
        <v>83.071428624000006</v>
      </c>
      <c r="AT86" s="2" t="str">
        <f t="shared" si="35"/>
        <v/>
      </c>
      <c r="AU86" s="2" t="str">
        <f t="shared" si="36"/>
        <v/>
      </c>
      <c r="AV86" s="2" t="str">
        <f t="shared" si="37"/>
        <v/>
      </c>
      <c r="AW86" s="2">
        <f t="shared" si="38"/>
        <v>284.59132433092827</v>
      </c>
      <c r="AX86" s="2" t="str">
        <f t="shared" si="39"/>
        <v/>
      </c>
      <c r="AY86" s="2" t="str">
        <f t="shared" si="40"/>
        <v/>
      </c>
      <c r="AZ86" s="2" t="str">
        <f t="shared" si="41"/>
        <v/>
      </c>
      <c r="BA86" s="2">
        <f t="shared" si="42"/>
        <v>1.419932838739464E-5</v>
      </c>
      <c r="BB86" s="2" t="str">
        <f t="shared" si="50"/>
        <v/>
      </c>
      <c r="BC86" s="2" t="str">
        <f t="shared" si="50"/>
        <v/>
      </c>
      <c r="BD86" s="2" t="str">
        <f t="shared" si="50"/>
        <v/>
      </c>
      <c r="BE86" s="2">
        <f t="shared" si="50"/>
        <v>2.1298992581091959E-2</v>
      </c>
      <c r="BF86" s="1">
        <f t="shared" si="43"/>
        <v>2.1298992581091959E-2</v>
      </c>
      <c r="BH86" s="2">
        <f t="shared" si="44"/>
        <v>0.1024</v>
      </c>
      <c r="BI86" s="2">
        <f t="shared" si="45"/>
        <v>4.3049000000000017</v>
      </c>
      <c r="BJ86" s="2">
        <f t="shared" si="46"/>
        <v>4.2025000000000015</v>
      </c>
      <c r="BK86" s="1">
        <f t="shared" si="47"/>
        <v>0.65600000000000014</v>
      </c>
      <c r="BM86" s="1">
        <f t="shared" si="48"/>
        <v>0</v>
      </c>
    </row>
    <row r="87" spans="2:65">
      <c r="B87" s="1"/>
      <c r="C87" s="34">
        <v>42</v>
      </c>
      <c r="D87" s="1" t="str">
        <f t="shared" si="4"/>
        <v>胴体</v>
      </c>
      <c r="E87" s="1">
        <f t="shared" si="5"/>
        <v>2.1</v>
      </c>
      <c r="F87" s="1">
        <f t="shared" si="6"/>
        <v>0</v>
      </c>
      <c r="G87" s="1">
        <f t="shared" si="7"/>
        <v>0.32</v>
      </c>
      <c r="H87" s="2">
        <f t="shared" si="49"/>
        <v>47.128380982500005</v>
      </c>
      <c r="I87" s="2">
        <f t="shared" si="49"/>
        <v>42.239142884250001</v>
      </c>
      <c r="J87" s="2">
        <f t="shared" si="49"/>
        <v>45.952380982500003</v>
      </c>
      <c r="K87" s="1">
        <f t="shared" si="49"/>
        <v>41.357142884250003</v>
      </c>
      <c r="L87" s="1"/>
      <c r="M87" s="1"/>
      <c r="N87" s="1"/>
      <c r="O87" s="1"/>
      <c r="P87" s="1"/>
      <c r="Q87" s="1"/>
      <c r="R87" s="2">
        <f t="shared" si="8"/>
        <v>85.062835944683613</v>
      </c>
      <c r="S87" s="2">
        <f t="shared" si="9"/>
        <v>12.462150431909752</v>
      </c>
      <c r="T87" s="147">
        <f t="shared" si="10"/>
        <v>0</v>
      </c>
      <c r="U87" s="147">
        <f t="shared" si="11"/>
        <v>0</v>
      </c>
      <c r="V87" s="2">
        <f t="shared" si="12"/>
        <v>47.128380982500005</v>
      </c>
      <c r="W87" s="2">
        <f t="shared" si="13"/>
        <v>-47.128380982500005</v>
      </c>
      <c r="X87" s="2">
        <f t="shared" si="14"/>
        <v>42.239142884250001</v>
      </c>
      <c r="Y87" s="2">
        <f t="shared" si="15"/>
        <v>-42.239142884250001</v>
      </c>
      <c r="Z87" s="2">
        <f t="shared" si="16"/>
        <v>45.952380982500003</v>
      </c>
      <c r="AA87" s="2">
        <f t="shared" si="17"/>
        <v>-45.952380982500003</v>
      </c>
      <c r="AB87" s="2">
        <f t="shared" si="18"/>
        <v>41.357142884250003</v>
      </c>
      <c r="AC87" s="2">
        <f t="shared" si="19"/>
        <v>-41.357142884250003</v>
      </c>
      <c r="AD87" s="2" t="str">
        <f t="shared" si="20"/>
        <v/>
      </c>
      <c r="AE87" s="2" t="str">
        <f t="shared" si="21"/>
        <v/>
      </c>
      <c r="AF87" s="2" t="str">
        <f t="shared" si="22"/>
        <v/>
      </c>
      <c r="AG87" s="2" t="str">
        <f t="shared" si="2"/>
        <v/>
      </c>
      <c r="AH87" s="2" t="str">
        <f t="shared" si="23"/>
        <v/>
      </c>
      <c r="AI87" s="2" t="str">
        <f t="shared" si="24"/>
        <v/>
      </c>
      <c r="AJ87" s="2" t="str">
        <f t="shared" si="25"/>
        <v/>
      </c>
      <c r="AK87" s="2" t="str">
        <f t="shared" si="26"/>
        <v/>
      </c>
      <c r="AL87" s="2" t="str">
        <f t="shared" si="27"/>
        <v/>
      </c>
      <c r="AM87" s="2" t="str">
        <f t="shared" si="28"/>
        <v/>
      </c>
      <c r="AN87" s="2" t="str">
        <f t="shared" si="29"/>
        <v/>
      </c>
      <c r="AO87" s="2" t="str">
        <f t="shared" si="30"/>
        <v/>
      </c>
      <c r="AP87" s="2">
        <f t="shared" si="31"/>
        <v>94.25676196500001</v>
      </c>
      <c r="AQ87" s="2">
        <f t="shared" si="32"/>
        <v>84.478285768500001</v>
      </c>
      <c r="AR87" s="2">
        <f t="shared" si="33"/>
        <v>91.904761965000006</v>
      </c>
      <c r="AS87" s="2">
        <f t="shared" si="34"/>
        <v>82.714285768500005</v>
      </c>
      <c r="AT87" s="2" t="str">
        <f t="shared" si="35"/>
        <v/>
      </c>
      <c r="AU87" s="2" t="str">
        <f t="shared" si="36"/>
        <v/>
      </c>
      <c r="AV87" s="2" t="str">
        <f t="shared" si="37"/>
        <v/>
      </c>
      <c r="AW87" s="2">
        <f t="shared" si="38"/>
        <v>283.3818111648593</v>
      </c>
      <c r="AX87" s="2" t="str">
        <f t="shared" si="39"/>
        <v/>
      </c>
      <c r="AY87" s="2" t="str">
        <f t="shared" si="40"/>
        <v/>
      </c>
      <c r="AZ87" s="2" t="str">
        <f t="shared" si="41"/>
        <v/>
      </c>
      <c r="BA87" s="2">
        <f t="shared" si="42"/>
        <v>1.4138852729091227E-5</v>
      </c>
      <c r="BB87" s="2" t="str">
        <f t="shared" si="50"/>
        <v/>
      </c>
      <c r="BC87" s="2" t="str">
        <f t="shared" si="50"/>
        <v/>
      </c>
      <c r="BD87" s="2" t="str">
        <f t="shared" si="50"/>
        <v/>
      </c>
      <c r="BE87" s="2">
        <f t="shared" si="50"/>
        <v>2.1208279093636841E-2</v>
      </c>
      <c r="BF87" s="1">
        <f t="shared" si="43"/>
        <v>2.1208279093636841E-2</v>
      </c>
      <c r="BH87" s="2">
        <f t="shared" si="44"/>
        <v>0.1024</v>
      </c>
      <c r="BI87" s="2">
        <f t="shared" si="45"/>
        <v>4.5124000000000004</v>
      </c>
      <c r="BJ87" s="2">
        <f t="shared" si="46"/>
        <v>4.41</v>
      </c>
      <c r="BK87" s="1">
        <f t="shared" si="47"/>
        <v>0.67200000000000004</v>
      </c>
      <c r="BM87" s="1">
        <f t="shared" si="48"/>
        <v>0</v>
      </c>
    </row>
    <row r="88" spans="2:65">
      <c r="B88" s="1"/>
      <c r="C88" s="34">
        <v>43</v>
      </c>
      <c r="D88" s="1" t="str">
        <f t="shared" si="4"/>
        <v>胴体</v>
      </c>
      <c r="E88" s="1">
        <f t="shared" si="5"/>
        <v>2.15</v>
      </c>
      <c r="F88" s="1">
        <f t="shared" si="6"/>
        <v>0</v>
      </c>
      <c r="G88" s="1">
        <f t="shared" si="7"/>
        <v>0.32</v>
      </c>
      <c r="H88" s="2">
        <f t="shared" si="49"/>
        <v>46.929968285000001</v>
      </c>
      <c r="I88" s="2">
        <f t="shared" si="49"/>
        <v>42.0605714565</v>
      </c>
      <c r="J88" s="2">
        <f t="shared" si="49"/>
        <v>45.753968284999999</v>
      </c>
      <c r="K88" s="1">
        <f t="shared" si="49"/>
        <v>41.178571456500002</v>
      </c>
      <c r="L88" s="1"/>
      <c r="M88" s="1"/>
      <c r="N88" s="1"/>
      <c r="O88" s="1"/>
      <c r="P88" s="1"/>
      <c r="Q88" s="1"/>
      <c r="R88" s="2">
        <f t="shared" si="8"/>
        <v>85.062835944683613</v>
      </c>
      <c r="S88" s="2">
        <f t="shared" si="9"/>
        <v>12.462150431909752</v>
      </c>
      <c r="T88" s="147">
        <f t="shared" si="10"/>
        <v>0</v>
      </c>
      <c r="U88" s="147">
        <f t="shared" si="11"/>
        <v>0</v>
      </c>
      <c r="V88" s="2">
        <f t="shared" si="12"/>
        <v>46.929968285000001</v>
      </c>
      <c r="W88" s="2">
        <f t="shared" si="13"/>
        <v>-46.929968285000001</v>
      </c>
      <c r="X88" s="2">
        <f t="shared" si="14"/>
        <v>42.0605714565</v>
      </c>
      <c r="Y88" s="2">
        <f t="shared" si="15"/>
        <v>-42.0605714565</v>
      </c>
      <c r="Z88" s="2">
        <f t="shared" si="16"/>
        <v>45.753968284999999</v>
      </c>
      <c r="AA88" s="2">
        <f t="shared" si="17"/>
        <v>-45.753968284999999</v>
      </c>
      <c r="AB88" s="2">
        <f t="shared" si="18"/>
        <v>41.178571456500002</v>
      </c>
      <c r="AC88" s="2">
        <f t="shared" si="19"/>
        <v>-41.178571456500002</v>
      </c>
      <c r="AD88" s="2" t="str">
        <f t="shared" si="20"/>
        <v/>
      </c>
      <c r="AE88" s="2" t="str">
        <f t="shared" si="21"/>
        <v/>
      </c>
      <c r="AF88" s="2" t="str">
        <f t="shared" si="22"/>
        <v/>
      </c>
      <c r="AG88" s="2" t="str">
        <f t="shared" si="2"/>
        <v/>
      </c>
      <c r="AH88" s="2" t="str">
        <f t="shared" si="23"/>
        <v/>
      </c>
      <c r="AI88" s="2" t="str">
        <f t="shared" si="24"/>
        <v/>
      </c>
      <c r="AJ88" s="2" t="str">
        <f t="shared" si="25"/>
        <v/>
      </c>
      <c r="AK88" s="2" t="str">
        <f t="shared" si="26"/>
        <v/>
      </c>
      <c r="AL88" s="2" t="str">
        <f t="shared" si="27"/>
        <v/>
      </c>
      <c r="AM88" s="2" t="str">
        <f t="shared" si="28"/>
        <v/>
      </c>
      <c r="AN88" s="2" t="str">
        <f t="shared" si="29"/>
        <v/>
      </c>
      <c r="AO88" s="2" t="str">
        <f t="shared" si="30"/>
        <v/>
      </c>
      <c r="AP88" s="2">
        <f t="shared" si="31"/>
        <v>93.859936570000002</v>
      </c>
      <c r="AQ88" s="2">
        <f t="shared" si="32"/>
        <v>84.121142913</v>
      </c>
      <c r="AR88" s="2">
        <f t="shared" si="33"/>
        <v>91.507936569999998</v>
      </c>
      <c r="AS88" s="2">
        <f t="shared" si="34"/>
        <v>82.357142913000004</v>
      </c>
      <c r="AT88" s="2" t="str">
        <f t="shared" si="35"/>
        <v/>
      </c>
      <c r="AU88" s="2" t="str">
        <f t="shared" si="36"/>
        <v/>
      </c>
      <c r="AV88" s="2" t="str">
        <f t="shared" si="37"/>
        <v/>
      </c>
      <c r="AW88" s="2">
        <f t="shared" si="38"/>
        <v>282.17229799879181</v>
      </c>
      <c r="AX88" s="2" t="str">
        <f t="shared" si="39"/>
        <v/>
      </c>
      <c r="AY88" s="2" t="str">
        <f t="shared" si="40"/>
        <v/>
      </c>
      <c r="AZ88" s="2" t="str">
        <f t="shared" si="41"/>
        <v/>
      </c>
      <c r="BA88" s="2">
        <f t="shared" si="42"/>
        <v>1.4078377070787957E-5</v>
      </c>
      <c r="BB88" s="2" t="str">
        <f t="shared" si="50"/>
        <v/>
      </c>
      <c r="BC88" s="2" t="str">
        <f t="shared" si="50"/>
        <v/>
      </c>
      <c r="BD88" s="2" t="str">
        <f t="shared" si="50"/>
        <v/>
      </c>
      <c r="BE88" s="2">
        <f t="shared" si="50"/>
        <v>2.1117565606181936E-2</v>
      </c>
      <c r="BF88" s="1">
        <f t="shared" si="43"/>
        <v>2.1117565606181936E-2</v>
      </c>
      <c r="BH88" s="2">
        <f t="shared" si="44"/>
        <v>0.1024</v>
      </c>
      <c r="BI88" s="2">
        <f t="shared" si="45"/>
        <v>4.7248999999999999</v>
      </c>
      <c r="BJ88" s="2">
        <f t="shared" si="46"/>
        <v>4.6224999999999996</v>
      </c>
      <c r="BK88" s="1">
        <f t="shared" si="47"/>
        <v>0.68799999999999994</v>
      </c>
      <c r="BM88" s="1">
        <f t="shared" si="48"/>
        <v>0</v>
      </c>
    </row>
    <row r="89" spans="2:65">
      <c r="B89" s="1"/>
      <c r="C89" s="34">
        <v>44</v>
      </c>
      <c r="D89" s="1" t="str">
        <f t="shared" si="4"/>
        <v>胴体</v>
      </c>
      <c r="E89" s="1">
        <f t="shared" si="5"/>
        <v>2.2000000000000002</v>
      </c>
      <c r="F89" s="1">
        <f t="shared" si="6"/>
        <v>0</v>
      </c>
      <c r="G89" s="1">
        <f t="shared" si="7"/>
        <v>0.32</v>
      </c>
      <c r="H89" s="2">
        <f t="shared" si="49"/>
        <v>46.731555587499997</v>
      </c>
      <c r="I89" s="2">
        <f t="shared" si="49"/>
        <v>41.882000028749992</v>
      </c>
      <c r="J89" s="2">
        <f t="shared" si="49"/>
        <v>45.555555587499995</v>
      </c>
      <c r="K89" s="1">
        <f t="shared" si="49"/>
        <v>41.000000028749994</v>
      </c>
      <c r="L89" s="1"/>
      <c r="M89" s="1"/>
      <c r="N89" s="1"/>
      <c r="O89" s="1"/>
      <c r="P89" s="1"/>
      <c r="Q89" s="1"/>
      <c r="R89" s="2">
        <f t="shared" si="8"/>
        <v>85.062835944683613</v>
      </c>
      <c r="S89" s="2">
        <f t="shared" si="9"/>
        <v>12.462150431909752</v>
      </c>
      <c r="T89" s="147">
        <f t="shared" si="10"/>
        <v>0</v>
      </c>
      <c r="U89" s="147">
        <f t="shared" si="11"/>
        <v>0</v>
      </c>
      <c r="V89" s="2">
        <f t="shared" si="12"/>
        <v>46.731555587499997</v>
      </c>
      <c r="W89" s="2">
        <f t="shared" si="13"/>
        <v>-46.731555587499997</v>
      </c>
      <c r="X89" s="2">
        <f t="shared" si="14"/>
        <v>41.882000028749992</v>
      </c>
      <c r="Y89" s="2">
        <f t="shared" si="15"/>
        <v>-41.882000028749992</v>
      </c>
      <c r="Z89" s="2">
        <f t="shared" si="16"/>
        <v>45.555555587499995</v>
      </c>
      <c r="AA89" s="2">
        <f t="shared" si="17"/>
        <v>-45.555555587499995</v>
      </c>
      <c r="AB89" s="2">
        <f t="shared" si="18"/>
        <v>41.000000028749994</v>
      </c>
      <c r="AC89" s="2">
        <f t="shared" si="19"/>
        <v>-41.000000028749994</v>
      </c>
      <c r="AD89" s="2" t="str">
        <f t="shared" si="20"/>
        <v/>
      </c>
      <c r="AE89" s="2" t="str">
        <f t="shared" si="21"/>
        <v/>
      </c>
      <c r="AF89" s="2" t="str">
        <f t="shared" si="22"/>
        <v/>
      </c>
      <c r="AG89" s="2" t="str">
        <f t="shared" si="2"/>
        <v/>
      </c>
      <c r="AH89" s="2" t="str">
        <f t="shared" si="23"/>
        <v/>
      </c>
      <c r="AI89" s="2" t="str">
        <f t="shared" si="24"/>
        <v/>
      </c>
      <c r="AJ89" s="2" t="str">
        <f t="shared" si="25"/>
        <v/>
      </c>
      <c r="AK89" s="2" t="str">
        <f t="shared" si="26"/>
        <v/>
      </c>
      <c r="AL89" s="2" t="str">
        <f t="shared" si="27"/>
        <v/>
      </c>
      <c r="AM89" s="2" t="str">
        <f t="shared" si="28"/>
        <v/>
      </c>
      <c r="AN89" s="2" t="str">
        <f t="shared" si="29"/>
        <v/>
      </c>
      <c r="AO89" s="2" t="str">
        <f t="shared" si="30"/>
        <v/>
      </c>
      <c r="AP89" s="2">
        <f t="shared" si="31"/>
        <v>93.463111174999995</v>
      </c>
      <c r="AQ89" s="2">
        <f t="shared" si="32"/>
        <v>83.764000057499985</v>
      </c>
      <c r="AR89" s="2">
        <f t="shared" si="33"/>
        <v>91.111111174999991</v>
      </c>
      <c r="AS89" s="2">
        <f t="shared" si="34"/>
        <v>82.000000057499989</v>
      </c>
      <c r="AT89" s="2" t="str">
        <f t="shared" si="35"/>
        <v/>
      </c>
      <c r="AU89" s="2" t="str">
        <f t="shared" si="36"/>
        <v/>
      </c>
      <c r="AV89" s="2" t="str">
        <f t="shared" si="37"/>
        <v/>
      </c>
      <c r="AW89" s="2">
        <f t="shared" si="38"/>
        <v>280.96278483272357</v>
      </c>
      <c r="AX89" s="2" t="str">
        <f t="shared" si="39"/>
        <v/>
      </c>
      <c r="AY89" s="2" t="str">
        <f t="shared" si="40"/>
        <v/>
      </c>
      <c r="AZ89" s="2" t="str">
        <f t="shared" si="41"/>
        <v/>
      </c>
      <c r="BA89" s="2">
        <f t="shared" si="42"/>
        <v>1.4017901412484404E-5</v>
      </c>
      <c r="BB89" s="2" t="str">
        <f t="shared" si="50"/>
        <v/>
      </c>
      <c r="BC89" s="2" t="str">
        <f t="shared" si="50"/>
        <v/>
      </c>
      <c r="BD89" s="2" t="str">
        <f t="shared" si="50"/>
        <v/>
      </c>
      <c r="BE89" s="2">
        <f t="shared" si="50"/>
        <v>2.1026852118726607E-2</v>
      </c>
      <c r="BF89" s="1">
        <f t="shared" si="43"/>
        <v>2.1026852118726607E-2</v>
      </c>
      <c r="BH89" s="2">
        <f t="shared" si="44"/>
        <v>0.1024</v>
      </c>
      <c r="BI89" s="2">
        <f t="shared" si="45"/>
        <v>4.942400000000001</v>
      </c>
      <c r="BJ89" s="2">
        <f t="shared" si="46"/>
        <v>4.8400000000000007</v>
      </c>
      <c r="BK89" s="1">
        <f t="shared" si="47"/>
        <v>0.70400000000000007</v>
      </c>
      <c r="BM89" s="1">
        <f t="shared" si="48"/>
        <v>0</v>
      </c>
    </row>
    <row r="90" spans="2:65">
      <c r="B90" s="1"/>
      <c r="C90" s="34">
        <v>45</v>
      </c>
      <c r="D90" s="1" t="str">
        <f t="shared" si="4"/>
        <v>胴体</v>
      </c>
      <c r="E90" s="1">
        <f t="shared" si="5"/>
        <v>2.25</v>
      </c>
      <c r="F90" s="1">
        <f t="shared" si="6"/>
        <v>0</v>
      </c>
      <c r="G90" s="1">
        <f t="shared" si="7"/>
        <v>0.32</v>
      </c>
      <c r="H90" s="2">
        <f t="shared" si="49"/>
        <v>46.533142890000001</v>
      </c>
      <c r="I90" s="2">
        <f t="shared" si="49"/>
        <v>41.703428600999999</v>
      </c>
      <c r="J90" s="2">
        <f t="shared" si="49"/>
        <v>45.357142889999999</v>
      </c>
      <c r="K90" s="1">
        <f t="shared" si="49"/>
        <v>40.821428601000001</v>
      </c>
      <c r="L90" s="1"/>
      <c r="M90" s="1"/>
      <c r="N90" s="1"/>
      <c r="O90" s="1"/>
      <c r="P90" s="1"/>
      <c r="Q90" s="1"/>
      <c r="R90" s="2">
        <f t="shared" si="8"/>
        <v>85.062835944683613</v>
      </c>
      <c r="S90" s="2">
        <f t="shared" si="9"/>
        <v>12.462150431909752</v>
      </c>
      <c r="T90" s="147">
        <f t="shared" si="10"/>
        <v>0</v>
      </c>
      <c r="U90" s="147">
        <f t="shared" si="11"/>
        <v>0</v>
      </c>
      <c r="V90" s="2">
        <f t="shared" si="12"/>
        <v>46.533142890000001</v>
      </c>
      <c r="W90" s="2">
        <f t="shared" si="13"/>
        <v>-46.533142890000001</v>
      </c>
      <c r="X90" s="2">
        <f t="shared" si="14"/>
        <v>41.703428600999999</v>
      </c>
      <c r="Y90" s="2">
        <f t="shared" si="15"/>
        <v>-41.703428600999999</v>
      </c>
      <c r="Z90" s="2">
        <f t="shared" si="16"/>
        <v>45.357142889999999</v>
      </c>
      <c r="AA90" s="2">
        <f t="shared" si="17"/>
        <v>-45.357142889999999</v>
      </c>
      <c r="AB90" s="2">
        <f t="shared" si="18"/>
        <v>40.821428601000001</v>
      </c>
      <c r="AC90" s="2">
        <f t="shared" si="19"/>
        <v>-40.821428601000001</v>
      </c>
      <c r="AD90" s="2" t="str">
        <f t="shared" si="20"/>
        <v/>
      </c>
      <c r="AE90" s="2" t="str">
        <f t="shared" si="21"/>
        <v/>
      </c>
      <c r="AF90" s="2" t="str">
        <f t="shared" si="22"/>
        <v/>
      </c>
      <c r="AG90" s="2" t="str">
        <f t="shared" si="2"/>
        <v/>
      </c>
      <c r="AH90" s="2" t="str">
        <f t="shared" si="23"/>
        <v/>
      </c>
      <c r="AI90" s="2" t="str">
        <f t="shared" si="24"/>
        <v/>
      </c>
      <c r="AJ90" s="2" t="str">
        <f t="shared" si="25"/>
        <v/>
      </c>
      <c r="AK90" s="2" t="str">
        <f t="shared" si="26"/>
        <v/>
      </c>
      <c r="AL90" s="2" t="str">
        <f t="shared" si="27"/>
        <v/>
      </c>
      <c r="AM90" s="2" t="str">
        <f t="shared" si="28"/>
        <v/>
      </c>
      <c r="AN90" s="2" t="str">
        <f t="shared" si="29"/>
        <v/>
      </c>
      <c r="AO90" s="2" t="str">
        <f t="shared" si="30"/>
        <v/>
      </c>
      <c r="AP90" s="2">
        <f t="shared" si="31"/>
        <v>93.066285780000001</v>
      </c>
      <c r="AQ90" s="2">
        <f t="shared" si="32"/>
        <v>83.406857201999998</v>
      </c>
      <c r="AR90" s="2">
        <f t="shared" si="33"/>
        <v>90.714285779999997</v>
      </c>
      <c r="AS90" s="2">
        <f t="shared" si="34"/>
        <v>81.642857202000002</v>
      </c>
      <c r="AT90" s="2" t="str">
        <f t="shared" si="35"/>
        <v/>
      </c>
      <c r="AU90" s="2" t="str">
        <f t="shared" si="36"/>
        <v/>
      </c>
      <c r="AV90" s="2" t="str">
        <f t="shared" si="37"/>
        <v/>
      </c>
      <c r="AW90" s="2">
        <f t="shared" si="38"/>
        <v>279.7532716666546</v>
      </c>
      <c r="AX90" s="2" t="str">
        <f t="shared" si="39"/>
        <v/>
      </c>
      <c r="AY90" s="2" t="str">
        <f t="shared" si="40"/>
        <v/>
      </c>
      <c r="AZ90" s="2" t="str">
        <f t="shared" si="41"/>
        <v/>
      </c>
      <c r="BA90" s="2">
        <f t="shared" si="42"/>
        <v>1.39574257541811E-5</v>
      </c>
      <c r="BB90" s="2" t="str">
        <f t="shared" si="50"/>
        <v/>
      </c>
      <c r="BC90" s="2" t="str">
        <f t="shared" si="50"/>
        <v/>
      </c>
      <c r="BD90" s="2" t="str">
        <f t="shared" si="50"/>
        <v/>
      </c>
      <c r="BE90" s="2">
        <f t="shared" si="50"/>
        <v>2.093613863127165E-2</v>
      </c>
      <c r="BF90" s="1">
        <f t="shared" si="43"/>
        <v>2.093613863127165E-2</v>
      </c>
      <c r="BH90" s="2">
        <f t="shared" si="44"/>
        <v>0.1024</v>
      </c>
      <c r="BI90" s="2">
        <f t="shared" si="45"/>
        <v>5.1649000000000003</v>
      </c>
      <c r="BJ90" s="2">
        <f t="shared" si="46"/>
        <v>5.0625</v>
      </c>
      <c r="BK90" s="1">
        <f t="shared" si="47"/>
        <v>0.72</v>
      </c>
      <c r="BM90" s="1">
        <f t="shared" si="48"/>
        <v>0</v>
      </c>
    </row>
    <row r="91" spans="2:65">
      <c r="B91" s="1"/>
      <c r="C91" s="34">
        <v>46</v>
      </c>
      <c r="D91" s="1" t="str">
        <f t="shared" si="4"/>
        <v>胴体</v>
      </c>
      <c r="E91" s="1">
        <f t="shared" si="5"/>
        <v>2.3000000000000003</v>
      </c>
      <c r="F91" s="1">
        <f t="shared" si="6"/>
        <v>0</v>
      </c>
      <c r="G91" s="1">
        <f t="shared" si="7"/>
        <v>0.32</v>
      </c>
      <c r="H91" s="2">
        <f t="shared" si="49"/>
        <v>46.334730192500004</v>
      </c>
      <c r="I91" s="2">
        <f t="shared" si="49"/>
        <v>41.524857173249998</v>
      </c>
      <c r="J91" s="2">
        <f t="shared" si="49"/>
        <v>45.158730192500002</v>
      </c>
      <c r="K91" s="1">
        <f t="shared" si="49"/>
        <v>40.64285717325</v>
      </c>
      <c r="L91" s="1"/>
      <c r="M91" s="1"/>
      <c r="N91" s="1"/>
      <c r="O91" s="1"/>
      <c r="P91" s="1"/>
      <c r="Q91" s="1"/>
      <c r="R91" s="2">
        <f t="shared" si="8"/>
        <v>85.062835944683613</v>
      </c>
      <c r="S91" s="2">
        <f t="shared" si="9"/>
        <v>12.462150431909752</v>
      </c>
      <c r="T91" s="147">
        <f t="shared" si="10"/>
        <v>0</v>
      </c>
      <c r="U91" s="147">
        <f t="shared" si="11"/>
        <v>0</v>
      </c>
      <c r="V91" s="2">
        <f t="shared" si="12"/>
        <v>46.334730192500004</v>
      </c>
      <c r="W91" s="2">
        <f t="shared" si="13"/>
        <v>-46.334730192500004</v>
      </c>
      <c r="X91" s="2">
        <f t="shared" si="14"/>
        <v>41.524857173249998</v>
      </c>
      <c r="Y91" s="2">
        <f t="shared" si="15"/>
        <v>-41.524857173249998</v>
      </c>
      <c r="Z91" s="2">
        <f t="shared" si="16"/>
        <v>45.158730192500002</v>
      </c>
      <c r="AA91" s="2">
        <f t="shared" si="17"/>
        <v>-45.158730192500002</v>
      </c>
      <c r="AB91" s="2">
        <f t="shared" si="18"/>
        <v>40.64285717325</v>
      </c>
      <c r="AC91" s="2">
        <f t="shared" si="19"/>
        <v>-40.64285717325</v>
      </c>
      <c r="AD91" s="2" t="str">
        <f t="shared" si="20"/>
        <v/>
      </c>
      <c r="AE91" s="2" t="str">
        <f t="shared" si="21"/>
        <v/>
      </c>
      <c r="AF91" s="2" t="str">
        <f t="shared" si="22"/>
        <v/>
      </c>
      <c r="AG91" s="2" t="str">
        <f t="shared" si="2"/>
        <v/>
      </c>
      <c r="AH91" s="2" t="str">
        <f t="shared" si="23"/>
        <v/>
      </c>
      <c r="AI91" s="2" t="str">
        <f t="shared" si="24"/>
        <v/>
      </c>
      <c r="AJ91" s="2" t="str">
        <f t="shared" si="25"/>
        <v/>
      </c>
      <c r="AK91" s="2" t="str">
        <f t="shared" si="26"/>
        <v/>
      </c>
      <c r="AL91" s="2" t="str">
        <f t="shared" si="27"/>
        <v/>
      </c>
      <c r="AM91" s="2" t="str">
        <f t="shared" si="28"/>
        <v/>
      </c>
      <c r="AN91" s="2" t="str">
        <f t="shared" si="29"/>
        <v/>
      </c>
      <c r="AO91" s="2" t="str">
        <f t="shared" si="30"/>
        <v/>
      </c>
      <c r="AP91" s="2">
        <f t="shared" si="31"/>
        <v>92.669460385000008</v>
      </c>
      <c r="AQ91" s="2">
        <f t="shared" si="32"/>
        <v>83.049714346499997</v>
      </c>
      <c r="AR91" s="2">
        <f t="shared" si="33"/>
        <v>90.317460385000004</v>
      </c>
      <c r="AS91" s="2">
        <f t="shared" si="34"/>
        <v>81.285714346500001</v>
      </c>
      <c r="AT91" s="2" t="str">
        <f t="shared" si="35"/>
        <v/>
      </c>
      <c r="AU91" s="2" t="str">
        <f t="shared" si="36"/>
        <v/>
      </c>
      <c r="AV91" s="2" t="str">
        <f t="shared" si="37"/>
        <v/>
      </c>
      <c r="AW91" s="2">
        <f t="shared" si="38"/>
        <v>278.54375850058636</v>
      </c>
      <c r="AX91" s="2" t="str">
        <f t="shared" si="39"/>
        <v/>
      </c>
      <c r="AY91" s="2" t="str">
        <f t="shared" si="40"/>
        <v/>
      </c>
      <c r="AZ91" s="2" t="str">
        <f t="shared" si="41"/>
        <v/>
      </c>
      <c r="BA91" s="2">
        <f t="shared" si="42"/>
        <v>1.3896950095877561E-5</v>
      </c>
      <c r="BB91" s="2" t="str">
        <f t="shared" si="50"/>
        <v/>
      </c>
      <c r="BC91" s="2" t="str">
        <f t="shared" si="50"/>
        <v/>
      </c>
      <c r="BD91" s="2" t="str">
        <f t="shared" si="50"/>
        <v/>
      </c>
      <c r="BE91" s="2">
        <f t="shared" si="50"/>
        <v>2.0845425143816342E-2</v>
      </c>
      <c r="BF91" s="1">
        <f t="shared" si="43"/>
        <v>2.0845425143816342E-2</v>
      </c>
      <c r="BH91" s="2">
        <f t="shared" si="44"/>
        <v>0.1024</v>
      </c>
      <c r="BI91" s="2">
        <f t="shared" si="45"/>
        <v>5.3924000000000012</v>
      </c>
      <c r="BJ91" s="2">
        <f t="shared" si="46"/>
        <v>5.2900000000000009</v>
      </c>
      <c r="BK91" s="1">
        <f t="shared" si="47"/>
        <v>0.7360000000000001</v>
      </c>
      <c r="BM91" s="1">
        <f t="shared" si="48"/>
        <v>0</v>
      </c>
    </row>
    <row r="92" spans="2:65">
      <c r="B92" s="1"/>
      <c r="C92" s="34">
        <v>47</v>
      </c>
      <c r="D92" s="1" t="str">
        <f t="shared" si="4"/>
        <v>胴体</v>
      </c>
      <c r="E92" s="1">
        <f t="shared" si="5"/>
        <v>2.35</v>
      </c>
      <c r="F92" s="1">
        <f t="shared" si="6"/>
        <v>0</v>
      </c>
      <c r="G92" s="1">
        <f t="shared" si="7"/>
        <v>0.32</v>
      </c>
      <c r="H92" s="2">
        <f t="shared" si="49"/>
        <v>46.136317495</v>
      </c>
      <c r="I92" s="2">
        <f t="shared" si="49"/>
        <v>41.346285745499998</v>
      </c>
      <c r="J92" s="2">
        <f t="shared" si="49"/>
        <v>44.960317494999998</v>
      </c>
      <c r="K92" s="1">
        <f t="shared" si="49"/>
        <v>40.4642857455</v>
      </c>
      <c r="L92" s="1"/>
      <c r="M92" s="1"/>
      <c r="N92" s="1"/>
      <c r="O92" s="1"/>
      <c r="P92" s="1"/>
      <c r="Q92" s="1"/>
      <c r="R92" s="2">
        <f t="shared" si="8"/>
        <v>85.062835944683613</v>
      </c>
      <c r="S92" s="2">
        <f t="shared" si="9"/>
        <v>12.462150431909752</v>
      </c>
      <c r="T92" s="147">
        <f t="shared" si="10"/>
        <v>0</v>
      </c>
      <c r="U92" s="147">
        <f t="shared" si="11"/>
        <v>0</v>
      </c>
      <c r="V92" s="2">
        <f t="shared" si="12"/>
        <v>46.136317495</v>
      </c>
      <c r="W92" s="2">
        <f t="shared" si="13"/>
        <v>-46.136317495</v>
      </c>
      <c r="X92" s="2">
        <f t="shared" si="14"/>
        <v>41.346285745499998</v>
      </c>
      <c r="Y92" s="2">
        <f t="shared" si="15"/>
        <v>-41.346285745499998</v>
      </c>
      <c r="Z92" s="2">
        <f t="shared" si="16"/>
        <v>44.960317494999998</v>
      </c>
      <c r="AA92" s="2">
        <f t="shared" si="17"/>
        <v>-44.960317494999998</v>
      </c>
      <c r="AB92" s="2">
        <f t="shared" si="18"/>
        <v>40.4642857455</v>
      </c>
      <c r="AC92" s="2">
        <f t="shared" si="19"/>
        <v>-40.4642857455</v>
      </c>
      <c r="AD92" s="2" t="str">
        <f t="shared" si="20"/>
        <v/>
      </c>
      <c r="AE92" s="2" t="str">
        <f t="shared" si="21"/>
        <v/>
      </c>
      <c r="AF92" s="2" t="str">
        <f t="shared" si="22"/>
        <v/>
      </c>
      <c r="AG92" s="2" t="str">
        <f t="shared" si="2"/>
        <v/>
      </c>
      <c r="AH92" s="2" t="str">
        <f t="shared" si="23"/>
        <v/>
      </c>
      <c r="AI92" s="2" t="str">
        <f t="shared" si="24"/>
        <v/>
      </c>
      <c r="AJ92" s="2" t="str">
        <f t="shared" si="25"/>
        <v/>
      </c>
      <c r="AK92" s="2" t="str">
        <f t="shared" si="26"/>
        <v/>
      </c>
      <c r="AL92" s="2" t="str">
        <f t="shared" si="27"/>
        <v/>
      </c>
      <c r="AM92" s="2" t="str">
        <f t="shared" si="28"/>
        <v/>
      </c>
      <c r="AN92" s="2" t="str">
        <f t="shared" si="29"/>
        <v/>
      </c>
      <c r="AO92" s="2" t="str">
        <f t="shared" si="30"/>
        <v/>
      </c>
      <c r="AP92" s="2">
        <f t="shared" si="31"/>
        <v>92.27263499</v>
      </c>
      <c r="AQ92" s="2">
        <f t="shared" si="32"/>
        <v>82.692571490999995</v>
      </c>
      <c r="AR92" s="2">
        <f t="shared" si="33"/>
        <v>89.920634989999996</v>
      </c>
      <c r="AS92" s="2">
        <f t="shared" si="34"/>
        <v>80.928571491</v>
      </c>
      <c r="AT92" s="2" t="str">
        <f t="shared" si="35"/>
        <v/>
      </c>
      <c r="AU92" s="2" t="str">
        <f t="shared" si="36"/>
        <v/>
      </c>
      <c r="AV92" s="2" t="str">
        <f t="shared" si="37"/>
        <v/>
      </c>
      <c r="AW92" s="2">
        <f t="shared" si="38"/>
        <v>277.33424533451813</v>
      </c>
      <c r="AX92" s="2" t="str">
        <f t="shared" si="39"/>
        <v/>
      </c>
      <c r="AY92" s="2" t="str">
        <f t="shared" si="40"/>
        <v/>
      </c>
      <c r="AZ92" s="2" t="str">
        <f t="shared" si="41"/>
        <v/>
      </c>
      <c r="BA92" s="2">
        <f t="shared" si="42"/>
        <v>1.3836474437574276E-5</v>
      </c>
      <c r="BB92" s="2" t="str">
        <f t="shared" si="50"/>
        <v/>
      </c>
      <c r="BC92" s="2" t="str">
        <f t="shared" si="50"/>
        <v/>
      </c>
      <c r="BD92" s="2" t="str">
        <f t="shared" si="50"/>
        <v/>
      </c>
      <c r="BE92" s="2">
        <f t="shared" si="50"/>
        <v>2.0754711656361412E-2</v>
      </c>
      <c r="BF92" s="1">
        <f t="shared" si="43"/>
        <v>2.0754711656361412E-2</v>
      </c>
      <c r="BH92" s="2">
        <f t="shared" si="44"/>
        <v>0.1024</v>
      </c>
      <c r="BI92" s="2">
        <f t="shared" si="45"/>
        <v>5.6249000000000011</v>
      </c>
      <c r="BJ92" s="2">
        <f t="shared" si="46"/>
        <v>5.5225000000000009</v>
      </c>
      <c r="BK92" s="1">
        <f t="shared" si="47"/>
        <v>0.752</v>
      </c>
      <c r="BM92" s="1">
        <f t="shared" si="48"/>
        <v>0</v>
      </c>
    </row>
    <row r="93" spans="2:65">
      <c r="B93" s="1"/>
      <c r="C93" s="34">
        <v>48</v>
      </c>
      <c r="D93" s="1" t="str">
        <f t="shared" si="4"/>
        <v>胴体</v>
      </c>
      <c r="E93" s="1">
        <f t="shared" si="5"/>
        <v>2.4000000000000004</v>
      </c>
      <c r="F93" s="1">
        <f t="shared" si="6"/>
        <v>0</v>
      </c>
      <c r="G93" s="1">
        <f t="shared" si="7"/>
        <v>0.32</v>
      </c>
      <c r="H93" s="2">
        <f t="shared" si="49"/>
        <v>45.937904797499996</v>
      </c>
      <c r="I93" s="2">
        <f t="shared" si="49"/>
        <v>41.167714317749997</v>
      </c>
      <c r="J93" s="2">
        <f t="shared" si="49"/>
        <v>44.761904797499994</v>
      </c>
      <c r="K93" s="1">
        <f t="shared" si="49"/>
        <v>40.285714317749999</v>
      </c>
      <c r="L93" s="1"/>
      <c r="M93" s="1"/>
      <c r="N93" s="1"/>
      <c r="O93" s="1"/>
      <c r="P93" s="1"/>
      <c r="Q93" s="1"/>
      <c r="R93" s="2">
        <f t="shared" si="8"/>
        <v>85.062835944683613</v>
      </c>
      <c r="S93" s="2">
        <f t="shared" si="9"/>
        <v>12.462150431909752</v>
      </c>
      <c r="T93" s="147">
        <f t="shared" si="10"/>
        <v>0</v>
      </c>
      <c r="U93" s="147">
        <f t="shared" si="11"/>
        <v>0</v>
      </c>
      <c r="V93" s="2">
        <f t="shared" si="12"/>
        <v>45.937904797499996</v>
      </c>
      <c r="W93" s="2">
        <f t="shared" si="13"/>
        <v>-45.937904797499996</v>
      </c>
      <c r="X93" s="2">
        <f t="shared" si="14"/>
        <v>41.167714317749997</v>
      </c>
      <c r="Y93" s="2">
        <f t="shared" si="15"/>
        <v>-41.167714317749997</v>
      </c>
      <c r="Z93" s="2">
        <f t="shared" si="16"/>
        <v>44.761904797499994</v>
      </c>
      <c r="AA93" s="2">
        <f t="shared" si="17"/>
        <v>-44.761904797499994</v>
      </c>
      <c r="AB93" s="2">
        <f t="shared" si="18"/>
        <v>40.285714317749999</v>
      </c>
      <c r="AC93" s="2">
        <f t="shared" si="19"/>
        <v>-40.285714317749999</v>
      </c>
      <c r="AD93" s="2" t="str">
        <f t="shared" si="20"/>
        <v/>
      </c>
      <c r="AE93" s="2" t="str">
        <f t="shared" si="21"/>
        <v/>
      </c>
      <c r="AF93" s="2" t="str">
        <f t="shared" si="22"/>
        <v/>
      </c>
      <c r="AG93" s="2" t="str">
        <f t="shared" si="2"/>
        <v/>
      </c>
      <c r="AH93" s="2" t="str">
        <f t="shared" si="23"/>
        <v/>
      </c>
      <c r="AI93" s="2" t="str">
        <f t="shared" si="24"/>
        <v/>
      </c>
      <c r="AJ93" s="2" t="str">
        <f t="shared" si="25"/>
        <v/>
      </c>
      <c r="AK93" s="2" t="str">
        <f t="shared" si="26"/>
        <v/>
      </c>
      <c r="AL93" s="2" t="str">
        <f t="shared" si="27"/>
        <v/>
      </c>
      <c r="AM93" s="2" t="str">
        <f t="shared" si="28"/>
        <v/>
      </c>
      <c r="AN93" s="2" t="str">
        <f t="shared" si="29"/>
        <v/>
      </c>
      <c r="AO93" s="2" t="str">
        <f t="shared" si="30"/>
        <v/>
      </c>
      <c r="AP93" s="2">
        <f t="shared" si="31"/>
        <v>91.875809594999993</v>
      </c>
      <c r="AQ93" s="2">
        <f t="shared" si="32"/>
        <v>82.335428635499994</v>
      </c>
      <c r="AR93" s="2">
        <f t="shared" si="33"/>
        <v>89.523809594999989</v>
      </c>
      <c r="AS93" s="2">
        <f t="shared" si="34"/>
        <v>80.571428635499998</v>
      </c>
      <c r="AT93" s="2" t="str">
        <f t="shared" si="35"/>
        <v/>
      </c>
      <c r="AU93" s="2" t="str">
        <f t="shared" si="36"/>
        <v/>
      </c>
      <c r="AV93" s="2" t="str">
        <f t="shared" si="37"/>
        <v/>
      </c>
      <c r="AW93" s="2">
        <f t="shared" si="38"/>
        <v>276.1247321684499</v>
      </c>
      <c r="AX93" s="2" t="str">
        <f t="shared" si="39"/>
        <v/>
      </c>
      <c r="AY93" s="2" t="str">
        <f t="shared" si="40"/>
        <v/>
      </c>
      <c r="AZ93" s="2" t="str">
        <f t="shared" si="41"/>
        <v/>
      </c>
      <c r="BA93" s="2">
        <f t="shared" si="42"/>
        <v>1.3775998779270738E-5</v>
      </c>
      <c r="BB93" s="2" t="str">
        <f t="shared" si="50"/>
        <v/>
      </c>
      <c r="BC93" s="2" t="str">
        <f t="shared" si="50"/>
        <v/>
      </c>
      <c r="BD93" s="2" t="str">
        <f t="shared" si="50"/>
        <v/>
      </c>
      <c r="BE93" s="2">
        <f t="shared" si="50"/>
        <v>2.0663998168906107E-2</v>
      </c>
      <c r="BF93" s="1">
        <f t="shared" si="43"/>
        <v>2.0663998168906107E-2</v>
      </c>
      <c r="BH93" s="2">
        <f t="shared" si="44"/>
        <v>0.1024</v>
      </c>
      <c r="BI93" s="2">
        <f t="shared" si="45"/>
        <v>5.8624000000000018</v>
      </c>
      <c r="BJ93" s="2">
        <f t="shared" si="46"/>
        <v>5.7600000000000016</v>
      </c>
      <c r="BK93" s="1">
        <f t="shared" si="47"/>
        <v>0.76800000000000013</v>
      </c>
      <c r="BM93" s="1">
        <f t="shared" si="48"/>
        <v>0</v>
      </c>
    </row>
    <row r="94" spans="2:65">
      <c r="B94" s="1"/>
      <c r="C94" s="34">
        <v>49</v>
      </c>
      <c r="D94" s="1" t="str">
        <f t="shared" si="4"/>
        <v>胴体</v>
      </c>
      <c r="E94" s="1">
        <f t="shared" si="5"/>
        <v>2.4500000000000002</v>
      </c>
      <c r="F94" s="1">
        <f t="shared" si="6"/>
        <v>0</v>
      </c>
      <c r="G94" s="1">
        <f t="shared" si="7"/>
        <v>0.32</v>
      </c>
      <c r="H94" s="2">
        <f t="shared" si="49"/>
        <v>45.7394921</v>
      </c>
      <c r="I94" s="2">
        <f t="shared" si="49"/>
        <v>40.989142889999997</v>
      </c>
      <c r="J94" s="2">
        <f t="shared" si="49"/>
        <v>44.563492099999998</v>
      </c>
      <c r="K94" s="1">
        <f t="shared" si="49"/>
        <v>40.107142889999999</v>
      </c>
      <c r="L94" s="1"/>
      <c r="M94" s="1"/>
      <c r="N94" s="1"/>
      <c r="O94" s="1"/>
      <c r="P94" s="1"/>
      <c r="Q94" s="1"/>
      <c r="R94" s="2">
        <f t="shared" si="8"/>
        <v>85.062835944683613</v>
      </c>
      <c r="S94" s="2">
        <f t="shared" si="9"/>
        <v>12.462150431909752</v>
      </c>
      <c r="T94" s="147">
        <f t="shared" si="10"/>
        <v>0</v>
      </c>
      <c r="U94" s="147">
        <f t="shared" si="11"/>
        <v>0</v>
      </c>
      <c r="V94" s="2">
        <f t="shared" si="12"/>
        <v>45.7394921</v>
      </c>
      <c r="W94" s="2">
        <f t="shared" si="13"/>
        <v>-45.7394921</v>
      </c>
      <c r="X94" s="2">
        <f t="shared" si="14"/>
        <v>40.989142889999997</v>
      </c>
      <c r="Y94" s="2">
        <f t="shared" si="15"/>
        <v>-40.989142889999997</v>
      </c>
      <c r="Z94" s="2">
        <f t="shared" si="16"/>
        <v>44.563492099999998</v>
      </c>
      <c r="AA94" s="2">
        <f t="shared" si="17"/>
        <v>-44.563492099999998</v>
      </c>
      <c r="AB94" s="2">
        <f t="shared" si="18"/>
        <v>40.107142889999999</v>
      </c>
      <c r="AC94" s="2">
        <f t="shared" si="19"/>
        <v>-40.107142889999999</v>
      </c>
      <c r="AD94" s="2" t="str">
        <f t="shared" si="20"/>
        <v/>
      </c>
      <c r="AE94" s="2" t="str">
        <f t="shared" si="21"/>
        <v/>
      </c>
      <c r="AF94" s="2" t="str">
        <f t="shared" si="22"/>
        <v/>
      </c>
      <c r="AG94" s="2" t="str">
        <f t="shared" si="2"/>
        <v/>
      </c>
      <c r="AH94" s="2" t="str">
        <f t="shared" si="23"/>
        <v/>
      </c>
      <c r="AI94" s="2" t="str">
        <f t="shared" si="24"/>
        <v/>
      </c>
      <c r="AJ94" s="2" t="str">
        <f t="shared" si="25"/>
        <v/>
      </c>
      <c r="AK94" s="2" t="str">
        <f t="shared" si="26"/>
        <v/>
      </c>
      <c r="AL94" s="2" t="str">
        <f t="shared" si="27"/>
        <v/>
      </c>
      <c r="AM94" s="2" t="str">
        <f t="shared" si="28"/>
        <v/>
      </c>
      <c r="AN94" s="2" t="str">
        <f t="shared" si="29"/>
        <v/>
      </c>
      <c r="AO94" s="2" t="str">
        <f t="shared" si="30"/>
        <v/>
      </c>
      <c r="AP94" s="2">
        <f t="shared" si="31"/>
        <v>91.478984199999999</v>
      </c>
      <c r="AQ94" s="2">
        <f t="shared" si="32"/>
        <v>81.978285779999993</v>
      </c>
      <c r="AR94" s="2">
        <f t="shared" si="33"/>
        <v>89.126984199999995</v>
      </c>
      <c r="AS94" s="2">
        <f t="shared" si="34"/>
        <v>80.214285779999997</v>
      </c>
      <c r="AT94" s="2" t="str">
        <f t="shared" si="35"/>
        <v/>
      </c>
      <c r="AU94" s="2" t="str">
        <f t="shared" si="36"/>
        <v/>
      </c>
      <c r="AV94" s="2" t="str">
        <f t="shared" si="37"/>
        <v/>
      </c>
      <c r="AW94" s="2">
        <f t="shared" si="38"/>
        <v>274.91521900238166</v>
      </c>
      <c r="AX94" s="2" t="str">
        <f t="shared" si="39"/>
        <v/>
      </c>
      <c r="AY94" s="2" t="str">
        <f t="shared" si="40"/>
        <v/>
      </c>
      <c r="AZ94" s="2" t="str">
        <f t="shared" si="41"/>
        <v/>
      </c>
      <c r="BA94" s="2">
        <f t="shared" si="42"/>
        <v>1.3715523120967329E-5</v>
      </c>
      <c r="BB94" s="2" t="str">
        <f t="shared" si="50"/>
        <v/>
      </c>
      <c r="BC94" s="2" t="str">
        <f t="shared" si="50"/>
        <v/>
      </c>
      <c r="BD94" s="2" t="str">
        <f t="shared" si="50"/>
        <v/>
      </c>
      <c r="BE94" s="2">
        <f t="shared" si="50"/>
        <v>2.0573284681450994E-2</v>
      </c>
      <c r="BF94" s="1">
        <f t="shared" si="43"/>
        <v>2.0573284681450994E-2</v>
      </c>
      <c r="BH94" s="2">
        <f t="shared" si="44"/>
        <v>0.1024</v>
      </c>
      <c r="BI94" s="2">
        <f t="shared" si="45"/>
        <v>6.1049000000000015</v>
      </c>
      <c r="BJ94" s="2">
        <f t="shared" si="46"/>
        <v>6.0025000000000013</v>
      </c>
      <c r="BK94" s="1">
        <f t="shared" si="47"/>
        <v>0.78400000000000003</v>
      </c>
      <c r="BM94" s="1">
        <f t="shared" si="48"/>
        <v>0</v>
      </c>
    </row>
    <row r="95" spans="2:65">
      <c r="B95" s="1"/>
      <c r="C95" s="34">
        <v>50</v>
      </c>
      <c r="D95" s="1" t="str">
        <f t="shared" si="4"/>
        <v>胴体</v>
      </c>
      <c r="E95" s="1">
        <f t="shared" si="5"/>
        <v>2.5</v>
      </c>
      <c r="F95" s="1">
        <f t="shared" si="6"/>
        <v>0</v>
      </c>
      <c r="G95" s="1">
        <f t="shared" si="7"/>
        <v>0.32</v>
      </c>
      <c r="H95" s="2">
        <f t="shared" si="49"/>
        <v>45.541079402500003</v>
      </c>
      <c r="I95" s="2">
        <f t="shared" si="49"/>
        <v>40.810571462250003</v>
      </c>
      <c r="J95" s="2">
        <f t="shared" si="49"/>
        <v>44.365079402500001</v>
      </c>
      <c r="K95" s="1">
        <f t="shared" si="49"/>
        <v>39.928571462250005</v>
      </c>
      <c r="L95" s="1"/>
      <c r="M95" s="1"/>
      <c r="N95" s="1"/>
      <c r="O95" s="1"/>
      <c r="P95" s="1"/>
      <c r="Q95" s="1"/>
      <c r="R95" s="2">
        <f t="shared" si="8"/>
        <v>85.062835944683613</v>
      </c>
      <c r="S95" s="2">
        <f t="shared" si="9"/>
        <v>12.462150431909752</v>
      </c>
      <c r="T95" s="147">
        <f t="shared" si="10"/>
        <v>0</v>
      </c>
      <c r="U95" s="147">
        <f t="shared" si="11"/>
        <v>0</v>
      </c>
      <c r="V95" s="2">
        <f t="shared" si="12"/>
        <v>45.541079402500003</v>
      </c>
      <c r="W95" s="2">
        <f t="shared" si="13"/>
        <v>-45.541079402500003</v>
      </c>
      <c r="X95" s="2">
        <f t="shared" si="14"/>
        <v>40.810571462250003</v>
      </c>
      <c r="Y95" s="2">
        <f t="shared" si="15"/>
        <v>-40.810571462250003</v>
      </c>
      <c r="Z95" s="2">
        <f t="shared" si="16"/>
        <v>44.365079402500001</v>
      </c>
      <c r="AA95" s="2">
        <f t="shared" si="17"/>
        <v>-44.365079402500001</v>
      </c>
      <c r="AB95" s="2">
        <f t="shared" si="18"/>
        <v>39.928571462250005</v>
      </c>
      <c r="AC95" s="2">
        <f t="shared" si="19"/>
        <v>-39.928571462250005</v>
      </c>
      <c r="AD95" s="2" t="str">
        <f t="shared" si="20"/>
        <v/>
      </c>
      <c r="AE95" s="2" t="str">
        <f t="shared" si="21"/>
        <v/>
      </c>
      <c r="AF95" s="2" t="str">
        <f t="shared" si="22"/>
        <v/>
      </c>
      <c r="AG95" s="2" t="str">
        <f t="shared" si="2"/>
        <v/>
      </c>
      <c r="AH95" s="2" t="str">
        <f t="shared" si="23"/>
        <v/>
      </c>
      <c r="AI95" s="2" t="str">
        <f t="shared" si="24"/>
        <v/>
      </c>
      <c r="AJ95" s="2" t="str">
        <f t="shared" si="25"/>
        <v/>
      </c>
      <c r="AK95" s="2" t="str">
        <f t="shared" si="26"/>
        <v/>
      </c>
      <c r="AL95" s="2" t="str">
        <f t="shared" si="27"/>
        <v/>
      </c>
      <c r="AM95" s="2" t="str">
        <f t="shared" si="28"/>
        <v/>
      </c>
      <c r="AN95" s="2" t="str">
        <f t="shared" si="29"/>
        <v/>
      </c>
      <c r="AO95" s="2" t="str">
        <f t="shared" si="30"/>
        <v/>
      </c>
      <c r="AP95" s="2">
        <f t="shared" si="31"/>
        <v>91.082158805000006</v>
      </c>
      <c r="AQ95" s="2">
        <f t="shared" si="32"/>
        <v>81.621142924500006</v>
      </c>
      <c r="AR95" s="2">
        <f t="shared" si="33"/>
        <v>88.730158805000002</v>
      </c>
      <c r="AS95" s="2">
        <f t="shared" si="34"/>
        <v>79.85714292450001</v>
      </c>
      <c r="AT95" s="2" t="str">
        <f t="shared" si="35"/>
        <v/>
      </c>
      <c r="AU95" s="2" t="str">
        <f t="shared" si="36"/>
        <v/>
      </c>
      <c r="AV95" s="2" t="str">
        <f t="shared" si="37"/>
        <v/>
      </c>
      <c r="AW95" s="2">
        <f t="shared" si="38"/>
        <v>273.70570583631343</v>
      </c>
      <c r="AX95" s="2" t="str">
        <f t="shared" si="39"/>
        <v/>
      </c>
      <c r="AY95" s="2" t="str">
        <f t="shared" si="40"/>
        <v/>
      </c>
      <c r="AZ95" s="2" t="str">
        <f t="shared" si="41"/>
        <v/>
      </c>
      <c r="BA95" s="2">
        <f t="shared" si="42"/>
        <v>1.3655047462664035E-5</v>
      </c>
      <c r="BB95" s="2" t="str">
        <f t="shared" si="50"/>
        <v/>
      </c>
      <c r="BC95" s="2" t="str">
        <f t="shared" si="50"/>
        <v/>
      </c>
      <c r="BD95" s="2" t="str">
        <f t="shared" si="50"/>
        <v/>
      </c>
      <c r="BE95" s="2">
        <f t="shared" si="50"/>
        <v>2.0482571193996053E-2</v>
      </c>
      <c r="BF95" s="1">
        <f t="shared" si="43"/>
        <v>2.0482571193996053E-2</v>
      </c>
      <c r="BH95" s="2">
        <f t="shared" si="44"/>
        <v>0.1024</v>
      </c>
      <c r="BI95" s="2">
        <f t="shared" si="45"/>
        <v>6.3524000000000003</v>
      </c>
      <c r="BJ95" s="2">
        <f t="shared" si="46"/>
        <v>6.25</v>
      </c>
      <c r="BK95" s="1">
        <f t="shared" si="47"/>
        <v>0.8</v>
      </c>
      <c r="BM95" s="1">
        <f t="shared" si="48"/>
        <v>0</v>
      </c>
    </row>
    <row r="96" spans="2:65">
      <c r="B96" s="1"/>
      <c r="C96" s="34">
        <v>51</v>
      </c>
      <c r="D96" s="1" t="str">
        <f t="shared" si="4"/>
        <v>胴体</v>
      </c>
      <c r="E96" s="1">
        <f t="shared" si="5"/>
        <v>2.5500000000000003</v>
      </c>
      <c r="F96" s="1">
        <f t="shared" si="6"/>
        <v>0</v>
      </c>
      <c r="G96" s="1">
        <f t="shared" si="7"/>
        <v>0.32</v>
      </c>
      <c r="H96" s="2">
        <f t="shared" si="49"/>
        <v>45.342666704999999</v>
      </c>
      <c r="I96" s="2">
        <f t="shared" si="49"/>
        <v>40.632000034499995</v>
      </c>
      <c r="J96" s="2">
        <f t="shared" si="49"/>
        <v>44.166666704999997</v>
      </c>
      <c r="K96" s="1">
        <f t="shared" si="49"/>
        <v>39.750000034499998</v>
      </c>
      <c r="L96" s="1"/>
      <c r="M96" s="1"/>
      <c r="N96" s="1"/>
      <c r="O96" s="1"/>
      <c r="P96" s="1"/>
      <c r="Q96" s="1"/>
      <c r="R96" s="2">
        <f t="shared" si="8"/>
        <v>85.062835944683613</v>
      </c>
      <c r="S96" s="2">
        <f t="shared" si="9"/>
        <v>12.462150431909752</v>
      </c>
      <c r="T96" s="147">
        <f t="shared" si="10"/>
        <v>0</v>
      </c>
      <c r="U96" s="147">
        <f t="shared" si="11"/>
        <v>0</v>
      </c>
      <c r="V96" s="2">
        <f t="shared" si="12"/>
        <v>45.342666704999999</v>
      </c>
      <c r="W96" s="2">
        <f t="shared" si="13"/>
        <v>-45.342666704999999</v>
      </c>
      <c r="X96" s="2">
        <f t="shared" si="14"/>
        <v>40.632000034499995</v>
      </c>
      <c r="Y96" s="2">
        <f t="shared" si="15"/>
        <v>-40.632000034499995</v>
      </c>
      <c r="Z96" s="2">
        <f t="shared" si="16"/>
        <v>44.166666704999997</v>
      </c>
      <c r="AA96" s="2">
        <f t="shared" si="17"/>
        <v>-44.166666704999997</v>
      </c>
      <c r="AB96" s="2">
        <f t="shared" si="18"/>
        <v>39.750000034499998</v>
      </c>
      <c r="AC96" s="2">
        <f t="shared" si="19"/>
        <v>-39.750000034499998</v>
      </c>
      <c r="AD96" s="2" t="str">
        <f t="shared" si="20"/>
        <v/>
      </c>
      <c r="AE96" s="2" t="str">
        <f t="shared" si="21"/>
        <v/>
      </c>
      <c r="AF96" s="2" t="str">
        <f t="shared" si="22"/>
        <v/>
      </c>
      <c r="AG96" s="2" t="str">
        <f t="shared" si="2"/>
        <v/>
      </c>
      <c r="AH96" s="2" t="str">
        <f t="shared" si="23"/>
        <v/>
      </c>
      <c r="AI96" s="2" t="str">
        <f t="shared" si="24"/>
        <v/>
      </c>
      <c r="AJ96" s="2" t="str">
        <f t="shared" si="25"/>
        <v/>
      </c>
      <c r="AK96" s="2" t="str">
        <f t="shared" si="26"/>
        <v/>
      </c>
      <c r="AL96" s="2" t="str">
        <f t="shared" si="27"/>
        <v/>
      </c>
      <c r="AM96" s="2" t="str">
        <f t="shared" si="28"/>
        <v/>
      </c>
      <c r="AN96" s="2" t="str">
        <f t="shared" si="29"/>
        <v/>
      </c>
      <c r="AO96" s="2" t="str">
        <f t="shared" si="30"/>
        <v/>
      </c>
      <c r="AP96" s="2">
        <f t="shared" si="31"/>
        <v>90.685333409999998</v>
      </c>
      <c r="AQ96" s="2">
        <f t="shared" si="32"/>
        <v>81.264000068999991</v>
      </c>
      <c r="AR96" s="2">
        <f t="shared" si="33"/>
        <v>88.333333409999995</v>
      </c>
      <c r="AS96" s="2">
        <f t="shared" si="34"/>
        <v>79.500000068999995</v>
      </c>
      <c r="AT96" s="2" t="str">
        <f t="shared" si="35"/>
        <v/>
      </c>
      <c r="AU96" s="2" t="str">
        <f t="shared" si="36"/>
        <v/>
      </c>
      <c r="AV96" s="2" t="str">
        <f t="shared" si="37"/>
        <v/>
      </c>
      <c r="AW96" s="2">
        <f t="shared" si="38"/>
        <v>272.49619267024519</v>
      </c>
      <c r="AX96" s="2" t="str">
        <f t="shared" si="39"/>
        <v/>
      </c>
      <c r="AY96" s="2" t="str">
        <f t="shared" si="40"/>
        <v/>
      </c>
      <c r="AZ96" s="2" t="str">
        <f t="shared" si="41"/>
        <v/>
      </c>
      <c r="BA96" s="2">
        <f t="shared" si="42"/>
        <v>1.3594571804360485E-5</v>
      </c>
      <c r="BB96" s="2" t="str">
        <f t="shared" si="50"/>
        <v/>
      </c>
      <c r="BC96" s="2" t="str">
        <f t="shared" si="50"/>
        <v/>
      </c>
      <c r="BD96" s="2" t="str">
        <f t="shared" si="50"/>
        <v/>
      </c>
      <c r="BE96" s="2">
        <f t="shared" si="50"/>
        <v>2.0391857706540728E-2</v>
      </c>
      <c r="BF96" s="1">
        <f t="shared" si="43"/>
        <v>2.0391857706540728E-2</v>
      </c>
      <c r="BH96" s="2">
        <f t="shared" si="44"/>
        <v>0.1024</v>
      </c>
      <c r="BI96" s="2">
        <f t="shared" si="45"/>
        <v>6.6049000000000015</v>
      </c>
      <c r="BJ96" s="2">
        <f t="shared" si="46"/>
        <v>6.5025000000000013</v>
      </c>
      <c r="BK96" s="1">
        <f t="shared" si="47"/>
        <v>0.81600000000000006</v>
      </c>
      <c r="BM96" s="1">
        <f t="shared" si="48"/>
        <v>0</v>
      </c>
    </row>
    <row r="97" spans="2:65">
      <c r="B97" s="1"/>
      <c r="C97" s="34">
        <v>52</v>
      </c>
      <c r="D97" s="1" t="str">
        <f t="shared" si="4"/>
        <v>胴体</v>
      </c>
      <c r="E97" s="1">
        <f t="shared" si="5"/>
        <v>2.6</v>
      </c>
      <c r="F97" s="1">
        <f t="shared" si="6"/>
        <v>0</v>
      </c>
      <c r="G97" s="1">
        <f t="shared" si="7"/>
        <v>0.32</v>
      </c>
      <c r="H97" s="2">
        <f t="shared" si="49"/>
        <v>45.144254007500003</v>
      </c>
      <c r="I97" s="2">
        <f t="shared" si="49"/>
        <v>40.453428606750002</v>
      </c>
      <c r="J97" s="2">
        <f t="shared" si="49"/>
        <v>43.968254007500001</v>
      </c>
      <c r="K97" s="1">
        <f t="shared" si="49"/>
        <v>39.571428606750004</v>
      </c>
      <c r="L97" s="1"/>
      <c r="M97" s="1"/>
      <c r="N97" s="1"/>
      <c r="O97" s="1"/>
      <c r="P97" s="1"/>
      <c r="Q97" s="1"/>
      <c r="R97" s="2">
        <f t="shared" si="8"/>
        <v>85.062835944683613</v>
      </c>
      <c r="S97" s="2">
        <f t="shared" si="9"/>
        <v>12.462150431909752</v>
      </c>
      <c r="T97" s="147">
        <f t="shared" si="10"/>
        <v>0</v>
      </c>
      <c r="U97" s="147">
        <f t="shared" si="11"/>
        <v>0</v>
      </c>
      <c r="V97" s="2">
        <f t="shared" si="12"/>
        <v>45.144254007500003</v>
      </c>
      <c r="W97" s="2">
        <f t="shared" si="13"/>
        <v>-45.144254007500003</v>
      </c>
      <c r="X97" s="2">
        <f t="shared" si="14"/>
        <v>40.453428606750002</v>
      </c>
      <c r="Y97" s="2">
        <f t="shared" si="15"/>
        <v>-40.453428606750002</v>
      </c>
      <c r="Z97" s="2">
        <f t="shared" si="16"/>
        <v>43.968254007500001</v>
      </c>
      <c r="AA97" s="2">
        <f t="shared" si="17"/>
        <v>-43.968254007500001</v>
      </c>
      <c r="AB97" s="2">
        <f t="shared" si="18"/>
        <v>39.571428606750004</v>
      </c>
      <c r="AC97" s="2">
        <f t="shared" si="19"/>
        <v>-39.571428606750004</v>
      </c>
      <c r="AD97" s="2" t="str">
        <f t="shared" si="20"/>
        <v/>
      </c>
      <c r="AE97" s="2" t="str">
        <f t="shared" si="21"/>
        <v/>
      </c>
      <c r="AF97" s="2" t="str">
        <f t="shared" si="22"/>
        <v/>
      </c>
      <c r="AG97" s="2" t="str">
        <f t="shared" si="2"/>
        <v/>
      </c>
      <c r="AH97" s="2" t="str">
        <f t="shared" si="23"/>
        <v/>
      </c>
      <c r="AI97" s="2" t="str">
        <f t="shared" si="24"/>
        <v/>
      </c>
      <c r="AJ97" s="2" t="str">
        <f t="shared" si="25"/>
        <v/>
      </c>
      <c r="AK97" s="2" t="str">
        <f t="shared" si="26"/>
        <v/>
      </c>
      <c r="AL97" s="2" t="str">
        <f t="shared" si="27"/>
        <v/>
      </c>
      <c r="AM97" s="2" t="str">
        <f t="shared" si="28"/>
        <v/>
      </c>
      <c r="AN97" s="2" t="str">
        <f t="shared" si="29"/>
        <v/>
      </c>
      <c r="AO97" s="2" t="str">
        <f t="shared" si="30"/>
        <v/>
      </c>
      <c r="AP97" s="2">
        <f t="shared" si="31"/>
        <v>90.288508015000005</v>
      </c>
      <c r="AQ97" s="2">
        <f t="shared" si="32"/>
        <v>80.906857213500004</v>
      </c>
      <c r="AR97" s="2">
        <f t="shared" si="33"/>
        <v>87.936508015000001</v>
      </c>
      <c r="AS97" s="2">
        <f t="shared" si="34"/>
        <v>79.142857213500008</v>
      </c>
      <c r="AT97" s="2" t="str">
        <f t="shared" si="35"/>
        <v/>
      </c>
      <c r="AU97" s="2" t="str">
        <f t="shared" si="36"/>
        <v/>
      </c>
      <c r="AV97" s="2" t="str">
        <f t="shared" si="37"/>
        <v/>
      </c>
      <c r="AW97" s="2">
        <f t="shared" si="38"/>
        <v>271.28667950417622</v>
      </c>
      <c r="AX97" s="2" t="str">
        <f t="shared" si="39"/>
        <v/>
      </c>
      <c r="AY97" s="2" t="str">
        <f t="shared" si="40"/>
        <v/>
      </c>
      <c r="AZ97" s="2" t="str">
        <f t="shared" si="41"/>
        <v/>
      </c>
      <c r="BA97" s="2">
        <f t="shared" si="42"/>
        <v>1.3534096146057195E-5</v>
      </c>
      <c r="BB97" s="2" t="str">
        <f t="shared" si="50"/>
        <v/>
      </c>
      <c r="BC97" s="2" t="str">
        <f t="shared" si="50"/>
        <v/>
      </c>
      <c r="BD97" s="2" t="str">
        <f t="shared" si="50"/>
        <v/>
      </c>
      <c r="BE97" s="2">
        <f t="shared" si="50"/>
        <v>2.0301144219085791E-2</v>
      </c>
      <c r="BF97" s="1">
        <f t="shared" si="43"/>
        <v>2.0301144219085791E-2</v>
      </c>
      <c r="BH97" s="2">
        <f t="shared" si="44"/>
        <v>0.1024</v>
      </c>
      <c r="BI97" s="2">
        <f t="shared" si="45"/>
        <v>6.8624000000000009</v>
      </c>
      <c r="BJ97" s="2">
        <f t="shared" si="46"/>
        <v>6.7600000000000007</v>
      </c>
      <c r="BK97" s="1">
        <f t="shared" si="47"/>
        <v>0.83200000000000007</v>
      </c>
      <c r="BM97" s="1">
        <f t="shared" si="48"/>
        <v>0</v>
      </c>
    </row>
    <row r="98" spans="2:65">
      <c r="B98" s="1"/>
      <c r="C98" s="34">
        <v>53</v>
      </c>
      <c r="D98" s="1" t="str">
        <f t="shared" si="4"/>
        <v>胴体</v>
      </c>
      <c r="E98" s="1">
        <f t="shared" si="5"/>
        <v>2.6500000000000004</v>
      </c>
      <c r="F98" s="1">
        <f t="shared" si="6"/>
        <v>0</v>
      </c>
      <c r="G98" s="1">
        <f t="shared" si="7"/>
        <v>0.32</v>
      </c>
      <c r="H98" s="2">
        <f t="shared" si="49"/>
        <v>44.945841309999999</v>
      </c>
      <c r="I98" s="2">
        <f t="shared" si="49"/>
        <v>40.274857178999994</v>
      </c>
      <c r="J98" s="2">
        <f t="shared" si="49"/>
        <v>43.769841309999997</v>
      </c>
      <c r="K98" s="1">
        <f t="shared" si="49"/>
        <v>39.392857178999996</v>
      </c>
      <c r="L98" s="1"/>
      <c r="M98" s="1"/>
      <c r="N98" s="1"/>
      <c r="O98" s="1"/>
      <c r="P98" s="1"/>
      <c r="Q98" s="1"/>
      <c r="R98" s="2">
        <f t="shared" si="8"/>
        <v>85.062835944683613</v>
      </c>
      <c r="S98" s="2">
        <f t="shared" si="9"/>
        <v>12.462150431909752</v>
      </c>
      <c r="T98" s="147">
        <f t="shared" si="10"/>
        <v>0</v>
      </c>
      <c r="U98" s="147">
        <f t="shared" si="11"/>
        <v>0</v>
      </c>
      <c r="V98" s="2">
        <f t="shared" si="12"/>
        <v>44.945841309999999</v>
      </c>
      <c r="W98" s="2">
        <f t="shared" si="13"/>
        <v>-44.945841309999999</v>
      </c>
      <c r="X98" s="2">
        <f t="shared" si="14"/>
        <v>40.274857178999994</v>
      </c>
      <c r="Y98" s="2">
        <f t="shared" si="15"/>
        <v>-40.274857178999994</v>
      </c>
      <c r="Z98" s="2">
        <f t="shared" si="16"/>
        <v>43.769841309999997</v>
      </c>
      <c r="AA98" s="2">
        <f t="shared" si="17"/>
        <v>-43.769841309999997</v>
      </c>
      <c r="AB98" s="2">
        <f t="shared" si="18"/>
        <v>39.392857178999996</v>
      </c>
      <c r="AC98" s="2">
        <f t="shared" si="19"/>
        <v>-39.392857178999996</v>
      </c>
      <c r="AD98" s="2" t="str">
        <f t="shared" si="20"/>
        <v/>
      </c>
      <c r="AE98" s="2" t="str">
        <f t="shared" si="21"/>
        <v/>
      </c>
      <c r="AF98" s="2" t="str">
        <f t="shared" si="22"/>
        <v/>
      </c>
      <c r="AG98" s="2" t="str">
        <f t="shared" si="2"/>
        <v/>
      </c>
      <c r="AH98" s="2" t="str">
        <f t="shared" si="23"/>
        <v/>
      </c>
      <c r="AI98" s="2" t="str">
        <f t="shared" si="24"/>
        <v/>
      </c>
      <c r="AJ98" s="2" t="str">
        <f t="shared" si="25"/>
        <v/>
      </c>
      <c r="AK98" s="2" t="str">
        <f t="shared" si="26"/>
        <v/>
      </c>
      <c r="AL98" s="2" t="str">
        <f t="shared" si="27"/>
        <v/>
      </c>
      <c r="AM98" s="2" t="str">
        <f t="shared" si="28"/>
        <v/>
      </c>
      <c r="AN98" s="2" t="str">
        <f t="shared" si="29"/>
        <v/>
      </c>
      <c r="AO98" s="2" t="str">
        <f t="shared" si="30"/>
        <v/>
      </c>
      <c r="AP98" s="2">
        <f t="shared" si="31"/>
        <v>89.891682619999997</v>
      </c>
      <c r="AQ98" s="2">
        <f t="shared" si="32"/>
        <v>80.549714357999989</v>
      </c>
      <c r="AR98" s="2">
        <f t="shared" si="33"/>
        <v>87.539682619999994</v>
      </c>
      <c r="AS98" s="2">
        <f t="shared" si="34"/>
        <v>78.785714357999993</v>
      </c>
      <c r="AT98" s="2" t="str">
        <f t="shared" si="35"/>
        <v/>
      </c>
      <c r="AU98" s="2" t="str">
        <f t="shared" si="36"/>
        <v/>
      </c>
      <c r="AV98" s="2" t="str">
        <f t="shared" si="37"/>
        <v/>
      </c>
      <c r="AW98" s="2">
        <f t="shared" si="38"/>
        <v>270.07716633810873</v>
      </c>
      <c r="AX98" s="2" t="str">
        <f t="shared" si="39"/>
        <v/>
      </c>
      <c r="AY98" s="2" t="str">
        <f t="shared" si="40"/>
        <v/>
      </c>
      <c r="AZ98" s="2" t="str">
        <f t="shared" si="41"/>
        <v/>
      </c>
      <c r="BA98" s="2">
        <f t="shared" si="42"/>
        <v>1.3473620487753684E-5</v>
      </c>
      <c r="BB98" s="2" t="str">
        <f t="shared" si="50"/>
        <v/>
      </c>
      <c r="BC98" s="2" t="str">
        <f t="shared" si="50"/>
        <v/>
      </c>
      <c r="BD98" s="2" t="str">
        <f t="shared" si="50"/>
        <v/>
      </c>
      <c r="BE98" s="2">
        <f t="shared" si="50"/>
        <v>2.0210430731630525E-2</v>
      </c>
      <c r="BF98" s="1">
        <f t="shared" si="43"/>
        <v>2.0210430731630525E-2</v>
      </c>
      <c r="BH98" s="2">
        <f t="shared" si="44"/>
        <v>0.1024</v>
      </c>
      <c r="BI98" s="2">
        <f t="shared" si="45"/>
        <v>7.124900000000002</v>
      </c>
      <c r="BJ98" s="2">
        <f t="shared" si="46"/>
        <v>7.0225000000000017</v>
      </c>
      <c r="BK98" s="1">
        <f t="shared" si="47"/>
        <v>0.84800000000000009</v>
      </c>
      <c r="BM98" s="1">
        <f t="shared" si="48"/>
        <v>0</v>
      </c>
    </row>
    <row r="99" spans="2:65">
      <c r="B99" s="1"/>
      <c r="C99" s="34">
        <v>54</v>
      </c>
      <c r="D99" s="1" t="str">
        <f t="shared" si="4"/>
        <v>胴体</v>
      </c>
      <c r="E99" s="1">
        <f t="shared" si="5"/>
        <v>2.7</v>
      </c>
      <c r="F99" s="1">
        <f t="shared" si="6"/>
        <v>0</v>
      </c>
      <c r="G99" s="1">
        <f t="shared" si="7"/>
        <v>0.32</v>
      </c>
      <c r="H99" s="2">
        <f t="shared" si="49"/>
        <v>44.747428612500002</v>
      </c>
      <c r="I99" s="2">
        <f t="shared" si="49"/>
        <v>40.096285751250001</v>
      </c>
      <c r="J99" s="2">
        <f t="shared" si="49"/>
        <v>43.5714286125</v>
      </c>
      <c r="K99" s="1">
        <f t="shared" si="49"/>
        <v>39.214285751250003</v>
      </c>
      <c r="L99" s="1"/>
      <c r="M99" s="1"/>
      <c r="N99" s="1"/>
      <c r="O99" s="1"/>
      <c r="P99" s="1"/>
      <c r="Q99" s="1"/>
      <c r="R99" s="2">
        <f t="shared" si="8"/>
        <v>85.062835944683613</v>
      </c>
      <c r="S99" s="2">
        <f t="shared" si="9"/>
        <v>12.462150431909752</v>
      </c>
      <c r="T99" s="147">
        <f t="shared" si="10"/>
        <v>0</v>
      </c>
      <c r="U99" s="147">
        <f t="shared" si="11"/>
        <v>0</v>
      </c>
      <c r="V99" s="2">
        <f t="shared" si="12"/>
        <v>44.747428612500002</v>
      </c>
      <c r="W99" s="2">
        <f t="shared" si="13"/>
        <v>-44.747428612500002</v>
      </c>
      <c r="X99" s="2">
        <f t="shared" si="14"/>
        <v>40.096285751250001</v>
      </c>
      <c r="Y99" s="2">
        <f t="shared" si="15"/>
        <v>-40.096285751250001</v>
      </c>
      <c r="Z99" s="2">
        <f t="shared" si="16"/>
        <v>43.5714286125</v>
      </c>
      <c r="AA99" s="2">
        <f t="shared" si="17"/>
        <v>-43.5714286125</v>
      </c>
      <c r="AB99" s="2">
        <f t="shared" si="18"/>
        <v>39.214285751250003</v>
      </c>
      <c r="AC99" s="2">
        <f t="shared" si="19"/>
        <v>-39.214285751250003</v>
      </c>
      <c r="AD99" s="2" t="str">
        <f t="shared" si="20"/>
        <v/>
      </c>
      <c r="AE99" s="2" t="str">
        <f t="shared" si="21"/>
        <v/>
      </c>
      <c r="AF99" s="2" t="str">
        <f t="shared" si="22"/>
        <v/>
      </c>
      <c r="AG99" s="2" t="str">
        <f t="shared" si="2"/>
        <v/>
      </c>
      <c r="AH99" s="2" t="str">
        <f t="shared" si="23"/>
        <v/>
      </c>
      <c r="AI99" s="2" t="str">
        <f t="shared" si="24"/>
        <v/>
      </c>
      <c r="AJ99" s="2" t="str">
        <f t="shared" si="25"/>
        <v/>
      </c>
      <c r="AK99" s="2" t="str">
        <f t="shared" si="26"/>
        <v/>
      </c>
      <c r="AL99" s="2" t="str">
        <f t="shared" si="27"/>
        <v/>
      </c>
      <c r="AM99" s="2" t="str">
        <f t="shared" si="28"/>
        <v/>
      </c>
      <c r="AN99" s="2" t="str">
        <f t="shared" si="29"/>
        <v/>
      </c>
      <c r="AO99" s="2" t="str">
        <f t="shared" si="30"/>
        <v/>
      </c>
      <c r="AP99" s="2">
        <f t="shared" si="31"/>
        <v>89.494857225000004</v>
      </c>
      <c r="AQ99" s="2">
        <f t="shared" si="32"/>
        <v>80.192571502500002</v>
      </c>
      <c r="AR99" s="2">
        <f t="shared" si="33"/>
        <v>87.142857225</v>
      </c>
      <c r="AS99" s="2">
        <f t="shared" si="34"/>
        <v>78.428571502500006</v>
      </c>
      <c r="AT99" s="2" t="str">
        <f t="shared" si="35"/>
        <v/>
      </c>
      <c r="AU99" s="2" t="str">
        <f t="shared" si="36"/>
        <v/>
      </c>
      <c r="AV99" s="2" t="str">
        <f t="shared" si="37"/>
        <v/>
      </c>
      <c r="AW99" s="2">
        <f t="shared" si="38"/>
        <v>268.86765317204049</v>
      </c>
      <c r="AX99" s="2" t="str">
        <f t="shared" si="39"/>
        <v/>
      </c>
      <c r="AY99" s="2" t="str">
        <f t="shared" si="40"/>
        <v/>
      </c>
      <c r="AZ99" s="2" t="str">
        <f t="shared" si="41"/>
        <v/>
      </c>
      <c r="BA99" s="2">
        <f t="shared" si="42"/>
        <v>1.3413144829450269E-5</v>
      </c>
      <c r="BB99" s="2" t="str">
        <f t="shared" si="50"/>
        <v/>
      </c>
      <c r="BC99" s="2" t="str">
        <f t="shared" si="50"/>
        <v/>
      </c>
      <c r="BD99" s="2" t="str">
        <f t="shared" si="50"/>
        <v/>
      </c>
      <c r="BE99" s="2">
        <f t="shared" si="50"/>
        <v>2.0119717244175404E-2</v>
      </c>
      <c r="BF99" s="1">
        <f t="shared" si="43"/>
        <v>2.0119717244175404E-2</v>
      </c>
      <c r="BH99" s="2">
        <f t="shared" si="44"/>
        <v>0.1024</v>
      </c>
      <c r="BI99" s="2">
        <f t="shared" si="45"/>
        <v>7.3924000000000012</v>
      </c>
      <c r="BJ99" s="2">
        <f t="shared" si="46"/>
        <v>7.2900000000000009</v>
      </c>
      <c r="BK99" s="1">
        <f t="shared" si="47"/>
        <v>0.8640000000000001</v>
      </c>
      <c r="BM99" s="1">
        <f t="shared" si="48"/>
        <v>0</v>
      </c>
    </row>
    <row r="100" spans="2:65">
      <c r="B100" s="1"/>
      <c r="C100" s="34">
        <v>55</v>
      </c>
      <c r="D100" s="1" t="str">
        <f t="shared" si="4"/>
        <v>胴体</v>
      </c>
      <c r="E100" s="1">
        <f t="shared" si="5"/>
        <v>2.75</v>
      </c>
      <c r="F100" s="1">
        <f t="shared" si="6"/>
        <v>0</v>
      </c>
      <c r="G100" s="1">
        <f t="shared" si="7"/>
        <v>0.32</v>
      </c>
      <c r="H100" s="2">
        <f t="shared" si="49"/>
        <v>44.549015914999998</v>
      </c>
      <c r="I100" s="2">
        <f t="shared" si="49"/>
        <v>39.917714323499993</v>
      </c>
      <c r="J100" s="2">
        <f t="shared" si="49"/>
        <v>43.373015914999996</v>
      </c>
      <c r="K100" s="1">
        <f t="shared" si="49"/>
        <v>39.035714323499995</v>
      </c>
      <c r="L100" s="1"/>
      <c r="M100" s="1"/>
      <c r="N100" s="1"/>
      <c r="O100" s="1"/>
      <c r="P100" s="1"/>
      <c r="Q100" s="1"/>
      <c r="R100" s="2">
        <f t="shared" si="8"/>
        <v>85.062835944683613</v>
      </c>
      <c r="S100" s="2">
        <f t="shared" si="9"/>
        <v>12.462150431909752</v>
      </c>
      <c r="T100" s="147">
        <f t="shared" si="10"/>
        <v>0</v>
      </c>
      <c r="U100" s="147">
        <f t="shared" si="11"/>
        <v>0</v>
      </c>
      <c r="V100" s="2">
        <f t="shared" si="12"/>
        <v>44.549015914999998</v>
      </c>
      <c r="W100" s="2">
        <f t="shared" si="13"/>
        <v>-44.549015914999998</v>
      </c>
      <c r="X100" s="2">
        <f t="shared" si="14"/>
        <v>39.917714323499993</v>
      </c>
      <c r="Y100" s="2">
        <f t="shared" si="15"/>
        <v>-39.917714323499993</v>
      </c>
      <c r="Z100" s="2">
        <f t="shared" si="16"/>
        <v>43.373015914999996</v>
      </c>
      <c r="AA100" s="2">
        <f t="shared" si="17"/>
        <v>-43.373015914999996</v>
      </c>
      <c r="AB100" s="2">
        <f t="shared" si="18"/>
        <v>39.035714323499995</v>
      </c>
      <c r="AC100" s="2">
        <f t="shared" si="19"/>
        <v>-39.035714323499995</v>
      </c>
      <c r="AD100" s="2" t="str">
        <f t="shared" si="20"/>
        <v/>
      </c>
      <c r="AE100" s="2" t="str">
        <f t="shared" si="21"/>
        <v/>
      </c>
      <c r="AF100" s="2" t="str">
        <f t="shared" si="22"/>
        <v/>
      </c>
      <c r="AG100" s="2" t="str">
        <f t="shared" si="2"/>
        <v/>
      </c>
      <c r="AH100" s="2" t="str">
        <f t="shared" si="23"/>
        <v/>
      </c>
      <c r="AI100" s="2" t="str">
        <f t="shared" si="24"/>
        <v/>
      </c>
      <c r="AJ100" s="2" t="str">
        <f t="shared" si="25"/>
        <v/>
      </c>
      <c r="AK100" s="2" t="str">
        <f t="shared" si="26"/>
        <v/>
      </c>
      <c r="AL100" s="2" t="str">
        <f t="shared" si="27"/>
        <v/>
      </c>
      <c r="AM100" s="2" t="str">
        <f t="shared" si="28"/>
        <v/>
      </c>
      <c r="AN100" s="2" t="str">
        <f t="shared" si="29"/>
        <v/>
      </c>
      <c r="AO100" s="2" t="str">
        <f t="shared" si="30"/>
        <v/>
      </c>
      <c r="AP100" s="2">
        <f t="shared" si="31"/>
        <v>89.098031829999996</v>
      </c>
      <c r="AQ100" s="2">
        <f t="shared" si="32"/>
        <v>79.835428646999986</v>
      </c>
      <c r="AR100" s="2">
        <f t="shared" si="33"/>
        <v>86.746031829999993</v>
      </c>
      <c r="AS100" s="2">
        <f t="shared" si="34"/>
        <v>78.071428646999991</v>
      </c>
      <c r="AT100" s="2" t="str">
        <f t="shared" si="35"/>
        <v/>
      </c>
      <c r="AU100" s="2" t="str">
        <f t="shared" si="36"/>
        <v/>
      </c>
      <c r="AV100" s="2" t="str">
        <f t="shared" si="37"/>
        <v/>
      </c>
      <c r="AW100" s="2">
        <f t="shared" si="38"/>
        <v>267.6581400059722</v>
      </c>
      <c r="AX100" s="2" t="str">
        <f t="shared" si="39"/>
        <v/>
      </c>
      <c r="AY100" s="2" t="str">
        <f t="shared" si="40"/>
        <v/>
      </c>
      <c r="AZ100" s="2" t="str">
        <f t="shared" si="41"/>
        <v/>
      </c>
      <c r="BA100" s="2">
        <f t="shared" si="42"/>
        <v>1.3352669171146958E-5</v>
      </c>
      <c r="BB100" s="2" t="str">
        <f t="shared" si="50"/>
        <v/>
      </c>
      <c r="BC100" s="2" t="str">
        <f t="shared" si="50"/>
        <v/>
      </c>
      <c r="BD100" s="2" t="str">
        <f t="shared" si="50"/>
        <v/>
      </c>
      <c r="BE100" s="2">
        <f t="shared" si="50"/>
        <v>2.0029003756720436E-2</v>
      </c>
      <c r="BF100" s="1">
        <f t="shared" si="43"/>
        <v>2.0029003756720436E-2</v>
      </c>
      <c r="BH100" s="2">
        <f t="shared" si="44"/>
        <v>0.1024</v>
      </c>
      <c r="BI100" s="2">
        <f t="shared" si="45"/>
        <v>7.6649000000000003</v>
      </c>
      <c r="BJ100" s="2">
        <f t="shared" si="46"/>
        <v>7.5625</v>
      </c>
      <c r="BK100" s="1">
        <f t="shared" si="47"/>
        <v>0.88</v>
      </c>
      <c r="BM100" s="1">
        <f t="shared" si="48"/>
        <v>0</v>
      </c>
    </row>
    <row r="101" spans="2:65">
      <c r="B101" s="1"/>
      <c r="C101" s="34">
        <v>56</v>
      </c>
      <c r="D101" s="1" t="str">
        <f t="shared" si="4"/>
        <v>胴体</v>
      </c>
      <c r="E101" s="1">
        <f t="shared" si="5"/>
        <v>2.8000000000000003</v>
      </c>
      <c r="F101" s="1">
        <f t="shared" si="6"/>
        <v>0</v>
      </c>
      <c r="G101" s="1">
        <f t="shared" si="7"/>
        <v>0.32</v>
      </c>
      <c r="H101" s="2">
        <f t="shared" si="49"/>
        <v>44.350603217500002</v>
      </c>
      <c r="I101" s="2">
        <f t="shared" si="49"/>
        <v>39.73914289575</v>
      </c>
      <c r="J101" s="2">
        <f t="shared" si="49"/>
        <v>43.1746032175</v>
      </c>
      <c r="K101" s="1">
        <f t="shared" si="49"/>
        <v>38.857142895750002</v>
      </c>
      <c r="L101" s="1"/>
      <c r="M101" s="1"/>
      <c r="N101" s="1"/>
      <c r="O101" s="1"/>
      <c r="P101" s="1"/>
      <c r="Q101" s="1"/>
      <c r="R101" s="2">
        <f t="shared" si="8"/>
        <v>85.062835944683613</v>
      </c>
      <c r="S101" s="2">
        <f t="shared" si="9"/>
        <v>12.462150431909752</v>
      </c>
      <c r="T101" s="147">
        <f t="shared" si="10"/>
        <v>0</v>
      </c>
      <c r="U101" s="147">
        <f t="shared" si="11"/>
        <v>0</v>
      </c>
      <c r="V101" s="2">
        <f t="shared" si="12"/>
        <v>44.350603217500002</v>
      </c>
      <c r="W101" s="2">
        <f t="shared" si="13"/>
        <v>-44.350603217500002</v>
      </c>
      <c r="X101" s="2">
        <f t="shared" si="14"/>
        <v>39.73914289575</v>
      </c>
      <c r="Y101" s="2">
        <f t="shared" si="15"/>
        <v>-39.73914289575</v>
      </c>
      <c r="Z101" s="2">
        <f t="shared" si="16"/>
        <v>43.1746032175</v>
      </c>
      <c r="AA101" s="2">
        <f t="shared" si="17"/>
        <v>-43.1746032175</v>
      </c>
      <c r="AB101" s="2">
        <f t="shared" si="18"/>
        <v>38.857142895750002</v>
      </c>
      <c r="AC101" s="2">
        <f t="shared" si="19"/>
        <v>-38.857142895750002</v>
      </c>
      <c r="AD101" s="2" t="str">
        <f t="shared" si="20"/>
        <v/>
      </c>
      <c r="AE101" s="2" t="str">
        <f t="shared" si="21"/>
        <v/>
      </c>
      <c r="AF101" s="2" t="str">
        <f t="shared" si="22"/>
        <v/>
      </c>
      <c r="AG101" s="2" t="str">
        <f t="shared" si="2"/>
        <v/>
      </c>
      <c r="AH101" s="2" t="str">
        <f t="shared" si="23"/>
        <v/>
      </c>
      <c r="AI101" s="2" t="str">
        <f t="shared" si="24"/>
        <v/>
      </c>
      <c r="AJ101" s="2" t="str">
        <f t="shared" si="25"/>
        <v/>
      </c>
      <c r="AK101" s="2" t="str">
        <f t="shared" si="26"/>
        <v/>
      </c>
      <c r="AL101" s="2" t="str">
        <f t="shared" si="27"/>
        <v/>
      </c>
      <c r="AM101" s="2" t="str">
        <f t="shared" si="28"/>
        <v/>
      </c>
      <c r="AN101" s="2" t="str">
        <f t="shared" si="29"/>
        <v/>
      </c>
      <c r="AO101" s="2" t="str">
        <f t="shared" si="30"/>
        <v/>
      </c>
      <c r="AP101" s="2">
        <f t="shared" si="31"/>
        <v>88.701206435000003</v>
      </c>
      <c r="AQ101" s="2">
        <f t="shared" si="32"/>
        <v>79.478285791499999</v>
      </c>
      <c r="AR101" s="2">
        <f t="shared" si="33"/>
        <v>86.349206434999999</v>
      </c>
      <c r="AS101" s="2">
        <f t="shared" si="34"/>
        <v>77.714285791500004</v>
      </c>
      <c r="AT101" s="2" t="str">
        <f t="shared" si="35"/>
        <v/>
      </c>
      <c r="AU101" s="2" t="str">
        <f t="shared" si="36"/>
        <v/>
      </c>
      <c r="AV101" s="2" t="str">
        <f t="shared" si="37"/>
        <v/>
      </c>
      <c r="AW101" s="2">
        <f t="shared" si="38"/>
        <v>266.44862683990328</v>
      </c>
      <c r="AX101" s="2" t="str">
        <f t="shared" si="39"/>
        <v/>
      </c>
      <c r="AY101" s="2" t="str">
        <f t="shared" si="40"/>
        <v/>
      </c>
      <c r="AZ101" s="2" t="str">
        <f t="shared" si="41"/>
        <v/>
      </c>
      <c r="BA101" s="2">
        <f t="shared" si="42"/>
        <v>1.3292193512843413E-5</v>
      </c>
      <c r="BB101" s="2" t="str">
        <f t="shared" si="50"/>
        <v/>
      </c>
      <c r="BC101" s="2" t="str">
        <f t="shared" si="50"/>
        <v/>
      </c>
      <c r="BD101" s="2" t="str">
        <f t="shared" si="50"/>
        <v/>
      </c>
      <c r="BE101" s="2">
        <f t="shared" si="50"/>
        <v>1.9938290269265121E-2</v>
      </c>
      <c r="BF101" s="1">
        <f t="shared" si="43"/>
        <v>1.9938290269265121E-2</v>
      </c>
      <c r="BH101" s="2">
        <f t="shared" si="44"/>
        <v>0.1024</v>
      </c>
      <c r="BI101" s="2">
        <f t="shared" si="45"/>
        <v>7.9424000000000019</v>
      </c>
      <c r="BJ101" s="2">
        <f t="shared" si="46"/>
        <v>7.8400000000000016</v>
      </c>
      <c r="BK101" s="1">
        <f t="shared" si="47"/>
        <v>0.89600000000000013</v>
      </c>
      <c r="BM101" s="1">
        <f t="shared" si="48"/>
        <v>0</v>
      </c>
    </row>
    <row r="102" spans="2:65">
      <c r="B102" s="1"/>
      <c r="C102" s="34">
        <v>57</v>
      </c>
      <c r="D102" s="1" t="str">
        <f t="shared" si="4"/>
        <v>胴体</v>
      </c>
      <c r="E102" s="1">
        <f t="shared" si="5"/>
        <v>2.85</v>
      </c>
      <c r="F102" s="1">
        <f t="shared" si="6"/>
        <v>0</v>
      </c>
      <c r="G102" s="1">
        <f t="shared" si="7"/>
        <v>0.32</v>
      </c>
      <c r="H102" s="2">
        <f t="shared" si="49"/>
        <v>44.152190520000005</v>
      </c>
      <c r="I102" s="2">
        <f t="shared" si="49"/>
        <v>39.560571467999999</v>
      </c>
      <c r="J102" s="2">
        <f t="shared" si="49"/>
        <v>42.976190520000003</v>
      </c>
      <c r="K102" s="1">
        <f t="shared" si="49"/>
        <v>38.678571468000001</v>
      </c>
      <c r="L102" s="1"/>
      <c r="M102" s="1"/>
      <c r="N102" s="1"/>
      <c r="O102" s="1"/>
      <c r="P102" s="1"/>
      <c r="Q102" s="1"/>
      <c r="R102" s="2">
        <f t="shared" si="8"/>
        <v>85.062835944683613</v>
      </c>
      <c r="S102" s="2">
        <f t="shared" si="9"/>
        <v>12.462150431909752</v>
      </c>
      <c r="T102" s="147">
        <f t="shared" si="10"/>
        <v>0</v>
      </c>
      <c r="U102" s="147">
        <f t="shared" si="11"/>
        <v>0</v>
      </c>
      <c r="V102" s="2">
        <f t="shared" si="12"/>
        <v>44.152190520000005</v>
      </c>
      <c r="W102" s="2">
        <f t="shared" si="13"/>
        <v>-44.152190520000005</v>
      </c>
      <c r="X102" s="2">
        <f t="shared" si="14"/>
        <v>39.560571467999999</v>
      </c>
      <c r="Y102" s="2">
        <f t="shared" si="15"/>
        <v>-39.560571467999999</v>
      </c>
      <c r="Z102" s="2">
        <f t="shared" si="16"/>
        <v>42.976190520000003</v>
      </c>
      <c r="AA102" s="2">
        <f t="shared" si="17"/>
        <v>-42.976190520000003</v>
      </c>
      <c r="AB102" s="2">
        <f t="shared" si="18"/>
        <v>38.678571468000001</v>
      </c>
      <c r="AC102" s="2">
        <f t="shared" si="19"/>
        <v>-38.678571468000001</v>
      </c>
      <c r="AD102" s="2" t="str">
        <f t="shared" si="20"/>
        <v/>
      </c>
      <c r="AE102" s="2" t="str">
        <f t="shared" si="21"/>
        <v/>
      </c>
      <c r="AF102" s="2" t="str">
        <f t="shared" si="22"/>
        <v/>
      </c>
      <c r="AG102" s="2" t="str">
        <f t="shared" si="2"/>
        <v/>
      </c>
      <c r="AH102" s="2" t="str">
        <f t="shared" si="23"/>
        <v/>
      </c>
      <c r="AI102" s="2" t="str">
        <f t="shared" si="24"/>
        <v/>
      </c>
      <c r="AJ102" s="2" t="str">
        <f t="shared" si="25"/>
        <v/>
      </c>
      <c r="AK102" s="2" t="str">
        <f t="shared" si="26"/>
        <v/>
      </c>
      <c r="AL102" s="2" t="str">
        <f t="shared" si="27"/>
        <v/>
      </c>
      <c r="AM102" s="2" t="str">
        <f t="shared" si="28"/>
        <v/>
      </c>
      <c r="AN102" s="2" t="str">
        <f t="shared" si="29"/>
        <v/>
      </c>
      <c r="AO102" s="2" t="str">
        <f t="shared" si="30"/>
        <v/>
      </c>
      <c r="AP102" s="2">
        <f t="shared" si="31"/>
        <v>88.30438104000001</v>
      </c>
      <c r="AQ102" s="2">
        <f t="shared" si="32"/>
        <v>79.121142935999998</v>
      </c>
      <c r="AR102" s="2">
        <f t="shared" si="33"/>
        <v>85.952381040000006</v>
      </c>
      <c r="AS102" s="2">
        <f t="shared" si="34"/>
        <v>77.357142936000002</v>
      </c>
      <c r="AT102" s="2" t="str">
        <f t="shared" si="35"/>
        <v/>
      </c>
      <c r="AU102" s="2" t="str">
        <f t="shared" si="36"/>
        <v/>
      </c>
      <c r="AV102" s="2" t="str">
        <f t="shared" si="37"/>
        <v/>
      </c>
      <c r="AW102" s="2">
        <f t="shared" si="38"/>
        <v>265.23911367383505</v>
      </c>
      <c r="AX102" s="2" t="str">
        <f t="shared" si="39"/>
        <v/>
      </c>
      <c r="AY102" s="2" t="str">
        <f t="shared" si="40"/>
        <v/>
      </c>
      <c r="AZ102" s="2" t="str">
        <f t="shared" si="41"/>
        <v/>
      </c>
      <c r="BA102" s="2">
        <f t="shared" si="42"/>
        <v>1.3231717854540116E-5</v>
      </c>
      <c r="BB102" s="2" t="str">
        <f t="shared" si="50"/>
        <v/>
      </c>
      <c r="BC102" s="2" t="str">
        <f t="shared" si="50"/>
        <v/>
      </c>
      <c r="BD102" s="2" t="str">
        <f t="shared" si="50"/>
        <v/>
      </c>
      <c r="BE102" s="2">
        <f t="shared" si="50"/>
        <v>1.9847576781810174E-2</v>
      </c>
      <c r="BF102" s="1">
        <f t="shared" si="43"/>
        <v>1.9847576781810174E-2</v>
      </c>
      <c r="BH102" s="2">
        <f t="shared" si="44"/>
        <v>0.1024</v>
      </c>
      <c r="BI102" s="2">
        <f t="shared" si="45"/>
        <v>8.2248999999999999</v>
      </c>
      <c r="BJ102" s="2">
        <f t="shared" si="46"/>
        <v>8.1225000000000005</v>
      </c>
      <c r="BK102" s="1">
        <f t="shared" si="47"/>
        <v>0.91200000000000003</v>
      </c>
      <c r="BM102" s="1">
        <f t="shared" si="48"/>
        <v>0</v>
      </c>
    </row>
    <row r="103" spans="2:65">
      <c r="B103" s="1"/>
      <c r="C103" s="34">
        <v>58</v>
      </c>
      <c r="D103" s="1" t="str">
        <f t="shared" si="4"/>
        <v>胴体</v>
      </c>
      <c r="E103" s="1">
        <f t="shared" si="5"/>
        <v>2.9000000000000004</v>
      </c>
      <c r="F103" s="1">
        <f t="shared" si="6"/>
        <v>0</v>
      </c>
      <c r="G103" s="1">
        <f t="shared" si="7"/>
        <v>0.32</v>
      </c>
      <c r="H103" s="2">
        <f t="shared" si="49"/>
        <v>43.953777822500001</v>
      </c>
      <c r="I103" s="2">
        <f t="shared" si="49"/>
        <v>39.382000040249999</v>
      </c>
      <c r="J103" s="2">
        <f t="shared" si="49"/>
        <v>42.777777822499999</v>
      </c>
      <c r="K103" s="1">
        <f t="shared" si="49"/>
        <v>38.500000040250001</v>
      </c>
      <c r="L103" s="1"/>
      <c r="M103" s="1"/>
      <c r="N103" s="1"/>
      <c r="O103" s="1"/>
      <c r="P103" s="1"/>
      <c r="Q103" s="1"/>
      <c r="R103" s="2">
        <f t="shared" si="8"/>
        <v>85.062835944683613</v>
      </c>
      <c r="S103" s="2">
        <f t="shared" si="9"/>
        <v>12.462150431909752</v>
      </c>
      <c r="T103" s="147">
        <f t="shared" si="10"/>
        <v>0</v>
      </c>
      <c r="U103" s="147">
        <f t="shared" si="11"/>
        <v>0</v>
      </c>
      <c r="V103" s="2">
        <f t="shared" si="12"/>
        <v>43.953777822500001</v>
      </c>
      <c r="W103" s="2">
        <f t="shared" si="13"/>
        <v>-43.953777822500001</v>
      </c>
      <c r="X103" s="2">
        <f t="shared" si="14"/>
        <v>39.382000040249999</v>
      </c>
      <c r="Y103" s="2">
        <f t="shared" si="15"/>
        <v>-39.382000040249999</v>
      </c>
      <c r="Z103" s="2">
        <f t="shared" si="16"/>
        <v>42.777777822499999</v>
      </c>
      <c r="AA103" s="2">
        <f t="shared" si="17"/>
        <v>-42.777777822499999</v>
      </c>
      <c r="AB103" s="2">
        <f t="shared" si="18"/>
        <v>38.500000040250001</v>
      </c>
      <c r="AC103" s="2">
        <f t="shared" si="19"/>
        <v>-38.500000040250001</v>
      </c>
      <c r="AD103" s="2" t="str">
        <f t="shared" si="20"/>
        <v/>
      </c>
      <c r="AE103" s="2" t="str">
        <f t="shared" si="21"/>
        <v/>
      </c>
      <c r="AF103" s="2" t="str">
        <f t="shared" si="22"/>
        <v/>
      </c>
      <c r="AG103" s="2" t="str">
        <f t="shared" si="2"/>
        <v/>
      </c>
      <c r="AH103" s="2" t="str">
        <f t="shared" si="23"/>
        <v/>
      </c>
      <c r="AI103" s="2" t="str">
        <f t="shared" si="24"/>
        <v/>
      </c>
      <c r="AJ103" s="2" t="str">
        <f t="shared" si="25"/>
        <v/>
      </c>
      <c r="AK103" s="2" t="str">
        <f t="shared" si="26"/>
        <v/>
      </c>
      <c r="AL103" s="2" t="str">
        <f t="shared" si="27"/>
        <v/>
      </c>
      <c r="AM103" s="2" t="str">
        <f t="shared" si="28"/>
        <v/>
      </c>
      <c r="AN103" s="2" t="str">
        <f t="shared" si="29"/>
        <v/>
      </c>
      <c r="AO103" s="2" t="str">
        <f t="shared" si="30"/>
        <v/>
      </c>
      <c r="AP103" s="2">
        <f t="shared" si="31"/>
        <v>87.907555645000002</v>
      </c>
      <c r="AQ103" s="2">
        <f t="shared" si="32"/>
        <v>78.764000080499997</v>
      </c>
      <c r="AR103" s="2">
        <f t="shared" si="33"/>
        <v>85.555555644999998</v>
      </c>
      <c r="AS103" s="2">
        <f t="shared" si="34"/>
        <v>77.000000080500001</v>
      </c>
      <c r="AT103" s="2" t="str">
        <f t="shared" si="35"/>
        <v/>
      </c>
      <c r="AU103" s="2" t="str">
        <f t="shared" si="36"/>
        <v/>
      </c>
      <c r="AV103" s="2" t="str">
        <f t="shared" si="37"/>
        <v/>
      </c>
      <c r="AW103" s="2">
        <f t="shared" si="38"/>
        <v>264.02960050776682</v>
      </c>
      <c r="AX103" s="2" t="str">
        <f t="shared" si="39"/>
        <v/>
      </c>
      <c r="AY103" s="2" t="str">
        <f t="shared" si="40"/>
        <v/>
      </c>
      <c r="AZ103" s="2" t="str">
        <f t="shared" si="41"/>
        <v/>
      </c>
      <c r="BA103" s="2">
        <f t="shared" si="42"/>
        <v>1.317124219623659E-5</v>
      </c>
      <c r="BB103" s="2" t="str">
        <f t="shared" si="50"/>
        <v/>
      </c>
      <c r="BC103" s="2" t="str">
        <f t="shared" si="50"/>
        <v/>
      </c>
      <c r="BD103" s="2" t="str">
        <f t="shared" si="50"/>
        <v/>
      </c>
      <c r="BE103" s="2">
        <f t="shared" si="50"/>
        <v>1.9756863294354884E-2</v>
      </c>
      <c r="BF103" s="1">
        <f t="shared" si="43"/>
        <v>1.9756863294354884E-2</v>
      </c>
      <c r="BH103" s="2">
        <f t="shared" si="44"/>
        <v>0.1024</v>
      </c>
      <c r="BI103" s="2">
        <f t="shared" si="45"/>
        <v>8.5124000000000013</v>
      </c>
      <c r="BJ103" s="2">
        <f t="shared" si="46"/>
        <v>8.4100000000000019</v>
      </c>
      <c r="BK103" s="1">
        <f t="shared" si="47"/>
        <v>0.92800000000000016</v>
      </c>
      <c r="BM103" s="1">
        <f t="shared" si="48"/>
        <v>0</v>
      </c>
    </row>
    <row r="104" spans="2:65">
      <c r="B104" s="1"/>
      <c r="C104" s="34">
        <v>59</v>
      </c>
      <c r="D104" s="1" t="str">
        <f t="shared" si="4"/>
        <v>胴体</v>
      </c>
      <c r="E104" s="1">
        <f t="shared" si="5"/>
        <v>2.95</v>
      </c>
      <c r="F104" s="1">
        <f t="shared" si="6"/>
        <v>0</v>
      </c>
      <c r="G104" s="1">
        <f t="shared" si="7"/>
        <v>0.32</v>
      </c>
      <c r="H104" s="2">
        <f t="shared" si="49"/>
        <v>43.755365124999997</v>
      </c>
      <c r="I104" s="2">
        <f t="shared" si="49"/>
        <v>39.203428612499998</v>
      </c>
      <c r="J104" s="2">
        <f t="shared" si="49"/>
        <v>42.579365124999995</v>
      </c>
      <c r="K104" s="1">
        <f t="shared" si="49"/>
        <v>38.3214286125</v>
      </c>
      <c r="L104" s="1"/>
      <c r="M104" s="1"/>
      <c r="N104" s="1"/>
      <c r="O104" s="1"/>
      <c r="P104" s="1"/>
      <c r="Q104" s="1"/>
      <c r="R104" s="2">
        <f t="shared" si="8"/>
        <v>85.062835944683613</v>
      </c>
      <c r="S104" s="2">
        <f t="shared" si="9"/>
        <v>12.462150431909752</v>
      </c>
      <c r="T104" s="147">
        <f t="shared" si="10"/>
        <v>0</v>
      </c>
      <c r="U104" s="147">
        <f t="shared" si="11"/>
        <v>0</v>
      </c>
      <c r="V104" s="2">
        <f t="shared" si="12"/>
        <v>43.755365124999997</v>
      </c>
      <c r="W104" s="2">
        <f t="shared" si="13"/>
        <v>-43.755365124999997</v>
      </c>
      <c r="X104" s="2">
        <f t="shared" si="14"/>
        <v>39.203428612499998</v>
      </c>
      <c r="Y104" s="2">
        <f t="shared" si="15"/>
        <v>-39.203428612499998</v>
      </c>
      <c r="Z104" s="2">
        <f t="shared" si="16"/>
        <v>42.579365124999995</v>
      </c>
      <c r="AA104" s="2">
        <f t="shared" si="17"/>
        <v>-42.579365124999995</v>
      </c>
      <c r="AB104" s="2">
        <f t="shared" si="18"/>
        <v>38.3214286125</v>
      </c>
      <c r="AC104" s="2">
        <f t="shared" si="19"/>
        <v>-38.3214286125</v>
      </c>
      <c r="AD104" s="2" t="str">
        <f t="shared" si="20"/>
        <v/>
      </c>
      <c r="AE104" s="2" t="str">
        <f t="shared" si="21"/>
        <v/>
      </c>
      <c r="AF104" s="2" t="str">
        <f t="shared" si="22"/>
        <v/>
      </c>
      <c r="AG104" s="2" t="str">
        <f t="shared" si="2"/>
        <v/>
      </c>
      <c r="AH104" s="2" t="str">
        <f t="shared" si="23"/>
        <v/>
      </c>
      <c r="AI104" s="2" t="str">
        <f t="shared" si="24"/>
        <v/>
      </c>
      <c r="AJ104" s="2" t="str">
        <f t="shared" si="25"/>
        <v/>
      </c>
      <c r="AK104" s="2" t="str">
        <f t="shared" si="26"/>
        <v/>
      </c>
      <c r="AL104" s="2" t="str">
        <f t="shared" si="27"/>
        <v/>
      </c>
      <c r="AM104" s="2" t="str">
        <f t="shared" si="28"/>
        <v/>
      </c>
      <c r="AN104" s="2" t="str">
        <f t="shared" si="29"/>
        <v/>
      </c>
      <c r="AO104" s="2" t="str">
        <f t="shared" si="30"/>
        <v/>
      </c>
      <c r="AP104" s="2">
        <f t="shared" si="31"/>
        <v>87.510730249999995</v>
      </c>
      <c r="AQ104" s="2">
        <f t="shared" si="32"/>
        <v>78.406857224999996</v>
      </c>
      <c r="AR104" s="2">
        <f t="shared" si="33"/>
        <v>85.158730249999991</v>
      </c>
      <c r="AS104" s="2">
        <f t="shared" si="34"/>
        <v>76.642857225</v>
      </c>
      <c r="AT104" s="2" t="str">
        <f t="shared" si="35"/>
        <v/>
      </c>
      <c r="AU104" s="2" t="str">
        <f t="shared" si="36"/>
        <v/>
      </c>
      <c r="AV104" s="2" t="str">
        <f t="shared" si="37"/>
        <v/>
      </c>
      <c r="AW104" s="2">
        <f t="shared" si="38"/>
        <v>262.82008734169858</v>
      </c>
      <c r="AX104" s="2" t="str">
        <f t="shared" si="39"/>
        <v/>
      </c>
      <c r="AY104" s="2" t="str">
        <f t="shared" si="40"/>
        <v/>
      </c>
      <c r="AZ104" s="2" t="str">
        <f t="shared" si="41"/>
        <v/>
      </c>
      <c r="BA104" s="2">
        <f t="shared" si="42"/>
        <v>1.3110766537933174E-5</v>
      </c>
      <c r="BB104" s="2" t="str">
        <f t="shared" si="50"/>
        <v/>
      </c>
      <c r="BC104" s="2" t="str">
        <f t="shared" si="50"/>
        <v/>
      </c>
      <c r="BD104" s="2" t="str">
        <f t="shared" si="50"/>
        <v/>
      </c>
      <c r="BE104" s="2">
        <f t="shared" si="50"/>
        <v>1.9666149806899763E-2</v>
      </c>
      <c r="BF104" s="1">
        <f t="shared" si="43"/>
        <v>1.9666149806899763E-2</v>
      </c>
      <c r="BH104" s="2">
        <f t="shared" si="44"/>
        <v>0.1024</v>
      </c>
      <c r="BI104" s="2">
        <f t="shared" si="45"/>
        <v>8.8048999999999999</v>
      </c>
      <c r="BJ104" s="2">
        <f t="shared" si="46"/>
        <v>8.7025000000000006</v>
      </c>
      <c r="BK104" s="1">
        <f t="shared" si="47"/>
        <v>0.94400000000000006</v>
      </c>
      <c r="BM104" s="1">
        <f t="shared" si="48"/>
        <v>0</v>
      </c>
    </row>
    <row r="105" spans="2:65">
      <c r="B105" s="1"/>
      <c r="C105" s="34">
        <v>60</v>
      </c>
      <c r="D105" s="1" t="str">
        <f t="shared" si="4"/>
        <v>胴体</v>
      </c>
      <c r="E105" s="1">
        <f t="shared" si="5"/>
        <v>3</v>
      </c>
      <c r="F105" s="1">
        <f t="shared" si="6"/>
        <v>0</v>
      </c>
      <c r="G105" s="1">
        <f t="shared" si="7"/>
        <v>0.32</v>
      </c>
      <c r="H105" s="2">
        <f t="shared" si="49"/>
        <v>43.556952427500001</v>
      </c>
      <c r="I105" s="2">
        <f t="shared" si="49"/>
        <v>39.024857184749997</v>
      </c>
      <c r="J105" s="2">
        <f t="shared" si="49"/>
        <v>42.380952427499999</v>
      </c>
      <c r="K105" s="1">
        <f t="shared" si="49"/>
        <v>38.14285718475</v>
      </c>
      <c r="L105" s="1"/>
      <c r="M105" s="1"/>
      <c r="N105" s="1"/>
      <c r="O105" s="1"/>
      <c r="P105" s="1"/>
      <c r="Q105" s="1"/>
      <c r="R105" s="2">
        <f t="shared" si="8"/>
        <v>85.062835944683613</v>
      </c>
      <c r="S105" s="2">
        <f t="shared" si="9"/>
        <v>12.462150431909752</v>
      </c>
      <c r="T105" s="147">
        <f t="shared" si="10"/>
        <v>0</v>
      </c>
      <c r="U105" s="147">
        <f t="shared" si="11"/>
        <v>0</v>
      </c>
      <c r="V105" s="2">
        <f t="shared" si="12"/>
        <v>43.556952427500001</v>
      </c>
      <c r="W105" s="2">
        <f t="shared" si="13"/>
        <v>-43.556952427500001</v>
      </c>
      <c r="X105" s="2">
        <f t="shared" si="14"/>
        <v>39.024857184749997</v>
      </c>
      <c r="Y105" s="2">
        <f t="shared" si="15"/>
        <v>-39.024857184749997</v>
      </c>
      <c r="Z105" s="2">
        <f t="shared" si="16"/>
        <v>42.380952427499999</v>
      </c>
      <c r="AA105" s="2">
        <f t="shared" si="17"/>
        <v>-42.380952427499999</v>
      </c>
      <c r="AB105" s="2">
        <f t="shared" si="18"/>
        <v>38.14285718475</v>
      </c>
      <c r="AC105" s="2">
        <f t="shared" si="19"/>
        <v>-38.14285718475</v>
      </c>
      <c r="AD105" s="2" t="str">
        <f t="shared" si="20"/>
        <v/>
      </c>
      <c r="AE105" s="2" t="str">
        <f t="shared" si="21"/>
        <v/>
      </c>
      <c r="AF105" s="2" t="str">
        <f t="shared" si="22"/>
        <v/>
      </c>
      <c r="AG105" s="2" t="str">
        <f t="shared" si="2"/>
        <v/>
      </c>
      <c r="AH105" s="2" t="str">
        <f t="shared" si="23"/>
        <v/>
      </c>
      <c r="AI105" s="2" t="str">
        <f t="shared" si="24"/>
        <v/>
      </c>
      <c r="AJ105" s="2" t="str">
        <f t="shared" si="25"/>
        <v/>
      </c>
      <c r="AK105" s="2" t="str">
        <f t="shared" si="26"/>
        <v/>
      </c>
      <c r="AL105" s="2" t="str">
        <f t="shared" si="27"/>
        <v/>
      </c>
      <c r="AM105" s="2" t="str">
        <f t="shared" si="28"/>
        <v/>
      </c>
      <c r="AN105" s="2" t="str">
        <f t="shared" si="29"/>
        <v/>
      </c>
      <c r="AO105" s="2" t="str">
        <f t="shared" si="30"/>
        <v/>
      </c>
      <c r="AP105" s="2">
        <f t="shared" si="31"/>
        <v>87.113904855000001</v>
      </c>
      <c r="AQ105" s="2">
        <f t="shared" si="32"/>
        <v>78.049714369499995</v>
      </c>
      <c r="AR105" s="2">
        <f t="shared" si="33"/>
        <v>84.761904854999997</v>
      </c>
      <c r="AS105" s="2">
        <f t="shared" si="34"/>
        <v>76.285714369499999</v>
      </c>
      <c r="AT105" s="2" t="str">
        <f t="shared" si="35"/>
        <v/>
      </c>
      <c r="AU105" s="2" t="str">
        <f t="shared" si="36"/>
        <v/>
      </c>
      <c r="AV105" s="2" t="str">
        <f t="shared" si="37"/>
        <v/>
      </c>
      <c r="AW105" s="2">
        <f t="shared" si="38"/>
        <v>261.61057417563029</v>
      </c>
      <c r="AX105" s="2" t="str">
        <f t="shared" si="39"/>
        <v/>
      </c>
      <c r="AY105" s="2" t="str">
        <f t="shared" si="40"/>
        <v/>
      </c>
      <c r="AZ105" s="2" t="str">
        <f t="shared" si="41"/>
        <v/>
      </c>
      <c r="BA105" s="2">
        <f t="shared" si="42"/>
        <v>1.3050290879629876E-5</v>
      </c>
      <c r="BB105" s="2" t="str">
        <f t="shared" si="50"/>
        <v/>
      </c>
      <c r="BC105" s="2" t="str">
        <f t="shared" si="50"/>
        <v/>
      </c>
      <c r="BD105" s="2" t="str">
        <f t="shared" si="50"/>
        <v/>
      </c>
      <c r="BE105" s="2">
        <f t="shared" si="50"/>
        <v>1.9575436319444812E-2</v>
      </c>
      <c r="BF105" s="1">
        <f t="shared" si="43"/>
        <v>1.9575436319444812E-2</v>
      </c>
      <c r="BH105" s="2">
        <f t="shared" si="44"/>
        <v>0.1024</v>
      </c>
      <c r="BI105" s="2">
        <f t="shared" si="45"/>
        <v>9.1023999999999994</v>
      </c>
      <c r="BJ105" s="2">
        <f t="shared" si="46"/>
        <v>9</v>
      </c>
      <c r="BK105" s="1">
        <f t="shared" si="47"/>
        <v>0.96</v>
      </c>
      <c r="BM105" s="1">
        <f t="shared" si="48"/>
        <v>0</v>
      </c>
    </row>
    <row r="106" spans="2:65">
      <c r="B106" s="1"/>
      <c r="C106" s="34">
        <v>61</v>
      </c>
      <c r="D106" s="1" t="str">
        <f t="shared" si="4"/>
        <v>胴体</v>
      </c>
      <c r="E106" s="1">
        <f t="shared" si="5"/>
        <v>3.0500000000000003</v>
      </c>
      <c r="F106" s="1">
        <f t="shared" si="6"/>
        <v>0</v>
      </c>
      <c r="G106" s="1">
        <f t="shared" si="7"/>
        <v>0.32</v>
      </c>
      <c r="H106" s="2">
        <f t="shared" si="49"/>
        <v>43.358539730000004</v>
      </c>
      <c r="I106" s="2">
        <f t="shared" si="49"/>
        <v>38.846285757000004</v>
      </c>
      <c r="J106" s="2">
        <f t="shared" si="49"/>
        <v>42.182539730000002</v>
      </c>
      <c r="K106" s="1">
        <f t="shared" si="49"/>
        <v>37.964285757000006</v>
      </c>
      <c r="L106" s="1"/>
      <c r="M106" s="1"/>
      <c r="N106" s="1"/>
      <c r="O106" s="1"/>
      <c r="P106" s="1"/>
      <c r="Q106" s="1"/>
      <c r="R106" s="2">
        <f t="shared" si="8"/>
        <v>85.062835944683613</v>
      </c>
      <c r="S106" s="2">
        <f t="shared" si="9"/>
        <v>12.462150431909752</v>
      </c>
      <c r="T106" s="147">
        <f t="shared" si="10"/>
        <v>0</v>
      </c>
      <c r="U106" s="147">
        <f t="shared" si="11"/>
        <v>0</v>
      </c>
      <c r="V106" s="2">
        <f t="shared" si="12"/>
        <v>43.358539730000004</v>
      </c>
      <c r="W106" s="2">
        <f t="shared" si="13"/>
        <v>-43.358539730000004</v>
      </c>
      <c r="X106" s="2">
        <f t="shared" si="14"/>
        <v>38.846285757000004</v>
      </c>
      <c r="Y106" s="2">
        <f t="shared" si="15"/>
        <v>-38.846285757000004</v>
      </c>
      <c r="Z106" s="2">
        <f t="shared" si="16"/>
        <v>42.182539730000002</v>
      </c>
      <c r="AA106" s="2">
        <f t="shared" si="17"/>
        <v>-42.182539730000002</v>
      </c>
      <c r="AB106" s="2">
        <f t="shared" si="18"/>
        <v>37.964285757000006</v>
      </c>
      <c r="AC106" s="2">
        <f t="shared" si="19"/>
        <v>-37.964285757000006</v>
      </c>
      <c r="AD106" s="2" t="str">
        <f t="shared" si="20"/>
        <v/>
      </c>
      <c r="AE106" s="2" t="str">
        <f t="shared" si="21"/>
        <v/>
      </c>
      <c r="AF106" s="2" t="str">
        <f t="shared" si="22"/>
        <v/>
      </c>
      <c r="AG106" s="2" t="str">
        <f t="shared" si="2"/>
        <v/>
      </c>
      <c r="AH106" s="2" t="str">
        <f t="shared" si="23"/>
        <v/>
      </c>
      <c r="AI106" s="2" t="str">
        <f t="shared" si="24"/>
        <v/>
      </c>
      <c r="AJ106" s="2" t="str">
        <f t="shared" si="25"/>
        <v/>
      </c>
      <c r="AK106" s="2" t="str">
        <f t="shared" si="26"/>
        <v/>
      </c>
      <c r="AL106" s="2" t="str">
        <f t="shared" si="27"/>
        <v/>
      </c>
      <c r="AM106" s="2" t="str">
        <f t="shared" si="28"/>
        <v/>
      </c>
      <c r="AN106" s="2" t="str">
        <f t="shared" si="29"/>
        <v/>
      </c>
      <c r="AO106" s="2" t="str">
        <f t="shared" si="30"/>
        <v/>
      </c>
      <c r="AP106" s="2">
        <f t="shared" si="31"/>
        <v>86.717079460000008</v>
      </c>
      <c r="AQ106" s="2">
        <f t="shared" si="32"/>
        <v>77.692571514000008</v>
      </c>
      <c r="AR106" s="2">
        <f t="shared" si="33"/>
        <v>84.365079460000004</v>
      </c>
      <c r="AS106" s="2">
        <f t="shared" si="34"/>
        <v>75.928571514000012</v>
      </c>
      <c r="AT106" s="2" t="str">
        <f t="shared" si="35"/>
        <v/>
      </c>
      <c r="AU106" s="2" t="str">
        <f t="shared" si="36"/>
        <v/>
      </c>
      <c r="AV106" s="2" t="str">
        <f t="shared" si="37"/>
        <v/>
      </c>
      <c r="AW106" s="2">
        <f t="shared" si="38"/>
        <v>260.40106100956206</v>
      </c>
      <c r="AX106" s="2" t="str">
        <f t="shared" si="39"/>
        <v/>
      </c>
      <c r="AY106" s="2" t="str">
        <f t="shared" si="40"/>
        <v/>
      </c>
      <c r="AZ106" s="2" t="str">
        <f t="shared" si="41"/>
        <v/>
      </c>
      <c r="BA106" s="2">
        <f t="shared" si="42"/>
        <v>1.2989815221326351E-5</v>
      </c>
      <c r="BB106" s="2" t="str">
        <f t="shared" si="50"/>
        <v/>
      </c>
      <c r="BC106" s="2" t="str">
        <f t="shared" si="50"/>
        <v/>
      </c>
      <c r="BD106" s="2" t="str">
        <f t="shared" si="50"/>
        <v/>
      </c>
      <c r="BE106" s="2">
        <f t="shared" si="50"/>
        <v>1.9484722831989529E-2</v>
      </c>
      <c r="BF106" s="1">
        <f t="shared" si="43"/>
        <v>1.9484722831989529E-2</v>
      </c>
      <c r="BH106" s="2">
        <f t="shared" si="44"/>
        <v>0.1024</v>
      </c>
      <c r="BI106" s="2">
        <f t="shared" si="45"/>
        <v>9.4049000000000014</v>
      </c>
      <c r="BJ106" s="2">
        <f t="shared" si="46"/>
        <v>9.302500000000002</v>
      </c>
      <c r="BK106" s="1">
        <f t="shared" si="47"/>
        <v>0.97600000000000009</v>
      </c>
      <c r="BM106" s="1">
        <f t="shared" si="48"/>
        <v>0</v>
      </c>
    </row>
    <row r="107" spans="2:65">
      <c r="B107" s="1"/>
      <c r="C107" s="34">
        <v>62</v>
      </c>
      <c r="D107" s="1" t="str">
        <f t="shared" si="4"/>
        <v>胴体</v>
      </c>
      <c r="E107" s="1">
        <f t="shared" si="5"/>
        <v>3.1</v>
      </c>
      <c r="F107" s="1">
        <f t="shared" si="6"/>
        <v>0</v>
      </c>
      <c r="G107" s="1">
        <f t="shared" si="7"/>
        <v>0.32</v>
      </c>
      <c r="H107" s="2">
        <f t="shared" si="49"/>
        <v>43.1601270325</v>
      </c>
      <c r="I107" s="2">
        <f t="shared" si="49"/>
        <v>38.667714329249996</v>
      </c>
      <c r="J107" s="2">
        <f t="shared" si="49"/>
        <v>41.984127032499998</v>
      </c>
      <c r="K107" s="1">
        <f t="shared" si="49"/>
        <v>37.785714329249998</v>
      </c>
      <c r="L107" s="1"/>
      <c r="M107" s="1"/>
      <c r="N107" s="1"/>
      <c r="O107" s="1"/>
      <c r="P107" s="1"/>
      <c r="Q107" s="1"/>
      <c r="R107" s="2">
        <f t="shared" si="8"/>
        <v>85.062835944683613</v>
      </c>
      <c r="S107" s="2">
        <f t="shared" si="9"/>
        <v>12.462150431909752</v>
      </c>
      <c r="T107" s="147">
        <f t="shared" si="10"/>
        <v>0</v>
      </c>
      <c r="U107" s="147">
        <f t="shared" si="11"/>
        <v>0</v>
      </c>
      <c r="V107" s="2">
        <f t="shared" si="12"/>
        <v>43.1601270325</v>
      </c>
      <c r="W107" s="2">
        <f t="shared" si="13"/>
        <v>-43.1601270325</v>
      </c>
      <c r="X107" s="2">
        <f t="shared" si="14"/>
        <v>38.667714329249996</v>
      </c>
      <c r="Y107" s="2">
        <f t="shared" si="15"/>
        <v>-38.667714329249996</v>
      </c>
      <c r="Z107" s="2">
        <f t="shared" si="16"/>
        <v>41.984127032499998</v>
      </c>
      <c r="AA107" s="2">
        <f t="shared" si="17"/>
        <v>-41.984127032499998</v>
      </c>
      <c r="AB107" s="2">
        <f t="shared" si="18"/>
        <v>37.785714329249998</v>
      </c>
      <c r="AC107" s="2">
        <f t="shared" si="19"/>
        <v>-37.785714329249998</v>
      </c>
      <c r="AD107" s="2" t="str">
        <f t="shared" si="20"/>
        <v/>
      </c>
      <c r="AE107" s="2" t="str">
        <f t="shared" si="21"/>
        <v/>
      </c>
      <c r="AF107" s="2" t="str">
        <f t="shared" si="22"/>
        <v/>
      </c>
      <c r="AG107" s="2" t="str">
        <f t="shared" si="2"/>
        <v/>
      </c>
      <c r="AH107" s="2" t="str">
        <f t="shared" si="23"/>
        <v/>
      </c>
      <c r="AI107" s="2" t="str">
        <f t="shared" si="24"/>
        <v/>
      </c>
      <c r="AJ107" s="2" t="str">
        <f t="shared" si="25"/>
        <v/>
      </c>
      <c r="AK107" s="2" t="str">
        <f t="shared" si="26"/>
        <v/>
      </c>
      <c r="AL107" s="2" t="str">
        <f t="shared" si="27"/>
        <v/>
      </c>
      <c r="AM107" s="2" t="str">
        <f t="shared" si="28"/>
        <v/>
      </c>
      <c r="AN107" s="2" t="str">
        <f t="shared" si="29"/>
        <v/>
      </c>
      <c r="AO107" s="2" t="str">
        <f t="shared" si="30"/>
        <v/>
      </c>
      <c r="AP107" s="2">
        <f t="shared" si="31"/>
        <v>86.320254065</v>
      </c>
      <c r="AQ107" s="2">
        <f t="shared" si="32"/>
        <v>77.335428658499993</v>
      </c>
      <c r="AR107" s="2">
        <f t="shared" si="33"/>
        <v>83.968254064999996</v>
      </c>
      <c r="AS107" s="2">
        <f t="shared" si="34"/>
        <v>75.571428658499997</v>
      </c>
      <c r="AT107" s="2" t="str">
        <f t="shared" si="35"/>
        <v/>
      </c>
      <c r="AU107" s="2" t="str">
        <f t="shared" si="36"/>
        <v/>
      </c>
      <c r="AV107" s="2" t="str">
        <f t="shared" si="37"/>
        <v/>
      </c>
      <c r="AW107" s="2">
        <f t="shared" si="38"/>
        <v>259.19154784349382</v>
      </c>
      <c r="AX107" s="2" t="str">
        <f t="shared" si="39"/>
        <v/>
      </c>
      <c r="AY107" s="2" t="str">
        <f t="shared" si="40"/>
        <v/>
      </c>
      <c r="AZ107" s="2" t="str">
        <f t="shared" si="41"/>
        <v/>
      </c>
      <c r="BA107" s="2">
        <f t="shared" si="42"/>
        <v>1.2929339563023036E-5</v>
      </c>
      <c r="BB107" s="2" t="str">
        <f t="shared" si="50"/>
        <v/>
      </c>
      <c r="BC107" s="2" t="str">
        <f t="shared" si="50"/>
        <v/>
      </c>
      <c r="BD107" s="2" t="str">
        <f t="shared" si="50"/>
        <v/>
      </c>
      <c r="BE107" s="2">
        <f t="shared" si="50"/>
        <v>1.9394009344534554E-2</v>
      </c>
      <c r="BF107" s="1">
        <f t="shared" si="43"/>
        <v>1.9394009344534554E-2</v>
      </c>
      <c r="BH107" s="2">
        <f t="shared" si="44"/>
        <v>0.1024</v>
      </c>
      <c r="BI107" s="2">
        <f t="shared" si="45"/>
        <v>9.7124000000000006</v>
      </c>
      <c r="BJ107" s="2">
        <f t="shared" si="46"/>
        <v>9.6100000000000012</v>
      </c>
      <c r="BK107" s="1">
        <f t="shared" si="47"/>
        <v>0.9920000000000001</v>
      </c>
      <c r="BM107" s="1">
        <f t="shared" si="48"/>
        <v>0</v>
      </c>
    </row>
    <row r="108" spans="2:65">
      <c r="B108" s="1"/>
      <c r="C108" s="34">
        <v>63</v>
      </c>
      <c r="D108" s="1" t="str">
        <f t="shared" si="4"/>
        <v>胴体</v>
      </c>
      <c r="E108" s="1">
        <f t="shared" si="5"/>
        <v>3.1500000000000004</v>
      </c>
      <c r="F108" s="1">
        <f t="shared" si="6"/>
        <v>0</v>
      </c>
      <c r="G108" s="1">
        <f t="shared" si="7"/>
        <v>0.32</v>
      </c>
      <c r="H108" s="2">
        <f t="shared" si="49"/>
        <v>42.961714335000003</v>
      </c>
      <c r="I108" s="2">
        <f t="shared" si="49"/>
        <v>38.489142901500003</v>
      </c>
      <c r="J108" s="2">
        <f t="shared" si="49"/>
        <v>41.785714335000002</v>
      </c>
      <c r="K108" s="1">
        <f t="shared" si="49"/>
        <v>37.607142901500005</v>
      </c>
      <c r="L108" s="1"/>
      <c r="M108" s="1"/>
      <c r="N108" s="1"/>
      <c r="O108" s="1"/>
      <c r="P108" s="1"/>
      <c r="Q108" s="1"/>
      <c r="R108" s="2">
        <f t="shared" si="8"/>
        <v>85.062835944683613</v>
      </c>
      <c r="S108" s="2">
        <f t="shared" si="9"/>
        <v>12.462150431909752</v>
      </c>
      <c r="T108" s="147">
        <f t="shared" si="10"/>
        <v>0</v>
      </c>
      <c r="U108" s="147">
        <f t="shared" si="11"/>
        <v>0</v>
      </c>
      <c r="V108" s="2">
        <f t="shared" si="12"/>
        <v>42.961714335000003</v>
      </c>
      <c r="W108" s="2">
        <f t="shared" si="13"/>
        <v>-42.961714335000003</v>
      </c>
      <c r="X108" s="2">
        <f t="shared" si="14"/>
        <v>38.489142901500003</v>
      </c>
      <c r="Y108" s="2">
        <f t="shared" si="15"/>
        <v>-38.489142901500003</v>
      </c>
      <c r="Z108" s="2">
        <f t="shared" si="16"/>
        <v>41.785714335000002</v>
      </c>
      <c r="AA108" s="2">
        <f t="shared" si="17"/>
        <v>-41.785714335000002</v>
      </c>
      <c r="AB108" s="2">
        <f t="shared" si="18"/>
        <v>37.607142901500005</v>
      </c>
      <c r="AC108" s="2">
        <f t="shared" si="19"/>
        <v>-37.607142901500005</v>
      </c>
      <c r="AD108" s="2" t="str">
        <f t="shared" si="20"/>
        <v/>
      </c>
      <c r="AE108" s="2" t="str">
        <f t="shared" si="21"/>
        <v/>
      </c>
      <c r="AF108" s="2" t="str">
        <f t="shared" si="22"/>
        <v/>
      </c>
      <c r="AG108" s="2" t="str">
        <f t="shared" si="2"/>
        <v/>
      </c>
      <c r="AH108" s="2" t="str">
        <f t="shared" si="23"/>
        <v/>
      </c>
      <c r="AI108" s="2" t="str">
        <f t="shared" si="24"/>
        <v/>
      </c>
      <c r="AJ108" s="2" t="str">
        <f t="shared" si="25"/>
        <v/>
      </c>
      <c r="AK108" s="2" t="str">
        <f t="shared" si="26"/>
        <v/>
      </c>
      <c r="AL108" s="2" t="str">
        <f t="shared" si="27"/>
        <v/>
      </c>
      <c r="AM108" s="2" t="str">
        <f t="shared" si="28"/>
        <v/>
      </c>
      <c r="AN108" s="2" t="str">
        <f t="shared" si="29"/>
        <v/>
      </c>
      <c r="AO108" s="2" t="str">
        <f t="shared" si="30"/>
        <v/>
      </c>
      <c r="AP108" s="2">
        <f t="shared" si="31"/>
        <v>85.923428670000007</v>
      </c>
      <c r="AQ108" s="2">
        <f t="shared" si="32"/>
        <v>76.978285803000006</v>
      </c>
      <c r="AR108" s="2">
        <f t="shared" si="33"/>
        <v>83.571428670000003</v>
      </c>
      <c r="AS108" s="2">
        <f t="shared" si="34"/>
        <v>75.21428580300001</v>
      </c>
      <c r="AT108" s="2" t="str">
        <f t="shared" si="35"/>
        <v/>
      </c>
      <c r="AU108" s="2" t="str">
        <f t="shared" si="36"/>
        <v/>
      </c>
      <c r="AV108" s="2" t="str">
        <f t="shared" si="37"/>
        <v/>
      </c>
      <c r="AW108" s="2">
        <f t="shared" si="38"/>
        <v>257.98203467742491</v>
      </c>
      <c r="AX108" s="2" t="str">
        <f t="shared" si="39"/>
        <v/>
      </c>
      <c r="AY108" s="2" t="str">
        <f t="shared" si="40"/>
        <v/>
      </c>
      <c r="AZ108" s="2" t="str">
        <f t="shared" si="41"/>
        <v/>
      </c>
      <c r="BA108" s="2">
        <f t="shared" si="42"/>
        <v>1.2868863904719494E-5</v>
      </c>
      <c r="BB108" s="2" t="str">
        <f t="shared" si="50"/>
        <v/>
      </c>
      <c r="BC108" s="2" t="str">
        <f t="shared" si="50"/>
        <v/>
      </c>
      <c r="BD108" s="2" t="str">
        <f t="shared" si="50"/>
        <v/>
      </c>
      <c r="BE108" s="2">
        <f t="shared" si="50"/>
        <v>1.9303295857079242E-2</v>
      </c>
      <c r="BF108" s="1">
        <f t="shared" si="43"/>
        <v>1.9303295857079242E-2</v>
      </c>
      <c r="BH108" s="2">
        <f t="shared" si="44"/>
        <v>0.1024</v>
      </c>
      <c r="BI108" s="2">
        <f t="shared" si="45"/>
        <v>10.024900000000002</v>
      </c>
      <c r="BJ108" s="2">
        <f t="shared" si="46"/>
        <v>9.922500000000003</v>
      </c>
      <c r="BK108" s="1">
        <f t="shared" si="47"/>
        <v>1.0080000000000002</v>
      </c>
      <c r="BM108" s="1">
        <f t="shared" si="48"/>
        <v>0</v>
      </c>
    </row>
    <row r="109" spans="2:65">
      <c r="B109" s="1"/>
      <c r="C109" s="34">
        <v>64</v>
      </c>
      <c r="D109" s="1" t="str">
        <f t="shared" si="4"/>
        <v>胴体</v>
      </c>
      <c r="E109" s="1">
        <f t="shared" si="5"/>
        <v>3.2</v>
      </c>
      <c r="F109" s="1">
        <f t="shared" si="6"/>
        <v>0</v>
      </c>
      <c r="G109" s="1">
        <f t="shared" si="7"/>
        <v>0.32</v>
      </c>
      <c r="H109" s="2">
        <f t="shared" si="49"/>
        <v>42.7633016375</v>
      </c>
      <c r="I109" s="2">
        <f t="shared" si="49"/>
        <v>38.310571473749995</v>
      </c>
      <c r="J109" s="2">
        <f t="shared" si="49"/>
        <v>41.587301637499998</v>
      </c>
      <c r="K109" s="1">
        <f t="shared" si="49"/>
        <v>37.428571473749997</v>
      </c>
      <c r="L109" s="1"/>
      <c r="M109" s="1"/>
      <c r="N109" s="1"/>
      <c r="O109" s="1"/>
      <c r="P109" s="1"/>
      <c r="Q109" s="1"/>
      <c r="R109" s="2">
        <f t="shared" si="8"/>
        <v>85.062835944683613</v>
      </c>
      <c r="S109" s="2">
        <f t="shared" si="9"/>
        <v>12.462150431909752</v>
      </c>
      <c r="T109" s="147">
        <f t="shared" si="10"/>
        <v>0</v>
      </c>
      <c r="U109" s="147">
        <f t="shared" si="11"/>
        <v>0</v>
      </c>
      <c r="V109" s="2">
        <f t="shared" si="12"/>
        <v>42.7633016375</v>
      </c>
      <c r="W109" s="2">
        <f t="shared" si="13"/>
        <v>-42.7633016375</v>
      </c>
      <c r="X109" s="2">
        <f t="shared" si="14"/>
        <v>38.310571473749995</v>
      </c>
      <c r="Y109" s="2">
        <f t="shared" si="15"/>
        <v>-38.310571473749995</v>
      </c>
      <c r="Z109" s="2">
        <f t="shared" si="16"/>
        <v>41.587301637499998</v>
      </c>
      <c r="AA109" s="2">
        <f t="shared" si="17"/>
        <v>-41.587301637499998</v>
      </c>
      <c r="AB109" s="2">
        <f t="shared" si="18"/>
        <v>37.428571473749997</v>
      </c>
      <c r="AC109" s="2">
        <f t="shared" si="19"/>
        <v>-37.428571473749997</v>
      </c>
      <c r="AD109" s="2" t="str">
        <f t="shared" si="20"/>
        <v/>
      </c>
      <c r="AE109" s="2" t="str">
        <f t="shared" si="21"/>
        <v/>
      </c>
      <c r="AF109" s="2" t="str">
        <f t="shared" si="22"/>
        <v/>
      </c>
      <c r="AG109" s="2" t="str">
        <f t="shared" ref="AG109:AG116" si="51">IF(AF109="","",AF109*$D$20)</f>
        <v/>
      </c>
      <c r="AH109" s="2" t="str">
        <f t="shared" si="23"/>
        <v/>
      </c>
      <c r="AI109" s="2" t="str">
        <f t="shared" si="24"/>
        <v/>
      </c>
      <c r="AJ109" s="2" t="str">
        <f t="shared" si="25"/>
        <v/>
      </c>
      <c r="AK109" s="2" t="str">
        <f t="shared" si="26"/>
        <v/>
      </c>
      <c r="AL109" s="2" t="str">
        <f t="shared" si="27"/>
        <v/>
      </c>
      <c r="AM109" s="2" t="str">
        <f t="shared" si="28"/>
        <v/>
      </c>
      <c r="AN109" s="2" t="str">
        <f t="shared" si="29"/>
        <v/>
      </c>
      <c r="AO109" s="2" t="str">
        <f t="shared" si="30"/>
        <v/>
      </c>
      <c r="AP109" s="2">
        <f t="shared" si="31"/>
        <v>85.526603274999999</v>
      </c>
      <c r="AQ109" s="2">
        <f t="shared" si="32"/>
        <v>76.62114294749999</v>
      </c>
      <c r="AR109" s="2">
        <f t="shared" si="33"/>
        <v>83.174603274999996</v>
      </c>
      <c r="AS109" s="2">
        <f t="shared" si="34"/>
        <v>74.857142947499995</v>
      </c>
      <c r="AT109" s="2" t="str">
        <f t="shared" si="35"/>
        <v/>
      </c>
      <c r="AU109" s="2" t="str">
        <f t="shared" si="36"/>
        <v/>
      </c>
      <c r="AV109" s="2" t="str">
        <f t="shared" si="37"/>
        <v/>
      </c>
      <c r="AW109" s="2">
        <f t="shared" si="38"/>
        <v>256.77252151135667</v>
      </c>
      <c r="AX109" s="2" t="str">
        <f t="shared" si="39"/>
        <v/>
      </c>
      <c r="AY109" s="2" t="str">
        <f t="shared" si="40"/>
        <v/>
      </c>
      <c r="AZ109" s="2" t="str">
        <f t="shared" si="41"/>
        <v/>
      </c>
      <c r="BA109" s="2">
        <f t="shared" si="42"/>
        <v>1.2838626075567787E-5</v>
      </c>
      <c r="BB109" s="2" t="str">
        <f t="shared" si="50"/>
        <v/>
      </c>
      <c r="BC109" s="2" t="str">
        <f t="shared" si="50"/>
        <v/>
      </c>
      <c r="BD109" s="2" t="str">
        <f t="shared" si="50"/>
        <v/>
      </c>
      <c r="BE109" s="2">
        <f t="shared" si="50"/>
        <v>1.925793911335168E-2</v>
      </c>
      <c r="BF109" s="1">
        <f t="shared" si="43"/>
        <v>1.925793911335168E-2</v>
      </c>
      <c r="BH109" s="2">
        <f t="shared" si="44"/>
        <v>0.1024</v>
      </c>
      <c r="BI109" s="2">
        <f t="shared" si="45"/>
        <v>10.342400000000001</v>
      </c>
      <c r="BJ109" s="2">
        <f t="shared" si="46"/>
        <v>10.240000000000002</v>
      </c>
      <c r="BK109" s="1">
        <f t="shared" si="47"/>
        <v>1.024</v>
      </c>
      <c r="BM109" s="1">
        <f t="shared" si="48"/>
        <v>0</v>
      </c>
    </row>
    <row r="110" spans="2:65">
      <c r="B110" s="1"/>
      <c r="C110" s="34">
        <v>65</v>
      </c>
      <c r="D110" s="1" t="str">
        <f t="shared" si="4"/>
        <v>胴体</v>
      </c>
      <c r="E110" s="1">
        <f t="shared" si="5"/>
        <v>3.25</v>
      </c>
      <c r="F110" s="1">
        <f t="shared" si="6"/>
        <v>0</v>
      </c>
      <c r="G110" s="1">
        <f t="shared" si="7"/>
        <v>0.32</v>
      </c>
      <c r="H110" s="2">
        <f t="shared" si="49"/>
        <v>0</v>
      </c>
      <c r="I110" s="2">
        <f t="shared" si="49"/>
        <v>0</v>
      </c>
      <c r="J110" s="2">
        <f t="shared" si="49"/>
        <v>0</v>
      </c>
      <c r="K110" s="1">
        <f t="shared" si="49"/>
        <v>0</v>
      </c>
      <c r="L110" s="1"/>
      <c r="M110" s="1"/>
      <c r="N110" s="1"/>
      <c r="O110" s="1"/>
      <c r="P110" s="1"/>
      <c r="Q110" s="1"/>
      <c r="R110" s="2">
        <f t="shared" si="8"/>
        <v>85.062835944683613</v>
      </c>
      <c r="S110" s="2">
        <f t="shared" si="9"/>
        <v>12.462150431909752</v>
      </c>
      <c r="T110" s="147">
        <f t="shared" si="10"/>
        <v>0</v>
      </c>
      <c r="U110" s="147">
        <f t="shared" si="11"/>
        <v>0</v>
      </c>
      <c r="V110" s="2">
        <f t="shared" si="12"/>
        <v>0</v>
      </c>
      <c r="W110" s="2">
        <f t="shared" si="13"/>
        <v>0</v>
      </c>
      <c r="X110" s="2">
        <f t="shared" si="14"/>
        <v>0</v>
      </c>
      <c r="Y110" s="2">
        <f t="shared" si="15"/>
        <v>0</v>
      </c>
      <c r="Z110" s="2">
        <f t="shared" si="16"/>
        <v>0</v>
      </c>
      <c r="AA110" s="2">
        <f t="shared" si="17"/>
        <v>0</v>
      </c>
      <c r="AB110" s="2">
        <f t="shared" si="18"/>
        <v>0</v>
      </c>
      <c r="AC110" s="2">
        <f t="shared" si="19"/>
        <v>0</v>
      </c>
      <c r="AD110" s="2" t="str">
        <f t="shared" si="20"/>
        <v/>
      </c>
      <c r="AE110" s="2" t="str">
        <f t="shared" si="21"/>
        <v/>
      </c>
      <c r="AF110" s="2" t="str">
        <f t="shared" si="22"/>
        <v/>
      </c>
      <c r="AG110" s="2" t="str">
        <f t="shared" si="51"/>
        <v/>
      </c>
      <c r="AH110" s="2" t="str">
        <f t="shared" si="23"/>
        <v/>
      </c>
      <c r="AI110" s="2" t="str">
        <f t="shared" si="24"/>
        <v/>
      </c>
      <c r="AJ110" s="2" t="str">
        <f t="shared" si="25"/>
        <v/>
      </c>
      <c r="AK110" s="2" t="str">
        <f t="shared" si="26"/>
        <v/>
      </c>
      <c r="AL110" s="2" t="str">
        <f t="shared" si="27"/>
        <v/>
      </c>
      <c r="AM110" s="2" t="str">
        <f t="shared" si="28"/>
        <v/>
      </c>
      <c r="AN110" s="2" t="str">
        <f t="shared" si="29"/>
        <v/>
      </c>
      <c r="AO110" s="2" t="str">
        <f t="shared" si="30"/>
        <v/>
      </c>
      <c r="AP110" s="2" t="str">
        <f t="shared" si="31"/>
        <v/>
      </c>
      <c r="AQ110" s="2" t="str">
        <f t="shared" si="32"/>
        <v/>
      </c>
      <c r="AR110" s="2" t="str">
        <f t="shared" si="33"/>
        <v/>
      </c>
      <c r="AS110" s="2" t="str">
        <f t="shared" si="34"/>
        <v/>
      </c>
      <c r="AT110" s="2" t="str">
        <f t="shared" si="35"/>
        <v/>
      </c>
      <c r="AU110" s="2" t="str">
        <f t="shared" si="36"/>
        <v/>
      </c>
      <c r="AV110" s="2" t="str">
        <f t="shared" si="37"/>
        <v/>
      </c>
      <c r="AW110" s="2" t="str">
        <f t="shared" si="38"/>
        <v/>
      </c>
      <c r="AX110" s="2" t="str">
        <f t="shared" si="39"/>
        <v/>
      </c>
      <c r="AY110" s="2" t="str">
        <f t="shared" si="40"/>
        <v/>
      </c>
      <c r="AZ110" s="2" t="str">
        <f t="shared" si="41"/>
        <v/>
      </c>
      <c r="BA110" s="2" t="str">
        <f t="shared" si="42"/>
        <v/>
      </c>
      <c r="BB110" s="2" t="str">
        <f t="shared" si="50"/>
        <v/>
      </c>
      <c r="BC110" s="2" t="str">
        <f t="shared" si="50"/>
        <v/>
      </c>
      <c r="BD110" s="2" t="str">
        <f t="shared" si="50"/>
        <v/>
      </c>
      <c r="BE110" s="2" t="str">
        <f t="shared" si="50"/>
        <v/>
      </c>
      <c r="BF110" s="1">
        <f t="shared" si="43"/>
        <v>0</v>
      </c>
      <c r="BH110" s="2">
        <f t="shared" si="44"/>
        <v>0.1024</v>
      </c>
      <c r="BI110" s="2">
        <f t="shared" si="45"/>
        <v>10.664899999999999</v>
      </c>
      <c r="BJ110" s="2">
        <f t="shared" si="46"/>
        <v>10.5625</v>
      </c>
      <c r="BK110" s="1">
        <f t="shared" si="47"/>
        <v>1.04</v>
      </c>
      <c r="BM110" s="1">
        <f t="shared" si="48"/>
        <v>0</v>
      </c>
    </row>
    <row r="111" spans="2:65">
      <c r="B111" s="1"/>
      <c r="C111" s="34">
        <v>66</v>
      </c>
      <c r="D111" s="1" t="str">
        <f t="shared" ref="D111:D116" si="52">IF(E111&lt;$M$7,"パイプ",IF(E111=$M$7,"T字",IF(E111&lt;=$M$8,"胴接",IF(E111&lt;=$M$9,"0胴接合","胴体"))))</f>
        <v>胴体</v>
      </c>
      <c r="E111" s="1">
        <f t="shared" ref="E111:E116" si="53">C111*$D$30</f>
        <v>3.3000000000000003</v>
      </c>
      <c r="F111" s="1">
        <f t="shared" ref="F111:F116" si="54">IF(E111&lt;=$M$7,$M$16*E111+$N$16,IF(E111&lt;$M$8,$M$18*E111+$N$18,IF(E111&lt;$M$9,$M$18*E111+$N$18,$M$19*E111+$N$19)))</f>
        <v>0</v>
      </c>
      <c r="G111" s="1">
        <f t="shared" ref="G111:G116" si="55">IF(E111&lt;=$M$7,$O$16*E111+$P$16,IF(E111&lt;$M$8,$O$18*E111+$P$18,IF(E111&lt;$M$9,$O$17*E111+$P$17,$O$19*E111+$P$19)))</f>
        <v>0.32</v>
      </c>
      <c r="H111" s="2">
        <f t="shared" si="49"/>
        <v>0</v>
      </c>
      <c r="I111" s="2">
        <f t="shared" si="49"/>
        <v>0</v>
      </c>
      <c r="J111" s="2">
        <f t="shared" si="49"/>
        <v>0</v>
      </c>
      <c r="K111" s="1">
        <f t="shared" si="49"/>
        <v>0</v>
      </c>
      <c r="L111" s="1"/>
      <c r="M111" s="1"/>
      <c r="N111" s="1"/>
      <c r="O111" s="1"/>
      <c r="P111" s="1"/>
      <c r="Q111" s="1"/>
      <c r="R111" s="2">
        <f t="shared" ref="R111:R116" si="56">IF(E111&lt;$M$7,$G$7,IF(E111=$M$7,$G$8,IF(E111&lt;$M$8,$G$8,IF(E111&lt;$M$9,($G$8+$G$9)/2,$G$9))))</f>
        <v>85.062835944683613</v>
      </c>
      <c r="S111" s="2">
        <f t="shared" ref="S111:S116" si="57">IF(E111&lt;$M$7,$H$7,IF(E111=$M$7,$H$8,IF(E111&lt;$M$8,$H$8,IF(E111&lt;$M$9,($H$8+$H$9)/2,$H$9))))</f>
        <v>12.462150431909752</v>
      </c>
      <c r="T111" s="147">
        <f t="shared" ref="T111:T116" si="58">R111*(10^9)*L111*(10^-12)</f>
        <v>0</v>
      </c>
      <c r="U111" s="147">
        <f t="shared" ref="U111:U116" si="59">S111*(10^9)*N111*(10^-12)</f>
        <v>0</v>
      </c>
      <c r="V111" s="2">
        <f t="shared" ref="V111:V116" si="60">H111</f>
        <v>0</v>
      </c>
      <c r="W111" s="2">
        <f t="shared" ref="W111:W116" si="61">-H111</f>
        <v>0</v>
      </c>
      <c r="X111" s="2">
        <f t="shared" ref="X111:X116" si="62">I111</f>
        <v>0</v>
      </c>
      <c r="Y111" s="2">
        <f t="shared" ref="Y111:Y116" si="63">-I111</f>
        <v>0</v>
      </c>
      <c r="Z111" s="2">
        <f t="shared" ref="Z111:Z116" si="64">J111</f>
        <v>0</v>
      </c>
      <c r="AA111" s="2">
        <f t="shared" ref="AA111:AA116" si="65">-J111</f>
        <v>0</v>
      </c>
      <c r="AB111" s="2">
        <f t="shared" ref="AB111:AB116" si="66">K111</f>
        <v>0</v>
      </c>
      <c r="AC111" s="2">
        <f t="shared" ref="AC111:AC116" si="67">-K111</f>
        <v>0</v>
      </c>
      <c r="AD111" s="2" t="str">
        <f t="shared" ref="AD111:AD116" si="68">IF(AF111="","",AF111+2*$D$27*$C$6)</f>
        <v/>
      </c>
      <c r="AE111" s="2" t="str">
        <f t="shared" ref="AE111:AE116" si="69">IF(AG111="","",AG111+2*$D$27*$D$6)</f>
        <v/>
      </c>
      <c r="AF111" s="2" t="str">
        <f t="shared" ref="AF111:AF116" si="70">IF(E111&lt;=$M$7,$AF$6*E111+$AG$6,"")</f>
        <v/>
      </c>
      <c r="AG111" s="2" t="str">
        <f t="shared" si="51"/>
        <v/>
      </c>
      <c r="AH111" s="2" t="str">
        <f t="shared" ref="AH111:AH116" si="71">IF(AJ111="","",AJ111+2*$D$27*$C$7)</f>
        <v/>
      </c>
      <c r="AI111" s="2" t="str">
        <f t="shared" ref="AI111:AI116" si="72">IF(AK111="","",AK111+2*$D$27*$D$7)</f>
        <v/>
      </c>
      <c r="AJ111" s="2" t="str">
        <f t="shared" ref="AJ111:AJ116" si="73">IF(E111=$M$7,$AH$7*E111+$AI$7,"")</f>
        <v/>
      </c>
      <c r="AK111" s="2" t="str">
        <f t="shared" ref="AK111:AK116" si="74">IF(AJ111="","",AJ111*$D$19)</f>
        <v/>
      </c>
      <c r="AL111" s="2" t="str">
        <f t="shared" ref="AL111:AL116" si="75">IF(AN111="","",AN111+2*$D$27*$C$8)</f>
        <v/>
      </c>
      <c r="AM111" s="2" t="str">
        <f t="shared" ref="AM111:AM116" si="76">IF(AO111="","",AO111+2*$D$27*$D$8)</f>
        <v/>
      </c>
      <c r="AN111" s="2" t="str">
        <f t="shared" ref="AN111:AN116" si="77">IF(E111&lt;$M$7,"",IF(E111&lt;$M$9,$AJ$8*E111+$AK$8,""))</f>
        <v/>
      </c>
      <c r="AO111" s="2" t="str">
        <f t="shared" ref="AO111:AO116" si="78">IF(AN111="","",AN111*$D$19)</f>
        <v/>
      </c>
      <c r="AP111" s="2" t="str">
        <f t="shared" ref="AP111:AP116" si="79">IF(AR111="","",AR111+2*$D$27*$C$9)</f>
        <v/>
      </c>
      <c r="AQ111" s="2" t="str">
        <f t="shared" ref="AQ111:AQ116" si="80">IF(AS111="","",AS111+2*$D$27*$D$9)</f>
        <v/>
      </c>
      <c r="AR111" s="2" t="str">
        <f t="shared" ref="AR111:AR116" si="81">IF(E111&lt;=$M$8,"",IF(E111&lt;=$M$10,$AL$9*E111+$AM$9,""))</f>
        <v/>
      </c>
      <c r="AS111" s="2" t="str">
        <f t="shared" ref="AS111:AS116" si="82">IF(AR111="","",AR111*$D$19)</f>
        <v/>
      </c>
      <c r="AT111" s="2" t="str">
        <f t="shared" ref="AT111:AT116" si="83">IF(AD111="","",PI()*(AD111*AE111-AF111*AG111)/4)</f>
        <v/>
      </c>
      <c r="AU111" s="2" t="str">
        <f t="shared" ref="AU111:AU116" si="84">IF(AH111="","",PI()*(AH111*AI111-AJ111*AK111)/4)</f>
        <v/>
      </c>
      <c r="AV111" s="2" t="str">
        <f t="shared" ref="AV111:AV116" si="85">IF(AL111="","",PI()*(AL111*AM111-AN111*AO111)/4)</f>
        <v/>
      </c>
      <c r="AW111" s="2" t="str">
        <f t="shared" ref="AW111:AW116" si="86">IF(AP111="","",PI()*(AP111*AQ111-AR111*AS111)/4)</f>
        <v/>
      </c>
      <c r="AX111" s="2" t="str">
        <f t="shared" ref="AX111:AX116" si="87">IF($E111&lt;=$M$7,AVERAGE(AT111:AT112)*(10^-6)*($E112-$E111),"")</f>
        <v/>
      </c>
      <c r="AY111" s="2" t="str">
        <f t="shared" ref="AY111:AY116" si="88">IF($E111=$M$7,AU111*(10^-6)*($F111-$F112)*2,"")</f>
        <v/>
      </c>
      <c r="AZ111" s="2" t="str">
        <f t="shared" ref="AZ111:AZ116" si="89">IF($E111&lt;$M$7,"",IF($E111&lt;$M$9,AVERAGE(AV111:AV112)*(10^-6)*($E112-$E111),""))</f>
        <v/>
      </c>
      <c r="BA111" s="2" t="str">
        <f t="shared" ref="BA111:BA116" si="90">IF($E111&lt;=$M$8,"",IF($E111&lt;=$M$10,AVERAGE(AW111:AW112)*(10^-6)*($E112-$E111),""))</f>
        <v/>
      </c>
      <c r="BB111" s="2" t="str">
        <f t="shared" si="50"/>
        <v/>
      </c>
      <c r="BC111" s="2" t="str">
        <f t="shared" si="50"/>
        <v/>
      </c>
      <c r="BD111" s="2" t="str">
        <f t="shared" si="50"/>
        <v/>
      </c>
      <c r="BE111" s="2" t="str">
        <f t="shared" si="50"/>
        <v/>
      </c>
      <c r="BF111" s="1">
        <f t="shared" ref="BF111:BF116" si="91">SUM(BB111:BE111)</f>
        <v>0</v>
      </c>
      <c r="BH111" s="2">
        <f t="shared" ref="BH111:BH116" si="92">G111*G111</f>
        <v>0.1024</v>
      </c>
      <c r="BI111" s="2">
        <f t="shared" ref="BI111:BI116" si="93">G111*G111+E111*E111</f>
        <v>10.992400000000002</v>
      </c>
      <c r="BJ111" s="2">
        <f t="shared" ref="BJ111:BJ116" si="94">E111*E111</f>
        <v>10.890000000000002</v>
      </c>
      <c r="BK111" s="1">
        <f t="shared" ref="BK111:BK116" si="95">E111*G111</f>
        <v>1.056</v>
      </c>
      <c r="BM111" s="1">
        <f t="shared" ref="BM111:BM116" si="96">-F111</f>
        <v>0</v>
      </c>
    </row>
    <row r="112" spans="2:65">
      <c r="B112" s="1"/>
      <c r="C112" s="34">
        <v>67</v>
      </c>
      <c r="D112" s="1" t="str">
        <f t="shared" si="52"/>
        <v>胴体</v>
      </c>
      <c r="E112" s="1">
        <f t="shared" si="53"/>
        <v>3.35</v>
      </c>
      <c r="F112" s="1">
        <f t="shared" si="54"/>
        <v>0</v>
      </c>
      <c r="G112" s="1">
        <f t="shared" si="55"/>
        <v>0.32</v>
      </c>
      <c r="H112" s="2">
        <f t="shared" si="49"/>
        <v>0</v>
      </c>
      <c r="I112" s="2">
        <f t="shared" si="49"/>
        <v>0</v>
      </c>
      <c r="J112" s="2">
        <f t="shared" si="49"/>
        <v>0</v>
      </c>
      <c r="K112" s="1">
        <f t="shared" si="49"/>
        <v>0</v>
      </c>
      <c r="L112" s="1"/>
      <c r="M112" s="1"/>
      <c r="N112" s="1"/>
      <c r="O112" s="1"/>
      <c r="P112" s="1"/>
      <c r="Q112" s="1"/>
      <c r="R112" s="2">
        <f t="shared" si="56"/>
        <v>85.062835944683613</v>
      </c>
      <c r="S112" s="2">
        <f t="shared" si="57"/>
        <v>12.462150431909752</v>
      </c>
      <c r="T112" s="147">
        <f t="shared" si="58"/>
        <v>0</v>
      </c>
      <c r="U112" s="147">
        <f t="shared" si="59"/>
        <v>0</v>
      </c>
      <c r="V112" s="2">
        <f t="shared" si="60"/>
        <v>0</v>
      </c>
      <c r="W112" s="2">
        <f t="shared" si="61"/>
        <v>0</v>
      </c>
      <c r="X112" s="2">
        <f t="shared" si="62"/>
        <v>0</v>
      </c>
      <c r="Y112" s="2">
        <f t="shared" si="63"/>
        <v>0</v>
      </c>
      <c r="Z112" s="2">
        <f t="shared" si="64"/>
        <v>0</v>
      </c>
      <c r="AA112" s="2">
        <f t="shared" si="65"/>
        <v>0</v>
      </c>
      <c r="AB112" s="2">
        <f t="shared" si="66"/>
        <v>0</v>
      </c>
      <c r="AC112" s="2">
        <f t="shared" si="67"/>
        <v>0</v>
      </c>
      <c r="AD112" s="2" t="str">
        <f t="shared" si="68"/>
        <v/>
      </c>
      <c r="AE112" s="2" t="str">
        <f t="shared" si="69"/>
        <v/>
      </c>
      <c r="AF112" s="2" t="str">
        <f t="shared" si="70"/>
        <v/>
      </c>
      <c r="AG112" s="2" t="str">
        <f t="shared" si="51"/>
        <v/>
      </c>
      <c r="AH112" s="2" t="str">
        <f t="shared" si="71"/>
        <v/>
      </c>
      <c r="AI112" s="2" t="str">
        <f t="shared" si="72"/>
        <v/>
      </c>
      <c r="AJ112" s="2" t="str">
        <f t="shared" si="73"/>
        <v/>
      </c>
      <c r="AK112" s="2" t="str">
        <f t="shared" si="74"/>
        <v/>
      </c>
      <c r="AL112" s="2" t="str">
        <f t="shared" si="75"/>
        <v/>
      </c>
      <c r="AM112" s="2" t="str">
        <f t="shared" si="76"/>
        <v/>
      </c>
      <c r="AN112" s="2" t="str">
        <f t="shared" si="77"/>
        <v/>
      </c>
      <c r="AO112" s="2" t="str">
        <f t="shared" si="78"/>
        <v/>
      </c>
      <c r="AP112" s="2" t="str">
        <f t="shared" si="79"/>
        <v/>
      </c>
      <c r="AQ112" s="2" t="str">
        <f t="shared" si="80"/>
        <v/>
      </c>
      <c r="AR112" s="2" t="str">
        <f t="shared" si="81"/>
        <v/>
      </c>
      <c r="AS112" s="2" t="str">
        <f t="shared" si="82"/>
        <v/>
      </c>
      <c r="AT112" s="2" t="str">
        <f t="shared" si="83"/>
        <v/>
      </c>
      <c r="AU112" s="2" t="str">
        <f t="shared" si="84"/>
        <v/>
      </c>
      <c r="AV112" s="2" t="str">
        <f t="shared" si="85"/>
        <v/>
      </c>
      <c r="AW112" s="2" t="str">
        <f t="shared" si="86"/>
        <v/>
      </c>
      <c r="AX112" s="2" t="str">
        <f t="shared" si="87"/>
        <v/>
      </c>
      <c r="AY112" s="2" t="str">
        <f t="shared" si="88"/>
        <v/>
      </c>
      <c r="AZ112" s="2" t="str">
        <f t="shared" si="89"/>
        <v/>
      </c>
      <c r="BA112" s="2" t="str">
        <f t="shared" si="90"/>
        <v/>
      </c>
      <c r="BB112" s="2" t="str">
        <f t="shared" si="50"/>
        <v/>
      </c>
      <c r="BC112" s="2" t="str">
        <f t="shared" si="50"/>
        <v/>
      </c>
      <c r="BD112" s="2" t="str">
        <f t="shared" si="50"/>
        <v/>
      </c>
      <c r="BE112" s="2" t="str">
        <f t="shared" si="50"/>
        <v/>
      </c>
      <c r="BF112" s="1">
        <f t="shared" si="91"/>
        <v>0</v>
      </c>
      <c r="BH112" s="2">
        <f t="shared" si="92"/>
        <v>0.1024</v>
      </c>
      <c r="BI112" s="2">
        <f t="shared" si="93"/>
        <v>11.3249</v>
      </c>
      <c r="BJ112" s="2">
        <f t="shared" si="94"/>
        <v>11.2225</v>
      </c>
      <c r="BK112" s="1">
        <f t="shared" si="95"/>
        <v>1.0720000000000001</v>
      </c>
      <c r="BM112" s="1">
        <f t="shared" si="96"/>
        <v>0</v>
      </c>
    </row>
    <row r="113" spans="2:65">
      <c r="B113" s="1"/>
      <c r="C113" s="34">
        <v>68</v>
      </c>
      <c r="D113" s="1" t="str">
        <f t="shared" si="52"/>
        <v>胴体</v>
      </c>
      <c r="E113" s="1">
        <f t="shared" si="53"/>
        <v>3.4000000000000004</v>
      </c>
      <c r="F113" s="1">
        <f t="shared" si="54"/>
        <v>0</v>
      </c>
      <c r="G113" s="1">
        <f t="shared" si="55"/>
        <v>0.32</v>
      </c>
      <c r="H113" s="2">
        <f t="shared" si="49"/>
        <v>0</v>
      </c>
      <c r="I113" s="2">
        <f t="shared" si="49"/>
        <v>0</v>
      </c>
      <c r="J113" s="2">
        <f t="shared" si="49"/>
        <v>0</v>
      </c>
      <c r="K113" s="1">
        <f t="shared" si="49"/>
        <v>0</v>
      </c>
      <c r="L113" s="1"/>
      <c r="M113" s="1"/>
      <c r="N113" s="1"/>
      <c r="O113" s="1"/>
      <c r="P113" s="1"/>
      <c r="Q113" s="1"/>
      <c r="R113" s="2">
        <f t="shared" si="56"/>
        <v>85.062835944683613</v>
      </c>
      <c r="S113" s="2">
        <f t="shared" si="57"/>
        <v>12.462150431909752</v>
      </c>
      <c r="T113" s="147">
        <f t="shared" si="58"/>
        <v>0</v>
      </c>
      <c r="U113" s="147">
        <f t="shared" si="59"/>
        <v>0</v>
      </c>
      <c r="V113" s="2">
        <f t="shared" si="60"/>
        <v>0</v>
      </c>
      <c r="W113" s="2">
        <f t="shared" si="61"/>
        <v>0</v>
      </c>
      <c r="X113" s="2">
        <f t="shared" si="62"/>
        <v>0</v>
      </c>
      <c r="Y113" s="2">
        <f t="shared" si="63"/>
        <v>0</v>
      </c>
      <c r="Z113" s="2">
        <f t="shared" si="64"/>
        <v>0</v>
      </c>
      <c r="AA113" s="2">
        <f t="shared" si="65"/>
        <v>0</v>
      </c>
      <c r="AB113" s="2">
        <f t="shared" si="66"/>
        <v>0</v>
      </c>
      <c r="AC113" s="2">
        <f t="shared" si="67"/>
        <v>0</v>
      </c>
      <c r="AD113" s="2" t="str">
        <f t="shared" si="68"/>
        <v/>
      </c>
      <c r="AE113" s="2" t="str">
        <f t="shared" si="69"/>
        <v/>
      </c>
      <c r="AF113" s="2" t="str">
        <f t="shared" si="70"/>
        <v/>
      </c>
      <c r="AG113" s="2" t="str">
        <f t="shared" si="51"/>
        <v/>
      </c>
      <c r="AH113" s="2" t="str">
        <f t="shared" si="71"/>
        <v/>
      </c>
      <c r="AI113" s="2" t="str">
        <f t="shared" si="72"/>
        <v/>
      </c>
      <c r="AJ113" s="2" t="str">
        <f t="shared" si="73"/>
        <v/>
      </c>
      <c r="AK113" s="2" t="str">
        <f t="shared" si="74"/>
        <v/>
      </c>
      <c r="AL113" s="2" t="str">
        <f t="shared" si="75"/>
        <v/>
      </c>
      <c r="AM113" s="2" t="str">
        <f t="shared" si="76"/>
        <v/>
      </c>
      <c r="AN113" s="2" t="str">
        <f t="shared" si="77"/>
        <v/>
      </c>
      <c r="AO113" s="2" t="str">
        <f t="shared" si="78"/>
        <v/>
      </c>
      <c r="AP113" s="2" t="str">
        <f t="shared" si="79"/>
        <v/>
      </c>
      <c r="AQ113" s="2" t="str">
        <f t="shared" si="80"/>
        <v/>
      </c>
      <c r="AR113" s="2" t="str">
        <f t="shared" si="81"/>
        <v/>
      </c>
      <c r="AS113" s="2" t="str">
        <f t="shared" si="82"/>
        <v/>
      </c>
      <c r="AT113" s="2" t="str">
        <f t="shared" si="83"/>
        <v/>
      </c>
      <c r="AU113" s="2" t="str">
        <f t="shared" si="84"/>
        <v/>
      </c>
      <c r="AV113" s="2" t="str">
        <f t="shared" si="85"/>
        <v/>
      </c>
      <c r="AW113" s="2" t="str">
        <f t="shared" si="86"/>
        <v/>
      </c>
      <c r="AX113" s="2" t="str">
        <f t="shared" si="87"/>
        <v/>
      </c>
      <c r="AY113" s="2" t="str">
        <f t="shared" si="88"/>
        <v/>
      </c>
      <c r="AZ113" s="2" t="str">
        <f t="shared" si="89"/>
        <v/>
      </c>
      <c r="BA113" s="2" t="str">
        <f t="shared" si="90"/>
        <v/>
      </c>
      <c r="BB113" s="2" t="str">
        <f t="shared" si="50"/>
        <v/>
      </c>
      <c r="BC113" s="2" t="str">
        <f t="shared" si="50"/>
        <v/>
      </c>
      <c r="BD113" s="2" t="str">
        <f t="shared" si="50"/>
        <v/>
      </c>
      <c r="BE113" s="2" t="str">
        <f t="shared" si="50"/>
        <v/>
      </c>
      <c r="BF113" s="1">
        <f t="shared" si="91"/>
        <v>0</v>
      </c>
      <c r="BH113" s="2">
        <f t="shared" si="92"/>
        <v>0.1024</v>
      </c>
      <c r="BI113" s="2">
        <f t="shared" si="93"/>
        <v>11.662400000000002</v>
      </c>
      <c r="BJ113" s="2">
        <f t="shared" si="94"/>
        <v>11.560000000000002</v>
      </c>
      <c r="BK113" s="1">
        <f t="shared" si="95"/>
        <v>1.0880000000000001</v>
      </c>
      <c r="BM113" s="1">
        <f t="shared" si="96"/>
        <v>0</v>
      </c>
    </row>
    <row r="114" spans="2:65">
      <c r="B114" s="1"/>
      <c r="C114" s="34">
        <v>69</v>
      </c>
      <c r="D114" s="1" t="str">
        <f t="shared" si="52"/>
        <v>胴体</v>
      </c>
      <c r="E114" s="1">
        <f t="shared" si="53"/>
        <v>3.45</v>
      </c>
      <c r="F114" s="1">
        <f t="shared" si="54"/>
        <v>0</v>
      </c>
      <c r="G114" s="1">
        <f t="shared" si="55"/>
        <v>0.32</v>
      </c>
      <c r="H114" s="2">
        <f t="shared" si="49"/>
        <v>0</v>
      </c>
      <c r="I114" s="2">
        <f t="shared" si="49"/>
        <v>0</v>
      </c>
      <c r="J114" s="2">
        <f t="shared" si="49"/>
        <v>0</v>
      </c>
      <c r="K114" s="1">
        <f t="shared" si="49"/>
        <v>0</v>
      </c>
      <c r="L114" s="1"/>
      <c r="M114" s="1"/>
      <c r="N114" s="1"/>
      <c r="O114" s="1"/>
      <c r="P114" s="1"/>
      <c r="Q114" s="1"/>
      <c r="R114" s="2">
        <f t="shared" si="56"/>
        <v>85.062835944683613</v>
      </c>
      <c r="S114" s="2">
        <f t="shared" si="57"/>
        <v>12.462150431909752</v>
      </c>
      <c r="T114" s="147">
        <f t="shared" si="58"/>
        <v>0</v>
      </c>
      <c r="U114" s="147">
        <f t="shared" si="59"/>
        <v>0</v>
      </c>
      <c r="V114" s="2">
        <f t="shared" si="60"/>
        <v>0</v>
      </c>
      <c r="W114" s="2">
        <f t="shared" si="61"/>
        <v>0</v>
      </c>
      <c r="X114" s="2">
        <f t="shared" si="62"/>
        <v>0</v>
      </c>
      <c r="Y114" s="2">
        <f t="shared" si="63"/>
        <v>0</v>
      </c>
      <c r="Z114" s="2">
        <f t="shared" si="64"/>
        <v>0</v>
      </c>
      <c r="AA114" s="2">
        <f t="shared" si="65"/>
        <v>0</v>
      </c>
      <c r="AB114" s="2">
        <f t="shared" si="66"/>
        <v>0</v>
      </c>
      <c r="AC114" s="2">
        <f t="shared" si="67"/>
        <v>0</v>
      </c>
      <c r="AD114" s="2" t="str">
        <f t="shared" si="68"/>
        <v/>
      </c>
      <c r="AE114" s="2" t="str">
        <f t="shared" si="69"/>
        <v/>
      </c>
      <c r="AF114" s="2" t="str">
        <f t="shared" si="70"/>
        <v/>
      </c>
      <c r="AG114" s="2" t="str">
        <f t="shared" si="51"/>
        <v/>
      </c>
      <c r="AH114" s="2" t="str">
        <f t="shared" si="71"/>
        <v/>
      </c>
      <c r="AI114" s="2" t="str">
        <f t="shared" si="72"/>
        <v/>
      </c>
      <c r="AJ114" s="2" t="str">
        <f t="shared" si="73"/>
        <v/>
      </c>
      <c r="AK114" s="2" t="str">
        <f t="shared" si="74"/>
        <v/>
      </c>
      <c r="AL114" s="2" t="str">
        <f t="shared" si="75"/>
        <v/>
      </c>
      <c r="AM114" s="2" t="str">
        <f t="shared" si="76"/>
        <v/>
      </c>
      <c r="AN114" s="2" t="str">
        <f t="shared" si="77"/>
        <v/>
      </c>
      <c r="AO114" s="2" t="str">
        <f t="shared" si="78"/>
        <v/>
      </c>
      <c r="AP114" s="2" t="str">
        <f t="shared" si="79"/>
        <v/>
      </c>
      <c r="AQ114" s="2" t="str">
        <f t="shared" si="80"/>
        <v/>
      </c>
      <c r="AR114" s="2" t="str">
        <f t="shared" si="81"/>
        <v/>
      </c>
      <c r="AS114" s="2" t="str">
        <f t="shared" si="82"/>
        <v/>
      </c>
      <c r="AT114" s="2" t="str">
        <f t="shared" si="83"/>
        <v/>
      </c>
      <c r="AU114" s="2" t="str">
        <f t="shared" si="84"/>
        <v/>
      </c>
      <c r="AV114" s="2" t="str">
        <f t="shared" si="85"/>
        <v/>
      </c>
      <c r="AW114" s="2" t="str">
        <f t="shared" si="86"/>
        <v/>
      </c>
      <c r="AX114" s="2" t="str">
        <f t="shared" si="87"/>
        <v/>
      </c>
      <c r="AY114" s="2" t="str">
        <f t="shared" si="88"/>
        <v/>
      </c>
      <c r="AZ114" s="2" t="str">
        <f t="shared" si="89"/>
        <v/>
      </c>
      <c r="BA114" s="2" t="str">
        <f t="shared" si="90"/>
        <v/>
      </c>
      <c r="BB114" s="2" t="str">
        <f t="shared" si="50"/>
        <v/>
      </c>
      <c r="BC114" s="2" t="str">
        <f t="shared" si="50"/>
        <v/>
      </c>
      <c r="BD114" s="2" t="str">
        <f t="shared" si="50"/>
        <v/>
      </c>
      <c r="BE114" s="2" t="str">
        <f t="shared" si="50"/>
        <v/>
      </c>
      <c r="BF114" s="1">
        <f t="shared" si="91"/>
        <v>0</v>
      </c>
      <c r="BH114" s="2">
        <f t="shared" si="92"/>
        <v>0.1024</v>
      </c>
      <c r="BI114" s="2">
        <f t="shared" si="93"/>
        <v>12.004900000000001</v>
      </c>
      <c r="BJ114" s="2">
        <f t="shared" si="94"/>
        <v>11.902500000000002</v>
      </c>
      <c r="BK114" s="1">
        <f t="shared" si="95"/>
        <v>1.1040000000000001</v>
      </c>
      <c r="BM114" s="1">
        <f t="shared" si="96"/>
        <v>0</v>
      </c>
    </row>
    <row r="115" spans="2:65">
      <c r="B115" s="1"/>
      <c r="C115" s="34">
        <v>70</v>
      </c>
      <c r="D115" s="1" t="str">
        <f t="shared" si="52"/>
        <v>胴体</v>
      </c>
      <c r="E115" s="1">
        <f t="shared" si="53"/>
        <v>3.5</v>
      </c>
      <c r="F115" s="1">
        <f t="shared" si="54"/>
        <v>0</v>
      </c>
      <c r="G115" s="1">
        <f t="shared" si="55"/>
        <v>0.32</v>
      </c>
      <c r="H115" s="2">
        <f t="shared" si="49"/>
        <v>0</v>
      </c>
      <c r="I115" s="2">
        <f t="shared" si="49"/>
        <v>0</v>
      </c>
      <c r="J115" s="2">
        <f t="shared" si="49"/>
        <v>0</v>
      </c>
      <c r="K115" s="1">
        <f t="shared" si="49"/>
        <v>0</v>
      </c>
      <c r="L115" s="1"/>
      <c r="M115" s="1"/>
      <c r="N115" s="1"/>
      <c r="O115" s="1"/>
      <c r="P115" s="1"/>
      <c r="Q115" s="1"/>
      <c r="R115" s="2">
        <f t="shared" si="56"/>
        <v>85.062835944683613</v>
      </c>
      <c r="S115" s="2">
        <f t="shared" si="57"/>
        <v>12.462150431909752</v>
      </c>
      <c r="T115" s="147">
        <f t="shared" si="58"/>
        <v>0</v>
      </c>
      <c r="U115" s="147">
        <f t="shared" si="59"/>
        <v>0</v>
      </c>
      <c r="V115" s="2">
        <f t="shared" si="60"/>
        <v>0</v>
      </c>
      <c r="W115" s="2">
        <f t="shared" si="61"/>
        <v>0</v>
      </c>
      <c r="X115" s="2">
        <f t="shared" si="62"/>
        <v>0</v>
      </c>
      <c r="Y115" s="2">
        <f t="shared" si="63"/>
        <v>0</v>
      </c>
      <c r="Z115" s="2">
        <f t="shared" si="64"/>
        <v>0</v>
      </c>
      <c r="AA115" s="2">
        <f t="shared" si="65"/>
        <v>0</v>
      </c>
      <c r="AB115" s="2">
        <f t="shared" si="66"/>
        <v>0</v>
      </c>
      <c r="AC115" s="2">
        <f t="shared" si="67"/>
        <v>0</v>
      </c>
      <c r="AD115" s="2" t="str">
        <f t="shared" si="68"/>
        <v/>
      </c>
      <c r="AE115" s="2" t="str">
        <f t="shared" si="69"/>
        <v/>
      </c>
      <c r="AF115" s="2" t="str">
        <f t="shared" si="70"/>
        <v/>
      </c>
      <c r="AG115" s="2" t="str">
        <f t="shared" si="51"/>
        <v/>
      </c>
      <c r="AH115" s="2" t="str">
        <f t="shared" si="71"/>
        <v/>
      </c>
      <c r="AI115" s="2" t="str">
        <f t="shared" si="72"/>
        <v/>
      </c>
      <c r="AJ115" s="2" t="str">
        <f t="shared" si="73"/>
        <v/>
      </c>
      <c r="AK115" s="2" t="str">
        <f t="shared" si="74"/>
        <v/>
      </c>
      <c r="AL115" s="2" t="str">
        <f t="shared" si="75"/>
        <v/>
      </c>
      <c r="AM115" s="2" t="str">
        <f t="shared" si="76"/>
        <v/>
      </c>
      <c r="AN115" s="2" t="str">
        <f t="shared" si="77"/>
        <v/>
      </c>
      <c r="AO115" s="2" t="str">
        <f t="shared" si="78"/>
        <v/>
      </c>
      <c r="AP115" s="2" t="str">
        <f t="shared" si="79"/>
        <v/>
      </c>
      <c r="AQ115" s="2" t="str">
        <f t="shared" si="80"/>
        <v/>
      </c>
      <c r="AR115" s="2" t="str">
        <f t="shared" si="81"/>
        <v/>
      </c>
      <c r="AS115" s="2" t="str">
        <f t="shared" si="82"/>
        <v/>
      </c>
      <c r="AT115" s="2" t="str">
        <f t="shared" si="83"/>
        <v/>
      </c>
      <c r="AU115" s="2" t="str">
        <f t="shared" si="84"/>
        <v/>
      </c>
      <c r="AV115" s="2" t="str">
        <f t="shared" si="85"/>
        <v/>
      </c>
      <c r="AW115" s="2" t="str">
        <f t="shared" si="86"/>
        <v/>
      </c>
      <c r="AX115" s="2" t="str">
        <f t="shared" si="87"/>
        <v/>
      </c>
      <c r="AY115" s="2" t="str">
        <f t="shared" si="88"/>
        <v/>
      </c>
      <c r="AZ115" s="2" t="str">
        <f t="shared" si="89"/>
        <v/>
      </c>
      <c r="BA115" s="2" t="str">
        <f t="shared" si="90"/>
        <v/>
      </c>
      <c r="BB115" s="2" t="str">
        <f t="shared" si="50"/>
        <v/>
      </c>
      <c r="BC115" s="2" t="str">
        <f t="shared" si="50"/>
        <v/>
      </c>
      <c r="BD115" s="2" t="str">
        <f t="shared" si="50"/>
        <v/>
      </c>
      <c r="BE115" s="2" t="str">
        <f t="shared" si="50"/>
        <v/>
      </c>
      <c r="BF115" s="1">
        <f t="shared" si="91"/>
        <v>0</v>
      </c>
      <c r="BH115" s="2">
        <f t="shared" si="92"/>
        <v>0.1024</v>
      </c>
      <c r="BI115" s="2">
        <f t="shared" si="93"/>
        <v>12.352399999999999</v>
      </c>
      <c r="BJ115" s="2">
        <f t="shared" si="94"/>
        <v>12.25</v>
      </c>
      <c r="BK115" s="1">
        <f t="shared" si="95"/>
        <v>1.1200000000000001</v>
      </c>
      <c r="BM115" s="1">
        <f t="shared" si="96"/>
        <v>0</v>
      </c>
    </row>
    <row r="116" spans="2:65">
      <c r="B116" s="1"/>
      <c r="C116" s="34">
        <v>71</v>
      </c>
      <c r="D116" s="1" t="str">
        <f t="shared" si="52"/>
        <v>胴体</v>
      </c>
      <c r="E116" s="1">
        <f t="shared" si="53"/>
        <v>3.5500000000000003</v>
      </c>
      <c r="F116" s="1">
        <f t="shared" si="54"/>
        <v>0</v>
      </c>
      <c r="G116" s="1">
        <f t="shared" si="55"/>
        <v>0.32</v>
      </c>
      <c r="H116" s="2">
        <f t="shared" si="49"/>
        <v>0</v>
      </c>
      <c r="I116" s="2">
        <f t="shared" si="49"/>
        <v>0</v>
      </c>
      <c r="J116" s="2">
        <f t="shared" si="49"/>
        <v>0</v>
      </c>
      <c r="K116" s="1">
        <f t="shared" si="49"/>
        <v>0</v>
      </c>
      <c r="L116" s="1"/>
      <c r="M116" s="1"/>
      <c r="N116" s="1"/>
      <c r="O116" s="1"/>
      <c r="P116" s="1"/>
      <c r="Q116" s="1"/>
      <c r="R116" s="2">
        <f t="shared" si="56"/>
        <v>85.062835944683613</v>
      </c>
      <c r="S116" s="2">
        <f t="shared" si="57"/>
        <v>12.462150431909752</v>
      </c>
      <c r="T116" s="147">
        <f t="shared" si="58"/>
        <v>0</v>
      </c>
      <c r="U116" s="147">
        <f t="shared" si="59"/>
        <v>0</v>
      </c>
      <c r="V116" s="2">
        <f t="shared" si="60"/>
        <v>0</v>
      </c>
      <c r="W116" s="2">
        <f t="shared" si="61"/>
        <v>0</v>
      </c>
      <c r="X116" s="2">
        <f t="shared" si="62"/>
        <v>0</v>
      </c>
      <c r="Y116" s="2">
        <f t="shared" si="63"/>
        <v>0</v>
      </c>
      <c r="Z116" s="2">
        <f t="shared" si="64"/>
        <v>0</v>
      </c>
      <c r="AA116" s="2">
        <f t="shared" si="65"/>
        <v>0</v>
      </c>
      <c r="AB116" s="2">
        <f t="shared" si="66"/>
        <v>0</v>
      </c>
      <c r="AC116" s="2">
        <f t="shared" si="67"/>
        <v>0</v>
      </c>
      <c r="AD116" s="2" t="str">
        <f t="shared" si="68"/>
        <v/>
      </c>
      <c r="AE116" s="2" t="str">
        <f t="shared" si="69"/>
        <v/>
      </c>
      <c r="AF116" s="2" t="str">
        <f t="shared" si="70"/>
        <v/>
      </c>
      <c r="AG116" s="2" t="str">
        <f t="shared" si="51"/>
        <v/>
      </c>
      <c r="AH116" s="2" t="str">
        <f t="shared" si="71"/>
        <v/>
      </c>
      <c r="AI116" s="2" t="str">
        <f t="shared" si="72"/>
        <v/>
      </c>
      <c r="AJ116" s="2" t="str">
        <f t="shared" si="73"/>
        <v/>
      </c>
      <c r="AK116" s="2" t="str">
        <f t="shared" si="74"/>
        <v/>
      </c>
      <c r="AL116" s="2" t="str">
        <f t="shared" si="75"/>
        <v/>
      </c>
      <c r="AM116" s="2" t="str">
        <f t="shared" si="76"/>
        <v/>
      </c>
      <c r="AN116" s="2" t="str">
        <f t="shared" si="77"/>
        <v/>
      </c>
      <c r="AO116" s="2" t="str">
        <f t="shared" si="78"/>
        <v/>
      </c>
      <c r="AP116" s="2" t="str">
        <f t="shared" si="79"/>
        <v/>
      </c>
      <c r="AQ116" s="2" t="str">
        <f t="shared" si="80"/>
        <v/>
      </c>
      <c r="AR116" s="2" t="str">
        <f t="shared" si="81"/>
        <v/>
      </c>
      <c r="AS116" s="2" t="str">
        <f t="shared" si="82"/>
        <v/>
      </c>
      <c r="AT116" s="2" t="str">
        <f t="shared" si="83"/>
        <v/>
      </c>
      <c r="AU116" s="2" t="str">
        <f t="shared" si="84"/>
        <v/>
      </c>
      <c r="AV116" s="2" t="str">
        <f t="shared" si="85"/>
        <v/>
      </c>
      <c r="AW116" s="2" t="str">
        <f t="shared" si="86"/>
        <v/>
      </c>
      <c r="AX116" s="2" t="str">
        <f t="shared" si="87"/>
        <v/>
      </c>
      <c r="AY116" s="2" t="str">
        <f t="shared" si="88"/>
        <v/>
      </c>
      <c r="AZ116" s="2" t="str">
        <f t="shared" si="89"/>
        <v/>
      </c>
      <c r="BA116" s="2" t="str">
        <f t="shared" si="90"/>
        <v/>
      </c>
      <c r="BB116" s="2" t="str">
        <f t="shared" si="50"/>
        <v/>
      </c>
      <c r="BC116" s="2" t="str">
        <f t="shared" si="50"/>
        <v/>
      </c>
      <c r="BD116" s="2" t="str">
        <f t="shared" si="50"/>
        <v/>
      </c>
      <c r="BE116" s="2" t="str">
        <f t="shared" si="50"/>
        <v/>
      </c>
      <c r="BF116" s="1">
        <f t="shared" si="91"/>
        <v>0</v>
      </c>
      <c r="BH116" s="2">
        <f t="shared" si="92"/>
        <v>0.1024</v>
      </c>
      <c r="BI116" s="2">
        <f t="shared" si="93"/>
        <v>12.704900000000002</v>
      </c>
      <c r="BJ116" s="2">
        <f t="shared" si="94"/>
        <v>12.602500000000003</v>
      </c>
      <c r="BK116" s="1">
        <f t="shared" si="95"/>
        <v>1.1360000000000001</v>
      </c>
      <c r="BM116" s="1">
        <f t="shared" si="96"/>
        <v>0</v>
      </c>
    </row>
    <row r="117" spans="2:65">
      <c r="B117" s="1"/>
      <c r="C117" s="34"/>
      <c r="D117" s="1"/>
      <c r="E117" s="1">
        <f>E116</f>
        <v>3.5500000000000003</v>
      </c>
      <c r="F117" s="1"/>
      <c r="G117" s="1"/>
      <c r="H117" s="1"/>
      <c r="I117" s="1"/>
      <c r="J117" s="1"/>
      <c r="K117" s="1"/>
      <c r="L117" s="1"/>
      <c r="M117" s="1"/>
      <c r="N117" s="1"/>
      <c r="O117" s="1"/>
      <c r="P117" s="1"/>
      <c r="Q117" s="1"/>
      <c r="R117" s="2"/>
      <c r="S117" s="2"/>
      <c r="T117" s="152"/>
      <c r="U117" s="152"/>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row>
    <row r="118" spans="2:65">
      <c r="C118" s="136"/>
    </row>
    <row r="119" spans="2:65">
      <c r="C119" s="136"/>
    </row>
    <row r="120" spans="2:65">
      <c r="C120" s="136"/>
    </row>
    <row r="121" spans="2:65">
      <c r="C121" s="136"/>
    </row>
    <row r="122" spans="2:65">
      <c r="C122" s="136"/>
    </row>
    <row r="123" spans="2:65">
      <c r="C123" s="136"/>
    </row>
    <row r="124" spans="2:65">
      <c r="C124" s="136"/>
    </row>
    <row r="125" spans="2:65">
      <c r="C125" s="136"/>
    </row>
    <row r="126" spans="2:65">
      <c r="C126" s="136"/>
    </row>
    <row r="127" spans="2:65">
      <c r="C127" s="136"/>
    </row>
  </sheetData>
  <phoneticPr fontId="2"/>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2:K16"/>
  <sheetViews>
    <sheetView zoomScale="60" zoomScaleNormal="60" workbookViewId="0">
      <selection activeCell="K17" sqref="K17"/>
    </sheetView>
  </sheetViews>
  <sheetFormatPr defaultColWidth="8.6640625" defaultRowHeight="19.5"/>
  <cols>
    <col min="7" max="7" width="71.109375" customWidth="1"/>
  </cols>
  <sheetData>
    <row r="2" spans="2:11">
      <c r="B2" t="s">
        <v>1</v>
      </c>
      <c r="C2" t="s">
        <v>903</v>
      </c>
      <c r="D2" t="s">
        <v>434</v>
      </c>
      <c r="E2" t="s">
        <v>744</v>
      </c>
      <c r="F2" t="s">
        <v>140</v>
      </c>
      <c r="G2" t="s">
        <v>908</v>
      </c>
      <c r="H2" t="s">
        <v>904</v>
      </c>
      <c r="K2" t="s">
        <v>747</v>
      </c>
    </row>
    <row r="3" spans="2:11">
      <c r="B3" t="s">
        <v>52</v>
      </c>
      <c r="C3" t="s">
        <v>711</v>
      </c>
      <c r="D3" t="s">
        <v>52</v>
      </c>
      <c r="E3" t="s">
        <v>52</v>
      </c>
      <c r="F3" t="s">
        <v>141</v>
      </c>
      <c r="G3" t="s">
        <v>52</v>
      </c>
      <c r="H3" t="s">
        <v>905</v>
      </c>
      <c r="I3" t="s">
        <v>906</v>
      </c>
      <c r="J3" t="s">
        <v>907</v>
      </c>
    </row>
    <row r="4" spans="2:11">
      <c r="B4" t="s">
        <v>52</v>
      </c>
      <c r="C4" t="s">
        <v>52</v>
      </c>
      <c r="D4" t="s">
        <v>52</v>
      </c>
      <c r="E4" t="s">
        <v>52</v>
      </c>
      <c r="F4" t="s">
        <v>766</v>
      </c>
      <c r="G4" t="s">
        <v>52</v>
      </c>
      <c r="H4" t="s">
        <v>125</v>
      </c>
      <c r="I4" t="s">
        <v>125</v>
      </c>
      <c r="J4" t="s">
        <v>52</v>
      </c>
    </row>
    <row r="5" spans="2:11">
      <c r="B5" t="s">
        <v>559</v>
      </c>
      <c r="G5" t="s">
        <v>912</v>
      </c>
    </row>
    <row r="6" spans="2:11">
      <c r="B6" t="s">
        <v>560</v>
      </c>
    </row>
    <row r="7" spans="2:11">
      <c r="B7" t="s">
        <v>561</v>
      </c>
    </row>
    <row r="8" spans="2:11">
      <c r="B8" t="s">
        <v>562</v>
      </c>
    </row>
    <row r="9" spans="2:11">
      <c r="B9" t="s">
        <v>55</v>
      </c>
    </row>
    <row r="10" spans="2:11">
      <c r="B10" t="s">
        <v>910</v>
      </c>
    </row>
    <row r="11" spans="2:11">
      <c r="B11" t="s">
        <v>48</v>
      </c>
    </row>
    <row r="12" spans="2:11">
      <c r="B12" t="s">
        <v>63</v>
      </c>
    </row>
    <row r="13" spans="2:11">
      <c r="B13" t="s">
        <v>837</v>
      </c>
    </row>
    <row r="14" spans="2:11">
      <c r="B14" t="s">
        <v>909</v>
      </c>
    </row>
    <row r="15" spans="2:11">
      <c r="B15" t="s">
        <v>857</v>
      </c>
    </row>
    <row r="16" spans="2:11">
      <c r="B16" t="s">
        <v>911</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60" zoomScaleNormal="60" workbookViewId="0">
      <selection activeCell="W44" sqref="W44"/>
    </sheetView>
  </sheetViews>
  <sheetFormatPr defaultColWidth="8.6640625" defaultRowHeight="19.5"/>
  <sheetData>
    <row r="2" spans="2:23">
      <c r="B2" s="3" t="s">
        <v>67</v>
      </c>
      <c r="C2" s="3"/>
      <c r="D2" s="3"/>
      <c r="E2" s="3"/>
      <c r="F2" s="31"/>
      <c r="G2" s="31"/>
      <c r="H2" s="31"/>
      <c r="I2" s="31"/>
      <c r="J2" s="3"/>
      <c r="K2" s="3" t="s">
        <v>144</v>
      </c>
      <c r="L2" s="3"/>
      <c r="M2" s="3"/>
      <c r="N2" s="3"/>
      <c r="O2" s="3"/>
      <c r="P2" s="3"/>
      <c r="Q2" s="3"/>
      <c r="R2" s="3"/>
      <c r="S2" s="3"/>
      <c r="T2" s="3"/>
      <c r="U2" s="3"/>
      <c r="V2" s="3"/>
      <c r="W2" s="3"/>
    </row>
    <row r="3" spans="2:23">
      <c r="B3" s="10" t="s">
        <v>68</v>
      </c>
      <c r="C3" s="10" t="s">
        <v>69</v>
      </c>
      <c r="D3" s="10" t="s">
        <v>70</v>
      </c>
      <c r="E3" s="10" t="s">
        <v>71</v>
      </c>
      <c r="F3" s="200" t="s">
        <v>72</v>
      </c>
      <c r="G3" s="200"/>
      <c r="H3" s="200"/>
      <c r="I3" s="200"/>
      <c r="J3" s="3"/>
      <c r="K3" s="3"/>
      <c r="L3" s="3"/>
      <c r="M3" s="3"/>
      <c r="N3" s="3"/>
      <c r="O3" s="3"/>
      <c r="P3" s="3"/>
      <c r="Q3" s="3"/>
      <c r="R3" s="3"/>
      <c r="S3" s="3"/>
      <c r="T3" s="3"/>
      <c r="U3" s="3"/>
      <c r="V3" s="3"/>
      <c r="W3" s="3"/>
    </row>
    <row r="4" spans="2:23">
      <c r="B4" s="1" t="s">
        <v>73</v>
      </c>
      <c r="C4" s="1" t="s">
        <v>74</v>
      </c>
      <c r="D4" s="1">
        <f>D11/(D12*D9)</f>
        <v>1.1643136152857254</v>
      </c>
      <c r="E4" s="1" t="s">
        <v>75</v>
      </c>
      <c r="F4" s="201" t="s">
        <v>76</v>
      </c>
      <c r="G4" s="198"/>
      <c r="H4" s="198"/>
      <c r="I4" s="199"/>
      <c r="J4" s="3"/>
      <c r="K4" s="3"/>
      <c r="L4" s="3"/>
      <c r="M4" s="3"/>
      <c r="N4" s="3"/>
      <c r="O4" s="3"/>
      <c r="P4" s="3"/>
      <c r="Q4" s="3"/>
      <c r="R4" s="3"/>
      <c r="S4" s="3"/>
      <c r="T4" s="3"/>
      <c r="U4" s="3"/>
      <c r="V4" s="3"/>
      <c r="W4" s="3"/>
    </row>
    <row r="5" spans="2:23">
      <c r="B5" s="1" t="s">
        <v>77</v>
      </c>
      <c r="C5" s="1" t="s">
        <v>78</v>
      </c>
      <c r="D5" s="23">
        <v>9.7970000000000006</v>
      </c>
      <c r="E5" s="1" t="s">
        <v>79</v>
      </c>
      <c r="F5" s="201" t="s">
        <v>80</v>
      </c>
      <c r="G5" s="198"/>
      <c r="H5" s="198"/>
      <c r="I5" s="199"/>
      <c r="J5" s="3"/>
      <c r="K5" s="3"/>
      <c r="L5" s="3"/>
      <c r="M5" s="3"/>
      <c r="N5" s="3"/>
      <c r="O5" s="3"/>
      <c r="P5" s="3"/>
      <c r="Q5" s="3"/>
      <c r="R5" s="3"/>
      <c r="S5" s="3"/>
      <c r="T5" s="3"/>
      <c r="U5" s="3"/>
      <c r="V5" s="3"/>
      <c r="W5" s="3"/>
    </row>
    <row r="6" spans="2:23">
      <c r="B6" s="1" t="s">
        <v>81</v>
      </c>
      <c r="C6" s="1" t="s">
        <v>82</v>
      </c>
      <c r="D6" s="32">
        <f>(1.458*(10^-6)*(D9^(3/2)))/(D9+110.4)</f>
        <v>1.8608692424914869E-5</v>
      </c>
      <c r="E6" s="1" t="s">
        <v>83</v>
      </c>
      <c r="F6" s="197" t="s">
        <v>84</v>
      </c>
      <c r="G6" s="198"/>
      <c r="H6" s="198"/>
      <c r="I6" s="199"/>
      <c r="J6" s="3"/>
      <c r="K6" s="3"/>
      <c r="L6" s="3"/>
      <c r="M6" s="3"/>
      <c r="N6" s="3"/>
      <c r="O6" s="3"/>
      <c r="P6" s="3"/>
      <c r="Q6" s="3"/>
      <c r="R6" s="3"/>
      <c r="S6" s="3"/>
      <c r="T6" s="3"/>
      <c r="U6" s="3"/>
      <c r="V6" s="3"/>
      <c r="W6" s="3"/>
    </row>
    <row r="7" spans="2:23">
      <c r="B7" s="1" t="s">
        <v>85</v>
      </c>
      <c r="C7" s="1" t="s">
        <v>86</v>
      </c>
      <c r="D7" s="32">
        <f>D6/D4</f>
        <v>1.5982543002684247E-5</v>
      </c>
      <c r="E7" s="1" t="s">
        <v>87</v>
      </c>
      <c r="F7" s="197" t="s">
        <v>84</v>
      </c>
      <c r="G7" s="198"/>
      <c r="H7" s="198"/>
      <c r="I7" s="199"/>
      <c r="J7" s="3"/>
      <c r="K7" s="3"/>
      <c r="L7" s="3"/>
      <c r="M7" s="3"/>
      <c r="N7" s="3"/>
      <c r="O7" s="3"/>
      <c r="P7" s="3"/>
      <c r="Q7" s="3"/>
      <c r="R7" s="3"/>
      <c r="S7" s="3"/>
      <c r="T7" s="3"/>
      <c r="U7" s="3"/>
      <c r="V7" s="3"/>
      <c r="W7" s="3"/>
    </row>
    <row r="8" spans="2:23">
      <c r="B8" s="1" t="s">
        <v>88</v>
      </c>
      <c r="C8" s="1" t="s">
        <v>89</v>
      </c>
      <c r="D8" s="23">
        <v>30</v>
      </c>
      <c r="E8" s="1" t="s">
        <v>90</v>
      </c>
      <c r="F8" s="197"/>
      <c r="G8" s="198"/>
      <c r="H8" s="198"/>
      <c r="I8" s="199"/>
      <c r="J8" s="3"/>
      <c r="K8" s="3"/>
      <c r="L8" s="3"/>
      <c r="M8" s="3"/>
      <c r="N8" s="3"/>
      <c r="O8" s="3"/>
      <c r="P8" s="3"/>
      <c r="Q8" s="3"/>
      <c r="R8" s="3"/>
      <c r="S8" s="3"/>
      <c r="T8" s="3"/>
      <c r="U8" s="3"/>
      <c r="V8" s="3"/>
      <c r="W8" s="3"/>
    </row>
    <row r="9" spans="2:23">
      <c r="B9" s="1"/>
      <c r="C9" s="1"/>
      <c r="D9" s="1">
        <f>273.15+D8</f>
        <v>303.14999999999998</v>
      </c>
      <c r="E9" s="1" t="s">
        <v>91</v>
      </c>
      <c r="F9" s="197"/>
      <c r="G9" s="198"/>
      <c r="H9" s="198"/>
      <c r="I9" s="199"/>
      <c r="J9" s="3"/>
      <c r="K9" s="3"/>
      <c r="L9" s="3"/>
      <c r="M9" s="3"/>
      <c r="N9" s="3"/>
      <c r="O9" s="3"/>
      <c r="P9" s="3"/>
      <c r="Q9" s="3"/>
      <c r="R9" s="3"/>
      <c r="S9" s="3"/>
      <c r="T9" s="3"/>
      <c r="U9" s="3"/>
      <c r="V9" s="3"/>
      <c r="W9" s="3"/>
    </row>
    <row r="10" spans="2:23">
      <c r="B10" s="1" t="s">
        <v>92</v>
      </c>
      <c r="C10" s="1" t="s">
        <v>93</v>
      </c>
      <c r="D10" s="33">
        <v>1013</v>
      </c>
      <c r="E10" s="1" t="s">
        <v>94</v>
      </c>
      <c r="F10" s="197"/>
      <c r="G10" s="198"/>
      <c r="H10" s="198"/>
      <c r="I10" s="199"/>
      <c r="J10" s="3"/>
      <c r="K10" s="3"/>
      <c r="L10" s="3"/>
      <c r="M10" s="3"/>
      <c r="N10" s="3"/>
      <c r="O10" s="3"/>
      <c r="P10" s="3"/>
      <c r="Q10" s="3"/>
      <c r="R10" s="3"/>
      <c r="S10" s="3"/>
      <c r="T10" s="3"/>
      <c r="U10" s="3"/>
      <c r="V10" s="3"/>
      <c r="W10" s="3"/>
    </row>
    <row r="11" spans="2:23">
      <c r="B11" s="1"/>
      <c r="C11" s="1"/>
      <c r="D11" s="34">
        <f>D10*100</f>
        <v>101300</v>
      </c>
      <c r="E11" s="1" t="s">
        <v>95</v>
      </c>
      <c r="F11" s="197"/>
      <c r="G11" s="198"/>
      <c r="H11" s="198"/>
      <c r="I11" s="199"/>
      <c r="J11" s="3"/>
      <c r="K11" s="3"/>
      <c r="L11" s="3"/>
      <c r="M11" s="3"/>
      <c r="N11" s="3"/>
      <c r="O11" s="3"/>
      <c r="P11" s="3"/>
      <c r="Q11" s="3"/>
      <c r="R11" s="3"/>
      <c r="S11" s="3"/>
      <c r="T11" s="3"/>
      <c r="U11" s="3"/>
      <c r="V11" s="3"/>
      <c r="W11" s="3"/>
    </row>
    <row r="12" spans="2:23">
      <c r="B12" s="1" t="s">
        <v>96</v>
      </c>
      <c r="C12" s="1" t="s">
        <v>97</v>
      </c>
      <c r="D12" s="23">
        <v>287</v>
      </c>
      <c r="E12" s="1" t="s">
        <v>98</v>
      </c>
      <c r="F12" s="197" t="s">
        <v>84</v>
      </c>
      <c r="G12" s="198"/>
      <c r="H12" s="198"/>
      <c r="I12" s="199"/>
      <c r="J12" s="3"/>
      <c r="K12" s="3"/>
      <c r="L12" s="3"/>
      <c r="M12" s="3"/>
      <c r="N12" s="3"/>
      <c r="O12" s="3"/>
      <c r="P12" s="3"/>
      <c r="Q12" s="3"/>
      <c r="R12" s="3"/>
      <c r="S12" s="3"/>
      <c r="T12" s="3"/>
      <c r="U12" s="3"/>
      <c r="V12" s="3"/>
      <c r="W12" s="3"/>
    </row>
    <row r="13" spans="2:23">
      <c r="B13" s="1" t="s">
        <v>99</v>
      </c>
      <c r="C13" s="1" t="s">
        <v>100</v>
      </c>
      <c r="D13" s="23">
        <v>1.4</v>
      </c>
      <c r="E13" s="1" t="s">
        <v>52</v>
      </c>
      <c r="F13" s="197" t="s">
        <v>84</v>
      </c>
      <c r="G13" s="198"/>
      <c r="H13" s="198"/>
      <c r="I13" s="199"/>
      <c r="J13" s="3"/>
      <c r="K13" s="3"/>
      <c r="L13" s="3"/>
      <c r="M13" s="3"/>
      <c r="N13" s="3"/>
      <c r="O13" s="3"/>
      <c r="P13" s="3"/>
      <c r="Q13" s="3"/>
      <c r="R13" s="3"/>
      <c r="S13" s="3"/>
      <c r="T13" s="3"/>
      <c r="U13" s="3"/>
      <c r="V13" s="3"/>
      <c r="W13" s="3"/>
    </row>
    <row r="14" spans="2:23">
      <c r="B14" s="1" t="s">
        <v>101</v>
      </c>
      <c r="C14" s="1" t="s">
        <v>102</v>
      </c>
      <c r="D14" s="1">
        <f>SQRT(D13*D12*D9)</f>
        <v>349.00669048028288</v>
      </c>
      <c r="E14" s="1" t="s">
        <v>103</v>
      </c>
      <c r="F14" s="197" t="s">
        <v>84</v>
      </c>
      <c r="G14" s="198"/>
      <c r="H14" s="198"/>
      <c r="I14" s="199"/>
      <c r="J14" s="3"/>
      <c r="K14" s="3"/>
      <c r="L14" s="3"/>
      <c r="M14" s="3"/>
      <c r="N14" s="3"/>
      <c r="O14" s="3"/>
      <c r="P14" s="3"/>
      <c r="Q14" s="3"/>
      <c r="R14" s="3"/>
      <c r="S14" s="3"/>
      <c r="T14" s="3"/>
      <c r="U14" s="3"/>
      <c r="V14" s="3"/>
      <c r="W14" s="3"/>
    </row>
    <row r="15" spans="2:23">
      <c r="B15" s="1" t="s">
        <v>104</v>
      </c>
      <c r="C15" s="1" t="s">
        <v>105</v>
      </c>
      <c r="D15" s="23">
        <v>0.4</v>
      </c>
      <c r="E15" s="1" t="s">
        <v>52</v>
      </c>
      <c r="F15" s="35" t="s">
        <v>106</v>
      </c>
      <c r="G15" s="36"/>
      <c r="H15" s="36"/>
      <c r="I15" s="37"/>
      <c r="J15" s="3"/>
      <c r="K15" s="3"/>
      <c r="L15" s="3"/>
      <c r="M15" s="3"/>
      <c r="N15" s="3"/>
      <c r="O15" s="3"/>
      <c r="P15" s="3"/>
      <c r="Q15" s="3"/>
      <c r="R15" s="3"/>
      <c r="S15" s="3"/>
      <c r="T15" s="3"/>
      <c r="U15" s="3"/>
      <c r="V15" s="3"/>
      <c r="W15" s="3"/>
    </row>
    <row r="16" spans="2:23">
      <c r="B16" s="1" t="s">
        <v>107</v>
      </c>
      <c r="C16" s="1" t="s">
        <v>108</v>
      </c>
      <c r="D16" s="23">
        <v>0.01</v>
      </c>
      <c r="E16" s="1" t="s">
        <v>52</v>
      </c>
      <c r="F16" s="38" t="s">
        <v>106</v>
      </c>
      <c r="G16" s="36"/>
      <c r="H16" s="36"/>
      <c r="I16" s="37"/>
      <c r="J16" s="3"/>
      <c r="K16" s="3"/>
      <c r="L16" s="3"/>
      <c r="M16" s="3"/>
      <c r="N16" s="3"/>
      <c r="O16" s="3"/>
      <c r="P16" s="3"/>
      <c r="Q16" s="3"/>
      <c r="R16" s="3"/>
      <c r="S16" s="3"/>
      <c r="T16" s="3"/>
      <c r="U16" s="3"/>
      <c r="V16" s="3"/>
      <c r="W16" s="3"/>
    </row>
    <row r="17" spans="1:36">
      <c r="B17" s="3"/>
      <c r="C17" s="3"/>
      <c r="D17" s="3"/>
      <c r="E17" s="3"/>
      <c r="F17" s="3"/>
      <c r="G17" s="3"/>
      <c r="H17" s="3"/>
      <c r="I17" s="3"/>
      <c r="J17" s="3"/>
      <c r="K17" s="3"/>
      <c r="L17" s="3"/>
      <c r="M17" s="3"/>
      <c r="N17" s="3"/>
      <c r="O17" s="3"/>
      <c r="P17" s="3"/>
      <c r="Q17" s="3"/>
      <c r="R17" s="3"/>
      <c r="S17" s="3"/>
      <c r="T17" s="3"/>
      <c r="U17" s="3"/>
      <c r="V17" s="3"/>
      <c r="W17" s="3"/>
    </row>
    <row r="18" spans="1:36">
      <c r="C18" s="3"/>
      <c r="D18" s="3"/>
      <c r="E18" s="3"/>
      <c r="F18" s="3"/>
      <c r="G18" s="3"/>
      <c r="H18" s="3"/>
      <c r="I18" s="3"/>
      <c r="J18" s="3"/>
      <c r="K18" s="3"/>
      <c r="L18" s="3"/>
      <c r="M18" s="3"/>
      <c r="N18" s="3"/>
      <c r="O18" s="3"/>
      <c r="P18" s="3"/>
      <c r="Q18" s="3"/>
      <c r="R18" s="3"/>
      <c r="S18" s="3"/>
      <c r="T18" s="3"/>
      <c r="U18" s="3"/>
      <c r="V18" s="3"/>
      <c r="W18" s="3"/>
    </row>
    <row r="19" spans="1:36">
      <c r="A19" s="3"/>
      <c r="B19" s="3" t="s">
        <v>143</v>
      </c>
      <c r="C19" s="3"/>
      <c r="D19" s="3"/>
      <c r="E19" s="3"/>
      <c r="F19" s="3"/>
      <c r="G19" s="3"/>
      <c r="H19" s="3"/>
      <c r="I19" s="3" t="s">
        <v>147</v>
      </c>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row>
    <row r="20" spans="1:36">
      <c r="A20" s="3"/>
      <c r="B20" s="10" t="s">
        <v>1</v>
      </c>
      <c r="C20" s="10" t="s">
        <v>145</v>
      </c>
      <c r="D20" s="10" t="s">
        <v>146</v>
      </c>
      <c r="E20" s="10" t="s">
        <v>126</v>
      </c>
      <c r="F20" s="10" t="s">
        <v>123</v>
      </c>
      <c r="G20" s="10" t="s">
        <v>72</v>
      </c>
      <c r="H20" s="3"/>
      <c r="I20" s="10" t="s">
        <v>1</v>
      </c>
      <c r="J20" s="10" t="s">
        <v>145</v>
      </c>
      <c r="K20" s="10" t="s">
        <v>146</v>
      </c>
      <c r="L20" s="10" t="s">
        <v>160</v>
      </c>
      <c r="M20" s="10" t="s">
        <v>161</v>
      </c>
      <c r="N20" s="10" t="s">
        <v>72</v>
      </c>
      <c r="O20" s="3"/>
      <c r="P20" s="3"/>
      <c r="Q20" s="3"/>
      <c r="R20" s="3"/>
      <c r="S20" s="3"/>
      <c r="T20" s="3"/>
      <c r="U20" s="3"/>
      <c r="V20" s="3"/>
      <c r="W20" s="3"/>
      <c r="X20" s="3"/>
      <c r="Y20" s="3"/>
      <c r="Z20" s="3"/>
      <c r="AA20" s="3"/>
      <c r="AB20" s="3"/>
      <c r="AC20" s="3"/>
      <c r="AD20" s="3"/>
      <c r="AE20" s="3"/>
      <c r="AF20" s="3"/>
      <c r="AG20" s="3"/>
      <c r="AH20" s="3"/>
      <c r="AI20" s="3"/>
      <c r="AJ20" s="3"/>
    </row>
    <row r="21" spans="1:36" ht="20.25" thickBot="1">
      <c r="A21" s="3"/>
      <c r="B21" s="46" t="s">
        <v>52</v>
      </c>
      <c r="C21" s="46" t="s">
        <v>52</v>
      </c>
      <c r="D21" s="46" t="s">
        <v>75</v>
      </c>
      <c r="E21" s="46" t="s">
        <v>95</v>
      </c>
      <c r="F21" s="46" t="s">
        <v>95</v>
      </c>
      <c r="G21" s="46" t="s">
        <v>52</v>
      </c>
      <c r="H21" s="3"/>
      <c r="I21" s="46" t="s">
        <v>52</v>
      </c>
      <c r="J21" s="46" t="s">
        <v>52</v>
      </c>
      <c r="K21" s="46" t="s">
        <v>75</v>
      </c>
      <c r="L21" s="46" t="s">
        <v>95</v>
      </c>
      <c r="M21" s="46" t="s">
        <v>95</v>
      </c>
      <c r="N21" s="46" t="s">
        <v>52</v>
      </c>
      <c r="O21" s="3"/>
      <c r="P21" s="3"/>
      <c r="Q21" s="3"/>
      <c r="R21" s="3"/>
      <c r="S21" s="3"/>
      <c r="T21" s="3"/>
      <c r="U21" s="3"/>
      <c r="V21" s="3"/>
      <c r="W21" s="3"/>
      <c r="X21" s="3"/>
      <c r="Y21" s="3"/>
      <c r="Z21" s="3"/>
      <c r="AA21" s="3"/>
      <c r="AB21" s="3"/>
      <c r="AC21" s="3"/>
      <c r="AD21" s="3"/>
      <c r="AE21" s="3"/>
      <c r="AF21" s="3"/>
      <c r="AG21" s="3"/>
      <c r="AH21" s="3"/>
      <c r="AI21" s="3"/>
      <c r="AJ21" s="3"/>
    </row>
    <row r="22" spans="1:36" ht="20.25" thickTop="1">
      <c r="A22" s="3"/>
      <c r="B22" s="28" t="s">
        <v>149</v>
      </c>
      <c r="C22" s="28"/>
      <c r="D22" s="59"/>
      <c r="E22" s="59"/>
      <c r="F22" s="59"/>
      <c r="G22" s="28"/>
      <c r="H22" s="3"/>
      <c r="I22" s="28"/>
      <c r="J22" s="28"/>
      <c r="K22" s="28"/>
      <c r="L22" s="28"/>
      <c r="M22" s="28"/>
      <c r="N22" s="28"/>
      <c r="O22" s="3"/>
      <c r="P22" s="3"/>
      <c r="Q22" s="3"/>
      <c r="R22" s="3"/>
      <c r="S22" s="3"/>
      <c r="T22" s="3"/>
      <c r="U22" s="3"/>
      <c r="V22" s="3"/>
      <c r="W22" s="3"/>
      <c r="X22" s="3"/>
      <c r="Y22" s="3"/>
      <c r="Z22" s="3"/>
      <c r="AA22" s="3"/>
      <c r="AB22" s="3"/>
      <c r="AC22" s="3"/>
      <c r="AD22" s="3"/>
      <c r="AE22" s="3"/>
      <c r="AF22" s="3"/>
      <c r="AG22" s="3"/>
      <c r="AH22" s="3"/>
      <c r="AI22" s="3"/>
      <c r="AJ22" s="3"/>
    </row>
    <row r="23" spans="1:36">
      <c r="A23" s="3"/>
      <c r="B23" s="1" t="s">
        <v>150</v>
      </c>
      <c r="C23" s="1"/>
      <c r="D23" s="23"/>
      <c r="E23" s="23"/>
      <c r="F23" s="23"/>
      <c r="G23" s="1"/>
      <c r="H23" s="3"/>
      <c r="I23" s="1"/>
      <c r="J23" s="1"/>
      <c r="K23" s="23"/>
      <c r="L23" s="23"/>
      <c r="M23" s="23"/>
      <c r="N23" s="1"/>
      <c r="O23" s="3"/>
      <c r="P23" s="3"/>
      <c r="Q23" s="3"/>
      <c r="R23" s="3"/>
      <c r="S23" s="3"/>
      <c r="T23" s="3"/>
      <c r="U23" s="3"/>
      <c r="V23" s="3"/>
      <c r="W23" s="3"/>
      <c r="X23" s="3"/>
      <c r="Y23" s="3"/>
      <c r="Z23" s="3"/>
      <c r="AA23" s="3"/>
      <c r="AB23" s="3"/>
      <c r="AC23" s="3"/>
      <c r="AD23" s="3"/>
      <c r="AE23" s="3"/>
      <c r="AF23" s="3"/>
      <c r="AG23" s="3"/>
      <c r="AH23" s="3"/>
      <c r="AI23" s="3"/>
      <c r="AJ23" s="3"/>
    </row>
    <row r="24" spans="1:36">
      <c r="A24" s="3"/>
      <c r="B24" s="1" t="s">
        <v>151</v>
      </c>
      <c r="C24" s="1"/>
      <c r="D24" s="23"/>
      <c r="E24" s="23"/>
      <c r="F24" s="23"/>
      <c r="G24" s="1"/>
      <c r="H24" s="3"/>
      <c r="I24" s="1"/>
      <c r="J24" s="1"/>
      <c r="K24" s="23"/>
      <c r="L24" s="23"/>
      <c r="M24" s="23"/>
      <c r="N24" s="1"/>
      <c r="O24" s="3"/>
      <c r="P24" s="3"/>
      <c r="Q24" s="3"/>
      <c r="R24" s="3"/>
      <c r="S24" s="3"/>
      <c r="T24" s="3"/>
      <c r="U24" s="3"/>
      <c r="V24" s="3"/>
      <c r="W24" s="3"/>
      <c r="X24" s="3"/>
      <c r="Y24" s="3"/>
      <c r="Z24" s="3"/>
      <c r="AA24" s="3"/>
      <c r="AB24" s="3"/>
      <c r="AC24" s="3"/>
      <c r="AD24" s="3"/>
      <c r="AE24" s="3"/>
      <c r="AF24" s="3"/>
      <c r="AG24" s="3"/>
      <c r="AH24" s="3"/>
      <c r="AI24" s="3"/>
      <c r="AJ24" s="3"/>
    </row>
    <row r="25" spans="1:36">
      <c r="A25" s="3"/>
      <c r="B25" s="1" t="s">
        <v>153</v>
      </c>
      <c r="C25" s="1"/>
      <c r="D25" s="23"/>
      <c r="E25" s="23"/>
      <c r="F25" s="23"/>
      <c r="G25" s="1"/>
      <c r="H25" s="3"/>
      <c r="I25" s="1"/>
      <c r="J25" s="1"/>
      <c r="K25" s="23"/>
      <c r="L25" s="23"/>
      <c r="M25" s="23"/>
      <c r="N25" s="1"/>
      <c r="O25" s="3"/>
      <c r="P25" s="3"/>
      <c r="Q25" s="3"/>
      <c r="R25" s="3"/>
      <c r="S25" s="3"/>
      <c r="T25" s="3"/>
      <c r="U25" s="3"/>
      <c r="V25" s="3"/>
      <c r="W25" s="3"/>
      <c r="X25" s="3"/>
      <c r="Y25" s="3"/>
      <c r="Z25" s="3"/>
      <c r="AA25" s="3"/>
      <c r="AB25" s="3"/>
      <c r="AC25" s="3"/>
      <c r="AD25" s="3"/>
      <c r="AE25" s="3"/>
      <c r="AF25" s="3"/>
      <c r="AG25" s="3"/>
      <c r="AH25" s="3"/>
      <c r="AI25" s="3"/>
      <c r="AJ25" s="3"/>
    </row>
    <row r="26" spans="1:36">
      <c r="A26" s="3"/>
      <c r="B26" s="1" t="s">
        <v>152</v>
      </c>
      <c r="C26" s="1"/>
      <c r="D26" s="23"/>
      <c r="E26" s="23"/>
      <c r="F26" s="23"/>
      <c r="G26" s="1"/>
      <c r="H26" s="3"/>
      <c r="I26" s="1"/>
      <c r="J26" s="1"/>
      <c r="K26" s="23"/>
      <c r="L26" s="23"/>
      <c r="M26" s="23"/>
      <c r="N26" s="1"/>
      <c r="O26" s="3"/>
      <c r="P26" s="3"/>
      <c r="Q26" s="3"/>
      <c r="R26" s="3"/>
      <c r="S26" s="3"/>
      <c r="T26" s="3"/>
      <c r="U26" s="3"/>
      <c r="V26" s="3"/>
      <c r="W26" s="3"/>
      <c r="X26" s="3"/>
      <c r="Y26" s="3"/>
      <c r="Z26" s="3"/>
      <c r="AA26" s="3"/>
      <c r="AB26" s="3"/>
      <c r="AC26" s="3"/>
      <c r="AD26" s="3"/>
      <c r="AE26" s="3"/>
      <c r="AF26" s="3"/>
      <c r="AG26" s="3"/>
      <c r="AH26" s="3"/>
      <c r="AI26" s="3"/>
      <c r="AJ26" s="3"/>
    </row>
    <row r="27" spans="1:36" ht="19.5" customHeight="1">
      <c r="A27" s="3"/>
      <c r="B27" s="1" t="s">
        <v>154</v>
      </c>
      <c r="C27" s="1"/>
      <c r="D27" s="23"/>
      <c r="E27" s="23"/>
      <c r="F27" s="23"/>
      <c r="G27" s="1"/>
      <c r="H27" s="3"/>
      <c r="I27" s="1"/>
      <c r="J27" s="1"/>
      <c r="K27" s="23"/>
      <c r="L27" s="23"/>
      <c r="M27" s="23"/>
      <c r="N27" s="1"/>
      <c r="O27" s="3"/>
      <c r="P27" s="3"/>
      <c r="Q27" s="3"/>
      <c r="R27" s="3"/>
      <c r="S27" s="3"/>
      <c r="T27" s="3"/>
      <c r="U27" s="3"/>
      <c r="V27" s="3"/>
      <c r="W27" s="3"/>
      <c r="X27" s="3"/>
      <c r="Y27" s="3"/>
      <c r="Z27" s="3"/>
      <c r="AA27" s="3"/>
      <c r="AB27" s="3"/>
      <c r="AC27" s="3"/>
      <c r="AD27" s="3"/>
      <c r="AE27" s="3"/>
      <c r="AF27" s="3"/>
      <c r="AG27" s="3"/>
      <c r="AH27" s="3"/>
      <c r="AI27" s="3"/>
      <c r="AJ27" s="3"/>
    </row>
    <row r="28" spans="1:36">
      <c r="A28" s="3"/>
      <c r="B28" s="1" t="s">
        <v>155</v>
      </c>
      <c r="C28" s="1"/>
      <c r="D28" s="23"/>
      <c r="E28" s="23"/>
      <c r="F28" s="23"/>
      <c r="G28" s="1"/>
      <c r="H28" s="3"/>
      <c r="I28" s="1"/>
      <c r="J28" s="1"/>
      <c r="K28" s="23"/>
      <c r="L28" s="23"/>
      <c r="M28" s="23"/>
      <c r="N28" s="1"/>
      <c r="O28" s="3"/>
      <c r="P28" s="3"/>
      <c r="Q28" s="3"/>
      <c r="R28" s="3"/>
      <c r="S28" s="3"/>
      <c r="T28" s="3"/>
      <c r="U28" s="3"/>
      <c r="V28" s="3"/>
      <c r="W28" s="3"/>
      <c r="X28" s="3"/>
      <c r="Y28" s="3"/>
      <c r="Z28" s="3"/>
      <c r="AA28" s="3"/>
      <c r="AB28" s="3"/>
      <c r="AC28" s="3"/>
      <c r="AD28" s="3"/>
      <c r="AE28" s="3"/>
      <c r="AF28" s="3"/>
      <c r="AG28" s="3"/>
      <c r="AH28" s="3"/>
      <c r="AI28" s="3"/>
      <c r="AJ28" s="3"/>
    </row>
    <row r="29" spans="1:36">
      <c r="A29" s="3"/>
      <c r="B29" s="1" t="s">
        <v>156</v>
      </c>
      <c r="C29" s="1"/>
      <c r="D29" s="23"/>
      <c r="E29" s="23"/>
      <c r="F29" s="23"/>
      <c r="G29" s="1"/>
      <c r="H29" s="3"/>
      <c r="I29" s="1"/>
      <c r="J29" s="1"/>
      <c r="K29" s="23"/>
      <c r="L29" s="23"/>
      <c r="M29" s="23"/>
      <c r="N29" s="1"/>
      <c r="O29" s="3"/>
      <c r="P29" s="3"/>
      <c r="Q29" s="3"/>
      <c r="R29" s="3"/>
      <c r="S29" s="3"/>
      <c r="T29" s="3"/>
      <c r="U29" s="3"/>
      <c r="V29" s="3"/>
      <c r="W29" s="3"/>
      <c r="X29" s="3"/>
      <c r="Y29" s="3"/>
      <c r="Z29" s="3"/>
      <c r="AA29" s="3"/>
      <c r="AB29" s="3"/>
      <c r="AC29" s="3"/>
      <c r="AD29" s="3"/>
      <c r="AE29" s="3"/>
      <c r="AF29" s="3"/>
      <c r="AG29" s="3"/>
      <c r="AH29" s="3"/>
      <c r="AI29" s="3"/>
      <c r="AJ29" s="3"/>
    </row>
    <row r="30" spans="1:36">
      <c r="A30" s="3"/>
      <c r="B30" s="1" t="s">
        <v>157</v>
      </c>
      <c r="C30" s="1"/>
      <c r="D30" s="23"/>
      <c r="E30" s="23"/>
      <c r="F30" s="23"/>
      <c r="G30" s="1"/>
      <c r="H30" s="3"/>
      <c r="I30" s="1"/>
      <c r="J30" s="1"/>
      <c r="K30" s="23"/>
      <c r="L30" s="23"/>
      <c r="M30" s="23"/>
      <c r="N30" s="1"/>
      <c r="O30" s="3"/>
      <c r="P30" s="3"/>
      <c r="Q30" s="3"/>
      <c r="R30" s="3"/>
      <c r="S30" s="3"/>
      <c r="T30" s="3"/>
      <c r="U30" s="3"/>
      <c r="V30" s="3"/>
      <c r="W30" s="3"/>
      <c r="X30" s="3"/>
      <c r="Y30" s="3"/>
      <c r="Z30" s="3"/>
      <c r="AA30" s="3"/>
      <c r="AB30" s="3"/>
      <c r="AC30" s="3"/>
      <c r="AD30" s="3"/>
      <c r="AE30" s="3"/>
      <c r="AF30" s="3"/>
      <c r="AG30" s="3"/>
      <c r="AH30" s="3"/>
      <c r="AI30" s="3"/>
      <c r="AJ30" s="3"/>
    </row>
    <row r="31" spans="1:36">
      <c r="A31" s="3"/>
      <c r="B31" s="1" t="s">
        <v>158</v>
      </c>
      <c r="C31" s="1"/>
      <c r="D31" s="23"/>
      <c r="E31" s="23"/>
      <c r="F31" s="23"/>
      <c r="G31" s="1"/>
      <c r="H31" s="3"/>
      <c r="I31" s="1"/>
      <c r="J31" s="1"/>
      <c r="K31" s="23"/>
      <c r="L31" s="23"/>
      <c r="M31" s="23"/>
      <c r="N31" s="1"/>
      <c r="O31" s="3"/>
      <c r="P31" s="3"/>
      <c r="Q31" s="3"/>
      <c r="R31" s="3"/>
      <c r="S31" s="3"/>
      <c r="T31" s="3"/>
      <c r="U31" s="3"/>
      <c r="V31" s="3"/>
      <c r="W31" s="3"/>
      <c r="X31" s="3"/>
      <c r="Y31" s="3"/>
      <c r="Z31" s="3"/>
      <c r="AA31" s="3"/>
      <c r="AB31" s="3"/>
      <c r="AC31" s="3"/>
      <c r="AD31" s="3"/>
      <c r="AE31" s="3"/>
      <c r="AF31" s="3"/>
      <c r="AG31" s="3"/>
      <c r="AH31" s="3"/>
      <c r="AI31" s="3"/>
      <c r="AJ31" s="3"/>
    </row>
    <row r="32" spans="1:36">
      <c r="A32" s="3"/>
      <c r="B32" s="1"/>
      <c r="C32" s="1"/>
      <c r="D32" s="23"/>
      <c r="E32" s="23"/>
      <c r="F32" s="23"/>
      <c r="G32" s="1"/>
      <c r="H32" s="3"/>
      <c r="I32" s="1"/>
      <c r="J32" s="1"/>
      <c r="K32" s="23"/>
      <c r="L32" s="23"/>
      <c r="M32" s="23"/>
      <c r="N32" s="1"/>
      <c r="O32" s="3"/>
      <c r="P32" s="3"/>
      <c r="Q32" s="3"/>
      <c r="R32" s="3"/>
      <c r="S32" s="3"/>
      <c r="T32" s="3"/>
      <c r="U32" s="3"/>
      <c r="V32" s="3"/>
      <c r="W32" s="3"/>
      <c r="X32" s="3"/>
      <c r="Y32" s="3"/>
      <c r="Z32" s="3"/>
      <c r="AA32" s="3"/>
      <c r="AB32" s="3"/>
      <c r="AC32" s="3"/>
      <c r="AD32" s="3"/>
      <c r="AE32" s="3"/>
      <c r="AF32" s="3"/>
      <c r="AG32" s="3"/>
      <c r="AH32" s="3"/>
      <c r="AI32" s="3"/>
      <c r="AJ32" s="3"/>
    </row>
    <row r="33" spans="1:36">
      <c r="A33" s="3"/>
      <c r="B33" s="1"/>
      <c r="C33" s="1"/>
      <c r="D33" s="23"/>
      <c r="E33" s="23"/>
      <c r="F33" s="23"/>
      <c r="G33" s="1"/>
      <c r="H33" s="3"/>
      <c r="I33" s="1"/>
      <c r="J33" s="1"/>
      <c r="K33" s="23"/>
      <c r="L33" s="23"/>
      <c r="M33" s="23"/>
      <c r="N33" s="1"/>
      <c r="O33" s="3"/>
      <c r="P33" s="3"/>
      <c r="Q33" s="3"/>
      <c r="R33" s="3"/>
      <c r="S33" s="3"/>
      <c r="T33" s="3"/>
      <c r="U33" s="3"/>
      <c r="V33" s="3"/>
      <c r="W33" s="3"/>
      <c r="X33" s="3"/>
      <c r="Y33" s="3"/>
      <c r="Z33" s="3"/>
      <c r="AA33" s="3"/>
      <c r="AB33" s="3"/>
      <c r="AC33" s="3"/>
      <c r="AD33" s="3"/>
      <c r="AE33" s="3"/>
      <c r="AF33" s="3"/>
      <c r="AG33" s="3"/>
      <c r="AH33" s="3"/>
      <c r="AI33" s="3"/>
      <c r="AJ33" s="3"/>
    </row>
    <row r="34" spans="1:36">
      <c r="A34" s="3"/>
      <c r="B34" s="1"/>
      <c r="C34" s="1"/>
      <c r="D34" s="23"/>
      <c r="E34" s="23"/>
      <c r="F34" s="23"/>
      <c r="G34" s="1"/>
      <c r="H34" s="3"/>
      <c r="I34" s="1"/>
      <c r="J34" s="1"/>
      <c r="K34" s="23"/>
      <c r="L34" s="23"/>
      <c r="M34" s="23"/>
      <c r="N34" s="1"/>
      <c r="O34" s="3"/>
      <c r="P34" s="3"/>
      <c r="Q34" s="3"/>
      <c r="R34" s="3"/>
      <c r="S34" s="3"/>
      <c r="T34" s="3"/>
      <c r="U34" s="3"/>
      <c r="V34" s="3"/>
      <c r="W34" s="3"/>
      <c r="X34" s="3"/>
      <c r="Y34" s="3"/>
      <c r="Z34" s="3"/>
      <c r="AA34" s="3"/>
      <c r="AB34" s="3"/>
      <c r="AC34" s="3"/>
      <c r="AD34" s="3"/>
      <c r="AE34" s="3"/>
      <c r="AF34" s="3"/>
      <c r="AG34" s="3"/>
      <c r="AH34" s="3"/>
      <c r="AI34" s="3"/>
      <c r="AJ34" s="3"/>
    </row>
    <row r="35" spans="1:36">
      <c r="A35" s="3"/>
      <c r="B35" s="1"/>
      <c r="C35" s="1"/>
      <c r="D35" s="23"/>
      <c r="E35" s="23"/>
      <c r="F35" s="23"/>
      <c r="G35" s="1"/>
      <c r="H35" s="3"/>
      <c r="I35" s="1"/>
      <c r="J35" s="1"/>
      <c r="K35" s="23"/>
      <c r="L35" s="23"/>
      <c r="M35" s="23"/>
      <c r="N35" s="1"/>
      <c r="O35" s="3"/>
      <c r="P35" s="3"/>
      <c r="Q35" s="3"/>
      <c r="R35" s="3"/>
      <c r="S35" s="3"/>
      <c r="T35" s="3"/>
      <c r="U35" s="3"/>
      <c r="V35" s="3"/>
      <c r="W35" s="3"/>
      <c r="X35" s="3"/>
      <c r="Y35" s="3"/>
      <c r="Z35" s="3"/>
      <c r="AA35" s="3"/>
      <c r="AB35" s="3"/>
      <c r="AC35" s="3"/>
      <c r="AD35" s="3"/>
      <c r="AE35" s="3"/>
      <c r="AF35" s="3"/>
      <c r="AG35" s="3"/>
      <c r="AH35" s="3"/>
      <c r="AI35" s="3"/>
      <c r="AJ35" s="3"/>
    </row>
    <row r="36" spans="1:36">
      <c r="A36" s="3"/>
      <c r="B36" s="1"/>
      <c r="C36" s="1"/>
      <c r="D36" s="23"/>
      <c r="E36" s="23"/>
      <c r="F36" s="23"/>
      <c r="G36" s="1"/>
      <c r="H36" s="3"/>
      <c r="I36" s="1"/>
      <c r="J36" s="1"/>
      <c r="K36" s="23"/>
      <c r="L36" s="23"/>
      <c r="M36" s="23"/>
      <c r="N36" s="1"/>
      <c r="O36" s="3"/>
      <c r="P36" s="3"/>
      <c r="Q36" s="3"/>
      <c r="R36" s="3"/>
      <c r="S36" s="3"/>
      <c r="T36" s="3"/>
      <c r="U36" s="3"/>
      <c r="V36" s="3"/>
      <c r="W36" s="3"/>
      <c r="X36" s="3"/>
      <c r="Y36" s="3"/>
      <c r="Z36" s="3"/>
      <c r="AA36" s="3"/>
      <c r="AB36" s="3"/>
      <c r="AC36" s="3"/>
      <c r="AD36" s="3"/>
      <c r="AE36" s="3"/>
      <c r="AF36" s="3"/>
      <c r="AG36" s="3"/>
      <c r="AH36" s="3"/>
      <c r="AI36" s="3"/>
      <c r="AJ36" s="3"/>
    </row>
    <row r="37" spans="1:36">
      <c r="A37" s="3"/>
      <c r="B37" s="1"/>
      <c r="C37" s="1"/>
      <c r="D37" s="23"/>
      <c r="E37" s="23"/>
      <c r="F37" s="23"/>
      <c r="G37" s="1"/>
      <c r="H37" s="3"/>
      <c r="I37" s="1"/>
      <c r="J37" s="1"/>
      <c r="K37" s="23"/>
      <c r="L37" s="23"/>
      <c r="M37" s="23"/>
      <c r="N37" s="1"/>
      <c r="O37" s="3"/>
      <c r="P37" s="3"/>
      <c r="Q37" s="3"/>
      <c r="R37" s="3"/>
      <c r="S37" s="3"/>
      <c r="T37" s="3"/>
      <c r="U37" s="3"/>
      <c r="V37" s="3"/>
      <c r="W37" s="3"/>
      <c r="X37" s="3"/>
      <c r="Y37" s="3"/>
      <c r="Z37" s="3"/>
      <c r="AA37" s="3"/>
      <c r="AB37" s="3"/>
      <c r="AC37" s="3"/>
      <c r="AD37" s="3"/>
      <c r="AE37" s="3"/>
      <c r="AF37" s="3"/>
      <c r="AG37" s="3"/>
      <c r="AH37" s="3"/>
      <c r="AI37" s="3"/>
      <c r="AJ37" s="3"/>
    </row>
    <row r="38" spans="1:36">
      <c r="A38" s="3"/>
      <c r="B38" s="1"/>
      <c r="C38" s="1"/>
      <c r="D38" s="23"/>
      <c r="E38" s="23"/>
      <c r="F38" s="23"/>
      <c r="G38" s="1"/>
      <c r="H38" s="3"/>
      <c r="I38" s="1"/>
      <c r="J38" s="1"/>
      <c r="K38" s="23"/>
      <c r="L38" s="23"/>
      <c r="M38" s="23"/>
      <c r="N38" s="1"/>
      <c r="O38" s="3"/>
      <c r="P38" s="3"/>
      <c r="Q38" s="3"/>
      <c r="R38" s="3"/>
      <c r="S38" s="3"/>
      <c r="T38" s="3"/>
      <c r="U38" s="3"/>
      <c r="V38" s="3"/>
      <c r="W38" s="3"/>
      <c r="X38" s="3"/>
      <c r="Y38" s="3"/>
      <c r="Z38" s="3"/>
      <c r="AA38" s="3"/>
      <c r="AB38" s="3"/>
      <c r="AC38" s="3"/>
      <c r="AD38" s="3"/>
      <c r="AE38" s="3"/>
      <c r="AF38" s="3"/>
      <c r="AG38" s="3"/>
      <c r="AH38" s="3"/>
      <c r="AI38" s="3"/>
      <c r="AJ38" s="3"/>
    </row>
    <row r="39" spans="1:36">
      <c r="A39" s="3"/>
      <c r="B39" s="1"/>
      <c r="C39" s="1"/>
      <c r="D39" s="23"/>
      <c r="E39" s="23"/>
      <c r="F39" s="23"/>
      <c r="G39" s="1"/>
      <c r="H39" s="3"/>
      <c r="I39" s="1"/>
      <c r="J39" s="1"/>
      <c r="K39" s="23"/>
      <c r="L39" s="23"/>
      <c r="M39" s="23"/>
      <c r="N39" s="1"/>
      <c r="O39" s="3"/>
      <c r="P39" s="3"/>
      <c r="Q39" s="3"/>
      <c r="R39" s="3"/>
      <c r="S39" s="3"/>
      <c r="T39" s="3"/>
      <c r="U39" s="3"/>
      <c r="V39" s="3"/>
      <c r="W39" s="3"/>
      <c r="X39" s="3"/>
      <c r="Y39" s="3"/>
      <c r="Z39" s="3"/>
      <c r="AA39" s="3"/>
      <c r="AB39" s="3"/>
      <c r="AC39" s="3"/>
      <c r="AD39" s="3"/>
      <c r="AE39" s="3"/>
      <c r="AF39" s="3"/>
      <c r="AG39" s="3"/>
      <c r="AH39" s="3"/>
      <c r="AI39" s="3"/>
      <c r="AJ39" s="3"/>
    </row>
    <row r="40" spans="1:36">
      <c r="A40" s="3"/>
      <c r="B40" s="1"/>
      <c r="C40" s="1"/>
      <c r="D40" s="23"/>
      <c r="E40" s="23"/>
      <c r="F40" s="23"/>
      <c r="G40" s="1"/>
      <c r="H40" s="3"/>
      <c r="I40" s="1"/>
      <c r="J40" s="1"/>
      <c r="K40" s="23"/>
      <c r="L40" s="23"/>
      <c r="M40" s="23"/>
      <c r="N40" s="1"/>
      <c r="O40" s="3"/>
      <c r="P40" s="3"/>
      <c r="Q40" s="3"/>
      <c r="R40" s="3"/>
      <c r="S40" s="3"/>
      <c r="T40" s="3"/>
      <c r="U40" s="3"/>
      <c r="V40" s="3"/>
      <c r="W40" s="3"/>
      <c r="X40" s="3"/>
      <c r="Y40" s="3"/>
      <c r="Z40" s="3"/>
      <c r="AA40" s="3"/>
      <c r="AB40" s="3"/>
      <c r="AC40" s="3"/>
      <c r="AD40" s="3"/>
      <c r="AE40" s="3"/>
      <c r="AF40" s="3"/>
      <c r="AG40" s="3"/>
      <c r="AH40" s="3"/>
      <c r="AI40" s="3"/>
      <c r="AJ40" s="3"/>
    </row>
    <row r="41" spans="1:36">
      <c r="A41" s="3"/>
      <c r="B41" s="1"/>
      <c r="C41" s="1"/>
      <c r="D41" s="23"/>
      <c r="E41" s="23"/>
      <c r="F41" s="23"/>
      <c r="G41" s="1"/>
      <c r="H41" s="3"/>
      <c r="I41" s="1"/>
      <c r="J41" s="1"/>
      <c r="K41" s="23"/>
      <c r="L41" s="23"/>
      <c r="M41" s="23"/>
      <c r="N41" s="1"/>
      <c r="O41" s="3"/>
      <c r="P41" s="3"/>
      <c r="Q41" s="3"/>
      <c r="R41" s="3"/>
      <c r="S41" s="3"/>
      <c r="T41" s="3"/>
      <c r="U41" s="3"/>
      <c r="V41" s="3"/>
      <c r="W41" s="3"/>
      <c r="X41" s="3"/>
      <c r="Y41" s="3"/>
      <c r="Z41" s="3"/>
      <c r="AA41" s="3"/>
      <c r="AB41" s="3"/>
      <c r="AC41" s="3"/>
      <c r="AD41" s="3"/>
      <c r="AE41" s="3"/>
      <c r="AF41" s="3"/>
      <c r="AG41" s="3"/>
      <c r="AH41" s="3"/>
      <c r="AI41" s="3"/>
      <c r="AJ41" s="3"/>
    </row>
    <row r="42" spans="1:36">
      <c r="A42" s="3"/>
      <c r="B42" s="1"/>
      <c r="C42" s="1"/>
      <c r="D42" s="23"/>
      <c r="E42" s="23"/>
      <c r="F42" s="23"/>
      <c r="G42" s="1"/>
      <c r="H42" s="3"/>
      <c r="I42" s="1"/>
      <c r="J42" s="1"/>
      <c r="K42" s="23"/>
      <c r="L42" s="23"/>
      <c r="M42" s="23"/>
      <c r="N42" s="1"/>
      <c r="O42" s="3"/>
      <c r="P42" s="3"/>
      <c r="Q42" s="3"/>
      <c r="R42" s="3"/>
      <c r="S42" s="3"/>
      <c r="T42" s="3"/>
      <c r="U42" s="3"/>
      <c r="V42" s="3"/>
      <c r="W42" s="3"/>
      <c r="X42" s="3"/>
      <c r="Y42" s="3"/>
      <c r="Z42" s="3"/>
      <c r="AA42" s="3"/>
      <c r="AB42" s="3"/>
      <c r="AC42" s="3"/>
      <c r="AD42" s="3"/>
      <c r="AE42" s="3"/>
      <c r="AF42" s="3"/>
      <c r="AG42" s="3"/>
      <c r="AH42" s="3"/>
      <c r="AI42" s="3"/>
      <c r="AJ42" s="3"/>
    </row>
    <row r="43" spans="1:36">
      <c r="A43" s="3"/>
      <c r="B43" s="1"/>
      <c r="C43" s="1"/>
      <c r="D43" s="23"/>
      <c r="E43" s="23"/>
      <c r="F43" s="23"/>
      <c r="G43" s="1"/>
      <c r="H43" s="3"/>
      <c r="I43" s="1"/>
      <c r="J43" s="1"/>
      <c r="K43" s="23"/>
      <c r="L43" s="23"/>
      <c r="M43" s="23"/>
      <c r="N43" s="1"/>
      <c r="O43" s="3"/>
      <c r="P43" s="3"/>
      <c r="Q43" s="3"/>
      <c r="R43" s="3"/>
      <c r="S43" s="3"/>
      <c r="T43" s="3"/>
      <c r="U43" s="3"/>
      <c r="V43" s="3"/>
      <c r="W43" s="3"/>
      <c r="X43" s="3"/>
      <c r="Y43" s="3"/>
      <c r="Z43" s="3"/>
      <c r="AA43" s="3"/>
      <c r="AB43" s="3"/>
      <c r="AC43" s="3"/>
      <c r="AD43" s="3"/>
      <c r="AE43" s="3"/>
      <c r="AF43" s="3"/>
      <c r="AG43" s="3"/>
      <c r="AH43" s="3"/>
      <c r="AI43" s="3"/>
      <c r="AJ43" s="3"/>
    </row>
    <row r="44" spans="1:36">
      <c r="A44" s="3"/>
      <c r="B44" s="1"/>
      <c r="C44" s="1"/>
      <c r="D44" s="23"/>
      <c r="E44" s="23"/>
      <c r="F44" s="23"/>
      <c r="G44" s="1"/>
      <c r="H44" s="3"/>
      <c r="I44" s="1"/>
      <c r="J44" s="1"/>
      <c r="K44" s="23"/>
      <c r="L44" s="23"/>
      <c r="M44" s="23"/>
      <c r="N44" s="1"/>
      <c r="O44" s="3"/>
      <c r="P44" s="3"/>
      <c r="Q44" s="3"/>
      <c r="R44" s="3"/>
      <c r="S44" s="3"/>
      <c r="T44" s="3"/>
      <c r="U44" s="3"/>
      <c r="V44" s="3"/>
      <c r="W44" s="3"/>
      <c r="X44" s="3"/>
      <c r="Y44" s="3"/>
      <c r="Z44" s="3"/>
      <c r="AA44" s="3"/>
      <c r="AB44" s="3"/>
      <c r="AC44" s="3"/>
      <c r="AD44" s="3"/>
      <c r="AE44" s="3"/>
      <c r="AF44" s="3"/>
      <c r="AG44" s="3"/>
      <c r="AH44" s="3"/>
      <c r="AI44" s="3"/>
      <c r="AJ44" s="3"/>
    </row>
    <row r="45" spans="1:36">
      <c r="A45" s="3"/>
      <c r="B45" s="1"/>
      <c r="C45" s="1"/>
      <c r="D45" s="23"/>
      <c r="E45" s="23"/>
      <c r="F45" s="23"/>
      <c r="G45" s="1"/>
      <c r="H45" s="3"/>
      <c r="I45" s="1"/>
      <c r="J45" s="1"/>
      <c r="K45" s="23"/>
      <c r="L45" s="23"/>
      <c r="M45" s="23"/>
      <c r="N45" s="1"/>
      <c r="O45" s="3"/>
      <c r="P45" s="3"/>
      <c r="Q45" s="3"/>
      <c r="R45" s="3"/>
      <c r="S45" s="3"/>
      <c r="T45" s="3"/>
      <c r="U45" s="3"/>
      <c r="V45" s="3"/>
      <c r="W45" s="3"/>
      <c r="X45" s="3"/>
      <c r="Y45" s="3"/>
      <c r="Z45" s="3"/>
      <c r="AA45" s="3"/>
      <c r="AB45" s="3"/>
      <c r="AC45" s="3"/>
      <c r="AD45" s="3"/>
      <c r="AE45" s="3"/>
      <c r="AF45" s="3"/>
      <c r="AG45" s="3"/>
      <c r="AH45" s="3"/>
      <c r="AI45" s="3"/>
      <c r="AJ45" s="3"/>
    </row>
    <row r="46" spans="1:36">
      <c r="A46" s="3"/>
      <c r="B46" s="1"/>
      <c r="C46" s="1"/>
      <c r="D46" s="23"/>
      <c r="E46" s="23"/>
      <c r="F46" s="23"/>
      <c r="G46" s="1"/>
      <c r="H46" s="3"/>
      <c r="I46" s="1"/>
      <c r="J46" s="1"/>
      <c r="K46" s="23"/>
      <c r="L46" s="23"/>
      <c r="M46" s="23"/>
      <c r="N46" s="1"/>
      <c r="O46" s="3"/>
      <c r="P46" s="3"/>
      <c r="Q46" s="3"/>
      <c r="R46" s="3"/>
      <c r="S46" s="3"/>
      <c r="T46" s="3"/>
      <c r="U46" s="3"/>
      <c r="V46" s="3"/>
      <c r="W46" s="3"/>
      <c r="X46" s="3"/>
      <c r="Y46" s="3"/>
      <c r="Z46" s="3"/>
      <c r="AA46" s="3"/>
      <c r="AB46" s="3"/>
      <c r="AC46" s="3"/>
      <c r="AD46" s="3"/>
      <c r="AE46" s="3"/>
      <c r="AF46" s="3"/>
      <c r="AG46" s="3"/>
      <c r="AH46" s="3"/>
      <c r="AI46" s="3"/>
      <c r="AJ46" s="3"/>
    </row>
    <row r="47" spans="1:36">
      <c r="A47" s="3"/>
      <c r="B47" s="1"/>
      <c r="C47" s="1"/>
      <c r="D47" s="23"/>
      <c r="E47" s="23"/>
      <c r="F47" s="23"/>
      <c r="G47" s="1"/>
      <c r="H47" s="3"/>
      <c r="I47" s="1"/>
      <c r="J47" s="1"/>
      <c r="K47" s="23"/>
      <c r="L47" s="23"/>
      <c r="M47" s="23"/>
      <c r="N47" s="1"/>
      <c r="O47" s="3"/>
      <c r="P47" s="3"/>
      <c r="Q47" s="3"/>
      <c r="R47" s="3"/>
      <c r="S47" s="3"/>
      <c r="T47" s="3"/>
      <c r="U47" s="3"/>
      <c r="V47" s="3"/>
      <c r="W47" s="3"/>
      <c r="X47" s="3"/>
      <c r="Y47" s="3"/>
      <c r="Z47" s="3"/>
      <c r="AA47" s="3"/>
      <c r="AB47" s="3"/>
      <c r="AC47" s="3"/>
      <c r="AD47" s="3"/>
      <c r="AE47" s="3"/>
      <c r="AF47" s="3"/>
      <c r="AG47" s="3"/>
      <c r="AH47" s="3"/>
      <c r="AI47" s="3"/>
      <c r="AJ47" s="3"/>
    </row>
    <row r="48" spans="1:36">
      <c r="A48" s="3"/>
      <c r="B48" s="1"/>
      <c r="C48" s="1"/>
      <c r="D48" s="23"/>
      <c r="E48" s="23"/>
      <c r="F48" s="23"/>
      <c r="G48" s="1"/>
      <c r="H48" s="3"/>
      <c r="I48" s="1"/>
      <c r="J48" s="1"/>
      <c r="K48" s="23"/>
      <c r="L48" s="23"/>
      <c r="M48" s="23"/>
      <c r="N48" s="1"/>
      <c r="O48" s="3"/>
      <c r="P48" s="3"/>
      <c r="Q48" s="3"/>
      <c r="R48" s="3"/>
      <c r="S48" s="3"/>
      <c r="T48" s="3"/>
      <c r="U48" s="3"/>
      <c r="V48" s="3"/>
      <c r="W48" s="3"/>
      <c r="X48" s="3"/>
      <c r="Y48" s="3"/>
      <c r="Z48" s="3"/>
      <c r="AA48" s="3"/>
      <c r="AB48" s="3"/>
      <c r="AC48" s="3"/>
      <c r="AD48" s="3"/>
      <c r="AE48" s="3"/>
      <c r="AF48" s="3"/>
      <c r="AG48" s="3"/>
      <c r="AH48" s="3"/>
      <c r="AI48" s="3"/>
      <c r="AJ48" s="3"/>
    </row>
    <row r="49" spans="1:38">
      <c r="A49" s="3"/>
      <c r="B49" s="1"/>
      <c r="C49" s="1"/>
      <c r="D49" s="23"/>
      <c r="E49" s="23"/>
      <c r="F49" s="23"/>
      <c r="G49" s="1"/>
      <c r="H49" s="3"/>
      <c r="I49" s="1"/>
      <c r="J49" s="1"/>
      <c r="K49" s="23"/>
      <c r="L49" s="23"/>
      <c r="M49" s="23"/>
      <c r="N49" s="1"/>
      <c r="O49" s="3"/>
      <c r="P49" s="3"/>
      <c r="Q49" s="3"/>
      <c r="R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109</v>
      </c>
      <c r="C52" s="3"/>
      <c r="D52" s="3"/>
      <c r="E52" s="3"/>
      <c r="F52" s="3"/>
      <c r="G52" s="3"/>
      <c r="H52" s="3"/>
      <c r="I52" s="3" t="s">
        <v>166</v>
      </c>
      <c r="J52" s="3"/>
      <c r="K52" s="3"/>
      <c r="L52" s="3" t="s">
        <v>165</v>
      </c>
      <c r="M52" s="3"/>
      <c r="N52" s="3"/>
      <c r="O52" s="3" t="s">
        <v>164</v>
      </c>
      <c r="P52" s="3"/>
      <c r="Q52" s="3"/>
      <c r="R52" s="3" t="s">
        <v>167</v>
      </c>
      <c r="S52" s="3"/>
      <c r="T52" s="3"/>
      <c r="U52" s="3" t="s">
        <v>136</v>
      </c>
      <c r="V52" s="3"/>
      <c r="W52" s="3" t="s">
        <v>139</v>
      </c>
      <c r="X52" s="3"/>
      <c r="Y52" s="3"/>
      <c r="Z52" s="3"/>
      <c r="AA52" s="3"/>
      <c r="AB52" s="3"/>
      <c r="AC52" s="3"/>
      <c r="AD52" s="3"/>
      <c r="AE52" s="3"/>
      <c r="AF52" s="3"/>
      <c r="AG52" s="3"/>
      <c r="AH52" s="3"/>
      <c r="AI52" s="3"/>
      <c r="AJ52" s="3"/>
    </row>
    <row r="53" spans="1:38">
      <c r="A53" s="3"/>
      <c r="B53" s="10" t="s">
        <v>110</v>
      </c>
      <c r="C53" s="10" t="s">
        <v>145</v>
      </c>
      <c r="D53" s="10" t="s">
        <v>113</v>
      </c>
      <c r="E53" s="10" t="s">
        <v>116</v>
      </c>
      <c r="F53" s="10" t="s">
        <v>118</v>
      </c>
      <c r="G53" s="10" t="s">
        <v>120</v>
      </c>
      <c r="H53" s="12" t="s">
        <v>121</v>
      </c>
      <c r="I53" s="13" t="s">
        <v>123</v>
      </c>
      <c r="J53" s="10" t="s">
        <v>126</v>
      </c>
      <c r="K53" s="53" t="s">
        <v>128</v>
      </c>
      <c r="L53" s="13" t="s">
        <v>123</v>
      </c>
      <c r="M53" s="10" t="s">
        <v>126</v>
      </c>
      <c r="N53" s="53" t="s">
        <v>128</v>
      </c>
      <c r="O53" s="13" t="s">
        <v>123</v>
      </c>
      <c r="P53" s="10" t="s">
        <v>126</v>
      </c>
      <c r="Q53" s="53" t="s">
        <v>128</v>
      </c>
      <c r="R53" s="13" t="s">
        <v>123</v>
      </c>
      <c r="S53" s="10" t="s">
        <v>126</v>
      </c>
      <c r="T53" s="53" t="s">
        <v>128</v>
      </c>
      <c r="U53" s="13" t="s">
        <v>123</v>
      </c>
      <c r="V53" s="53" t="s">
        <v>126</v>
      </c>
      <c r="W53" s="54" t="s">
        <v>123</v>
      </c>
      <c r="X53" s="14" t="s">
        <v>140</v>
      </c>
      <c r="Y53" s="3"/>
      <c r="Z53" s="3"/>
      <c r="AA53" s="3"/>
      <c r="AB53" s="3"/>
      <c r="AC53" s="3"/>
      <c r="AD53" s="3"/>
      <c r="AE53" s="3"/>
      <c r="AF53" s="3"/>
      <c r="AG53" s="3"/>
      <c r="AH53" s="3"/>
      <c r="AI53" s="3"/>
      <c r="AJ53" s="3"/>
    </row>
    <row r="54" spans="1:38">
      <c r="A54" s="3"/>
      <c r="B54" s="10" t="s">
        <v>52</v>
      </c>
      <c r="C54" s="10" t="s">
        <v>52</v>
      </c>
      <c r="D54" s="10" t="s">
        <v>52</v>
      </c>
      <c r="E54" s="10" t="s">
        <v>52</v>
      </c>
      <c r="F54" s="10" t="s">
        <v>52</v>
      </c>
      <c r="G54" s="10" t="s">
        <v>52</v>
      </c>
      <c r="H54" s="12" t="s">
        <v>52</v>
      </c>
      <c r="I54" s="13" t="s">
        <v>124</v>
      </c>
      <c r="J54" s="10" t="s">
        <v>127</v>
      </c>
      <c r="K54" s="53" t="s">
        <v>129</v>
      </c>
      <c r="L54" s="13" t="s">
        <v>130</v>
      </c>
      <c r="M54" s="10" t="s">
        <v>163</v>
      </c>
      <c r="N54" s="53" t="s">
        <v>131</v>
      </c>
      <c r="O54" s="13" t="s">
        <v>132</v>
      </c>
      <c r="P54" s="10" t="s">
        <v>168</v>
      </c>
      <c r="Q54" s="53" t="s">
        <v>133</v>
      </c>
      <c r="R54" s="13" t="s">
        <v>134</v>
      </c>
      <c r="S54" s="10" t="s">
        <v>169</v>
      </c>
      <c r="T54" s="53" t="s">
        <v>170</v>
      </c>
      <c r="U54" s="13" t="s">
        <v>135</v>
      </c>
      <c r="V54" s="53" t="s">
        <v>137</v>
      </c>
      <c r="W54" s="54" t="s">
        <v>138</v>
      </c>
      <c r="X54" s="14" t="s">
        <v>141</v>
      </c>
      <c r="Y54" s="3"/>
      <c r="Z54" s="3"/>
      <c r="AA54" s="3"/>
      <c r="AB54" s="3"/>
      <c r="AC54" s="3"/>
      <c r="AD54" s="3"/>
      <c r="AE54" s="3"/>
      <c r="AF54" s="3"/>
      <c r="AG54" s="3"/>
      <c r="AH54" s="3"/>
      <c r="AI54" s="3"/>
      <c r="AJ54" s="3"/>
    </row>
    <row r="55" spans="1:38" ht="20.25" thickBot="1">
      <c r="A55" s="3"/>
      <c r="B55" s="11" t="s">
        <v>52</v>
      </c>
      <c r="C55" s="11" t="s">
        <v>52</v>
      </c>
      <c r="D55" s="11" t="s">
        <v>52</v>
      </c>
      <c r="E55" s="11" t="s">
        <v>52</v>
      </c>
      <c r="F55" s="11" t="s">
        <v>119</v>
      </c>
      <c r="G55" s="11" t="s">
        <v>178</v>
      </c>
      <c r="H55" s="15" t="s">
        <v>52</v>
      </c>
      <c r="I55" s="16" t="s">
        <v>125</v>
      </c>
      <c r="J55" s="11" t="s">
        <v>125</v>
      </c>
      <c r="K55" s="55" t="s">
        <v>52</v>
      </c>
      <c r="L55" s="16" t="s">
        <v>125</v>
      </c>
      <c r="M55" s="11" t="s">
        <v>125</v>
      </c>
      <c r="N55" s="55" t="s">
        <v>52</v>
      </c>
      <c r="O55" s="16" t="s">
        <v>125</v>
      </c>
      <c r="P55" s="11" t="s">
        <v>125</v>
      </c>
      <c r="Q55" s="55" t="s">
        <v>52</v>
      </c>
      <c r="R55" s="16" t="s">
        <v>125</v>
      </c>
      <c r="S55" s="11" t="s">
        <v>125</v>
      </c>
      <c r="T55" s="55" t="s">
        <v>52</v>
      </c>
      <c r="U55" s="16" t="s">
        <v>125</v>
      </c>
      <c r="V55" s="55" t="s">
        <v>125</v>
      </c>
      <c r="W55" s="56" t="s">
        <v>125</v>
      </c>
      <c r="X55" s="17" t="s">
        <v>142</v>
      </c>
      <c r="Y55" s="3"/>
      <c r="Z55" s="3"/>
      <c r="AA55" s="3"/>
      <c r="AB55" s="3"/>
      <c r="AC55" s="3"/>
      <c r="AD55" s="3"/>
      <c r="AE55" s="3"/>
      <c r="AF55" s="3"/>
      <c r="AG55" s="3"/>
      <c r="AH55" s="3"/>
      <c r="AI55" s="3"/>
      <c r="AJ55" s="3"/>
    </row>
    <row r="56" spans="1:38" ht="20.25" thickTop="1">
      <c r="A56" s="3"/>
      <c r="B56" s="28" t="s">
        <v>111</v>
      </c>
      <c r="C56" s="28" t="s">
        <v>177</v>
      </c>
      <c r="D56" s="28" t="s">
        <v>114</v>
      </c>
      <c r="E56" s="28" t="s">
        <v>117</v>
      </c>
      <c r="F56" s="28">
        <v>150</v>
      </c>
      <c r="G56" s="28">
        <v>33</v>
      </c>
      <c r="H56" s="28" t="s">
        <v>179</v>
      </c>
      <c r="I56" s="59">
        <v>3.1819999999999999</v>
      </c>
      <c r="J56" s="59">
        <v>166</v>
      </c>
      <c r="K56" s="59">
        <v>0.33</v>
      </c>
      <c r="L56" s="59">
        <v>7.5999999999999998E-2</v>
      </c>
      <c r="M56" s="59">
        <v>8</v>
      </c>
      <c r="N56" s="59">
        <v>0.02</v>
      </c>
      <c r="O56" s="59">
        <v>-1.4690000000000001</v>
      </c>
      <c r="P56" s="59">
        <v>147</v>
      </c>
      <c r="Q56" s="59">
        <v>0.36</v>
      </c>
      <c r="R56" s="59">
        <v>-0.18099999999999999</v>
      </c>
      <c r="S56" s="59">
        <v>9.1</v>
      </c>
      <c r="T56" s="59">
        <v>0.02</v>
      </c>
      <c r="U56" s="59">
        <v>0.125</v>
      </c>
      <c r="V56" s="59">
        <v>4</v>
      </c>
      <c r="W56" s="59">
        <v>8.5999999999999993E-2</v>
      </c>
      <c r="X56" s="59">
        <v>0.14699999999999999</v>
      </c>
      <c r="Y56" s="3"/>
      <c r="Z56" s="3"/>
      <c r="AA56" s="3"/>
      <c r="AB56" s="3"/>
      <c r="AC56" s="3"/>
      <c r="AD56" s="3"/>
      <c r="AE56" s="3"/>
      <c r="AF56" s="3"/>
      <c r="AG56" s="3"/>
      <c r="AH56" s="3"/>
      <c r="AI56" s="3"/>
      <c r="AJ56" s="3"/>
    </row>
    <row r="57" spans="1:38">
      <c r="A57" s="3"/>
      <c r="B57" s="1" t="s">
        <v>112</v>
      </c>
      <c r="C57" s="1" t="s">
        <v>180</v>
      </c>
      <c r="D57" s="1" t="s">
        <v>115</v>
      </c>
      <c r="E57" s="1" t="s">
        <v>117</v>
      </c>
      <c r="F57" s="1">
        <v>116</v>
      </c>
      <c r="G57" s="1">
        <v>33</v>
      </c>
      <c r="H57" s="1"/>
      <c r="I57" s="23">
        <v>2.2549999999999999</v>
      </c>
      <c r="J57" s="23">
        <v>215.74600000000001</v>
      </c>
      <c r="K57" s="23">
        <v>0.3</v>
      </c>
      <c r="L57" s="23">
        <v>4.9000000000000002E-2</v>
      </c>
      <c r="M57" s="23">
        <v>7.8449999999999998</v>
      </c>
      <c r="N57" s="23">
        <v>1.0908661110750603E-2</v>
      </c>
      <c r="O57" s="23">
        <v>-1.2258</v>
      </c>
      <c r="P57" s="23">
        <v>194.17140000000001</v>
      </c>
      <c r="Q57" s="23">
        <v>0.3</v>
      </c>
      <c r="R57" s="23">
        <v>-0.18099999999999999</v>
      </c>
      <c r="S57" s="23">
        <v>8.6295000000000002</v>
      </c>
      <c r="T57" s="23">
        <v>1.0908661110750603E-2</v>
      </c>
      <c r="U57" s="23">
        <v>0.125</v>
      </c>
      <c r="V57" s="23">
        <v>4.1188000000000002</v>
      </c>
      <c r="W57" s="23">
        <v>8.8300000000000003E-2</v>
      </c>
      <c r="X57" s="23">
        <v>0.111</v>
      </c>
      <c r="Y57" s="3"/>
      <c r="Z57" s="3"/>
      <c r="AA57" s="3"/>
      <c r="AB57" s="3"/>
      <c r="AC57" s="3"/>
      <c r="AD57" s="3"/>
      <c r="AE57" s="3"/>
      <c r="AF57" s="3"/>
      <c r="AG57" s="3"/>
      <c r="AH57" s="3"/>
      <c r="AI57" s="3"/>
      <c r="AJ57" s="3"/>
    </row>
    <row r="58" spans="1:38">
      <c r="A58" s="3"/>
      <c r="B58" s="3"/>
      <c r="C58" s="3"/>
      <c r="D58" s="3"/>
      <c r="E58" s="3"/>
      <c r="F58" s="3"/>
      <c r="G58" s="3"/>
      <c r="H58" s="3"/>
      <c r="I58" s="3"/>
      <c r="J58" s="3"/>
      <c r="K58" s="3"/>
      <c r="L58" s="3"/>
      <c r="M58" s="3"/>
      <c r="N58" s="3"/>
      <c r="O58" s="3"/>
      <c r="P58" s="3"/>
      <c r="AL58" s="3"/>
    </row>
    <row r="59" spans="1:38">
      <c r="A59" s="3"/>
      <c r="B59" s="3"/>
      <c r="C59" s="3"/>
      <c r="D59" s="3"/>
      <c r="E59" s="3"/>
      <c r="F59" s="3"/>
      <c r="G59" s="3"/>
      <c r="H59" s="3"/>
      <c r="I59" s="3"/>
      <c r="J59" s="3"/>
      <c r="K59" s="3"/>
      <c r="L59" s="3"/>
      <c r="M59" s="3"/>
      <c r="N59" s="3"/>
      <c r="O59" s="3"/>
      <c r="P59" s="3"/>
      <c r="AL59" s="3"/>
    </row>
    <row r="60" spans="1:38">
      <c r="A60" s="3"/>
      <c r="B60" s="3"/>
      <c r="C60" s="3"/>
      <c r="D60" s="3"/>
      <c r="E60" s="3"/>
      <c r="F60" s="3"/>
      <c r="G60" s="3"/>
      <c r="H60" s="3"/>
      <c r="I60" s="3"/>
      <c r="J60" s="3"/>
      <c r="K60" s="3"/>
      <c r="L60" s="3"/>
      <c r="M60" s="3"/>
      <c r="N60" s="3"/>
      <c r="O60" s="3"/>
      <c r="P60" s="3"/>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57"/>
      <c r="D63" s="57"/>
      <c r="E63" s="57"/>
      <c r="F63" s="57"/>
      <c r="G63" s="57"/>
      <c r="H63" s="57"/>
      <c r="I63" s="3"/>
      <c r="J63" s="3"/>
      <c r="K63" s="3"/>
      <c r="L63" s="3"/>
      <c r="M63" s="57"/>
      <c r="N63" s="57"/>
      <c r="O63" s="57"/>
      <c r="P63" s="57"/>
      <c r="Q63" s="57"/>
      <c r="R63" s="57"/>
      <c r="S63" s="3"/>
      <c r="T63" s="3"/>
      <c r="U63" s="3"/>
      <c r="AL63" s="3"/>
    </row>
    <row r="64" spans="1:38">
      <c r="A64" s="3"/>
      <c r="B64" s="3"/>
      <c r="C64" s="57"/>
      <c r="D64" s="57"/>
      <c r="E64" s="57"/>
      <c r="F64" s="57"/>
      <c r="G64" s="57"/>
      <c r="H64" s="57"/>
      <c r="I64" s="3"/>
      <c r="J64" s="3"/>
      <c r="K64" s="3"/>
      <c r="L64" s="3"/>
      <c r="M64" s="57"/>
      <c r="N64" s="57"/>
      <c r="O64" s="57"/>
      <c r="P64" s="57"/>
      <c r="Q64" s="57"/>
      <c r="R64" s="57"/>
      <c r="S64" s="3"/>
      <c r="T64" s="3"/>
      <c r="U64" s="3"/>
      <c r="AL64" s="3"/>
    </row>
    <row r="65" spans="1:38">
      <c r="A65" s="3"/>
      <c r="B65" s="31"/>
      <c r="C65" s="31"/>
      <c r="D65" s="31"/>
      <c r="E65" s="31"/>
      <c r="F65" s="31"/>
      <c r="G65" s="31"/>
      <c r="H65" s="31"/>
      <c r="I65" s="3"/>
      <c r="J65" s="3"/>
      <c r="K65" s="3"/>
      <c r="L65" s="31"/>
      <c r="M65" s="31"/>
      <c r="N65" s="31"/>
      <c r="O65" s="31"/>
      <c r="P65" s="31"/>
      <c r="Q65" s="31"/>
      <c r="R65" s="31"/>
      <c r="S65" s="3"/>
      <c r="T65" s="3"/>
      <c r="U65" s="3"/>
      <c r="AL65" s="3"/>
    </row>
    <row r="66" spans="1:38">
      <c r="A66" s="3"/>
      <c r="B66" s="31"/>
      <c r="C66" s="31"/>
      <c r="D66" s="31"/>
      <c r="E66" s="31"/>
      <c r="F66" s="31"/>
      <c r="G66" s="31"/>
      <c r="H66" s="31"/>
      <c r="I66" s="3"/>
      <c r="J66" s="3"/>
      <c r="K66" s="3"/>
      <c r="L66" s="31"/>
      <c r="M66" s="31"/>
      <c r="N66" s="31"/>
      <c r="O66" s="31"/>
      <c r="P66" s="31"/>
      <c r="Q66" s="31"/>
      <c r="R66" s="31"/>
      <c r="S66" s="3"/>
      <c r="T66" s="3"/>
      <c r="U66" s="3"/>
      <c r="AL66" s="3"/>
    </row>
    <row r="67" spans="1:38">
      <c r="A67" s="3"/>
      <c r="B67" s="31"/>
      <c r="C67" s="31"/>
      <c r="D67" s="31"/>
      <c r="E67" s="31"/>
      <c r="F67" s="31"/>
      <c r="G67" s="31"/>
      <c r="H67" s="31"/>
      <c r="I67" s="3"/>
      <c r="J67" s="3"/>
      <c r="K67" s="3"/>
      <c r="L67" s="31"/>
      <c r="M67" s="31"/>
      <c r="N67" s="31"/>
      <c r="O67" s="31"/>
      <c r="P67" s="31"/>
      <c r="Q67" s="31"/>
      <c r="R67" s="31"/>
      <c r="S67" s="3"/>
      <c r="T67" s="3"/>
      <c r="U67" s="3"/>
      <c r="AL67" s="3"/>
    </row>
    <row r="68" spans="1:38">
      <c r="A68" s="3"/>
      <c r="B68" s="3"/>
      <c r="C68" s="3"/>
      <c r="D68" s="31"/>
      <c r="E68" s="31"/>
      <c r="F68" s="31"/>
      <c r="G68" s="31"/>
      <c r="H68" s="31"/>
      <c r="I68" s="3"/>
      <c r="J68" s="3"/>
      <c r="K68" s="3"/>
      <c r="L68" s="3"/>
      <c r="M68" s="3"/>
      <c r="N68" s="31"/>
      <c r="O68" s="31"/>
      <c r="P68" s="31"/>
      <c r="Q68" s="31"/>
      <c r="R68" s="31"/>
      <c r="S68" s="3"/>
      <c r="T68" s="3"/>
      <c r="U68" s="3"/>
      <c r="AL68" s="3"/>
    </row>
    <row r="69" spans="1:38">
      <c r="A69" s="3"/>
      <c r="B69" s="3"/>
      <c r="C69" s="3"/>
      <c r="D69" s="31"/>
      <c r="E69" s="31"/>
      <c r="F69" s="31"/>
      <c r="G69" s="31"/>
      <c r="H69" s="31"/>
      <c r="I69" s="3"/>
      <c r="J69" s="3"/>
      <c r="K69" s="3"/>
      <c r="L69" s="3"/>
      <c r="M69" s="3"/>
      <c r="N69" s="31"/>
      <c r="O69" s="31"/>
      <c r="P69" s="31"/>
      <c r="Q69" s="31"/>
      <c r="R69" s="31"/>
      <c r="S69" s="3"/>
      <c r="T69" s="3"/>
      <c r="U69" s="3"/>
      <c r="AL69" s="3"/>
    </row>
    <row r="70" spans="1:38">
      <c r="A70" s="31"/>
      <c r="B70" s="58"/>
      <c r="C70" s="58"/>
      <c r="D70" s="58"/>
      <c r="E70" s="58"/>
      <c r="F70" s="58"/>
      <c r="G70" s="58"/>
      <c r="H70" s="58"/>
      <c r="I70" s="3"/>
      <c r="J70" s="3"/>
      <c r="K70" s="31"/>
      <c r="L70" s="58"/>
      <c r="M70" s="58"/>
      <c r="N70" s="58"/>
      <c r="O70" s="58"/>
      <c r="P70" s="58"/>
      <c r="Q70" s="58"/>
      <c r="R70" s="58"/>
      <c r="S70" s="3"/>
      <c r="T70" s="3"/>
      <c r="U70" s="3"/>
      <c r="AL70" s="3"/>
    </row>
    <row r="71" spans="1:38">
      <c r="A71" s="31"/>
      <c r="B71" s="58"/>
      <c r="C71" s="58"/>
      <c r="D71" s="58"/>
      <c r="E71" s="58"/>
      <c r="F71" s="58"/>
      <c r="G71" s="58"/>
      <c r="H71" s="58"/>
      <c r="I71" s="3"/>
      <c r="J71" s="3"/>
      <c r="K71" s="31"/>
      <c r="L71" s="58"/>
      <c r="M71" s="58"/>
      <c r="N71" s="58"/>
      <c r="O71" s="58"/>
      <c r="P71" s="58"/>
      <c r="Q71" s="58"/>
      <c r="R71" s="58"/>
      <c r="S71" s="3"/>
      <c r="T71" s="3"/>
      <c r="U71" s="3"/>
      <c r="AL71" s="3"/>
    </row>
    <row r="72" spans="1:38">
      <c r="A72" s="31"/>
      <c r="B72" s="58"/>
      <c r="C72" s="58"/>
      <c r="D72" s="58"/>
      <c r="E72" s="58"/>
      <c r="F72" s="58"/>
      <c r="G72" s="58"/>
      <c r="H72" s="58"/>
      <c r="I72" s="3"/>
      <c r="J72" s="3"/>
      <c r="K72" s="31"/>
      <c r="L72" s="58"/>
      <c r="M72" s="58"/>
      <c r="N72" s="58"/>
      <c r="O72" s="58"/>
      <c r="P72" s="58"/>
      <c r="Q72" s="58"/>
      <c r="R72" s="58"/>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31"/>
      <c r="P75" s="31"/>
      <c r="Q75" s="31"/>
      <c r="R75" s="31"/>
      <c r="S75" s="3"/>
      <c r="T75" s="3"/>
      <c r="U75" s="3"/>
      <c r="AL75" s="3"/>
    </row>
    <row r="76" spans="1:38">
      <c r="A76" s="3"/>
      <c r="B76" s="3"/>
      <c r="C76" s="3"/>
      <c r="D76" s="3"/>
      <c r="E76" s="3"/>
      <c r="F76" s="3"/>
      <c r="G76" s="3"/>
      <c r="H76" s="3"/>
      <c r="I76" s="3"/>
      <c r="J76" s="3"/>
      <c r="K76" s="3"/>
      <c r="L76" s="3"/>
      <c r="M76" s="3"/>
      <c r="N76" s="3"/>
      <c r="O76" s="31"/>
      <c r="P76" s="31"/>
      <c r="Q76" s="31"/>
      <c r="R76" s="31"/>
      <c r="S76" s="3"/>
      <c r="T76" s="3"/>
      <c r="U76" s="3"/>
      <c r="AL76" s="3"/>
    </row>
    <row r="77" spans="1:38">
      <c r="A77" s="3"/>
      <c r="B77" s="3"/>
      <c r="C77" s="3"/>
      <c r="D77" s="3"/>
      <c r="E77" s="3"/>
      <c r="F77" s="3"/>
      <c r="G77" s="3"/>
      <c r="H77" s="3"/>
      <c r="I77" s="3"/>
      <c r="J77" s="3"/>
      <c r="K77" s="3"/>
      <c r="L77" s="3"/>
      <c r="M77" s="3"/>
      <c r="N77" s="3"/>
      <c r="O77" s="31"/>
      <c r="P77" s="31"/>
      <c r="Q77" s="31"/>
      <c r="R77" s="31"/>
      <c r="S77" s="3"/>
      <c r="T77" s="3"/>
      <c r="U77" s="3"/>
      <c r="AL77" s="3"/>
    </row>
    <row r="78" spans="1:38">
      <c r="A78" s="3"/>
      <c r="B78" s="3"/>
      <c r="C78" s="3"/>
      <c r="D78" s="3"/>
      <c r="E78" s="3"/>
      <c r="F78" s="3"/>
      <c r="G78" s="3"/>
      <c r="H78" s="3"/>
      <c r="I78" s="3"/>
      <c r="J78" s="3"/>
      <c r="K78" s="3"/>
      <c r="L78" s="3"/>
      <c r="M78" s="3"/>
      <c r="N78" s="3"/>
      <c r="O78" s="31"/>
      <c r="P78" s="31"/>
      <c r="Q78" s="31"/>
      <c r="R78" s="31"/>
      <c r="S78" s="3"/>
      <c r="T78" s="3"/>
      <c r="U78" s="3"/>
      <c r="AL78" s="3"/>
    </row>
    <row r="79" spans="1:38">
      <c r="A79" s="3"/>
      <c r="B79" s="3"/>
      <c r="C79" s="3"/>
      <c r="D79" s="3"/>
      <c r="E79" s="3"/>
      <c r="F79" s="3"/>
      <c r="G79" s="3"/>
      <c r="H79" s="3"/>
      <c r="I79" s="3"/>
      <c r="J79" s="3"/>
      <c r="K79" s="3"/>
      <c r="L79" s="3"/>
      <c r="M79" s="3"/>
      <c r="N79" s="3"/>
      <c r="O79" s="31"/>
      <c r="P79" s="31"/>
      <c r="Q79" s="31"/>
      <c r="R79" s="31"/>
      <c r="S79" s="3"/>
      <c r="T79" s="3"/>
      <c r="U79" s="3"/>
      <c r="AL79" s="3"/>
    </row>
    <row r="80" spans="1:38">
      <c r="A80" s="3"/>
      <c r="B80" s="3"/>
      <c r="C80" s="3"/>
      <c r="D80" s="3"/>
      <c r="E80" s="3"/>
      <c r="F80" s="3"/>
      <c r="G80" s="3"/>
      <c r="H80" s="3"/>
      <c r="I80" s="3"/>
      <c r="J80" s="3"/>
      <c r="K80" s="3"/>
      <c r="L80" s="3"/>
      <c r="M80" s="3"/>
      <c r="N80" s="3"/>
      <c r="O80" s="31"/>
      <c r="P80" s="31"/>
      <c r="Q80" s="31"/>
      <c r="R80" s="31"/>
      <c r="S80" s="3"/>
      <c r="T80" s="3"/>
      <c r="U80" s="3"/>
      <c r="AL80" s="3"/>
    </row>
    <row r="81" spans="1:38">
      <c r="A81" s="3"/>
      <c r="B81" s="3"/>
      <c r="C81" s="3"/>
      <c r="D81" s="3"/>
      <c r="E81" s="3"/>
      <c r="F81" s="3"/>
      <c r="G81" s="3"/>
      <c r="H81" s="3"/>
      <c r="I81" s="3"/>
      <c r="J81" s="3"/>
      <c r="K81" s="3"/>
      <c r="L81" s="3"/>
      <c r="M81" s="3"/>
      <c r="N81" s="3"/>
      <c r="O81" s="31"/>
      <c r="P81" s="31"/>
      <c r="Q81" s="31"/>
      <c r="R81" s="31"/>
      <c r="S81" s="3"/>
      <c r="T81" s="3"/>
      <c r="U81" s="3"/>
      <c r="AL81" s="3"/>
    </row>
    <row r="82" spans="1:38">
      <c r="A82" s="3"/>
      <c r="B82" s="3"/>
      <c r="C82" s="3"/>
      <c r="D82" s="3"/>
      <c r="E82" s="3"/>
      <c r="F82" s="3"/>
      <c r="G82" s="3"/>
      <c r="H82" s="3"/>
      <c r="I82" s="3"/>
      <c r="J82" s="3"/>
      <c r="K82" s="3"/>
      <c r="L82" s="3"/>
      <c r="M82" s="3"/>
      <c r="N82" s="3"/>
      <c r="O82" s="31"/>
      <c r="P82" s="31"/>
      <c r="Q82" s="31"/>
      <c r="R82" s="31"/>
      <c r="S82" s="3"/>
      <c r="T82" s="3"/>
      <c r="U82" s="3"/>
      <c r="AL82" s="3"/>
    </row>
    <row r="83" spans="1:38">
      <c r="A83" s="3"/>
      <c r="B83" s="3"/>
      <c r="C83" s="3"/>
      <c r="D83" s="3"/>
      <c r="E83" s="3"/>
      <c r="F83" s="3"/>
      <c r="G83" s="3"/>
      <c r="H83" s="3"/>
      <c r="I83" s="3"/>
      <c r="J83" s="3"/>
      <c r="K83" s="3"/>
      <c r="L83" s="3"/>
      <c r="M83" s="3"/>
      <c r="N83" s="3"/>
      <c r="O83" s="31"/>
      <c r="P83" s="31"/>
      <c r="Q83" s="31"/>
      <c r="R83" s="31"/>
      <c r="S83" s="3"/>
      <c r="T83" s="3"/>
      <c r="U83" s="3"/>
      <c r="AL83" s="3"/>
    </row>
    <row r="84" spans="1:38">
      <c r="A84" s="3"/>
      <c r="B84" s="3"/>
      <c r="C84" s="3"/>
      <c r="D84" s="3"/>
      <c r="E84" s="3"/>
      <c r="F84" s="3"/>
      <c r="G84" s="3"/>
      <c r="H84" s="3"/>
      <c r="I84" s="3"/>
      <c r="J84" s="3"/>
      <c r="K84" s="3"/>
      <c r="L84" s="3"/>
      <c r="M84" s="3"/>
      <c r="N84" s="3"/>
      <c r="O84" s="31"/>
      <c r="P84" s="31"/>
      <c r="Q84" s="31"/>
      <c r="R84" s="31"/>
      <c r="S84" s="3"/>
      <c r="T84" s="3"/>
      <c r="U84" s="3"/>
      <c r="AL84" s="3"/>
    </row>
    <row r="85" spans="1:38">
      <c r="A85" s="3"/>
      <c r="B85" s="3"/>
      <c r="C85" s="3"/>
      <c r="D85" s="3"/>
      <c r="E85" s="3"/>
      <c r="F85" s="3"/>
      <c r="G85" s="3"/>
      <c r="H85" s="3"/>
      <c r="I85" s="3"/>
      <c r="J85" s="3"/>
      <c r="K85" s="3"/>
      <c r="L85" s="3"/>
      <c r="M85" s="3"/>
      <c r="N85" s="3"/>
      <c r="O85" s="31"/>
      <c r="P85" s="31"/>
      <c r="Q85" s="31"/>
      <c r="R85" s="31"/>
      <c r="S85" s="3"/>
      <c r="T85" s="3"/>
      <c r="U85" s="3"/>
      <c r="AL85" s="3"/>
    </row>
    <row r="86" spans="1:38">
      <c r="A86" s="3"/>
      <c r="B86" s="3"/>
      <c r="C86" s="3"/>
      <c r="D86" s="3"/>
      <c r="E86" s="3"/>
      <c r="F86" s="3"/>
      <c r="G86" s="3"/>
      <c r="H86" s="3"/>
      <c r="I86" s="3"/>
      <c r="J86" s="3"/>
      <c r="K86" s="3"/>
      <c r="L86" s="3"/>
      <c r="M86" s="3"/>
      <c r="N86" s="3"/>
      <c r="O86" s="31"/>
      <c r="P86" s="31"/>
      <c r="Q86" s="31"/>
      <c r="R86" s="31"/>
      <c r="S86" s="3"/>
      <c r="T86" s="3"/>
      <c r="U86" s="3"/>
      <c r="AL86" s="3"/>
    </row>
    <row r="87" spans="1:38">
      <c r="A87" s="3"/>
      <c r="B87" s="3"/>
      <c r="C87" s="3"/>
      <c r="D87" s="3"/>
      <c r="E87" s="3"/>
      <c r="F87" s="3"/>
      <c r="G87" s="3"/>
      <c r="H87" s="3"/>
      <c r="I87" s="3"/>
      <c r="J87" s="3"/>
      <c r="K87" s="3"/>
      <c r="L87" s="3"/>
      <c r="M87" s="3"/>
      <c r="N87" s="3"/>
      <c r="O87" s="31"/>
      <c r="P87" s="31"/>
      <c r="Q87" s="31"/>
      <c r="R87" s="31"/>
      <c r="S87" s="3"/>
      <c r="T87" s="3"/>
      <c r="U87" s="3"/>
      <c r="AL87" s="3"/>
    </row>
    <row r="88" spans="1:38">
      <c r="A88" s="3"/>
      <c r="B88" s="3"/>
      <c r="C88" s="3"/>
      <c r="D88" s="3"/>
      <c r="E88" s="3"/>
      <c r="F88" s="3"/>
      <c r="G88" s="3"/>
      <c r="H88" s="3"/>
      <c r="I88" s="3"/>
      <c r="J88" s="3"/>
      <c r="K88" s="3"/>
      <c r="L88" s="3"/>
      <c r="M88" s="3"/>
      <c r="N88" s="3"/>
      <c r="O88" s="31"/>
      <c r="P88" s="31"/>
      <c r="Q88" s="31"/>
      <c r="R88" s="31"/>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31"/>
      <c r="P89" s="31"/>
      <c r="Q89" s="31"/>
      <c r="R89" s="31"/>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31"/>
      <c r="P90" s="31"/>
      <c r="Q90" s="31"/>
      <c r="R90" s="31"/>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31"/>
      <c r="P91" s="31"/>
      <c r="Q91" s="31"/>
      <c r="R91" s="31"/>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2">
    <mergeCell ref="F14:I14"/>
    <mergeCell ref="F3:I3"/>
    <mergeCell ref="F4:I4"/>
    <mergeCell ref="F5:I5"/>
    <mergeCell ref="F6:I6"/>
    <mergeCell ref="F7:I7"/>
    <mergeCell ref="F8:I8"/>
    <mergeCell ref="F9:I9"/>
    <mergeCell ref="F10:I10"/>
    <mergeCell ref="F11:I11"/>
    <mergeCell ref="F12:I12"/>
    <mergeCell ref="F13:I13"/>
  </mergeCells>
  <phoneticPr fontId="2"/>
  <hyperlinks>
    <hyperlink ref="F4" r:id="rId1" xr:uid="{C6B42BBF-4995-429F-A45D-BE567FE19C78}"/>
    <hyperlink ref="F5" r:id="rId2" xr:uid="{BAD3EEDA-54CC-4BFD-B693-7660153C2744}"/>
  </hyperlinks>
  <pageMargins left="0.7" right="0.7" top="0.75" bottom="0.75" header="0.3" footer="0.3"/>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0271-0193-4517-AB06-22FDA15D2C93}">
  <sheetPr codeName="Sheet14">
    <tabColor theme="2" tint="-0.249977111117893"/>
  </sheetPr>
  <dimension ref="B2:F21"/>
  <sheetViews>
    <sheetView zoomScale="70" zoomScaleNormal="70" workbookViewId="0">
      <selection activeCell="U28" sqref="U28"/>
    </sheetView>
  </sheetViews>
  <sheetFormatPr defaultColWidth="8.6640625" defaultRowHeight="19.5"/>
  <sheetData>
    <row r="2" spans="2:6">
      <c r="B2" t="s">
        <v>942</v>
      </c>
    </row>
    <row r="3" spans="2:6">
      <c r="B3" s="10" t="s">
        <v>944</v>
      </c>
      <c r="C3" s="12" t="s">
        <v>943</v>
      </c>
      <c r="D3" s="10" t="s">
        <v>622</v>
      </c>
      <c r="E3" s="10" t="s">
        <v>945</v>
      </c>
    </row>
    <row r="4" spans="2:6" ht="20.25" thickBot="1">
      <c r="B4" s="11" t="s">
        <v>10</v>
      </c>
      <c r="C4" s="15" t="s">
        <v>103</v>
      </c>
      <c r="D4" s="11" t="s">
        <v>437</v>
      </c>
      <c r="E4" s="11" t="s">
        <v>52</v>
      </c>
    </row>
    <row r="5" spans="2:6" ht="20.25" thickTop="1">
      <c r="B5" s="4">
        <v>100</v>
      </c>
      <c r="C5" s="5">
        <v>10</v>
      </c>
      <c r="D5" s="4">
        <v>18</v>
      </c>
      <c r="E5" s="4">
        <v>1</v>
      </c>
      <c r="F5" t="s">
        <v>949</v>
      </c>
    </row>
    <row r="7" spans="2:6">
      <c r="B7" t="s">
        <v>946</v>
      </c>
    </row>
    <row r="8" spans="2:6">
      <c r="B8" s="10" t="s">
        <v>903</v>
      </c>
      <c r="C8" s="12" t="s">
        <v>908</v>
      </c>
      <c r="D8" s="13" t="s">
        <v>123</v>
      </c>
      <c r="E8" s="14" t="s">
        <v>947</v>
      </c>
    </row>
    <row r="9" spans="2:6" ht="20.25" thickBot="1">
      <c r="B9" s="11" t="s">
        <v>10</v>
      </c>
      <c r="C9" s="15" t="s">
        <v>10</v>
      </c>
      <c r="D9" s="16" t="s">
        <v>125</v>
      </c>
      <c r="E9" s="17" t="s">
        <v>125</v>
      </c>
    </row>
    <row r="10" spans="2:6" ht="20.25" thickTop="1">
      <c r="B10" s="4">
        <v>3</v>
      </c>
      <c r="C10" s="5">
        <v>1</v>
      </c>
      <c r="D10" s="6">
        <f>B10+C10</f>
        <v>4</v>
      </c>
      <c r="E10" s="7" t="e">
        <f>#REF!*C10/(B10+C10)</f>
        <v>#REF!</v>
      </c>
    </row>
    <row r="12" spans="2:6">
      <c r="B12" t="s">
        <v>948</v>
      </c>
    </row>
    <row r="18" spans="2:6">
      <c r="B18" s="3" t="s">
        <v>313</v>
      </c>
      <c r="C18" s="3"/>
      <c r="D18" s="3"/>
      <c r="E18" s="3"/>
      <c r="F18" s="3"/>
    </row>
    <row r="19" spans="2:6">
      <c r="B19" s="10" t="s">
        <v>7</v>
      </c>
      <c r="C19" s="12" t="s">
        <v>8</v>
      </c>
      <c r="D19" s="10" t="s">
        <v>6</v>
      </c>
      <c r="E19" s="13" t="s">
        <v>12</v>
      </c>
      <c r="F19" s="14" t="s">
        <v>11</v>
      </c>
    </row>
    <row r="20" spans="2:6" ht="20.25" thickBot="1">
      <c r="B20" s="11" t="s">
        <v>10</v>
      </c>
      <c r="C20" s="15" t="s">
        <v>10</v>
      </c>
      <c r="D20" s="11" t="s">
        <v>9</v>
      </c>
      <c r="E20" s="16" t="s">
        <v>10</v>
      </c>
      <c r="F20" s="17" t="s">
        <v>9</v>
      </c>
    </row>
    <row r="21" spans="2:6" ht="20.25" thickTop="1">
      <c r="B21" s="4">
        <v>3</v>
      </c>
      <c r="C21" s="5">
        <v>1</v>
      </c>
      <c r="D21" s="4">
        <v>1</v>
      </c>
      <c r="E21" s="6">
        <f>B21+C21</f>
        <v>4</v>
      </c>
      <c r="F21" s="7">
        <f>D21*C21/(B21+C21)</f>
        <v>0.25</v>
      </c>
    </row>
  </sheetData>
  <phoneticPr fontId="2"/>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70" zoomScaleNormal="70" workbookViewId="0">
      <selection activeCell="AC15" sqref="AC15"/>
    </sheetView>
  </sheetViews>
  <sheetFormatPr defaultColWidth="8.6640625" defaultRowHeight="19.5"/>
  <sheetData>
    <row r="2" spans="2:27">
      <c r="B2" s="31"/>
      <c r="C2" s="10" t="s">
        <v>210</v>
      </c>
      <c r="D2" s="10" t="s">
        <v>211</v>
      </c>
      <c r="E2" s="10" t="s">
        <v>212</v>
      </c>
      <c r="K2" s="62"/>
      <c r="L2" s="62"/>
      <c r="M2" s="62"/>
      <c r="N2" s="62"/>
      <c r="O2" s="62"/>
      <c r="P2" s="62"/>
      <c r="S2" s="62"/>
      <c r="T2" s="62"/>
      <c r="U2" s="62"/>
      <c r="V2" s="62"/>
      <c r="W2" s="62"/>
      <c r="X2" s="62"/>
      <c r="Y2" s="62"/>
      <c r="Z2" s="62"/>
      <c r="AA2" s="62"/>
    </row>
    <row r="3" spans="2:27">
      <c r="B3" s="63"/>
      <c r="C3" s="204" t="s">
        <v>213</v>
      </c>
      <c r="D3" s="204"/>
      <c r="E3" s="204"/>
      <c r="F3" s="64">
        <v>2023</v>
      </c>
      <c r="G3" s="64">
        <v>2022</v>
      </c>
      <c r="H3" s="64">
        <v>2021</v>
      </c>
      <c r="I3" s="64">
        <v>2020</v>
      </c>
      <c r="J3" s="64">
        <v>2019</v>
      </c>
      <c r="K3" s="64">
        <v>2018</v>
      </c>
      <c r="L3" s="64">
        <v>2017</v>
      </c>
      <c r="M3" s="64">
        <v>2016</v>
      </c>
      <c r="N3" s="64">
        <v>2015</v>
      </c>
      <c r="O3" s="64">
        <v>2014</v>
      </c>
      <c r="P3" s="64">
        <v>2013</v>
      </c>
      <c r="Q3" s="64">
        <v>2012</v>
      </c>
      <c r="R3" s="64">
        <v>2011</v>
      </c>
      <c r="S3" s="64">
        <v>2010</v>
      </c>
      <c r="T3" s="64">
        <v>2009</v>
      </c>
      <c r="U3" s="64">
        <v>2008</v>
      </c>
      <c r="V3" s="64">
        <v>2007</v>
      </c>
      <c r="W3" s="64">
        <v>2006</v>
      </c>
      <c r="X3" s="64">
        <v>2005</v>
      </c>
      <c r="Y3" s="64">
        <v>2004</v>
      </c>
      <c r="Z3" s="64">
        <v>2003</v>
      </c>
    </row>
    <row r="4" spans="2:27">
      <c r="B4" s="31"/>
      <c r="C4" s="205" t="s">
        <v>214</v>
      </c>
      <c r="D4" s="205"/>
      <c r="E4" s="205"/>
      <c r="F4" s="1" t="s">
        <v>215</v>
      </c>
      <c r="G4" s="65" t="s">
        <v>216</v>
      </c>
      <c r="H4" s="65" t="s">
        <v>217</v>
      </c>
      <c r="I4" s="65" t="s">
        <v>218</v>
      </c>
      <c r="J4" s="65" t="s">
        <v>219</v>
      </c>
      <c r="K4" s="65" t="s">
        <v>220</v>
      </c>
      <c r="L4" s="65" t="s">
        <v>221</v>
      </c>
      <c r="M4" s="65" t="s">
        <v>222</v>
      </c>
      <c r="N4" s="65" t="s">
        <v>223</v>
      </c>
      <c r="O4" s="65" t="s">
        <v>224</v>
      </c>
      <c r="P4" s="65" t="s">
        <v>225</v>
      </c>
      <c r="Q4" s="65" t="s">
        <v>226</v>
      </c>
      <c r="R4" s="65" t="s">
        <v>227</v>
      </c>
      <c r="S4" s="65" t="s">
        <v>228</v>
      </c>
      <c r="T4" s="65" t="s">
        <v>229</v>
      </c>
      <c r="U4" s="65" t="s">
        <v>230</v>
      </c>
      <c r="V4" s="65" t="s">
        <v>231</v>
      </c>
      <c r="W4" s="65" t="s">
        <v>232</v>
      </c>
      <c r="X4" s="65" t="s">
        <v>233</v>
      </c>
      <c r="Y4" s="65" t="s">
        <v>234</v>
      </c>
      <c r="Z4" s="65" t="s">
        <v>235</v>
      </c>
    </row>
    <row r="5" spans="2:27">
      <c r="B5" s="31"/>
      <c r="C5" s="205" t="s">
        <v>53</v>
      </c>
      <c r="D5" s="205"/>
      <c r="E5" s="205"/>
      <c r="F5" s="1" t="s">
        <v>236</v>
      </c>
      <c r="G5" s="65" t="s">
        <v>237</v>
      </c>
      <c r="H5" s="65" t="s">
        <v>238</v>
      </c>
      <c r="I5" s="65" t="s">
        <v>239</v>
      </c>
      <c r="J5" s="65" t="s">
        <v>240</v>
      </c>
      <c r="K5" s="65" t="s">
        <v>240</v>
      </c>
      <c r="L5" s="65" t="s">
        <v>241</v>
      </c>
      <c r="M5" s="65" t="s">
        <v>241</v>
      </c>
      <c r="N5" s="65" t="s">
        <v>242</v>
      </c>
      <c r="O5" s="65" t="s">
        <v>242</v>
      </c>
      <c r="P5" s="65" t="s">
        <v>242</v>
      </c>
      <c r="Q5" s="65" t="s">
        <v>243</v>
      </c>
      <c r="R5" s="65" t="s">
        <v>243</v>
      </c>
      <c r="S5" s="65" t="s">
        <v>243</v>
      </c>
      <c r="T5" s="65" t="s">
        <v>243</v>
      </c>
      <c r="U5" s="65" t="s">
        <v>244</v>
      </c>
      <c r="V5" s="65" t="s">
        <v>245</v>
      </c>
      <c r="W5" s="65" t="s">
        <v>245</v>
      </c>
      <c r="X5" s="65" t="s">
        <v>245</v>
      </c>
      <c r="Y5" s="65" t="s">
        <v>246</v>
      </c>
      <c r="Z5" s="65" t="s">
        <v>246</v>
      </c>
    </row>
    <row r="6" spans="2:27">
      <c r="B6" s="31"/>
      <c r="C6" s="205" t="s">
        <v>247</v>
      </c>
      <c r="D6" s="205"/>
      <c r="E6" s="205"/>
      <c r="F6" s="1" t="s">
        <v>248</v>
      </c>
      <c r="G6" s="65" t="s">
        <v>249</v>
      </c>
      <c r="H6" s="65" t="s">
        <v>250</v>
      </c>
      <c r="I6" s="65" t="s">
        <v>251</v>
      </c>
      <c r="J6" s="65" t="s">
        <v>252</v>
      </c>
      <c r="K6" s="65" t="s">
        <v>253</v>
      </c>
      <c r="L6" s="65" t="s">
        <v>254</v>
      </c>
      <c r="M6" s="65" t="s">
        <v>255</v>
      </c>
      <c r="N6" s="65" t="s">
        <v>256</v>
      </c>
      <c r="O6" s="65" t="s">
        <v>257</v>
      </c>
      <c r="P6" s="65" t="s">
        <v>258</v>
      </c>
      <c r="Q6" s="65" t="s">
        <v>259</v>
      </c>
      <c r="R6" s="65" t="s">
        <v>260</v>
      </c>
      <c r="S6" s="65" t="s">
        <v>261</v>
      </c>
      <c r="T6" s="65" t="s">
        <v>262</v>
      </c>
      <c r="U6" s="65" t="s">
        <v>263</v>
      </c>
      <c r="V6" s="65" t="s">
        <v>264</v>
      </c>
      <c r="W6" s="65" t="s">
        <v>265</v>
      </c>
      <c r="X6" s="65" t="s">
        <v>266</v>
      </c>
      <c r="Y6" s="65" t="s">
        <v>267</v>
      </c>
      <c r="Z6" s="65" t="s">
        <v>268</v>
      </c>
    </row>
    <row r="7" spans="2:27">
      <c r="B7" s="31"/>
      <c r="C7" s="205" t="s">
        <v>269</v>
      </c>
      <c r="D7" s="205"/>
      <c r="E7" s="205"/>
      <c r="F7" s="1" t="s">
        <v>270</v>
      </c>
      <c r="G7" s="65" t="s">
        <v>250</v>
      </c>
      <c r="H7" s="65" t="s">
        <v>251</v>
      </c>
      <c r="I7" s="65" t="s">
        <v>271</v>
      </c>
      <c r="J7" s="65" t="s">
        <v>272</v>
      </c>
      <c r="K7" s="65" t="s">
        <v>273</v>
      </c>
      <c r="L7" s="65" t="s">
        <v>274</v>
      </c>
      <c r="M7" s="65" t="s">
        <v>256</v>
      </c>
      <c r="N7" s="65" t="s">
        <v>275</v>
      </c>
      <c r="O7" s="65" t="s">
        <v>258</v>
      </c>
      <c r="P7" s="65" t="s">
        <v>276</v>
      </c>
      <c r="Q7" s="65" t="s">
        <v>277</v>
      </c>
      <c r="R7" s="65" t="s">
        <v>277</v>
      </c>
      <c r="S7" s="65" t="s">
        <v>278</v>
      </c>
      <c r="T7" s="65" t="s">
        <v>262</v>
      </c>
      <c r="U7" s="65" t="s">
        <v>245</v>
      </c>
      <c r="V7" s="65" t="s">
        <v>264</v>
      </c>
      <c r="W7" s="65" t="s">
        <v>265</v>
      </c>
      <c r="X7" s="65" t="s">
        <v>266</v>
      </c>
      <c r="Y7" s="65" t="s">
        <v>267</v>
      </c>
      <c r="Z7" s="65" t="s">
        <v>268</v>
      </c>
    </row>
    <row r="8" spans="2:27">
      <c r="B8" s="31"/>
      <c r="C8" s="205" t="s">
        <v>279</v>
      </c>
      <c r="D8" s="205"/>
      <c r="E8" s="205"/>
      <c r="F8" s="1"/>
      <c r="G8" s="65" t="s">
        <v>52</v>
      </c>
      <c r="H8" s="65" t="s">
        <v>280</v>
      </c>
      <c r="I8" s="65" t="s">
        <v>281</v>
      </c>
      <c r="J8" s="65">
        <v>317.57</v>
      </c>
      <c r="K8" s="65">
        <v>127.75</v>
      </c>
      <c r="L8" s="65">
        <v>352.44</v>
      </c>
      <c r="M8" s="65">
        <v>332.91</v>
      </c>
      <c r="N8" s="65">
        <v>373.75</v>
      </c>
      <c r="O8" s="65">
        <v>350.77</v>
      </c>
      <c r="P8" s="65">
        <v>390.73</v>
      </c>
      <c r="Q8" s="65">
        <v>369.38</v>
      </c>
      <c r="R8" s="65">
        <v>27.18</v>
      </c>
      <c r="S8" s="65">
        <v>371.8</v>
      </c>
      <c r="T8" s="65" t="s">
        <v>282</v>
      </c>
      <c r="U8" s="65">
        <v>341.14</v>
      </c>
      <c r="V8" s="65">
        <v>241.56</v>
      </c>
      <c r="W8" s="65">
        <v>40.92</v>
      </c>
      <c r="X8" s="65">
        <v>37.67</v>
      </c>
      <c r="Y8" s="65">
        <v>34.96</v>
      </c>
      <c r="Z8" s="65">
        <v>41.96</v>
      </c>
    </row>
    <row r="9" spans="2:27">
      <c r="B9" s="63"/>
      <c r="C9" s="204" t="s">
        <v>283</v>
      </c>
      <c r="D9" s="204"/>
      <c r="E9" s="204"/>
      <c r="F9" s="66"/>
      <c r="G9" s="66" t="s">
        <v>52</v>
      </c>
      <c r="H9" s="66" t="s">
        <v>280</v>
      </c>
      <c r="I9" s="66" t="s">
        <v>281</v>
      </c>
      <c r="J9" s="66">
        <v>2</v>
      </c>
      <c r="K9" s="66">
        <v>5</v>
      </c>
      <c r="L9" s="66">
        <v>3</v>
      </c>
      <c r="M9" s="66">
        <v>3</v>
      </c>
      <c r="N9" s="66">
        <v>1</v>
      </c>
      <c r="O9" s="66">
        <v>4</v>
      </c>
      <c r="P9" s="66">
        <v>2</v>
      </c>
      <c r="Q9" s="66">
        <v>2</v>
      </c>
      <c r="R9" s="66" t="s">
        <v>51</v>
      </c>
      <c r="S9" s="66">
        <v>2</v>
      </c>
      <c r="T9" s="66" t="s">
        <v>284</v>
      </c>
      <c r="U9" s="66">
        <v>2</v>
      </c>
      <c r="V9" s="66">
        <v>5</v>
      </c>
      <c r="W9" s="66" t="s">
        <v>51</v>
      </c>
      <c r="X9" s="66" t="s">
        <v>51</v>
      </c>
      <c r="Y9" s="66">
        <v>6</v>
      </c>
      <c r="Z9" s="66">
        <v>8</v>
      </c>
    </row>
    <row r="10" spans="2:27">
      <c r="B10" s="31"/>
      <c r="C10" s="65" t="s">
        <v>285</v>
      </c>
      <c r="D10" s="205" t="s">
        <v>286</v>
      </c>
      <c r="E10" s="205"/>
      <c r="F10" s="1" t="s">
        <v>287</v>
      </c>
      <c r="G10" s="65"/>
      <c r="H10" s="65"/>
      <c r="I10" s="65"/>
      <c r="J10" s="65"/>
      <c r="K10" s="65" t="s">
        <v>288</v>
      </c>
      <c r="L10" s="65" t="s">
        <v>289</v>
      </c>
      <c r="M10" s="65" t="s">
        <v>289</v>
      </c>
      <c r="N10" s="65" t="s">
        <v>289</v>
      </c>
      <c r="O10" s="65" t="s">
        <v>289</v>
      </c>
      <c r="P10" s="65" t="s">
        <v>289</v>
      </c>
      <c r="Q10" s="65" t="s">
        <v>289</v>
      </c>
      <c r="R10" s="65" t="s">
        <v>289</v>
      </c>
      <c r="S10" s="65" t="s">
        <v>289</v>
      </c>
      <c r="T10" s="65" t="s">
        <v>289</v>
      </c>
      <c r="U10" s="65" t="s">
        <v>289</v>
      </c>
      <c r="V10" s="65" t="s">
        <v>289</v>
      </c>
      <c r="W10" s="65" t="s">
        <v>289</v>
      </c>
      <c r="X10" s="65" t="s">
        <v>289</v>
      </c>
      <c r="Y10" s="65" t="s">
        <v>289</v>
      </c>
      <c r="Z10" s="65" t="s">
        <v>289</v>
      </c>
    </row>
    <row r="11" spans="2:27">
      <c r="B11" s="31"/>
      <c r="C11" s="65"/>
      <c r="D11" s="205" t="s">
        <v>290</v>
      </c>
      <c r="E11" s="205"/>
      <c r="F11" s="1" t="s">
        <v>291</v>
      </c>
      <c r="G11" s="65" t="s">
        <v>291</v>
      </c>
      <c r="H11" s="65" t="s">
        <v>292</v>
      </c>
      <c r="I11" s="65" t="s">
        <v>292</v>
      </c>
      <c r="J11" s="65" t="s">
        <v>293</v>
      </c>
      <c r="K11" s="65" t="s">
        <v>293</v>
      </c>
      <c r="L11" s="65"/>
      <c r="M11" s="65"/>
      <c r="N11" s="65" t="s">
        <v>292</v>
      </c>
      <c r="O11" s="65" t="s">
        <v>292</v>
      </c>
      <c r="P11" s="65"/>
      <c r="Q11" s="65"/>
      <c r="R11" s="65"/>
      <c r="S11" s="65"/>
      <c r="T11" s="65"/>
      <c r="U11" s="65"/>
      <c r="V11" s="65"/>
      <c r="W11" s="65"/>
      <c r="X11" s="65"/>
      <c r="Y11" s="65"/>
      <c r="Z11" s="65"/>
    </row>
    <row r="12" spans="2:27">
      <c r="B12" s="202" t="s">
        <v>294</v>
      </c>
      <c r="C12" s="65" t="s">
        <v>295</v>
      </c>
      <c r="D12" s="65" t="s">
        <v>208</v>
      </c>
      <c r="E12" s="65" t="s">
        <v>296</v>
      </c>
      <c r="F12" s="65">
        <v>1.5764761738534672</v>
      </c>
      <c r="G12" s="1">
        <v>1.4620544906879693</v>
      </c>
      <c r="H12" s="65">
        <v>1.1974377391693776</v>
      </c>
      <c r="I12" s="65">
        <v>1.245531064274104</v>
      </c>
      <c r="J12" s="65">
        <v>2.8</v>
      </c>
      <c r="K12" s="65">
        <v>0.6</v>
      </c>
      <c r="L12" s="65">
        <v>-0.55000000000000004</v>
      </c>
      <c r="M12" s="65">
        <v>-0.1</v>
      </c>
      <c r="N12" s="65">
        <v>-0.25</v>
      </c>
      <c r="O12" s="65">
        <v>-1</v>
      </c>
      <c r="P12" s="65">
        <v>-0.5</v>
      </c>
      <c r="Q12" s="65"/>
      <c r="R12" s="65"/>
      <c r="S12" s="65"/>
      <c r="T12" s="65"/>
      <c r="U12" s="65"/>
      <c r="V12" s="65"/>
      <c r="W12" s="65"/>
      <c r="X12" s="65"/>
      <c r="Y12" s="65"/>
      <c r="Z12" s="65"/>
    </row>
    <row r="13" spans="2:27">
      <c r="B13" s="202"/>
      <c r="C13" s="65" t="s">
        <v>297</v>
      </c>
      <c r="D13" s="65" t="s">
        <v>298</v>
      </c>
      <c r="E13" s="65" t="s">
        <v>296</v>
      </c>
      <c r="F13" s="65">
        <v>0</v>
      </c>
      <c r="G13" s="1">
        <v>0</v>
      </c>
      <c r="H13" s="65">
        <v>0</v>
      </c>
      <c r="I13" s="65">
        <v>0</v>
      </c>
      <c r="J13" s="65">
        <v>0</v>
      </c>
      <c r="K13" s="65">
        <v>0</v>
      </c>
      <c r="L13" s="65">
        <v>0</v>
      </c>
      <c r="M13" s="65">
        <v>0</v>
      </c>
      <c r="N13" s="65">
        <v>0</v>
      </c>
      <c r="O13" s="65">
        <v>0</v>
      </c>
      <c r="P13" s="65">
        <v>0</v>
      </c>
      <c r="Q13" s="65"/>
      <c r="R13" s="65"/>
      <c r="S13" s="65"/>
      <c r="T13" s="65"/>
      <c r="U13" s="65"/>
      <c r="V13" s="65"/>
      <c r="W13" s="65"/>
      <c r="X13" s="65"/>
      <c r="Y13" s="65"/>
      <c r="Z13" s="65"/>
    </row>
    <row r="14" spans="2:27">
      <c r="B14" s="202"/>
      <c r="C14" s="65" t="s">
        <v>299</v>
      </c>
      <c r="D14" s="65" t="s">
        <v>300</v>
      </c>
      <c r="E14" s="65" t="s">
        <v>301</v>
      </c>
      <c r="F14" s="65">
        <v>10.5</v>
      </c>
      <c r="G14" s="1">
        <v>9.5</v>
      </c>
      <c r="H14" s="65">
        <v>11</v>
      </c>
      <c r="I14" s="65">
        <v>9.6</v>
      </c>
      <c r="J14" s="65">
        <v>8.3000000000000007</v>
      </c>
      <c r="K14" s="65">
        <v>10</v>
      </c>
      <c r="L14" s="65">
        <v>11</v>
      </c>
      <c r="M14" s="65">
        <v>10.5</v>
      </c>
      <c r="N14" s="65">
        <v>10</v>
      </c>
      <c r="O14" s="65">
        <v>9.5</v>
      </c>
      <c r="P14" s="65">
        <v>9</v>
      </c>
      <c r="Q14" s="65">
        <v>8.8000000000000007</v>
      </c>
      <c r="R14" s="65">
        <v>9</v>
      </c>
      <c r="S14" s="65">
        <v>8.8000000000000007</v>
      </c>
      <c r="T14" s="65">
        <v>9.11</v>
      </c>
      <c r="U14" s="65">
        <v>8.76</v>
      </c>
      <c r="V14" s="65">
        <v>8.5</v>
      </c>
      <c r="W14" s="65">
        <v>8.5299999999999994</v>
      </c>
      <c r="X14" s="65">
        <v>7.69</v>
      </c>
      <c r="Y14" s="65">
        <v>8</v>
      </c>
      <c r="Z14" s="65">
        <v>7.6</v>
      </c>
    </row>
    <row r="15" spans="2:27" ht="20.25" thickBot="1">
      <c r="B15" s="203"/>
      <c r="C15" s="67" t="s">
        <v>302</v>
      </c>
      <c r="D15" s="67" t="s">
        <v>303</v>
      </c>
      <c r="E15" s="67" t="s">
        <v>43</v>
      </c>
      <c r="F15" s="67">
        <v>100</v>
      </c>
      <c r="G15" s="20">
        <v>100</v>
      </c>
      <c r="H15" s="67">
        <v>2</v>
      </c>
      <c r="I15" s="67">
        <v>2</v>
      </c>
      <c r="J15" s="67">
        <v>2</v>
      </c>
      <c r="K15" s="67">
        <v>2</v>
      </c>
      <c r="L15" s="67">
        <v>2</v>
      </c>
      <c r="M15" s="67">
        <v>2</v>
      </c>
      <c r="N15" s="67">
        <v>2</v>
      </c>
      <c r="O15" s="67">
        <v>2</v>
      </c>
      <c r="P15" s="67">
        <v>2</v>
      </c>
      <c r="Q15" s="67"/>
      <c r="R15" s="67"/>
      <c r="S15" s="67"/>
      <c r="T15" s="67"/>
      <c r="U15" s="67"/>
      <c r="V15" s="67"/>
      <c r="W15" s="67"/>
      <c r="X15" s="67"/>
      <c r="Y15" s="67"/>
      <c r="Z15" s="67"/>
    </row>
    <row r="16" spans="2:27" ht="20.25" thickTop="1">
      <c r="B16" s="202" t="s">
        <v>25</v>
      </c>
      <c r="C16" s="68" t="s">
        <v>304</v>
      </c>
      <c r="D16" s="65" t="s">
        <v>51</v>
      </c>
      <c r="E16" s="65" t="s">
        <v>42</v>
      </c>
      <c r="F16" s="65">
        <v>42.574195183784404</v>
      </c>
      <c r="G16" s="2">
        <v>40.629999999999995</v>
      </c>
      <c r="H16" s="65">
        <v>44.93644280491565</v>
      </c>
      <c r="I16" s="65">
        <v>45.797063524200141</v>
      </c>
      <c r="J16" s="65">
        <v>44.512043873841378</v>
      </c>
      <c r="K16" s="65">
        <v>44.343872785418093</v>
      </c>
      <c r="L16" s="65">
        <v>38.544311560569746</v>
      </c>
      <c r="M16" s="65">
        <v>40.157903567729356</v>
      </c>
      <c r="N16" s="65">
        <v>38.481598500930382</v>
      </c>
      <c r="O16" s="65">
        <v>39.1303852973776</v>
      </c>
      <c r="P16" s="65">
        <v>39.785132411188641</v>
      </c>
      <c r="Q16" s="65">
        <v>36</v>
      </c>
      <c r="R16" s="65">
        <v>35</v>
      </c>
      <c r="S16" s="65">
        <v>36</v>
      </c>
      <c r="T16" s="65">
        <v>36</v>
      </c>
      <c r="U16" s="65">
        <v>34</v>
      </c>
      <c r="V16" s="65">
        <v>36.5</v>
      </c>
      <c r="W16" s="65">
        <v>40</v>
      </c>
      <c r="X16" s="65">
        <v>40</v>
      </c>
      <c r="Y16" s="65">
        <v>37.5</v>
      </c>
      <c r="Z16" s="65">
        <v>37.5</v>
      </c>
    </row>
    <row r="17" spans="2:26">
      <c r="B17" s="202"/>
      <c r="C17" s="68" t="s">
        <v>305</v>
      </c>
      <c r="D17" s="65" t="s">
        <v>51</v>
      </c>
      <c r="E17" s="65" t="s">
        <v>42</v>
      </c>
      <c r="F17" s="65">
        <v>61</v>
      </c>
      <c r="G17" s="1">
        <v>58.5</v>
      </c>
      <c r="H17" s="65">
        <v>65</v>
      </c>
      <c r="I17" s="65">
        <v>53</v>
      </c>
      <c r="J17" s="65">
        <v>53</v>
      </c>
      <c r="K17" s="65">
        <v>51</v>
      </c>
      <c r="L17" s="65">
        <v>53</v>
      </c>
      <c r="M17" s="65">
        <v>55</v>
      </c>
      <c r="N17" s="65">
        <v>49</v>
      </c>
      <c r="O17" s="65">
        <v>49</v>
      </c>
      <c r="P17" s="65">
        <v>49</v>
      </c>
      <c r="Q17" s="65"/>
      <c r="R17" s="65"/>
      <c r="S17" s="65"/>
      <c r="T17" s="65"/>
      <c r="U17" s="65"/>
      <c r="V17" s="65"/>
      <c r="W17" s="65"/>
      <c r="X17" s="65"/>
      <c r="Y17" s="65"/>
      <c r="Z17" s="65"/>
    </row>
    <row r="18" spans="2:26">
      <c r="B18" s="202"/>
      <c r="C18" s="68" t="s">
        <v>306</v>
      </c>
      <c r="D18" s="65" t="s">
        <v>43</v>
      </c>
      <c r="E18" s="65" t="s">
        <v>42</v>
      </c>
      <c r="F18" s="65">
        <v>103.57419518378441</v>
      </c>
      <c r="G18" s="1">
        <v>99.13</v>
      </c>
      <c r="H18" s="65">
        <v>109.93644280491566</v>
      </c>
      <c r="I18" s="65">
        <v>98.797063524200141</v>
      </c>
      <c r="J18" s="65">
        <v>97.512043873841378</v>
      </c>
      <c r="K18" s="65">
        <v>95.343872785418085</v>
      </c>
      <c r="L18" s="65">
        <v>91.544311560569753</v>
      </c>
      <c r="M18" s="65">
        <v>95.157903567729363</v>
      </c>
      <c r="N18" s="65">
        <v>87.481598500930374</v>
      </c>
      <c r="O18" s="65">
        <v>88.1303852973776</v>
      </c>
      <c r="P18" s="65">
        <v>88.785132411188641</v>
      </c>
      <c r="Q18" s="65">
        <v>85</v>
      </c>
      <c r="R18" s="65">
        <v>84</v>
      </c>
      <c r="S18" s="65">
        <v>86</v>
      </c>
      <c r="T18" s="65">
        <v>88</v>
      </c>
      <c r="U18" s="65">
        <v>86</v>
      </c>
      <c r="V18" s="65">
        <v>91.5</v>
      </c>
      <c r="W18" s="65">
        <v>96</v>
      </c>
      <c r="X18" s="65">
        <v>96</v>
      </c>
      <c r="Y18" s="65">
        <v>89</v>
      </c>
      <c r="Z18" s="65">
        <v>89</v>
      </c>
    </row>
    <row r="19" spans="2:26">
      <c r="B19" s="202"/>
      <c r="C19" s="68" t="s">
        <v>307</v>
      </c>
      <c r="D19" s="65" t="s">
        <v>308</v>
      </c>
      <c r="E19" s="65" t="s">
        <v>309</v>
      </c>
      <c r="F19" s="65">
        <v>1014.716390215536</v>
      </c>
      <c r="G19" s="1">
        <v>970.97834999999998</v>
      </c>
      <c r="H19" s="65">
        <v>1076.8274572741489</v>
      </c>
      <c r="I19" s="65">
        <v>967.71723721954038</v>
      </c>
      <c r="J19" s="65">
        <v>955.1304697442763</v>
      </c>
      <c r="K19" s="65">
        <v>933.89323393317011</v>
      </c>
      <c r="L19" s="65">
        <v>896.67653173578071</v>
      </c>
      <c r="M19" s="65">
        <v>932.07166544590916</v>
      </c>
      <c r="N19" s="65">
        <v>856.88225731661305</v>
      </c>
      <c r="O19" s="65">
        <v>863.23712398781356</v>
      </c>
      <c r="P19" s="65">
        <v>869.65037196759272</v>
      </c>
      <c r="Q19" s="65"/>
      <c r="R19" s="65"/>
      <c r="S19" s="65"/>
      <c r="T19" s="65"/>
      <c r="U19" s="65"/>
      <c r="V19" s="65"/>
      <c r="W19" s="65"/>
      <c r="X19" s="65"/>
      <c r="Y19" s="65"/>
      <c r="Z19" s="65"/>
    </row>
    <row r="20" spans="2:26" ht="20.25" thickBot="1">
      <c r="B20" s="203"/>
      <c r="C20" s="67" t="s">
        <v>310</v>
      </c>
      <c r="D20" s="67" t="s">
        <v>311</v>
      </c>
      <c r="E20" s="67" t="s">
        <v>312</v>
      </c>
      <c r="F20" s="67">
        <v>5.8642150459954827</v>
      </c>
      <c r="G20" s="20">
        <v>5.2592371024187807</v>
      </c>
      <c r="H20" s="67">
        <v>5.7667803807721114</v>
      </c>
      <c r="I20" s="67">
        <v>5.2494263298141739</v>
      </c>
      <c r="J20" s="67">
        <v>5.3211758695686999</v>
      </c>
      <c r="K20" s="67">
        <v>5.2796190648854795</v>
      </c>
      <c r="L20" s="67">
        <v>4.9932308466401985</v>
      </c>
      <c r="M20" s="67">
        <v>5.3626377908957457</v>
      </c>
      <c r="N20" s="67">
        <v>4.7387905392098775</v>
      </c>
      <c r="O20" s="67">
        <v>4.7065826929369603</v>
      </c>
      <c r="P20" s="67">
        <v>4.7787575826698534</v>
      </c>
      <c r="Q20" s="67">
        <v>4.4800000000000004</v>
      </c>
      <c r="R20" s="67">
        <v>5.21</v>
      </c>
      <c r="S20" s="67">
        <v>4.66</v>
      </c>
      <c r="T20" s="67">
        <v>4.6100000000000003</v>
      </c>
      <c r="U20" s="67">
        <v>4.51</v>
      </c>
      <c r="V20" s="67">
        <v>4.83</v>
      </c>
      <c r="W20" s="67">
        <v>4.01</v>
      </c>
      <c r="X20" s="67">
        <v>4.0199999999999996</v>
      </c>
      <c r="Y20" s="67">
        <v>4.3600000000000003</v>
      </c>
      <c r="Z20" s="67">
        <v>4.03</v>
      </c>
    </row>
    <row r="21" spans="2:26" ht="20.25" thickTop="1">
      <c r="B21" s="202" t="s">
        <v>313</v>
      </c>
      <c r="C21" s="65" t="s">
        <v>314</v>
      </c>
      <c r="D21" s="65" t="s">
        <v>315</v>
      </c>
      <c r="E21" s="65" t="s">
        <v>43</v>
      </c>
      <c r="F21" s="65">
        <v>0.23544509320633827</v>
      </c>
      <c r="G21" s="2">
        <v>0.2492959690889035</v>
      </c>
      <c r="H21" s="65">
        <v>0.27955130115864996</v>
      </c>
      <c r="I21" s="65">
        <v>0.28948775014121375</v>
      </c>
      <c r="J21" s="65">
        <v>0.2817978091561667</v>
      </c>
      <c r="K21" s="65">
        <v>0.21242587219432632</v>
      </c>
      <c r="L21" s="65">
        <v>0.22847891878415774</v>
      </c>
      <c r="M21" s="65">
        <v>0.22279182074093792</v>
      </c>
      <c r="N21" s="65">
        <v>0.23342359262169821</v>
      </c>
      <c r="O21" s="65">
        <v>0.23788263073181701</v>
      </c>
      <c r="P21" s="65">
        <v>0.22527494420692037</v>
      </c>
      <c r="Q21" s="65"/>
      <c r="R21" s="65"/>
      <c r="S21" s="65"/>
      <c r="T21" s="65"/>
      <c r="U21" s="65"/>
      <c r="V21" s="65"/>
      <c r="W21" s="65"/>
      <c r="X21" s="65"/>
      <c r="Y21" s="65"/>
      <c r="Z21" s="65"/>
    </row>
    <row r="22" spans="2:26">
      <c r="B22" s="202"/>
      <c r="C22" s="65" t="s">
        <v>314</v>
      </c>
      <c r="D22" s="65" t="s">
        <v>316</v>
      </c>
      <c r="E22" s="65" t="s">
        <v>51</v>
      </c>
      <c r="F22" s="65">
        <v>0.35</v>
      </c>
      <c r="G22" s="1">
        <v>0.33</v>
      </c>
      <c r="H22" s="65">
        <v>0.33</v>
      </c>
      <c r="I22" s="65">
        <v>0.32319999999999999</v>
      </c>
      <c r="J22" s="65">
        <v>0.32319999999999999</v>
      </c>
      <c r="K22" s="65">
        <v>0.32319999999999999</v>
      </c>
      <c r="L22" s="65">
        <v>0.32319999999999999</v>
      </c>
      <c r="M22" s="65">
        <v>0.32319999999999999</v>
      </c>
      <c r="N22" s="65">
        <v>0.32319999999999999</v>
      </c>
      <c r="O22" s="65">
        <v>0.32319999999999999</v>
      </c>
      <c r="P22" s="65">
        <v>0.32319999999999999</v>
      </c>
      <c r="Q22" s="65">
        <v>33</v>
      </c>
      <c r="R22" s="65">
        <v>33</v>
      </c>
      <c r="S22" s="65">
        <v>33</v>
      </c>
      <c r="T22" s="65">
        <v>33</v>
      </c>
      <c r="U22" s="65">
        <v>30</v>
      </c>
      <c r="V22" s="65">
        <v>33</v>
      </c>
      <c r="W22" s="65">
        <v>30</v>
      </c>
      <c r="X22" s="65">
        <v>25</v>
      </c>
      <c r="Y22" s="65">
        <v>25</v>
      </c>
      <c r="Z22" s="65">
        <v>25</v>
      </c>
    </row>
    <row r="23" spans="2:26" ht="20.25" thickBot="1">
      <c r="B23" s="203"/>
      <c r="C23" s="67" t="s">
        <v>317</v>
      </c>
      <c r="D23" s="67" t="s">
        <v>318</v>
      </c>
      <c r="E23" s="67" t="s">
        <v>51</v>
      </c>
      <c r="F23" s="67">
        <v>0.55274022409528079</v>
      </c>
      <c r="G23" s="20">
        <v>0.51724507324221358</v>
      </c>
      <c r="H23" s="67">
        <v>0.5231483199220881</v>
      </c>
      <c r="I23" s="67">
        <v>0.52800508218192999</v>
      </c>
      <c r="J23" s="67">
        <v>0.49513467835370822</v>
      </c>
      <c r="K23" s="67">
        <v>0.49508048406814709</v>
      </c>
      <c r="L23" s="67">
        <v>0.50801579155783205</v>
      </c>
      <c r="M23" s="67">
        <v>0.49050073651817705</v>
      </c>
      <c r="N23" s="67">
        <v>0.50150590032370146</v>
      </c>
      <c r="O23" s="67">
        <v>0.49779989846597406</v>
      </c>
      <c r="P23" s="67">
        <v>0.50245945268494019</v>
      </c>
      <c r="Q23" s="67"/>
      <c r="R23" s="67"/>
      <c r="S23" s="67"/>
      <c r="T23" s="67"/>
      <c r="U23" s="67"/>
      <c r="V23" s="67"/>
      <c r="W23" s="67"/>
      <c r="X23" s="67"/>
      <c r="Y23" s="67"/>
      <c r="Z23" s="67"/>
    </row>
    <row r="24" spans="2:26" ht="20.25" thickTop="1">
      <c r="B24" s="206" t="s">
        <v>319</v>
      </c>
      <c r="C24" s="69" t="s">
        <v>320</v>
      </c>
      <c r="D24" s="69" t="s">
        <v>321</v>
      </c>
      <c r="E24" s="69" t="s">
        <v>322</v>
      </c>
      <c r="F24" s="70">
        <v>17.662073162632822</v>
      </c>
      <c r="G24" s="2">
        <v>18.848741380077545</v>
      </c>
      <c r="H24" s="70">
        <v>19.063747107739921</v>
      </c>
      <c r="I24" s="70">
        <v>18.820544820884741</v>
      </c>
      <c r="J24" s="69">
        <v>18.32528115289395</v>
      </c>
      <c r="K24" s="69">
        <v>18.058854552508553</v>
      </c>
      <c r="L24" s="69">
        <v>18.333683014508992</v>
      </c>
      <c r="M24" s="69">
        <v>17.744607649854849</v>
      </c>
      <c r="N24" s="69">
        <v>18.460743891735003</v>
      </c>
      <c r="O24" s="69">
        <v>18.724920190955629</v>
      </c>
      <c r="P24" s="69">
        <v>18.579124568521241</v>
      </c>
      <c r="Q24" s="69">
        <v>19</v>
      </c>
      <c r="R24" s="69">
        <v>19.2</v>
      </c>
      <c r="S24" s="69">
        <v>19</v>
      </c>
      <c r="T24" s="69">
        <v>19.2</v>
      </c>
      <c r="U24" s="69">
        <v>19.05</v>
      </c>
      <c r="V24" s="69">
        <v>19.100000000000001</v>
      </c>
      <c r="W24" s="69">
        <v>22.4</v>
      </c>
      <c r="X24" s="69">
        <v>23.8</v>
      </c>
      <c r="Y24" s="69">
        <v>20.2</v>
      </c>
      <c r="Z24" s="69">
        <v>20.37</v>
      </c>
    </row>
    <row r="25" spans="2:26">
      <c r="B25" s="202"/>
      <c r="C25" s="65" t="s">
        <v>323</v>
      </c>
      <c r="D25" s="65" t="s">
        <v>324</v>
      </c>
      <c r="E25" s="65" t="s">
        <v>322</v>
      </c>
      <c r="F25" s="71">
        <v>1.54</v>
      </c>
      <c r="G25" s="1">
        <v>1.353</v>
      </c>
      <c r="H25" s="71">
        <v>1.6703999999999999</v>
      </c>
      <c r="I25" s="71">
        <v>1.5264</v>
      </c>
      <c r="J25" s="65">
        <v>1.5475999999999996</v>
      </c>
      <c r="K25" s="65">
        <v>1.375</v>
      </c>
      <c r="L25" s="65">
        <v>1.254</v>
      </c>
      <c r="M25" s="65">
        <v>1.3559999999999999</v>
      </c>
      <c r="N25" s="65">
        <v>1.254</v>
      </c>
      <c r="O25" s="65">
        <v>1.254</v>
      </c>
      <c r="P25" s="65">
        <v>1.254</v>
      </c>
      <c r="Q25" s="65">
        <v>1.32</v>
      </c>
      <c r="R25" s="65">
        <v>1.3</v>
      </c>
      <c r="S25" s="65">
        <v>1.3</v>
      </c>
      <c r="T25" s="65">
        <v>1.4</v>
      </c>
      <c r="U25" s="65">
        <v>1.38</v>
      </c>
      <c r="V25" s="65">
        <v>1.39</v>
      </c>
      <c r="W25" s="65">
        <v>2.1</v>
      </c>
      <c r="X25" s="65">
        <v>2.16</v>
      </c>
      <c r="Y25" s="65">
        <v>1.69</v>
      </c>
      <c r="Z25" s="65">
        <v>1.7</v>
      </c>
    </row>
    <row r="26" spans="2:26" ht="20.25" thickBot="1">
      <c r="B26" s="203"/>
      <c r="C26" s="67" t="s">
        <v>325</v>
      </c>
      <c r="D26" s="67" t="s">
        <v>326</v>
      </c>
      <c r="E26" s="67" t="s">
        <v>322</v>
      </c>
      <c r="F26" s="72">
        <v>0.70125000000000004</v>
      </c>
      <c r="G26" s="20">
        <v>0.62600000000000011</v>
      </c>
      <c r="H26" s="72">
        <v>0.63319999999999999</v>
      </c>
      <c r="I26" s="72">
        <v>0.63319999999999999</v>
      </c>
      <c r="J26" s="67">
        <v>0.55503775834658209</v>
      </c>
      <c r="K26" s="67">
        <v>0.57000000000000006</v>
      </c>
      <c r="L26" s="67">
        <v>0.4</v>
      </c>
      <c r="M26" s="67">
        <v>0.36000000000000004</v>
      </c>
      <c r="N26" s="67">
        <v>0.4</v>
      </c>
      <c r="O26" s="67">
        <v>0.4</v>
      </c>
      <c r="P26" s="67">
        <v>0.4</v>
      </c>
      <c r="Q26" s="67">
        <v>0.4</v>
      </c>
      <c r="R26" s="67">
        <v>0.45</v>
      </c>
      <c r="S26" s="67">
        <v>0.38300000000000001</v>
      </c>
      <c r="T26" s="67">
        <v>0.72199999999999998</v>
      </c>
      <c r="U26" s="67">
        <v>0.73</v>
      </c>
      <c r="V26" s="67">
        <v>0.92</v>
      </c>
      <c r="W26" s="67">
        <v>1.32</v>
      </c>
      <c r="X26" s="67">
        <v>1.24</v>
      </c>
      <c r="Y26" s="67">
        <v>1.05</v>
      </c>
      <c r="Z26" s="67">
        <v>1.05</v>
      </c>
    </row>
    <row r="27" spans="2:26" ht="20.25" thickTop="1">
      <c r="B27" s="207" t="s">
        <v>46</v>
      </c>
      <c r="C27" s="73" t="s">
        <v>327</v>
      </c>
      <c r="D27" s="73" t="s">
        <v>328</v>
      </c>
      <c r="E27" s="73" t="s">
        <v>43</v>
      </c>
      <c r="F27" s="73">
        <v>24.585465220630464</v>
      </c>
      <c r="G27" s="2">
        <v>26.522536724685345</v>
      </c>
      <c r="H27" s="73">
        <v>25.696443303325886</v>
      </c>
      <c r="I27" s="73">
        <v>26.687812794039022</v>
      </c>
      <c r="J27" s="73">
        <v>26.482901442796813</v>
      </c>
      <c r="K27" s="73">
        <v>25.157304326023652</v>
      </c>
      <c r="L27" s="73">
        <v>26.797336910170205</v>
      </c>
      <c r="M27" s="73">
        <v>25.901214194796381</v>
      </c>
      <c r="N27" s="73">
        <v>26.665379765339125</v>
      </c>
      <c r="O27" s="73">
        <v>27.831659171718915</v>
      </c>
      <c r="P27" s="73">
        <v>26.704262449297481</v>
      </c>
      <c r="Q27" s="73">
        <v>25</v>
      </c>
      <c r="R27" s="73">
        <v>25</v>
      </c>
      <c r="S27" s="73">
        <v>25</v>
      </c>
      <c r="T27" s="73">
        <v>25</v>
      </c>
      <c r="U27" s="73">
        <v>24.2</v>
      </c>
      <c r="V27" s="73">
        <v>24.6</v>
      </c>
      <c r="W27" s="73">
        <v>24</v>
      </c>
      <c r="X27" s="73">
        <v>25</v>
      </c>
      <c r="Y27" s="73">
        <v>23</v>
      </c>
      <c r="Z27" s="73">
        <v>22.9</v>
      </c>
    </row>
    <row r="28" spans="2:26">
      <c r="B28" s="202"/>
      <c r="C28" s="65" t="s">
        <v>329</v>
      </c>
      <c r="D28" s="65" t="s">
        <v>330</v>
      </c>
      <c r="E28" s="65" t="s">
        <v>51</v>
      </c>
      <c r="F28" s="65">
        <v>34.222771842755051</v>
      </c>
      <c r="G28" s="1">
        <v>37.320526613824697</v>
      </c>
      <c r="H28" s="65">
        <v>34.636800137416621</v>
      </c>
      <c r="I28" s="65">
        <v>37.843715923638761</v>
      </c>
      <c r="J28" s="65">
        <v>38.271940439949674</v>
      </c>
      <c r="K28" s="65">
        <v>35.045963691216159</v>
      </c>
      <c r="L28" s="65">
        <v>39.168194678007659</v>
      </c>
      <c r="M28" s="65">
        <v>37.80714175273463</v>
      </c>
      <c r="N28" s="65">
        <v>38.516458610754881</v>
      </c>
      <c r="O28" s="65">
        <v>41.36739939884324</v>
      </c>
      <c r="P28" s="65">
        <v>38.382735975041598</v>
      </c>
      <c r="Q28" s="65">
        <v>32.9</v>
      </c>
      <c r="R28" s="65">
        <v>32.6</v>
      </c>
      <c r="S28" s="65">
        <v>32.799999999999997</v>
      </c>
      <c r="T28" s="65">
        <v>31</v>
      </c>
      <c r="U28" s="65">
        <v>29.3</v>
      </c>
      <c r="V28" s="65">
        <v>30.19</v>
      </c>
      <c r="W28" s="65">
        <v>25.7</v>
      </c>
      <c r="X28" s="65">
        <v>26.2</v>
      </c>
      <c r="Y28" s="65">
        <v>26.2</v>
      </c>
      <c r="Z28" s="65">
        <v>25.74</v>
      </c>
    </row>
    <row r="29" spans="2:26">
      <c r="B29" s="202"/>
      <c r="C29" s="65" t="s">
        <v>331</v>
      </c>
      <c r="D29" s="65" t="s">
        <v>332</v>
      </c>
      <c r="E29" s="65" t="s">
        <v>43</v>
      </c>
      <c r="F29" s="65">
        <v>0.75501262265133262</v>
      </c>
      <c r="G29" s="1">
        <v>0.77033183441003639</v>
      </c>
      <c r="H29" s="65">
        <v>0.79254432983788059</v>
      </c>
      <c r="I29" s="65">
        <v>0.75472648598482284</v>
      </c>
      <c r="J29" s="65">
        <v>0.74907663009657421</v>
      </c>
      <c r="K29" s="65">
        <v>0.76454669157292232</v>
      </c>
      <c r="L29" s="65">
        <v>0.7392500571267937</v>
      </c>
      <c r="M29" s="65">
        <v>0.73843862040532482</v>
      </c>
      <c r="N29" s="65">
        <v>0.7418913760048218</v>
      </c>
      <c r="O29" s="65">
        <v>0.73538366710057068</v>
      </c>
      <c r="P29" s="65">
        <v>0.74501081421659832</v>
      </c>
      <c r="Q29" s="65">
        <v>0.78300000000000003</v>
      </c>
      <c r="R29" s="65">
        <v>0.78700000000000003</v>
      </c>
      <c r="S29" s="65">
        <v>0.79400000000000004</v>
      </c>
      <c r="T29" s="65">
        <v>0.82799999999999996</v>
      </c>
      <c r="U29" s="65">
        <v>0.83599999999999997</v>
      </c>
      <c r="V29" s="65">
        <v>0.83399999999999996</v>
      </c>
      <c r="W29" s="65">
        <v>1.05</v>
      </c>
      <c r="X29" s="65">
        <v>1.04</v>
      </c>
      <c r="Y29" s="65">
        <v>0.95</v>
      </c>
      <c r="Z29" s="65">
        <v>0.89</v>
      </c>
    </row>
    <row r="30" spans="2:26">
      <c r="B30" s="202"/>
      <c r="C30" s="65" t="s">
        <v>333</v>
      </c>
      <c r="D30" s="65" t="s">
        <v>334</v>
      </c>
      <c r="E30" s="65" t="s">
        <v>43</v>
      </c>
      <c r="F30" s="65">
        <v>5.3518975325674409</v>
      </c>
      <c r="G30" s="1">
        <v>5.5528508888626043</v>
      </c>
      <c r="H30" s="65">
        <v>5.4785617201595151</v>
      </c>
      <c r="I30" s="65">
        <v>5.7156252767200275</v>
      </c>
      <c r="J30" s="65">
        <v>6.9413681054456706</v>
      </c>
      <c r="K30" s="65">
        <v>6.5208255603551191</v>
      </c>
      <c r="L30" s="65">
        <v>6.8168060737590235</v>
      </c>
      <c r="M30" s="65">
        <v>6.2937869269897311</v>
      </c>
      <c r="N30" s="65">
        <v>6.6913667016195841</v>
      </c>
      <c r="O30" s="65">
        <v>6.8903242022534164</v>
      </c>
      <c r="P30" s="65">
        <v>6.8926165956630623</v>
      </c>
      <c r="Q30" s="65"/>
      <c r="R30" s="65"/>
      <c r="S30" s="65"/>
      <c r="T30" s="65"/>
      <c r="U30" s="65"/>
      <c r="V30" s="65"/>
      <c r="W30" s="65"/>
      <c r="X30" s="65"/>
      <c r="Y30" s="65"/>
      <c r="Z30" s="65"/>
    </row>
    <row r="31" spans="2:26">
      <c r="B31" s="202"/>
      <c r="C31" s="65" t="s">
        <v>335</v>
      </c>
      <c r="D31" s="65" t="s">
        <v>336</v>
      </c>
      <c r="E31" s="65" t="s">
        <v>51</v>
      </c>
      <c r="F31" s="65">
        <v>0.25</v>
      </c>
      <c r="G31" s="1">
        <v>0.25</v>
      </c>
      <c r="H31" s="65">
        <v>0.25</v>
      </c>
      <c r="I31" s="65">
        <v>0.25</v>
      </c>
      <c r="J31" s="65">
        <v>0.25</v>
      </c>
      <c r="K31" s="65">
        <v>0.25</v>
      </c>
      <c r="L31" s="65">
        <v>0.25</v>
      </c>
      <c r="M31" s="65">
        <v>0.25</v>
      </c>
      <c r="N31" s="65">
        <v>0.25</v>
      </c>
      <c r="O31" s="65">
        <v>0.25</v>
      </c>
      <c r="P31" s="65">
        <v>0.25</v>
      </c>
      <c r="Q31" s="65"/>
      <c r="R31" s="65"/>
      <c r="S31" s="65"/>
      <c r="T31" s="65"/>
      <c r="U31" s="65"/>
      <c r="V31" s="65"/>
      <c r="W31" s="65"/>
      <c r="X31" s="65"/>
      <c r="Y31" s="65"/>
      <c r="Z31" s="65"/>
    </row>
    <row r="32" spans="2:26">
      <c r="B32" s="202"/>
      <c r="C32" s="65" t="s">
        <v>337</v>
      </c>
      <c r="D32" s="65" t="s">
        <v>338</v>
      </c>
      <c r="E32" s="65" t="s">
        <v>51</v>
      </c>
      <c r="F32" s="65">
        <v>1.0033821094050335</v>
      </c>
      <c r="G32" s="1">
        <v>0.99250802706810226</v>
      </c>
      <c r="H32" s="65">
        <v>1.7805617050996969</v>
      </c>
      <c r="I32" s="65">
        <v>1.7731267172912202</v>
      </c>
      <c r="J32" s="65">
        <v>1.7066097267535372</v>
      </c>
      <c r="K32" s="65">
        <v>1.9579540414279473</v>
      </c>
      <c r="L32" s="65">
        <v>1.9434745281125376</v>
      </c>
      <c r="M32" s="65">
        <v>1.9584644392092285</v>
      </c>
      <c r="N32" s="65">
        <v>1.9309507687771426</v>
      </c>
      <c r="O32" s="65">
        <v>1.9606085843940717</v>
      </c>
      <c r="P32" s="65">
        <v>1.8703274241793417</v>
      </c>
      <c r="Q32" s="65"/>
      <c r="R32" s="65"/>
      <c r="S32" s="65"/>
      <c r="T32" s="65"/>
      <c r="U32" s="65"/>
      <c r="V32" s="65"/>
      <c r="W32" s="65"/>
      <c r="X32" s="65"/>
      <c r="Y32" s="65"/>
      <c r="Z32" s="65"/>
    </row>
    <row r="33" spans="2:26">
      <c r="B33" s="202"/>
      <c r="C33" s="65" t="s">
        <v>339</v>
      </c>
      <c r="D33" s="65" t="s">
        <v>340</v>
      </c>
      <c r="E33" s="65" t="s">
        <v>51</v>
      </c>
      <c r="F33" s="65">
        <v>0.11093402044426547</v>
      </c>
      <c r="G33" s="1">
        <v>0.11758499978781374</v>
      </c>
      <c r="H33" s="65">
        <v>0.1170786455478971</v>
      </c>
      <c r="I33" s="65">
        <v>0.11419203368739703</v>
      </c>
      <c r="J33" s="65">
        <v>0.1108294313611778</v>
      </c>
      <c r="K33" s="65">
        <v>0.11609664028196555</v>
      </c>
      <c r="L33" s="65">
        <v>0.11480993359989657</v>
      </c>
      <c r="M33" s="65">
        <v>0.11779240220037493</v>
      </c>
      <c r="N33" s="65">
        <v>0.11645898497470911</v>
      </c>
      <c r="O33" s="65">
        <v>0.11806821332309325</v>
      </c>
      <c r="P33" s="65">
        <v>0.11482817842248566</v>
      </c>
      <c r="Q33" s="65"/>
      <c r="R33" s="65"/>
      <c r="S33" s="65"/>
      <c r="T33" s="65"/>
      <c r="U33" s="65"/>
      <c r="V33" s="65"/>
      <c r="W33" s="65"/>
      <c r="X33" s="65"/>
      <c r="Y33" s="65"/>
      <c r="Z33" s="65"/>
    </row>
    <row r="34" spans="2:26">
      <c r="B34" s="202"/>
      <c r="C34" s="65" t="s">
        <v>341</v>
      </c>
      <c r="D34" s="65" t="s">
        <v>342</v>
      </c>
      <c r="E34" s="65" t="s">
        <v>296</v>
      </c>
      <c r="F34" s="65">
        <v>0.10474185445756348</v>
      </c>
      <c r="G34" s="1">
        <v>0.11119553796618663</v>
      </c>
      <c r="H34" s="65">
        <v>0.11028019104580952</v>
      </c>
      <c r="I34" s="65">
        <v>0.10823561805284826</v>
      </c>
      <c r="J34" s="65">
        <v>0.10526973696124349</v>
      </c>
      <c r="K34" s="65">
        <v>0.10948213075902856</v>
      </c>
      <c r="L34" s="65">
        <v>0.10898379773170222</v>
      </c>
      <c r="M34" s="65">
        <v>0.11145907911771946</v>
      </c>
      <c r="N34" s="65">
        <v>0.11037258319132046</v>
      </c>
      <c r="O34" s="65">
        <v>0.11222646535285601</v>
      </c>
      <c r="P34" s="65">
        <v>0.10888714601460912</v>
      </c>
      <c r="Q34" s="65"/>
      <c r="R34" s="65"/>
      <c r="S34" s="65"/>
      <c r="T34" s="65"/>
      <c r="U34" s="65"/>
      <c r="V34" s="65"/>
      <c r="W34" s="65"/>
      <c r="X34" s="65"/>
      <c r="Y34" s="65"/>
      <c r="Z34" s="65"/>
    </row>
    <row r="35" spans="2:26">
      <c r="B35" s="202"/>
      <c r="C35" s="65" t="s">
        <v>343</v>
      </c>
      <c r="D35" s="65" t="s">
        <v>51</v>
      </c>
      <c r="E35" s="65" t="s">
        <v>52</v>
      </c>
      <c r="F35" s="65">
        <v>0.35</v>
      </c>
      <c r="G35" s="1">
        <v>0.33</v>
      </c>
      <c r="H35" s="65">
        <v>0.33</v>
      </c>
      <c r="I35" s="65">
        <v>0.32319999999999999</v>
      </c>
      <c r="J35" s="65">
        <v>0.32319999999999999</v>
      </c>
      <c r="K35" s="65">
        <v>0.32319999999999999</v>
      </c>
      <c r="L35" s="65">
        <v>0.32319999999999999</v>
      </c>
      <c r="M35" s="65">
        <v>0.32319999999999999</v>
      </c>
      <c r="N35" s="65">
        <v>0.32319999999999999</v>
      </c>
      <c r="O35" s="65">
        <v>0.32319999999999999</v>
      </c>
      <c r="P35" s="65">
        <v>0.32319999999999999</v>
      </c>
      <c r="Q35" s="65"/>
      <c r="R35" s="65"/>
      <c r="S35" s="65"/>
      <c r="T35" s="65"/>
      <c r="U35" s="65"/>
      <c r="V35" s="65"/>
      <c r="W35" s="65"/>
      <c r="X35" s="65"/>
      <c r="Y35" s="65"/>
      <c r="Z35" s="65"/>
    </row>
    <row r="36" spans="2:26">
      <c r="B36" s="202"/>
      <c r="C36" s="65" t="s">
        <v>344</v>
      </c>
      <c r="D36" s="65" t="s">
        <v>345</v>
      </c>
      <c r="E36" s="65" t="s">
        <v>9</v>
      </c>
      <c r="F36" s="65">
        <v>0.83746843256447934</v>
      </c>
      <c r="G36" s="1">
        <v>1.4360432109387011</v>
      </c>
      <c r="H36" s="65">
        <v>1.0377574932920675</v>
      </c>
      <c r="I36" s="65">
        <v>1.0222454839469268</v>
      </c>
      <c r="J36" s="65">
        <v>0.85529195385742918</v>
      </c>
      <c r="K36" s="65">
        <v>0.65958789862370848</v>
      </c>
      <c r="L36" s="65">
        <v>1.0432033827672182</v>
      </c>
      <c r="M36" s="65">
        <v>0.97342364555717686</v>
      </c>
      <c r="N36" s="65">
        <v>1.1320297023472368</v>
      </c>
      <c r="O36" s="65">
        <v>1.2815087284463602</v>
      </c>
      <c r="P36" s="65">
        <v>0.96662922926928074</v>
      </c>
      <c r="Q36" s="65"/>
      <c r="R36" s="65"/>
      <c r="S36" s="65"/>
      <c r="T36" s="65"/>
      <c r="U36" s="65"/>
      <c r="V36" s="65"/>
      <c r="W36" s="65"/>
      <c r="X36" s="65"/>
      <c r="Y36" s="65"/>
      <c r="Z36" s="65"/>
    </row>
    <row r="37" spans="2:26" ht="20.25" thickBot="1">
      <c r="B37" s="203"/>
      <c r="C37" s="67" t="s">
        <v>346</v>
      </c>
      <c r="D37" s="67" t="s">
        <v>347</v>
      </c>
      <c r="E37" s="67" t="s">
        <v>348</v>
      </c>
      <c r="F37" s="67">
        <v>-0.28010179717063205</v>
      </c>
      <c r="G37" s="20">
        <v>-0.5018358811952609</v>
      </c>
      <c r="H37" s="67">
        <v>-0.57805363370660279</v>
      </c>
      <c r="I37" s="67">
        <v>-0.65128744152501072</v>
      </c>
      <c r="J37" s="67">
        <v>-0.94594713681692288</v>
      </c>
      <c r="K37" s="67">
        <v>-1.361712510409832</v>
      </c>
      <c r="L37" s="67">
        <v>-2.5882887143491735</v>
      </c>
      <c r="M37" s="67">
        <v>-2.0481021907093688</v>
      </c>
      <c r="N37" s="67">
        <v>-2.3150464167749276</v>
      </c>
      <c r="O37" s="67">
        <v>-1.6910095810387213</v>
      </c>
      <c r="P37" s="67">
        <v>-0.92332880559383013</v>
      </c>
      <c r="Q37" s="67"/>
      <c r="R37" s="67"/>
      <c r="S37" s="67"/>
      <c r="T37" s="67"/>
      <c r="U37" s="67"/>
      <c r="V37" s="67"/>
      <c r="W37" s="67"/>
      <c r="X37" s="67"/>
      <c r="Y37" s="67"/>
      <c r="Z37" s="67"/>
    </row>
    <row r="38" spans="2:26" ht="20.25" thickTop="1">
      <c r="B38" s="207" t="s">
        <v>57</v>
      </c>
      <c r="C38" s="73" t="s">
        <v>327</v>
      </c>
      <c r="D38" s="73" t="s">
        <v>328</v>
      </c>
      <c r="E38" s="73" t="s">
        <v>43</v>
      </c>
      <c r="F38" s="73">
        <v>2.8000000000000003</v>
      </c>
      <c r="G38" s="2">
        <v>2.2000000000000002</v>
      </c>
      <c r="H38" s="73">
        <v>2.88</v>
      </c>
      <c r="I38" s="73">
        <v>2.88</v>
      </c>
      <c r="J38" s="73">
        <v>2.88</v>
      </c>
      <c r="K38" s="73">
        <v>2.2000000000000002</v>
      </c>
      <c r="L38" s="73">
        <v>2.2000000000000002</v>
      </c>
      <c r="M38" s="73">
        <v>2.4000000000000004</v>
      </c>
      <c r="N38" s="73">
        <v>2.2000000000000002</v>
      </c>
      <c r="O38" s="73">
        <v>2.2000000000000002</v>
      </c>
      <c r="P38" s="73">
        <v>2.2000000000000002</v>
      </c>
      <c r="Q38" s="73"/>
      <c r="R38" s="73"/>
      <c r="S38" s="73"/>
      <c r="T38" s="73"/>
      <c r="U38" s="73"/>
      <c r="V38" s="73"/>
      <c r="W38" s="73"/>
      <c r="X38" s="73"/>
      <c r="Y38" s="73"/>
      <c r="Z38" s="73"/>
    </row>
    <row r="39" spans="2:26">
      <c r="B39" s="202"/>
      <c r="C39" s="65" t="s">
        <v>329</v>
      </c>
      <c r="D39" s="65" t="s">
        <v>330</v>
      </c>
      <c r="E39" s="65" t="s">
        <v>51</v>
      </c>
      <c r="F39" s="65">
        <v>5.0909090909090917</v>
      </c>
      <c r="G39" s="1">
        <v>3.5772357723577244</v>
      </c>
      <c r="H39" s="65">
        <v>4.9655172413793105</v>
      </c>
      <c r="I39" s="65">
        <v>5.4339622641509431</v>
      </c>
      <c r="J39" s="65">
        <v>5.3595244249159997</v>
      </c>
      <c r="K39" s="65">
        <v>3.5200000000000005</v>
      </c>
      <c r="L39" s="65">
        <v>3.859649122807018</v>
      </c>
      <c r="M39" s="65">
        <v>4.2477876106194703</v>
      </c>
      <c r="N39" s="65">
        <v>3.859649122807018</v>
      </c>
      <c r="O39" s="65">
        <v>3.859649122807018</v>
      </c>
      <c r="P39" s="65">
        <v>3.859649122807018</v>
      </c>
      <c r="Q39" s="65"/>
      <c r="R39" s="65"/>
      <c r="S39" s="65"/>
      <c r="T39" s="65"/>
      <c r="U39" s="65"/>
      <c r="V39" s="65"/>
      <c r="W39" s="65"/>
      <c r="X39" s="65"/>
      <c r="Y39" s="65"/>
      <c r="Z39" s="65"/>
    </row>
    <row r="40" spans="2:26">
      <c r="B40" s="202"/>
      <c r="C40" s="65" t="s">
        <v>331</v>
      </c>
      <c r="D40" s="65" t="s">
        <v>332</v>
      </c>
      <c r="E40" s="65" t="s">
        <v>43</v>
      </c>
      <c r="F40" s="65">
        <v>0.55593692022263463</v>
      </c>
      <c r="G40" s="1">
        <v>0.6150000000000001</v>
      </c>
      <c r="H40" s="65">
        <v>0.57999999999999996</v>
      </c>
      <c r="I40" s="65">
        <v>0.52999999999999992</v>
      </c>
      <c r="J40" s="65">
        <v>0.59857456707159462</v>
      </c>
      <c r="K40" s="65">
        <v>0.68353719008264457</v>
      </c>
      <c r="L40" s="65">
        <v>0.62370305930114567</v>
      </c>
      <c r="M40" s="65">
        <v>0.61433894624713203</v>
      </c>
      <c r="N40" s="65">
        <v>0.62370305930114567</v>
      </c>
      <c r="O40" s="65">
        <v>0.62370305930114567</v>
      </c>
      <c r="P40" s="65">
        <v>0.62370305930114567</v>
      </c>
      <c r="Q40" s="65"/>
      <c r="R40" s="65"/>
      <c r="S40" s="65"/>
      <c r="T40" s="65"/>
      <c r="U40" s="65"/>
      <c r="V40" s="65"/>
      <c r="W40" s="65"/>
      <c r="X40" s="65"/>
      <c r="Y40" s="65"/>
      <c r="Z40" s="65"/>
    </row>
    <row r="41" spans="2:26">
      <c r="B41" s="202"/>
      <c r="C41" s="65" t="s">
        <v>333</v>
      </c>
      <c r="D41" s="65" t="s">
        <v>334</v>
      </c>
      <c r="E41" s="65" t="s">
        <v>43</v>
      </c>
      <c r="F41" s="65">
        <v>-0.65844155844155861</v>
      </c>
      <c r="G41" s="1">
        <v>-0.55000000000000004</v>
      </c>
      <c r="H41" s="65">
        <v>-0.72000000000000008</v>
      </c>
      <c r="I41" s="65">
        <v>-0.7200000000000002</v>
      </c>
      <c r="J41" s="65">
        <v>0.69998449211682623</v>
      </c>
      <c r="K41" s="65">
        <v>0.53545454545454541</v>
      </c>
      <c r="L41" s="65">
        <v>0.53405103668261578</v>
      </c>
      <c r="M41" s="65">
        <v>0.58066617502458218</v>
      </c>
      <c r="N41" s="65">
        <v>0.53405103668261578</v>
      </c>
      <c r="O41" s="65">
        <v>0.53405103668261578</v>
      </c>
      <c r="P41" s="65">
        <v>0.53405103668261578</v>
      </c>
      <c r="Q41" s="65"/>
      <c r="R41" s="65"/>
      <c r="S41" s="65"/>
      <c r="T41" s="65"/>
      <c r="U41" s="65"/>
      <c r="V41" s="65"/>
      <c r="W41" s="65"/>
      <c r="X41" s="65"/>
      <c r="Y41" s="65"/>
      <c r="Z41" s="65"/>
    </row>
    <row r="42" spans="2:26">
      <c r="B42" s="202"/>
      <c r="C42" s="65" t="s">
        <v>335</v>
      </c>
      <c r="D42" s="65" t="s">
        <v>336</v>
      </c>
      <c r="E42" s="65" t="s">
        <v>51</v>
      </c>
      <c r="F42" s="65">
        <v>0.25</v>
      </c>
      <c r="G42" s="1">
        <v>0.25</v>
      </c>
      <c r="H42" s="65">
        <v>0.25</v>
      </c>
      <c r="I42" s="65">
        <v>0.25</v>
      </c>
      <c r="J42" s="65">
        <v>0.25</v>
      </c>
      <c r="K42" s="65">
        <v>0.25</v>
      </c>
      <c r="L42" s="65">
        <v>0.25</v>
      </c>
      <c r="M42" s="65">
        <v>0.25</v>
      </c>
      <c r="N42" s="65">
        <v>0.25</v>
      </c>
      <c r="O42" s="65">
        <v>0.25</v>
      </c>
      <c r="P42" s="65">
        <v>0.25</v>
      </c>
      <c r="Q42" s="65"/>
      <c r="R42" s="65"/>
      <c r="S42" s="65"/>
      <c r="T42" s="65"/>
      <c r="U42" s="65"/>
      <c r="V42" s="65"/>
      <c r="W42" s="65"/>
      <c r="X42" s="65"/>
      <c r="Y42" s="65"/>
      <c r="Z42" s="65"/>
    </row>
    <row r="43" spans="2:26">
      <c r="B43" s="202"/>
      <c r="C43" s="65" t="s">
        <v>337</v>
      </c>
      <c r="D43" s="65" t="s">
        <v>338</v>
      </c>
      <c r="E43" s="65" t="s">
        <v>51</v>
      </c>
      <c r="F43" s="65">
        <v>1.0682092392323017</v>
      </c>
      <c r="G43" s="1">
        <v>1.0449706976611999</v>
      </c>
      <c r="H43" s="65">
        <v>1.0440102521550767</v>
      </c>
      <c r="I43" s="65">
        <v>1.0414860681499853</v>
      </c>
      <c r="J43" s="65">
        <v>1.0393368682673272</v>
      </c>
      <c r="K43" s="65">
        <v>1.0431606651390797</v>
      </c>
      <c r="L43" s="65">
        <v>1.0425708010062988</v>
      </c>
      <c r="M43" s="65">
        <v>1.0381114983534576</v>
      </c>
      <c r="N43" s="65">
        <v>1.0425708010062988</v>
      </c>
      <c r="O43" s="65">
        <v>1.0425708010062993</v>
      </c>
      <c r="P43" s="65">
        <v>1.0425708010062988</v>
      </c>
      <c r="Q43" s="65"/>
      <c r="R43" s="65"/>
      <c r="S43" s="65"/>
      <c r="T43" s="65"/>
      <c r="U43" s="65"/>
      <c r="V43" s="65"/>
      <c r="W43" s="65"/>
      <c r="X43" s="65"/>
      <c r="Y43" s="65"/>
      <c r="Z43" s="65"/>
    </row>
    <row r="44" spans="2:26" ht="20.25" thickBot="1">
      <c r="B44" s="203"/>
      <c r="C44" s="67" t="s">
        <v>343</v>
      </c>
      <c r="D44" s="67" t="s">
        <v>51</v>
      </c>
      <c r="E44" s="67" t="s">
        <v>52</v>
      </c>
      <c r="F44" s="67">
        <v>0.36</v>
      </c>
      <c r="G44" s="20">
        <v>0.36</v>
      </c>
      <c r="H44" s="67">
        <v>0.36</v>
      </c>
      <c r="I44" s="67">
        <v>0.36</v>
      </c>
      <c r="J44" s="67">
        <v>0.36</v>
      </c>
      <c r="K44" s="67">
        <v>0.36</v>
      </c>
      <c r="L44" s="67">
        <v>0.36</v>
      </c>
      <c r="M44" s="67">
        <v>0.36</v>
      </c>
      <c r="N44" s="67">
        <v>0.36</v>
      </c>
      <c r="O44" s="67">
        <v>0.36</v>
      </c>
      <c r="P44" s="67">
        <v>0.36</v>
      </c>
      <c r="Q44" s="67"/>
      <c r="R44" s="67"/>
      <c r="S44" s="67"/>
      <c r="T44" s="67"/>
      <c r="U44" s="67"/>
      <c r="V44" s="67"/>
      <c r="W44" s="67"/>
      <c r="X44" s="67"/>
      <c r="Y44" s="67"/>
      <c r="Z44" s="67"/>
    </row>
    <row r="45" spans="2:26" ht="20.25" thickTop="1">
      <c r="B45" s="202" t="s">
        <v>58</v>
      </c>
      <c r="C45" s="65" t="s">
        <v>327</v>
      </c>
      <c r="D45" s="65" t="s">
        <v>328</v>
      </c>
      <c r="E45" s="65" t="s">
        <v>43</v>
      </c>
      <c r="F45" s="65">
        <v>0.85</v>
      </c>
      <c r="G45" s="2">
        <v>0.8</v>
      </c>
      <c r="H45" s="65">
        <v>0.8</v>
      </c>
      <c r="I45" s="65">
        <v>0.8</v>
      </c>
      <c r="J45" s="65">
        <v>1</v>
      </c>
      <c r="K45" s="65">
        <v>1.1000000000000001</v>
      </c>
      <c r="L45" s="65">
        <v>0.8</v>
      </c>
      <c r="M45" s="65">
        <v>0.8</v>
      </c>
      <c r="N45" s="65">
        <v>0.8</v>
      </c>
      <c r="O45" s="65">
        <v>0.8</v>
      </c>
      <c r="P45" s="65">
        <v>0.8</v>
      </c>
      <c r="Q45" s="65"/>
      <c r="R45" s="65"/>
      <c r="S45" s="65"/>
      <c r="T45" s="65"/>
      <c r="U45" s="65"/>
      <c r="V45" s="65"/>
      <c r="W45" s="65"/>
      <c r="X45" s="65"/>
      <c r="Y45" s="65"/>
      <c r="Z45" s="65"/>
    </row>
    <row r="46" spans="2:26">
      <c r="B46" s="202"/>
      <c r="C46" s="65" t="s">
        <v>329</v>
      </c>
      <c r="D46" s="65" t="s">
        <v>330</v>
      </c>
      <c r="E46" s="65" t="s">
        <v>51</v>
      </c>
      <c r="F46" s="65">
        <v>1.0303030303030303</v>
      </c>
      <c r="G46" s="1">
        <v>1.0223642172523961</v>
      </c>
      <c r="H46" s="65">
        <v>1.0107391029690462</v>
      </c>
      <c r="I46" s="65">
        <v>1.0107391029690462</v>
      </c>
      <c r="J46" s="65">
        <v>1.8016792280563554</v>
      </c>
      <c r="K46" s="65">
        <v>2.1228070175438596</v>
      </c>
      <c r="L46" s="65">
        <v>1.6</v>
      </c>
      <c r="M46" s="65">
        <v>1.7777777777777777</v>
      </c>
      <c r="N46" s="65">
        <v>1.6</v>
      </c>
      <c r="O46" s="65">
        <v>1.6</v>
      </c>
      <c r="P46" s="65">
        <v>1.6</v>
      </c>
      <c r="Q46" s="65"/>
      <c r="R46" s="65"/>
      <c r="S46" s="65"/>
      <c r="T46" s="65"/>
      <c r="U46" s="65"/>
      <c r="V46" s="65"/>
      <c r="W46" s="65"/>
      <c r="X46" s="65"/>
      <c r="Y46" s="65"/>
      <c r="Z46" s="65"/>
    </row>
    <row r="47" spans="2:26">
      <c r="B47" s="202"/>
      <c r="C47" s="65" t="s">
        <v>331</v>
      </c>
      <c r="D47" s="65" t="s">
        <v>332</v>
      </c>
      <c r="E47" s="65" t="s">
        <v>43</v>
      </c>
      <c r="F47" s="65">
        <v>0.83131225752333027</v>
      </c>
      <c r="G47" s="1">
        <v>0.78608788438498378</v>
      </c>
      <c r="H47" s="65">
        <v>0.79512419555432723</v>
      </c>
      <c r="I47" s="65">
        <v>0.79512419555432723</v>
      </c>
      <c r="J47" s="65">
        <v>0.60333136917444674</v>
      </c>
      <c r="K47" s="65">
        <v>0.56002506265664143</v>
      </c>
      <c r="L47" s="65">
        <v>0.57187500000000002</v>
      </c>
      <c r="M47" s="65">
        <v>0.52968749999999987</v>
      </c>
      <c r="N47" s="65">
        <v>0.57187500000000002</v>
      </c>
      <c r="O47" s="65">
        <v>0.57187500000000002</v>
      </c>
      <c r="P47" s="65">
        <v>0.57187500000000002</v>
      </c>
      <c r="Q47" s="65"/>
      <c r="R47" s="65"/>
      <c r="S47" s="65"/>
      <c r="T47" s="65"/>
      <c r="U47" s="65"/>
      <c r="V47" s="65"/>
      <c r="W47" s="65"/>
      <c r="X47" s="65"/>
      <c r="Y47" s="65"/>
      <c r="Z47" s="65"/>
    </row>
    <row r="48" spans="2:26" ht="20.25" thickBot="1">
      <c r="B48" s="203"/>
      <c r="C48" s="67" t="s">
        <v>333</v>
      </c>
      <c r="D48" s="67" t="s">
        <v>334</v>
      </c>
      <c r="E48" s="67" t="s">
        <v>43</v>
      </c>
      <c r="F48" s="67">
        <v>0.40353832442067739</v>
      </c>
      <c r="G48" s="20">
        <v>0.38448482428115011</v>
      </c>
      <c r="H48" s="67">
        <v>0.38449542008843973</v>
      </c>
      <c r="I48" s="67">
        <v>0.38449542008843973</v>
      </c>
      <c r="J48" s="67">
        <v>0.51590672944377791</v>
      </c>
      <c r="K48" s="67">
        <v>0.52105263157894732</v>
      </c>
      <c r="L48" s="67">
        <v>0.37375000000000003</v>
      </c>
      <c r="M48" s="67">
        <v>0.35624999999999996</v>
      </c>
      <c r="N48" s="67">
        <v>0.37375000000000003</v>
      </c>
      <c r="O48" s="67">
        <v>0.37375000000000003</v>
      </c>
      <c r="P48" s="67">
        <v>0.37375000000000003</v>
      </c>
      <c r="Q48" s="67"/>
      <c r="R48" s="67"/>
      <c r="S48" s="67"/>
      <c r="T48" s="67"/>
      <c r="U48" s="67"/>
      <c r="V48" s="67"/>
      <c r="W48" s="67"/>
      <c r="X48" s="67"/>
      <c r="Y48" s="67"/>
      <c r="Z48" s="67"/>
    </row>
    <row r="49" spans="2:26" ht="20.25" thickTop="1">
      <c r="B49" s="202" t="s">
        <v>349</v>
      </c>
      <c r="C49" s="65" t="s">
        <v>350</v>
      </c>
      <c r="D49" s="65" t="s">
        <v>351</v>
      </c>
      <c r="E49" s="65" t="s">
        <v>51</v>
      </c>
      <c r="F49" s="65">
        <v>0.3695513620523892</v>
      </c>
      <c r="G49" s="2">
        <v>0.3913694173202345</v>
      </c>
      <c r="H49" s="65">
        <v>0.35378435870142183</v>
      </c>
      <c r="I49" s="65">
        <v>0.34387179305970833</v>
      </c>
      <c r="J49" s="65">
        <v>0.3607711533983225</v>
      </c>
      <c r="K49" s="65">
        <v>0.41827101965108376</v>
      </c>
      <c r="L49" s="65">
        <v>0.41635996685508009</v>
      </c>
      <c r="M49" s="65">
        <v>0.38807007439517721</v>
      </c>
      <c r="N49" s="65">
        <v>0.41202211795625671</v>
      </c>
      <c r="O49" s="65">
        <v>0.40980390739689798</v>
      </c>
      <c r="P49" s="65">
        <v>0.40768264772815699</v>
      </c>
      <c r="Q49" s="65">
        <v>0.40899999999999997</v>
      </c>
      <c r="R49" s="65">
        <v>0.36199999999999999</v>
      </c>
      <c r="S49" s="65">
        <v>0.36099999999999999</v>
      </c>
      <c r="T49" s="65">
        <v>0.39600000000000002</v>
      </c>
      <c r="U49" s="65">
        <v>0.39</v>
      </c>
      <c r="V49" s="65">
        <v>0.39</v>
      </c>
      <c r="W49" s="65">
        <v>0.4</v>
      </c>
      <c r="X49" s="65">
        <v>0.39</v>
      </c>
      <c r="Y49" s="65">
        <v>0.4</v>
      </c>
      <c r="Z49" s="65">
        <v>0.4</v>
      </c>
    </row>
    <row r="50" spans="2:26">
      <c r="B50" s="202"/>
      <c r="C50" s="65"/>
      <c r="D50" s="65" t="s">
        <v>352</v>
      </c>
      <c r="E50" s="65" t="s">
        <v>51</v>
      </c>
      <c r="F50" s="65" t="s">
        <v>51</v>
      </c>
      <c r="G50" s="1" t="s">
        <v>51</v>
      </c>
      <c r="H50" s="65" t="s">
        <v>51</v>
      </c>
      <c r="I50" s="65" t="s">
        <v>51</v>
      </c>
      <c r="J50" s="65">
        <v>0.36695301325928892</v>
      </c>
      <c r="K50" s="65">
        <v>0.42384446284524346</v>
      </c>
      <c r="L50" s="65">
        <v>0.42136675135808244</v>
      </c>
      <c r="M50" s="65">
        <v>0.39366384135574523</v>
      </c>
      <c r="N50" s="65">
        <v>0.41699444196109253</v>
      </c>
      <c r="O50" s="65">
        <v>0.41470608049370705</v>
      </c>
      <c r="P50" s="65">
        <v>0.41262328955772543</v>
      </c>
      <c r="Q50" s="65"/>
      <c r="R50" s="65"/>
      <c r="S50" s="65"/>
      <c r="T50" s="65"/>
      <c r="U50" s="65"/>
      <c r="V50" s="65"/>
      <c r="W50" s="65"/>
      <c r="X50" s="65"/>
      <c r="Y50" s="65"/>
      <c r="Z50" s="65"/>
    </row>
    <row r="51" spans="2:26">
      <c r="B51" s="202"/>
      <c r="C51" s="65" t="s">
        <v>353</v>
      </c>
      <c r="D51" s="65" t="s">
        <v>354</v>
      </c>
      <c r="E51" s="65" t="s">
        <v>51</v>
      </c>
      <c r="F51" s="65">
        <v>5.1677648361201567E-3</v>
      </c>
      <c r="G51" s="1">
        <v>5.259278978381356E-3</v>
      </c>
      <c r="H51" s="65">
        <v>4.1362768601852541E-3</v>
      </c>
      <c r="I51" s="65">
        <v>4.0340911854252481E-3</v>
      </c>
      <c r="J51" s="65">
        <v>3.659791094887305E-3</v>
      </c>
      <c r="K51" s="65">
        <v>4.3285221790316779E-3</v>
      </c>
      <c r="L51" s="65">
        <v>3.0531623930240884E-3</v>
      </c>
      <c r="M51" s="65">
        <v>3.5247513864828297E-3</v>
      </c>
      <c r="N51" s="65">
        <v>3.0471531926554761E-3</v>
      </c>
      <c r="O51" s="65">
        <v>2.8782743426983997E-3</v>
      </c>
      <c r="P51" s="65">
        <v>3.0233291045002851E-3</v>
      </c>
      <c r="Q51" s="65">
        <v>3.1900000000000001E-3</v>
      </c>
      <c r="R51" s="65">
        <v>3.0999999999999999E-3</v>
      </c>
      <c r="S51" s="65">
        <v>3.0100000000000001E-3</v>
      </c>
      <c r="T51" s="65">
        <v>5.8500000000000002E-3</v>
      </c>
      <c r="U51" s="65">
        <v>6.1999999999999998E-3</v>
      </c>
      <c r="V51" s="65">
        <v>8.0000000000000002E-3</v>
      </c>
      <c r="W51" s="65">
        <v>9.1999999999999998E-3</v>
      </c>
      <c r="X51" s="65">
        <v>8.3000000000000001E-3</v>
      </c>
      <c r="Y51" s="65">
        <v>0.01</v>
      </c>
      <c r="Z51" s="65">
        <v>0.01</v>
      </c>
    </row>
    <row r="52" spans="2:26">
      <c r="B52" s="202"/>
      <c r="C52" s="65" t="s">
        <v>51</v>
      </c>
      <c r="D52" s="65" t="s">
        <v>355</v>
      </c>
      <c r="E52" s="65" t="s">
        <v>51</v>
      </c>
      <c r="F52" s="65">
        <v>0</v>
      </c>
      <c r="G52" s="1">
        <v>0</v>
      </c>
      <c r="H52" s="65">
        <v>0</v>
      </c>
      <c r="I52" s="65">
        <v>0</v>
      </c>
      <c r="J52" s="65">
        <v>0.10032884463362519</v>
      </c>
      <c r="K52" s="65">
        <v>0.11394833660771307</v>
      </c>
      <c r="L52" s="65">
        <v>0.10149184283126518</v>
      </c>
      <c r="M52" s="65">
        <v>0.10753364333094993</v>
      </c>
      <c r="N52" s="65">
        <v>0.10452438315017795</v>
      </c>
      <c r="O52" s="65">
        <v>9.8955473379635589E-2</v>
      </c>
      <c r="P52" s="65">
        <v>0.10347690766316585</v>
      </c>
      <c r="Q52" s="65"/>
      <c r="R52" s="65"/>
      <c r="S52" s="65"/>
      <c r="T52" s="65"/>
      <c r="U52" s="65"/>
      <c r="V52" s="65"/>
      <c r="W52" s="65"/>
      <c r="X52" s="65"/>
      <c r="Y52" s="65"/>
      <c r="Z52" s="65"/>
    </row>
    <row r="53" spans="2:26" ht="20.25" thickBot="1">
      <c r="B53" s="203"/>
      <c r="C53" s="67" t="s">
        <v>356</v>
      </c>
      <c r="D53" s="67" t="s">
        <v>51</v>
      </c>
      <c r="E53" s="67" t="s">
        <v>51</v>
      </c>
      <c r="F53" s="67" t="s">
        <v>357</v>
      </c>
      <c r="G53" s="20" t="s">
        <v>357</v>
      </c>
      <c r="H53" s="67" t="s">
        <v>357</v>
      </c>
      <c r="I53" s="67" t="s">
        <v>357</v>
      </c>
      <c r="J53" s="67" t="s">
        <v>358</v>
      </c>
      <c r="K53" s="67" t="s">
        <v>358</v>
      </c>
      <c r="L53" s="67" t="s">
        <v>358</v>
      </c>
      <c r="M53" s="67" t="s">
        <v>358</v>
      </c>
      <c r="N53" s="67" t="s">
        <v>358</v>
      </c>
      <c r="O53" s="67" t="s">
        <v>358</v>
      </c>
      <c r="P53" s="67" t="s">
        <v>358</v>
      </c>
      <c r="Q53" s="67"/>
      <c r="R53" s="67"/>
      <c r="S53" s="67"/>
      <c r="T53" s="67"/>
      <c r="U53" s="67"/>
      <c r="V53" s="67"/>
      <c r="W53" s="67"/>
      <c r="X53" s="67"/>
      <c r="Y53" s="67"/>
      <c r="Z53" s="67"/>
    </row>
    <row r="54" spans="2:26" ht="20.25" thickTop="1">
      <c r="B54" s="202" t="s">
        <v>359</v>
      </c>
      <c r="C54" s="65" t="s">
        <v>360</v>
      </c>
      <c r="D54" s="65" t="s">
        <v>361</v>
      </c>
      <c r="E54" s="65" t="s">
        <v>43</v>
      </c>
      <c r="F54" s="65">
        <v>3.2</v>
      </c>
      <c r="G54" s="2">
        <v>4.2</v>
      </c>
      <c r="H54" s="65">
        <v>3.2</v>
      </c>
      <c r="I54" s="65">
        <v>3.2</v>
      </c>
      <c r="J54" s="65">
        <v>3.2</v>
      </c>
      <c r="K54" s="65">
        <v>4.2</v>
      </c>
      <c r="L54" s="65">
        <v>4.5</v>
      </c>
      <c r="M54" s="65">
        <v>3.75</v>
      </c>
      <c r="N54" s="65">
        <v>4.5</v>
      </c>
      <c r="O54" s="65">
        <v>4.5</v>
      </c>
      <c r="P54" s="65">
        <v>4.5</v>
      </c>
      <c r="Q54" s="65"/>
      <c r="R54" s="65"/>
      <c r="S54" s="65"/>
      <c r="T54" s="65"/>
      <c r="U54" s="65"/>
      <c r="V54" s="65"/>
      <c r="W54" s="65"/>
      <c r="X54" s="65"/>
      <c r="Y54" s="65"/>
      <c r="Z54" s="65"/>
    </row>
    <row r="55" spans="2:26">
      <c r="B55" s="202"/>
      <c r="C55" s="65" t="s">
        <v>362</v>
      </c>
      <c r="D55" s="65" t="s">
        <v>363</v>
      </c>
      <c r="E55" s="65" t="s">
        <v>43</v>
      </c>
      <c r="F55" s="65" t="s">
        <v>51</v>
      </c>
      <c r="G55" s="1" t="s">
        <v>51</v>
      </c>
      <c r="H55" s="65" t="s">
        <v>51</v>
      </c>
      <c r="I55" s="65" t="s">
        <v>51</v>
      </c>
      <c r="J55" s="65">
        <v>3.2548324093230696</v>
      </c>
      <c r="K55" s="65">
        <v>4.2559648178231377</v>
      </c>
      <c r="L55" s="65">
        <v>4.5541131041816811</v>
      </c>
      <c r="M55" s="65">
        <v>3.80405370701367</v>
      </c>
      <c r="N55" s="65">
        <v>4.5543064487235529</v>
      </c>
      <c r="O55" s="65">
        <v>4.5538300844317616</v>
      </c>
      <c r="P55" s="65">
        <v>4.5545347916006547</v>
      </c>
      <c r="Q55" s="65"/>
      <c r="R55" s="65"/>
      <c r="S55" s="65"/>
      <c r="T55" s="65"/>
      <c r="U55" s="65"/>
      <c r="V55" s="65"/>
      <c r="W55" s="65"/>
      <c r="X55" s="65"/>
      <c r="Y55" s="65"/>
      <c r="Z55" s="65"/>
    </row>
    <row r="56" spans="2:26">
      <c r="B56" s="202"/>
      <c r="C56" s="65" t="s">
        <v>364</v>
      </c>
      <c r="D56" s="65" t="s">
        <v>365</v>
      </c>
      <c r="E56" s="65" t="s">
        <v>43</v>
      </c>
      <c r="F56" s="65">
        <v>3.2</v>
      </c>
      <c r="G56" s="1">
        <v>4.2</v>
      </c>
      <c r="H56" s="65">
        <v>3.2</v>
      </c>
      <c r="I56" s="65">
        <v>3.2</v>
      </c>
      <c r="J56" s="65">
        <v>3.2</v>
      </c>
      <c r="K56" s="65">
        <v>3.45</v>
      </c>
      <c r="L56" s="65">
        <v>3.75</v>
      </c>
      <c r="M56" s="65">
        <v>4.5</v>
      </c>
      <c r="N56" s="65">
        <v>3.75</v>
      </c>
      <c r="O56" s="65">
        <v>3.75</v>
      </c>
      <c r="P56" s="65">
        <v>3.75</v>
      </c>
      <c r="Q56" s="65"/>
      <c r="R56" s="65"/>
      <c r="S56" s="65"/>
      <c r="T56" s="65"/>
      <c r="U56" s="65"/>
      <c r="V56" s="65"/>
      <c r="W56" s="65"/>
      <c r="X56" s="65"/>
      <c r="Y56" s="65"/>
      <c r="Z56" s="65"/>
    </row>
    <row r="57" spans="2:26">
      <c r="B57" s="202"/>
      <c r="C57" s="65" t="s">
        <v>366</v>
      </c>
      <c r="D57" s="65" t="s">
        <v>367</v>
      </c>
      <c r="E57" s="65" t="s">
        <v>43</v>
      </c>
      <c r="F57" s="65">
        <v>0.16455490679366175</v>
      </c>
      <c r="G57" s="1">
        <v>0.10070403091109648</v>
      </c>
      <c r="H57" s="65">
        <v>0.12044869884135007</v>
      </c>
      <c r="I57" s="65">
        <v>0.11051224985878627</v>
      </c>
      <c r="J57" s="65">
        <v>0.11820219084383332</v>
      </c>
      <c r="K57" s="65">
        <v>0.1875741278056737</v>
      </c>
      <c r="L57" s="65">
        <v>0.17152108121584228</v>
      </c>
      <c r="M57" s="65">
        <v>0.1772081792590621</v>
      </c>
      <c r="N57" s="65">
        <v>0.16657640737830182</v>
      </c>
      <c r="O57" s="65">
        <v>0.16211736926818301</v>
      </c>
      <c r="P57" s="65">
        <v>0.17472505579307965</v>
      </c>
      <c r="Q57" s="65"/>
      <c r="R57" s="65"/>
      <c r="S57" s="65"/>
      <c r="T57" s="65"/>
      <c r="U57" s="65"/>
      <c r="V57" s="65"/>
      <c r="W57" s="65"/>
      <c r="X57" s="65"/>
      <c r="Y57" s="65"/>
      <c r="Z57" s="65"/>
    </row>
    <row r="58" spans="2:26">
      <c r="B58" s="202"/>
      <c r="C58" s="65" t="s">
        <v>368</v>
      </c>
      <c r="D58" s="65" t="s">
        <v>334</v>
      </c>
      <c r="E58" s="65" t="s">
        <v>43</v>
      </c>
      <c r="F58" s="65">
        <v>0.40353832442067739</v>
      </c>
      <c r="G58" s="1">
        <v>0.38448482428115011</v>
      </c>
      <c r="H58" s="65">
        <v>0.38449542008843973</v>
      </c>
      <c r="I58" s="65">
        <v>0.38449542008843973</v>
      </c>
      <c r="J58" s="65">
        <v>0.51590672944377791</v>
      </c>
      <c r="K58" s="65">
        <v>0.52105263157894732</v>
      </c>
      <c r="L58" s="65">
        <v>0.37375000000000003</v>
      </c>
      <c r="M58" s="65">
        <v>0.35624999999999996</v>
      </c>
      <c r="N58" s="65">
        <v>0.37375000000000003</v>
      </c>
      <c r="O58" s="65">
        <v>0.37375000000000003</v>
      </c>
      <c r="P58" s="65">
        <v>0.37375000000000003</v>
      </c>
      <c r="Q58" s="65"/>
      <c r="R58" s="65"/>
      <c r="S58" s="65"/>
      <c r="T58" s="65"/>
      <c r="U58" s="65"/>
      <c r="V58" s="65"/>
      <c r="W58" s="65"/>
      <c r="X58" s="65"/>
      <c r="Y58" s="65"/>
      <c r="Z58" s="65"/>
    </row>
    <row r="59" spans="2:26" ht="20.25" thickBot="1">
      <c r="B59" s="203"/>
      <c r="C59" s="67" t="s">
        <v>369</v>
      </c>
      <c r="D59" s="67" t="s">
        <v>370</v>
      </c>
      <c r="E59" s="67" t="s">
        <v>296</v>
      </c>
      <c r="F59" s="67">
        <v>-3.6</v>
      </c>
      <c r="G59" s="20">
        <v>-2.94</v>
      </c>
      <c r="H59" s="67">
        <v>-2.5</v>
      </c>
      <c r="I59" s="67">
        <v>-3.3</v>
      </c>
      <c r="J59" s="67">
        <v>-2.4500000000000002</v>
      </c>
      <c r="K59" s="67">
        <v>-3.6</v>
      </c>
      <c r="L59" s="67">
        <v>-2.8</v>
      </c>
      <c r="M59" s="67">
        <v>-2.65</v>
      </c>
      <c r="N59" s="67">
        <v>-2.4</v>
      </c>
      <c r="O59" s="67">
        <v>-1.1200000000000001</v>
      </c>
      <c r="P59" s="67">
        <v>-0.92</v>
      </c>
      <c r="Q59" s="67"/>
      <c r="R59" s="67"/>
      <c r="S59" s="67"/>
      <c r="T59" s="67"/>
      <c r="U59" s="67"/>
      <c r="V59" s="67"/>
      <c r="W59" s="67"/>
      <c r="X59" s="67"/>
      <c r="Y59" s="67"/>
      <c r="Z59" s="67"/>
    </row>
    <row r="60" spans="2:26" ht="20.25" thickTop="1">
      <c r="B60" s="202" t="s">
        <v>371</v>
      </c>
      <c r="C60" s="65" t="s">
        <v>372</v>
      </c>
      <c r="D60" s="65" t="s">
        <v>373</v>
      </c>
      <c r="E60" s="65" t="s">
        <v>51</v>
      </c>
      <c r="F60" s="65">
        <v>0.89334209521379149</v>
      </c>
      <c r="G60" s="2">
        <v>0.99518048364603229</v>
      </c>
      <c r="H60" s="65">
        <v>0.80775540451913708</v>
      </c>
      <c r="I60" s="65">
        <v>0.96089613516659922</v>
      </c>
      <c r="J60" s="65">
        <v>1.30602091427374</v>
      </c>
      <c r="K60" s="65">
        <v>0.88960674611935719</v>
      </c>
      <c r="L60" s="65">
        <v>0.69702410295988126</v>
      </c>
      <c r="M60" s="65">
        <v>0.82370987878542834</v>
      </c>
      <c r="N60" s="65">
        <v>0.80156902974961186</v>
      </c>
      <c r="O60" s="65">
        <v>0.88292500309175725</v>
      </c>
      <c r="P60" s="65">
        <v>1.0035204565390832</v>
      </c>
      <c r="Q60" s="65"/>
      <c r="R60" s="65"/>
      <c r="S60" s="65"/>
      <c r="T60" s="65"/>
      <c r="U60" s="65"/>
      <c r="V60" s="65"/>
      <c r="W60" s="65"/>
      <c r="X60" s="65"/>
      <c r="Y60" s="65"/>
      <c r="Z60" s="65"/>
    </row>
    <row r="61" spans="2:26">
      <c r="B61" s="202"/>
      <c r="C61" s="65" t="s">
        <v>374</v>
      </c>
      <c r="D61" s="65" t="s">
        <v>375</v>
      </c>
      <c r="E61" s="65" t="s">
        <v>51</v>
      </c>
      <c r="F61" s="65">
        <v>1.6847046002102821</v>
      </c>
      <c r="G61" s="1">
        <v>1.5700690055057438</v>
      </c>
      <c r="H61" s="65">
        <v>1.5891699804771495</v>
      </c>
      <c r="I61" s="65">
        <v>1.6971035733910482</v>
      </c>
      <c r="J61" s="65">
        <v>1.4207165009077423</v>
      </c>
      <c r="K61" s="65">
        <v>0</v>
      </c>
      <c r="L61" s="65">
        <v>1.4207165009077423</v>
      </c>
      <c r="M61" s="65">
        <v>1.4207165009077423</v>
      </c>
      <c r="N61" s="65">
        <v>1.4207165009077423</v>
      </c>
      <c r="O61" s="65">
        <v>1.4207165009077423</v>
      </c>
      <c r="P61" s="65">
        <v>1.4207165009077423</v>
      </c>
      <c r="Q61" s="65"/>
      <c r="R61" s="65"/>
      <c r="S61" s="65"/>
      <c r="T61" s="65"/>
      <c r="U61" s="65"/>
      <c r="V61" s="65"/>
      <c r="W61" s="65"/>
      <c r="X61" s="65"/>
      <c r="Y61" s="65"/>
      <c r="Z61" s="65"/>
    </row>
    <row r="62" spans="2:26">
      <c r="B62" s="202"/>
      <c r="C62" s="65" t="s">
        <v>320</v>
      </c>
      <c r="D62" s="65" t="s">
        <v>376</v>
      </c>
      <c r="E62" s="65" t="s">
        <v>51</v>
      </c>
      <c r="F62" s="65">
        <v>0.90637713276099385</v>
      </c>
      <c r="G62" s="1">
        <v>1.0017730159086871</v>
      </c>
      <c r="H62" s="65">
        <v>0.81590850011517313</v>
      </c>
      <c r="I62" s="65">
        <v>0.97317771376468332</v>
      </c>
      <c r="J62" s="65">
        <v>1.325966844745778</v>
      </c>
      <c r="K62" s="65">
        <v>0.90647103754541036</v>
      </c>
      <c r="L62" s="65">
        <v>0.71342407448361023</v>
      </c>
      <c r="M62" s="65">
        <v>0.84026657875366129</v>
      </c>
      <c r="N62" s="65">
        <v>0.81526467001619241</v>
      </c>
      <c r="O62" s="65">
        <v>0.89408404389796436</v>
      </c>
      <c r="P62" s="65">
        <v>1.0125387143621192</v>
      </c>
      <c r="Q62" s="65"/>
      <c r="R62" s="65"/>
      <c r="S62" s="65"/>
      <c r="T62" s="65"/>
      <c r="U62" s="65"/>
      <c r="V62" s="65"/>
      <c r="W62" s="65"/>
      <c r="X62" s="65"/>
      <c r="Y62" s="65"/>
      <c r="Z62" s="65"/>
    </row>
    <row r="63" spans="2:26">
      <c r="B63" s="202"/>
      <c r="C63" s="65" t="s">
        <v>323</v>
      </c>
      <c r="D63" s="65" t="s">
        <v>377</v>
      </c>
      <c r="E63" s="65" t="s">
        <v>51</v>
      </c>
      <c r="F63" s="65">
        <v>-0.14949726417945014</v>
      </c>
      <c r="G63" s="1">
        <v>-9.1841046310862567E-2</v>
      </c>
      <c r="H63" s="65">
        <v>-9.3048702459326255E-2</v>
      </c>
      <c r="I63" s="65">
        <v>-0.15143212819474611</v>
      </c>
      <c r="J63" s="65">
        <v>-0.23618169020171326</v>
      </c>
      <c r="K63" s="65">
        <v>-0.22149075345033498</v>
      </c>
      <c r="L63" s="65">
        <v>-0.23977023872649147</v>
      </c>
      <c r="M63" s="65">
        <v>-0.21666087382939367</v>
      </c>
      <c r="N63" s="65">
        <v>-0.20162018133546727</v>
      </c>
      <c r="O63" s="65">
        <v>-0.16662850757882444</v>
      </c>
      <c r="P63" s="65">
        <v>-0.1336135051716322</v>
      </c>
      <c r="Q63" s="65"/>
      <c r="R63" s="65"/>
      <c r="S63" s="65"/>
      <c r="T63" s="65"/>
      <c r="U63" s="65"/>
      <c r="V63" s="65"/>
      <c r="W63" s="65"/>
      <c r="X63" s="65"/>
      <c r="Y63" s="65"/>
      <c r="Z63" s="65"/>
    </row>
    <row r="64" spans="2:26">
      <c r="B64" s="202"/>
      <c r="C64" s="65" t="s">
        <v>325</v>
      </c>
      <c r="D64" s="65" t="s">
        <v>378</v>
      </c>
      <c r="E64" s="65" t="s">
        <v>51</v>
      </c>
      <c r="F64" s="65">
        <v>1.0552889856616786E-10</v>
      </c>
      <c r="G64" s="1">
        <v>1.1551489497962747E-10</v>
      </c>
      <c r="H64" s="65">
        <v>1.144306420943344E-10</v>
      </c>
      <c r="I64" s="65">
        <v>1.1443064209433443E-10</v>
      </c>
      <c r="J64" s="65">
        <v>1.7255164367239104E-10</v>
      </c>
      <c r="K64" s="65">
        <v>1.9216568733856887E-10</v>
      </c>
      <c r="L64" s="65">
        <v>1.6213365045382322E-10</v>
      </c>
      <c r="M64" s="65">
        <v>1.7302477097702235E-10</v>
      </c>
      <c r="N64" s="65">
        <v>1.621336504538232E-10</v>
      </c>
      <c r="O64" s="65">
        <v>1.6213365045382317E-10</v>
      </c>
      <c r="P64" s="65">
        <v>1.6213365045382322E-10</v>
      </c>
      <c r="Q64" s="65"/>
      <c r="R64" s="65"/>
      <c r="S64" s="65"/>
      <c r="T64" s="65"/>
      <c r="U64" s="65"/>
      <c r="V64" s="65"/>
      <c r="W64" s="65"/>
      <c r="X64" s="65"/>
      <c r="Y64" s="65"/>
      <c r="Z64" s="65"/>
    </row>
    <row r="65" spans="2:26">
      <c r="B65" s="202"/>
      <c r="C65" s="65" t="s">
        <v>379</v>
      </c>
      <c r="D65" s="65" t="s">
        <v>380</v>
      </c>
      <c r="E65" s="65" t="s">
        <v>381</v>
      </c>
      <c r="F65" s="65">
        <v>0.1122234567979726</v>
      </c>
      <c r="G65" s="1">
        <v>0.1166459034194281</v>
      </c>
      <c r="H65" s="65">
        <v>0.11774072013896636</v>
      </c>
      <c r="I65" s="65">
        <v>0.11533241778015911</v>
      </c>
      <c r="J65" s="65">
        <v>0.11167813026207936</v>
      </c>
      <c r="K65" s="65">
        <v>0.11459456176974697</v>
      </c>
      <c r="L65" s="65">
        <v>0.11380768012303166</v>
      </c>
      <c r="M65" s="65">
        <v>0.117000046311916</v>
      </c>
      <c r="N65" s="65">
        <v>0.11514709501136162</v>
      </c>
      <c r="O65" s="65">
        <v>0.11696289055066557</v>
      </c>
      <c r="P65" s="65">
        <v>0.11363678542164531</v>
      </c>
      <c r="Q65" s="65"/>
      <c r="R65" s="65"/>
      <c r="S65" s="65"/>
      <c r="T65" s="65"/>
      <c r="U65" s="65"/>
      <c r="V65" s="65"/>
      <c r="W65" s="65"/>
      <c r="X65" s="65"/>
      <c r="Y65" s="65"/>
      <c r="Z65" s="65"/>
    </row>
    <row r="66" spans="2:26">
      <c r="B66" s="202"/>
      <c r="C66" s="65" t="s">
        <v>320</v>
      </c>
      <c r="D66" s="65" t="s">
        <v>382</v>
      </c>
      <c r="E66" s="65" t="s">
        <v>381</v>
      </c>
      <c r="F66" s="65">
        <v>0.10474185445756348</v>
      </c>
      <c r="G66" s="1">
        <v>0.11119553796618663</v>
      </c>
      <c r="H66" s="65">
        <v>0.11028019104580952</v>
      </c>
      <c r="I66" s="65">
        <v>0.10823561805284826</v>
      </c>
      <c r="J66" s="65">
        <v>0.10526973696124349</v>
      </c>
      <c r="K66" s="65">
        <v>0.10948213075902856</v>
      </c>
      <c r="L66" s="65">
        <v>0.10898379773170222</v>
      </c>
      <c r="M66" s="65">
        <v>0.11145907911771946</v>
      </c>
      <c r="N66" s="65">
        <v>0.11037258319132046</v>
      </c>
      <c r="O66" s="65">
        <v>0.11222646535285601</v>
      </c>
      <c r="P66" s="65">
        <v>0.10888714601460912</v>
      </c>
      <c r="Q66" s="65"/>
      <c r="R66" s="65"/>
      <c r="S66" s="65"/>
      <c r="T66" s="65"/>
      <c r="U66" s="65"/>
      <c r="V66" s="65"/>
      <c r="W66" s="65"/>
      <c r="X66" s="65"/>
      <c r="Y66" s="65"/>
      <c r="Z66" s="65"/>
    </row>
    <row r="67" spans="2:26">
      <c r="B67" s="202"/>
      <c r="C67" s="65" t="s">
        <v>323</v>
      </c>
      <c r="D67" s="65" t="s">
        <v>383</v>
      </c>
      <c r="E67" s="65" t="s">
        <v>381</v>
      </c>
      <c r="F67" s="65">
        <v>8.5805589551968084E-2</v>
      </c>
      <c r="G67" s="1">
        <v>7.5929437439067077E-2</v>
      </c>
      <c r="H67" s="65">
        <v>8.514465991491757E-2</v>
      </c>
      <c r="I67" s="65">
        <v>8.7503693234208854E-2</v>
      </c>
      <c r="J67" s="65">
        <v>8.4344600691053831E-2</v>
      </c>
      <c r="K67" s="65">
        <v>7.5780229689853401E-2</v>
      </c>
      <c r="L67" s="65">
        <v>7.8492266268236979E-2</v>
      </c>
      <c r="M67" s="65">
        <v>8.1245709757649165E-2</v>
      </c>
      <c r="N67" s="65">
        <v>7.8492266341715702E-2</v>
      </c>
      <c r="O67" s="65">
        <v>7.8492266341715702E-2</v>
      </c>
      <c r="P67" s="65">
        <v>7.8492266341715702E-2</v>
      </c>
      <c r="Q67" s="65"/>
      <c r="R67" s="65"/>
      <c r="S67" s="65"/>
      <c r="T67" s="65"/>
      <c r="U67" s="65"/>
      <c r="V67" s="65"/>
      <c r="W67" s="65"/>
      <c r="X67" s="65"/>
      <c r="Y67" s="65"/>
      <c r="Z67" s="65"/>
    </row>
    <row r="68" spans="2:26">
      <c r="B68" s="202"/>
      <c r="C68" s="65" t="s">
        <v>325</v>
      </c>
      <c r="D68" s="65" t="s">
        <v>384</v>
      </c>
      <c r="E68" s="65" t="s">
        <v>381</v>
      </c>
      <c r="F68" s="65">
        <v>3.8172620602696196E-2</v>
      </c>
      <c r="G68" s="1">
        <v>3.7973374933672942E-2</v>
      </c>
      <c r="H68" s="65">
        <v>4.4859693176593024E-2</v>
      </c>
      <c r="I68" s="65">
        <v>4.4859693176593024E-2</v>
      </c>
      <c r="J68" s="65">
        <v>5.4188314512789909E-2</v>
      </c>
      <c r="K68" s="65">
        <v>5.9091684649062455E-2</v>
      </c>
      <c r="L68" s="65">
        <v>5.0683925103064187E-2</v>
      </c>
      <c r="M68" s="65">
        <v>5.3791614430781218E-2</v>
      </c>
      <c r="N68" s="65">
        <v>5.0683925103064187E-2</v>
      </c>
      <c r="O68" s="65">
        <v>5.0683925103064187E-2</v>
      </c>
      <c r="P68" s="65">
        <v>5.0683925103064187E-2</v>
      </c>
      <c r="Q68" s="65"/>
      <c r="R68" s="65"/>
      <c r="S68" s="65"/>
      <c r="T68" s="65"/>
      <c r="U68" s="65"/>
      <c r="V68" s="65"/>
      <c r="W68" s="65"/>
      <c r="X68" s="65"/>
      <c r="Y68" s="65"/>
      <c r="Z68" s="65"/>
    </row>
    <row r="69" spans="2:26">
      <c r="B69" s="202"/>
      <c r="C69" s="65" t="s">
        <v>385</v>
      </c>
      <c r="D69" s="65" t="s">
        <v>386</v>
      </c>
      <c r="E69" s="65" t="s">
        <v>51</v>
      </c>
      <c r="F69" s="65">
        <v>2.4586244303371366E-2</v>
      </c>
      <c r="G69" s="1">
        <v>2.5400195265692326E-2</v>
      </c>
      <c r="H69" s="65">
        <v>1.6883925147005055E-2</v>
      </c>
      <c r="I69" s="65">
        <v>2.0891845066662008E-2</v>
      </c>
      <c r="J69" s="65">
        <v>2.700464340732707E-2</v>
      </c>
      <c r="K69" s="65">
        <v>1.9246178282943501E-2</v>
      </c>
      <c r="L69" s="65">
        <v>1.4609803781242738E-2</v>
      </c>
      <c r="M69" s="65">
        <v>1.7977683005341426E-2</v>
      </c>
      <c r="N69" s="65">
        <v>1.833623693228548E-2</v>
      </c>
      <c r="O69" s="65">
        <v>1.9029566101812397E-2</v>
      </c>
      <c r="P69" s="65">
        <v>2.1598977553327306E-2</v>
      </c>
      <c r="Q69" s="65"/>
      <c r="R69" s="65"/>
      <c r="S69" s="65"/>
      <c r="T69" s="65"/>
      <c r="U69" s="65"/>
      <c r="V69" s="65"/>
      <c r="W69" s="65"/>
      <c r="X69" s="65"/>
      <c r="Y69" s="65"/>
      <c r="Z69" s="65"/>
    </row>
    <row r="70" spans="2:26">
      <c r="B70" s="202"/>
      <c r="C70" s="65" t="s">
        <v>320</v>
      </c>
      <c r="D70" s="65" t="s">
        <v>387</v>
      </c>
      <c r="E70" s="65" t="s">
        <v>51</v>
      </c>
      <c r="F70" s="65">
        <v>1.7113168423305021E-2</v>
      </c>
      <c r="G70" s="1">
        <v>1.8476000854648834E-2</v>
      </c>
      <c r="H70" s="65">
        <v>1.0858153475370291E-2</v>
      </c>
      <c r="I70" s="65">
        <v>1.4480626253271449E-2</v>
      </c>
      <c r="J70" s="65">
        <v>2.16275929469061E-2</v>
      </c>
      <c r="K70" s="65">
        <v>1.4187463673077026E-2</v>
      </c>
      <c r="L70" s="65">
        <v>1.1964276319624713E-2</v>
      </c>
      <c r="M70" s="65">
        <v>1.3410295971976124E-2</v>
      </c>
      <c r="N70" s="65">
        <v>1.3999642604226066E-2</v>
      </c>
      <c r="O70" s="65">
        <v>1.5001352600841939E-2</v>
      </c>
      <c r="P70" s="65">
        <v>1.7373362208508655E-2</v>
      </c>
      <c r="Q70" s="65"/>
      <c r="R70" s="65"/>
      <c r="S70" s="65"/>
      <c r="T70" s="65"/>
      <c r="U70" s="65"/>
      <c r="V70" s="65"/>
      <c r="W70" s="65"/>
      <c r="X70" s="65"/>
      <c r="Y70" s="65"/>
      <c r="Z70" s="65"/>
    </row>
    <row r="71" spans="2:26">
      <c r="B71" s="202"/>
      <c r="C71" s="65" t="s">
        <v>323</v>
      </c>
      <c r="D71" s="65" t="s">
        <v>388</v>
      </c>
      <c r="E71" s="65" t="s">
        <v>51</v>
      </c>
      <c r="F71" s="65">
        <v>9.3619884584271104E-3</v>
      </c>
      <c r="G71" s="1">
        <v>8.4402488272241772E-3</v>
      </c>
      <c r="H71" s="65">
        <v>7.4624279567092455E-3</v>
      </c>
      <c r="I71" s="65">
        <v>1.0672391889346024E-2</v>
      </c>
      <c r="J71" s="65">
        <v>1.4315481593539282E-2</v>
      </c>
      <c r="K71" s="65">
        <v>1.2843563962288657E-2</v>
      </c>
      <c r="L71" s="65">
        <v>1.3450839511804251E-2</v>
      </c>
      <c r="M71" s="65">
        <v>1.247658728967543E-2</v>
      </c>
      <c r="N71" s="65">
        <v>1.2705848998838821E-2</v>
      </c>
      <c r="O71" s="65">
        <v>1.1778432817228986E-2</v>
      </c>
      <c r="P71" s="65">
        <v>1.1340906504749983E-2</v>
      </c>
      <c r="Q71" s="65"/>
      <c r="R71" s="65"/>
      <c r="S71" s="65"/>
      <c r="T71" s="65"/>
      <c r="U71" s="65"/>
      <c r="V71" s="65"/>
      <c r="W71" s="65"/>
      <c r="X71" s="65"/>
      <c r="Y71" s="65"/>
      <c r="Z71" s="65"/>
    </row>
    <row r="72" spans="2:26">
      <c r="B72" s="202"/>
      <c r="C72" s="65" t="s">
        <v>325</v>
      </c>
      <c r="D72" s="65" t="s">
        <v>389</v>
      </c>
      <c r="E72" s="65" t="s">
        <v>51</v>
      </c>
      <c r="F72" s="65">
        <v>8.867077996424633E-3</v>
      </c>
      <c r="G72" s="1">
        <v>1.2361311155327367E-2</v>
      </c>
      <c r="H72" s="65">
        <v>8.8474419386210413E-3</v>
      </c>
      <c r="I72" s="65">
        <v>1.1948743953588643E-2</v>
      </c>
      <c r="J72" s="65">
        <v>1.5964930119893229E-2</v>
      </c>
      <c r="K72" s="65">
        <v>1.5379800048954029E-2</v>
      </c>
      <c r="L72" s="65">
        <v>1.5111839261076759E-2</v>
      </c>
      <c r="M72" s="65">
        <v>1.5800325577597366E-2</v>
      </c>
      <c r="N72" s="65">
        <v>1.5607690220090443E-2</v>
      </c>
      <c r="O72" s="65">
        <v>1.583954007527542E-2</v>
      </c>
      <c r="P72" s="65">
        <v>1.6075946859339992E-2</v>
      </c>
      <c r="Q72" s="65"/>
      <c r="R72" s="65"/>
      <c r="S72" s="65"/>
      <c r="T72" s="65"/>
      <c r="U72" s="65"/>
      <c r="V72" s="65"/>
      <c r="W72" s="65"/>
      <c r="X72" s="65"/>
      <c r="Y72" s="65"/>
      <c r="Z72" s="65"/>
    </row>
    <row r="73" spans="2:26">
      <c r="B73" s="202"/>
      <c r="C73" s="65" t="s">
        <v>47</v>
      </c>
      <c r="D73" s="65" t="s">
        <v>390</v>
      </c>
      <c r="E73" s="65" t="s">
        <v>51</v>
      </c>
      <c r="F73" s="65">
        <v>0.2</v>
      </c>
      <c r="G73" s="1">
        <v>0.2</v>
      </c>
      <c r="H73" s="65">
        <v>0.20307417424463414</v>
      </c>
      <c r="I73" s="65">
        <v>0.20307417424463414</v>
      </c>
      <c r="J73" s="65">
        <v>0.11253363853407559</v>
      </c>
      <c r="K73" s="65">
        <v>0.10821367481029676</v>
      </c>
      <c r="L73" s="65">
        <v>4.2650289058750408E-2</v>
      </c>
      <c r="M73" s="65">
        <v>9.7400202198944769E-2</v>
      </c>
      <c r="N73" s="65">
        <v>9.6467577533459026E-2</v>
      </c>
      <c r="O73" s="65">
        <v>9.0536675891477375E-2</v>
      </c>
      <c r="P73" s="65">
        <v>9.6427263948913433E-2</v>
      </c>
      <c r="Q73" s="65"/>
      <c r="R73" s="65"/>
      <c r="S73" s="65"/>
      <c r="T73" s="65"/>
      <c r="U73" s="65"/>
      <c r="V73" s="65"/>
      <c r="W73" s="65"/>
      <c r="X73" s="65"/>
      <c r="Y73" s="65"/>
      <c r="Z73" s="65"/>
    </row>
    <row r="74" spans="2:26">
      <c r="B74" s="202"/>
      <c r="C74" s="65" t="s">
        <v>391</v>
      </c>
      <c r="D74" s="65" t="s">
        <v>392</v>
      </c>
      <c r="E74" s="65" t="s">
        <v>51</v>
      </c>
      <c r="F74" s="65">
        <v>0.20472728608752949</v>
      </c>
      <c r="G74" s="1">
        <v>0.20433083126946039</v>
      </c>
      <c r="H74" s="65">
        <v>0.20228944613939059</v>
      </c>
      <c r="I74" s="65">
        <v>0.20246292449307876</v>
      </c>
      <c r="J74" s="65">
        <v>1</v>
      </c>
      <c r="K74" s="65">
        <v>1</v>
      </c>
      <c r="L74" s="65">
        <v>1</v>
      </c>
      <c r="M74" s="65">
        <v>1</v>
      </c>
      <c r="N74" s="65">
        <v>1</v>
      </c>
      <c r="O74" s="65">
        <v>1</v>
      </c>
      <c r="P74" s="65">
        <v>1</v>
      </c>
      <c r="Q74" s="65"/>
      <c r="R74" s="65"/>
      <c r="S74" s="65"/>
      <c r="T74" s="65"/>
      <c r="U74" s="65"/>
      <c r="V74" s="65"/>
      <c r="W74" s="65"/>
      <c r="X74" s="65"/>
      <c r="Y74" s="65"/>
      <c r="Z74" s="65"/>
    </row>
    <row r="75" spans="2:26">
      <c r="B75" s="202"/>
      <c r="C75" s="65" t="s">
        <v>393</v>
      </c>
      <c r="D75" s="65" t="s">
        <v>394</v>
      </c>
      <c r="E75" s="65" t="s">
        <v>51</v>
      </c>
      <c r="F75" s="65">
        <v>1.2</v>
      </c>
      <c r="G75" s="1">
        <v>1.2</v>
      </c>
      <c r="H75" s="65">
        <v>1.2</v>
      </c>
      <c r="I75" s="65">
        <v>1.2</v>
      </c>
      <c r="J75" s="65">
        <v>1.2</v>
      </c>
      <c r="K75" s="65">
        <v>1.2</v>
      </c>
      <c r="L75" s="65">
        <v>1.2</v>
      </c>
      <c r="M75" s="65">
        <v>1.2</v>
      </c>
      <c r="N75" s="65">
        <v>1.2</v>
      </c>
      <c r="O75" s="65">
        <v>1.2</v>
      </c>
      <c r="P75" s="65">
        <v>1.2</v>
      </c>
      <c r="Q75" s="65"/>
      <c r="R75" s="65"/>
      <c r="S75" s="65"/>
      <c r="T75" s="65"/>
      <c r="U75" s="65"/>
      <c r="V75" s="65"/>
      <c r="W75" s="65"/>
      <c r="X75" s="65"/>
      <c r="Y75" s="65"/>
      <c r="Z75" s="65"/>
    </row>
    <row r="76" spans="2:26">
      <c r="B76" s="202"/>
      <c r="C76" s="65" t="s">
        <v>395</v>
      </c>
      <c r="D76" s="65" t="s">
        <v>396</v>
      </c>
      <c r="E76" s="65" t="s">
        <v>51</v>
      </c>
      <c r="F76" s="65">
        <v>48.86585600467933</v>
      </c>
      <c r="G76" s="1">
        <v>51.054795874434618</v>
      </c>
      <c r="H76" s="65">
        <v>68.419686714309421</v>
      </c>
      <c r="I76" s="65">
        <v>61.016281531367596</v>
      </c>
      <c r="J76" s="65">
        <v>56.004072703101656</v>
      </c>
      <c r="K76" s="65">
        <v>56.840933983222001</v>
      </c>
      <c r="L76" s="65">
        <v>52.748899444464207</v>
      </c>
      <c r="M76" s="65">
        <v>56.094667669967592</v>
      </c>
      <c r="N76" s="65">
        <v>52.731662474475193</v>
      </c>
      <c r="O76" s="65">
        <v>54.743115805968664</v>
      </c>
      <c r="P76" s="65">
        <v>54.288584977975084</v>
      </c>
      <c r="Q76" s="65"/>
      <c r="R76" s="65"/>
      <c r="S76" s="65"/>
      <c r="T76" s="65"/>
      <c r="U76" s="65"/>
      <c r="V76" s="65"/>
      <c r="W76" s="65"/>
      <c r="X76" s="65"/>
      <c r="Y76" s="65"/>
      <c r="Z76" s="65"/>
    </row>
    <row r="77" spans="2:26">
      <c r="B77" s="202"/>
      <c r="C77" s="65" t="s">
        <v>397</v>
      </c>
      <c r="D77" s="65" t="s">
        <v>192</v>
      </c>
      <c r="E77" s="65" t="s">
        <v>51</v>
      </c>
      <c r="F77" s="65">
        <v>7.9321225425896518E-4</v>
      </c>
      <c r="G77" s="1">
        <v>1.1196133917099668E-4</v>
      </c>
      <c r="H77" s="65">
        <v>5.0388112890804772E-4</v>
      </c>
      <c r="I77" s="65">
        <v>-3.1383800751981668E-4</v>
      </c>
      <c r="J77" s="65">
        <v>-1.2981101169055875E-4</v>
      </c>
      <c r="K77" s="65">
        <v>3.0913437415344691E-4</v>
      </c>
      <c r="L77" s="65">
        <v>-1.3604911429110356E-4</v>
      </c>
      <c r="M77" s="65">
        <v>-4.1431794856480741E-5</v>
      </c>
      <c r="N77" s="65">
        <v>-3.7852648738045946E-4</v>
      </c>
      <c r="O77" s="65">
        <v>-2.3021686617781534E-4</v>
      </c>
      <c r="P77" s="65">
        <v>-4.3738887125700787E-5</v>
      </c>
      <c r="Q77" s="65"/>
      <c r="R77" s="65"/>
      <c r="S77" s="65"/>
      <c r="T77" s="65"/>
      <c r="U77" s="65"/>
      <c r="V77" s="65"/>
      <c r="W77" s="65"/>
      <c r="X77" s="65"/>
      <c r="Y77" s="65"/>
      <c r="Z77" s="65"/>
    </row>
    <row r="78" spans="2:26">
      <c r="B78" s="202"/>
      <c r="C78" s="65" t="s">
        <v>398</v>
      </c>
      <c r="D78" s="65" t="s">
        <v>399</v>
      </c>
      <c r="E78" s="65" t="s">
        <v>309</v>
      </c>
      <c r="F78" s="65">
        <v>1012.6935801942534</v>
      </c>
      <c r="G78" s="1">
        <v>985.53351320983711</v>
      </c>
      <c r="H78" s="65">
        <v>1084.7096188961623</v>
      </c>
      <c r="I78" s="65">
        <v>970.26660603808079</v>
      </c>
      <c r="J78" s="65">
        <v>959.83579788656823</v>
      </c>
      <c r="K78" s="65">
        <v>935.25114416985036</v>
      </c>
      <c r="L78" s="65">
        <v>900.1665385883714</v>
      </c>
      <c r="M78" s="65">
        <v>938.12185616804322</v>
      </c>
      <c r="N78" s="65">
        <v>861.45006221899473</v>
      </c>
      <c r="O78" s="65">
        <v>868.62231422494881</v>
      </c>
      <c r="P78" s="65">
        <v>879.17731923931979</v>
      </c>
      <c r="Q78" s="65"/>
      <c r="R78" s="65"/>
      <c r="S78" s="65"/>
      <c r="T78" s="65"/>
      <c r="U78" s="65"/>
      <c r="V78" s="65"/>
      <c r="W78" s="65"/>
      <c r="X78" s="65"/>
      <c r="Y78" s="65"/>
      <c r="Z78" s="65"/>
    </row>
    <row r="79" spans="2:26">
      <c r="B79" s="202"/>
      <c r="C79" s="65"/>
      <c r="D79" s="65"/>
      <c r="E79" s="65" t="s">
        <v>400</v>
      </c>
      <c r="F79" s="65">
        <v>103.36772279210507</v>
      </c>
      <c r="G79" s="1">
        <v>100.61597888819163</v>
      </c>
      <c r="H79" s="65">
        <v>110.74115557898543</v>
      </c>
      <c r="I79" s="65">
        <v>99.057335991636634</v>
      </c>
      <c r="J79" s="65">
        <v>97.992424490716516</v>
      </c>
      <c r="K79" s="65">
        <v>95.482505785589623</v>
      </c>
      <c r="L79" s="65">
        <v>91.900616497026178</v>
      </c>
      <c r="M79" s="65">
        <v>95.775585111591951</v>
      </c>
      <c r="N79" s="65">
        <v>87.947938970800891</v>
      </c>
      <c r="O79" s="65">
        <v>88.680175010204067</v>
      </c>
      <c r="P79" s="65">
        <v>89.757766129588546</v>
      </c>
      <c r="Q79" s="65"/>
      <c r="R79" s="65"/>
      <c r="S79" s="65"/>
      <c r="T79" s="65"/>
      <c r="U79" s="65"/>
      <c r="V79" s="65"/>
      <c r="W79" s="65"/>
      <c r="X79" s="65"/>
      <c r="Y79" s="65"/>
      <c r="Z79" s="65"/>
    </row>
    <row r="80" spans="2:26">
      <c r="B80" s="202"/>
      <c r="C80" s="65" t="s">
        <v>401</v>
      </c>
      <c r="D80" s="65" t="s">
        <v>402</v>
      </c>
      <c r="E80" s="65" t="s">
        <v>309</v>
      </c>
      <c r="F80" s="65">
        <v>27.870993542684378</v>
      </c>
      <c r="G80" s="1">
        <v>25.153973663853844</v>
      </c>
      <c r="H80" s="65">
        <v>22.672898143692077</v>
      </c>
      <c r="I80" s="65">
        <v>21.095578247058995</v>
      </c>
      <c r="J80" s="65">
        <v>19.8465607772658</v>
      </c>
      <c r="K80" s="65">
        <v>20.233671044581762</v>
      </c>
      <c r="L80" s="65">
        <v>18.867721278748267</v>
      </c>
      <c r="M80" s="65">
        <v>20.474754261099356</v>
      </c>
      <c r="N80" s="65">
        <v>19.706041351315328</v>
      </c>
      <c r="O80" s="65">
        <v>18.721302135709376</v>
      </c>
      <c r="P80" s="65">
        <v>18.922714589331328</v>
      </c>
      <c r="Q80" s="65"/>
      <c r="R80" s="65"/>
      <c r="S80" s="65"/>
      <c r="T80" s="65"/>
      <c r="U80" s="65"/>
      <c r="V80" s="65"/>
      <c r="W80" s="65"/>
      <c r="X80" s="65"/>
      <c r="Y80" s="65"/>
      <c r="Z80" s="65"/>
    </row>
    <row r="81" spans="2:26">
      <c r="B81" s="202"/>
      <c r="C81" s="65"/>
      <c r="D81" s="65"/>
      <c r="E81" s="65" t="s">
        <v>400</v>
      </c>
      <c r="F81" s="65">
        <v>2.8448498053163598</v>
      </c>
      <c r="G81" s="1">
        <v>2.5680422321443435</v>
      </c>
      <c r="H81" s="65">
        <v>2.314742025900161</v>
      </c>
      <c r="I81" s="65">
        <v>2.1537088562592133</v>
      </c>
      <c r="J81" s="65">
        <v>2.0261930349429096</v>
      </c>
      <c r="K81" s="65">
        <v>2.0657142465116651</v>
      </c>
      <c r="L81" s="65">
        <v>1.9262604674577097</v>
      </c>
      <c r="M81" s="65">
        <v>2.0903271323225479</v>
      </c>
      <c r="N81" s="65">
        <v>2.0118469986028922</v>
      </c>
      <c r="O81" s="65">
        <v>1.9113121118641527</v>
      </c>
      <c r="P81" s="65">
        <v>1.931874894265577</v>
      </c>
      <c r="Q81" s="65"/>
      <c r="R81" s="65"/>
      <c r="S81" s="65"/>
      <c r="T81" s="65"/>
      <c r="U81" s="65"/>
      <c r="V81" s="65"/>
      <c r="W81" s="65"/>
      <c r="X81" s="65"/>
      <c r="Y81" s="65"/>
      <c r="Z81" s="65"/>
    </row>
    <row r="82" spans="2:26" ht="20.25" thickBot="1">
      <c r="B82" s="203"/>
      <c r="C82" s="67" t="s">
        <v>403</v>
      </c>
      <c r="D82" s="67" t="s">
        <v>404</v>
      </c>
      <c r="E82" s="67" t="s">
        <v>400</v>
      </c>
      <c r="F82" s="67">
        <v>-0.20647239167934117</v>
      </c>
      <c r="G82" s="20">
        <v>1.4859788881916387</v>
      </c>
      <c r="H82" s="67">
        <v>0.80471277406977038</v>
      </c>
      <c r="I82" s="67">
        <v>0.26027246743649357</v>
      </c>
      <c r="J82" s="67">
        <v>0.48038061687513789</v>
      </c>
      <c r="K82" s="67">
        <v>0.1386330001715379</v>
      </c>
      <c r="L82" s="67">
        <v>0.35630493645642503</v>
      </c>
      <c r="M82" s="67">
        <v>0.617681543862588</v>
      </c>
      <c r="N82" s="67">
        <v>0.46634046987051647</v>
      </c>
      <c r="O82" s="67">
        <v>0.54978971282646683</v>
      </c>
      <c r="P82" s="67">
        <v>0.97263371839990498</v>
      </c>
      <c r="Q82" s="67"/>
      <c r="R82" s="67"/>
      <c r="S82" s="67"/>
      <c r="T82" s="67"/>
      <c r="U82" s="67"/>
      <c r="V82" s="67"/>
      <c r="W82" s="67"/>
      <c r="X82" s="67"/>
      <c r="Y82" s="67"/>
      <c r="Z82" s="67"/>
    </row>
    <row r="83" spans="2:26" ht="20.25" thickTop="1">
      <c r="B83" s="202" t="s">
        <v>30</v>
      </c>
      <c r="C83" s="65" t="s">
        <v>405</v>
      </c>
      <c r="D83" s="65" t="s">
        <v>31</v>
      </c>
      <c r="E83" s="65" t="s">
        <v>406</v>
      </c>
      <c r="F83" s="66">
        <v>918.40715156383294</v>
      </c>
      <c r="G83" s="2">
        <v>833.81063889746554</v>
      </c>
      <c r="H83" s="66">
        <v>941.40599435392676</v>
      </c>
      <c r="I83" s="66">
        <v>1010.1455163950034</v>
      </c>
      <c r="J83" s="66">
        <v>904.52562693682296</v>
      </c>
      <c r="K83" s="66">
        <v>885.1284285239492</v>
      </c>
      <c r="L83" s="66">
        <v>805.38723643263461</v>
      </c>
      <c r="M83" s="66">
        <v>815.91501256870231</v>
      </c>
      <c r="N83" s="66">
        <v>832.47226848351579</v>
      </c>
      <c r="O83" s="66">
        <v>892.78855554089125</v>
      </c>
      <c r="P83" s="66">
        <v>891.80653593857642</v>
      </c>
      <c r="Q83" s="66"/>
      <c r="R83" s="66"/>
      <c r="S83" s="66"/>
      <c r="T83" s="66"/>
      <c r="U83" s="66"/>
      <c r="V83" s="66"/>
      <c r="W83" s="66"/>
      <c r="X83" s="66"/>
      <c r="Y83" s="66"/>
      <c r="Z83" s="66"/>
    </row>
    <row r="84" spans="2:26">
      <c r="B84" s="202"/>
      <c r="C84" s="65"/>
      <c r="D84" s="65" t="s">
        <v>33</v>
      </c>
      <c r="E84" s="65" t="s">
        <v>406</v>
      </c>
      <c r="F84" s="66">
        <v>55.530862171617095</v>
      </c>
      <c r="G84" s="1">
        <v>72.911848683691176</v>
      </c>
      <c r="H84" s="66">
        <v>58.680109429353045</v>
      </c>
      <c r="I84" s="66">
        <v>57.72518969576015</v>
      </c>
      <c r="J84" s="66">
        <v>52.359348891475904</v>
      </c>
      <c r="K84" s="66">
        <v>57.310584566883882</v>
      </c>
      <c r="L84" s="66">
        <v>61.608111818404758</v>
      </c>
      <c r="M84" s="66">
        <v>61.309209303595203</v>
      </c>
      <c r="N84" s="66">
        <v>61.555242693094755</v>
      </c>
      <c r="O84" s="66">
        <v>61.979275376536179</v>
      </c>
      <c r="P84" s="66">
        <v>61.134686718395209</v>
      </c>
      <c r="Q84" s="66"/>
      <c r="R84" s="66"/>
      <c r="S84" s="66"/>
      <c r="T84" s="66"/>
      <c r="U84" s="66"/>
      <c r="V84" s="66"/>
      <c r="W84" s="66"/>
      <c r="X84" s="66"/>
      <c r="Y84" s="66"/>
      <c r="Z84" s="66"/>
    </row>
    <row r="85" spans="2:26">
      <c r="B85" s="202"/>
      <c r="C85" s="65"/>
      <c r="D85" s="65" t="s">
        <v>35</v>
      </c>
      <c r="E85" s="65" t="s">
        <v>406</v>
      </c>
      <c r="F85" s="66">
        <v>963.51180413877057</v>
      </c>
      <c r="G85" s="1">
        <v>896.99496843978659</v>
      </c>
      <c r="H85" s="66">
        <v>982.70276637670884</v>
      </c>
      <c r="I85" s="66">
        <v>1050.537846066663</v>
      </c>
      <c r="J85" s="66">
        <v>938.77426688646835</v>
      </c>
      <c r="K85" s="66">
        <v>935.64369229074987</v>
      </c>
      <c r="L85" s="66">
        <v>859.90611138054135</v>
      </c>
      <c r="M85" s="66">
        <v>871.2826765478984</v>
      </c>
      <c r="N85" s="66">
        <v>887.03226452233321</v>
      </c>
      <c r="O85" s="66">
        <v>946.92451889626716</v>
      </c>
      <c r="P85" s="66">
        <v>946.7870879520932</v>
      </c>
      <c r="Q85" s="66"/>
      <c r="R85" s="66"/>
      <c r="S85" s="66"/>
      <c r="T85" s="66"/>
      <c r="U85" s="66"/>
      <c r="V85" s="66"/>
      <c r="W85" s="66"/>
      <c r="X85" s="66"/>
      <c r="Y85" s="66"/>
      <c r="Z85" s="66"/>
    </row>
    <row r="86" spans="2:26">
      <c r="B86" s="202"/>
      <c r="C86" s="65"/>
      <c r="D86" s="65" t="s">
        <v>37</v>
      </c>
      <c r="E86" s="65" t="s">
        <v>406</v>
      </c>
      <c r="F86" s="65">
        <v>0</v>
      </c>
      <c r="G86" s="1">
        <v>0</v>
      </c>
      <c r="H86" s="65">
        <v>0</v>
      </c>
      <c r="I86" s="65">
        <v>0</v>
      </c>
      <c r="J86" s="65">
        <v>0</v>
      </c>
      <c r="K86" s="65">
        <v>0</v>
      </c>
      <c r="L86" s="65">
        <v>0</v>
      </c>
      <c r="M86" s="65">
        <v>0</v>
      </c>
      <c r="N86" s="65">
        <v>0</v>
      </c>
      <c r="O86" s="65">
        <v>0</v>
      </c>
      <c r="P86" s="65">
        <v>0</v>
      </c>
      <c r="Q86" s="65"/>
      <c r="R86" s="65"/>
      <c r="S86" s="65"/>
      <c r="T86" s="65"/>
      <c r="U86" s="65"/>
      <c r="V86" s="65"/>
      <c r="W86" s="65"/>
      <c r="X86" s="65"/>
      <c r="Y86" s="65"/>
      <c r="Z86" s="65"/>
    </row>
    <row r="87" spans="2:26">
      <c r="B87" s="202"/>
      <c r="C87" s="65"/>
      <c r="D87" s="65" t="s">
        <v>39</v>
      </c>
      <c r="E87" s="65" t="s">
        <v>406</v>
      </c>
      <c r="F87" s="65">
        <v>0</v>
      </c>
      <c r="G87" s="1">
        <v>0</v>
      </c>
      <c r="H87" s="65">
        <v>0</v>
      </c>
      <c r="I87" s="65">
        <v>0</v>
      </c>
      <c r="J87" s="65">
        <v>0</v>
      </c>
      <c r="K87" s="65">
        <v>0</v>
      </c>
      <c r="L87" s="65">
        <v>0</v>
      </c>
      <c r="M87" s="65">
        <v>0</v>
      </c>
      <c r="N87" s="65">
        <v>0</v>
      </c>
      <c r="O87" s="65">
        <v>0</v>
      </c>
      <c r="P87" s="65">
        <v>0</v>
      </c>
      <c r="Q87" s="65"/>
      <c r="R87" s="65"/>
      <c r="S87" s="65"/>
      <c r="T87" s="65"/>
      <c r="U87" s="65"/>
      <c r="V87" s="65"/>
      <c r="W87" s="65"/>
      <c r="X87" s="65"/>
      <c r="Y87" s="65"/>
      <c r="Z87" s="65"/>
    </row>
    <row r="88" spans="2:26" ht="20.25" thickBot="1">
      <c r="B88" s="203"/>
      <c r="C88" s="67"/>
      <c r="D88" s="67" t="s">
        <v>407</v>
      </c>
      <c r="E88" s="67" t="s">
        <v>406</v>
      </c>
      <c r="F88" s="67">
        <v>-5.6196454676211225</v>
      </c>
      <c r="G88" s="20">
        <v>-6.0825334963457909</v>
      </c>
      <c r="H88" s="67">
        <v>-6.9131857565410044</v>
      </c>
      <c r="I88" s="67">
        <v>-6.5852125029812028</v>
      </c>
      <c r="J88" s="67">
        <v>-4.987654749548712</v>
      </c>
      <c r="K88" s="67">
        <v>-7.6748803539465982</v>
      </c>
      <c r="L88" s="67">
        <v>-5.784948570851979</v>
      </c>
      <c r="M88" s="67">
        <v>-5.6420922591709717</v>
      </c>
      <c r="N88" s="67">
        <v>-5.7208954706653863</v>
      </c>
      <c r="O88" s="67">
        <v>-5.6642768869536919</v>
      </c>
      <c r="P88" s="67">
        <v>-5.8243628376211198</v>
      </c>
      <c r="Q88" s="67"/>
      <c r="R88" s="67"/>
      <c r="S88" s="67"/>
      <c r="T88" s="67"/>
      <c r="U88" s="67"/>
      <c r="V88" s="67"/>
      <c r="W88" s="67"/>
      <c r="X88" s="67"/>
      <c r="Y88" s="67"/>
      <c r="Z88" s="67"/>
    </row>
    <row r="89" spans="2:26" ht="20.25" thickTop="1">
      <c r="B89" s="202" t="s">
        <v>408</v>
      </c>
      <c r="C89" s="65"/>
      <c r="D89" s="65" t="s">
        <v>194</v>
      </c>
      <c r="E89" s="65" t="s">
        <v>381</v>
      </c>
      <c r="F89" s="65">
        <v>-2.1235387044881707E-2</v>
      </c>
      <c r="G89" s="2">
        <v>-2.0820816650685955E-2</v>
      </c>
      <c r="H89" s="65">
        <v>-2.130043362118501E-2</v>
      </c>
      <c r="I89" s="65">
        <v>-2.2167204650325574E-2</v>
      </c>
      <c r="J89" s="65">
        <v>-2.0018827319272563E-2</v>
      </c>
      <c r="K89" s="65">
        <v>-2.0535400940715834E-2</v>
      </c>
      <c r="L89" s="65">
        <v>-2.1866528705799238E-2</v>
      </c>
      <c r="M89" s="65">
        <v>-2.0430634259647602E-2</v>
      </c>
      <c r="N89" s="65">
        <v>-2.1374283181142786E-2</v>
      </c>
      <c r="O89" s="65">
        <v>-2.1277877173263921E-2</v>
      </c>
      <c r="P89" s="65">
        <v>-2.1202289228846573E-2</v>
      </c>
      <c r="Q89" s="65"/>
      <c r="R89" s="65"/>
      <c r="S89" s="65"/>
      <c r="T89" s="65"/>
      <c r="U89" s="65"/>
      <c r="V89" s="65"/>
      <c r="W89" s="65"/>
      <c r="X89" s="65"/>
      <c r="Y89" s="65"/>
      <c r="Z89" s="65"/>
    </row>
    <row r="90" spans="2:26">
      <c r="B90" s="202"/>
      <c r="C90" s="65"/>
      <c r="D90" s="65" t="s">
        <v>409</v>
      </c>
      <c r="E90" s="65" t="s">
        <v>381</v>
      </c>
      <c r="F90" s="65">
        <v>-3.3102396725761384E-3</v>
      </c>
      <c r="G90" s="1">
        <v>-3.4932616092385018E-3</v>
      </c>
      <c r="H90" s="65">
        <v>-4.0605550085478061E-3</v>
      </c>
      <c r="I90" s="65">
        <v>-3.9301510675748665E-3</v>
      </c>
      <c r="J90" s="65">
        <v>-4.5244603596246253E-3</v>
      </c>
      <c r="K90" s="65">
        <v>-1.6261031494530539E-3</v>
      </c>
      <c r="L90" s="65">
        <v>-2.8747141341960475E-3</v>
      </c>
      <c r="M90" s="65">
        <v>-2.3232525096361562E-3</v>
      </c>
      <c r="N90" s="65">
        <v>-2.6407031537638032E-3</v>
      </c>
      <c r="O90" s="65">
        <v>-2.8537063442499789E-3</v>
      </c>
      <c r="P90" s="65">
        <v>-2.1937912085889066E-3</v>
      </c>
      <c r="Q90" s="65"/>
      <c r="R90" s="65"/>
      <c r="S90" s="65"/>
      <c r="T90" s="65"/>
      <c r="U90" s="65"/>
      <c r="V90" s="65"/>
      <c r="W90" s="65"/>
      <c r="X90" s="65"/>
      <c r="Y90" s="65"/>
      <c r="Z90" s="65"/>
    </row>
    <row r="91" spans="2:26" ht="20.25" thickBot="1">
      <c r="B91" s="203"/>
      <c r="C91" s="67"/>
      <c r="D91" s="67" t="s">
        <v>410</v>
      </c>
      <c r="E91" s="67" t="s">
        <v>381</v>
      </c>
      <c r="F91" s="67">
        <v>-3.1702415539934146E-4</v>
      </c>
      <c r="G91" s="20">
        <v>-3.7529757345022873E-4</v>
      </c>
      <c r="H91" s="67">
        <v>1.8555211084135206E-4</v>
      </c>
      <c r="I91" s="67">
        <v>1.8096809282457506E-4</v>
      </c>
      <c r="J91" s="67">
        <v>1.9831791090086103E-4</v>
      </c>
      <c r="K91" s="67">
        <v>2.557796675998126E-4</v>
      </c>
      <c r="L91" s="67">
        <v>1.5474625405552511E-4</v>
      </c>
      <c r="M91" s="67">
        <v>1.8960206754604588E-4</v>
      </c>
      <c r="N91" s="67">
        <v>1.5444168419411308E-4</v>
      </c>
      <c r="O91" s="67">
        <v>1.45882241211397E-4</v>
      </c>
      <c r="P91" s="67">
        <v>1.5323418589440656E-4</v>
      </c>
      <c r="Q91" s="67"/>
      <c r="R91" s="67"/>
      <c r="S91" s="67"/>
      <c r="T91" s="67"/>
      <c r="U91" s="67"/>
      <c r="V91" s="67"/>
      <c r="W91" s="67"/>
      <c r="X91" s="67"/>
      <c r="Y91" s="67"/>
      <c r="Z91" s="67"/>
    </row>
    <row r="92" spans="2:26" ht="20.25" thickTop="1">
      <c r="B92" s="202" t="s">
        <v>411</v>
      </c>
      <c r="C92" s="65" t="s">
        <v>412</v>
      </c>
      <c r="D92" s="65" t="s">
        <v>413</v>
      </c>
      <c r="E92" s="65" t="s">
        <v>414</v>
      </c>
      <c r="F92" s="65">
        <v>8.7453503909277899</v>
      </c>
      <c r="G92" s="2">
        <v>8.2104818110790951</v>
      </c>
      <c r="H92" s="65">
        <v>9.4963161479902265</v>
      </c>
      <c r="I92" s="65">
        <v>8.3860722086699404</v>
      </c>
      <c r="J92" s="65">
        <v>7.0458658976119821</v>
      </c>
      <c r="K92" s="65">
        <v>9.2901291803350876</v>
      </c>
      <c r="L92" s="65">
        <v>10.401330090247521</v>
      </c>
      <c r="M92" s="65">
        <v>8.7455376688500372</v>
      </c>
      <c r="N92" s="65">
        <v>9.7013471072537136</v>
      </c>
      <c r="O92" s="65">
        <v>9.2531089919488565</v>
      </c>
      <c r="P92" s="65">
        <v>8.6584587070829002</v>
      </c>
      <c r="Q92" s="65"/>
      <c r="R92" s="65"/>
      <c r="S92" s="65"/>
      <c r="T92" s="65"/>
      <c r="U92" s="65"/>
      <c r="V92" s="65"/>
      <c r="W92" s="65"/>
      <c r="X92" s="65"/>
      <c r="Y92" s="65"/>
      <c r="Z92" s="65"/>
    </row>
    <row r="93" spans="2:26">
      <c r="B93" s="202"/>
      <c r="C93" s="65"/>
      <c r="D93" s="65" t="s">
        <v>415</v>
      </c>
      <c r="E93" s="65" t="s">
        <v>51</v>
      </c>
      <c r="F93" s="65">
        <v>0.87466672375566978</v>
      </c>
      <c r="G93" s="1">
        <v>0.90435520631105559</v>
      </c>
      <c r="H93" s="65">
        <v>0.87289716628344272</v>
      </c>
      <c r="I93" s="65">
        <v>0.87324814934969552</v>
      </c>
      <c r="J93" s="65">
        <v>0.92923133755955545</v>
      </c>
      <c r="K93" s="65">
        <v>0.9925505543187817</v>
      </c>
      <c r="L93" s="65">
        <v>0.98803141841708864</v>
      </c>
      <c r="M93" s="65">
        <v>0.95074838866354594</v>
      </c>
      <c r="N93" s="65">
        <v>0.98825436767997343</v>
      </c>
      <c r="O93" s="65">
        <v>0.98368694325554928</v>
      </c>
      <c r="P93" s="65">
        <v>0.98948080665334137</v>
      </c>
      <c r="Q93" s="65"/>
      <c r="R93" s="65"/>
      <c r="S93" s="65"/>
      <c r="T93" s="65"/>
      <c r="U93" s="65"/>
      <c r="V93" s="65"/>
      <c r="W93" s="65"/>
      <c r="X93" s="65"/>
      <c r="Y93" s="65"/>
      <c r="Z93" s="65"/>
    </row>
    <row r="94" spans="2:26">
      <c r="B94" s="202"/>
      <c r="C94" s="65"/>
      <c r="D94" s="65" t="s">
        <v>416</v>
      </c>
      <c r="E94" s="65" t="s">
        <v>414</v>
      </c>
      <c r="F94" s="65">
        <v>4.2390881345512756</v>
      </c>
      <c r="G94" s="1">
        <v>3.5040741639495896</v>
      </c>
      <c r="H94" s="65">
        <v>4.6332928125957356</v>
      </c>
      <c r="I94" s="65">
        <v>4.0863297379258734</v>
      </c>
      <c r="J94" s="65">
        <v>2.6034366877272448</v>
      </c>
      <c r="K94" s="65">
        <v>1.1318487780818216</v>
      </c>
      <c r="L94" s="65">
        <v>1.6044339500554228</v>
      </c>
      <c r="M94" s="65">
        <v>2.7107993008886107</v>
      </c>
      <c r="N94" s="65">
        <v>1.4825393080339162</v>
      </c>
      <c r="O94" s="65">
        <v>1.6645311178490798</v>
      </c>
      <c r="P94" s="65">
        <v>1.2525690769984914</v>
      </c>
      <c r="Q94" s="65"/>
      <c r="R94" s="65"/>
      <c r="S94" s="65"/>
      <c r="T94" s="65"/>
      <c r="U94" s="65"/>
      <c r="V94" s="65"/>
      <c r="W94" s="65"/>
      <c r="X94" s="65"/>
      <c r="Y94" s="65"/>
      <c r="Z94" s="65"/>
    </row>
    <row r="95" spans="2:26">
      <c r="B95" s="202"/>
      <c r="C95" s="65"/>
      <c r="D95" s="65" t="s">
        <v>417</v>
      </c>
      <c r="E95" s="65" t="s">
        <v>418</v>
      </c>
      <c r="F95" s="65">
        <v>1.4822020934095739</v>
      </c>
      <c r="G95" s="1">
        <v>1.7931085397169628</v>
      </c>
      <c r="H95" s="65">
        <v>1.3560950195287835</v>
      </c>
      <c r="I95" s="65">
        <v>1.5376109394365189</v>
      </c>
      <c r="J95" s="65">
        <v>2.413419668240405</v>
      </c>
      <c r="K95" s="65">
        <v>5.5512586388332643</v>
      </c>
      <c r="L95" s="65">
        <v>3.9161383408538213</v>
      </c>
      <c r="M95" s="65">
        <v>2.3178349297640493</v>
      </c>
      <c r="N95" s="65">
        <v>4.2381239223343714</v>
      </c>
      <c r="O95" s="65">
        <v>3.7747478793299867</v>
      </c>
      <c r="P95" s="65">
        <v>5.0162385632542277</v>
      </c>
      <c r="Q95" s="65"/>
      <c r="R95" s="65"/>
      <c r="S95" s="65"/>
      <c r="T95" s="65"/>
      <c r="U95" s="65"/>
      <c r="V95" s="65"/>
      <c r="W95" s="65"/>
      <c r="X95" s="65"/>
      <c r="Y95" s="65"/>
      <c r="Z95" s="65"/>
    </row>
    <row r="96" spans="2:26">
      <c r="B96" s="202"/>
      <c r="C96" s="65" t="s">
        <v>419</v>
      </c>
      <c r="D96" s="65" t="s">
        <v>420</v>
      </c>
      <c r="E96" s="65" t="s">
        <v>414</v>
      </c>
      <c r="F96" s="65">
        <v>0.65326714854755707</v>
      </c>
      <c r="G96" s="1">
        <v>0.62732315975683761</v>
      </c>
      <c r="H96" s="65">
        <v>0.62382508504723611</v>
      </c>
      <c r="I96" s="65">
        <v>0.70448947113508698</v>
      </c>
      <c r="J96" s="65">
        <v>0.82248996349895132</v>
      </c>
      <c r="K96" s="65">
        <v>0.60563290975250206</v>
      </c>
      <c r="L96" s="65">
        <v>0.53340329177995904</v>
      </c>
      <c r="M96" s="65">
        <v>0.60440909762581829</v>
      </c>
      <c r="N96" s="65">
        <v>0.5686171003563496</v>
      </c>
      <c r="O96" s="65">
        <v>0.5943886699925105</v>
      </c>
      <c r="P96" s="65">
        <v>0.64010513773290212</v>
      </c>
      <c r="Q96" s="65"/>
      <c r="R96" s="65"/>
      <c r="S96" s="65"/>
      <c r="T96" s="65"/>
      <c r="U96" s="65"/>
      <c r="V96" s="65"/>
      <c r="W96" s="65"/>
      <c r="X96" s="65"/>
      <c r="Y96" s="65"/>
      <c r="Z96" s="65"/>
    </row>
    <row r="97" spans="2:27">
      <c r="B97" s="202"/>
      <c r="C97" s="65"/>
      <c r="D97" s="65" t="s">
        <v>421</v>
      </c>
      <c r="E97" s="65" t="s">
        <v>51</v>
      </c>
      <c r="F97" s="65">
        <v>3.9293704054904489E-2</v>
      </c>
      <c r="G97" s="1">
        <v>4.1935643099854196E-2</v>
      </c>
      <c r="H97" s="65">
        <v>2.9829612677350483E-2</v>
      </c>
      <c r="I97" s="65">
        <v>3.148157310602704E-2</v>
      </c>
      <c r="J97" s="65">
        <v>3.2163274407309643E-2</v>
      </c>
      <c r="K97" s="65">
        <v>3.7242807874262492E-2</v>
      </c>
      <c r="L97" s="65">
        <v>3.6480889219473393E-2</v>
      </c>
      <c r="M97" s="65">
        <v>3.5390909123463973E-2</v>
      </c>
      <c r="N97" s="65">
        <v>4.1291947701511719E-2</v>
      </c>
      <c r="O97" s="65">
        <v>3.9216782953523835E-2</v>
      </c>
      <c r="P97" s="65">
        <v>3.8981032713419926E-2</v>
      </c>
      <c r="Q97" s="65"/>
      <c r="R97" s="65"/>
      <c r="S97" s="65"/>
      <c r="T97" s="65"/>
      <c r="U97" s="65"/>
      <c r="V97" s="65"/>
      <c r="W97" s="65"/>
      <c r="X97" s="65"/>
      <c r="Y97" s="65"/>
      <c r="Z97" s="65"/>
    </row>
    <row r="98" spans="2:27">
      <c r="B98" s="202"/>
      <c r="C98" s="65"/>
      <c r="D98" s="65" t="s">
        <v>422</v>
      </c>
      <c r="E98" s="65" t="s">
        <v>414</v>
      </c>
      <c r="F98" s="65">
        <v>0.65276263306619364</v>
      </c>
      <c r="G98" s="1">
        <v>0.62677131235269212</v>
      </c>
      <c r="H98" s="65">
        <v>0.62354748169313978</v>
      </c>
      <c r="I98" s="65">
        <v>0.70414027855380978</v>
      </c>
      <c r="J98" s="65">
        <v>0.82206443026501153</v>
      </c>
      <c r="K98" s="65">
        <v>0.6052127494888383</v>
      </c>
      <c r="L98" s="65">
        <v>0.53304823231428844</v>
      </c>
      <c r="M98" s="65">
        <v>0.60403046285887607</v>
      </c>
      <c r="N98" s="65">
        <v>0.56813214038081983</v>
      </c>
      <c r="O98" s="65">
        <v>0.59393142228808504</v>
      </c>
      <c r="P98" s="65">
        <v>0.63961862627541599</v>
      </c>
      <c r="Q98" s="65"/>
      <c r="R98" s="65"/>
      <c r="S98" s="65"/>
      <c r="T98" s="65"/>
      <c r="U98" s="65"/>
      <c r="V98" s="65"/>
      <c r="W98" s="65"/>
      <c r="X98" s="65"/>
      <c r="Y98" s="65"/>
      <c r="Z98" s="65"/>
    </row>
    <row r="99" spans="2:27">
      <c r="B99" s="202"/>
      <c r="C99" s="65"/>
      <c r="D99" s="65" t="s">
        <v>423</v>
      </c>
      <c r="E99" s="65" t="s">
        <v>418</v>
      </c>
      <c r="F99" s="65">
        <v>9.6255284676236013</v>
      </c>
      <c r="G99" s="1">
        <v>10.024685532582192</v>
      </c>
      <c r="H99" s="65">
        <v>10.07651460658399</v>
      </c>
      <c r="I99" s="65">
        <v>8.9232010986280077</v>
      </c>
      <c r="J99" s="65">
        <v>7.6431786559042045</v>
      </c>
      <c r="K99" s="65">
        <v>10.381779485786369</v>
      </c>
      <c r="L99" s="65">
        <v>11.78727350787833</v>
      </c>
      <c r="M99" s="65">
        <v>10.402100048797656</v>
      </c>
      <c r="N99" s="65">
        <v>11.059373094026959</v>
      </c>
      <c r="O99" s="65">
        <v>10.57897439231956</v>
      </c>
      <c r="P99" s="65">
        <v>9.8233307303250488</v>
      </c>
      <c r="Q99" s="65"/>
      <c r="R99" s="65"/>
      <c r="S99" s="65"/>
      <c r="T99" s="65"/>
      <c r="U99" s="65"/>
      <c r="V99" s="65"/>
      <c r="W99" s="65"/>
      <c r="X99" s="65"/>
      <c r="Y99" s="65"/>
      <c r="Z99" s="65"/>
    </row>
    <row r="100" spans="2:27">
      <c r="B100" s="202"/>
      <c r="C100" s="65" t="s">
        <v>424</v>
      </c>
      <c r="D100" s="65" t="s">
        <v>425</v>
      </c>
      <c r="E100" s="65" t="s">
        <v>414</v>
      </c>
      <c r="F100" s="65">
        <v>0.71452193292878585</v>
      </c>
      <c r="G100" s="1">
        <v>0.72438011711662642</v>
      </c>
      <c r="H100" s="65">
        <v>1.2535547569359917</v>
      </c>
      <c r="I100" s="65">
        <v>1.1385918604631449</v>
      </c>
      <c r="J100" s="65">
        <v>1.2646822697445395</v>
      </c>
      <c r="K100" s="65">
        <v>0.92879097528311116</v>
      </c>
      <c r="L100" s="65">
        <v>1.0987067653094216</v>
      </c>
      <c r="M100" s="65">
        <v>1.0366318104894019</v>
      </c>
      <c r="N100" s="65">
        <v>1.0300195391903519</v>
      </c>
      <c r="O100" s="65">
        <v>1.0391027576319321</v>
      </c>
      <c r="P100" s="65">
        <v>0.91300620956946987</v>
      </c>
      <c r="Q100" s="65"/>
      <c r="R100" s="65"/>
      <c r="S100" s="65"/>
      <c r="T100" s="65"/>
      <c r="U100" s="65"/>
      <c r="V100" s="65"/>
      <c r="W100" s="65"/>
      <c r="X100" s="65"/>
      <c r="Y100" s="65"/>
      <c r="Z100" s="65"/>
    </row>
    <row r="101" spans="2:27">
      <c r="B101" s="202"/>
      <c r="C101" s="65"/>
      <c r="D101" s="65" t="s">
        <v>426</v>
      </c>
      <c r="E101" s="65"/>
      <c r="F101" s="65">
        <v>0.15159055837003976</v>
      </c>
      <c r="G101" s="1">
        <v>0.18493539126626099</v>
      </c>
      <c r="H101" s="65">
        <v>0.20060718601528893</v>
      </c>
      <c r="I101" s="65">
        <v>0.20270423647798141</v>
      </c>
      <c r="J101" s="65">
        <v>0.2034993555069157</v>
      </c>
      <c r="K101" s="65">
        <v>0.25141588908449458</v>
      </c>
      <c r="L101" s="65">
        <v>0.22647111129224112</v>
      </c>
      <c r="M101" s="65">
        <v>0.22202189401394098</v>
      </c>
      <c r="N101" s="65">
        <v>0.21710302695420797</v>
      </c>
      <c r="O101" s="65">
        <v>0.21427229647500562</v>
      </c>
      <c r="P101" s="65">
        <v>0.21084076252157694</v>
      </c>
      <c r="Q101" s="65"/>
      <c r="R101" s="65"/>
      <c r="S101" s="65"/>
      <c r="T101" s="65"/>
      <c r="U101" s="65"/>
      <c r="V101" s="65"/>
      <c r="W101" s="65"/>
      <c r="X101" s="65"/>
      <c r="Y101" s="65"/>
      <c r="Z101" s="65"/>
    </row>
    <row r="102" spans="2:27">
      <c r="B102" s="202"/>
      <c r="C102" s="65"/>
      <c r="D102" s="65" t="s">
        <v>425</v>
      </c>
      <c r="E102" s="65" t="s">
        <v>414</v>
      </c>
      <c r="F102" s="65">
        <v>0.70626446982278512</v>
      </c>
      <c r="G102" s="1">
        <v>0.71188505341810548</v>
      </c>
      <c r="H102" s="65">
        <v>1.2280721947135658</v>
      </c>
      <c r="I102" s="65">
        <v>1.1149547021103381</v>
      </c>
      <c r="J102" s="65">
        <v>1.2382188944449084</v>
      </c>
      <c r="K102" s="65">
        <v>0.8989574205057016</v>
      </c>
      <c r="L102" s="65">
        <v>1.070160037215744</v>
      </c>
      <c r="M102" s="65">
        <v>1.0107592224882171</v>
      </c>
      <c r="N102" s="65">
        <v>1.0054522294995805</v>
      </c>
      <c r="O102" s="65">
        <v>1.0149685228812946</v>
      </c>
      <c r="P102" s="65">
        <v>0.89248221406783212</v>
      </c>
      <c r="Q102" s="65"/>
      <c r="R102" s="65"/>
      <c r="S102" s="65"/>
      <c r="T102" s="65"/>
      <c r="U102" s="65"/>
      <c r="V102" s="65"/>
      <c r="W102" s="65"/>
      <c r="X102" s="65"/>
      <c r="Y102" s="65"/>
      <c r="Z102" s="65"/>
    </row>
    <row r="103" spans="2:27">
      <c r="B103" s="202"/>
      <c r="C103" s="65"/>
      <c r="D103" s="65" t="s">
        <v>427</v>
      </c>
      <c r="E103" s="65" t="s">
        <v>418</v>
      </c>
      <c r="F103" s="65">
        <v>8.8963632968201765</v>
      </c>
      <c r="G103" s="1">
        <v>8.8261233706354218</v>
      </c>
      <c r="H103" s="65">
        <v>5.1162996232848261</v>
      </c>
      <c r="I103" s="65">
        <v>5.635372715400047</v>
      </c>
      <c r="J103" s="65">
        <v>5.0743736308403919</v>
      </c>
      <c r="K103" s="65">
        <v>6.9894136961960092</v>
      </c>
      <c r="L103" s="65">
        <v>5.8712576518243669</v>
      </c>
      <c r="M103" s="65">
        <v>6.2163027231273489</v>
      </c>
      <c r="N103" s="65">
        <v>6.2491137050904593</v>
      </c>
      <c r="O103" s="65">
        <v>6.1905223320057923</v>
      </c>
      <c r="P103" s="65">
        <v>7.0401238345597328</v>
      </c>
      <c r="Q103" s="65"/>
      <c r="R103" s="65"/>
      <c r="S103" s="65"/>
      <c r="T103" s="65"/>
      <c r="U103" s="65"/>
      <c r="V103" s="65"/>
      <c r="W103" s="65"/>
      <c r="X103" s="65"/>
      <c r="Y103" s="65"/>
      <c r="Z103" s="65"/>
    </row>
    <row r="104" spans="2:27">
      <c r="B104" s="202"/>
      <c r="C104" s="65" t="s">
        <v>428</v>
      </c>
      <c r="D104" s="65" t="s">
        <v>429</v>
      </c>
      <c r="E104" s="65"/>
      <c r="F104" s="65">
        <v>0.24829176159103347</v>
      </c>
      <c r="G104" s="1">
        <v>0.36269510456588794</v>
      </c>
      <c r="H104" s="65">
        <v>-1.9216585040664196E-2</v>
      </c>
      <c r="I104" s="65">
        <v>-2.7297176747471005E-2</v>
      </c>
      <c r="J104" s="65">
        <v>-4.372860158895997E-2</v>
      </c>
      <c r="K104" s="65">
        <v>-9.0773124665995492E-2</v>
      </c>
      <c r="L104" s="65">
        <v>-8.6694976076733751E-3</v>
      </c>
      <c r="M104" s="65">
        <v>-3.4806930541028493E-2</v>
      </c>
      <c r="N104" s="65">
        <v>-2.1839647168287717E-2</v>
      </c>
      <c r="O104" s="65">
        <v>-1.7593155317140192E-2</v>
      </c>
      <c r="P104" s="65">
        <v>-4.9245769222332134E-2</v>
      </c>
      <c r="Q104" s="65"/>
      <c r="R104" s="65"/>
      <c r="S104" s="65"/>
      <c r="T104" s="65"/>
      <c r="U104" s="65"/>
      <c r="V104" s="65"/>
      <c r="W104" s="65"/>
      <c r="X104" s="65"/>
      <c r="Y104" s="65"/>
      <c r="Z104" s="65"/>
    </row>
    <row r="105" spans="2:27">
      <c r="B105" s="202"/>
      <c r="C105" s="65"/>
      <c r="D105" s="65" t="s">
        <v>430</v>
      </c>
      <c r="E105" s="65" t="s">
        <v>418</v>
      </c>
      <c r="F105" s="65">
        <v>-2.7916640331451772</v>
      </c>
      <c r="G105" s="1">
        <v>-1.9111015611572082</v>
      </c>
      <c r="H105" s="65">
        <v>36.070258013751001</v>
      </c>
      <c r="I105" s="65">
        <v>25.392632614439261</v>
      </c>
      <c r="J105" s="65">
        <v>15.851117012050578</v>
      </c>
      <c r="K105" s="65">
        <v>7.6360396660401078</v>
      </c>
      <c r="L105" s="65">
        <v>79.952404617591739</v>
      </c>
      <c r="M105" s="65">
        <v>19.914056476278528</v>
      </c>
      <c r="N105" s="65">
        <v>31.738021004589779</v>
      </c>
      <c r="O105" s="65">
        <v>39.398684776268887</v>
      </c>
      <c r="P105" s="65">
        <v>14.075263550672991</v>
      </c>
      <c r="Q105" s="65"/>
      <c r="R105" s="65"/>
      <c r="S105" s="65"/>
      <c r="T105" s="65"/>
      <c r="U105" s="65"/>
      <c r="V105" s="65"/>
      <c r="W105" s="65"/>
      <c r="X105" s="65"/>
      <c r="Y105" s="65"/>
      <c r="Z105" s="65"/>
    </row>
    <row r="106" spans="2:27" ht="20.25" thickBot="1">
      <c r="B106" s="203"/>
      <c r="C106" s="67" t="s">
        <v>431</v>
      </c>
      <c r="D106" s="67" t="s">
        <v>432</v>
      </c>
      <c r="E106" s="67"/>
      <c r="F106" s="67">
        <v>30.228339155625207</v>
      </c>
      <c r="G106" s="20">
        <v>36.246940958040639</v>
      </c>
      <c r="H106" s="67">
        <v>36.670209300235157</v>
      </c>
      <c r="I106" s="67">
        <v>30.660436314858401</v>
      </c>
      <c r="J106" s="67">
        <v>28.448149995144675</v>
      </c>
      <c r="K106" s="67">
        <v>33.360693861526748</v>
      </c>
      <c r="L106" s="67">
        <v>44.430982222470632</v>
      </c>
      <c r="M106" s="67">
        <v>39.510875685444965</v>
      </c>
      <c r="N106" s="67">
        <v>40.323482713556857</v>
      </c>
      <c r="O106" s="67">
        <v>39.16291360077927</v>
      </c>
      <c r="P106" s="67">
        <v>33.317151314646928</v>
      </c>
      <c r="Q106" s="67"/>
      <c r="R106" s="67"/>
      <c r="S106" s="67"/>
      <c r="T106" s="67"/>
      <c r="U106" s="67"/>
      <c r="V106" s="67"/>
      <c r="W106" s="67"/>
      <c r="X106" s="67"/>
      <c r="Y106" s="67"/>
      <c r="Z106" s="67"/>
    </row>
    <row r="107" spans="2:27" ht="20.25" thickTop="1">
      <c r="B107" s="31"/>
      <c r="C107" s="3"/>
      <c r="D107" s="3"/>
      <c r="E107" s="3"/>
      <c r="F107" s="3"/>
      <c r="H107" s="3"/>
      <c r="I107" s="62"/>
      <c r="J107" s="62"/>
      <c r="K107" s="62"/>
      <c r="L107" s="62"/>
      <c r="M107" s="62"/>
      <c r="N107" s="62"/>
      <c r="O107" s="62"/>
      <c r="P107" s="62"/>
      <c r="Q107" s="62"/>
      <c r="R107" s="62"/>
      <c r="S107" s="62"/>
      <c r="T107" s="62"/>
      <c r="U107" s="62"/>
      <c r="V107" s="62"/>
      <c r="W107" s="62"/>
      <c r="X107" s="62"/>
      <c r="Y107" s="62"/>
      <c r="Z107" s="62"/>
      <c r="AA107" s="62"/>
    </row>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2"/>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F796-600D-9D4F-B484-E361FF10B5A9}">
  <sheetPr codeName="Sheet20">
    <tabColor theme="4" tint="0.59999389629810485"/>
  </sheetPr>
  <dimension ref="A1"/>
  <sheetViews>
    <sheetView workbookViewId="0"/>
  </sheetViews>
  <sheetFormatPr defaultColWidth="8.6640625" defaultRowHeight="19.5"/>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全機諸元</vt:lpstr>
      <vt:lpstr>フライトプラン</vt:lpstr>
      <vt:lpstr>重量分布</vt:lpstr>
      <vt:lpstr>荷重評価</vt:lpstr>
      <vt:lpstr>主翼</vt:lpstr>
      <vt:lpstr>水平尾翼</vt:lpstr>
      <vt:lpstr>垂直尾翼</vt:lpstr>
      <vt:lpstr>カウル</vt:lpstr>
      <vt:lpstr>使用翼型</vt:lpstr>
      <vt:lpstr>桁寸法</vt:lpstr>
      <vt:lpstr>胴接寸法</vt:lpstr>
      <vt:lpstr>積層構成</vt:lpstr>
      <vt:lpstr>各種物性値</vt:lpstr>
      <vt:lpstr>簡易計算ツール</vt:lpstr>
      <vt:lpstr>歴代主要諸元</vt:lpstr>
      <vt:lpstr>垂直尾翼（通常配置）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森 隼人</cp:lastModifiedBy>
  <dcterms:created xsi:type="dcterms:W3CDTF">2023-05-20T09:09:36Z</dcterms:created>
  <dcterms:modified xsi:type="dcterms:W3CDTF">2023-05-27T09:36:42Z</dcterms:modified>
</cp:coreProperties>
</file>