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omments3.xml" ContentType="application/vnd.openxmlformats-officedocument.spreadsheetml.comments+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3CB0CD57-C71A-A74C-A95C-035FEE6748BB}" xr6:coauthVersionLast="47" xr6:coauthVersionMax="47" xr10:uidLastSave="{00000000-0000-0000-0000-000000000000}"/>
  <bookViews>
    <workbookView xWindow="12400" yWindow="500" windowWidth="16400" windowHeight="17500" tabRatio="1000" firstSheet="3" activeTab="3" xr2:uid="{BFAAB446-3423-2144-9A78-B75F1F696C9D}"/>
  </bookViews>
  <sheets>
    <sheet name="全機諸元" sheetId="11" r:id="rId1"/>
    <sheet name="運動解析" sheetId="17" r:id="rId2"/>
    <sheet name="機体重量" sheetId="1" r:id="rId3"/>
    <sheet name="主翼" sheetId="6" r:id="rId4"/>
    <sheet name="水平尾翼" sheetId="8" r:id="rId5"/>
    <sheet name="垂直尾翼" sheetId="9" r:id="rId6"/>
    <sheet name="カウル" sheetId="10" r:id="rId7"/>
    <sheet name="主桁" sheetId="21" r:id="rId8"/>
    <sheet name="胴接桁" sheetId="24" r:id="rId9"/>
    <sheet name="積層構成" sheetId="15" r:id="rId10"/>
    <sheet name="翼型" sheetId="4" r:id="rId11"/>
    <sheet name="パラメータ" sheetId="2" r:id="rId12"/>
    <sheet name="歴代主要諸元" sheetId="5" r:id="rId13"/>
  </sheets>
  <functionGroups builtInGroupCount="19"/>
  <externalReferences>
    <externalReference r:id="rId1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3" i="6" l="1"/>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52"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52" i="6"/>
  <c r="I53" i="6"/>
  <c r="I54" i="6"/>
  <c r="J51" i="6"/>
  <c r="I51" i="6"/>
  <c r="G51" i="6"/>
  <c r="P26" i="6" a="1"/>
  <c r="P26" i="6" s="1"/>
  <c r="N26" i="6" a="1"/>
  <c r="N26" i="6" s="1"/>
  <c r="K27" i="6" a="1"/>
  <c r="K27" i="6" s="1"/>
  <c r="H3" i="15"/>
  <c r="I3" i="15"/>
  <c r="K43" i="21" l="1"/>
  <c r="O43" i="21" s="1"/>
  <c r="K44" i="21" s="1"/>
  <c r="D10" i="17" l="1"/>
  <c r="D9" i="17"/>
  <c r="D8" i="17"/>
  <c r="D7" i="17"/>
  <c r="L68" i="11"/>
  <c r="G68" i="11"/>
  <c r="F68" i="11"/>
  <c r="D28" i="11"/>
  <c r="D25" i="11"/>
  <c r="I48" i="11"/>
  <c r="D27" i="11" s="1"/>
  <c r="D17" i="11"/>
  <c r="I31" i="11" l="1"/>
  <c r="I27" i="11"/>
  <c r="M68" i="11" l="1"/>
  <c r="AY45" i="6"/>
  <c r="C8" i="1"/>
  <c r="H95" i="11"/>
  <c r="I95" i="11"/>
  <c r="H96" i="11"/>
  <c r="I96" i="11"/>
  <c r="H102" i="11"/>
  <c r="I102" i="11"/>
  <c r="H103" i="11"/>
  <c r="I103" i="11"/>
  <c r="H104" i="11"/>
  <c r="I104" i="11"/>
  <c r="H105" i="11"/>
  <c r="I105" i="11"/>
  <c r="H106" i="11"/>
  <c r="I106" i="11"/>
  <c r="H107" i="11"/>
  <c r="I107" i="11"/>
  <c r="H108" i="11"/>
  <c r="I108" i="11"/>
  <c r="H109" i="11"/>
  <c r="I109" i="11"/>
  <c r="H110" i="11"/>
  <c r="I110" i="11"/>
  <c r="H101" i="11"/>
  <c r="I101" i="11"/>
  <c r="H98" i="11"/>
  <c r="I98" i="11"/>
  <c r="H99" i="11"/>
  <c r="I99" i="11"/>
  <c r="H100" i="11"/>
  <c r="I100" i="11"/>
  <c r="N23" i="24"/>
  <c r="N22" i="24"/>
  <c r="N21" i="24"/>
  <c r="H97" i="11" l="1"/>
  <c r="I97" i="11"/>
  <c r="Q16" i="1"/>
  <c r="O16" i="1"/>
  <c r="E72" i="1"/>
  <c r="F72" i="1" s="1"/>
  <c r="Q17" i="24"/>
  <c r="M14" i="24"/>
  <c r="N14" i="24"/>
  <c r="P14" i="24"/>
  <c r="P15" i="24" s="1"/>
  <c r="M15" i="24"/>
  <c r="N15" i="24"/>
  <c r="O15" i="24"/>
  <c r="Q15" i="24"/>
  <c r="L15" i="24"/>
  <c r="F13" i="1"/>
  <c r="E65" i="1"/>
  <c r="E64" i="1"/>
  <c r="E63" i="1"/>
  <c r="E67" i="1"/>
  <c r="E37" i="1"/>
  <c r="F39" i="1"/>
  <c r="F46" i="1"/>
  <c r="F20" i="1"/>
  <c r="G48" i="1"/>
  <c r="E19" i="1" l="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BG113" i="6"/>
  <c r="BG114" i="6"/>
  <c r="H8" i="21"/>
  <c r="H7" i="21" s="1"/>
  <c r="H22" i="1" s="1"/>
  <c r="AF7" i="21"/>
  <c r="AS67" i="21"/>
  <c r="AT67" i="21"/>
  <c r="E51" i="6"/>
  <c r="C52" i="6" s="1"/>
  <c r="AF8" i="21" s="1"/>
  <c r="F51" i="6"/>
  <c r="M51" i="6"/>
  <c r="O51" i="6"/>
  <c r="V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A112" i="6"/>
  <c r="BC112" i="6"/>
  <c r="BE112" i="6"/>
  <c r="BA113" i="6"/>
  <c r="BC113" i="6"/>
  <c r="BE113" i="6"/>
  <c r="BA114" i="6"/>
  <c r="BC114" i="6"/>
  <c r="BE114" i="6"/>
  <c r="BE52" i="6"/>
  <c r="BC52" i="6"/>
  <c r="BA52" i="6"/>
  <c r="X6" i="6"/>
  <c r="H10" i="21" l="1"/>
  <c r="H9" i="21" s="1"/>
  <c r="H21" i="1"/>
  <c r="BC51" i="6"/>
  <c r="BA51" i="6"/>
  <c r="P51" i="6"/>
  <c r="N51" i="6" s="1"/>
  <c r="H24" i="1" l="1"/>
  <c r="H23" i="1"/>
  <c r="H12" i="21"/>
  <c r="H11" i="21" s="1"/>
  <c r="H45" i="6" s="1"/>
  <c r="AE8" i="21"/>
  <c r="K28" i="6" a="1"/>
  <c r="K28" i="6" s="1"/>
  <c r="K29" i="6" a="1"/>
  <c r="K29" i="6" s="1"/>
  <c r="K30" i="6" a="1"/>
  <c r="K30" i="6" s="1"/>
  <c r="K31" i="6" a="1"/>
  <c r="K31" i="6" s="1"/>
  <c r="K32" i="6" a="1"/>
  <c r="K32" i="6" s="1"/>
  <c r="K26" i="6" a="1"/>
  <c r="K26" i="6" s="1"/>
  <c r="I27" i="6" a="1"/>
  <c r="I27" i="6" s="1"/>
  <c r="I28" i="6" a="1"/>
  <c r="I28" i="6" s="1"/>
  <c r="I29" i="6" a="1"/>
  <c r="I29" i="6" s="1"/>
  <c r="I30" i="6" a="1"/>
  <c r="I30" i="6" s="1"/>
  <c r="I31" i="6" a="1"/>
  <c r="I31" i="6" s="1"/>
  <c r="I32" i="6" a="1"/>
  <c r="I32" i="6" s="1"/>
  <c r="I26" i="6" a="1"/>
  <c r="I26" i="6" s="1"/>
  <c r="G32" i="6" a="1"/>
  <c r="G32" i="6" s="1"/>
  <c r="G31" i="6" a="1"/>
  <c r="G31" i="6" s="1"/>
  <c r="G26" i="6" a="1"/>
  <c r="G26" i="6" s="1"/>
  <c r="C53" i="6"/>
  <c r="AF9" i="21" s="1"/>
  <c r="AE9" i="21" s="1"/>
  <c r="G45" i="6"/>
  <c r="F45" i="6"/>
  <c r="G27" i="6" a="1"/>
  <c r="G27" i="6" s="1"/>
  <c r="G28" i="6" a="1"/>
  <c r="G28" i="6" s="1"/>
  <c r="G29" i="6" a="1"/>
  <c r="G29" i="6" s="1"/>
  <c r="G30" i="6" a="1"/>
  <c r="G30"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D51" i="6" l="1"/>
  <c r="K51" i="6"/>
  <c r="K121" i="6"/>
  <c r="K122" i="6"/>
  <c r="K123" i="6"/>
  <c r="K124" i="6"/>
  <c r="U124" i="6"/>
  <c r="U121" i="6"/>
  <c r="U122" i="6"/>
  <c r="U123" i="6"/>
  <c r="H26" i="1"/>
  <c r="H25" i="1"/>
  <c r="H13" i="21"/>
  <c r="BA7" i="21"/>
  <c r="BG51" i="6" s="1"/>
  <c r="BA8" i="21"/>
  <c r="BG52" i="6" s="1"/>
  <c r="U51" i="6"/>
  <c r="BA9" i="21"/>
  <c r="BG53" i="6" s="1"/>
  <c r="U53" i="6"/>
  <c r="BF51" i="6"/>
  <c r="K52" i="6"/>
  <c r="V52" i="6"/>
  <c r="T53" i="6" s="1"/>
  <c r="K53" i="6"/>
  <c r="O53" i="6"/>
  <c r="M53" i="6"/>
  <c r="M52" i="6"/>
  <c r="D52" i="6"/>
  <c r="O52" i="6"/>
  <c r="C54" i="6"/>
  <c r="AF10" i="21" s="1"/>
  <c r="AE10" i="21" s="1"/>
  <c r="V53" i="6"/>
  <c r="U52" i="6"/>
  <c r="G52" i="6"/>
  <c r="BF52" i="6" s="1"/>
  <c r="AE7" i="21"/>
  <c r="F52" i="6"/>
  <c r="F53" i="6"/>
  <c r="H27" i="1" l="1"/>
  <c r="H28" i="1"/>
  <c r="I45" i="6"/>
  <c r="Q51" i="6"/>
  <c r="R51" i="6" s="1"/>
  <c r="AT52" i="6"/>
  <c r="AY52" i="6" s="1"/>
  <c r="AU52" i="6"/>
  <c r="AU51" i="6"/>
  <c r="AT51" i="6"/>
  <c r="AY51" i="6" s="1"/>
  <c r="BA10" i="21"/>
  <c r="BG54" i="6" s="1"/>
  <c r="Q52" i="6"/>
  <c r="R52" i="6" s="1"/>
  <c r="S53" i="6"/>
  <c r="S54" i="6" s="1"/>
  <c r="T54" i="6"/>
  <c r="P53" i="6"/>
  <c r="N53" i="6" s="1"/>
  <c r="P52" i="6"/>
  <c r="N52" i="6" s="1"/>
  <c r="M54" i="6"/>
  <c r="K54" i="6"/>
  <c r="O54" i="6"/>
  <c r="C55" i="6"/>
  <c r="AF11" i="21" s="1"/>
  <c r="U54" i="6"/>
  <c r="V54" i="6"/>
  <c r="G53" i="6"/>
  <c r="BF53" i="6" s="1"/>
  <c r="D53" i="6"/>
  <c r="D54" i="6"/>
  <c r="AU54" i="6" l="1"/>
  <c r="AT54" i="6"/>
  <c r="AY54" i="6" s="1"/>
  <c r="Q53" i="6"/>
  <c r="R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112" i="6"/>
  <c r="AZ112" i="6" s="1"/>
  <c r="AV57" i="6"/>
  <c r="AZ57" i="6" s="1"/>
  <c r="AV65" i="6"/>
  <c r="AZ65" i="6" s="1"/>
  <c r="AV73" i="6"/>
  <c r="AZ73" i="6" s="1"/>
  <c r="AV81" i="6"/>
  <c r="AZ81" i="6" s="1"/>
  <c r="AV89" i="6"/>
  <c r="AZ89" i="6" s="1"/>
  <c r="AV97" i="6"/>
  <c r="AZ97" i="6" s="1"/>
  <c r="AV105" i="6"/>
  <c r="AZ105" i="6" s="1"/>
  <c r="AV113" i="6"/>
  <c r="AZ113" i="6" s="1"/>
  <c r="AV58" i="6"/>
  <c r="AZ58" i="6" s="1"/>
  <c r="AV67" i="6"/>
  <c r="AZ67" i="6" s="1"/>
  <c r="AV91" i="6"/>
  <c r="AZ91" i="6" s="1"/>
  <c r="AV51" i="6"/>
  <c r="AZ51" i="6" s="1"/>
  <c r="AX51" i="6"/>
  <c r="AV66" i="6"/>
  <c r="AZ66" i="6" s="1"/>
  <c r="AV74" i="6"/>
  <c r="AZ74" i="6" s="1"/>
  <c r="AV82" i="6"/>
  <c r="AZ82" i="6" s="1"/>
  <c r="AV90" i="6"/>
  <c r="AZ90" i="6" s="1"/>
  <c r="AV98" i="6"/>
  <c r="AZ98" i="6" s="1"/>
  <c r="AV106" i="6"/>
  <c r="AZ106" i="6" s="1"/>
  <c r="AV114" i="6"/>
  <c r="AZ114"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E11" i="21"/>
  <c r="BA11" i="21"/>
  <c r="BG55" i="6" s="1"/>
  <c r="S55" i="6"/>
  <c r="Q54" i="6"/>
  <c r="R54" i="6" s="1"/>
  <c r="T55" i="6"/>
  <c r="O55" i="6"/>
  <c r="M55" i="6"/>
  <c r="K55" i="6"/>
  <c r="P54" i="6"/>
  <c r="N54" i="6" s="1"/>
  <c r="C56" i="6"/>
  <c r="AF12" i="21" s="1"/>
  <c r="V55" i="6"/>
  <c r="U55" i="6"/>
  <c r="G54" i="6"/>
  <c r="BF54" i="6" s="1"/>
  <c r="D55" i="6"/>
  <c r="F55" i="6"/>
  <c r="BB51" i="6" l="1"/>
  <c r="BH51" i="6" s="1"/>
  <c r="AX53" i="6"/>
  <c r="AW53" i="6"/>
  <c r="BD53" i="6"/>
  <c r="BB52" i="6"/>
  <c r="BH52" i="6" s="1"/>
  <c r="BI52" i="6" s="1"/>
  <c r="AW54" i="6"/>
  <c r="AX54" i="6"/>
  <c r="BD54" i="6"/>
  <c r="AT55" i="6"/>
  <c r="AU55" i="6"/>
  <c r="AE12" i="21"/>
  <c r="BA12" i="21"/>
  <c r="BG56" i="6" s="1"/>
  <c r="S56" i="6"/>
  <c r="P55" i="6"/>
  <c r="N55" i="6" s="1"/>
  <c r="T56" i="6"/>
  <c r="Q55" i="6"/>
  <c r="R55" i="6" s="1"/>
  <c r="O56" i="6"/>
  <c r="K56" i="6"/>
  <c r="M56" i="6"/>
  <c r="C57" i="6"/>
  <c r="AF13" i="21" s="1"/>
  <c r="V56" i="6"/>
  <c r="U56" i="6"/>
  <c r="G55" i="6"/>
  <c r="D56" i="6"/>
  <c r="BB53" i="6" l="1"/>
  <c r="BH53" i="6" s="1"/>
  <c r="BI53" i="6" s="1"/>
  <c r="BB54" i="6"/>
  <c r="BH54" i="6" s="1"/>
  <c r="BI54" i="6" s="1"/>
  <c r="BD55" i="6"/>
  <c r="AW55" i="6"/>
  <c r="AX55" i="6"/>
  <c r="AY55" i="6"/>
  <c r="BF55" i="6"/>
  <c r="AT56" i="6"/>
  <c r="AY56" i="6" s="1"/>
  <c r="AU56" i="6"/>
  <c r="S57" i="6"/>
  <c r="AE13" i="21"/>
  <c r="BA13" i="21"/>
  <c r="BG57" i="6" s="1"/>
  <c r="P56" i="6"/>
  <c r="N56" i="6" s="1"/>
  <c r="T57" i="6"/>
  <c r="Q56" i="6"/>
  <c r="R56" i="6" s="1"/>
  <c r="M57" i="6"/>
  <c r="O57" i="6"/>
  <c r="K57" i="6"/>
  <c r="C58" i="6"/>
  <c r="AF14" i="21" s="1"/>
  <c r="V57" i="6"/>
  <c r="U57" i="6"/>
  <c r="G56" i="6"/>
  <c r="BF56" i="6" s="1"/>
  <c r="D57" i="6"/>
  <c r="F57" i="6"/>
  <c r="S58" i="6" l="1"/>
  <c r="BB55" i="6"/>
  <c r="BH55" i="6" s="1"/>
  <c r="BI55" i="6" s="1"/>
  <c r="AT57" i="6"/>
  <c r="AY57" i="6" s="1"/>
  <c r="AU57" i="6"/>
  <c r="BD56" i="6"/>
  <c r="AW56" i="6"/>
  <c r="AX56" i="6"/>
  <c r="AE14" i="21"/>
  <c r="BA14" i="21"/>
  <c r="BG58" i="6" s="1"/>
  <c r="T58" i="6"/>
  <c r="P57" i="6"/>
  <c r="N57" i="6" s="1"/>
  <c r="Q57" i="6"/>
  <c r="R57" i="6" s="1"/>
  <c r="O58" i="6"/>
  <c r="K58" i="6"/>
  <c r="M58" i="6"/>
  <c r="C59" i="6"/>
  <c r="AF15" i="21" s="1"/>
  <c r="V58" i="6"/>
  <c r="S59" i="6" s="1"/>
  <c r="U58" i="6"/>
  <c r="G57" i="6"/>
  <c r="BF57" i="6" s="1"/>
  <c r="D58" i="6"/>
  <c r="F58" i="6"/>
  <c r="BB56" i="6" l="1"/>
  <c r="BH56" i="6" s="1"/>
  <c r="BI56" i="6" s="1"/>
  <c r="AX57" i="6"/>
  <c r="BD57" i="6"/>
  <c r="AW57" i="6"/>
  <c r="BB57" i="6" s="1"/>
  <c r="BH57" i="6" s="1"/>
  <c r="BI57" i="6" s="1"/>
  <c r="AU58" i="6"/>
  <c r="AT58" i="6"/>
  <c r="AY58" i="6" s="1"/>
  <c r="AE15" i="21"/>
  <c r="BA15" i="21"/>
  <c r="BG59" i="6" s="1"/>
  <c r="P58" i="6"/>
  <c r="N58" i="6" s="1"/>
  <c r="T59" i="6"/>
  <c r="Q58" i="6"/>
  <c r="R58" i="6" s="1"/>
  <c r="O59" i="6"/>
  <c r="M59" i="6"/>
  <c r="K59" i="6"/>
  <c r="C60" i="6"/>
  <c r="AF16" i="21" s="1"/>
  <c r="V59" i="6"/>
  <c r="S60" i="6" s="1"/>
  <c r="U59" i="6"/>
  <c r="G58" i="6"/>
  <c r="BF58" i="6" s="1"/>
  <c r="D59" i="6"/>
  <c r="F59" i="6"/>
  <c r="AW58" i="6" l="1"/>
  <c r="AX58" i="6"/>
  <c r="BD58" i="6"/>
  <c r="AT59" i="6"/>
  <c r="AY59" i="6" s="1"/>
  <c r="AU59" i="6"/>
  <c r="AE16" i="21"/>
  <c r="BA16" i="21"/>
  <c r="BG60" i="6" s="1"/>
  <c r="P59" i="6"/>
  <c r="N59" i="6" s="1"/>
  <c r="T60" i="6"/>
  <c r="Q59" i="6"/>
  <c r="R59" i="6" s="1"/>
  <c r="M60" i="6"/>
  <c r="K60" i="6"/>
  <c r="O60" i="6"/>
  <c r="C61" i="6"/>
  <c r="AF17" i="21" s="1"/>
  <c r="U60" i="6"/>
  <c r="V60" i="6"/>
  <c r="S61" i="6" s="1"/>
  <c r="F60" i="6"/>
  <c r="G59" i="6"/>
  <c r="BF59" i="6" s="1"/>
  <c r="BD59" i="6" l="1"/>
  <c r="AX59" i="6"/>
  <c r="AW59" i="6"/>
  <c r="BB58" i="6"/>
  <c r="BH58" i="6" s="1"/>
  <c r="BI58" i="6" s="1"/>
  <c r="AE17" i="21"/>
  <c r="BA17" i="21"/>
  <c r="BG61" i="6" s="1"/>
  <c r="T61" i="6"/>
  <c r="M61" i="6"/>
  <c r="K61" i="6"/>
  <c r="O61" i="6"/>
  <c r="P60" i="6"/>
  <c r="N60" i="6" s="1"/>
  <c r="C62" i="6"/>
  <c r="U61" i="6"/>
  <c r="V61" i="6"/>
  <c r="S62" i="6" s="1"/>
  <c r="D60" i="6"/>
  <c r="G60" i="6"/>
  <c r="BF60" i="6" s="1"/>
  <c r="G61" i="6"/>
  <c r="BF61" i="6" s="1"/>
  <c r="BB59" i="6" l="1"/>
  <c r="BH59" i="6" s="1"/>
  <c r="BI59" i="6" s="1"/>
  <c r="Q60" i="6"/>
  <c r="R60" i="6" s="1"/>
  <c r="AT60" i="6"/>
  <c r="AY60" i="6" s="1"/>
  <c r="AU60" i="6"/>
  <c r="G62" i="6"/>
  <c r="BF62" i="6" s="1"/>
  <c r="AF18" i="21"/>
  <c r="F62" i="6"/>
  <c r="T62" i="6"/>
  <c r="M62" i="6"/>
  <c r="K62" i="6"/>
  <c r="O62" i="6"/>
  <c r="D62" i="6"/>
  <c r="P61" i="6"/>
  <c r="N61" i="6" s="1"/>
  <c r="C63" i="6"/>
  <c r="U62" i="6"/>
  <c r="V62" i="6"/>
  <c r="S63" i="6" s="1"/>
  <c r="D61" i="6"/>
  <c r="F61" i="6"/>
  <c r="AW60" i="6" l="1"/>
  <c r="AX60" i="6"/>
  <c r="BD60" i="6"/>
  <c r="AU62" i="6"/>
  <c r="AT62" i="6"/>
  <c r="AY62" i="6" s="1"/>
  <c r="Q61" i="6"/>
  <c r="R61" i="6" s="1"/>
  <c r="AT61" i="6"/>
  <c r="AY61" i="6" s="1"/>
  <c r="AU61" i="6"/>
  <c r="F63" i="6"/>
  <c r="AF19" i="21"/>
  <c r="AE18" i="21"/>
  <c r="BA18" i="21"/>
  <c r="BG62" i="6" s="1"/>
  <c r="Q62" i="6"/>
  <c r="R62" i="6" s="1"/>
  <c r="T63" i="6"/>
  <c r="M63" i="6"/>
  <c r="K63" i="6"/>
  <c r="O63" i="6"/>
  <c r="D63" i="6"/>
  <c r="P62" i="6"/>
  <c r="N62" i="6" s="1"/>
  <c r="C64" i="6"/>
  <c r="AF20" i="21" s="1"/>
  <c r="V63" i="6"/>
  <c r="S64" i="6" s="1"/>
  <c r="U63" i="6"/>
  <c r="G63" i="6"/>
  <c r="BF63" i="6" s="1"/>
  <c r="AT63" i="6" l="1"/>
  <c r="AY63" i="6" s="1"/>
  <c r="AU63" i="6"/>
  <c r="BB60" i="6"/>
  <c r="BH60" i="6" s="1"/>
  <c r="BI60" i="6" s="1"/>
  <c r="AW62" i="6"/>
  <c r="AX62" i="6"/>
  <c r="BD62" i="6"/>
  <c r="AX61" i="6"/>
  <c r="BD61" i="6"/>
  <c r="AW61" i="6"/>
  <c r="AE20" i="21"/>
  <c r="BA20" i="21"/>
  <c r="BG64" i="6" s="1"/>
  <c r="AE19" i="21"/>
  <c r="BA19" i="21"/>
  <c r="BG63" i="6" s="1"/>
  <c r="Q63" i="6"/>
  <c r="R63" i="6" s="1"/>
  <c r="T64" i="6"/>
  <c r="O64" i="6"/>
  <c r="M64" i="6"/>
  <c r="K64" i="6"/>
  <c r="D64" i="6"/>
  <c r="F64" i="6"/>
  <c r="P63" i="6"/>
  <c r="N63" i="6" s="1"/>
  <c r="C65" i="6"/>
  <c r="V64" i="6"/>
  <c r="S65" i="6" s="1"/>
  <c r="U64" i="6"/>
  <c r="G64" i="6"/>
  <c r="BF64" i="6" s="1"/>
  <c r="BB62" i="6" l="1"/>
  <c r="BH62" i="6" s="1"/>
  <c r="BI62" i="6" s="1"/>
  <c r="BB61" i="6"/>
  <c r="BH61" i="6" s="1"/>
  <c r="BI61" i="6" s="1"/>
  <c r="BD63" i="6"/>
  <c r="AW63" i="6"/>
  <c r="AX63" i="6"/>
  <c r="AT64" i="6"/>
  <c r="AY64" i="6" s="1"/>
  <c r="AU64" i="6"/>
  <c r="F65" i="6"/>
  <c r="AF21" i="21"/>
  <c r="P64" i="6"/>
  <c r="N64" i="6" s="1"/>
  <c r="T65" i="6"/>
  <c r="Q64" i="6"/>
  <c r="R64" i="6" s="1"/>
  <c r="K65" i="6"/>
  <c r="O65" i="6"/>
  <c r="M65" i="6"/>
  <c r="D65" i="6"/>
  <c r="C66" i="6"/>
  <c r="AF22" i="21" s="1"/>
  <c r="V65" i="6"/>
  <c r="S66" i="6" s="1"/>
  <c r="U65" i="6"/>
  <c r="G65" i="6"/>
  <c r="BF65" i="6" s="1"/>
  <c r="AW64" i="6" l="1"/>
  <c r="AX64" i="6"/>
  <c r="BD64" i="6"/>
  <c r="BB63" i="6"/>
  <c r="BH63" i="6" s="1"/>
  <c r="BI63" i="6" s="1"/>
  <c r="AT65" i="6"/>
  <c r="AY65" i="6" s="1"/>
  <c r="AU65" i="6"/>
  <c r="AE22" i="21"/>
  <c r="BA22" i="21"/>
  <c r="BG66" i="6" s="1"/>
  <c r="AE21" i="21"/>
  <c r="BA21" i="21"/>
  <c r="BG65" i="6" s="1"/>
  <c r="Q65" i="6"/>
  <c r="R65" i="6" s="1"/>
  <c r="T66" i="6"/>
  <c r="P65" i="6"/>
  <c r="N65" i="6" s="1"/>
  <c r="O66" i="6"/>
  <c r="M66" i="6"/>
  <c r="K66" i="6"/>
  <c r="D66" i="6"/>
  <c r="F66" i="6"/>
  <c r="C67" i="6"/>
  <c r="V66" i="6"/>
  <c r="S67" i="6" s="1"/>
  <c r="U66" i="6"/>
  <c r="G66" i="6"/>
  <c r="BF66" i="6" s="1"/>
  <c r="BB64" i="6" l="1"/>
  <c r="BH64" i="6" s="1"/>
  <c r="BI64" i="6" s="1"/>
  <c r="AX65" i="6"/>
  <c r="BD65" i="6"/>
  <c r="AW65" i="6"/>
  <c r="BB65" i="6" s="1"/>
  <c r="BH65" i="6" s="1"/>
  <c r="BI65" i="6" s="1"/>
  <c r="AU66" i="6"/>
  <c r="AT66" i="6"/>
  <c r="AY66" i="6" s="1"/>
  <c r="F67" i="6"/>
  <c r="AF23" i="21"/>
  <c r="Q66" i="6"/>
  <c r="R66" i="6" s="1"/>
  <c r="P66" i="6"/>
  <c r="N66" i="6" s="1"/>
  <c r="T67" i="6"/>
  <c r="D67" i="6"/>
  <c r="M67" i="6"/>
  <c r="O67" i="6"/>
  <c r="K67" i="6"/>
  <c r="C68" i="6"/>
  <c r="V67" i="6"/>
  <c r="S68" i="6" s="1"/>
  <c r="U67" i="6"/>
  <c r="G67" i="6"/>
  <c r="BF67" i="6" s="1"/>
  <c r="AT67" i="6" l="1"/>
  <c r="AY67" i="6" s="1"/>
  <c r="AU67" i="6"/>
  <c r="AW66" i="6"/>
  <c r="AX66" i="6"/>
  <c r="BD66" i="6"/>
  <c r="D68" i="6"/>
  <c r="AF24" i="21"/>
  <c r="AE23" i="21"/>
  <c r="BA23" i="21"/>
  <c r="BG67" i="6" s="1"/>
  <c r="T68" i="6"/>
  <c r="Q67" i="6"/>
  <c r="R67" i="6" s="1"/>
  <c r="P67" i="6"/>
  <c r="N67" i="6" s="1"/>
  <c r="M68" i="6"/>
  <c r="K68" i="6"/>
  <c r="O68" i="6"/>
  <c r="F68" i="6"/>
  <c r="C69" i="6"/>
  <c r="V68" i="6"/>
  <c r="S69" i="6" s="1"/>
  <c r="U68" i="6"/>
  <c r="G68" i="6"/>
  <c r="BF68" i="6" s="1"/>
  <c r="Q68" i="6" l="1"/>
  <c r="R68" i="6" s="1"/>
  <c r="AU68" i="6"/>
  <c r="AT68" i="6"/>
  <c r="AY68" i="6" s="1"/>
  <c r="BB66" i="6"/>
  <c r="BH66" i="6" s="1"/>
  <c r="BI66" i="6" s="1"/>
  <c r="BD67" i="6"/>
  <c r="AW67" i="6"/>
  <c r="AX67" i="6"/>
  <c r="F69" i="6"/>
  <c r="AF25" i="21"/>
  <c r="AE24" i="21"/>
  <c r="BA24" i="21"/>
  <c r="BG68" i="6" s="1"/>
  <c r="T69" i="6"/>
  <c r="P68" i="6"/>
  <c r="N68" i="6" s="1"/>
  <c r="M69" i="6"/>
  <c r="K69" i="6"/>
  <c r="O69" i="6"/>
  <c r="D69" i="6"/>
  <c r="C70" i="6"/>
  <c r="AF26" i="21" s="1"/>
  <c r="U69" i="6"/>
  <c r="V69" i="6"/>
  <c r="S70" i="6" s="1"/>
  <c r="G69" i="6"/>
  <c r="BF69" i="6" s="1"/>
  <c r="BB67" i="6" l="1"/>
  <c r="BH67" i="6" s="1"/>
  <c r="BI67" i="6" s="1"/>
  <c r="AT69" i="6"/>
  <c r="AY69" i="6" s="1"/>
  <c r="AU69" i="6"/>
  <c r="AW68" i="6"/>
  <c r="AX68" i="6"/>
  <c r="BD68" i="6"/>
  <c r="AE26" i="21"/>
  <c r="BA26" i="21"/>
  <c r="BG70" i="6" s="1"/>
  <c r="AE25" i="21"/>
  <c r="BA25" i="21"/>
  <c r="BG69" i="6" s="1"/>
  <c r="Q69" i="6"/>
  <c r="R69" i="6" s="1"/>
  <c r="T70" i="6"/>
  <c r="P69" i="6"/>
  <c r="N69" i="6" s="1"/>
  <c r="O70" i="6"/>
  <c r="M70" i="6"/>
  <c r="K70" i="6"/>
  <c r="F70" i="6"/>
  <c r="D70" i="6"/>
  <c r="C71" i="6"/>
  <c r="U70" i="6"/>
  <c r="V70" i="6"/>
  <c r="S71" i="6" s="1"/>
  <c r="G70" i="6"/>
  <c r="BF70" i="6" s="1"/>
  <c r="AX69" i="6" l="1"/>
  <c r="AW69" i="6"/>
  <c r="BD69" i="6"/>
  <c r="BB68" i="6"/>
  <c r="BH68" i="6" s="1"/>
  <c r="BI68" i="6" s="1"/>
  <c r="AU70" i="6"/>
  <c r="AT70" i="6"/>
  <c r="AY70" i="6" s="1"/>
  <c r="D71" i="6"/>
  <c r="AF27" i="21"/>
  <c r="Q70" i="6"/>
  <c r="R70" i="6" s="1"/>
  <c r="G71" i="6"/>
  <c r="BF71" i="6" s="1"/>
  <c r="T71" i="6"/>
  <c r="P70" i="6"/>
  <c r="N70" i="6" s="1"/>
  <c r="O71" i="6"/>
  <c r="M71" i="6"/>
  <c r="K71" i="6"/>
  <c r="Q71" i="6" s="1"/>
  <c r="R71" i="6" s="1"/>
  <c r="C72" i="6"/>
  <c r="V71" i="6"/>
  <c r="S72" i="6" s="1"/>
  <c r="U71" i="6"/>
  <c r="AW70" i="6" l="1"/>
  <c r="AX70" i="6"/>
  <c r="BD70" i="6"/>
  <c r="AT71" i="6"/>
  <c r="AY71" i="6" s="1"/>
  <c r="AU71" i="6"/>
  <c r="BB69" i="6"/>
  <c r="BH69" i="6" s="1"/>
  <c r="BI69" i="6" s="1"/>
  <c r="F72" i="6"/>
  <c r="AF28" i="21"/>
  <c r="AE27" i="21"/>
  <c r="BA27" i="21"/>
  <c r="BG71" i="6" s="1"/>
  <c r="P71" i="6"/>
  <c r="N71" i="6" s="1"/>
  <c r="T72" i="6"/>
  <c r="D72" i="6"/>
  <c r="K72" i="6"/>
  <c r="M72" i="6"/>
  <c r="O72" i="6"/>
  <c r="C73" i="6"/>
  <c r="V72" i="6"/>
  <c r="S73" i="6" s="1"/>
  <c r="U72" i="6"/>
  <c r="G72" i="6"/>
  <c r="BF72" i="6" s="1"/>
  <c r="AT72" i="6" l="1"/>
  <c r="AY72" i="6" s="1"/>
  <c r="AU72" i="6"/>
  <c r="BD71" i="6"/>
  <c r="AW71" i="6"/>
  <c r="AX71" i="6"/>
  <c r="BB70" i="6"/>
  <c r="BH70" i="6" s="1"/>
  <c r="BI70" i="6" s="1"/>
  <c r="D73" i="6"/>
  <c r="AF29" i="21"/>
  <c r="AE28" i="21"/>
  <c r="BA28" i="21"/>
  <c r="BG72" i="6" s="1"/>
  <c r="Q72" i="6"/>
  <c r="R72" i="6" s="1"/>
  <c r="T73" i="6"/>
  <c r="M73" i="6"/>
  <c r="K73" i="6"/>
  <c r="O73" i="6"/>
  <c r="P72" i="6"/>
  <c r="N72" i="6" s="1"/>
  <c r="F73" i="6"/>
  <c r="C74" i="6"/>
  <c r="V73" i="6"/>
  <c r="S74" i="6" s="1"/>
  <c r="U73" i="6"/>
  <c r="AW72" i="6" l="1"/>
  <c r="AX72" i="6"/>
  <c r="BD72" i="6"/>
  <c r="BB71" i="6"/>
  <c r="BH71" i="6" s="1"/>
  <c r="BI71" i="6" s="1"/>
  <c r="AT73" i="6"/>
  <c r="AU73" i="6"/>
  <c r="Q73" i="6"/>
  <c r="R73" i="6" s="1"/>
  <c r="AF30" i="21"/>
  <c r="AE29" i="21"/>
  <c r="BA29" i="21"/>
  <c r="BG73" i="6" s="1"/>
  <c r="T74" i="6"/>
  <c r="D74" i="6"/>
  <c r="O74" i="6"/>
  <c r="M74" i="6"/>
  <c r="K74" i="6"/>
  <c r="P73" i="6"/>
  <c r="N73" i="6" s="1"/>
  <c r="C75" i="6"/>
  <c r="V74" i="6"/>
  <c r="S75" i="6" s="1"/>
  <c r="U74" i="6"/>
  <c r="G74" i="6"/>
  <c r="BF74" i="6" s="1"/>
  <c r="AF31" i="21" l="1"/>
  <c r="AE31" i="21" s="1"/>
  <c r="F75" i="6"/>
  <c r="AY73" i="6"/>
  <c r="BF73" i="6"/>
  <c r="AX73" i="6"/>
  <c r="BD73" i="6"/>
  <c r="AW73" i="6"/>
  <c r="AU74" i="6"/>
  <c r="AT74" i="6"/>
  <c r="AY74" i="6" s="1"/>
  <c r="BB72" i="6"/>
  <c r="BH72" i="6" s="1"/>
  <c r="BI72" i="6" s="1"/>
  <c r="AE30" i="21"/>
  <c r="BA30" i="21"/>
  <c r="BG74" i="6" s="1"/>
  <c r="T75" i="6"/>
  <c r="Q74" i="6"/>
  <c r="R74" i="6" s="1"/>
  <c r="O75" i="6"/>
  <c r="M75" i="6"/>
  <c r="K75" i="6"/>
  <c r="P74" i="6"/>
  <c r="N74" i="6" s="1"/>
  <c r="D75" i="6"/>
  <c r="C76" i="6"/>
  <c r="AF32" i="21" s="1"/>
  <c r="V75" i="6"/>
  <c r="S76" i="6" s="1"/>
  <c r="U75" i="6"/>
  <c r="G75" i="6"/>
  <c r="BF75" i="6" s="1"/>
  <c r="BA31" i="21" l="1"/>
  <c r="BG75" i="6" s="1"/>
  <c r="BB73" i="6"/>
  <c r="BH73" i="6" s="1"/>
  <c r="BI73" i="6" s="1"/>
  <c r="AW74" i="6"/>
  <c r="AX74" i="6"/>
  <c r="BD74" i="6"/>
  <c r="AT75" i="6"/>
  <c r="AY75" i="6" s="1"/>
  <c r="AU75" i="6"/>
  <c r="AE32" i="21"/>
  <c r="BA32" i="21"/>
  <c r="BG76" i="6" s="1"/>
  <c r="Q75" i="6"/>
  <c r="R75" i="6" s="1"/>
  <c r="T76" i="6"/>
  <c r="M76" i="6"/>
  <c r="K76" i="6"/>
  <c r="O76" i="6"/>
  <c r="F76" i="6"/>
  <c r="D76" i="6"/>
  <c r="P75" i="6"/>
  <c r="N75" i="6" s="1"/>
  <c r="C77" i="6"/>
  <c r="AF33" i="21" s="1"/>
  <c r="V76" i="6"/>
  <c r="S77" i="6" s="1"/>
  <c r="U76" i="6"/>
  <c r="G76" i="6"/>
  <c r="BF76" i="6" s="1"/>
  <c r="BD75" i="6" l="1"/>
  <c r="AX75" i="6"/>
  <c r="AW75" i="6"/>
  <c r="AT76" i="6"/>
  <c r="AY76" i="6" s="1"/>
  <c r="AU76" i="6"/>
  <c r="BB74" i="6"/>
  <c r="BH74" i="6" s="1"/>
  <c r="BI74" i="6" s="1"/>
  <c r="AE33" i="21"/>
  <c r="BA33" i="21"/>
  <c r="BG77" i="6" s="1"/>
  <c r="Q76" i="6"/>
  <c r="R76" i="6" s="1"/>
  <c r="T77" i="6"/>
  <c r="F77" i="6"/>
  <c r="M77" i="6"/>
  <c r="K77" i="6"/>
  <c r="O77" i="6"/>
  <c r="P76" i="6"/>
  <c r="N76" i="6" s="1"/>
  <c r="D77" i="6"/>
  <c r="C78" i="6"/>
  <c r="AF34" i="21" s="1"/>
  <c r="U77" i="6"/>
  <c r="V77" i="6"/>
  <c r="S78" i="6" s="1"/>
  <c r="G77" i="6"/>
  <c r="BF77" i="6" s="1"/>
  <c r="BB75" i="6" l="1"/>
  <c r="BH75" i="6" s="1"/>
  <c r="BI75" i="6" s="1"/>
  <c r="AW76" i="6"/>
  <c r="AX76" i="6"/>
  <c r="BD76" i="6"/>
  <c r="AT77" i="6"/>
  <c r="AY77" i="6" s="1"/>
  <c r="AU77" i="6"/>
  <c r="AE34" i="21"/>
  <c r="BA34" i="21"/>
  <c r="BG78" i="6" s="1"/>
  <c r="Q77" i="6"/>
  <c r="R77" i="6" s="1"/>
  <c r="P77" i="6"/>
  <c r="N77" i="6" s="1"/>
  <c r="T78" i="6"/>
  <c r="O78" i="6"/>
  <c r="M78" i="6"/>
  <c r="K78" i="6"/>
  <c r="F78" i="6"/>
  <c r="D78" i="6"/>
  <c r="C79" i="6"/>
  <c r="AF35" i="21" s="1"/>
  <c r="U78" i="6"/>
  <c r="V78" i="6"/>
  <c r="S79" i="6" s="1"/>
  <c r="G78" i="6"/>
  <c r="BF78" i="6" s="1"/>
  <c r="AX77" i="6" l="1"/>
  <c r="BD77" i="6"/>
  <c r="AW77" i="6"/>
  <c r="BB76" i="6"/>
  <c r="BH76" i="6" s="1"/>
  <c r="BI76" i="6" s="1"/>
  <c r="AU78" i="6"/>
  <c r="AT78" i="6"/>
  <c r="AY78" i="6" s="1"/>
  <c r="AE35" i="21"/>
  <c r="BA35" i="21"/>
  <c r="BG79" i="6" s="1"/>
  <c r="Q78" i="6"/>
  <c r="R78" i="6" s="1"/>
  <c r="T79" i="6"/>
  <c r="P78" i="6"/>
  <c r="N78" i="6" s="1"/>
  <c r="O79" i="6"/>
  <c r="M79" i="6"/>
  <c r="K79" i="6"/>
  <c r="D79" i="6"/>
  <c r="F79" i="6"/>
  <c r="C80" i="6"/>
  <c r="AF36" i="21" s="1"/>
  <c r="V79" i="6"/>
  <c r="S80" i="6" s="1"/>
  <c r="U79" i="6"/>
  <c r="G79" i="6"/>
  <c r="BF79" i="6" s="1"/>
  <c r="BB77" i="6" l="1"/>
  <c r="BH77" i="6" s="1"/>
  <c r="BI77" i="6" s="1"/>
  <c r="AW78" i="6"/>
  <c r="AX78" i="6"/>
  <c r="BD78" i="6"/>
  <c r="AT79" i="6"/>
  <c r="AY79" i="6" s="1"/>
  <c r="AU79" i="6"/>
  <c r="AE36" i="21"/>
  <c r="BA36" i="21"/>
  <c r="BG80" i="6" s="1"/>
  <c r="Q79" i="6"/>
  <c r="R79" i="6" s="1"/>
  <c r="P79" i="6"/>
  <c r="N79" i="6" s="1"/>
  <c r="T80" i="6"/>
  <c r="K80" i="6"/>
  <c r="O80" i="6"/>
  <c r="M80" i="6"/>
  <c r="F80" i="6"/>
  <c r="D80" i="6"/>
  <c r="C81" i="6"/>
  <c r="AF37" i="21" s="1"/>
  <c r="V80" i="6"/>
  <c r="S81" i="6" s="1"/>
  <c r="U80" i="6"/>
  <c r="G80" i="6"/>
  <c r="BF80" i="6" s="1"/>
  <c r="BB78" i="6" l="1"/>
  <c r="BH78" i="6" s="1"/>
  <c r="BI78" i="6" s="1"/>
  <c r="BD79" i="6"/>
  <c r="AW79" i="6"/>
  <c r="AX79" i="6"/>
  <c r="AT80" i="6"/>
  <c r="AY80" i="6" s="1"/>
  <c r="AU80" i="6"/>
  <c r="AE37" i="21"/>
  <c r="BA37" i="21"/>
  <c r="BG81" i="6" s="1"/>
  <c r="Q80" i="6"/>
  <c r="R80" i="6" s="1"/>
  <c r="P80" i="6"/>
  <c r="N80" i="6" s="1"/>
  <c r="T81" i="6"/>
  <c r="K81" i="6"/>
  <c r="O81" i="6"/>
  <c r="M81" i="6"/>
  <c r="D81" i="6"/>
  <c r="F81" i="6"/>
  <c r="C82" i="6"/>
  <c r="AF38" i="21" s="1"/>
  <c r="V81" i="6"/>
  <c r="S82" i="6" s="1"/>
  <c r="U81" i="6"/>
  <c r="G81" i="6"/>
  <c r="BF81" i="6" s="1"/>
  <c r="BB79" i="6" l="1"/>
  <c r="BH79" i="6" s="1"/>
  <c r="BI79" i="6" s="1"/>
  <c r="AW80" i="6"/>
  <c r="AX80" i="6"/>
  <c r="BD80" i="6"/>
  <c r="AT81" i="6"/>
  <c r="AY81" i="6" s="1"/>
  <c r="AU81" i="6"/>
  <c r="AE38" i="21"/>
  <c r="BA38" i="21"/>
  <c r="BG82" i="6" s="1"/>
  <c r="Q81" i="6"/>
  <c r="R81" i="6" s="1"/>
  <c r="P81" i="6"/>
  <c r="N81" i="6" s="1"/>
  <c r="T82" i="6"/>
  <c r="O82" i="6"/>
  <c r="M82" i="6"/>
  <c r="K82" i="6"/>
  <c r="D82" i="6"/>
  <c r="F82" i="6"/>
  <c r="C83" i="6"/>
  <c r="AF39" i="21" s="1"/>
  <c r="V82" i="6"/>
  <c r="S83" i="6" s="1"/>
  <c r="U82" i="6"/>
  <c r="G82" i="6"/>
  <c r="BF82" i="6" s="1"/>
  <c r="AX81" i="6" l="1"/>
  <c r="BD81" i="6"/>
  <c r="AW81" i="6"/>
  <c r="AU82" i="6"/>
  <c r="AT82" i="6"/>
  <c r="AY82" i="6" s="1"/>
  <c r="BB80" i="6"/>
  <c r="BH80" i="6" s="1"/>
  <c r="BI80" i="6" s="1"/>
  <c r="AE39" i="21"/>
  <c r="BA39" i="21"/>
  <c r="BG83" i="6" s="1"/>
  <c r="Q82" i="6"/>
  <c r="R82" i="6" s="1"/>
  <c r="P82" i="6"/>
  <c r="N82" i="6" s="1"/>
  <c r="T83" i="6"/>
  <c r="O83" i="6"/>
  <c r="M83" i="6"/>
  <c r="K83" i="6"/>
  <c r="F83" i="6"/>
  <c r="D83" i="6"/>
  <c r="C84" i="6"/>
  <c r="AF40" i="21" s="1"/>
  <c r="V83" i="6"/>
  <c r="S84" i="6" s="1"/>
  <c r="U83" i="6"/>
  <c r="G83" i="6"/>
  <c r="BF83" i="6" s="1"/>
  <c r="BB81" i="6" l="1"/>
  <c r="BH81" i="6" s="1"/>
  <c r="BI81" i="6" s="1"/>
  <c r="AW82" i="6"/>
  <c r="AX82" i="6"/>
  <c r="BD82" i="6"/>
  <c r="AT83" i="6"/>
  <c r="AY83" i="6" s="1"/>
  <c r="AU83" i="6"/>
  <c r="AE40" i="21"/>
  <c r="BA40" i="21"/>
  <c r="BG84" i="6" s="1"/>
  <c r="Q83" i="6"/>
  <c r="R83" i="6" s="1"/>
  <c r="P83" i="6"/>
  <c r="N83" i="6" s="1"/>
  <c r="T84" i="6"/>
  <c r="M84" i="6"/>
  <c r="K84" i="6"/>
  <c r="O84" i="6"/>
  <c r="D84" i="6"/>
  <c r="F84" i="6"/>
  <c r="C85" i="6"/>
  <c r="V84" i="6"/>
  <c r="U84" i="6"/>
  <c r="G84" i="6"/>
  <c r="BF84" i="6" s="1"/>
  <c r="AF41" i="21" l="1"/>
  <c r="BA41" i="21" s="1"/>
  <c r="BG85" i="6" s="1"/>
  <c r="F85" i="6"/>
  <c r="BD83" i="6"/>
  <c r="AX83" i="6"/>
  <c r="AW83" i="6"/>
  <c r="BB82" i="6"/>
  <c r="BH82" i="6" s="1"/>
  <c r="BI82" i="6" s="1"/>
  <c r="AU84" i="6"/>
  <c r="AT84" i="6"/>
  <c r="AY84" i="6" s="1"/>
  <c r="T85" i="6"/>
  <c r="Q84" i="6"/>
  <c r="R84" i="6" s="1"/>
  <c r="S85" i="6"/>
  <c r="M85" i="6"/>
  <c r="K85" i="6"/>
  <c r="O85" i="6"/>
  <c r="D85" i="6"/>
  <c r="P84" i="6"/>
  <c r="N84" i="6" s="1"/>
  <c r="C86" i="6"/>
  <c r="AF42" i="21" s="1"/>
  <c r="U85" i="6"/>
  <c r="V85" i="6"/>
  <c r="G85" i="6"/>
  <c r="BF85" i="6" s="1"/>
  <c r="AE41" i="21" l="1"/>
  <c r="BB83" i="6"/>
  <c r="BH83" i="6" s="1"/>
  <c r="BI83" i="6" s="1"/>
  <c r="AW84" i="6"/>
  <c r="AX84" i="6"/>
  <c r="BD84" i="6"/>
  <c r="AT85" i="6"/>
  <c r="AY85" i="6" s="1"/>
  <c r="AU85" i="6"/>
  <c r="AE42" i="21"/>
  <c r="BA42" i="21"/>
  <c r="BG86" i="6" s="1"/>
  <c r="Q85" i="6"/>
  <c r="R85" i="6" s="1"/>
  <c r="S86" i="6"/>
  <c r="T86" i="6"/>
  <c r="K86" i="6"/>
  <c r="O86" i="6"/>
  <c r="M86" i="6"/>
  <c r="D86" i="6"/>
  <c r="F86" i="6"/>
  <c r="P85" i="6"/>
  <c r="N85" i="6" s="1"/>
  <c r="C87" i="6"/>
  <c r="AF43" i="21" s="1"/>
  <c r="V86" i="6"/>
  <c r="U86" i="6"/>
  <c r="G86" i="6"/>
  <c r="BF86" i="6" s="1"/>
  <c r="BB84" i="6" l="1"/>
  <c r="BH84" i="6" s="1"/>
  <c r="BI84" i="6" s="1"/>
  <c r="AX85" i="6"/>
  <c r="AW85" i="6"/>
  <c r="BD85" i="6"/>
  <c r="AU86" i="6"/>
  <c r="AT86" i="6"/>
  <c r="AY86" i="6" s="1"/>
  <c r="AE43" i="21"/>
  <c r="BA43" i="21"/>
  <c r="BG87" i="6" s="1"/>
  <c r="Q86" i="6"/>
  <c r="R86" i="6" s="1"/>
  <c r="S87" i="6"/>
  <c r="T87" i="6"/>
  <c r="P86" i="6"/>
  <c r="N86" i="6" s="1"/>
  <c r="O87" i="6"/>
  <c r="M87" i="6"/>
  <c r="K87" i="6"/>
  <c r="D87" i="6"/>
  <c r="F87" i="6"/>
  <c r="C88" i="6"/>
  <c r="V87" i="6"/>
  <c r="U87" i="6"/>
  <c r="G87" i="6"/>
  <c r="BF87" i="6" s="1"/>
  <c r="S88" i="6" l="1"/>
  <c r="BB85" i="6"/>
  <c r="BH85" i="6" s="1"/>
  <c r="BI85" i="6" s="1"/>
  <c r="AW86" i="6"/>
  <c r="AX86" i="6"/>
  <c r="BD86" i="6"/>
  <c r="AT87" i="6"/>
  <c r="AY87" i="6" s="1"/>
  <c r="AU87" i="6"/>
  <c r="AF44" i="21"/>
  <c r="Q87" i="6"/>
  <c r="R87" i="6" s="1"/>
  <c r="T88" i="6"/>
  <c r="P87" i="6"/>
  <c r="N87" i="6" s="1"/>
  <c r="M88" i="6"/>
  <c r="K88" i="6"/>
  <c r="O88" i="6"/>
  <c r="D88" i="6"/>
  <c r="C89" i="6"/>
  <c r="V88" i="6"/>
  <c r="U88" i="6"/>
  <c r="G88" i="6"/>
  <c r="BF88" i="6" s="1"/>
  <c r="S89" i="6" l="1"/>
  <c r="BD87" i="6"/>
  <c r="AW87" i="6"/>
  <c r="AX87" i="6"/>
  <c r="BB86" i="6"/>
  <c r="BH86" i="6" s="1"/>
  <c r="BI86" i="6" s="1"/>
  <c r="AT88" i="6"/>
  <c r="AY88" i="6" s="1"/>
  <c r="AU88" i="6"/>
  <c r="F89" i="6"/>
  <c r="AF45" i="21"/>
  <c r="AE44" i="21"/>
  <c r="BA44" i="21"/>
  <c r="BG88" i="6" s="1"/>
  <c r="T89" i="6"/>
  <c r="P88" i="6"/>
  <c r="N88" i="6" s="1"/>
  <c r="Q88" i="6"/>
  <c r="R88" i="6" s="1"/>
  <c r="K89" i="6"/>
  <c r="O89" i="6"/>
  <c r="M89" i="6"/>
  <c r="D89" i="6"/>
  <c r="C90" i="6"/>
  <c r="V89" i="6"/>
  <c r="U89" i="6"/>
  <c r="G89" i="6"/>
  <c r="BF89" i="6" s="1"/>
  <c r="S90" i="6" l="1"/>
  <c r="AF46" i="21"/>
  <c r="BA46" i="21" s="1"/>
  <c r="BG90" i="6" s="1"/>
  <c r="F90" i="6"/>
  <c r="AW88" i="6"/>
  <c r="AX88" i="6"/>
  <c r="BD88" i="6"/>
  <c r="AT89" i="6"/>
  <c r="AY89" i="6" s="1"/>
  <c r="AU89" i="6"/>
  <c r="BB87" i="6"/>
  <c r="BH87" i="6" s="1"/>
  <c r="BI87" i="6" s="1"/>
  <c r="AE45" i="21"/>
  <c r="BA45" i="21"/>
  <c r="BG89" i="6" s="1"/>
  <c r="Q89" i="6"/>
  <c r="R89" i="6" s="1"/>
  <c r="T90" i="6"/>
  <c r="P89" i="6"/>
  <c r="N89" i="6" s="1"/>
  <c r="O90" i="6"/>
  <c r="K90" i="6"/>
  <c r="M90" i="6"/>
  <c r="D90" i="6"/>
  <c r="C91" i="6"/>
  <c r="V90" i="6"/>
  <c r="S91" i="6" s="1"/>
  <c r="U90" i="6"/>
  <c r="G90" i="6"/>
  <c r="BF90" i="6" s="1"/>
  <c r="AE46" i="21" l="1"/>
  <c r="AF47" i="21"/>
  <c r="BA47" i="21" s="1"/>
  <c r="BG91" i="6" s="1"/>
  <c r="F91" i="6"/>
  <c r="AX89" i="6"/>
  <c r="BD89" i="6"/>
  <c r="AW89" i="6"/>
  <c r="BB88" i="6"/>
  <c r="BH88" i="6" s="1"/>
  <c r="BI88" i="6" s="1"/>
  <c r="AU90" i="6"/>
  <c r="AT90" i="6"/>
  <c r="AY90" i="6" s="1"/>
  <c r="P90" i="6"/>
  <c r="N90" i="6" s="1"/>
  <c r="T91" i="6"/>
  <c r="Q90" i="6"/>
  <c r="R90" i="6" s="1"/>
  <c r="O91" i="6"/>
  <c r="K91" i="6"/>
  <c r="M91" i="6"/>
  <c r="D91" i="6"/>
  <c r="C92" i="6"/>
  <c r="V91" i="6"/>
  <c r="S92" i="6" s="1"/>
  <c r="U91" i="6"/>
  <c r="G91" i="6"/>
  <c r="AE47" i="21" l="1"/>
  <c r="BB89" i="6"/>
  <c r="BH89" i="6" s="1"/>
  <c r="BI89" i="6" s="1"/>
  <c r="AF48" i="21"/>
  <c r="AE48" i="21" s="1"/>
  <c r="F92" i="6"/>
  <c r="AW90" i="6"/>
  <c r="AX90" i="6"/>
  <c r="BD90" i="6"/>
  <c r="AT91" i="6"/>
  <c r="AU91" i="6"/>
  <c r="Q91" i="6"/>
  <c r="R91" i="6" s="1"/>
  <c r="T92" i="6"/>
  <c r="P91" i="6"/>
  <c r="N91" i="6" s="1"/>
  <c r="M92" i="6"/>
  <c r="K92" i="6"/>
  <c r="O92" i="6"/>
  <c r="D92" i="6"/>
  <c r="C93" i="6"/>
  <c r="U92" i="6"/>
  <c r="V92" i="6"/>
  <c r="S93" i="6" s="1"/>
  <c r="G92" i="6"/>
  <c r="BA48" i="21" l="1"/>
  <c r="BG92" i="6" s="1"/>
  <c r="BD91" i="6"/>
  <c r="AW91" i="6"/>
  <c r="AX91" i="6"/>
  <c r="AT92" i="6"/>
  <c r="AY92" i="6" s="1"/>
  <c r="AU92" i="6"/>
  <c r="BF91" i="6"/>
  <c r="AY91" i="6"/>
  <c r="BB90" i="6"/>
  <c r="BH90" i="6" s="1"/>
  <c r="BI90" i="6" s="1"/>
  <c r="F93" i="6"/>
  <c r="AF49" i="21"/>
  <c r="T93" i="6"/>
  <c r="Q92" i="6"/>
  <c r="R92" i="6" s="1"/>
  <c r="M93" i="6"/>
  <c r="K93" i="6"/>
  <c r="O93" i="6"/>
  <c r="D93" i="6"/>
  <c r="P92" i="6"/>
  <c r="N92" i="6" s="1"/>
  <c r="C94" i="6"/>
  <c r="U93" i="6"/>
  <c r="V93" i="6"/>
  <c r="S94" i="6" s="1"/>
  <c r="G93" i="6"/>
  <c r="BF93" i="6" s="1"/>
  <c r="BF92" i="6" l="1"/>
  <c r="AW92" i="6"/>
  <c r="AX92" i="6"/>
  <c r="BD92" i="6"/>
  <c r="BB91" i="6"/>
  <c r="BH91" i="6" s="1"/>
  <c r="BI91" i="6" s="1"/>
  <c r="AT93" i="6"/>
  <c r="AY93" i="6" s="1"/>
  <c r="AU93" i="6"/>
  <c r="D94" i="6"/>
  <c r="AF50" i="21"/>
  <c r="AE49" i="21"/>
  <c r="BA49" i="21"/>
  <c r="BG93" i="6" s="1"/>
  <c r="Q93" i="6"/>
  <c r="R93" i="6" s="1"/>
  <c r="T94" i="6"/>
  <c r="M94" i="6"/>
  <c r="K94" i="6"/>
  <c r="O94" i="6"/>
  <c r="F94" i="6"/>
  <c r="P93" i="6"/>
  <c r="N93" i="6" s="1"/>
  <c r="C95" i="6"/>
  <c r="AF51" i="21" s="1"/>
  <c r="U94" i="6"/>
  <c r="V94" i="6"/>
  <c r="S95" i="6" s="1"/>
  <c r="G94" i="6"/>
  <c r="BF94" i="6" s="1"/>
  <c r="Q94" i="6" l="1"/>
  <c r="R94" i="6" s="1"/>
  <c r="AX93" i="6"/>
  <c r="BD93" i="6"/>
  <c r="AW93" i="6"/>
  <c r="BB93" i="6" s="1"/>
  <c r="AU94" i="6"/>
  <c r="AT94" i="6"/>
  <c r="AY94" i="6" s="1"/>
  <c r="BB92" i="6"/>
  <c r="BH92" i="6" s="1"/>
  <c r="BI92" i="6" s="1"/>
  <c r="AE51" i="21"/>
  <c r="BA51" i="21"/>
  <c r="BG95" i="6" s="1"/>
  <c r="AE50" i="21"/>
  <c r="BA50" i="21"/>
  <c r="BG94" i="6" s="1"/>
  <c r="T95" i="6"/>
  <c r="M95" i="6"/>
  <c r="K95" i="6"/>
  <c r="O95" i="6"/>
  <c r="D95" i="6"/>
  <c r="P94" i="6"/>
  <c r="N94" i="6" s="1"/>
  <c r="C96" i="6"/>
  <c r="AF52" i="21" s="1"/>
  <c r="V95" i="6"/>
  <c r="S96" i="6" s="1"/>
  <c r="U95" i="6"/>
  <c r="G95" i="6"/>
  <c r="BF95" i="6" s="1"/>
  <c r="BH93" i="6" l="1"/>
  <c r="BI93" i="6" s="1"/>
  <c r="AT95" i="6"/>
  <c r="AY95" i="6" s="1"/>
  <c r="AU95" i="6"/>
  <c r="AW94" i="6"/>
  <c r="AX94" i="6"/>
  <c r="BD94" i="6"/>
  <c r="AE52" i="21"/>
  <c r="BA52" i="21"/>
  <c r="BG96" i="6" s="1"/>
  <c r="T96" i="6"/>
  <c r="Q95" i="6"/>
  <c r="R95" i="6" s="1"/>
  <c r="M96" i="6"/>
  <c r="O96" i="6"/>
  <c r="K96" i="6"/>
  <c r="D96" i="6"/>
  <c r="F96" i="6"/>
  <c r="P95" i="6"/>
  <c r="N95" i="6" s="1"/>
  <c r="C97" i="6"/>
  <c r="V96" i="6"/>
  <c r="S97" i="6" s="1"/>
  <c r="U96" i="6"/>
  <c r="BB94" i="6" l="1"/>
  <c r="BH94" i="6" s="1"/>
  <c r="BI94" i="6" s="1"/>
  <c r="BD95" i="6"/>
  <c r="AW95" i="6"/>
  <c r="AX95" i="6"/>
  <c r="AT96" i="6"/>
  <c r="AU96" i="6"/>
  <c r="AF53" i="21"/>
  <c r="Q96" i="6"/>
  <c r="R96" i="6" s="1"/>
  <c r="T97" i="6"/>
  <c r="M97" i="6"/>
  <c r="K97" i="6"/>
  <c r="O97" i="6"/>
  <c r="D97" i="6"/>
  <c r="P96" i="6"/>
  <c r="N96" i="6" s="1"/>
  <c r="C98" i="6"/>
  <c r="V97" i="6"/>
  <c r="S98" i="6" s="1"/>
  <c r="U97" i="6"/>
  <c r="G97" i="6"/>
  <c r="BF97" i="6" s="1"/>
  <c r="AF54" i="21" l="1"/>
  <c r="F98" i="6"/>
  <c r="AY96" i="6"/>
  <c r="BF96" i="6"/>
  <c r="BB95" i="6"/>
  <c r="BH95" i="6" s="1"/>
  <c r="BI95" i="6" s="1"/>
  <c r="AT97" i="6"/>
  <c r="AY97" i="6" s="1"/>
  <c r="AU97" i="6"/>
  <c r="AW96" i="6"/>
  <c r="BD96" i="6"/>
  <c r="AX96" i="6"/>
  <c r="AE54" i="21"/>
  <c r="BA54" i="21"/>
  <c r="BG98" i="6" s="1"/>
  <c r="AE53" i="21"/>
  <c r="BA53" i="21"/>
  <c r="BG97" i="6" s="1"/>
  <c r="Q97" i="6"/>
  <c r="R97" i="6" s="1"/>
  <c r="T98" i="6"/>
  <c r="O98" i="6"/>
  <c r="M98" i="6"/>
  <c r="K98" i="6"/>
  <c r="D98" i="6"/>
  <c r="P97" i="6"/>
  <c r="N97" i="6" s="1"/>
  <c r="C99" i="6"/>
  <c r="AF55" i="21" s="1"/>
  <c r="V98" i="6"/>
  <c r="S99" i="6" s="1"/>
  <c r="U98" i="6"/>
  <c r="G98" i="6"/>
  <c r="BF98" i="6" s="1"/>
  <c r="BB96" i="6" l="1"/>
  <c r="BH96" i="6" s="1"/>
  <c r="BI96" i="6" s="1"/>
  <c r="AX97" i="6"/>
  <c r="BD97" i="6"/>
  <c r="AW97" i="6"/>
  <c r="AU98" i="6"/>
  <c r="AT98" i="6"/>
  <c r="AY98" i="6" s="1"/>
  <c r="AE55" i="21"/>
  <c r="BA55" i="21"/>
  <c r="BG99" i="6" s="1"/>
  <c r="Q98" i="6"/>
  <c r="R98" i="6" s="1"/>
  <c r="P98" i="6"/>
  <c r="N98" i="6" s="1"/>
  <c r="T99" i="6"/>
  <c r="O99" i="6"/>
  <c r="M99" i="6"/>
  <c r="K99" i="6"/>
  <c r="D99" i="6"/>
  <c r="F99" i="6"/>
  <c r="C100" i="6"/>
  <c r="V99" i="6"/>
  <c r="S100" i="6" s="1"/>
  <c r="U99" i="6"/>
  <c r="G99" i="6"/>
  <c r="BF99" i="6" s="1"/>
  <c r="BB97" i="6" l="1"/>
  <c r="BH97" i="6" s="1"/>
  <c r="BI97" i="6" s="1"/>
  <c r="AW98" i="6"/>
  <c r="AX98" i="6"/>
  <c r="BD98" i="6"/>
  <c r="AT99" i="6"/>
  <c r="AY99" i="6" s="1"/>
  <c r="AU99" i="6"/>
  <c r="F100" i="6"/>
  <c r="AF56" i="21"/>
  <c r="P99" i="6"/>
  <c r="N99" i="6" s="1"/>
  <c r="Q99" i="6"/>
  <c r="R99" i="6" s="1"/>
  <c r="T100" i="6"/>
  <c r="M100" i="6"/>
  <c r="K100" i="6"/>
  <c r="O100" i="6"/>
  <c r="D100" i="6"/>
  <c r="C101" i="6"/>
  <c r="AF57" i="21" s="1"/>
  <c r="U100" i="6"/>
  <c r="V100" i="6"/>
  <c r="S101" i="6" s="1"/>
  <c r="G100" i="6"/>
  <c r="BF100" i="6" s="1"/>
  <c r="AX99" i="6" l="1"/>
  <c r="AW99" i="6"/>
  <c r="BD99" i="6"/>
  <c r="BB98" i="6"/>
  <c r="BH98" i="6" s="1"/>
  <c r="BI98" i="6" s="1"/>
  <c r="AT100" i="6"/>
  <c r="AY100" i="6" s="1"/>
  <c r="AU100" i="6"/>
  <c r="AE57" i="21"/>
  <c r="BA57" i="21"/>
  <c r="BG101" i="6" s="1"/>
  <c r="AE56" i="21"/>
  <c r="BA56" i="21"/>
  <c r="BG100" i="6" s="1"/>
  <c r="Q100" i="6"/>
  <c r="R100" i="6" s="1"/>
  <c r="T101" i="6"/>
  <c r="M101" i="6"/>
  <c r="K101" i="6"/>
  <c r="O101" i="6"/>
  <c r="F101" i="6"/>
  <c r="D101" i="6"/>
  <c r="P100" i="6"/>
  <c r="N100" i="6" s="1"/>
  <c r="C102" i="6"/>
  <c r="AF58" i="21" s="1"/>
  <c r="U101" i="6"/>
  <c r="V101" i="6"/>
  <c r="S102" i="6" s="1"/>
  <c r="G101" i="6"/>
  <c r="BF101" i="6" s="1"/>
  <c r="BB99" i="6" l="1"/>
  <c r="BH99" i="6"/>
  <c r="BI99" i="6" s="1"/>
  <c r="AT101" i="6"/>
  <c r="AY101" i="6" s="1"/>
  <c r="AU101" i="6"/>
  <c r="AW100" i="6"/>
  <c r="BD100" i="6"/>
  <c r="AX100" i="6"/>
  <c r="AE58" i="21"/>
  <c r="BA58" i="21"/>
  <c r="BG102" i="6" s="1"/>
  <c r="Q101" i="6"/>
  <c r="R101" i="6" s="1"/>
  <c r="T102" i="6"/>
  <c r="M102" i="6"/>
  <c r="K102" i="6"/>
  <c r="O102" i="6"/>
  <c r="F102" i="6"/>
  <c r="D102" i="6"/>
  <c r="P101" i="6"/>
  <c r="N101" i="6" s="1"/>
  <c r="C103" i="6"/>
  <c r="U102" i="6"/>
  <c r="V102" i="6"/>
  <c r="S103" i="6" s="1"/>
  <c r="G102" i="6"/>
  <c r="BF102" i="6" s="1"/>
  <c r="BB100" i="6" l="1"/>
  <c r="BH100" i="6" s="1"/>
  <c r="BI100" i="6" s="1"/>
  <c r="AX101" i="6"/>
  <c r="BD101" i="6"/>
  <c r="AW101" i="6"/>
  <c r="AU102" i="6"/>
  <c r="AT102" i="6"/>
  <c r="AY102" i="6" s="1"/>
  <c r="D103" i="6"/>
  <c r="AF59" i="21"/>
  <c r="Q102" i="6"/>
  <c r="R102" i="6" s="1"/>
  <c r="T103" i="6"/>
  <c r="O103" i="6"/>
  <c r="M103" i="6"/>
  <c r="K103" i="6"/>
  <c r="F103" i="6"/>
  <c r="P102" i="6"/>
  <c r="N102" i="6" s="1"/>
  <c r="C104" i="6"/>
  <c r="AF60" i="21" s="1"/>
  <c r="V103" i="6"/>
  <c r="S104" i="6" s="1"/>
  <c r="U103" i="6"/>
  <c r="G103" i="6"/>
  <c r="BF103" i="6" s="1"/>
  <c r="BB101" i="6" l="1"/>
  <c r="BH101" i="6" s="1"/>
  <c r="BI101" i="6" s="1"/>
  <c r="Q103" i="6"/>
  <c r="R103" i="6" s="1"/>
  <c r="AW102" i="6"/>
  <c r="AX102" i="6"/>
  <c r="BD102" i="6"/>
  <c r="AT103" i="6"/>
  <c r="AY103" i="6" s="1"/>
  <c r="AU103" i="6"/>
  <c r="AE60" i="21"/>
  <c r="BA60" i="21"/>
  <c r="BG104" i="6" s="1"/>
  <c r="AE59" i="21"/>
  <c r="BA59" i="21"/>
  <c r="BG103" i="6" s="1"/>
  <c r="P103" i="6"/>
  <c r="N103" i="6" s="1"/>
  <c r="T104" i="6"/>
  <c r="M104" i="6"/>
  <c r="O104" i="6"/>
  <c r="K104" i="6"/>
  <c r="D104" i="6"/>
  <c r="F104" i="6"/>
  <c r="C105" i="6"/>
  <c r="AF61" i="21" s="1"/>
  <c r="V104" i="6"/>
  <c r="S105" i="6" s="1"/>
  <c r="U104" i="6"/>
  <c r="G104" i="6"/>
  <c r="BF104" i="6" s="1"/>
  <c r="AW103" i="6" l="1"/>
  <c r="AX103" i="6"/>
  <c r="BD103" i="6"/>
  <c r="BB102" i="6"/>
  <c r="BH102" i="6" s="1"/>
  <c r="BI102" i="6" s="1"/>
  <c r="AU104" i="6"/>
  <c r="AT104" i="6"/>
  <c r="AY104" i="6" s="1"/>
  <c r="AE61" i="21"/>
  <c r="BA61" i="21"/>
  <c r="BG105" i="6" s="1"/>
  <c r="Q104" i="6"/>
  <c r="R104" i="6" s="1"/>
  <c r="T105" i="6"/>
  <c r="M105" i="6"/>
  <c r="K105" i="6"/>
  <c r="O105" i="6"/>
  <c r="F105" i="6"/>
  <c r="D105" i="6"/>
  <c r="P104" i="6"/>
  <c r="N104" i="6" s="1"/>
  <c r="C106" i="6"/>
  <c r="AF62" i="21" s="1"/>
  <c r="V105" i="6"/>
  <c r="S106" i="6" s="1"/>
  <c r="U105" i="6"/>
  <c r="G105" i="6"/>
  <c r="BF105" i="6" s="1"/>
  <c r="BD104" i="6" l="1"/>
  <c r="AW104" i="6"/>
  <c r="AX104" i="6"/>
  <c r="BB103" i="6"/>
  <c r="BH103" i="6" s="1"/>
  <c r="BI103" i="6" s="1"/>
  <c r="AT105" i="6"/>
  <c r="AY105" i="6" s="1"/>
  <c r="AU105" i="6"/>
  <c r="AE62" i="21"/>
  <c r="BA62" i="21"/>
  <c r="BG106" i="6" s="1"/>
  <c r="Q105" i="6"/>
  <c r="R105" i="6" s="1"/>
  <c r="T106" i="6"/>
  <c r="O106" i="6"/>
  <c r="K106" i="6"/>
  <c r="M106" i="6"/>
  <c r="D106" i="6"/>
  <c r="F106" i="6"/>
  <c r="P105" i="6"/>
  <c r="N105" i="6" s="1"/>
  <c r="C107" i="6"/>
  <c r="V106" i="6"/>
  <c r="S107" i="6" s="1"/>
  <c r="U106" i="6"/>
  <c r="G106" i="6"/>
  <c r="BF106" i="6" s="1"/>
  <c r="AX105" i="6" l="1"/>
  <c r="BD105" i="6"/>
  <c r="AW105" i="6"/>
  <c r="BB104" i="6"/>
  <c r="BH104" i="6" s="1"/>
  <c r="BI104" i="6" s="1"/>
  <c r="AU106" i="6"/>
  <c r="AT106" i="6"/>
  <c r="AY106" i="6" s="1"/>
  <c r="F107" i="6"/>
  <c r="AF63" i="21"/>
  <c r="Q106" i="6"/>
  <c r="R106" i="6" s="1"/>
  <c r="T107" i="6"/>
  <c r="O107" i="6"/>
  <c r="M107" i="6"/>
  <c r="K107" i="6"/>
  <c r="D107" i="6"/>
  <c r="P106" i="6"/>
  <c r="N106" i="6" s="1"/>
  <c r="C108" i="6"/>
  <c r="V107" i="6"/>
  <c r="S108" i="6" s="1"/>
  <c r="U107" i="6"/>
  <c r="G107" i="6"/>
  <c r="BF107" i="6" s="1"/>
  <c r="AF64" i="21" l="1"/>
  <c r="BA64" i="21" s="1"/>
  <c r="BG108" i="6" s="1"/>
  <c r="F108" i="6"/>
  <c r="BB105" i="6"/>
  <c r="BH105" i="6" s="1"/>
  <c r="BI105" i="6" s="1"/>
  <c r="AT107" i="6"/>
  <c r="AY107" i="6" s="1"/>
  <c r="AU107" i="6"/>
  <c r="BD106" i="6"/>
  <c r="AW106" i="6"/>
  <c r="AX106" i="6"/>
  <c r="AE63" i="21"/>
  <c r="BA63" i="21"/>
  <c r="BG107" i="6" s="1"/>
  <c r="P107" i="6"/>
  <c r="N107" i="6" s="1"/>
  <c r="T108" i="6"/>
  <c r="Q107" i="6"/>
  <c r="R107" i="6" s="1"/>
  <c r="M108" i="6"/>
  <c r="K108" i="6"/>
  <c r="O108" i="6"/>
  <c r="D108" i="6"/>
  <c r="C109" i="6"/>
  <c r="V108" i="6"/>
  <c r="S109" i="6" s="1"/>
  <c r="U108" i="6"/>
  <c r="G108" i="6"/>
  <c r="BF108" i="6" s="1"/>
  <c r="AE64" i="21" l="1"/>
  <c r="AF65" i="21"/>
  <c r="AE65" i="21" s="1"/>
  <c r="F109" i="6"/>
  <c r="BB106" i="6"/>
  <c r="BH106" i="6" s="1"/>
  <c r="BI106" i="6" s="1"/>
  <c r="AT108" i="6"/>
  <c r="AY108" i="6" s="1"/>
  <c r="AU108" i="6"/>
  <c r="AX107" i="6"/>
  <c r="AW107" i="6"/>
  <c r="BD107" i="6"/>
  <c r="Q108" i="6"/>
  <c r="R108" i="6" s="1"/>
  <c r="T109" i="6"/>
  <c r="M109" i="6"/>
  <c r="K109" i="6"/>
  <c r="O109" i="6"/>
  <c r="D109" i="6"/>
  <c r="P108" i="6"/>
  <c r="N108" i="6" s="1"/>
  <c r="C110" i="6"/>
  <c r="U109" i="6"/>
  <c r="V109" i="6"/>
  <c r="S110" i="6" s="1"/>
  <c r="G109" i="6"/>
  <c r="BF109" i="6" s="1"/>
  <c r="BA65" i="21" l="1"/>
  <c r="BG109" i="6" s="1"/>
  <c r="BB107" i="6"/>
  <c r="BH107" i="6" s="1"/>
  <c r="BI107" i="6" s="1"/>
  <c r="BD108" i="6"/>
  <c r="AW108" i="6"/>
  <c r="AX108" i="6"/>
  <c r="AT109" i="6"/>
  <c r="AY109" i="6" s="1"/>
  <c r="AU109" i="6"/>
  <c r="V110" i="6"/>
  <c r="S111" i="6" s="1"/>
  <c r="AF66" i="21"/>
  <c r="Q109" i="6"/>
  <c r="R109" i="6" s="1"/>
  <c r="T110" i="6"/>
  <c r="O110" i="6"/>
  <c r="M110" i="6"/>
  <c r="K110" i="6"/>
  <c r="F110" i="6"/>
  <c r="D110" i="6"/>
  <c r="G110" i="6"/>
  <c r="BF110" i="6" s="1"/>
  <c r="P109" i="6"/>
  <c r="N109" i="6" s="1"/>
  <c r="C111" i="6"/>
  <c r="C112" i="6" s="1"/>
  <c r="U112" i="6" s="1"/>
  <c r="U110" i="6"/>
  <c r="K112" i="6" l="1"/>
  <c r="C113" i="6"/>
  <c r="U113" i="6" s="1"/>
  <c r="D112" i="6"/>
  <c r="G112" i="6"/>
  <c r="BF112" i="6" s="1"/>
  <c r="T111" i="6"/>
  <c r="BB108" i="6"/>
  <c r="BH108" i="6" s="1"/>
  <c r="BI108" i="6" s="1"/>
  <c r="AU110" i="6"/>
  <c r="AT110" i="6"/>
  <c r="AY110" i="6" s="1"/>
  <c r="AX109" i="6"/>
  <c r="BD109" i="6"/>
  <c r="AW109" i="6"/>
  <c r="F111" i="6"/>
  <c r="AF67" i="21"/>
  <c r="AE66" i="21"/>
  <c r="BA66" i="21"/>
  <c r="BG110" i="6" s="1"/>
  <c r="Q110" i="6"/>
  <c r="R110" i="6" s="1"/>
  <c r="P110" i="6"/>
  <c r="N110" i="6" s="1"/>
  <c r="O111" i="6"/>
  <c r="M111" i="6"/>
  <c r="K111" i="6"/>
  <c r="D111" i="6"/>
  <c r="V111" i="6"/>
  <c r="U111" i="6"/>
  <c r="G111" i="6"/>
  <c r="BF111" i="6" s="1"/>
  <c r="AT112" i="6" l="1"/>
  <c r="AY112" i="6" s="1"/>
  <c r="AU112" i="6"/>
  <c r="D113" i="6"/>
  <c r="C114" i="6"/>
  <c r="U114" i="6" s="1"/>
  <c r="K113" i="6"/>
  <c r="G113" i="6"/>
  <c r="BF113" i="6" s="1"/>
  <c r="F113" i="6"/>
  <c r="BB109" i="6"/>
  <c r="BH109" i="6" s="1"/>
  <c r="BI109" i="6" s="1"/>
  <c r="AW110" i="6"/>
  <c r="AX110" i="6"/>
  <c r="BD110" i="6"/>
  <c r="AT111" i="6"/>
  <c r="AY111" i="6" s="1"/>
  <c r="AU111" i="6"/>
  <c r="BA67" i="21"/>
  <c r="BA68" i="21"/>
  <c r="AE67" i="21"/>
  <c r="Q111" i="6"/>
  <c r="R111" i="6" s="1"/>
  <c r="P111" i="6"/>
  <c r="N111" i="6" s="1"/>
  <c r="AX112" i="6" l="1"/>
  <c r="AW112" i="6"/>
  <c r="BB112" i="6" s="1"/>
  <c r="BD112" i="6"/>
  <c r="C115" i="6"/>
  <c r="U115" i="6" s="1"/>
  <c r="D114" i="6"/>
  <c r="F114" i="6"/>
  <c r="K114" i="6"/>
  <c r="G114" i="6"/>
  <c r="BF114" i="6" s="1"/>
  <c r="AT113" i="6"/>
  <c r="AY113" i="6" s="1"/>
  <c r="AU113" i="6"/>
  <c r="AW111" i="6"/>
  <c r="BD111" i="6"/>
  <c r="AX111" i="6"/>
  <c r="BB110" i="6"/>
  <c r="BH110" i="6" s="1"/>
  <c r="BI110" i="6" s="1"/>
  <c r="BG112" i="6"/>
  <c r="BG111" i="6"/>
  <c r="E13" i="1"/>
  <c r="F22" i="1"/>
  <c r="F23" i="1"/>
  <c r="F25" i="1"/>
  <c r="F27" i="1"/>
  <c r="F28" i="1"/>
  <c r="F29" i="1"/>
  <c r="F30" i="1"/>
  <c r="F31" i="1"/>
  <c r="F33" i="1"/>
  <c r="F34" i="1"/>
  <c r="F42" i="1"/>
  <c r="F35" i="1"/>
  <c r="F40" i="1"/>
  <c r="F41" i="1"/>
  <c r="F43" i="1"/>
  <c r="F66" i="1"/>
  <c r="F44" i="1"/>
  <c r="F45" i="1"/>
  <c r="F47" i="1"/>
  <c r="F49" i="1"/>
  <c r="F50" i="1"/>
  <c r="F51" i="1"/>
  <c r="F52" i="1"/>
  <c r="F53" i="1"/>
  <c r="F37" i="1"/>
  <c r="F54" i="1"/>
  <c r="F55" i="1"/>
  <c r="F56" i="1"/>
  <c r="F57" i="1"/>
  <c r="F58" i="1"/>
  <c r="F62" i="1"/>
  <c r="F71" i="1"/>
  <c r="F73" i="1"/>
  <c r="F63" i="1"/>
  <c r="F64" i="1"/>
  <c r="F65" i="1"/>
  <c r="F67" i="1"/>
  <c r="F69" i="1"/>
  <c r="F70" i="1"/>
  <c r="F59" i="1"/>
  <c r="F68" i="1"/>
  <c r="BH112" i="6" l="1"/>
  <c r="K115" i="6"/>
  <c r="C116" i="6"/>
  <c r="U116" i="6" s="1"/>
  <c r="D115" i="6"/>
  <c r="F115" i="6"/>
  <c r="G115" i="6"/>
  <c r="AU114" i="6"/>
  <c r="AT114" i="6"/>
  <c r="AY114" i="6" s="1"/>
  <c r="BD113" i="6"/>
  <c r="AX113" i="6"/>
  <c r="AW113" i="6"/>
  <c r="BI112" i="6"/>
  <c r="Y12" i="1"/>
  <c r="Y9" i="1"/>
  <c r="Y11" i="1"/>
  <c r="O12" i="1"/>
  <c r="Q12" i="1"/>
  <c r="R12" i="1"/>
  <c r="P12" i="1"/>
  <c r="Q11" i="1"/>
  <c r="O11" i="1"/>
  <c r="R11" i="1"/>
  <c r="P11" i="1"/>
  <c r="P9" i="1"/>
  <c r="R9" i="1"/>
  <c r="Q9" i="1"/>
  <c r="O9" i="1"/>
  <c r="BB111" i="6"/>
  <c r="BH111" i="6" s="1"/>
  <c r="BH47" i="6" s="1"/>
  <c r="BG47" i="6"/>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BB113" i="6" l="1"/>
  <c r="BH113" i="6"/>
  <c r="BI113" i="6" s="1"/>
  <c r="AW114" i="6"/>
  <c r="BD114" i="6"/>
  <c r="AX114" i="6"/>
  <c r="BB114" i="6" s="1"/>
  <c r="C117" i="6"/>
  <c r="D116" i="6"/>
  <c r="K116" i="6"/>
  <c r="F116" i="6"/>
  <c r="G116" i="6"/>
  <c r="P8" i="21"/>
  <c r="R8" i="21" s="1"/>
  <c r="T10" i="21"/>
  <c r="V10" i="21" s="1"/>
  <c r="X12" i="21"/>
  <c r="Z12" i="21" s="1"/>
  <c r="BI47" i="6"/>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H38" i="9"/>
  <c r="F7" i="24"/>
  <c r="I7" i="24"/>
  <c r="G7" i="24" s="1"/>
  <c r="C47" i="24" s="1"/>
  <c r="U10" i="24"/>
  <c r="S10" i="24" s="1"/>
  <c r="R10" i="24"/>
  <c r="U9" i="24"/>
  <c r="S9" i="24" s="1"/>
  <c r="Q8" i="24"/>
  <c r="O8" i="24" s="1"/>
  <c r="P9" i="24"/>
  <c r="R9" i="24"/>
  <c r="V21" i="21" l="1"/>
  <c r="X21" i="21"/>
  <c r="AA21" i="21"/>
  <c r="AA20" i="21"/>
  <c r="U20" i="21"/>
  <c r="W21" i="21"/>
  <c r="W20" i="21"/>
  <c r="U21" i="21"/>
  <c r="X20" i="21"/>
  <c r="Z21" i="21"/>
  <c r="Z20" i="21"/>
  <c r="Y21" i="21"/>
  <c r="Y20" i="21"/>
  <c r="V20" i="21"/>
  <c r="AB21" i="21"/>
  <c r="AB20" i="21"/>
  <c r="BH114" i="6"/>
  <c r="BI114" i="6" s="1"/>
  <c r="K117" i="6"/>
  <c r="U117" i="6"/>
  <c r="D117" i="6"/>
  <c r="G117" i="6"/>
  <c r="C118" i="6"/>
  <c r="F117" i="6"/>
  <c r="J12" i="21"/>
  <c r="J10" i="21"/>
  <c r="J8" i="21"/>
  <c r="I36" i="9"/>
  <c r="H39" i="9"/>
  <c r="W35" i="9"/>
  <c r="V36" i="9"/>
  <c r="W36" i="9" s="1"/>
  <c r="C49" i="24"/>
  <c r="Q46" i="24"/>
  <c r="C48" i="24"/>
  <c r="Q9" i="24"/>
  <c r="O9" i="24" s="1"/>
  <c r="N9" i="24"/>
  <c r="K118" i="6" l="1"/>
  <c r="U118" i="6"/>
  <c r="D118" i="6"/>
  <c r="C119" i="6"/>
  <c r="G118" i="6"/>
  <c r="F118" i="6"/>
  <c r="I37" i="9"/>
  <c r="I38" i="9"/>
  <c r="Q47" i="24"/>
  <c r="R47" i="24" s="1"/>
  <c r="R46" i="24"/>
  <c r="D47" i="24"/>
  <c r="C50" i="24"/>
  <c r="U119" i="6" l="1"/>
  <c r="K119" i="6"/>
  <c r="C120" i="6"/>
  <c r="D119" i="6"/>
  <c r="I39" i="9"/>
  <c r="J36" i="9"/>
  <c r="D48" i="24"/>
  <c r="D49" i="24"/>
  <c r="U120" i="6" l="1"/>
  <c r="K120" i="6"/>
  <c r="D120" i="6"/>
  <c r="J37" i="9"/>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J7" i="6"/>
  <c r="AC27" i="11"/>
  <c r="AC38" i="11"/>
  <c r="AC43" i="11"/>
  <c r="AC25" i="11"/>
  <c r="X41" i="11"/>
  <c r="X34" i="11"/>
  <c r="X33" i="11"/>
  <c r="X32" i="11"/>
  <c r="X31" i="11"/>
  <c r="X30" i="11"/>
  <c r="X26" i="11"/>
  <c r="X25" i="11"/>
  <c r="X29" i="11" s="1"/>
  <c r="S55" i="1"/>
  <c r="Q55" i="1"/>
  <c r="D61" i="1" s="1"/>
  <c r="F61" i="1" s="1"/>
  <c r="O55" i="1"/>
  <c r="D48" i="1" s="1"/>
  <c r="F48" i="1" s="1"/>
  <c r="Y8" i="1" s="1"/>
  <c r="S36" i="1"/>
  <c r="D38" i="1" s="1"/>
  <c r="F38" i="1" s="1"/>
  <c r="Q36" i="1"/>
  <c r="D36" i="1" s="1"/>
  <c r="F36" i="1" s="1"/>
  <c r="O36" i="1"/>
  <c r="D32" i="1" s="1"/>
  <c r="F32" i="1" s="1"/>
  <c r="U16" i="1"/>
  <c r="D26" i="1" s="1"/>
  <c r="F26" i="1" s="1"/>
  <c r="S16" i="1"/>
  <c r="D24" i="1" s="1"/>
  <c r="F24" i="1" s="1"/>
  <c r="D22" i="1"/>
  <c r="D20" i="1"/>
  <c r="Y7" i="1" l="1"/>
  <c r="Q7" i="1"/>
  <c r="P7" i="1"/>
  <c r="R7" i="1"/>
  <c r="O7" i="1"/>
  <c r="Q8" i="1"/>
  <c r="R8" i="1"/>
  <c r="P8" i="1"/>
  <c r="O8" i="1"/>
  <c r="I52" i="21"/>
  <c r="I51" i="21"/>
  <c r="D21" i="1"/>
  <c r="X27" i="11"/>
  <c r="X28" i="11"/>
  <c r="S57" i="11"/>
  <c r="D25" i="1"/>
  <c r="D60" i="1"/>
  <c r="F60" i="1" s="1"/>
  <c r="Y10" i="1" s="1"/>
  <c r="D23" i="1"/>
  <c r="D11" i="2"/>
  <c r="D9" i="2"/>
  <c r="D14" i="2" s="1"/>
  <c r="F21" i="1" l="1"/>
  <c r="Y6" i="1" s="1"/>
  <c r="Y13" i="1" s="1"/>
  <c r="D19" i="1"/>
  <c r="P10" i="1"/>
  <c r="O10" i="1"/>
  <c r="R10" i="1"/>
  <c r="Q10" i="1"/>
  <c r="R6" i="1"/>
  <c r="P6" i="1"/>
  <c r="O6" i="1"/>
  <c r="Q6" i="1"/>
  <c r="I19" i="1"/>
  <c r="G19" i="1"/>
  <c r="F19" i="1"/>
  <c r="C7" i="1" s="1"/>
  <c r="I46" i="11" s="1"/>
  <c r="D26" i="11" s="1"/>
  <c r="H19" i="1"/>
  <c r="D4" i="2"/>
  <c r="D6" i="2"/>
  <c r="D7" i="2" s="1"/>
  <c r="J50" i="21"/>
  <c r="I53" i="21"/>
  <c r="S55" i="11"/>
  <c r="S56" i="11"/>
  <c r="W6" i="1" l="1" a="1"/>
  <c r="W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3" i="6"/>
  <c r="BK111" i="6"/>
  <c r="BK88" i="6"/>
  <c r="BK108" i="6"/>
  <c r="BK82" i="6"/>
  <c r="BK76" i="6"/>
  <c r="BK110" i="6"/>
  <c r="BK91" i="6"/>
  <c r="BK112" i="6"/>
  <c r="BK114" i="6"/>
  <c r="BK92" i="6"/>
  <c r="BK105" i="6"/>
  <c r="BJ51" i="6"/>
  <c r="BL58" i="6"/>
  <c r="BL66" i="6"/>
  <c r="BL74" i="6"/>
  <c r="BL82" i="6"/>
  <c r="BL90" i="6"/>
  <c r="BL98" i="6"/>
  <c r="BL106" i="6"/>
  <c r="BL114"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112" i="6"/>
  <c r="BL57" i="6"/>
  <c r="BL65" i="6"/>
  <c r="BL73" i="6"/>
  <c r="BL81" i="6"/>
  <c r="BL89" i="6"/>
  <c r="BL97" i="6"/>
  <c r="BL105" i="6"/>
  <c r="BL113"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113" i="6"/>
  <c r="BJ56" i="6"/>
  <c r="BJ89" i="6"/>
  <c r="BJ112" i="6"/>
  <c r="BJ88" i="6"/>
  <c r="BJ99" i="6"/>
  <c r="BJ96" i="6"/>
  <c r="BJ98" i="6"/>
  <c r="BJ52" i="6"/>
  <c r="BJ86" i="6"/>
  <c r="BJ84" i="6"/>
  <c r="BJ66" i="6"/>
  <c r="BJ63" i="6"/>
  <c r="BJ83" i="6"/>
  <c r="BJ79" i="6"/>
  <c r="BJ114" i="6"/>
  <c r="BJ71" i="6"/>
  <c r="BJ73" i="6"/>
  <c r="D7" i="1" a="1"/>
  <c r="D7" i="1" s="1"/>
  <c r="D8" i="1" s="1"/>
  <c r="J52" i="21"/>
  <c r="J51" i="21"/>
  <c r="C6" i="1"/>
  <c r="I28" i="11" l="1"/>
  <c r="I26" i="11"/>
  <c r="D6" i="1"/>
  <c r="D35" i="11" s="1"/>
  <c r="F6" i="1"/>
  <c r="E6" i="1"/>
  <c r="O47" i="21"/>
  <c r="K50" i="21"/>
  <c r="J53" i="21"/>
  <c r="D31" i="11" l="1"/>
  <c r="I32" i="11"/>
  <c r="L7" i="1" a="1"/>
  <c r="L7" i="1" s="1"/>
  <c r="L6" i="1" s="1" a="1"/>
  <c r="L6" i="1" s="1"/>
  <c r="J7" i="1" a="1"/>
  <c r="J7" i="1" s="1"/>
  <c r="J6" i="1" s="1" a="1"/>
  <c r="J6" i="1" s="1"/>
  <c r="K7" i="1" a="1"/>
  <c r="K7" i="1" s="1"/>
  <c r="K6" i="1" s="1" a="1"/>
  <c r="K6" i="1" s="1"/>
  <c r="K51" i="21"/>
  <c r="K52" i="21"/>
  <c r="K53" i="21" s="1"/>
  <c r="P47" i="21"/>
  <c r="O48" i="21"/>
  <c r="P48" i="21" s="1"/>
  <c r="BI51" i="6"/>
  <c r="T6" i="1" l="1"/>
  <c r="H7" i="1" s="1" a="1"/>
  <c r="H7" i="1" s="1"/>
  <c r="H6" i="1" s="1" a="1"/>
  <c r="H6" i="1" s="1"/>
  <c r="U6" i="1"/>
  <c r="I7" i="1" s="1" a="1"/>
  <c r="I7" i="1" s="1"/>
  <c r="I6" i="1" s="1" a="1"/>
  <c r="I6" i="1" s="1"/>
  <c r="S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服、靴、ヘルメットを含む</t>
        </r>
      </text>
    </comment>
    <comment ref="L23" authorId="0" shapeId="0" xr:uid="{FC008381-26F7-794D-B806-25B2A843E7C1}">
      <text>
        <r>
          <rPr>
            <sz val="10"/>
            <color rgb="FF000000"/>
            <rFont val="Yu Gothic UI"/>
          </rPr>
          <t>森</t>
        </r>
        <r>
          <rPr>
            <sz val="10"/>
            <color rgb="FF000000"/>
            <rFont val="Yu Gothic UI"/>
          </rPr>
          <t xml:space="preserve">:
</t>
        </r>
        <r>
          <rPr>
            <sz val="10"/>
            <color rgb="FF000000"/>
            <rFont val="Yu Gothic UI"/>
          </rPr>
          <t>全機迎角と対気速度のどちらか一方、かつ重心位置と舵角のどちらか一方を空欄にして解析すると、釣り合い飛行となるよう調整する。</t>
        </r>
        <r>
          <rPr>
            <sz val="10"/>
            <color rgb="FF000000"/>
            <rFont val="Yu Gothic UI"/>
          </rPr>
          <t xml:space="preserve">
</t>
        </r>
        <r>
          <rPr>
            <sz val="10"/>
            <color rgb="FF000000"/>
            <rFont val="Yu Gothic UI"/>
          </rPr>
          <t>釣り合い飛行：自重</t>
        </r>
        <r>
          <rPr>
            <sz val="10"/>
            <color rgb="FF000000"/>
            <rFont val="Yu Gothic UI"/>
          </rPr>
          <t>=</t>
        </r>
        <r>
          <rPr>
            <sz val="10"/>
            <color rgb="FF000000"/>
            <rFont val="Yu Gothic UI"/>
          </rPr>
          <t>鉛直揚力、ピッチングモーメント</t>
        </r>
        <r>
          <rPr>
            <sz val="10"/>
            <color rgb="FF000000"/>
            <rFont val="Yu Gothic UI"/>
          </rPr>
          <t xml:space="preserve">=0
</t>
        </r>
      </text>
    </comment>
    <comment ref="AB25"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N26" authorId="2"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G50" authorId="1"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G53" authorId="0" shapeId="0" xr:uid="{7CFE46A6-CE5C-8743-A1B7-9B0F265363AC}">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平均空力翼弦</t>
        </r>
        <r>
          <rPr>
            <sz val="10"/>
            <color rgb="FF000000"/>
            <rFont val="Yu Gothic UI"/>
          </rPr>
          <t>%</t>
        </r>
      </text>
    </comment>
    <comment ref="AC62"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A63"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A64"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A65"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C66"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P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<sst xmlns="http://schemas.openxmlformats.org/spreadsheetml/2006/main" count="3351" uniqueCount="1423">
  <si>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</si>
  <si>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</si>
  <si>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</si>
  <si>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</si>
  <si>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</si>
  <si>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</si>
  <si>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</si>
  <si>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</si>
  <si>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</si>
  <si>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</si>
  <si>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</si>
  <si>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</si>
  <si>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</si>
  <si>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</si>
  <si>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</si>
  <si>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</si>
  <si>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</si>
  <si>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</si>
  <si>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</si>
  <si>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</si>
  <si>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</si>
  <si>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</si>
  <si>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</si>
  <si>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</si>
  <si>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</si>
  <si>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</si>
  <si>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</si>
  <si>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</si>
  <si>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</si>
  <si>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</si>
  <si>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</si>
  <si>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</si>
  <si>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</si>
  <si>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</si>
  <si>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</si>
  <si>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</si>
  <si>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</si>
  <si>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</si>
  <si>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</si>
  <si>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</si>
  <si>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</si>
  <si>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</si>
  <si>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</si>
  <si>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</si>
  <si>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</si>
  <si>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</si>
  <si>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</si>
  <si>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</si>
  <si>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</si>
  <si>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</si>
  <si>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</si>
  <si>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</si>
  <si>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</si>
  <si>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</si>
  <si>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</si>
  <si>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</si>
  <si>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</si>
  <si>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</si>
  <si>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</si>
  <si>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</si>
  <si>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</si>
  <si>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</si>
  <si>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</si>
  <si>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</si>
  <si>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</si>
  <si>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</si>
  <si>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</si>
  <si>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</si>
  <si>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</si>
  <si>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</si>
  <si>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</si>
  <si>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</si>
  <si>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</si>
  <si>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</si>
  <si>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</si>
  <si>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</si>
  <si>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</si>
  <si>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</si>
  <si>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</si>
  <si>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</si>
  <si>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</si>
  <si>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</si>
  <si>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</si>
  <si>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</si>
  <si>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</si>
  <si>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</si>
  <si>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</si>
  <si>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</si>
  <si>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</si>
  <si>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</si>
  <si>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</si>
  <si>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</si>
  <si>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</si>
  <si>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</si>
  <si>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</si>
  <si>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</si>
  <si>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</si>
  <si>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</si>
  <si>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</si>
  <si>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</si>
  <si>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</si>
  <si>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</si>
  <si>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</si>
  <si>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</si>
  <si>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</si>
  <si>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</si>
  <si>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</si>
  <si>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</si>
  <si>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</si>
  <si>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</si>
  <si>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</si>
  <si>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</si>
  <si>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</si>
  <si>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</si>
  <si>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</si>
  <si>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</si>
  <si>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</si>
  <si>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</si>
  <si>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</si>
  <si>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</si>
  <si>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</si>
  <si>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</si>
  <si>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</si>
  <si>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</si>
  <si>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</si>
  <si>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</si>
  <si>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</si>
  <si>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</si>
  <si>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</si>
  <si>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</si>
  <si>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</si>
  <si>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</si>
  <si>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</si>
  <si>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</si>
  <si>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</si>
  <si>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</si>
  <si>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</si>
  <si>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</si>
  <si>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</si>
  <si>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</si>
  <si>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</si>
  <si>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</si>
  <si>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</si>
  <si>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</si>
  <si>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</si>
  <si>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</si>
  <si>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</si>
  <si>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</si>
  <si>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</si>
  <si>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</si>
  <si>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</si>
  <si>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</si>
  <si>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</si>
  <si>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</si>
  <si>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</si>
  <si>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</si>
  <si>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</si>
  <si>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</si>
  <si>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</si>
  <si>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</si>
  <si>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</si>
  <si>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</si>
  <si>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</si>
  <si>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</si>
  <si>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</si>
  <si>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</si>
  <si>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</si>
  <si>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</si>
  <si>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</si>
  <si>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</si>
  <si>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</si>
  <si>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</si>
  <si>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</si>
  <si>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</si>
  <si>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</si>
  <si>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</si>
  <si>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</si>
  <si>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</si>
  <si>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</si>
  <si>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</si>
  <si>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</si>
  <si>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</si>
  <si>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</si>
  <si>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</si>
  <si>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</si>
  <si>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</si>
  <si>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</si>
  <si>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</si>
  <si>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</si>
  <si>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</si>
  <si>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</si>
  <si>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</si>
  <si>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</si>
  <si>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</si>
  <si>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</si>
  <si>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</si>
  <si>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</si>
  <si>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</si>
  <si>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</si>
  <si>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</si>
  <si>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</si>
  <si>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</si>
  <si>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</si>
  <si>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</si>
  <si>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</si>
  <si>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</si>
  <si>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</si>
  <si>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</si>
  <si>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</si>
  <si>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</si>
  <si>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</si>
  <si>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</si>
  <si>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</si>
  <si>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</si>
  <si>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</si>
  <si>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</si>
  <si>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</si>
  <si>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</si>
  <si>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</si>
  <si>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</si>
  <si>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</si>
  <si>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</si>
  <si>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</si>
  <si>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</si>
  <si>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</si>
  <si>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</si>
  <si>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</si>
  <si>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</si>
  <si>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</si>
  <si>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</si>
  <si>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</si>
  <si>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</si>
  <si>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</si>
  <si>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</si>
  <si>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</si>
  <si>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</si>
  <si>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</si>
  <si>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</si>
  <si>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</si>
  <si>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</si>
  <si>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</si>
  <si>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</si>
  <si>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</si>
  <si>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</si>
  <si>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</si>
  <si>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</si>
  <si>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</si>
  <si>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</si>
  <si>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</si>
  <si>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</si>
  <si>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</si>
  <si>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</si>
  <si>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</si>
  <si>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</si>
  <si>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</si>
  <si>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</si>
  <si>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</si>
  <si>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</si>
  <si>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</si>
  <si>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</si>
  <si>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</si>
  <si>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</si>
  <si>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</si>
  <si>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</si>
  <si>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</si>
  <si>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</si>
  <si>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</si>
  <si>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</si>
  <si>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</si>
  <si>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</si>
  <si>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</si>
  <si>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</si>
  <si>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</si>
  <si>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</si>
  <si>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</si>
  <si>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</si>
  <si>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</si>
  <si>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</si>
  <si>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</si>
  <si>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</si>
  <si>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</si>
  <si>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</si>
  <si>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</si>
  <si>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</si>
  <si>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</si>
  <si>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</si>
  <si>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</si>
  <si>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</si>
  <si>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</si>
  <si>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</si>
  <si>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</si>
  <si>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</si>
  <si>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</si>
  <si>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</si>
  <si>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</si>
  <si>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</si>
  <si>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</si>
  <si>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</si>
  <si>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</si>
  <si>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</si>
  <si>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</si>
  <si>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</si>
  <si>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</si>
  <si>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</si>
  <si>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</si>
  <si>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</si>
  <si>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</si>
  <si>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</si>
  <si>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</si>
  <si>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</si>
  <si>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</si>
  <si>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</si>
  <si>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</si>
  <si>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</si>
  <si>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</si>
  <si>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</si>
  <si>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</si>
  <si>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</si>
  <si>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</si>
  <si>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</si>
  <si>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</si>
  <si>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</si>
  <si>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</si>
  <si>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</si>
  <si>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</si>
  <si>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</si>
  <si>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</si>
  <si>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</si>
  <si>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</si>
  <si>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</si>
  <si>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</si>
  <si>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</si>
  <si>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</si>
  <si>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</si>
  <si>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</si>
  <si>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</si>
  <si>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</si>
  <si>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</si>
  <si>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</si>
  <si>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</si>
  <si>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</si>
  <si>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</si>
  <si>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</si>
  <si>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</si>
  <si>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</si>
  <si>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</si>
  <si>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</si>
  <si>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</si>
  <si>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</si>
  <si>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</si>
  <si>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</si>
  <si>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</si>
  <si>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</si>
  <si>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</si>
  <si>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</si>
  <si>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</si>
  <si>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</si>
  <si>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</si>
  <si>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</si>
  <si>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</si>
  <si>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</si>
  <si>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</si>
  <si>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</si>
  <si>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</si>
  <si>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</si>
  <si>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</si>
  <si>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</si>
  <si>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</si>
  <si>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</si>
  <si>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</si>
  <si>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</si>
  <si>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</si>
  <si>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</si>
  <si>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</si>
  <si>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</si>
  <si>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</si>
  <si>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</si>
  <si>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</si>
  <si>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</si>
  <si>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</si>
  <si>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</si>
  <si>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</si>
  <si>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</si>
  <si>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</si>
  <si>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</si>
  <si>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</si>
  <si>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</si>
  <si>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</si>
  <si>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</si>
  <si>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</si>
  <si>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</si>
  <si>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</si>
  <si>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</si>
  <si>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</si>
  <si>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</si>
  <si>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</si>
  <si>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</si>
  <si>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</si>
  <si>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</si>
  <si>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</si>
  <si>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</si>
  <si>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</si>
  <si>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</si>
  <si>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</si>
  <si>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</si>
  <si>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</si>
  <si>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</si>
  <si>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</si>
  <si>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</si>
  <si>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</si>
  <si>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</si>
  <si>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</si>
  <si>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</si>
  <si>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</si>
  <si>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</si>
  <si>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</si>
  <si>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</si>
  <si>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</si>
  <si>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</si>
  <si>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</si>
  <si>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</si>
  <si>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</si>
  <si>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</si>
  <si>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</si>
  <si>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</si>
  <si>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</si>
  <si>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</si>
  <si>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</si>
  <si>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</si>
  <si>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</si>
  <si>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</si>
  <si>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</si>
  <si>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</si>
  <si>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</si>
  <si>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</si>
  <si>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</si>
  <si>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</si>
  <si>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</si>
  <si>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</si>
  <si>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</si>
  <si>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</si>
  <si>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</si>
  <si>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</si>
  <si>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</si>
  <si>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</si>
  <si>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</si>
  <si>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</si>
  <si>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</si>
  <si>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</si>
  <si>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</si>
  <si>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</si>
  <si>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</si>
  <si>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</si>
  <si>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</si>
  <si>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</si>
  <si>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</si>
  <si>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</si>
  <si>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</si>
  <si>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</si>
  <si>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</si>
  <si>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</si>
  <si>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</si>
  <si>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</si>
  <si>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</si>
  <si>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</si>
  <si>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</si>
  <si>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</si>
  <si>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</si>
  <si>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</si>
  <si>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</si>
  <si>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</si>
  <si>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</si>
  <si>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</si>
  <si>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</si>
  <si>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</si>
  <si>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</si>
  <si>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</si>
  <si>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</si>
  <si>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</si>
  <si>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</si>
  <si>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</si>
  <si>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</si>
  <si>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</si>
  <si>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</si>
  <si>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</si>
  <si>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</si>
  <si>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</si>
  <si>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</si>
  <si>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</si>
  <si>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</si>
  <si>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</si>
  <si>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</si>
  <si>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</si>
  <si>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</si>
  <si>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</si>
  <si>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</si>
  <si>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</si>
  <si>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</si>
  <si>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</si>
  <si>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</si>
  <si>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</si>
  <si>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</si>
  <si>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</si>
  <si>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</si>
  <si>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</si>
  <si>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</si>
  <si>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</si>
  <si>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</si>
  <si>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</si>
  <si>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</si>
  <si>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</si>
  <si>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</si>
  <si>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</si>
  <si>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</si>
  <si>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</si>
  <si>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</si>
  <si>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</si>
  <si>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</si>
  <si>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</si>
  <si>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</si>
  <si>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</si>
  <si>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</si>
  <si>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</si>
  <si>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</si>
  <si>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</si>
  <si>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</si>
  <si>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</si>
  <si>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</si>
  <si>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</si>
  <si>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</si>
  <si>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</si>
  <si>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</si>
  <si>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</si>
  <si>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</si>
  <si>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</si>
  <si>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</si>
  <si>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</si>
  <si>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</si>
  <si>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</si>
  <si>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</si>
  <si>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</si>
  <si>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</si>
  <si>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</si>
  <si>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</si>
  <si>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</si>
  <si>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</si>
  <si>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</si>
  <si>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</si>
  <si>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</si>
  <si>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</si>
  <si>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</si>
  <si>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</si>
  <si>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</si>
  <si>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</si>
  <si>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</si>
  <si>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</si>
  <si>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</si>
  <si>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</si>
  <si>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</si>
  <si>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</si>
  <si>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</si>
  <si>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</si>
  <si>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</si>
  <si>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</si>
  <si>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</si>
  <si>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</si>
  <si>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</si>
  <si>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</si>
  <si>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失速角</t>
    <rPh sb="0" eb="2">
      <t>シッソク</t>
    </rPh>
    <rPh sb="2" eb="3">
      <t>カク</t>
    </rPh>
    <phoneticPr fontId="2"/>
  </si>
  <si>
    <t>ゼロ揚力角</t>
    <rPh sb="2" eb="5">
      <t>ヨウリョクカク</t>
    </rPh>
    <phoneticPr fontId="2"/>
  </si>
  <si>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</si>
  <si>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</si>
  <si>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</si>
  <si>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</si>
  <si>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</si>
  <si>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</si>
  <si>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</si>
  <si>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</si>
  <si>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</si>
  <si>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</si>
  <si>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</si>
  <si>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</si>
  <si>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</si>
  <si>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</si>
  <si>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</si>
  <si>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</si>
  <si>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</si>
  <si>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</si>
  <si>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</si>
  <si>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</si>
  <si>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</si>
  <si>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</si>
  <si>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</si>
  <si>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</si>
  <si>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</si>
  <si>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</si>
  <si>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</si>
  <si>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</si>
  <si>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</si>
  <si>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</si>
  <si>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</si>
  <si>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</si>
  <si>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</si>
  <si>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</si>
  <si>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</si>
  <si>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</si>
  <si>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</si>
  <si>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</si>
  <si>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</si>
  <si>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</si>
  <si>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</si>
  <si>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</si>
  <si>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</si>
  <si>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</si>
  <si>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</si>
  <si>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</si>
  <si>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</si>
  <si>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</si>
  <si>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</si>
  <si>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</si>
  <si>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</si>
  <si>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</si>
  <si>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</si>
  <si>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</si>
  <si>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</si>
  <si>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</si>
  <si>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</si>
  <si>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</si>
  <si>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</si>
  <si>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</si>
  <si>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</si>
  <si>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</si>
  <si>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</si>
  <si>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</si>
  <si>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</si>
  <si>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</si>
  <si>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</si>
  <si>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</si>
  <si>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</si>
  <si>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</si>
  <si>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</si>
  <si>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</si>
  <si>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</si>
  <si>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極配置</t>
    <rPh sb="0" eb="3">
      <t>キョクハイチ</t>
    </rPh>
    <phoneticPr fontId="3"/>
  </si>
  <si>
    <t>飛行経路最適化</t>
    <rPh sb="0" eb="4">
      <t>ヒコウケイロ</t>
    </rPh>
    <rPh sb="4" eb="7">
      <t>サイテキカ</t>
    </rPh>
    <phoneticPr fontId="3"/>
  </si>
  <si>
    <t>機速</t>
    <rPh sb="0" eb="1">
      <t>キ</t>
    </rPh>
    <rPh sb="1" eb="2">
      <t>ソク</t>
    </rPh>
    <phoneticPr fontId="3"/>
  </si>
  <si>
    <t>NACA0009</t>
  </si>
  <si>
    <t>安定微係数</t>
    <rPh sb="0" eb="5">
      <t>アンテイビケイスウ</t>
    </rPh>
    <phoneticPr fontId="3"/>
  </si>
  <si>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</si>
  <si>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</si>
  <si>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</si>
  <si>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</si>
  <si>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</si>
  <si>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</si>
  <si>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</si>
  <si>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</si>
  <si>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</si>
  <si>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</si>
  <si>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</si>
  <si>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</si>
  <si>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</si>
  <si>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</si>
  <si>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</si>
  <si>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</si>
  <si>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</si>
  <si>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</si>
  <si>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</si>
  <si>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</si>
  <si>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</si>
  <si>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</si>
  <si>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</si>
  <si>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</si>
  <si>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</si>
  <si>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</si>
  <si>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</si>
  <si>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</si>
  <si>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</si>
  <si>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</si>
  <si>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</si>
  <si>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</si>
  <si>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</si>
  <si>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</si>
  <si>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</si>
  <si>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</si>
  <si>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</si>
  <si>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</si>
  <si>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</si>
  <si>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</si>
  <si>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</si>
  <si>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</si>
  <si>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</si>
  <si>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</si>
  <si>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</si>
  <si>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</si>
  <si>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</si>
  <si>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</si>
  <si>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</si>
  <si>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</si>
  <si>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</si>
  <si>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</si>
  <si>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</si>
  <si>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</si>
  <si>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</si>
  <si>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</si>
  <si>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</si>
  <si>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</si>
  <si>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</si>
  <si>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</si>
  <si>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</si>
  <si>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</si>
  <si>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</si>
  <si>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</si>
  <si>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</si>
  <si>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</si>
  <si>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</si>
  <si>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</si>
  <si>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</si>
  <si>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</si>
  <si>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</si>
  <si>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</si>
  <si>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</si>
  <si>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</si>
  <si>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</si>
  <si>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</si>
  <si>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</si>
  <si>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</si>
  <si>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</si>
  <si>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</si>
  <si>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</si>
  <si>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</si>
  <si>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</si>
  <si>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</si>
  <si>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</si>
  <si>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</si>
  <si>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</si>
  <si>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</si>
  <si>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</si>
  <si>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</si>
  <si>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</si>
  <si>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</si>
  <si>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</si>
  <si>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</si>
  <si>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</si>
  <si>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</si>
  <si>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</si>
  <si>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</si>
  <si>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</si>
  <si>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</si>
  <si>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</si>
  <si>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</si>
  <si>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</si>
  <si>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</si>
  <si>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</si>
  <si>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</si>
  <si>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</si>
  <si>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</si>
  <si>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</si>
  <si>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</si>
  <si>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</si>
  <si>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</si>
  <si>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</si>
  <si>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</si>
  <si>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</si>
  <si>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</si>
  <si>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</si>
  <si>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</si>
  <si>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</si>
  <si>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</si>
  <si>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</si>
  <si>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</si>
  <si>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</si>
  <si>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</si>
  <si>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</si>
  <si>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</si>
  <si>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</si>
  <si>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</si>
  <si>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</si>
  <si>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</si>
  <si>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</si>
  <si>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</si>
  <si>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</si>
  <si>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</si>
  <si>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</si>
  <si>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</si>
  <si>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</si>
  <si>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</si>
  <si>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</si>
  <si>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</si>
  <si>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</si>
  <si>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</si>
  <si>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</si>
  <si>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</si>
  <si>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</si>
  <si>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</si>
  <si>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</si>
  <si>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</si>
  <si>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</si>
  <si>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</si>
  <si>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</si>
  <si>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</si>
  <si>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</si>
  <si>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</si>
  <si>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</si>
  <si>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</si>
  <si>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</si>
  <si>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</si>
  <si>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</si>
  <si>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</si>
  <si>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</si>
  <si>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</si>
  <si>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</si>
  <si>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</si>
  <si>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</si>
  <si>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</si>
  <si>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</si>
  <si>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</si>
  <si>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</si>
  <si>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</si>
  <si>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</si>
  <si>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</si>
  <si>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</si>
  <si>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</si>
  <si>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</si>
  <si>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</si>
  <si>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</si>
  <si>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</si>
  <si>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</si>
  <si>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</si>
  <si>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</si>
  <si>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</si>
  <si>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</si>
  <si>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</si>
  <si>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</si>
  <si>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</si>
  <si>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</si>
  <si>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</si>
  <si>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</si>
  <si>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</si>
  <si>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</si>
  <si>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</si>
  <si>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</si>
  <si>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</si>
  <si>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</si>
  <si>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</si>
  <si>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</si>
  <si>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</si>
  <si>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</si>
  <si>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</si>
  <si>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</si>
  <si>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</si>
  <si>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</si>
  <si>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</si>
  <si>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</si>
  <si>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</si>
  <si>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</si>
  <si>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</si>
  <si>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</si>
  <si>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</si>
  <si>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</si>
  <si>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</si>
  <si>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</si>
  <si>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</si>
  <si>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</si>
  <si>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</si>
  <si>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</si>
  <si>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</si>
  <si>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</si>
  <si>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</si>
  <si>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</si>
  <si>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</si>
  <si>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</si>
  <si>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</si>
  <si>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</si>
  <si>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</si>
  <si>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</si>
  <si>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</si>
  <si>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</si>
  <si>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</si>
  <si>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</si>
  <si>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</si>
  <si>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</si>
  <si>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</si>
  <si>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</si>
  <si>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</si>
  <si>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</si>
  <si>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</si>
  <si>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</si>
  <si>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</si>
  <si>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</si>
  <si>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</si>
  <si>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</si>
  <si>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</si>
  <si>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</si>
  <si>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</si>
  <si>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</si>
  <si>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</si>
  <si>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</si>
  <si>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</si>
  <si>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</si>
  <si>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</si>
  <si>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</si>
  <si>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</si>
  <si>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</si>
  <si>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</si>
  <si>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</si>
  <si>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</si>
  <si>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</si>
  <si>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</si>
  <si>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</si>
  <si>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</si>
  <si>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</si>
  <si>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</si>
  <si>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</si>
  <si>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</si>
  <si>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</si>
  <si>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</si>
  <si>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</si>
  <si>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</si>
  <si>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</si>
  <si>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</si>
  <si>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</si>
  <si>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</si>
  <si>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</si>
  <si>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</si>
  <si>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</si>
  <si>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</si>
  <si>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</si>
  <si>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</si>
  <si>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</si>
  <si>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</si>
  <si>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</si>
  <si>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</si>
  <si>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</si>
  <si>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</si>
  <si>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</si>
  <si>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</si>
  <si>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</si>
  <si>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</si>
  <si>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</si>
  <si>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</si>
  <si>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</si>
  <si>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</si>
  <si>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</si>
  <si>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</si>
  <si>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</si>
  <si>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</si>
  <si>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</si>
  <si>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</si>
  <si>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</si>
  <si>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</si>
  <si>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</si>
  <si>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</si>
  <si>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</si>
  <si>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</si>
  <si>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</si>
  <si>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</si>
  <si>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</si>
  <si>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</si>
  <si>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</si>
  <si>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</si>
  <si>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</si>
  <si>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</si>
  <si>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</si>
  <si>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</si>
  <si>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</si>
  <si>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</si>
  <si>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</si>
  <si>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</si>
  <si>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</si>
  <si>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</si>
  <si>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</si>
  <si>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</si>
  <si>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</si>
  <si>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</si>
  <si>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</si>
  <si>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</si>
  <si>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</si>
  <si>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</si>
  <si>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</si>
  <si>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</si>
  <si>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</si>
  <si>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</si>
  <si>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</si>
  <si>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</si>
  <si>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</si>
  <si>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</si>
  <si>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</si>
  <si>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</si>
  <si>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</si>
  <si>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</si>
  <si>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</si>
  <si>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</si>
  <si>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</si>
  <si>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</si>
  <si>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</si>
  <si>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</si>
  <si>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</si>
  <si>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</si>
  <si>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</si>
  <si>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</si>
  <si>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</si>
  <si>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</si>
  <si>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</si>
  <si>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</si>
  <si>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</si>
  <si>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</si>
  <si>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</si>
  <si>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</si>
  <si>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</si>
  <si>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</si>
  <si>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</si>
  <si>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</si>
  <si>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</si>
  <si>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</si>
  <si>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</si>
  <si>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</si>
  <si>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</si>
  <si>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</si>
  <si>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</si>
  <si>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</si>
  <si>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</si>
  <si>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</si>
  <si>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</si>
  <si>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</si>
  <si>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</si>
  <si>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</si>
  <si>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</si>
  <si>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</si>
  <si>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</si>
  <si>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</si>
  <si>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</si>
  <si>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</si>
  <si>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</si>
  <si>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</si>
  <si>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</si>
  <si>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</si>
  <si>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</si>
  <si>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</si>
  <si>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</si>
  <si>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</si>
  <si>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</si>
  <si>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</si>
  <si>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</si>
  <si>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</si>
  <si>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</si>
  <si>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</si>
  <si>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</si>
  <si>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</si>
  <si>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</si>
  <si>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</si>
  <si>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</si>
  <si>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</si>
  <si>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</si>
  <si>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</si>
  <si>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</si>
  <si>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</si>
  <si>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</si>
  <si>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</si>
  <si>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</si>
  <si>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</si>
  <si>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</si>
  <si>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</si>
  <si>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</si>
  <si>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</si>
  <si>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</si>
  <si>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</si>
  <si>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</si>
  <si>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</si>
  <si>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</si>
  <si>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</si>
  <si>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</si>
  <si>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</si>
  <si>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</si>
  <si>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</si>
  <si>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</si>
  <si>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</si>
  <si>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</si>
  <si>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</si>
  <si>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</si>
  <si>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</si>
  <si>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</si>
  <si>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</si>
  <si>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</si>
  <si>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</si>
  <si>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</si>
  <si>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</si>
  <si>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</si>
  <si>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</si>
  <si>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</si>
  <si>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</si>
  <si>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</si>
  <si>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</si>
  <si>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</si>
  <si>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</si>
  <si>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</si>
  <si>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</si>
  <si>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</si>
  <si>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</si>
  <si>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</si>
  <si>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</si>
  <si>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</si>
  <si>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</si>
  <si>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</si>
  <si>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</si>
  <si>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</si>
  <si>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</si>
  <si>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</si>
  <si>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</si>
  <si>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</si>
  <si>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</si>
  <si>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</si>
  <si>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</si>
  <si>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</si>
  <si>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</si>
  <si>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</si>
  <si>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</si>
  <si>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</si>
  <si>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</si>
  <si>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</si>
  <si>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</si>
  <si>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</si>
  <si>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</si>
  <si>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</si>
  <si>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</si>
  <si>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</si>
  <si>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</si>
  <si>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</si>
  <si>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</si>
  <si>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</si>
  <si>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</si>
  <si>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</si>
  <si>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</si>
  <si>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</si>
  <si>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</si>
  <si>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</si>
  <si>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</si>
  <si>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</si>
  <si>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</si>
  <si>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</si>
  <si>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</si>
  <si>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</si>
  <si>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</si>
  <si>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</si>
  <si>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</si>
  <si>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</si>
  <si>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</si>
  <si>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</si>
  <si>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</si>
  <si>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</si>
  <si>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</si>
  <si>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</si>
  <si>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簡易計算ツール</t>
    <rPh sb="0" eb="2">
      <t>カンイ</t>
    </rPh>
    <rPh sb="2" eb="4">
      <t>ケイサn</t>
    </rPh>
    <phoneticPr fontId="3"/>
  </si>
  <si>
    <t>二次構造</t>
    <rPh sb="0" eb="2">
      <t>ニジ</t>
    </rPh>
    <rPh sb="2" eb="4">
      <t>コウゾウ</t>
    </rPh>
    <phoneticPr fontId="2"/>
  </si>
  <si>
    <t>優先事項</t>
    <rPh sb="0" eb="4">
      <t>ユウセn</t>
    </rPh>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</si>
  <si>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</si>
  <si>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</si>
  <si>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</si>
  <si>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</si>
  <si>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</si>
  <si>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</si>
  <si>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</si>
  <si>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</si>
  <si>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</si>
  <si>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</si>
  <si>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</si>
  <si>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</si>
  <si>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</si>
  <si>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</si>
  <si>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</si>
  <si>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</si>
  <si>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</si>
  <si>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</si>
  <si>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</si>
  <si>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</si>
  <si>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</si>
  <si>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</si>
  <si>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</si>
  <si>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</si>
  <si>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</si>
  <si>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</si>
  <si>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</si>
  <si>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</si>
  <si>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</si>
  <si>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</si>
  <si>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</si>
  <si>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</si>
  <si>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</si>
  <si>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</si>
  <si>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</si>
  <si>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</si>
  <si>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</si>
  <si>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</si>
  <si>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安定板終了</t>
    <rPh sb="0" eb="3">
      <t>アンテイバン</t>
    </rPh>
    <rPh sb="3" eb="5">
      <t>シュウリョウ</t>
    </rPh>
    <phoneticPr fontId="3"/>
  </si>
  <si>
    <t>安定板開始</t>
    <rPh sb="0" eb="3">
      <t>アンテイ</t>
    </rPh>
    <rPh sb="3" eb="5">
      <t xml:space="preserve">カイシ </t>
    </rPh>
    <phoneticPr fontId="3"/>
  </si>
  <si>
    <t>胴体終了</t>
    <rPh sb="0" eb="2">
      <t>ドウタイ</t>
    </rPh>
    <rPh sb="2" eb="4">
      <t>シュウリョウ</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</si>
  <si>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</si>
  <si>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</si>
  <si>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</si>
  <si>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</si>
  <si>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水平取り付け角</t>
    <rPh sb="0" eb="2">
      <t>スイ</t>
    </rPh>
    <rPh sb="2" eb="3">
      <t>トリツケカ</t>
    </rPh>
    <phoneticPr fontId="3"/>
  </si>
  <si>
    <t>L/D翼</t>
    <rPh sb="3" eb="4">
      <t xml:space="preserve">ヨク </t>
    </rPh>
    <phoneticPr fontId="3"/>
  </si>
  <si>
    <t>L/D全機</t>
    <rPh sb="3" eb="5">
      <t>ゼンキ</t>
    </rPh>
    <phoneticPr fontId="3"/>
  </si>
  <si>
    <t>沈下率</t>
    <rPh sb="0" eb="2">
      <t>チンカ</t>
    </rPh>
    <rPh sb="2" eb="3">
      <t>リテゥ</t>
    </rPh>
    <phoneticPr fontId="3"/>
  </si>
  <si>
    <t>全機迎角</t>
    <rPh sb="0" eb="4">
      <t>ゼンキ</t>
    </rPh>
    <phoneticPr fontId="3"/>
  </si>
  <si>
    <t>L/D翼max</t>
    <rPh sb="3" eb="4">
      <t xml:space="preserve">ヨク </t>
    </rPh>
    <phoneticPr fontId="3"/>
  </si>
  <si>
    <t>L/D全機max</t>
    <rPh sb="3" eb="5">
      <t>ゼンキ</t>
    </rPh>
    <phoneticPr fontId="3"/>
  </si>
  <si>
    <t>沈下率min</t>
    <rPh sb="0" eb="3">
      <t>チンカ</t>
    </rPh>
    <phoneticPr fontId="3"/>
  </si>
  <si>
    <t>mode1</t>
    <phoneticPr fontId="3"/>
  </si>
  <si>
    <t>mode2</t>
    <phoneticPr fontId="3"/>
  </si>
  <si>
    <t>Wplane</t>
    <phoneticPr fontId="3"/>
  </si>
  <si>
    <t>Wpilot</t>
    <phoneticPr fontId="3"/>
  </si>
  <si>
    <t>Lw</t>
    <phoneticPr fontId="3"/>
  </si>
  <si>
    <t>翼揚抗比</t>
    <rPh sb="0" eb="1">
      <t>ヨク</t>
    </rPh>
    <rPh sb="1" eb="4">
      <t>ヨウコウヒ</t>
    </rPh>
    <phoneticPr fontId="2"/>
  </si>
  <si>
    <t>Lt</t>
    <phoneticPr fontId="3"/>
  </si>
  <si>
    <t>Lf</t>
    <phoneticPr fontId="3"/>
  </si>
  <si>
    <t>Di_wing</t>
    <phoneticPr fontId="3"/>
  </si>
  <si>
    <t>Dp_wing</t>
    <phoneticPr fontId="3"/>
  </si>
  <si>
    <t>静安定</t>
    <rPh sb="0" eb="1">
      <t>セイ</t>
    </rPh>
    <rPh sb="1" eb="3">
      <t>アンテイ</t>
    </rPh>
    <phoneticPr fontId="1"/>
  </si>
  <si>
    <t>名</t>
    <rPh sb="0" eb="1">
      <t>メイ</t>
    </rPh>
    <phoneticPr fontId="1"/>
  </si>
  <si>
    <t>記号</t>
    <rPh sb="0" eb="2">
      <t>キゴウ</t>
    </rPh>
    <phoneticPr fontId="1"/>
  </si>
  <si>
    <t>値</t>
    <rPh sb="0" eb="1">
      <t>アタイ</t>
    </rPh>
    <phoneticPr fontId="1"/>
  </si>
  <si>
    <t>単位</t>
    <rPh sb="0" eb="2">
      <t>タンイ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</si>
  <si>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</si>
  <si>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</si>
  <si>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</si>
  <si>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</si>
  <si>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</si>
  <si>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</si>
  <si>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</si>
  <si>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</si>
  <si>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</si>
  <si>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</si>
  <si>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</si>
  <si>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</si>
  <si>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</si>
  <si>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</si>
  <si>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</si>
  <si>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</si>
  <si>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</si>
  <si>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</si>
  <si>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</si>
  <si>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2Dor3D</t>
    <phoneticPr fontId="3"/>
  </si>
  <si>
    <t>1. Clmax　　　：フレアの伸びやダイブの難易度を改善。去年の反省を生かして。
2. 設計ClでのL/D：性能は譲れない
3. 失速特性　　：急な失速がないようにしたい。
3. L/Dmax　　 ：L/Dは大きいほうがいい
3. 製作性　　　：「後縁がとがりすぎていない」「キャンバーはほどほど」を意識
4. 翼厚　　　　：無いと作れないが、そんなに余裕は残していない
5. Cmが小さい ：真円桁でねじりに強くなったので、Cmはある程度大きくても許容</t>
    <rPh sb="23" eb="26">
      <t>ナンイ</t>
    </rPh>
    <rPh sb="27" eb="29">
      <t>カイゼン</t>
    </rPh>
    <rPh sb="30" eb="32">
      <t>キョネn</t>
    </rPh>
    <rPh sb="33" eb="35">
      <t>ハンセイ</t>
    </rPh>
    <rPh sb="36" eb="37">
      <t>イカシテ</t>
    </rPh>
    <rPh sb="45" eb="47">
      <t>セッケイ</t>
    </rPh>
    <rPh sb="55" eb="57">
      <t>セイノウ</t>
    </rPh>
    <rPh sb="58" eb="59">
      <t>ユズレ</t>
    </rPh>
    <rPh sb="66" eb="70">
      <t>シッソク</t>
    </rPh>
    <rPh sb="73" eb="74">
      <t>キュウ</t>
    </rPh>
    <rPh sb="104" eb="105">
      <t>オオキ</t>
    </rPh>
    <rPh sb="113" eb="116">
      <t>セイサク</t>
    </rPh>
    <rPh sb="117" eb="119">
      <t>ヨクガタ</t>
    </rPh>
    <rPh sb="153" eb="155">
      <t>ヨクアテゥ</t>
    </rPh>
    <rPh sb="163" eb="164">
      <t xml:space="preserve">ナイト </t>
    </rPh>
    <rPh sb="166" eb="167">
      <t>ツクレ</t>
    </rPh>
    <rPh sb="176" eb="178">
      <t>ヨユウ</t>
    </rPh>
    <rPh sb="179" eb="180">
      <t>ノコセィ</t>
    </rPh>
    <rPh sb="189" eb="190">
      <t>チイサイ</t>
    </rPh>
    <rPh sb="197" eb="200">
      <t>シンエn</t>
    </rPh>
    <rPh sb="205" eb="206">
      <t>ツヨク</t>
    </rPh>
    <rPh sb="220" eb="221">
      <t>オオキ</t>
    </rPh>
    <rPh sb="225" eb="227">
      <t>キョヨウ</t>
    </rPh>
    <phoneticPr fontId="3"/>
  </si>
  <si>
    <t>テーパー率</t>
    <rPh sb="4" eb="5">
      <t>リツ</t>
    </rPh>
    <phoneticPr fontId="3"/>
  </si>
  <si>
    <r>
      <t xml:space="preserve">高度3mで循環分布を最適化
</t>
    </r>
    <r>
      <rPr>
        <sz val="12"/>
        <color theme="1"/>
        <rFont val="游ゴシック"/>
        <family val="3"/>
        <charset val="128"/>
      </rPr>
      <t>・カーボンリブ</t>
    </r>
    <r>
      <rPr>
        <sz val="12"/>
        <color theme="1"/>
        <rFont val="游ゴシック"/>
        <family val="3"/>
        <charset val="128"/>
        <scheme val="minor"/>
      </rPr>
      <t xml:space="preserve">
・スタイロリブ</t>
    </r>
    <r>
      <rPr>
        <b/>
        <u/>
        <sz val="12"/>
        <color theme="1"/>
        <rFont val="游ゴシック"/>
        <family val="3"/>
        <charset val="128"/>
        <scheme val="minor"/>
      </rPr>
      <t xml:space="preserve">
</t>
    </r>
    <r>
      <rPr>
        <sz val="12"/>
        <color theme="1"/>
        <rFont val="游ゴシック"/>
        <family val="3"/>
        <charset val="128"/>
        <scheme val="minor"/>
      </rPr>
      <t>・ストリンガー配置
・</t>
    </r>
    <rPh sb="0" eb="2">
      <t>コウド</t>
    </rPh>
    <rPh sb="5" eb="9">
      <t>ジュンカンブンプ</t>
    </rPh>
    <rPh sb="10" eb="13">
      <t>サイテキカ</t>
    </rPh>
    <rPh sb="37" eb="39">
      <t>ハイチ</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</si>
  <si>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</si>
  <si>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</si>
  <si>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</si>
  <si>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</si>
  <si>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</si>
  <si>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</si>
  <si>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</si>
  <si>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</si>
  <si>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</si>
  <si>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</si>
  <si>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</si>
  <si>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</si>
  <si>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</si>
  <si>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</si>
  <si>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</si>
  <si>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</si>
  <si>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</si>
  <si>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</si>
  <si>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</si>
  <si>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</si>
  <si>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</si>
  <si>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↓上面が負、下面が正</t>
    <rPh sb="1" eb="3">
      <t>ジョウメン</t>
    </rPh>
    <rPh sb="4" eb="5">
      <t>フ</t>
    </rPh>
    <rPh sb="6" eb="8">
      <t>カメン</t>
    </rPh>
    <rPh sb="9" eb="10">
      <t>セイ</t>
    </rPh>
    <phoneticPr fontId="3"/>
  </si>
  <si>
    <t>svg</t>
  </si>
  <si>
    <t>開始位置</t>
    <rPh sb="0" eb="2">
      <t>カイセィ</t>
    </rPh>
    <rPh sb="2" eb="4">
      <t>イティ</t>
    </rPh>
    <phoneticPr fontId="3"/>
  </si>
  <si>
    <t>0番中心</t>
    <rPh sb="2" eb="4">
      <t>チュウシン</t>
    </rPh>
    <phoneticPr fontId="3"/>
  </si>
  <si>
    <t>厚さマージン（直径）</t>
    <rPh sb="7" eb="9">
      <t>チョッケイ</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</si>
  <si>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</si>
  <si>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</si>
  <si>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</si>
  <si>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</si>
  <si>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</si>
  <si>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</si>
  <si>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</si>
  <si>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</si>
  <si>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</si>
  <si>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</si>
  <si>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</si>
  <si>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</si>
  <si>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</si>
  <si>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</si>
  <si>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</si>
  <si>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</si>
  <si>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</si>
  <si>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</si>
  <si>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</si>
  <si>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</si>
  <si>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</si>
  <si>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</si>
  <si>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</si>
  <si>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</si>
  <si>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</si>
  <si>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</si>
  <si>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</si>
  <si>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</si>
  <si>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</si>
  <si>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</si>
  <si>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最大たわみ</t>
    <rPh sb="0" eb="2">
      <t>サイダイ</t>
    </rPh>
    <phoneticPr fontId="3"/>
  </si>
  <si>
    <t>最大ねじれ</t>
    <rPh sb="0" eb="2">
      <t>サイダイ</t>
    </rPh>
    <phoneticPr fontId="3"/>
  </si>
  <si>
    <t>各種出力</t>
    <rPh sb="0" eb="2">
      <t>カクシュ</t>
    </rPh>
    <rPh sb="2" eb="4">
      <t>シュツリョク</t>
    </rPh>
    <phoneticPr fontId="3"/>
  </si>
  <si>
    <t>最大揚抗比CL</t>
    <rPh sb="0" eb="5">
      <t>サイダイヨウコウヒ</t>
    </rPh>
    <phoneticPr fontId="3"/>
  </si>
  <si>
    <t>沈下率最小速度</t>
    <rPh sb="0" eb="3">
      <t>チンカリツ</t>
    </rPh>
    <rPh sb="3" eb="5">
      <t>サイショウ</t>
    </rPh>
    <rPh sb="5" eb="7">
      <t>ソクド</t>
    </rPh>
    <phoneticPr fontId="3"/>
  </si>
  <si>
    <t>Vc_min</t>
    <phoneticPr fontId="3"/>
  </si>
  <si>
    <t>Vc</t>
    <phoneticPr fontId="3"/>
  </si>
  <si>
    <t>最大巡航速度</t>
    <rPh sb="0" eb="2">
      <t>サイダイ</t>
    </rPh>
    <rPh sb="2" eb="4">
      <t>ジュンコウ</t>
    </rPh>
    <rPh sb="4" eb="6">
      <t>ソクド</t>
    </rPh>
    <phoneticPr fontId="3"/>
  </si>
  <si>
    <t>最小巡航速度</t>
    <rPh sb="0" eb="2">
      <t>サイショウ</t>
    </rPh>
    <rPh sb="2" eb="4">
      <t>ジュンコウ</t>
    </rPh>
    <rPh sb="4" eb="6">
      <t>ソクド</t>
    </rPh>
    <phoneticPr fontId="3"/>
  </si>
  <si>
    <t>Vc_max</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</si>
  <si>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</si>
  <si>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</si>
  <si>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</si>
  <si>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</si>
  <si>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</si>
  <si>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</si>
  <si>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</si>
  <si>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胴体抗力</t>
    <rPh sb="0" eb="2">
      <t>ドウタイ</t>
    </rPh>
    <rPh sb="2" eb="4">
      <t>コウリョク</t>
    </rPh>
    <phoneticPr fontId="2"/>
  </si>
  <si>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</si>
  <si>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</si>
  <si>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</si>
  <si>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</si>
  <si>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</si>
  <si>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垂直尾翼横力</t>
    <rPh sb="0" eb="2">
      <t>スイチョク</t>
    </rPh>
    <rPh sb="2" eb="4">
      <t>ビヨク</t>
    </rPh>
    <rPh sb="4" eb="5">
      <t>ヨコ</t>
    </rPh>
    <rPh sb="5" eb="6">
      <t>リョク</t>
    </rPh>
    <phoneticPr fontId="3"/>
  </si>
  <si>
    <t>Vlof</t>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</si>
  <si>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</si>
  <si>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</si>
  <si>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基本設計</t>
    <rPh sb="0" eb="2">
      <t>キホn</t>
    </rPh>
    <rPh sb="2" eb="4">
      <t>ガイネn</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</si>
  <si>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</si>
  <si>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</si>
  <si>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</si>
  <si>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</si>
  <si>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r>
      <t xml:space="preserve">九大らしい美しい機体で優勝
</t>
    </r>
    <r>
      <rPr>
        <sz val="12"/>
        <color theme="1"/>
        <rFont val="游ゴシック"/>
        <family val="3"/>
        <charset val="128"/>
      </rPr>
      <t>・低翼高胴</t>
    </r>
    <r>
      <rPr>
        <sz val="12"/>
        <color theme="1"/>
        <rFont val="游ゴシック"/>
        <family val="2"/>
        <charset val="128"/>
      </rPr>
      <t>T</t>
    </r>
    <r>
      <rPr>
        <sz val="12"/>
        <color theme="1"/>
        <rFont val="游ゴシック"/>
        <family val="3"/>
        <charset val="128"/>
      </rPr>
      <t>字尾翼で</t>
    </r>
    <r>
      <rPr>
        <sz val="12"/>
        <color theme="1"/>
        <rFont val="游ゴシック"/>
        <family val="2"/>
        <charset val="128"/>
      </rPr>
      <t>400m</t>
    </r>
    <r>
      <rPr>
        <sz val="12"/>
        <color theme="1"/>
        <rFont val="游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・短いテールで操作性up&amp;テールヘビー解消
・外注桁と自作桁によるハイブリッド構造
・高揚力翼型による安心フライト
・ハングに加え、シミュレーターを練習に導入
・重心操作性向上のため足おきを採用</t>
    </r>
    <rPh sb="0" eb="2">
      <t>キュウダイ</t>
    </rPh>
    <rPh sb="5" eb="6">
      <t>ウツクセィ</t>
    </rPh>
    <rPh sb="8" eb="10">
      <t>キタイデ</t>
    </rPh>
    <rPh sb="11" eb="13">
      <t>ユウショウ</t>
    </rPh>
    <rPh sb="17" eb="19">
      <t>コウドウ</t>
    </rPh>
    <rPh sb="52" eb="53">
      <t>ミジカイ</t>
    </rPh>
    <rPh sb="58" eb="61">
      <t>ソウサ</t>
    </rPh>
    <rPh sb="70" eb="72">
      <t>カイショウ</t>
    </rPh>
    <rPh sb="101" eb="103">
      <t>アンシn</t>
    </rPh>
    <rPh sb="125" eb="127">
      <t>レンシュウ</t>
    </rPh>
    <rPh sb="128" eb="130">
      <t>ドウニュウ</t>
    </rPh>
    <rPh sb="131" eb="132">
      <t>アシオキ</t>
    </rPh>
    <rPh sb="132" eb="137">
      <t>ジュウシn</t>
    </rPh>
    <rPh sb="137" eb="139">
      <t>コウジョウ</t>
    </rPh>
    <phoneticPr fontId="3"/>
  </si>
  <si>
    <t>離陸速度</t>
    <rPh sb="0" eb="2">
      <t>リリク</t>
    </rPh>
    <rPh sb="2" eb="4">
      <t>ソクド</t>
    </rPh>
    <phoneticPr fontId="3"/>
  </si>
  <si>
    <t>離陸迎角</t>
    <rPh sb="0" eb="2">
      <t>リリク</t>
    </rPh>
    <rPh sb="2" eb="4">
      <t>ゲイカク</t>
    </rPh>
    <phoneticPr fontId="2"/>
  </si>
  <si>
    <t>αlof</t>
    <phoneticPr fontId="3"/>
  </si>
  <si>
    <t>α0</t>
    <phoneticPr fontId="3"/>
  </si>
  <si>
    <t>着水迎角</t>
    <rPh sb="0" eb="2">
      <t>チャクスイ</t>
    </rPh>
    <rPh sb="2" eb="4">
      <t>ゲイカク</t>
    </rPh>
    <phoneticPr fontId="2"/>
  </si>
  <si>
    <t>αtd</t>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</si>
  <si>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</si>
  <si>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</si>
  <si>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</si>
  <si>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エネルギー</t>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</si>
  <si>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</si>
  <si>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</si>
  <si>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</si>
  <si>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</si>
  <si>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</si>
  <si>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設計出力</t>
    <rPh sb="0" eb="2">
      <t>セッケイ</t>
    </rPh>
    <rPh sb="2" eb="4">
      <t>シュツリョク</t>
    </rPh>
    <phoneticPr fontId="3"/>
  </si>
  <si>
    <t>単純飛行距離</t>
    <rPh sb="0" eb="2">
      <t>タンジュn</t>
    </rPh>
    <rPh sb="2" eb="6">
      <t>ヒコウ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</si>
  <si>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</si>
  <si>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</si>
  <si>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</si>
  <si>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</si>
  <si>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</si>
  <si>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巡航迎角</t>
    <rPh sb="0" eb="2">
      <t>ジュn</t>
    </rPh>
    <rPh sb="2" eb="4">
      <t>ゼンキゲイカク</t>
    </rPh>
    <phoneticPr fontId="2"/>
  </si>
  <si>
    <t>Vvsパワーグラフ(h→∞)</t>
    <phoneticPr fontId="3"/>
  </si>
  <si>
    <t>テイクオフ</t>
    <phoneticPr fontId="3"/>
  </si>
  <si>
    <t>プラホからの角度</t>
    <rPh sb="6" eb="8">
      <t>カクド</t>
    </rPh>
    <phoneticPr fontId="3"/>
  </si>
  <si>
    <t>空気力・係数</t>
    <rPh sb="0" eb="3">
      <t>クウキリョク</t>
    </rPh>
    <rPh sb="4" eb="6">
      <t>ケイスウ</t>
    </rPh>
    <phoneticPr fontId="3"/>
  </si>
  <si>
    <t>全機揚力係数</t>
    <rPh sb="0" eb="2">
      <t>ゼンキ</t>
    </rPh>
    <rPh sb="2" eb="4">
      <t>ヨウリョク</t>
    </rPh>
    <rPh sb="4" eb="6">
      <t>ケイスウ</t>
    </rPh>
    <phoneticPr fontId="2"/>
  </si>
  <si>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</si>
  <si>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</si>
  <si>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</si>
  <si>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余剰揚力</t>
    <rPh sb="0" eb="4">
      <t>ヨジョウヨウ</t>
    </rPh>
    <phoneticPr fontId="3"/>
  </si>
  <si>
    <t>全機揚力係数</t>
    <rPh sb="0" eb="1">
      <t>ゼンキ</t>
    </rPh>
    <rPh sb="2" eb="4">
      <t>ヨウリョク</t>
    </rPh>
    <rPh sb="4" eb="6">
      <t>ケイ</t>
    </rPh>
    <phoneticPr fontId="3"/>
  </si>
  <si>
    <t>総パイロット重量（服、靴、ヘルメットを含む）</t>
    <rPh sb="0" eb="1">
      <t xml:space="preserve">ソウ </t>
    </rPh>
    <rPh sb="6" eb="8">
      <t>ジュウリョウ</t>
    </rPh>
    <rPh sb="9" eb="10">
      <t>フク</t>
    </rPh>
    <rPh sb="11" eb="12">
      <t>クツ</t>
    </rPh>
    <rPh sb="19" eb="20">
      <t>フク</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</si>
  <si>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</si>
  <si>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</si>
  <si>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</si>
  <si>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</si>
  <si>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</si>
  <si>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</si>
  <si>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</si>
  <si>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性能早見</t>
    <rPh sb="0" eb="2">
      <t>セイノウ</t>
    </rPh>
    <rPh sb="2" eb="4">
      <t xml:space="preserve">ハヤミ </t>
    </rPh>
    <phoneticPr fontId="3"/>
  </si>
  <si>
    <t>全機迎角</t>
    <phoneticPr fontId="3"/>
  </si>
  <si>
    <t>抗力</t>
    <rPh sb="0" eb="2">
      <t>コウリョ</t>
    </rPh>
    <phoneticPr fontId="3"/>
  </si>
  <si>
    <t>沈下率</t>
    <rPh sb="0" eb="3">
      <t>チンカ</t>
    </rPh>
    <phoneticPr fontId="3"/>
  </si>
  <si>
    <t>翼端たわみ</t>
    <rPh sb="0" eb="1">
      <t>ヨクタn</t>
    </rPh>
    <phoneticPr fontId="3"/>
  </si>
  <si>
    <t>翼端ねじれ</t>
    <rPh sb="0" eb="1">
      <t>ヨクタn</t>
    </rPh>
    <phoneticPr fontId="3"/>
  </si>
  <si>
    <t>翼端有効迎角</t>
    <rPh sb="0" eb="2">
      <t>ヨクタn</t>
    </rPh>
    <rPh sb="2" eb="4">
      <t>ユウコウ</t>
    </rPh>
    <rPh sb="4" eb="6">
      <t>ゲイカク</t>
    </rPh>
    <phoneticPr fontId="3"/>
  </si>
  <si>
    <t>上昇半径</t>
    <rPh sb="0" eb="2">
      <t>ジョウショウ</t>
    </rPh>
    <rPh sb="2" eb="4">
      <t>ハンケイ</t>
    </rPh>
    <phoneticPr fontId="3"/>
  </si>
  <si>
    <t>旋回半径</t>
    <rPh sb="0" eb="2">
      <t>センカイ</t>
    </rPh>
    <rPh sb="2" eb="4">
      <t>ハンケイ</t>
    </rPh>
    <phoneticPr fontId="3"/>
  </si>
  <si>
    <t>速度安定(Zu)</t>
    <rPh sb="0" eb="2">
      <t>ソクド</t>
    </rPh>
    <rPh sb="2" eb="4">
      <t>アンテイ</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</si>
  <si>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</si>
  <si>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</si>
  <si>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</si>
  <si>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</si>
  <si>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</si>
  <si>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</si>
  <si>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</si>
  <si>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安定微係数</t>
    <rPh sb="0" eb="2">
      <t>アンテイ</t>
    </rPh>
    <rPh sb="2" eb="3">
      <t xml:space="preserve">ビ </t>
    </rPh>
    <rPh sb="3" eb="5">
      <t>ビケイ</t>
    </rPh>
    <phoneticPr fontId="3"/>
  </si>
  <si>
    <t>保存リスト</t>
    <rPh sb="0" eb="2">
      <t>ホゾn</t>
    </rPh>
    <phoneticPr fontId="3"/>
  </si>
  <si>
    <t>全高</t>
    <rPh sb="0" eb="2">
      <t>ゼンコウ</t>
    </rPh>
    <phoneticPr fontId="3"/>
  </si>
  <si>
    <t>全幅</t>
    <rPh sb="0" eb="2">
      <t>ゼンプク</t>
    </rPh>
    <phoneticPr fontId="3"/>
  </si>
  <si>
    <t>三面図</t>
    <rPh sb="0" eb="3">
      <t>サンメn</t>
    </rPh>
    <phoneticPr fontId="3"/>
  </si>
  <si>
    <t>各部割合</t>
    <rPh sb="0" eb="2">
      <t>カクブ</t>
    </rPh>
    <rPh sb="2" eb="4">
      <t>ワリアイ</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</si>
  <si>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</si>
  <si>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</si>
  <si>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</si>
  <si>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推算詳細</t>
    <rPh sb="0" eb="2">
      <t>スイサn</t>
    </rPh>
    <rPh sb="2" eb="4">
      <t>sh</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</si>
  <si>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</si>
  <si>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</si>
  <si>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</si>
  <si>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</si>
  <si>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cm</t>
    <phoneticPr fontId="1"/>
  </si>
  <si>
    <t>端リブ</t>
  </si>
  <si>
    <t>ハーフリブ</t>
    <phoneticPr fontId="3"/>
  </si>
  <si>
    <t>作図</t>
    <rPh sb="0" eb="2">
      <t>サクズ</t>
    </rPh>
    <phoneticPr fontId="3"/>
  </si>
  <si>
    <t>svg</t>
    <phoneticPr fontId="3"/>
  </si>
  <si>
    <t>full</t>
  </si>
  <si>
    <t>half</t>
  </si>
  <si>
    <t>full</t>
    <phoneticPr fontId="3"/>
  </si>
  <si>
    <t>half</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</si>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</sst>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0_ ;[Red]\-0.00\ "/>
  </numFmts>
  <fonts count="36">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b/>
      <sz val="9"/>
      <color rgb="FF000000"/>
      <name val="游ゴシック"/>
      <family val="3"/>
      <charset val="128"/>
    </font>
    <font>
      <sz val="9"/>
      <color rgb="FF000000"/>
      <name val="游ゴシック"/>
      <family val="3"/>
      <charset val="128"/>
    </font>
    <font>
      <sz val="9"/>
      <color rgb="FF000000"/>
      <name val="MS P ゴシック"/>
      <charset val="128"/>
    </font>
    <font>
      <b/>
      <sz val="9"/>
      <color rgb="FF000000"/>
      <name val="MS P ゴシック"/>
      <charset val="128"/>
    </font>
    <font>
      <sz val="12"/>
      <color theme="1"/>
      <name val="游ゴシック"/>
      <family val="2"/>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ont>
    <font>
      <b/>
      <sz val="10"/>
      <color rgb="FF000000"/>
      <name val="Yu Gothic UI"/>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E7E6E6"/>
        <bgColor rgb="FF000000"/>
      </patternFill>
    </fill>
    <fill>
      <patternFill patternType="solid">
        <fgColor theme="8"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30">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46" xfId="0" applyNumberFormat="1" applyFont="1" applyBorder="1">
      <alignment vertical="center"/>
    </xf>
    <xf numFmtId="176" fontId="8" fillId="0" borderId="39" xfId="0" applyNumberFormat="1" applyFont="1" applyBorder="1" applyAlignment="1">
      <alignment horizontal="left" vertical="center"/>
    </xf>
    <xf numFmtId="0" fontId="0" fillId="0" borderId="40" xfId="0" applyBorder="1">
      <alignment vertical="center"/>
    </xf>
    <xf numFmtId="176" fontId="8" fillId="0" borderId="47" xfId="0" applyNumberFormat="1" applyFont="1" applyBorder="1" applyAlignment="1">
      <alignment horizontal="left" vertical="center"/>
    </xf>
    <xf numFmtId="176" fontId="8" fillId="0" borderId="49" xfId="0" applyNumberFormat="1" applyFont="1" applyBorder="1">
      <alignment vertical="center"/>
    </xf>
    <xf numFmtId="176" fontId="8" fillId="0" borderId="50" xfId="0" applyNumberFormat="1" applyFont="1" applyBorder="1" applyAlignment="1">
      <alignment horizontal="left" vertical="center"/>
    </xf>
    <xf numFmtId="176" fontId="8" fillId="0" borderId="45" xfId="0" applyNumberFormat="1" applyFont="1" applyBorder="1" applyAlignment="1">
      <alignment horizontal="left" vertical="center"/>
    </xf>
    <xf numFmtId="0" fontId="0" fillId="0" borderId="46" xfId="0" applyBorder="1">
      <alignment vertical="center"/>
    </xf>
    <xf numFmtId="176" fontId="8"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8" fillId="0" borderId="47" xfId="0" applyNumberFormat="1" applyFont="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7"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2"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0" fontId="0" fillId="2" borderId="0" xfId="0" applyFill="1">
      <alignment vertical="center"/>
    </xf>
    <xf numFmtId="0" fontId="0" fillId="6" borderId="0" xfId="0" applyFill="1">
      <alignment vertical="center"/>
    </xf>
    <xf numFmtId="176" fontId="30" fillId="0" borderId="0" xfId="0" applyNumberFormat="1" applyFont="1">
      <alignment vertical="center"/>
    </xf>
    <xf numFmtId="176" fontId="30" fillId="7" borderId="1" xfId="0" applyNumberFormat="1" applyFont="1" applyFill="1" applyBorder="1">
      <alignment vertical="center"/>
    </xf>
    <xf numFmtId="176" fontId="30"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31" fillId="0" borderId="19" xfId="1" applyNumberFormat="1" applyFont="1" applyBorder="1" applyAlignment="1">
      <alignment vertical="center"/>
    </xf>
    <xf numFmtId="176" fontId="31" fillId="0" borderId="1" xfId="1" applyNumberFormat="1" applyFont="1" applyBorder="1" applyAlignment="1">
      <alignment vertical="center"/>
    </xf>
    <xf numFmtId="176" fontId="32"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8" borderId="1" xfId="0" applyNumberFormat="1" applyFill="1" applyBorder="1">
      <alignment vertical="center"/>
    </xf>
    <xf numFmtId="176" fontId="33" fillId="0" borderId="0" xfId="0" applyNumberFormat="1" applyFont="1">
      <alignment vertical="center"/>
    </xf>
    <xf numFmtId="56" fontId="0" fillId="0" borderId="1" xfId="0" quotePrefix="1" applyNumberFormat="1" applyBorder="1">
      <alignment vertical="center"/>
    </xf>
    <xf numFmtId="0" fontId="0" fillId="0" borderId="66" xfId="0" applyBorder="1">
      <alignment vertical="center"/>
    </xf>
    <xf numFmtId="176" fontId="0" fillId="0" borderId="15" xfId="0" applyNumberFormat="1" applyBorder="1">
      <alignment vertical="center"/>
    </xf>
    <xf numFmtId="176" fontId="0" fillId="0" borderId="65" xfId="0" applyNumberFormat="1"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39" xfId="0" applyBorder="1">
      <alignment vertical="center"/>
    </xf>
    <xf numFmtId="0" fontId="0" fillId="0" borderId="51" xfId="0" applyBorder="1">
      <alignment vertical="center"/>
    </xf>
    <xf numFmtId="0" fontId="0" fillId="2" borderId="52" xfId="0" applyFill="1" applyBorder="1">
      <alignment vertical="center"/>
    </xf>
    <xf numFmtId="176" fontId="30" fillId="0" borderId="3" xfId="0" applyNumberFormat="1" applyFont="1" applyBorder="1">
      <alignment vertical="center"/>
    </xf>
    <xf numFmtId="176" fontId="30" fillId="0" borderId="2" xfId="0" applyNumberFormat="1" applyFont="1" applyBorder="1">
      <alignment vertical="center"/>
    </xf>
    <xf numFmtId="176" fontId="8" fillId="0" borderId="68" xfId="0" applyNumberFormat="1" applyFont="1" applyBorder="1" applyAlignment="1">
      <alignment horizontal="left" vertical="center"/>
    </xf>
    <xf numFmtId="0" fontId="0" fillId="0" borderId="69" xfId="0" applyBorder="1">
      <alignment vertical="center"/>
    </xf>
    <xf numFmtId="0" fontId="2" fillId="2" borderId="69" xfId="0" applyFont="1" applyFill="1" applyBorder="1">
      <alignment vertical="center"/>
    </xf>
    <xf numFmtId="0" fontId="0" fillId="0" borderId="70" xfId="0" applyBorder="1">
      <alignment vertical="center"/>
    </xf>
    <xf numFmtId="176" fontId="0" fillId="2" borderId="16" xfId="0" applyNumberFormat="1" applyFill="1" applyBorder="1">
      <alignment vertical="center"/>
    </xf>
    <xf numFmtId="176" fontId="0" fillId="2" borderId="2" xfId="0" applyNumberFormat="1" applyFill="1" applyBorder="1">
      <alignment vertical="center"/>
    </xf>
    <xf numFmtId="183" fontId="0" fillId="2" borderId="3" xfId="0" applyNumberFormat="1" applyFill="1"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7" xfId="0" applyBorder="1" applyAlignment="1">
      <alignment horizontal="right" vertical="center"/>
    </xf>
    <xf numFmtId="176" fontId="0" fillId="3" borderId="71" xfId="0" applyNumberFormat="1" applyFill="1" applyBorder="1">
      <alignment vertical="center"/>
    </xf>
    <xf numFmtId="176" fontId="0" fillId="0" borderId="71" xfId="0" applyNumberFormat="1" applyBorder="1" applyAlignment="1">
      <alignment horizontal="left" vertical="center"/>
    </xf>
    <xf numFmtId="176" fontId="0" fillId="0" borderId="72" xfId="0" applyNumberFormat="1" applyBorder="1" applyAlignment="1">
      <alignment horizontal="left" vertical="center"/>
    </xf>
    <xf numFmtId="176" fontId="0" fillId="2" borderId="73" xfId="0" applyNumberFormat="1" applyFill="1" applyBorder="1">
      <alignment vertical="center"/>
    </xf>
    <xf numFmtId="176" fontId="0" fillId="2" borderId="74" xfId="0" applyNumberFormat="1" applyFill="1" applyBorder="1">
      <alignment vertical="center"/>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28" xfId="0" applyFont="1" applyBorder="1" applyAlignment="1">
      <alignment horizontal="left" vertical="top" wrapText="1"/>
    </xf>
    <xf numFmtId="0" fontId="20" fillId="0" borderId="0" xfId="0" applyFont="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0"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20" fillId="0" borderId="25" xfId="0" applyFont="1" applyBorder="1" applyAlignment="1">
      <alignment vertical="top" wrapText="1"/>
    </xf>
    <xf numFmtId="0" fontId="20" fillId="0" borderId="26" xfId="0" applyFont="1" applyBorder="1" applyAlignment="1">
      <alignment vertical="top" wrapText="1"/>
    </xf>
    <xf numFmtId="0" fontId="20" fillId="0" borderId="27" xfId="0" applyFont="1" applyBorder="1" applyAlignment="1">
      <alignment vertical="top" wrapText="1"/>
    </xf>
    <xf numFmtId="0" fontId="20" fillId="0" borderId="28" xfId="0" applyFont="1" applyBorder="1" applyAlignment="1">
      <alignment vertical="top" wrapText="1"/>
    </xf>
    <xf numFmtId="0" fontId="20" fillId="0" borderId="0" xfId="0" applyFont="1" applyAlignment="1">
      <alignment vertical="top" wrapText="1"/>
    </xf>
    <xf numFmtId="0" fontId="20" fillId="0" borderId="29" xfId="0" applyFont="1" applyBorder="1" applyAlignment="1">
      <alignment vertical="top" wrapText="1"/>
    </xf>
    <xf numFmtId="0" fontId="20" fillId="0" borderId="30" xfId="0" applyFont="1" applyBorder="1" applyAlignment="1">
      <alignment vertical="top" wrapText="1"/>
    </xf>
    <xf numFmtId="0" fontId="20" fillId="0" borderId="31" xfId="0" applyFont="1" applyBorder="1" applyAlignment="1">
      <alignment vertical="top" wrapText="1"/>
    </xf>
    <xf numFmtId="0" fontId="20" fillId="0" borderId="32" xfId="0" applyFont="1" applyBorder="1" applyAlignment="1">
      <alignmen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0" fillId="3" borderId="5" xfId="0" applyNumberFormat="1" applyFill="1" applyBorder="1">
      <alignment vertical="center"/>
    </xf>
    <xf numFmtId="176" fontId="0" fillId="3" borderId="56" xfId="0" applyNumberFormat="1" applyFill="1" applyBorder="1">
      <alignment vertical="center"/>
    </xf>
    <xf numFmtId="176" fontId="0" fillId="3" borderId="14" xfId="0" applyNumberFormat="1" applyFill="1" applyBorder="1">
      <alignment vertical="center"/>
    </xf>
    <xf numFmtId="176" fontId="22" fillId="0" borderId="58" xfId="1" applyNumberFormat="1" applyFont="1" applyBorder="1" applyAlignment="1">
      <alignment vertical="center"/>
    </xf>
    <xf numFmtId="176" fontId="22" fillId="0" borderId="54" xfId="1" applyNumberFormat="1" applyFont="1" applyBorder="1" applyAlignment="1">
      <alignment vertical="center"/>
    </xf>
    <xf numFmtId="176" fontId="22" fillId="0" borderId="55"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xf numFmtId="178" fontId="0" fillId="0" borderId="0" xfId="0" applyNumberFormat="1">
      <alignment vertical="center"/>
    </xf>
  </cellXfs>
  <cellStyles count="2">
    <cellStyle name="ハイパーリンク" xfId="1" builtinId="8"/>
    <cellStyle name="標準" xfId="0" builtinId="0"/>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0.000_ ;[Red]\-0.000\ </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0.000_ ;[Red]\-0.000\ </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0.000_ ;[Red]\-0.000\ </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0.000_ ;[Red]\-0.000\ </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2"/>
                <c:pt idx="0">
                  <c:v>wi</c:v>
                </c:pt>
                <c:pt idx="1">
                  <c:v>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0.000_ ;[Red]\-0.000\ </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0.000_ ;[Red]\-0.000\ </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0.000_ ;[Red]\-0.000\ </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0.000_ ;[Red]\-0.000\ </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0.000_ ;[Red]\-0.000\ </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主翼!$Q$48</c:f>
              <c:strCache>
                <c:ptCount val="1"/>
                <c:pt idx="0">
                  <c:v>前縁位置</c:v>
                </c:pt>
              </c:strCache>
            </c:strRef>
          </c:tx>
          <c:spPr>
            <a:ln w="19050" cap="rnd">
              <a:solidFill>
                <a:schemeClr val="accent1"/>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5.3500000000000032</c:v>
                </c:pt>
                <c:pt idx="16">
                  <c:v>5.5000000000000036</c:v>
                </c:pt>
                <c:pt idx="17">
                  <c:v>5.6500000000000039</c:v>
                </c:pt>
                <c:pt idx="18">
                  <c:v>5.8000000000000043</c:v>
                </c:pt>
                <c:pt idx="19">
                  <c:v>5.9500000000000046</c:v>
                </c:pt>
                <c:pt idx="20">
                  <c:v>6.100000000000005</c:v>
                </c:pt>
                <c:pt idx="21">
                  <c:v>6.2500000000000053</c:v>
                </c:pt>
                <c:pt idx="22">
                  <c:v>6.4000000000000057</c:v>
                </c:pt>
                <c:pt idx="23">
                  <c:v>6.550000000000006</c:v>
                </c:pt>
                <c:pt idx="24">
                  <c:v>6.7000000000000064</c:v>
                </c:pt>
                <c:pt idx="25">
                  <c:v>6.8500000000000068</c:v>
                </c:pt>
                <c:pt idx="26">
                  <c:v>7.0000000000000071</c:v>
                </c:pt>
                <c:pt idx="27">
                  <c:v>7.2000000000000073</c:v>
                </c:pt>
                <c:pt idx="28">
                  <c:v>7.3500000000000076</c:v>
                </c:pt>
                <c:pt idx="29">
                  <c:v>7.500000000000008</c:v>
                </c:pt>
                <c:pt idx="30">
                  <c:v>7.6500000000000083</c:v>
                </c:pt>
                <c:pt idx="31">
                  <c:v>7.8000000000000087</c:v>
                </c:pt>
                <c:pt idx="32">
                  <c:v>7.9500000000000091</c:v>
                </c:pt>
                <c:pt idx="33">
                  <c:v>8.1000000000000085</c:v>
                </c:pt>
                <c:pt idx="34">
                  <c:v>8.2500000000000089</c:v>
                </c:pt>
                <c:pt idx="35">
                  <c:v>8.4000000000000092</c:v>
                </c:pt>
                <c:pt idx="36">
                  <c:v>8.5500000000000096</c:v>
                </c:pt>
                <c:pt idx="37">
                  <c:v>8.7000000000000099</c:v>
                </c:pt>
                <c:pt idx="38">
                  <c:v>8.8500000000000103</c:v>
                </c:pt>
                <c:pt idx="39">
                  <c:v>9.0000000000000107</c:v>
                </c:pt>
                <c:pt idx="40">
                  <c:v>9.150000000000011</c:v>
                </c:pt>
                <c:pt idx="41">
                  <c:v>9.3000000000000114</c:v>
                </c:pt>
                <c:pt idx="42">
                  <c:v>9.4500000000000117</c:v>
                </c:pt>
                <c:pt idx="43">
                  <c:v>9.6000000000000121</c:v>
                </c:pt>
                <c:pt idx="44">
                  <c:v>9.7500000000000124</c:v>
                </c:pt>
                <c:pt idx="45">
                  <c:v>9.9000000000000128</c:v>
                </c:pt>
                <c:pt idx="46">
                  <c:v>10.050000000000013</c:v>
                </c:pt>
                <c:pt idx="47">
                  <c:v>10.200000000000014</c:v>
                </c:pt>
                <c:pt idx="48">
                  <c:v>10.350000000000014</c:v>
                </c:pt>
                <c:pt idx="49">
                  <c:v>10.500000000000014</c:v>
                </c:pt>
                <c:pt idx="50">
                  <c:v>10.650000000000015</c:v>
                </c:pt>
                <c:pt idx="51">
                  <c:v>10.800000000000015</c:v>
                </c:pt>
                <c:pt idx="52">
                  <c:v>10.950000000000015</c:v>
                </c:pt>
                <c:pt idx="53">
                  <c:v>11.100000000000016</c:v>
                </c:pt>
                <c:pt idx="54">
                  <c:v>11.250000000000016</c:v>
                </c:pt>
                <c:pt idx="55">
                  <c:v>11.400000000000016</c:v>
                </c:pt>
                <c:pt idx="56">
                  <c:v>11.550000000000017</c:v>
                </c:pt>
                <c:pt idx="57">
                  <c:v>11.700000000000017</c:v>
                </c:pt>
                <c:pt idx="58">
                  <c:v>11.850000000000017</c:v>
                </c:pt>
                <c:pt idx="59">
                  <c:v>12.000000000000018</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主翼!$R$48</c:f>
              <c:strCache>
                <c:ptCount val="1"/>
                <c:pt idx="0">
                  <c:v>後縁位置</c:v>
                </c:pt>
              </c:strCache>
            </c:strRef>
          </c:tx>
          <c:spPr>
            <a:ln w="19050" cap="rnd">
              <a:solidFill>
                <a:srgbClr val="0070C0"/>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5.3500000000000032</c:v>
                </c:pt>
                <c:pt idx="16">
                  <c:v>5.5000000000000036</c:v>
                </c:pt>
                <c:pt idx="17">
                  <c:v>5.6500000000000039</c:v>
                </c:pt>
                <c:pt idx="18">
                  <c:v>5.8000000000000043</c:v>
                </c:pt>
                <c:pt idx="19">
                  <c:v>5.9500000000000046</c:v>
                </c:pt>
                <c:pt idx="20">
                  <c:v>6.100000000000005</c:v>
                </c:pt>
                <c:pt idx="21">
                  <c:v>6.2500000000000053</c:v>
                </c:pt>
                <c:pt idx="22">
                  <c:v>6.4000000000000057</c:v>
                </c:pt>
                <c:pt idx="23">
                  <c:v>6.550000000000006</c:v>
                </c:pt>
                <c:pt idx="24">
                  <c:v>6.7000000000000064</c:v>
                </c:pt>
                <c:pt idx="25">
                  <c:v>6.8500000000000068</c:v>
                </c:pt>
                <c:pt idx="26">
                  <c:v>7.0000000000000071</c:v>
                </c:pt>
                <c:pt idx="27">
                  <c:v>7.2000000000000073</c:v>
                </c:pt>
                <c:pt idx="28">
                  <c:v>7.3500000000000076</c:v>
                </c:pt>
                <c:pt idx="29">
                  <c:v>7.500000000000008</c:v>
                </c:pt>
                <c:pt idx="30">
                  <c:v>7.6500000000000083</c:v>
                </c:pt>
                <c:pt idx="31">
                  <c:v>7.8000000000000087</c:v>
                </c:pt>
                <c:pt idx="32">
                  <c:v>7.9500000000000091</c:v>
                </c:pt>
                <c:pt idx="33">
                  <c:v>8.1000000000000085</c:v>
                </c:pt>
                <c:pt idx="34">
                  <c:v>8.2500000000000089</c:v>
                </c:pt>
                <c:pt idx="35">
                  <c:v>8.4000000000000092</c:v>
                </c:pt>
                <c:pt idx="36">
                  <c:v>8.5500000000000096</c:v>
                </c:pt>
                <c:pt idx="37">
                  <c:v>8.7000000000000099</c:v>
                </c:pt>
                <c:pt idx="38">
                  <c:v>8.8500000000000103</c:v>
                </c:pt>
                <c:pt idx="39">
                  <c:v>9.0000000000000107</c:v>
                </c:pt>
                <c:pt idx="40">
                  <c:v>9.150000000000011</c:v>
                </c:pt>
                <c:pt idx="41">
                  <c:v>9.3000000000000114</c:v>
                </c:pt>
                <c:pt idx="42">
                  <c:v>9.4500000000000117</c:v>
                </c:pt>
                <c:pt idx="43">
                  <c:v>9.6000000000000121</c:v>
                </c:pt>
                <c:pt idx="44">
                  <c:v>9.7500000000000124</c:v>
                </c:pt>
                <c:pt idx="45">
                  <c:v>9.9000000000000128</c:v>
                </c:pt>
                <c:pt idx="46">
                  <c:v>10.050000000000013</c:v>
                </c:pt>
                <c:pt idx="47">
                  <c:v>10.200000000000014</c:v>
                </c:pt>
                <c:pt idx="48">
                  <c:v>10.350000000000014</c:v>
                </c:pt>
                <c:pt idx="49">
                  <c:v>10.500000000000014</c:v>
                </c:pt>
                <c:pt idx="50">
                  <c:v>10.650000000000015</c:v>
                </c:pt>
                <c:pt idx="51">
                  <c:v>10.800000000000015</c:v>
                </c:pt>
                <c:pt idx="52">
                  <c:v>10.950000000000015</c:v>
                </c:pt>
                <c:pt idx="53">
                  <c:v>11.100000000000016</c:v>
                </c:pt>
                <c:pt idx="54">
                  <c:v>11.250000000000016</c:v>
                </c:pt>
                <c:pt idx="55">
                  <c:v>11.400000000000016</c:v>
                </c:pt>
                <c:pt idx="56">
                  <c:v>11.550000000000017</c:v>
                </c:pt>
                <c:pt idx="57">
                  <c:v>11.700000000000017</c:v>
                </c:pt>
                <c:pt idx="58">
                  <c:v>11.850000000000017</c:v>
                </c:pt>
                <c:pt idx="59">
                  <c:v>12.000000000000018</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0.000_ ;[Red]\-0.000\ </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3"/>
                <c:pt idx="0">
                  <c:v>最大揚力係数</c:v>
                </c:pt>
                <c:pt idx="1">
                  <c:v>Cl_max</c:v>
                </c:pt>
                <c:pt idx="2">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0.000_ ;[Red]\-0.000\ </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たわみ・ねじり</c:v>
          </c:tx>
          <c:spPr>
            <a:ln w="19050" cap="rnd">
              <a:solidFill>
                <a:schemeClr val="accent1"/>
              </a:solidFill>
              <a:round/>
            </a:ln>
            <a:effectLst/>
          </c:spPr>
          <c:marker>
            <c:symbol val="circle"/>
            <c:size val="5"/>
            <c:spPr>
              <a:solidFill>
                <a:schemeClr val="accent1"/>
              </a:solidFill>
              <a:ln w="9525">
                <a:solidFill>
                  <a:schemeClr val="accent1"/>
                </a:solidFill>
              </a:ln>
              <a:effectLst/>
            </c:spPr>
          </c:marker>
          <c:yVal>
            <c:numLit>
              <c:formatCode>General</c:formatCode>
              <c:ptCount val="1"/>
              <c:pt idx="0">
                <c:v>1</c:v>
              </c:pt>
            </c:numLit>
          </c:yVal>
          <c:smooth val="0"/>
          <c:extLst>
            <c:ext xmlns:c16="http://schemas.microsoft.com/office/drawing/2014/chart" uri="{C3380CC4-5D6E-409C-BE32-E72D297353CC}">
              <c16:uniqueId val="{00000000-7443-47C6-8399-28970498ADDF}"/>
            </c:ext>
          </c:extLst>
        </c:ser>
        <c:dLbls>
          <c:showLegendKey val="0"/>
          <c:showVal val="0"/>
          <c:showCatName val="0"/>
          <c:showSerName val="0"/>
          <c:showPercent val="0"/>
          <c:showBubbleSize val="0"/>
        </c:dLbls>
        <c:axId val="1269936960"/>
        <c:axId val="1269941120"/>
      </c:scatterChart>
      <c:valAx>
        <c:axId val="12699369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41120"/>
        <c:crosses val="autoZero"/>
        <c:crossBetween val="midCat"/>
      </c:valAx>
      <c:valAx>
        <c:axId val="126994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369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0.000_ ;[Red]\-0.000\ </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0.000_ ;[Red]\-0.000\ </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0.000_ ;[Red]\-0.000\ </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0.000_ ;[Red]\-0.000\ </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2"/>
                <c:pt idx="0">
                  <c:v>wi</c:v>
                </c:pt>
                <c:pt idx="1">
                  <c:v>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0.000_ ;[Red]\-0.000\ </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0.000_ ;[Red]\-0.000\ </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0.000_ ;[Red]\-0.000\ </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0.000_ ;[Red]\-0.000\ </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0.000_ ;[Red]\-0.000\ </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3"/>
                <c:pt idx="0">
                  <c:v>前縁位置</c:v>
                </c:pt>
                <c:pt idx="1">
                  <c:v>-</c:v>
                </c:pt>
                <c:pt idx="2">
                  <c:v>m</c:v>
                </c:pt>
              </c:strCache>
            </c:strRef>
          </c:tx>
          <c:spPr>
            <a:ln w="19050" cap="rnd">
              <a:solidFill>
                <a:schemeClr val="accent1"/>
              </a:solidFill>
              <a:round/>
            </a:ln>
            <a:effectLst/>
          </c:spPr>
          <c:marker>
            <c:symbol val="none"/>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0.000_ ;[Red]\-0.000\ </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3"/>
                <c:pt idx="0">
                  <c:v>後縁位置</c:v>
                </c:pt>
                <c:pt idx="1">
                  <c:v>-</c:v>
                </c:pt>
                <c:pt idx="2">
                  <c:v>m</c:v>
                </c:pt>
              </c:strCache>
            </c:strRef>
          </c:tx>
          <c:spPr>
            <a:ln w="19050" cap="rnd">
              <a:solidFill>
                <a:schemeClr val="accent1"/>
              </a:solidFill>
              <a:round/>
            </a:ln>
            <a:effectLst/>
          </c:spPr>
          <c:marker>
            <c:symbol val="none"/>
          </c:marker>
          <c:xVal>
            <c:numRef>
              <c:f>'[1]主翼(sht1)'!$E$45:$E$107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0.000_ ;[Red]\-0.000\ </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0.000_ ;[Red]\-0.000\ </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3"/>
                <c:pt idx="0">
                  <c:v>最大揚力係数</c:v>
                </c:pt>
                <c:pt idx="1">
                  <c:v>Cl_max</c:v>
                </c:pt>
                <c:pt idx="2">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0.000_ ;[Red]\-0.000\ </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0.000_ ;[Red]\-0.000\ </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3"/>
                <c:pt idx="0">
                  <c:v>前縁位置</c:v>
                </c:pt>
                <c:pt idx="1">
                  <c:v>-</c:v>
                </c:pt>
                <c:pt idx="2">
                  <c:v>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0.000_ ;[Red]\-0.000\ </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0.000_ ;[Red]\-0.000\ </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3"/>
                <c:pt idx="0">
                  <c:v>後縁位置</c:v>
                </c:pt>
                <c:pt idx="1">
                  <c:v>-</c:v>
                </c:pt>
                <c:pt idx="2">
                  <c:v>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0.000_ ;[Red]\-0.000\ </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0.000_ ;[Red]\-0.000\ </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3"/>
                <c:pt idx="0">
                  <c:v>せん断中心位置(舵面開始位置を原点として)</c:v>
                </c:pt>
                <c:pt idx="1">
                  <c:v>e</c:v>
                </c:pt>
                <c:pt idx="2">
                  <c:v>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0.000_ ;[Red]\-0.000\ </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0.000_ ;[Red]\-0.000\ </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3"/>
                <c:pt idx="0">
                  <c:v>原点</c:v>
                </c:pt>
                <c:pt idx="1">
                  <c:v>-</c:v>
                </c:pt>
                <c:pt idx="2">
                  <c:v>m</c:v>
                </c:pt>
              </c:strCache>
            </c:strRef>
          </c:tx>
          <c:spPr>
            <a:ln w="19050" cap="rnd">
              <a:solidFill>
                <a:schemeClr val="tx1"/>
              </a:solidFill>
              <a:prstDash val="lgDashDot"/>
              <a:round/>
            </a:ln>
            <a:effectLst/>
          </c:spPr>
          <c:marker>
            <c:symbol val="none"/>
          </c:marker>
          <c:xVal>
            <c:numRef>
              <c:f>'[1]垂直尾翼(sht4)'!$L$45:$L$130</c:f>
              <c:numCache>
                <c:formatCode>0.000_ ;[Red]\-0.000\ </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0.000_ ;[Red]\-0.000\ </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主桁!$AH$6:$AH$100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主桁!$AV$6:$AV$100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0.0.E+00</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11</xdr:col>
      <xdr:colOff>0</xdr:colOff>
      <xdr:row>22</xdr:row>
      <xdr:rowOff>0</xdr:rowOff>
    </xdr:from>
    <xdr:to>
      <xdr:col>12</xdr:col>
      <xdr:colOff>0</xdr:colOff>
      <xdr:row>23</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4995333" y="254000"/>
          <a:ext cx="1354667" cy="270933"/>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全機解析</a:t>
          </a:r>
        </a:p>
      </xdr:txBody>
    </xdr:sp>
    <xdr:clientData/>
  </xdr:twoCellAnchor>
  <xdr:twoCellAnchor>
    <xdr:from>
      <xdr:col>14</xdr:col>
      <xdr:colOff>0</xdr:colOff>
      <xdr:row>22</xdr:row>
      <xdr:rowOff>0</xdr:rowOff>
    </xdr:from>
    <xdr:to>
      <xdr:col>15</xdr:col>
      <xdr:colOff>0</xdr:colOff>
      <xdr:row>23</xdr:row>
      <xdr:rowOff>0</xdr:rowOff>
    </xdr:to>
    <xdr:sp macro="" textlink="">
      <xdr:nvSpPr>
        <xdr:cNvPr id="8" name="正方形/長方形 1">
          <a:extLst>
            <a:ext uri="{FF2B5EF4-FFF2-40B4-BE49-F238E27FC236}">
              <a16:creationId xmlns:a16="http://schemas.microsoft.com/office/drawing/2014/main" id="{51E2A2A2-BF1B-1C4D-BFB3-B97AEA9CF127}"/>
            </a:ext>
          </a:extLst>
        </xdr:cNvPr>
        <xdr:cNvSpPr/>
      </xdr:nvSpPr>
      <xdr:spPr>
        <a:xfrm>
          <a:off x="7735455" y="250152"/>
          <a:ext cx="692727" cy="269393"/>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保存</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721591</xdr:colOff>
      <xdr:row>15</xdr:row>
      <xdr:rowOff>125074</xdr:rowOff>
    </xdr:from>
    <xdr:to>
      <xdr:col>19</xdr:col>
      <xdr:colOff>720521</xdr:colOff>
      <xdr:row>21</xdr:row>
      <xdr:rowOff>164627</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327121</xdr:colOff>
      <xdr:row>33</xdr:row>
      <xdr:rowOff>105833</xdr:rowOff>
    </xdr:from>
    <xdr:to>
      <xdr:col>19</xdr:col>
      <xdr:colOff>327121</xdr:colOff>
      <xdr:row>39</xdr:row>
      <xdr:rowOff>105833</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33</xdr:row>
      <xdr:rowOff>48106</xdr:rowOff>
    </xdr:from>
    <xdr:to>
      <xdr:col>11</xdr:col>
      <xdr:colOff>1</xdr:colOff>
      <xdr:row>39</xdr:row>
      <xdr:rowOff>48106</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0</xdr:rowOff>
    </xdr:from>
    <xdr:to>
      <xdr:col>3</xdr:col>
      <xdr:colOff>0</xdr:colOff>
      <xdr:row>42</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14</xdr:row>
      <xdr:rowOff>1</xdr:rowOff>
    </xdr:from>
    <xdr:to>
      <xdr:col>19</xdr:col>
      <xdr:colOff>0</xdr:colOff>
      <xdr:row>20</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625378</xdr:colOff>
      <xdr:row>15</xdr:row>
      <xdr:rowOff>19242</xdr:rowOff>
    </xdr:from>
    <xdr:to>
      <xdr:col>11</xdr:col>
      <xdr:colOff>625379</xdr:colOff>
      <xdr:row>21</xdr:row>
      <xdr:rowOff>58795</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xdr:row>
      <xdr:rowOff>0</xdr:rowOff>
    </xdr:from>
    <xdr:to>
      <xdr:col>8</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5535283" y="251604"/>
          <a:ext cx="790755" cy="26358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全機計算</a:t>
          </a:r>
          <a:endParaRPr kumimoji="1" lang="en-US" altLang="ja-JP" sz="1100">
            <a:solidFill>
              <a:sysClr val="windowText" lastClr="000000"/>
            </a:solidFill>
          </a:endParaRPr>
        </a:p>
      </xdr:txBody>
    </xdr:sp>
    <xdr:clientData/>
  </xdr:twoCellAnchor>
  <xdr:twoCellAnchor>
    <xdr:from>
      <xdr:col>20</xdr:col>
      <xdr:colOff>5158</xdr:colOff>
      <xdr:row>27</xdr:row>
      <xdr:rowOff>0</xdr:rowOff>
    </xdr:from>
    <xdr:to>
      <xdr:col>22</xdr:col>
      <xdr:colOff>0</xdr:colOff>
      <xdr:row>28</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820252" y="6877170"/>
          <a:ext cx="1576352" cy="25160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20</xdr:col>
      <xdr:colOff>0</xdr:colOff>
      <xdr:row>14</xdr:row>
      <xdr:rowOff>0</xdr:rowOff>
    </xdr:from>
    <xdr:to>
      <xdr:col>22</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5</xdr:col>
      <xdr:colOff>0</xdr:colOff>
      <xdr:row>0</xdr:row>
      <xdr:rowOff>251603</xdr:rowOff>
    </xdr:from>
    <xdr:to>
      <xdr:col>6</xdr:col>
      <xdr:colOff>0</xdr:colOff>
      <xdr:row>1</xdr:row>
      <xdr:rowOff>263584</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3953774" y="251603"/>
          <a:ext cx="790754" cy="26358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twoCellAnchor>
    <xdr:from>
      <xdr:col>1</xdr:col>
      <xdr:colOff>461818</xdr:colOff>
      <xdr:row>35</xdr:row>
      <xdr:rowOff>250151</xdr:rowOff>
    </xdr:from>
    <xdr:to>
      <xdr:col>12</xdr:col>
      <xdr:colOff>452196</xdr:colOff>
      <xdr:row>42</xdr:row>
      <xdr:rowOff>0</xdr:rowOff>
    </xdr:to>
    <xdr:graphicFrame macro="">
      <xdr:nvGraphicFramePr>
        <xdr:cNvPr id="3" name="グラフ 2">
          <a:extLst>
            <a:ext uri="{FF2B5EF4-FFF2-40B4-BE49-F238E27FC236}">
              <a16:creationId xmlns:a16="http://schemas.microsoft.com/office/drawing/2014/main" id="{9AD59056-1B8A-B020-F400-6EF4614FA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0</xdr:colOff>
      <xdr:row>28</xdr:row>
      <xdr:rowOff>245805</xdr:rowOff>
    </xdr:from>
    <xdr:to>
      <xdr:col>22</xdr:col>
      <xdr:colOff>0</xdr:colOff>
      <xdr:row>29</xdr:row>
      <xdr:rowOff>245806</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158065" y="8193547"/>
          <a:ext cx="1515806" cy="24580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20</xdr:col>
      <xdr:colOff>0</xdr:colOff>
      <xdr:row>30</xdr:row>
      <xdr:rowOff>0</xdr:rowOff>
    </xdr:from>
    <xdr:to>
      <xdr:col>22</xdr:col>
      <xdr:colOff>0</xdr:colOff>
      <xdr:row>31</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158065" y="8439355"/>
          <a:ext cx="1515806" cy="24580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8</xdr:col>
      <xdr:colOff>1</xdr:colOff>
      <xdr:row>1</xdr:row>
      <xdr:rowOff>0</xdr:rowOff>
    </xdr:from>
    <xdr:to>
      <xdr:col>9</xdr:col>
      <xdr:colOff>1</xdr:colOff>
      <xdr:row>2</xdr:row>
      <xdr:rowOff>0</xdr:rowOff>
    </xdr:to>
    <xdr:sp macro="[0]!CalcWing" textlink="">
      <xdr:nvSpPr>
        <xdr:cNvPr id="7" name="正方形/長方形 1">
          <a:extLst>
            <a:ext uri="{FF2B5EF4-FFF2-40B4-BE49-F238E27FC236}">
              <a16:creationId xmlns:a16="http://schemas.microsoft.com/office/drawing/2014/main" id="{8DA5A764-BA07-844F-AEB4-3A101EC3FE20}"/>
            </a:ext>
          </a:extLst>
        </xdr:cNvPr>
        <xdr:cNvSpPr/>
      </xdr:nvSpPr>
      <xdr:spPr>
        <a:xfrm>
          <a:off x="6326039" y="251604"/>
          <a:ext cx="790754" cy="26358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主翼計算</a:t>
          </a:r>
          <a:endParaRPr kumimoji="1" lang="en-US" altLang="ja-JP" sz="1100">
            <a:solidFill>
              <a:sysClr val="windowText" lastClr="000000"/>
            </a:solidFill>
          </a:endParaRPr>
        </a:p>
      </xdr:txBody>
    </xdr:sp>
    <xdr:clientData/>
  </xdr:twoCellAnchor>
  <xdr:twoCellAnchor>
    <xdr:from>
      <xdr:col>20</xdr:col>
      <xdr:colOff>0</xdr:colOff>
      <xdr:row>27</xdr:row>
      <xdr:rowOff>251603</xdr:rowOff>
    </xdr:from>
    <xdr:to>
      <xdr:col>22</xdr:col>
      <xdr:colOff>0</xdr:colOff>
      <xdr:row>28</xdr:row>
      <xdr:rowOff>251602</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815094" y="7128773"/>
          <a:ext cx="1581510" cy="25160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20</xdr:col>
      <xdr:colOff>0</xdr:colOff>
      <xdr:row>1</xdr:row>
      <xdr:rowOff>0</xdr:rowOff>
    </xdr:from>
    <xdr:to>
      <xdr:col>25</xdr:col>
      <xdr:colOff>431322</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6</xdr:col>
      <xdr:colOff>0</xdr:colOff>
      <xdr:row>1</xdr:row>
      <xdr:rowOff>0</xdr:rowOff>
    </xdr:from>
    <xdr:to>
      <xdr:col>7</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6</xdr:col>
      <xdr:colOff>0</xdr:colOff>
      <xdr:row>1</xdr:row>
      <xdr:rowOff>0</xdr:rowOff>
    </xdr:from>
    <xdr:to>
      <xdr:col>7</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qu365-my.sharepoint.com/personal/mori_hayato_889_s_kyushu-u_ac_jp/Documents/AircraftDesign/QX-23/QX-23_ver20230221.xlsm" TargetMode="External"/><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AC107">
            <v>12.292726970006235</v>
          </cell>
          <cell r="AD107">
            <v>1.301038258131813</v>
          </cell>
          <cell r="AO107">
            <v>0</v>
          </cell>
          <cell r="AP107">
            <v>0</v>
          </cell>
          <cell r="AQ107">
            <v>1.5748</v>
          </cell>
        </row>
        <row r="108">
          <cell r="E108">
            <v>12.4</v>
          </cell>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110"/>
  <sheetViews>
    <sheetView zoomScaleNormal="70" workbookViewId="0">
      <selection activeCell="G18" sqref="G18"/>
    </sheetView>
  </sheetViews>
  <sheetFormatPr baseColWidth="10" defaultColWidth="7.7109375" defaultRowHeight="20"/>
  <cols>
    <col min="2" max="2" width="15.140625" customWidth="1"/>
    <col min="3" max="3" width="8.7109375" bestFit="1" customWidth="1"/>
    <col min="4" max="4" width="8" customWidth="1"/>
    <col min="5" max="5" width="8.5703125" bestFit="1" customWidth="1"/>
    <col min="6" max="6" width="7.85546875" bestFit="1" customWidth="1"/>
    <col min="7" max="7" width="15.28515625" customWidth="1"/>
    <col min="8" max="8" width="7.85546875" bestFit="1" customWidth="1"/>
    <col min="9" max="9" width="7.7109375" customWidth="1"/>
    <col min="10" max="10" width="7.85546875" bestFit="1" customWidth="1"/>
    <col min="11" max="11" width="7.7109375" customWidth="1"/>
    <col min="12" max="12" width="15.5703125" customWidth="1"/>
    <col min="13" max="13" width="7.85546875" bestFit="1" customWidth="1"/>
    <col min="14" max="14" width="8" customWidth="1"/>
    <col min="15" max="16" width="7.85546875" bestFit="1" customWidth="1"/>
    <col min="17" max="17" width="15.42578125" customWidth="1"/>
    <col min="18" max="18" width="7.85546875" bestFit="1" customWidth="1"/>
    <col min="19" max="19" width="8.28515625" bestFit="1" customWidth="1"/>
    <col min="20" max="20" width="7.85546875" bestFit="1" customWidth="1"/>
    <col min="24" max="24" width="7.7109375" customWidth="1"/>
    <col min="29" max="29" width="7.7109375" customWidth="1"/>
    <col min="30" max="32" width="7.85546875" bestFit="1" customWidth="1"/>
    <col min="34" max="34" width="8.42578125" customWidth="1"/>
    <col min="35" max="35" width="7.7109375" customWidth="1"/>
    <col min="39" max="39" width="7.7109375" customWidth="1"/>
  </cols>
  <sheetData>
    <row r="2" spans="2:42" ht="21" thickBot="1">
      <c r="B2" t="s">
        <v>1332</v>
      </c>
      <c r="AK2" s="47"/>
      <c r="AP2" t="s">
        <v>647</v>
      </c>
    </row>
    <row r="3" spans="2:42" ht="19.5" customHeight="1">
      <c r="B3" s="284" t="s">
        <v>1333</v>
      </c>
      <c r="C3" s="285"/>
      <c r="D3" s="285"/>
      <c r="E3" s="286"/>
      <c r="G3" s="30" t="s">
        <v>1394</v>
      </c>
      <c r="H3" s="30"/>
      <c r="I3" s="30" t="s">
        <v>5</v>
      </c>
      <c r="L3" t="s">
        <v>1396</v>
      </c>
    </row>
    <row r="4" spans="2:42">
      <c r="B4" s="287"/>
      <c r="C4" s="288"/>
      <c r="D4" s="288"/>
      <c r="E4" s="289"/>
      <c r="G4" s="30" t="s">
        <v>1395</v>
      </c>
      <c r="H4" s="30"/>
      <c r="I4" s="30" t="s">
        <v>5</v>
      </c>
    </row>
    <row r="5" spans="2:42">
      <c r="B5" s="287"/>
      <c r="C5" s="288"/>
      <c r="D5" s="288"/>
      <c r="E5" s="289"/>
      <c r="G5" s="30" t="s">
        <v>489</v>
      </c>
      <c r="H5" s="30"/>
      <c r="I5" s="30" t="s">
        <v>5</v>
      </c>
    </row>
    <row r="6" spans="2:42">
      <c r="B6" s="287"/>
      <c r="C6" s="288"/>
      <c r="D6" s="288"/>
      <c r="E6" s="289"/>
    </row>
    <row r="7" spans="2:42">
      <c r="B7" s="287"/>
      <c r="C7" s="288"/>
      <c r="D7" s="288"/>
      <c r="E7" s="289"/>
    </row>
    <row r="8" spans="2:42">
      <c r="B8" s="287"/>
      <c r="C8" s="288"/>
      <c r="D8" s="288"/>
      <c r="E8" s="289"/>
      <c r="U8" s="3" t="s">
        <v>113</v>
      </c>
    </row>
    <row r="9" spans="2:42">
      <c r="B9" s="287"/>
      <c r="C9" s="288"/>
      <c r="D9" s="288"/>
      <c r="E9" s="289"/>
    </row>
    <row r="10" spans="2:42" ht="21" thickBot="1">
      <c r="B10" s="290"/>
      <c r="C10" s="291"/>
      <c r="D10" s="291"/>
      <c r="E10" s="292"/>
    </row>
    <row r="12" spans="2:42" ht="21" thickBot="1">
      <c r="B12" t="s">
        <v>1328</v>
      </c>
    </row>
    <row r="13" spans="2:42">
      <c r="B13" s="80" t="s">
        <v>544</v>
      </c>
      <c r="C13" s="81" t="s">
        <v>60</v>
      </c>
      <c r="D13" s="81" t="s">
        <v>61</v>
      </c>
      <c r="E13" s="82" t="s">
        <v>62</v>
      </c>
    </row>
    <row r="14" spans="2:42">
      <c r="B14" s="263" t="s">
        <v>1198</v>
      </c>
      <c r="C14" s="30" t="s">
        <v>1307</v>
      </c>
      <c r="D14" s="125">
        <v>9.25</v>
      </c>
      <c r="E14" s="92" t="s">
        <v>94</v>
      </c>
    </row>
    <row r="15" spans="2:42">
      <c r="B15" s="263" t="s">
        <v>1329</v>
      </c>
      <c r="C15" s="30" t="s">
        <v>1340</v>
      </c>
      <c r="D15" s="125">
        <v>50</v>
      </c>
      <c r="E15" s="92" t="s">
        <v>6</v>
      </c>
    </row>
    <row r="16" spans="2:42">
      <c r="B16" s="263" t="s">
        <v>1368</v>
      </c>
      <c r="C16" s="30" t="s">
        <v>1210</v>
      </c>
      <c r="D16" s="125">
        <v>60</v>
      </c>
      <c r="E16" s="92" t="s">
        <v>6</v>
      </c>
    </row>
    <row r="17" spans="2:30">
      <c r="B17" s="263" t="s">
        <v>1327</v>
      </c>
      <c r="C17" s="30" t="s">
        <v>1341</v>
      </c>
      <c r="D17" s="30">
        <f>D15+D16</f>
        <v>110</v>
      </c>
      <c r="E17" s="92" t="s">
        <v>6</v>
      </c>
    </row>
    <row r="18" spans="2:30">
      <c r="B18" s="263" t="s">
        <v>1331</v>
      </c>
      <c r="C18" s="30" t="s">
        <v>460</v>
      </c>
      <c r="D18" s="125">
        <v>20</v>
      </c>
      <c r="E18" s="92" t="s">
        <v>401</v>
      </c>
    </row>
    <row r="19" spans="2:30">
      <c r="B19" s="263" t="s">
        <v>1150</v>
      </c>
      <c r="C19" s="30" t="s">
        <v>413</v>
      </c>
      <c r="D19" s="125">
        <v>5.5</v>
      </c>
      <c r="E19" s="92" t="s">
        <v>553</v>
      </c>
    </row>
    <row r="20" spans="2:30">
      <c r="B20" s="263" t="s">
        <v>1247</v>
      </c>
      <c r="C20" s="30" t="s">
        <v>577</v>
      </c>
      <c r="D20" s="125">
        <v>25</v>
      </c>
      <c r="E20" s="92" t="s">
        <v>5</v>
      </c>
    </row>
    <row r="21" spans="2:30" ht="21" thickBot="1">
      <c r="B21" s="264" t="s">
        <v>1366</v>
      </c>
      <c r="C21" s="101" t="s">
        <v>421</v>
      </c>
      <c r="D21" s="265">
        <v>1.0900000000000001</v>
      </c>
      <c r="E21" s="102" t="s">
        <v>46</v>
      </c>
    </row>
    <row r="23" spans="2:30" ht="21" thickBot="1">
      <c r="B23" t="s">
        <v>543</v>
      </c>
      <c r="G23" t="s">
        <v>403</v>
      </c>
      <c r="L23" s="3"/>
      <c r="O23" s="3"/>
      <c r="Q23" s="3" t="s">
        <v>1360</v>
      </c>
      <c r="V23" s="3" t="s">
        <v>40</v>
      </c>
      <c r="W23" s="3"/>
      <c r="X23" s="3"/>
      <c r="Y23" s="3"/>
      <c r="AA23" s="47" t="s">
        <v>50</v>
      </c>
    </row>
    <row r="24" spans="2:30">
      <c r="B24" s="80" t="s">
        <v>544</v>
      </c>
      <c r="C24" s="81" t="s">
        <v>60</v>
      </c>
      <c r="D24" s="81" t="s">
        <v>61</v>
      </c>
      <c r="E24" s="82" t="s">
        <v>62</v>
      </c>
      <c r="G24" s="10" t="s">
        <v>563</v>
      </c>
      <c r="H24" s="10" t="s">
        <v>60</v>
      </c>
      <c r="I24" s="10" t="s">
        <v>61</v>
      </c>
      <c r="J24" s="10" t="s">
        <v>62</v>
      </c>
      <c r="L24" s="10" t="s">
        <v>59</v>
      </c>
      <c r="M24" s="10" t="s">
        <v>60</v>
      </c>
      <c r="N24" s="10" t="s">
        <v>61</v>
      </c>
      <c r="O24" s="10" t="s">
        <v>62</v>
      </c>
      <c r="Q24" s="10" t="s">
        <v>563</v>
      </c>
      <c r="R24" s="10" t="s">
        <v>60</v>
      </c>
      <c r="S24" s="10" t="s">
        <v>61</v>
      </c>
      <c r="T24" s="10" t="s">
        <v>62</v>
      </c>
      <c r="V24" s="10" t="s">
        <v>59</v>
      </c>
      <c r="W24" s="10" t="s">
        <v>60</v>
      </c>
      <c r="X24" s="10" t="s">
        <v>61</v>
      </c>
      <c r="Y24" s="10" t="s">
        <v>62</v>
      </c>
      <c r="AA24" s="10" t="s">
        <v>563</v>
      </c>
      <c r="AB24" s="10" t="s">
        <v>60</v>
      </c>
      <c r="AC24" s="10" t="s">
        <v>61</v>
      </c>
      <c r="AD24" s="10" t="s">
        <v>62</v>
      </c>
    </row>
    <row r="25" spans="2:30" ht="21" thickBot="1">
      <c r="B25" s="83" t="s">
        <v>549</v>
      </c>
      <c r="C25" s="50" t="s">
        <v>1307</v>
      </c>
      <c r="D25" s="50">
        <f>I25</f>
        <v>10.5</v>
      </c>
      <c r="E25" s="84" t="s">
        <v>94</v>
      </c>
      <c r="G25" s="1" t="s">
        <v>405</v>
      </c>
      <c r="H25" s="1" t="s">
        <v>1307</v>
      </c>
      <c r="I25" s="21">
        <v>10.5</v>
      </c>
      <c r="J25" s="1" t="s">
        <v>94</v>
      </c>
      <c r="L25" s="19" t="s">
        <v>266</v>
      </c>
      <c r="M25" s="19" t="s">
        <v>267</v>
      </c>
      <c r="N25" s="273">
        <v>10.5</v>
      </c>
      <c r="O25" s="19" t="s">
        <v>268</v>
      </c>
      <c r="Q25" s="50" t="s">
        <v>592</v>
      </c>
      <c r="R25" s="50" t="s">
        <v>1211</v>
      </c>
      <c r="S25" s="30"/>
      <c r="T25" s="30" t="s">
        <v>410</v>
      </c>
      <c r="V25" s="1" t="s">
        <v>576</v>
      </c>
      <c r="W25" s="1" t="s">
        <v>460</v>
      </c>
      <c r="X25" s="1">
        <f>AZ13*2</f>
        <v>0</v>
      </c>
      <c r="Y25" s="1" t="s">
        <v>401</v>
      </c>
      <c r="Z25" s="3"/>
      <c r="AA25" s="1" t="s">
        <v>425</v>
      </c>
      <c r="AB25" s="1" t="s">
        <v>426</v>
      </c>
      <c r="AC25" s="1" t="e">
        <f>(AC54*#REF!)/(AC37*AC49)</f>
        <v>#REF!</v>
      </c>
      <c r="AD25" s="1" t="s">
        <v>46</v>
      </c>
    </row>
    <row r="26" spans="2:30" ht="21" thickTop="1">
      <c r="B26" s="83" t="s">
        <v>550</v>
      </c>
      <c r="C26" s="50" t="s">
        <v>1209</v>
      </c>
      <c r="D26" s="50">
        <f>I46+I47</f>
        <v>49.341030000000003</v>
      </c>
      <c r="E26" s="84" t="s">
        <v>6</v>
      </c>
      <c r="G26" s="1" t="s">
        <v>1308</v>
      </c>
      <c r="H26" s="1" t="s">
        <v>1310</v>
      </c>
      <c r="I26" s="21">
        <f>D26</f>
        <v>49.341030000000003</v>
      </c>
      <c r="J26" s="1" t="s">
        <v>94</v>
      </c>
      <c r="L26" s="2" t="s">
        <v>1376</v>
      </c>
      <c r="M26" s="2" t="s">
        <v>176</v>
      </c>
      <c r="N26" s="4">
        <v>2</v>
      </c>
      <c r="O26" s="2" t="s">
        <v>263</v>
      </c>
      <c r="Q26" s="50" t="s">
        <v>1321</v>
      </c>
      <c r="R26" s="50" t="s">
        <v>1213</v>
      </c>
      <c r="S26" s="30"/>
      <c r="T26" s="30" t="s">
        <v>410</v>
      </c>
      <c r="V26" s="1" t="s">
        <v>480</v>
      </c>
      <c r="W26" s="1" t="s">
        <v>577</v>
      </c>
      <c r="X26" s="1">
        <f>AY13*2</f>
        <v>0</v>
      </c>
      <c r="Y26" s="1" t="s">
        <v>5</v>
      </c>
      <c r="Z26" s="3"/>
      <c r="AA26" s="1" t="s">
        <v>50</v>
      </c>
      <c r="AB26" s="1" t="s">
        <v>476</v>
      </c>
      <c r="AC26" s="61">
        <v>0</v>
      </c>
      <c r="AD26" s="1">
        <v>0</v>
      </c>
    </row>
    <row r="27" spans="2:30">
      <c r="B27" s="83" t="s">
        <v>1367</v>
      </c>
      <c r="C27" s="50" t="s">
        <v>1210</v>
      </c>
      <c r="D27" s="50">
        <f>I48</f>
        <v>60</v>
      </c>
      <c r="E27" s="84" t="s">
        <v>6</v>
      </c>
      <c r="G27" s="1" t="s">
        <v>1309</v>
      </c>
      <c r="H27" s="1" t="s">
        <v>1306</v>
      </c>
      <c r="I27" s="21">
        <f>D27</f>
        <v>60</v>
      </c>
      <c r="J27" s="1" t="s">
        <v>94</v>
      </c>
      <c r="L27" s="1" t="s">
        <v>264</v>
      </c>
      <c r="M27" s="1" t="s">
        <v>265</v>
      </c>
      <c r="N27" s="21">
        <v>0</v>
      </c>
      <c r="O27" s="1" t="s">
        <v>263</v>
      </c>
      <c r="Q27" s="50" t="s">
        <v>1324</v>
      </c>
      <c r="R27" s="50" t="s">
        <v>1214</v>
      </c>
      <c r="S27" s="30"/>
      <c r="T27" s="30" t="s">
        <v>410</v>
      </c>
      <c r="V27" s="1" t="s">
        <v>546</v>
      </c>
      <c r="W27" s="1" t="s">
        <v>551</v>
      </c>
      <c r="X27" s="1" t="e">
        <f>(X26*X26)/X25</f>
        <v>#DIV/0!</v>
      </c>
      <c r="Y27" s="1" t="s">
        <v>46</v>
      </c>
      <c r="Z27" s="3"/>
      <c r="AA27" s="59" t="s">
        <v>484</v>
      </c>
      <c r="AB27" s="59" t="s">
        <v>485</v>
      </c>
      <c r="AC27" s="61">
        <f>AC26</f>
        <v>0</v>
      </c>
      <c r="AD27" s="1" t="s">
        <v>401</v>
      </c>
    </row>
    <row r="28" spans="2:30">
      <c r="B28" s="83" t="s">
        <v>567</v>
      </c>
      <c r="C28" s="50" t="s">
        <v>1341</v>
      </c>
      <c r="D28" s="50">
        <f>I49</f>
        <v>0</v>
      </c>
      <c r="E28" s="84" t="s">
        <v>6</v>
      </c>
      <c r="G28" s="1" t="s">
        <v>1334</v>
      </c>
      <c r="H28" s="1" t="s">
        <v>1325</v>
      </c>
      <c r="I28" s="21">
        <f>D28</f>
        <v>0</v>
      </c>
      <c r="J28" s="1" t="s">
        <v>94</v>
      </c>
      <c r="L28" s="2" t="s">
        <v>455</v>
      </c>
      <c r="M28" s="2" t="s">
        <v>456</v>
      </c>
      <c r="N28" s="4">
        <v>0</v>
      </c>
      <c r="O28" s="2" t="s">
        <v>457</v>
      </c>
      <c r="Q28" s="72" t="s">
        <v>365</v>
      </c>
      <c r="R28" s="72" t="s">
        <v>366</v>
      </c>
      <c r="S28" s="31"/>
      <c r="T28" s="31" t="s">
        <v>410</v>
      </c>
      <c r="V28" s="1" t="s">
        <v>578</v>
      </c>
      <c r="W28" s="1" t="s">
        <v>579</v>
      </c>
      <c r="X28" s="1" t="e">
        <f>(2/X25)*BC13</f>
        <v>#DIV/0!</v>
      </c>
      <c r="Y28" s="1" t="s">
        <v>5</v>
      </c>
      <c r="Z28" s="3"/>
      <c r="AA28" s="50" t="s">
        <v>336</v>
      </c>
      <c r="AB28" s="50" t="s">
        <v>337</v>
      </c>
      <c r="AC28" s="50"/>
      <c r="AD28" s="50"/>
    </row>
    <row r="29" spans="2:30" ht="21" thickBot="1">
      <c r="B29" s="85" t="s">
        <v>564</v>
      </c>
      <c r="C29" s="71" t="s">
        <v>565</v>
      </c>
      <c r="D29" s="76">
        <v>3</v>
      </c>
      <c r="E29" s="86" t="s">
        <v>566</v>
      </c>
      <c r="G29" s="1" t="s">
        <v>407</v>
      </c>
      <c r="H29" s="1" t="s">
        <v>408</v>
      </c>
      <c r="I29" s="1"/>
      <c r="J29" s="1" t="s">
        <v>94</v>
      </c>
      <c r="L29" s="1"/>
      <c r="M29" s="1" t="s">
        <v>461</v>
      </c>
      <c r="N29" s="21">
        <v>0</v>
      </c>
      <c r="O29" s="1" t="s">
        <v>457</v>
      </c>
      <c r="Q29" s="52" t="s">
        <v>370</v>
      </c>
      <c r="R29" s="52" t="s">
        <v>371</v>
      </c>
      <c r="S29" s="74"/>
      <c r="T29" s="74" t="s">
        <v>477</v>
      </c>
      <c r="V29" s="19" t="s">
        <v>580</v>
      </c>
      <c r="W29" s="19" t="s">
        <v>415</v>
      </c>
      <c r="X29" s="19" t="e">
        <f>(2*BD13)/X25</f>
        <v>#DIV/0!</v>
      </c>
      <c r="Y29" s="19" t="s">
        <v>5</v>
      </c>
      <c r="Z29" s="3"/>
      <c r="AA29" s="50" t="s">
        <v>327</v>
      </c>
      <c r="AB29" s="50" t="s">
        <v>328</v>
      </c>
      <c r="AC29" s="50"/>
      <c r="AD29" s="50"/>
    </row>
    <row r="30" spans="2:30" ht="22" thickTop="1" thickBot="1">
      <c r="B30" s="87" t="s">
        <v>545</v>
      </c>
      <c r="C30" s="54" t="s">
        <v>460</v>
      </c>
      <c r="D30" s="54">
        <v>17.649999999999999</v>
      </c>
      <c r="E30" s="88" t="s">
        <v>401</v>
      </c>
      <c r="G30" s="1" t="s">
        <v>1342</v>
      </c>
      <c r="H30" s="1" t="s">
        <v>409</v>
      </c>
      <c r="I30" s="1" t="s">
        <v>1252</v>
      </c>
      <c r="J30" s="1" t="s">
        <v>94</v>
      </c>
      <c r="L30" s="19"/>
      <c r="M30" s="19" t="s">
        <v>464</v>
      </c>
      <c r="N30" s="273">
        <v>0</v>
      </c>
      <c r="O30" s="19" t="s">
        <v>457</v>
      </c>
      <c r="Q30" s="58" t="s">
        <v>594</v>
      </c>
      <c r="R30" s="58" t="s">
        <v>1215</v>
      </c>
      <c r="S30" s="46"/>
      <c r="T30" s="46" t="s">
        <v>410</v>
      </c>
      <c r="V30" s="2" t="s">
        <v>1386</v>
      </c>
      <c r="W30" s="1" t="s">
        <v>460</v>
      </c>
      <c r="X30" s="1">
        <f>BV6</f>
        <v>0</v>
      </c>
      <c r="Y30" s="24" t="s">
        <v>401</v>
      </c>
      <c r="Z30" s="3"/>
      <c r="AA30" s="58" t="s">
        <v>294</v>
      </c>
      <c r="AB30" s="58" t="s">
        <v>295</v>
      </c>
      <c r="AC30" s="58"/>
      <c r="AD30" s="58"/>
    </row>
    <row r="31" spans="2:30" ht="21" thickTop="1">
      <c r="B31" s="83" t="s">
        <v>548</v>
      </c>
      <c r="C31" s="50" t="s">
        <v>413</v>
      </c>
      <c r="D31" s="50">
        <f>D28/D30</f>
        <v>0</v>
      </c>
      <c r="E31" s="84" t="s">
        <v>553</v>
      </c>
      <c r="G31" s="1" t="s">
        <v>1326</v>
      </c>
      <c r="H31" s="1" t="s">
        <v>406</v>
      </c>
      <c r="I31" s="1">
        <f>I29*SQRT(D29)</f>
        <v>0</v>
      </c>
      <c r="J31" s="1" t="s">
        <v>94</v>
      </c>
      <c r="L31" s="24" t="s">
        <v>1374</v>
      </c>
      <c r="M31" s="24" t="s">
        <v>467</v>
      </c>
      <c r="N31" s="45">
        <v>0</v>
      </c>
      <c r="O31" s="24" t="s">
        <v>5</v>
      </c>
      <c r="Q31" s="50" t="s">
        <v>595</v>
      </c>
      <c r="R31" s="50" t="s">
        <v>1216</v>
      </c>
      <c r="S31" s="30"/>
      <c r="T31" s="30" t="s">
        <v>410</v>
      </c>
      <c r="V31" s="1" t="s">
        <v>1387</v>
      </c>
      <c r="W31" s="1" t="s">
        <v>577</v>
      </c>
      <c r="X31" s="1">
        <f>BV7</f>
        <v>0</v>
      </c>
      <c r="Y31" s="1" t="s">
        <v>5</v>
      </c>
      <c r="Z31" s="3"/>
      <c r="AA31" s="50" t="s">
        <v>296</v>
      </c>
      <c r="AB31" s="50" t="s">
        <v>297</v>
      </c>
      <c r="AC31" s="50"/>
      <c r="AD31" s="50"/>
    </row>
    <row r="32" spans="2:30">
      <c r="B32" s="83" t="s">
        <v>1247</v>
      </c>
      <c r="C32" s="50" t="s">
        <v>577</v>
      </c>
      <c r="D32" s="50"/>
      <c r="E32" s="84" t="s">
        <v>5</v>
      </c>
      <c r="G32" s="1" t="s">
        <v>1312</v>
      </c>
      <c r="H32" s="1" t="s">
        <v>1313</v>
      </c>
      <c r="I32" s="1">
        <f>D28</f>
        <v>0</v>
      </c>
      <c r="J32" s="1" t="s">
        <v>94</v>
      </c>
      <c r="L32" s="1" t="s">
        <v>1373</v>
      </c>
      <c r="M32" s="1" t="s">
        <v>469</v>
      </c>
      <c r="N32" s="21">
        <v>0</v>
      </c>
      <c r="O32" s="1" t="s">
        <v>315</v>
      </c>
      <c r="Q32" s="50" t="s">
        <v>1319</v>
      </c>
      <c r="R32" s="50" t="s">
        <v>570</v>
      </c>
      <c r="S32" s="30"/>
      <c r="T32" s="30" t="s">
        <v>410</v>
      </c>
      <c r="V32" s="1" t="s">
        <v>546</v>
      </c>
      <c r="W32" s="1" t="s">
        <v>551</v>
      </c>
      <c r="X32" s="1">
        <f>BV8</f>
        <v>0</v>
      </c>
      <c r="Y32" s="1" t="s">
        <v>46</v>
      </c>
      <c r="Z32" s="3"/>
      <c r="AA32" s="50" t="s">
        <v>298</v>
      </c>
      <c r="AB32" s="50" t="s">
        <v>299</v>
      </c>
      <c r="AC32" s="50"/>
      <c r="AD32" s="50"/>
    </row>
    <row r="33" spans="2:30" ht="21" thickBot="1">
      <c r="B33" s="83" t="s">
        <v>546</v>
      </c>
      <c r="C33" s="50" t="s">
        <v>551</v>
      </c>
      <c r="D33" s="50"/>
      <c r="E33" s="84" t="s">
        <v>46</v>
      </c>
      <c r="G33" s="1" t="s">
        <v>1305</v>
      </c>
      <c r="H33" s="1" t="s">
        <v>1314</v>
      </c>
      <c r="I33" s="1"/>
      <c r="J33" s="1" t="s">
        <v>94</v>
      </c>
      <c r="L33" s="19" t="s">
        <v>471</v>
      </c>
      <c r="M33" s="19" t="s">
        <v>472</v>
      </c>
      <c r="N33" s="273">
        <v>0</v>
      </c>
      <c r="O33" s="19" t="s">
        <v>315</v>
      </c>
      <c r="Q33" s="50" t="s">
        <v>1320</v>
      </c>
      <c r="R33" s="50" t="s">
        <v>570</v>
      </c>
      <c r="S33" s="30"/>
      <c r="T33" s="30" t="s">
        <v>410</v>
      </c>
      <c r="V33" s="1" t="s">
        <v>578</v>
      </c>
      <c r="W33" s="1" t="s">
        <v>552</v>
      </c>
      <c r="X33" s="1">
        <f>BV9</f>
        <v>0</v>
      </c>
      <c r="Y33" s="1" t="s">
        <v>5</v>
      </c>
      <c r="Z33" s="3" t="s">
        <v>113</v>
      </c>
      <c r="AA33" s="50" t="s">
        <v>300</v>
      </c>
      <c r="AB33" s="50" t="s">
        <v>301</v>
      </c>
      <c r="AC33" s="50"/>
      <c r="AD33" s="50"/>
    </row>
    <row r="34" spans="2:30" ht="22" thickTop="1" thickBot="1">
      <c r="B34" s="89" t="s">
        <v>547</v>
      </c>
      <c r="C34" s="72" t="s">
        <v>552</v>
      </c>
      <c r="D34" s="72"/>
      <c r="E34" s="90" t="s">
        <v>5</v>
      </c>
      <c r="G34" s="1" t="s">
        <v>411</v>
      </c>
      <c r="H34" s="1" t="s">
        <v>1315</v>
      </c>
      <c r="I34" s="1"/>
      <c r="J34" s="1" t="s">
        <v>94</v>
      </c>
      <c r="L34" s="2" t="s">
        <v>269</v>
      </c>
      <c r="M34" s="2" t="s">
        <v>270</v>
      </c>
      <c r="N34" s="274">
        <v>100</v>
      </c>
      <c r="O34" s="2" t="s">
        <v>37</v>
      </c>
      <c r="Q34" s="50" t="s">
        <v>1316</v>
      </c>
      <c r="R34" s="50" t="s">
        <v>571</v>
      </c>
      <c r="S34" s="30"/>
      <c r="T34" s="30" t="s">
        <v>410</v>
      </c>
      <c r="V34" s="19" t="s">
        <v>580</v>
      </c>
      <c r="W34" s="19" t="s">
        <v>415</v>
      </c>
      <c r="X34" s="19">
        <f>BV10</f>
        <v>0</v>
      </c>
      <c r="Y34" s="19" t="s">
        <v>5</v>
      </c>
      <c r="Z34" s="3"/>
      <c r="AA34" s="50" t="s">
        <v>302</v>
      </c>
      <c r="AB34" s="50" t="s">
        <v>303</v>
      </c>
      <c r="AC34" s="50"/>
      <c r="AD34" s="50"/>
    </row>
    <row r="35" spans="2:30" ht="21" thickTop="1">
      <c r="B35" s="91" t="s">
        <v>554</v>
      </c>
      <c r="C35" s="50" t="s">
        <v>470</v>
      </c>
      <c r="D35" s="50">
        <f>機体重量!D6</f>
        <v>-1.6246022553475584E-17</v>
      </c>
      <c r="E35" s="84"/>
      <c r="K35" s="47"/>
      <c r="L35" s="1" t="s">
        <v>1371</v>
      </c>
      <c r="M35" s="1" t="s">
        <v>1372</v>
      </c>
      <c r="N35" s="272">
        <v>0</v>
      </c>
      <c r="O35" s="1" t="s">
        <v>6</v>
      </c>
      <c r="Q35" s="50" t="s">
        <v>1317</v>
      </c>
      <c r="R35" s="50" t="s">
        <v>572</v>
      </c>
      <c r="S35" s="30"/>
      <c r="T35" s="30" t="s">
        <v>410</v>
      </c>
      <c r="V35" s="1" t="s">
        <v>412</v>
      </c>
      <c r="W35" s="1" t="s">
        <v>413</v>
      </c>
      <c r="X35" s="1"/>
      <c r="Y35" s="1" t="s">
        <v>414</v>
      </c>
      <c r="AA35" s="50" t="s">
        <v>304</v>
      </c>
      <c r="AB35" s="50" t="s">
        <v>305</v>
      </c>
      <c r="AC35" s="50"/>
      <c r="AD35" s="50"/>
    </row>
    <row r="36" spans="2:30" ht="21" thickBot="1">
      <c r="B36" s="129" t="s">
        <v>561</v>
      </c>
      <c r="C36" s="52" t="s">
        <v>474</v>
      </c>
      <c r="D36" s="74"/>
      <c r="E36" s="100"/>
      <c r="G36" s="47" t="s">
        <v>404</v>
      </c>
      <c r="Q36" s="50" t="s">
        <v>1318</v>
      </c>
      <c r="R36" s="50" t="s">
        <v>573</v>
      </c>
      <c r="S36" s="30"/>
      <c r="T36" s="30" t="s">
        <v>410</v>
      </c>
      <c r="V36" s="1" t="s">
        <v>302</v>
      </c>
      <c r="W36" s="1" t="s">
        <v>303</v>
      </c>
      <c r="X36" s="21">
        <v>0.25</v>
      </c>
      <c r="Y36" s="1" t="s">
        <v>45</v>
      </c>
      <c r="AA36" s="50" t="s">
        <v>310</v>
      </c>
      <c r="AB36" s="50" t="s">
        <v>45</v>
      </c>
      <c r="AC36" s="50"/>
      <c r="AD36" s="50"/>
    </row>
    <row r="37" spans="2:30" ht="21" thickTop="1">
      <c r="B37" s="95" t="s">
        <v>439</v>
      </c>
      <c r="C37" s="58"/>
      <c r="D37" s="77" t="s">
        <v>854</v>
      </c>
      <c r="E37" s="94"/>
      <c r="G37" s="10" t="s">
        <v>563</v>
      </c>
      <c r="H37" s="10" t="s">
        <v>60</v>
      </c>
      <c r="I37" s="10" t="s">
        <v>61</v>
      </c>
      <c r="J37" s="10" t="s">
        <v>62</v>
      </c>
      <c r="L37" t="s">
        <v>1375</v>
      </c>
      <c r="P37" s="47"/>
      <c r="Q37" s="50" t="s">
        <v>360</v>
      </c>
      <c r="R37" s="50" t="s">
        <v>574</v>
      </c>
      <c r="S37" s="30"/>
      <c r="T37" s="30" t="s">
        <v>410</v>
      </c>
      <c r="V37" s="1" t="s">
        <v>304</v>
      </c>
      <c r="W37" s="1" t="s">
        <v>305</v>
      </c>
      <c r="X37" s="1"/>
      <c r="Y37" s="1" t="s">
        <v>45</v>
      </c>
      <c r="AA37" s="59" t="s">
        <v>493</v>
      </c>
      <c r="AB37" s="59" t="s">
        <v>494</v>
      </c>
      <c r="AC37" s="62">
        <v>1</v>
      </c>
      <c r="AD37" s="1" t="s">
        <v>46</v>
      </c>
    </row>
    <row r="38" spans="2:30" ht="21" thickBot="1">
      <c r="B38" s="91" t="s">
        <v>555</v>
      </c>
      <c r="C38" s="30"/>
      <c r="D38" s="30"/>
      <c r="E38" s="92"/>
      <c r="G38" s="50" t="s">
        <v>1356</v>
      </c>
      <c r="H38" s="50" t="s">
        <v>174</v>
      </c>
      <c r="I38" s="50"/>
      <c r="J38" s="50"/>
      <c r="L38" s="10" t="s">
        <v>563</v>
      </c>
      <c r="M38" s="10" t="s">
        <v>60</v>
      </c>
      <c r="N38" s="10" t="s">
        <v>61</v>
      </c>
      <c r="O38" s="10" t="s">
        <v>62</v>
      </c>
      <c r="P38" s="47"/>
      <c r="Q38" s="52" t="s">
        <v>368</v>
      </c>
      <c r="R38" s="52" t="s">
        <v>369</v>
      </c>
      <c r="S38" s="74"/>
      <c r="T38" s="74" t="s">
        <v>410</v>
      </c>
      <c r="V38" s="1" t="s">
        <v>165</v>
      </c>
      <c r="W38" s="1" t="s">
        <v>162</v>
      </c>
      <c r="X38" s="1"/>
      <c r="Y38" s="1" t="s">
        <v>45</v>
      </c>
      <c r="AA38" s="1" t="s">
        <v>46</v>
      </c>
      <c r="AB38" s="1" t="s">
        <v>429</v>
      </c>
      <c r="AC38" s="1" t="e">
        <f>IF(#REF!="Conventional",(2*S23*(180/PI()))/(PI()*AC42),0)</f>
        <v>#REF!</v>
      </c>
      <c r="AD38" s="1" t="s">
        <v>46</v>
      </c>
    </row>
    <row r="39" spans="2:30" ht="22" thickTop="1" thickBot="1">
      <c r="B39" s="96" t="s">
        <v>556</v>
      </c>
      <c r="C39" s="31"/>
      <c r="D39" s="31"/>
      <c r="E39" s="97"/>
      <c r="G39" s="50" t="s">
        <v>1335</v>
      </c>
      <c r="H39" s="50" t="s">
        <v>1336</v>
      </c>
      <c r="I39" s="50"/>
      <c r="J39" s="50"/>
      <c r="L39" s="30" t="s">
        <v>1382</v>
      </c>
      <c r="M39" s="30"/>
      <c r="N39" s="30"/>
      <c r="O39" s="30"/>
      <c r="Q39" s="54" t="s">
        <v>1322</v>
      </c>
      <c r="R39" s="29" t="s">
        <v>1352</v>
      </c>
      <c r="S39" s="29"/>
      <c r="T39" s="29"/>
      <c r="V39" s="1" t="s">
        <v>308</v>
      </c>
      <c r="W39" s="1" t="s">
        <v>441</v>
      </c>
      <c r="X39" s="1"/>
      <c r="Y39" s="1" t="s">
        <v>263</v>
      </c>
      <c r="AA39" s="1" t="s">
        <v>430</v>
      </c>
      <c r="AB39" s="1" t="s">
        <v>431</v>
      </c>
      <c r="AC39" s="21">
        <v>1</v>
      </c>
      <c r="AD39" s="1" t="s">
        <v>46</v>
      </c>
    </row>
    <row r="40" spans="2:30" ht="22" thickTop="1" thickBot="1">
      <c r="B40" s="98" t="s">
        <v>557</v>
      </c>
      <c r="C40" s="29"/>
      <c r="D40" s="29"/>
      <c r="E40" s="99"/>
      <c r="G40" s="50" t="s">
        <v>1338</v>
      </c>
      <c r="H40" s="50" t="s">
        <v>1339</v>
      </c>
      <c r="I40" s="50"/>
      <c r="J40" s="50"/>
      <c r="L40" s="30" t="s">
        <v>1383</v>
      </c>
      <c r="M40" s="30"/>
      <c r="N40" s="30"/>
      <c r="O40" s="30"/>
      <c r="Q40" s="52" t="s">
        <v>1323</v>
      </c>
      <c r="R40" s="74" t="s">
        <v>1353</v>
      </c>
      <c r="S40" s="74"/>
      <c r="T40" s="74"/>
      <c r="V40" s="50" t="s">
        <v>306</v>
      </c>
      <c r="W40" s="50" t="s">
        <v>307</v>
      </c>
      <c r="X40" s="1"/>
      <c r="Y40" s="1" t="s">
        <v>263</v>
      </c>
    </row>
    <row r="41" spans="2:30" ht="21" thickTop="1">
      <c r="B41" s="91" t="s">
        <v>558</v>
      </c>
      <c r="C41" s="30"/>
      <c r="D41" s="30"/>
      <c r="E41" s="92"/>
      <c r="G41" s="50" t="s">
        <v>568</v>
      </c>
      <c r="H41" s="50" t="s">
        <v>600</v>
      </c>
      <c r="I41" s="50"/>
      <c r="J41" s="50"/>
      <c r="L41" s="30" t="s">
        <v>1363</v>
      </c>
      <c r="M41" s="30"/>
      <c r="N41" s="30"/>
      <c r="O41" s="30"/>
      <c r="Q41" s="58" t="s">
        <v>1212</v>
      </c>
      <c r="R41" s="58" t="s">
        <v>363</v>
      </c>
      <c r="S41" s="46"/>
      <c r="T41" s="46" t="s">
        <v>46</v>
      </c>
      <c r="V41" s="1" t="s">
        <v>589</v>
      </c>
      <c r="W41" s="1" t="s">
        <v>432</v>
      </c>
      <c r="X41" s="1">
        <f>BV13</f>
        <v>0</v>
      </c>
      <c r="Y41" s="1" t="s">
        <v>423</v>
      </c>
      <c r="AA41" s="47" t="s">
        <v>51</v>
      </c>
    </row>
    <row r="42" spans="2:30" ht="21" thickBot="1">
      <c r="B42" s="93" t="s">
        <v>559</v>
      </c>
      <c r="C42" s="74"/>
      <c r="D42" s="74"/>
      <c r="E42" s="100"/>
      <c r="G42" s="50" t="s">
        <v>569</v>
      </c>
      <c r="H42" s="50" t="s">
        <v>1337</v>
      </c>
      <c r="I42" s="50"/>
      <c r="J42" s="50"/>
      <c r="L42" s="30" t="s">
        <v>1364</v>
      </c>
      <c r="M42" s="30"/>
      <c r="N42" s="30"/>
      <c r="O42" s="30"/>
      <c r="Q42" s="50" t="s">
        <v>562</v>
      </c>
      <c r="R42" s="50" t="s">
        <v>363</v>
      </c>
      <c r="S42" s="30"/>
      <c r="T42" s="30" t="s">
        <v>46</v>
      </c>
      <c r="V42" s="50" t="s">
        <v>308</v>
      </c>
      <c r="W42" s="50" t="s">
        <v>309</v>
      </c>
      <c r="X42" s="1"/>
      <c r="Y42" s="1" t="s">
        <v>263</v>
      </c>
      <c r="AA42" s="10" t="s">
        <v>563</v>
      </c>
      <c r="AB42" s="10" t="s">
        <v>60</v>
      </c>
      <c r="AC42" s="10" t="s">
        <v>61</v>
      </c>
      <c r="AD42" s="10" t="s">
        <v>62</v>
      </c>
    </row>
    <row r="43" spans="2:30" ht="22" thickTop="1" thickBot="1">
      <c r="B43" s="268" t="s">
        <v>560</v>
      </c>
      <c r="C43" s="269"/>
      <c r="D43" s="270" t="s">
        <v>855</v>
      </c>
      <c r="E43" s="271"/>
      <c r="L43" s="30" t="s">
        <v>1378</v>
      </c>
      <c r="M43" s="30"/>
      <c r="N43" s="30"/>
      <c r="O43" s="30"/>
      <c r="Q43" s="24" t="s">
        <v>487</v>
      </c>
      <c r="R43" s="24" t="s">
        <v>475</v>
      </c>
      <c r="S43" s="24"/>
      <c r="T43" s="24" t="s">
        <v>488</v>
      </c>
      <c r="V43" s="50" t="s">
        <v>310</v>
      </c>
      <c r="W43" s="50" t="s">
        <v>45</v>
      </c>
      <c r="X43" s="1"/>
      <c r="Y43" s="1" t="s">
        <v>263</v>
      </c>
      <c r="AA43" s="1" t="s">
        <v>427</v>
      </c>
      <c r="AB43" s="1" t="s">
        <v>428</v>
      </c>
      <c r="AC43" s="60" t="e">
        <f>(AC46*AH23)/(AC41*AC37)</f>
        <v>#DIV/0!</v>
      </c>
      <c r="AD43" s="1" t="s">
        <v>46</v>
      </c>
    </row>
    <row r="44" spans="2:30">
      <c r="G44" s="3" t="s">
        <v>1385</v>
      </c>
      <c r="H44" s="3"/>
      <c r="I44" s="3"/>
      <c r="J44" s="3"/>
      <c r="L44" s="30" t="s">
        <v>1377</v>
      </c>
      <c r="M44" s="30"/>
      <c r="N44" s="30"/>
      <c r="O44" s="30"/>
      <c r="Q44" s="1" t="s">
        <v>492</v>
      </c>
      <c r="R44" s="1" t="s">
        <v>21</v>
      </c>
      <c r="S44" s="1"/>
      <c r="T44" s="1" t="s">
        <v>488</v>
      </c>
      <c r="V44" s="50" t="s">
        <v>311</v>
      </c>
      <c r="W44" s="50" t="s">
        <v>312</v>
      </c>
      <c r="X44" s="1"/>
      <c r="Y44" s="1" t="s">
        <v>263</v>
      </c>
      <c r="AA44" s="1" t="s">
        <v>51</v>
      </c>
      <c r="AB44" s="1" t="s">
        <v>478</v>
      </c>
      <c r="AC44" s="61">
        <v>0</v>
      </c>
      <c r="AD44" s="1">
        <v>0</v>
      </c>
    </row>
    <row r="45" spans="2:30" ht="21" thickBot="1">
      <c r="G45" s="10" t="s">
        <v>563</v>
      </c>
      <c r="H45" s="10" t="s">
        <v>60</v>
      </c>
      <c r="I45" s="10" t="s">
        <v>61</v>
      </c>
      <c r="J45" s="10" t="s">
        <v>62</v>
      </c>
      <c r="L45" s="30" t="s">
        <v>1365</v>
      </c>
      <c r="M45" s="30"/>
      <c r="N45" s="30"/>
      <c r="O45" s="30"/>
      <c r="Q45" s="19" t="s">
        <v>497</v>
      </c>
      <c r="R45" s="19" t="s">
        <v>410</v>
      </c>
      <c r="S45" s="19"/>
      <c r="T45" s="19" t="s">
        <v>488</v>
      </c>
      <c r="V45" s="52" t="s">
        <v>313</v>
      </c>
      <c r="W45" s="52" t="s">
        <v>314</v>
      </c>
      <c r="X45" s="19"/>
      <c r="Y45" s="19" t="s">
        <v>263</v>
      </c>
      <c r="AA45" s="59" t="s">
        <v>258</v>
      </c>
      <c r="AB45" s="59" t="s">
        <v>491</v>
      </c>
      <c r="AC45" s="61">
        <v>0</v>
      </c>
      <c r="AD45" s="1" t="s">
        <v>401</v>
      </c>
    </row>
    <row r="46" spans="2:30" ht="21" thickTop="1">
      <c r="G46" s="59" t="s">
        <v>1370</v>
      </c>
      <c r="H46" s="1" t="s">
        <v>1340</v>
      </c>
      <c r="I46" s="1">
        <f>機体重量!C7</f>
        <v>49.341030000000003</v>
      </c>
      <c r="J46" s="1" t="s">
        <v>6</v>
      </c>
      <c r="L46" s="30" t="s">
        <v>1379</v>
      </c>
      <c r="M46" s="30"/>
      <c r="N46" s="30"/>
      <c r="O46" s="30"/>
      <c r="Q46" s="58" t="s">
        <v>1361</v>
      </c>
      <c r="R46" s="58" t="s">
        <v>340</v>
      </c>
      <c r="S46" s="46"/>
      <c r="T46" s="46" t="s">
        <v>46</v>
      </c>
      <c r="V46" s="2" t="s">
        <v>445</v>
      </c>
      <c r="W46" s="2" t="s">
        <v>446</v>
      </c>
      <c r="X46" s="2"/>
      <c r="Y46" s="2" t="s">
        <v>423</v>
      </c>
      <c r="AA46" s="50" t="s">
        <v>1388</v>
      </c>
      <c r="AB46" s="50" t="s">
        <v>332</v>
      </c>
      <c r="AC46" s="50"/>
      <c r="AD46" s="50"/>
    </row>
    <row r="47" spans="2:30">
      <c r="G47" s="59" t="s">
        <v>1371</v>
      </c>
      <c r="H47" s="1" t="s">
        <v>1372</v>
      </c>
      <c r="I47" s="1">
        <v>0</v>
      </c>
      <c r="J47" s="1" t="s">
        <v>6</v>
      </c>
      <c r="L47" s="30" t="s">
        <v>1380</v>
      </c>
      <c r="M47" s="30"/>
      <c r="N47" s="30"/>
      <c r="O47" s="30"/>
      <c r="Q47" s="50" t="s">
        <v>341</v>
      </c>
      <c r="R47" s="50" t="s">
        <v>342</v>
      </c>
      <c r="S47" s="30"/>
      <c r="T47" s="30" t="s">
        <v>46</v>
      </c>
      <c r="V47" s="1"/>
      <c r="W47" s="1" t="s">
        <v>448</v>
      </c>
      <c r="X47" s="61"/>
      <c r="Y47" s="1" t="s">
        <v>423</v>
      </c>
      <c r="AA47" s="50" t="s">
        <v>333</v>
      </c>
      <c r="AB47" s="50" t="s">
        <v>334</v>
      </c>
      <c r="AC47" s="50"/>
      <c r="AD47" s="50"/>
    </row>
    <row r="48" spans="2:30">
      <c r="G48" s="59" t="s">
        <v>1369</v>
      </c>
      <c r="H48" s="1" t="s">
        <v>1210</v>
      </c>
      <c r="I48" s="1">
        <f>D16</f>
        <v>60</v>
      </c>
      <c r="J48" s="1" t="s">
        <v>6</v>
      </c>
      <c r="L48" s="30" t="s">
        <v>1381</v>
      </c>
      <c r="M48" s="30"/>
      <c r="N48" s="30"/>
      <c r="O48" s="30"/>
      <c r="Q48" s="50" t="s">
        <v>287</v>
      </c>
      <c r="R48" s="50" t="s">
        <v>343</v>
      </c>
      <c r="S48" s="30"/>
      <c r="T48" s="30" t="s">
        <v>46</v>
      </c>
      <c r="V48" s="1" t="s">
        <v>46</v>
      </c>
      <c r="W48" s="1" t="s">
        <v>451</v>
      </c>
      <c r="X48" s="61"/>
      <c r="Y48" s="1" t="s">
        <v>418</v>
      </c>
      <c r="AA48" s="50" t="s">
        <v>335</v>
      </c>
      <c r="AB48" s="50" t="s">
        <v>301</v>
      </c>
      <c r="AC48" s="50"/>
      <c r="AD48" s="50"/>
    </row>
    <row r="49" spans="7:30">
      <c r="G49" s="59" t="s">
        <v>593</v>
      </c>
      <c r="H49" s="1" t="s">
        <v>1341</v>
      </c>
      <c r="I49" s="1"/>
      <c r="J49" s="1" t="s">
        <v>410</v>
      </c>
      <c r="L49" s="30" t="s">
        <v>1384</v>
      </c>
      <c r="M49" s="30"/>
      <c r="N49" s="30"/>
      <c r="O49" s="30"/>
      <c r="Q49" s="50" t="s">
        <v>290</v>
      </c>
      <c r="R49" s="50" t="s">
        <v>344</v>
      </c>
      <c r="S49" s="30"/>
      <c r="T49" s="30" t="s">
        <v>46</v>
      </c>
      <c r="V49" s="1" t="s">
        <v>46</v>
      </c>
      <c r="W49" s="1" t="s">
        <v>454</v>
      </c>
      <c r="X49" s="61"/>
      <c r="Y49" s="1" t="s">
        <v>418</v>
      </c>
      <c r="AA49" s="50" t="s">
        <v>294</v>
      </c>
      <c r="AB49" s="50" t="s">
        <v>295</v>
      </c>
      <c r="AC49" s="50"/>
      <c r="AD49" s="50"/>
    </row>
    <row r="50" spans="7:30" ht="21" thickBot="1">
      <c r="G50" s="1" t="s">
        <v>280</v>
      </c>
      <c r="H50" s="1" t="s">
        <v>462</v>
      </c>
      <c r="I50" s="1"/>
      <c r="J50" s="1" t="s">
        <v>5</v>
      </c>
      <c r="Q50" s="52" t="s">
        <v>292</v>
      </c>
      <c r="R50" s="52" t="s">
        <v>345</v>
      </c>
      <c r="S50" s="74"/>
      <c r="T50" s="74" t="s">
        <v>46</v>
      </c>
      <c r="V50" s="1" t="s">
        <v>46</v>
      </c>
      <c r="W50" s="1" t="s">
        <v>459</v>
      </c>
      <c r="X50" s="61"/>
      <c r="Y50" s="1" t="s">
        <v>418</v>
      </c>
      <c r="AA50" s="50" t="s">
        <v>296</v>
      </c>
      <c r="AB50" s="50" t="s">
        <v>297</v>
      </c>
      <c r="AC50" s="50"/>
      <c r="AD50" s="50"/>
    </row>
    <row r="51" spans="7:30" ht="21" thickTop="1">
      <c r="G51" s="1" t="s">
        <v>465</v>
      </c>
      <c r="H51" s="1" t="s">
        <v>466</v>
      </c>
      <c r="I51" s="1"/>
      <c r="J51" s="1" t="s">
        <v>5</v>
      </c>
      <c r="Q51" s="58" t="s">
        <v>346</v>
      </c>
      <c r="R51" s="58" t="s">
        <v>347</v>
      </c>
      <c r="S51" s="46"/>
      <c r="T51" s="46" t="s">
        <v>423</v>
      </c>
      <c r="V51" s="1" t="s">
        <v>46</v>
      </c>
      <c r="W51" s="1" t="s">
        <v>463</v>
      </c>
      <c r="X51" s="61"/>
      <c r="Y51" s="1" t="s">
        <v>418</v>
      </c>
      <c r="AA51" s="50" t="s">
        <v>298</v>
      </c>
      <c r="AB51" s="50" t="s">
        <v>299</v>
      </c>
      <c r="AC51" s="50"/>
      <c r="AD51" s="50"/>
    </row>
    <row r="52" spans="7:30">
      <c r="G52" s="1"/>
      <c r="H52" s="1" t="s">
        <v>468</v>
      </c>
      <c r="I52" s="1"/>
      <c r="J52" s="1" t="s">
        <v>5</v>
      </c>
      <c r="Q52" s="50" t="s">
        <v>287</v>
      </c>
      <c r="R52" s="50" t="s">
        <v>349</v>
      </c>
      <c r="S52" s="30"/>
      <c r="T52" s="30" t="s">
        <v>423</v>
      </c>
      <c r="V52" s="1" t="s">
        <v>46</v>
      </c>
      <c r="W52" s="1" t="s">
        <v>417</v>
      </c>
      <c r="X52" s="1"/>
      <c r="Y52" s="1" t="s">
        <v>418</v>
      </c>
      <c r="AA52" s="50" t="s">
        <v>300</v>
      </c>
      <c r="AB52" s="50" t="s">
        <v>301</v>
      </c>
      <c r="AC52" s="50"/>
      <c r="AD52" s="50"/>
    </row>
    <row r="53" spans="7:30">
      <c r="G53" s="1" t="s">
        <v>280</v>
      </c>
      <c r="H53" s="1" t="s">
        <v>470</v>
      </c>
      <c r="I53" s="1"/>
      <c r="J53" s="1" t="s">
        <v>46</v>
      </c>
      <c r="L53" s="3" t="s">
        <v>1343</v>
      </c>
      <c r="Q53" s="50" t="s">
        <v>290</v>
      </c>
      <c r="R53" s="50" t="s">
        <v>350</v>
      </c>
      <c r="S53" s="30"/>
      <c r="T53" s="30" t="s">
        <v>348</v>
      </c>
      <c r="V53" s="1" t="s">
        <v>46</v>
      </c>
      <c r="W53" s="1" t="s">
        <v>419</v>
      </c>
      <c r="X53" s="1"/>
      <c r="Y53" s="1" t="s">
        <v>418</v>
      </c>
      <c r="AA53" s="1" t="s">
        <v>434</v>
      </c>
      <c r="AB53" s="1" t="s">
        <v>435</v>
      </c>
      <c r="AC53" s="21">
        <v>0</v>
      </c>
      <c r="AD53" s="1" t="s">
        <v>46</v>
      </c>
    </row>
    <row r="54" spans="7:30" ht="21" thickBot="1">
      <c r="G54" s="1" t="s">
        <v>473</v>
      </c>
      <c r="H54" s="1" t="s">
        <v>474</v>
      </c>
      <c r="I54" s="1"/>
      <c r="J54" s="1" t="s">
        <v>46</v>
      </c>
      <c r="L54" s="10" t="s">
        <v>563</v>
      </c>
      <c r="M54" s="10" t="s">
        <v>60</v>
      </c>
      <c r="N54" s="10" t="s">
        <v>61</v>
      </c>
      <c r="O54" s="10" t="s">
        <v>62</v>
      </c>
      <c r="Q54" s="52" t="s">
        <v>292</v>
      </c>
      <c r="R54" s="52" t="s">
        <v>351</v>
      </c>
      <c r="S54" s="74"/>
      <c r="T54" s="74" t="s">
        <v>348</v>
      </c>
      <c r="V54" s="1" t="s">
        <v>46</v>
      </c>
      <c r="W54" s="1" t="s">
        <v>422</v>
      </c>
      <c r="X54" s="1"/>
      <c r="Y54" s="1" t="s">
        <v>423</v>
      </c>
      <c r="AA54" s="275"/>
      <c r="AB54" s="275" t="s">
        <v>500</v>
      </c>
      <c r="AC54" s="276">
        <v>0.8</v>
      </c>
      <c r="AD54" s="185" t="s">
        <v>46</v>
      </c>
    </row>
    <row r="55" spans="7:30" ht="21" thickTop="1">
      <c r="G55" s="1" t="s">
        <v>1237</v>
      </c>
      <c r="H55" s="1" t="s">
        <v>470</v>
      </c>
      <c r="I55" s="1"/>
      <c r="J55" s="1" t="s">
        <v>46</v>
      </c>
      <c r="L55" s="1" t="s">
        <v>1344</v>
      </c>
      <c r="M55" s="30"/>
      <c r="N55" s="30"/>
      <c r="O55" s="30"/>
      <c r="Q55" s="2" t="s">
        <v>442</v>
      </c>
      <c r="R55" s="2" t="s">
        <v>450</v>
      </c>
      <c r="S55" s="2" t="e">
        <f>#REF!+#REF!*(#REF!/S65)+S57*(#REF!/S65)+(D37*(#REF!/S65)+#REF!*(#REF!/S65))*D38</f>
        <v>#REF!</v>
      </c>
      <c r="T55" s="2" t="s">
        <v>46</v>
      </c>
      <c r="V55" s="30"/>
      <c r="W55" s="30"/>
      <c r="X55" s="30"/>
      <c r="Y55" s="30"/>
      <c r="AA55" s="2"/>
      <c r="AB55" s="8" t="s">
        <v>446</v>
      </c>
      <c r="AC55" s="78">
        <v>0</v>
      </c>
      <c r="AD55" s="7" t="s">
        <v>423</v>
      </c>
    </row>
    <row r="56" spans="7:30">
      <c r="G56" s="1" t="s">
        <v>1311</v>
      </c>
      <c r="H56" s="1" t="s">
        <v>470</v>
      </c>
      <c r="I56" s="1"/>
      <c r="J56" s="1" t="s">
        <v>5</v>
      </c>
      <c r="L56" s="1" t="s">
        <v>1345</v>
      </c>
      <c r="M56" s="30"/>
      <c r="N56" s="30"/>
      <c r="O56" s="30"/>
      <c r="Q56" s="2" t="s">
        <v>442</v>
      </c>
      <c r="R56" s="2" t="s">
        <v>450</v>
      </c>
      <c r="S56" s="2" t="e">
        <f>#REF!+S57*(#REF!/S66)+S58*(#REF!/S66)+(#REF!*(#REF!/S66)+D38*(#REF!/S66))*#REF!</f>
        <v>#REF!</v>
      </c>
      <c r="T56" s="2" t="s">
        <v>46</v>
      </c>
      <c r="AA56" s="1"/>
      <c r="AB56" s="9" t="s">
        <v>417</v>
      </c>
      <c r="AC56" s="61">
        <v>0</v>
      </c>
      <c r="AD56" s="22" t="s">
        <v>418</v>
      </c>
    </row>
    <row r="57" spans="7:30">
      <c r="G57" s="59" t="s">
        <v>24</v>
      </c>
      <c r="H57" s="1" t="s">
        <v>26</v>
      </c>
      <c r="I57" s="28"/>
      <c r="J57" s="1" t="s">
        <v>424</v>
      </c>
      <c r="L57" s="1" t="s">
        <v>1351</v>
      </c>
      <c r="M57" s="30"/>
      <c r="N57" s="30"/>
      <c r="O57" s="30"/>
      <c r="Q57" s="2" t="s">
        <v>442</v>
      </c>
      <c r="R57" s="2" t="s">
        <v>450</v>
      </c>
      <c r="S57" s="2" t="e">
        <f>S58+S59*(#REF!/#REF!)+S60*(#REF!/#REF!)+(#REF!*(#REF!/#REF!)+D39*(#REF!/#REF!))*D40</f>
        <v>#REF!</v>
      </c>
      <c r="T57" s="2" t="s">
        <v>46</v>
      </c>
      <c r="V57" t="s">
        <v>42</v>
      </c>
      <c r="AA57" s="1"/>
      <c r="AB57" s="9" t="s">
        <v>419</v>
      </c>
      <c r="AC57" s="61">
        <v>0</v>
      </c>
      <c r="AD57" s="22" t="s">
        <v>418</v>
      </c>
    </row>
    <row r="58" spans="7:30">
      <c r="G58" s="59"/>
      <c r="H58" s="1" t="s">
        <v>28</v>
      </c>
      <c r="I58" s="28"/>
      <c r="J58" s="1" t="s">
        <v>424</v>
      </c>
      <c r="L58" s="1" t="s">
        <v>1346</v>
      </c>
      <c r="M58" s="30"/>
      <c r="N58" s="30"/>
      <c r="O58" s="30"/>
      <c r="Q58" s="1" t="s">
        <v>40</v>
      </c>
      <c r="R58" s="1" t="s">
        <v>453</v>
      </c>
      <c r="S58" s="1">
        <v>1.7113168423305021E-2</v>
      </c>
      <c r="T58" s="2" t="s">
        <v>46</v>
      </c>
      <c r="V58" t="s">
        <v>1389</v>
      </c>
    </row>
    <row r="59" spans="7:30">
      <c r="G59" s="59"/>
      <c r="H59" s="1" t="s">
        <v>30</v>
      </c>
      <c r="I59" s="28"/>
      <c r="J59" s="1" t="s">
        <v>424</v>
      </c>
      <c r="L59" s="1" t="s">
        <v>1347</v>
      </c>
      <c r="M59" s="30"/>
      <c r="N59" s="30"/>
      <c r="O59" s="30"/>
      <c r="Q59" s="1" t="s">
        <v>50</v>
      </c>
      <c r="R59" s="1" t="s">
        <v>449</v>
      </c>
      <c r="S59" s="1">
        <v>9.3619884584271104E-3</v>
      </c>
      <c r="T59" s="2" t="s">
        <v>46</v>
      </c>
      <c r="V59" s="253" t="s">
        <v>1390</v>
      </c>
      <c r="AA59" s="47" t="s">
        <v>7</v>
      </c>
    </row>
    <row r="60" spans="7:30">
      <c r="G60" s="59"/>
      <c r="H60" s="1" t="s">
        <v>32</v>
      </c>
      <c r="I60" s="28"/>
      <c r="J60" s="1" t="s">
        <v>424</v>
      </c>
      <c r="L60" s="1" t="s">
        <v>1348</v>
      </c>
      <c r="M60" s="30"/>
      <c r="N60" s="30"/>
      <c r="O60" s="30"/>
      <c r="Q60" s="1" t="s">
        <v>51</v>
      </c>
      <c r="R60" s="1" t="s">
        <v>452</v>
      </c>
      <c r="S60" s="1">
        <v>8.867077996424633E-3</v>
      </c>
      <c r="T60" s="2" t="s">
        <v>46</v>
      </c>
      <c r="V60" s="253" t="s">
        <v>1391</v>
      </c>
      <c r="AA60" s="10" t="s">
        <v>563</v>
      </c>
      <c r="AB60" s="10" t="s">
        <v>60</v>
      </c>
      <c r="AC60" s="10" t="s">
        <v>61</v>
      </c>
      <c r="AD60" s="10" t="s">
        <v>62</v>
      </c>
    </row>
    <row r="61" spans="7:30">
      <c r="G61" s="59"/>
      <c r="H61" s="1" t="s">
        <v>34</v>
      </c>
      <c r="I61" s="28"/>
      <c r="J61" s="1" t="s">
        <v>424</v>
      </c>
      <c r="L61" s="1" t="s">
        <v>1349</v>
      </c>
      <c r="M61" s="30"/>
      <c r="N61" s="30"/>
      <c r="O61" s="30"/>
      <c r="Q61" s="50" t="s">
        <v>352</v>
      </c>
      <c r="R61" s="50" t="s">
        <v>353</v>
      </c>
      <c r="S61" s="30"/>
      <c r="T61" s="30" t="s">
        <v>46</v>
      </c>
      <c r="AA61" s="30" t="s">
        <v>286</v>
      </c>
      <c r="AB61" s="30" t="s">
        <v>479</v>
      </c>
      <c r="AC61" s="30"/>
      <c r="AD61" s="30" t="s">
        <v>401</v>
      </c>
    </row>
    <row r="62" spans="7:30">
      <c r="G62" s="59"/>
      <c r="H62" s="1" t="s">
        <v>433</v>
      </c>
      <c r="I62" s="28"/>
      <c r="J62" s="1" t="s">
        <v>424</v>
      </c>
      <c r="L62" s="1" t="s">
        <v>1350</v>
      </c>
      <c r="M62" s="30"/>
      <c r="N62" s="30"/>
      <c r="O62" s="30"/>
      <c r="Q62" s="50" t="s">
        <v>287</v>
      </c>
      <c r="R62" s="50" t="s">
        <v>354</v>
      </c>
      <c r="S62" s="30"/>
      <c r="T62" s="30" t="s">
        <v>46</v>
      </c>
      <c r="AA62" s="1" t="s">
        <v>442</v>
      </c>
      <c r="AB62" s="1" t="s">
        <v>481</v>
      </c>
      <c r="AC62" s="21">
        <v>0.2</v>
      </c>
      <c r="AD62" s="1" t="s">
        <v>46</v>
      </c>
    </row>
    <row r="63" spans="7:30">
      <c r="Q63" s="50" t="s">
        <v>290</v>
      </c>
      <c r="R63" s="50" t="s">
        <v>355</v>
      </c>
      <c r="S63" s="30"/>
      <c r="T63" s="30" t="s">
        <v>46</v>
      </c>
      <c r="AA63" s="1" t="s">
        <v>166</v>
      </c>
      <c r="AB63" s="1" t="s">
        <v>483</v>
      </c>
      <c r="AC63" s="1"/>
      <c r="AD63" s="1" t="s">
        <v>46</v>
      </c>
    </row>
    <row r="64" spans="7:30">
      <c r="Q64" s="50" t="s">
        <v>292</v>
      </c>
      <c r="R64" s="50" t="s">
        <v>356</v>
      </c>
      <c r="S64" s="30"/>
      <c r="T64" s="30" t="s">
        <v>46</v>
      </c>
      <c r="AA64" s="1" t="s">
        <v>489</v>
      </c>
      <c r="AB64" s="1" t="s">
        <v>490</v>
      </c>
      <c r="AC64" s="1"/>
      <c r="AD64" s="1" t="s">
        <v>5</v>
      </c>
    </row>
    <row r="65" spans="2:30">
      <c r="B65" t="s">
        <v>1151</v>
      </c>
      <c r="Q65" s="50" t="s">
        <v>41</v>
      </c>
      <c r="R65" s="50" t="s">
        <v>357</v>
      </c>
      <c r="S65" s="30"/>
      <c r="T65" s="30" t="s">
        <v>46</v>
      </c>
      <c r="AA65" s="1" t="s">
        <v>416</v>
      </c>
      <c r="AB65" s="1" t="s">
        <v>174</v>
      </c>
      <c r="AC65" s="1"/>
      <c r="AD65" s="1" t="s">
        <v>315</v>
      </c>
    </row>
    <row r="66" spans="2:30">
      <c r="B66" s="10" t="s">
        <v>593</v>
      </c>
      <c r="C66" s="12" t="s">
        <v>645</v>
      </c>
      <c r="D66" s="10" t="s">
        <v>1331</v>
      </c>
      <c r="F66" s="10" t="s">
        <v>1150</v>
      </c>
      <c r="G66" s="10" t="s">
        <v>1330</v>
      </c>
      <c r="H66" s="12" t="s">
        <v>1247</v>
      </c>
      <c r="I66" s="10" t="s">
        <v>1248</v>
      </c>
      <c r="J66" s="10" t="s">
        <v>1251</v>
      </c>
      <c r="K66" s="241" t="s">
        <v>1240</v>
      </c>
      <c r="L66" s="10" t="s">
        <v>1304</v>
      </c>
      <c r="M66" s="10" t="s">
        <v>1250</v>
      </c>
      <c r="Q66" s="50" t="s">
        <v>358</v>
      </c>
      <c r="R66" s="50" t="s">
        <v>359</v>
      </c>
      <c r="S66" s="30"/>
      <c r="T66" s="30" t="s">
        <v>46</v>
      </c>
      <c r="AA66" s="1" t="s">
        <v>498</v>
      </c>
      <c r="AB66" s="1" t="s">
        <v>173</v>
      </c>
      <c r="AC66" s="63">
        <v>0.51759999999999995</v>
      </c>
      <c r="AD66" s="1" t="s">
        <v>499</v>
      </c>
    </row>
    <row r="67" spans="2:30" ht="21" thickBot="1">
      <c r="B67" s="11" t="s">
        <v>6</v>
      </c>
      <c r="C67" s="15" t="s">
        <v>94</v>
      </c>
      <c r="D67" s="11" t="s">
        <v>401</v>
      </c>
      <c r="F67" s="11" t="s">
        <v>553</v>
      </c>
      <c r="G67" s="11" t="s">
        <v>421</v>
      </c>
      <c r="H67" s="15" t="s">
        <v>5</v>
      </c>
      <c r="I67" s="11" t="s">
        <v>1249</v>
      </c>
      <c r="J67" s="11" t="s">
        <v>586</v>
      </c>
      <c r="L67" s="11" t="s">
        <v>421</v>
      </c>
      <c r="M67" s="11" t="s">
        <v>421</v>
      </c>
      <c r="Q67" s="52" t="s">
        <v>360</v>
      </c>
      <c r="R67" s="52" t="s">
        <v>361</v>
      </c>
      <c r="S67" s="74"/>
      <c r="T67" s="74" t="s">
        <v>46</v>
      </c>
      <c r="AA67" s="59" t="s">
        <v>56</v>
      </c>
      <c r="AB67" s="59" t="s">
        <v>482</v>
      </c>
      <c r="AC67" s="61">
        <v>0</v>
      </c>
      <c r="AD67" s="1" t="s">
        <v>401</v>
      </c>
    </row>
    <row r="68" spans="2:30" ht="21" thickTop="1">
      <c r="B68" s="4">
        <v>110</v>
      </c>
      <c r="C68" s="5">
        <v>9</v>
      </c>
      <c r="D68" s="4">
        <v>20</v>
      </c>
      <c r="E68" s="241" t="s">
        <v>1240</v>
      </c>
      <c r="F68" s="8">
        <f>B68/D68</f>
        <v>5.5</v>
      </c>
      <c r="G68" s="2">
        <f>2*B68*パラメータ!$D$5/(パラメータ!$D$4*C68^2*D68)</f>
        <v>1.1540890238358996</v>
      </c>
      <c r="H68" s="5">
        <v>25</v>
      </c>
      <c r="I68" s="4">
        <v>0.01</v>
      </c>
      <c r="J68" s="4">
        <v>0.97</v>
      </c>
      <c r="L68" s="2">
        <f>SQRT(PI()*J68*H68^2*I68/D68)</f>
        <v>0.97585617440246075</v>
      </c>
      <c r="M68" s="2">
        <f>L68*SQRT(3)</f>
        <v>1.6902324749448572</v>
      </c>
      <c r="Q68" s="58" t="s">
        <v>364</v>
      </c>
      <c r="R68" s="58" t="s">
        <v>163</v>
      </c>
      <c r="S68" s="46"/>
      <c r="T68" s="46" t="s">
        <v>46</v>
      </c>
    </row>
    <row r="71" spans="2:30">
      <c r="B71" s="238" t="s">
        <v>1362</v>
      </c>
      <c r="C71" s="238"/>
      <c r="D71" s="238" t="s">
        <v>1236</v>
      </c>
      <c r="E71" s="238"/>
      <c r="M71" t="s">
        <v>1392</v>
      </c>
    </row>
    <row r="72" spans="2:30">
      <c r="B72" s="239" t="s">
        <v>1218</v>
      </c>
      <c r="C72" s="239" t="s">
        <v>1219</v>
      </c>
      <c r="D72" s="239" t="s">
        <v>1220</v>
      </c>
      <c r="E72" s="239" t="s">
        <v>1221</v>
      </c>
      <c r="F72" s="238"/>
    </row>
    <row r="73" spans="2:30">
      <c r="B73" s="1" t="s">
        <v>1217</v>
      </c>
      <c r="C73" s="240" t="s">
        <v>164</v>
      </c>
      <c r="D73" s="240">
        <v>-2.1259525859102582E-2</v>
      </c>
      <c r="E73" s="240" t="s">
        <v>348</v>
      </c>
      <c r="F73" s="238" t="s">
        <v>1222</v>
      </c>
    </row>
    <row r="74" spans="2:30">
      <c r="B74" s="30"/>
      <c r="C74" s="240" t="s">
        <v>376</v>
      </c>
      <c r="D74" s="240">
        <v>-3.5348031907810407E-3</v>
      </c>
      <c r="E74" s="240" t="s">
        <v>348</v>
      </c>
      <c r="F74" s="238" t="s">
        <v>1223</v>
      </c>
    </row>
    <row r="75" spans="2:30" ht="21" thickBot="1">
      <c r="B75" s="74"/>
      <c r="C75" s="267" t="s">
        <v>377</v>
      </c>
      <c r="D75" s="267">
        <v>-7.2687868614908593E-4</v>
      </c>
      <c r="E75" s="267" t="s">
        <v>348</v>
      </c>
      <c r="F75" s="238" t="s">
        <v>1224</v>
      </c>
    </row>
    <row r="76" spans="2:30" ht="21" thickTop="1">
      <c r="B76" s="266" t="s">
        <v>1225</v>
      </c>
      <c r="C76" s="266" t="s">
        <v>380</v>
      </c>
      <c r="D76" s="266">
        <v>7.8428070041118145</v>
      </c>
      <c r="E76" s="266" t="s">
        <v>381</v>
      </c>
      <c r="F76" s="238" t="s">
        <v>1226</v>
      </c>
    </row>
    <row r="77" spans="2:30">
      <c r="B77" s="240"/>
      <c r="C77" s="240" t="s">
        <v>382</v>
      </c>
      <c r="D77" s="240">
        <v>0.87670856015748988</v>
      </c>
      <c r="E77" s="240" t="s">
        <v>45</v>
      </c>
      <c r="F77" s="238" t="s">
        <v>1227</v>
      </c>
    </row>
    <row r="78" spans="2:30">
      <c r="B78" s="240"/>
      <c r="C78" s="240" t="s">
        <v>383</v>
      </c>
      <c r="D78" s="240">
        <v>3.7725621894990891</v>
      </c>
      <c r="E78" s="240" t="s">
        <v>381</v>
      </c>
      <c r="F78" s="238" t="s">
        <v>1228</v>
      </c>
    </row>
    <row r="79" spans="2:30">
      <c r="B79" s="240"/>
      <c r="C79" s="240" t="s">
        <v>384</v>
      </c>
      <c r="D79" s="240">
        <v>1.6654954886280751</v>
      </c>
      <c r="E79" s="240" t="s">
        <v>385</v>
      </c>
      <c r="F79" s="238"/>
    </row>
    <row r="80" spans="2:30">
      <c r="B80" s="240" t="s">
        <v>386</v>
      </c>
      <c r="C80" s="240" t="s">
        <v>387</v>
      </c>
      <c r="D80" s="240">
        <v>0.75105852973804899</v>
      </c>
      <c r="E80" s="240" t="s">
        <v>381</v>
      </c>
      <c r="F80" s="238" t="s">
        <v>1226</v>
      </c>
    </row>
    <row r="81" spans="2:19">
      <c r="B81" s="240"/>
      <c r="C81" s="240" t="s">
        <v>388</v>
      </c>
      <c r="D81" s="240">
        <v>3.9152561550565471E-2</v>
      </c>
      <c r="E81" s="240" t="s">
        <v>45</v>
      </c>
      <c r="F81" s="238" t="s">
        <v>1227</v>
      </c>
    </row>
    <row r="82" spans="2:19">
      <c r="B82" s="240"/>
      <c r="C82" s="240" t="s">
        <v>389</v>
      </c>
      <c r="D82" s="240">
        <v>0.75048265148332072</v>
      </c>
      <c r="E82" s="240" t="s">
        <v>381</v>
      </c>
      <c r="F82" s="238" t="s">
        <v>1228</v>
      </c>
      <c r="P82" t="s">
        <v>1303</v>
      </c>
      <c r="S82" t="s">
        <v>642</v>
      </c>
    </row>
    <row r="83" spans="2:19">
      <c r="B83" s="240"/>
      <c r="C83" s="240" t="s">
        <v>390</v>
      </c>
      <c r="D83" s="240">
        <v>8.3721926079982527</v>
      </c>
      <c r="E83" s="240" t="s">
        <v>385</v>
      </c>
      <c r="F83" s="238"/>
      <c r="S83" t="s">
        <v>643</v>
      </c>
    </row>
    <row r="84" spans="2:19">
      <c r="B84" s="240" t="s">
        <v>391</v>
      </c>
      <c r="C84" s="240" t="s">
        <v>392</v>
      </c>
      <c r="D84" s="240">
        <v>0.65785677532253051</v>
      </c>
      <c r="E84" s="240" t="s">
        <v>381</v>
      </c>
      <c r="F84" s="238" t="s">
        <v>1229</v>
      </c>
    </row>
    <row r="85" spans="2:19">
      <c r="B85" s="240"/>
      <c r="C85" s="240" t="s">
        <v>393</v>
      </c>
      <c r="D85" s="240">
        <v>-0.27746935749900542</v>
      </c>
      <c r="E85" s="240"/>
      <c r="F85" s="238" t="s">
        <v>1230</v>
      </c>
    </row>
    <row r="86" spans="2:19">
      <c r="B86" s="240"/>
      <c r="C86" s="240" t="s">
        <v>392</v>
      </c>
      <c r="D86" s="240">
        <v>0.63202569194856273</v>
      </c>
      <c r="E86" s="240" t="s">
        <v>381</v>
      </c>
      <c r="F86" s="238" t="s">
        <v>1231</v>
      </c>
    </row>
    <row r="87" spans="2:19">
      <c r="B87" s="240"/>
      <c r="C87" s="240" t="s">
        <v>394</v>
      </c>
      <c r="D87" s="240">
        <v>9.9413447700334014</v>
      </c>
      <c r="E87" s="240" t="s">
        <v>385</v>
      </c>
      <c r="F87" s="238"/>
    </row>
    <row r="88" spans="2:19">
      <c r="B88" s="240" t="s">
        <v>395</v>
      </c>
      <c r="C88" s="240" t="s">
        <v>396</v>
      </c>
      <c r="D88" s="240">
        <v>0.68430302609252724</v>
      </c>
      <c r="E88" s="240"/>
      <c r="F88" s="238" t="s">
        <v>1232</v>
      </c>
    </row>
    <row r="89" spans="2:19">
      <c r="B89" s="240"/>
      <c r="C89" s="240" t="s">
        <v>1233</v>
      </c>
      <c r="D89" s="240">
        <v>-1.0129243246488613</v>
      </c>
      <c r="E89" s="240" t="s">
        <v>385</v>
      </c>
      <c r="F89" s="238" t="s">
        <v>1234</v>
      </c>
    </row>
    <row r="90" spans="2:19">
      <c r="B90" s="240" t="s">
        <v>398</v>
      </c>
      <c r="C90" s="240" t="s">
        <v>399</v>
      </c>
      <c r="D90" s="240">
        <v>25.886284975450245</v>
      </c>
      <c r="E90" s="240"/>
      <c r="F90" s="238" t="s">
        <v>1235</v>
      </c>
    </row>
    <row r="93" spans="2:19">
      <c r="B93" t="s">
        <v>1393</v>
      </c>
    </row>
    <row r="94" spans="2:19">
      <c r="C94" t="s">
        <v>1198</v>
      </c>
      <c r="D94" t="s">
        <v>1200</v>
      </c>
      <c r="E94" t="s">
        <v>1201</v>
      </c>
      <c r="F94" t="s">
        <v>1203</v>
      </c>
      <c r="G94" t="s">
        <v>1199</v>
      </c>
      <c r="H94" t="s">
        <v>1202</v>
      </c>
    </row>
    <row r="95" spans="2:19">
      <c r="C95">
        <v>12.5</v>
      </c>
      <c r="D95">
        <v>48.417999999999999</v>
      </c>
      <c r="E95">
        <v>33.234999999999999</v>
      </c>
      <c r="F95">
        <v>-0.35</v>
      </c>
      <c r="G95">
        <v>-2.2000000000000002</v>
      </c>
      <c r="H95">
        <f t="shared" ref="H95:H110" si="0">C95/D95</f>
        <v>0.25816844975009295</v>
      </c>
      <c r="I95">
        <f t="shared" ref="I95:I110" si="1">C95/E95</f>
        <v>0.37610952309312473</v>
      </c>
    </row>
    <row r="96" spans="2:19">
      <c r="C96">
        <v>12.25</v>
      </c>
      <c r="D96">
        <v>48.66</v>
      </c>
      <c r="E96">
        <v>33.784999999999997</v>
      </c>
      <c r="F96">
        <v>-0.1</v>
      </c>
      <c r="G96">
        <v>-2.4</v>
      </c>
      <c r="H96">
        <f t="shared" si="0"/>
        <v>0.25174681463214138</v>
      </c>
      <c r="I96">
        <f t="shared" si="1"/>
        <v>0.36258694686991272</v>
      </c>
    </row>
    <row r="97" spans="2:15">
      <c r="C97">
        <v>12</v>
      </c>
      <c r="D97">
        <v>48.869</v>
      </c>
      <c r="E97">
        <v>34.32</v>
      </c>
      <c r="F97">
        <v>0.16</v>
      </c>
      <c r="G97">
        <v>-2.5499999999999998</v>
      </c>
      <c r="H97">
        <f t="shared" si="0"/>
        <v>0.24555444146596</v>
      </c>
      <c r="I97">
        <f t="shared" si="1"/>
        <v>0.34965034965034963</v>
      </c>
    </row>
    <row r="98" spans="2:15">
      <c r="C98">
        <v>11.75</v>
      </c>
      <c r="D98">
        <v>48.905999999999999</v>
      </c>
      <c r="E98">
        <v>34.716999999999999</v>
      </c>
      <c r="F98">
        <v>0.4</v>
      </c>
      <c r="G98">
        <v>-2.7</v>
      </c>
      <c r="H98">
        <f t="shared" si="0"/>
        <v>0.24025681920418762</v>
      </c>
      <c r="I98">
        <f t="shared" si="1"/>
        <v>0.3384509030158136</v>
      </c>
    </row>
    <row r="99" spans="2:15">
      <c r="C99" s="236">
        <v>11.5</v>
      </c>
      <c r="D99" s="236">
        <v>48.941000000000003</v>
      </c>
      <c r="E99" s="236">
        <v>35.173999999999999</v>
      </c>
      <c r="F99" s="236">
        <v>0.7</v>
      </c>
      <c r="G99" s="236">
        <v>-2.9249999999999998</v>
      </c>
      <c r="H99" s="236">
        <f t="shared" si="0"/>
        <v>0.23497680881060867</v>
      </c>
      <c r="I99" s="236">
        <f t="shared" si="1"/>
        <v>0.32694603968840619</v>
      </c>
      <c r="J99" t="s">
        <v>1204</v>
      </c>
      <c r="O99" t="s">
        <v>1357</v>
      </c>
    </row>
    <row r="100" spans="2:15">
      <c r="C100">
        <v>11.25</v>
      </c>
      <c r="D100">
        <v>48.878999999999998</v>
      </c>
      <c r="E100">
        <v>35.572000000000003</v>
      </c>
      <c r="F100">
        <v>1.0149999999999999</v>
      </c>
      <c r="G100">
        <v>-3.17</v>
      </c>
      <c r="H100">
        <f t="shared" si="0"/>
        <v>0.23016019149327932</v>
      </c>
      <c r="I100">
        <f t="shared" si="1"/>
        <v>0.31625997975936126</v>
      </c>
    </row>
    <row r="101" spans="2:15">
      <c r="C101">
        <v>11</v>
      </c>
      <c r="D101">
        <v>48.719000000000001</v>
      </c>
      <c r="E101">
        <v>35.909999999999997</v>
      </c>
      <c r="F101">
        <v>1.35</v>
      </c>
      <c r="G101">
        <v>-3.45</v>
      </c>
      <c r="H101">
        <f t="shared" si="0"/>
        <v>0.22578460149017837</v>
      </c>
      <c r="I101">
        <f t="shared" si="1"/>
        <v>0.30632135895293794</v>
      </c>
    </row>
    <row r="102" spans="2:15">
      <c r="B102" t="s">
        <v>1207</v>
      </c>
      <c r="C102" s="237">
        <v>10.75</v>
      </c>
      <c r="D102" s="237">
        <v>48.491</v>
      </c>
      <c r="E102" s="237">
        <v>36.216000000000001</v>
      </c>
      <c r="F102" s="237">
        <v>1.72</v>
      </c>
      <c r="G102" s="237">
        <v>-3.75</v>
      </c>
      <c r="H102" s="237">
        <f t="shared" si="0"/>
        <v>0.2216906230022066</v>
      </c>
      <c r="I102" s="237">
        <f t="shared" si="1"/>
        <v>0.2968301303291363</v>
      </c>
    </row>
    <row r="103" spans="2:15">
      <c r="C103">
        <v>10.5</v>
      </c>
      <c r="D103">
        <v>48.174999999999997</v>
      </c>
      <c r="E103">
        <v>36.454999999999998</v>
      </c>
      <c r="F103">
        <v>2.11</v>
      </c>
      <c r="G103">
        <v>-4.05</v>
      </c>
      <c r="H103">
        <f t="shared" si="0"/>
        <v>0.21795537104307214</v>
      </c>
      <c r="I103">
        <f t="shared" si="1"/>
        <v>0.28802633383623649</v>
      </c>
    </row>
    <row r="104" spans="2:15">
      <c r="C104">
        <v>10.25</v>
      </c>
      <c r="D104">
        <v>47.731000000000002</v>
      </c>
      <c r="E104">
        <v>36.616999999999997</v>
      </c>
      <c r="F104">
        <v>2.5449999999999999</v>
      </c>
      <c r="G104">
        <v>-4.43</v>
      </c>
      <c r="H104">
        <f t="shared" si="0"/>
        <v>0.21474513418952043</v>
      </c>
      <c r="I104">
        <f t="shared" si="1"/>
        <v>0.2799246251740995</v>
      </c>
    </row>
    <row r="105" spans="2:15">
      <c r="C105" s="236">
        <v>10</v>
      </c>
      <c r="D105" s="236">
        <v>47.162999999999997</v>
      </c>
      <c r="E105" s="236">
        <v>36.695999999999998</v>
      </c>
      <c r="F105" s="236">
        <v>3.03</v>
      </c>
      <c r="G105" s="236">
        <v>-4.8499999999999996</v>
      </c>
      <c r="H105" s="236">
        <f t="shared" si="0"/>
        <v>0.21203061722112673</v>
      </c>
      <c r="I105" s="236">
        <f t="shared" si="1"/>
        <v>0.27250926531502073</v>
      </c>
      <c r="J105" t="s">
        <v>1205</v>
      </c>
    </row>
    <row r="106" spans="2:15">
      <c r="B106" t="s">
        <v>1208</v>
      </c>
      <c r="C106" s="237">
        <v>9.75</v>
      </c>
      <c r="D106" s="237">
        <v>46.384</v>
      </c>
      <c r="E106" s="237">
        <v>36.643000000000001</v>
      </c>
      <c r="F106" s="237">
        <v>3.6</v>
      </c>
      <c r="G106" s="237">
        <v>-5.4</v>
      </c>
      <c r="H106" s="237">
        <f t="shared" si="0"/>
        <v>0.21020179372197309</v>
      </c>
      <c r="I106" s="237">
        <f t="shared" si="1"/>
        <v>0.26608083399284993</v>
      </c>
    </row>
    <row r="107" spans="2:15">
      <c r="C107" s="236">
        <v>9.5</v>
      </c>
      <c r="D107" s="236">
        <v>45.478000000000002</v>
      </c>
      <c r="E107" s="236">
        <v>36.424999999999997</v>
      </c>
      <c r="F107" s="236">
        <v>4.1500000000000004</v>
      </c>
      <c r="G107" s="236">
        <v>-5.9</v>
      </c>
      <c r="H107" s="236">
        <f t="shared" si="0"/>
        <v>0.2088922116188047</v>
      </c>
      <c r="I107" s="236">
        <f t="shared" si="1"/>
        <v>0.26080988332189431</v>
      </c>
      <c r="J107" t="s">
        <v>1206</v>
      </c>
    </row>
    <row r="108" spans="2:15">
      <c r="C108">
        <v>9.25</v>
      </c>
      <c r="D108">
        <v>44.249000000000002</v>
      </c>
      <c r="E108">
        <v>36.003999999999998</v>
      </c>
      <c r="F108">
        <v>4.8499999999999996</v>
      </c>
      <c r="G108">
        <v>-6.5</v>
      </c>
      <c r="H108">
        <f t="shared" si="0"/>
        <v>0.20904427218694208</v>
      </c>
      <c r="I108">
        <f t="shared" si="1"/>
        <v>0.25691589823352962</v>
      </c>
    </row>
    <row r="109" spans="2:15">
      <c r="C109">
        <v>9</v>
      </c>
      <c r="D109">
        <v>42.421999999999997</v>
      </c>
      <c r="E109">
        <v>35.142000000000003</v>
      </c>
      <c r="F109">
        <v>5.73</v>
      </c>
      <c r="G109">
        <v>-7.4</v>
      </c>
      <c r="H109">
        <f t="shared" si="0"/>
        <v>0.21215407100089578</v>
      </c>
      <c r="I109">
        <f t="shared" si="1"/>
        <v>0.25610380740993682</v>
      </c>
    </row>
    <row r="110" spans="2:15">
      <c r="C110">
        <v>8.1</v>
      </c>
      <c r="D110">
        <v>17.273</v>
      </c>
      <c r="E110">
        <v>16.166</v>
      </c>
      <c r="F110">
        <v>15</v>
      </c>
      <c r="G110">
        <v>-17</v>
      </c>
      <c r="H110">
        <f t="shared" si="0"/>
        <v>0.46893996410582989</v>
      </c>
      <c r="I110">
        <f t="shared" si="1"/>
        <v>0.50105158975627861</v>
      </c>
    </row>
  </sheetData>
  <mergeCells count="1">
    <mergeCell ref="B3:E10"/>
  </mergeCells>
  <phoneticPr fontId="3"/>
  <dataValidations count="2">
    <dataValidation type="list" allowBlank="1" showInputMessage="1" showErrorMessage="1" sqref="D37" xr:uid="{B86DEAC5-5A58-4146-BDAD-BEDB642EB61A}">
      <formula1>"T字配置,通常配置"</formula1>
    </dataValidation>
    <dataValidation type="list" allowBlank="1" showInputMessage="1" showErrorMessage="1" sqref="D4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J13"/>
  <sheetViews>
    <sheetView zoomScale="91" zoomScaleNormal="55" workbookViewId="0">
      <selection activeCell="J31" sqref="J31"/>
    </sheetView>
  </sheetViews>
  <sheetFormatPr baseColWidth="10" defaultColWidth="8.7109375" defaultRowHeight="20"/>
  <sheetData>
    <row r="2" spans="2:10">
      <c r="B2" t="s">
        <v>644</v>
      </c>
      <c r="D2" t="s">
        <v>1241</v>
      </c>
    </row>
    <row r="4" spans="2:10">
      <c r="B4" t="s">
        <v>1355</v>
      </c>
    </row>
    <row r="5" spans="2:10">
      <c r="B5" t="s">
        <v>1354</v>
      </c>
    </row>
    <row r="7" spans="2:10">
      <c r="B7" s="1" t="s">
        <v>436</v>
      </c>
      <c r="C7" s="1" t="s">
        <v>437</v>
      </c>
      <c r="D7" s="28" t="e">
        <f>全機諸元!I57*(1-(全機諸元!I62*全機諸元!I62)/(全機諸元!I57*全機諸元!I59))</f>
        <v>#DIV/0!</v>
      </c>
      <c r="E7" s="1" t="s">
        <v>438</v>
      </c>
      <c r="G7" s="3" t="s">
        <v>486</v>
      </c>
      <c r="H7" s="3"/>
      <c r="I7" s="3"/>
      <c r="J7" s="3"/>
    </row>
    <row r="8" spans="2:10">
      <c r="B8" s="1"/>
      <c r="C8" s="1" t="s">
        <v>440</v>
      </c>
      <c r="D8" s="28" t="e">
        <f>全機諸元!I59*(1-(全機諸元!I62*全機諸元!I62)/(全機諸元!I57*全機諸元!I59))</f>
        <v>#DIV/0!</v>
      </c>
      <c r="E8" s="1" t="s">
        <v>438</v>
      </c>
      <c r="G8" s="10" t="s">
        <v>563</v>
      </c>
      <c r="H8" s="10" t="s">
        <v>60</v>
      </c>
      <c r="I8" s="10" t="s">
        <v>61</v>
      </c>
      <c r="J8" s="10" t="s">
        <v>62</v>
      </c>
    </row>
    <row r="9" spans="2:10">
      <c r="B9" s="1"/>
      <c r="C9" s="1" t="s">
        <v>444</v>
      </c>
      <c r="D9" s="1" t="e">
        <f>全機諸元!I62/全機諸元!I57</f>
        <v>#DIV/0!</v>
      </c>
      <c r="E9" s="1" t="s">
        <v>46</v>
      </c>
      <c r="G9" s="1" t="s">
        <v>495</v>
      </c>
      <c r="H9" s="1" t="s">
        <v>496</v>
      </c>
      <c r="I9" s="21">
        <v>10.5</v>
      </c>
      <c r="J9" s="1" t="s">
        <v>5</v>
      </c>
    </row>
    <row r="10" spans="2:10">
      <c r="B10" s="1"/>
      <c r="C10" s="1" t="s">
        <v>447</v>
      </c>
      <c r="D10" s="1" t="e">
        <f>全機諸元!I62/全機諸元!I59</f>
        <v>#DIV/0!</v>
      </c>
      <c r="E10" s="1" t="s">
        <v>46</v>
      </c>
      <c r="G10" s="1" t="s">
        <v>501</v>
      </c>
      <c r="H10" s="1" t="s">
        <v>502</v>
      </c>
      <c r="I10" s="21">
        <v>-3.5</v>
      </c>
      <c r="J10" s="1" t="s">
        <v>315</v>
      </c>
    </row>
    <row r="12" spans="2:10">
      <c r="G12" s="3" t="s">
        <v>1358</v>
      </c>
    </row>
    <row r="13" spans="2:10">
      <c r="G13" s="3" t="s">
        <v>1359</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44" zoomScaleNormal="70" workbookViewId="0">
      <selection activeCell="K23" sqref="K23"/>
    </sheetView>
  </sheetViews>
  <sheetFormatPr baseColWidth="10" defaultColWidth="9.28515625" defaultRowHeight="20"/>
  <cols>
    <col min="1" max="2" width="9.28515625" style="3"/>
    <col min="3" max="15" width="9.42578125" style="3" bestFit="1" customWidth="1"/>
    <col min="16" max="16" width="9.5703125" style="3" bestFit="1" customWidth="1"/>
    <col min="17" max="17" width="12.5703125" style="3" bestFit="1" customWidth="1"/>
    <col min="18" max="18" width="16" style="3" customWidth="1"/>
    <col min="19"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2:25">
      <c r="B2" s="3" t="s">
        <v>1398</v>
      </c>
      <c r="N2" s="3" t="s">
        <v>1400</v>
      </c>
    </row>
    <row r="3" spans="2:25">
      <c r="B3" s="10" t="s">
        <v>0</v>
      </c>
      <c r="C3" s="10" t="s">
        <v>19</v>
      </c>
      <c r="D3" s="293" t="s">
        <v>280</v>
      </c>
      <c r="E3" s="294"/>
      <c r="F3" s="295"/>
      <c r="G3" s="293" t="s">
        <v>24</v>
      </c>
      <c r="H3" s="294"/>
      <c r="I3" s="294"/>
      <c r="J3" s="294"/>
      <c r="K3" s="294"/>
      <c r="L3" s="295"/>
      <c r="N3" s="10" t="s">
        <v>458</v>
      </c>
      <c r="O3" s="10" t="s">
        <v>19</v>
      </c>
      <c r="P3" s="293" t="s">
        <v>280</v>
      </c>
      <c r="Q3" s="294"/>
      <c r="R3" s="295"/>
      <c r="S3" s="293" t="s">
        <v>24</v>
      </c>
      <c r="T3" s="294"/>
      <c r="U3" s="294"/>
      <c r="V3" s="294"/>
      <c r="W3" s="294"/>
      <c r="X3" s="295"/>
      <c r="Y3" s="10" t="s">
        <v>1399</v>
      </c>
    </row>
    <row r="4" spans="2:25">
      <c r="B4" s="10" t="s">
        <v>46</v>
      </c>
      <c r="C4" s="10" t="s">
        <v>21</v>
      </c>
      <c r="D4" s="10" t="s">
        <v>462</v>
      </c>
      <c r="E4" s="10" t="s">
        <v>466</v>
      </c>
      <c r="F4" s="10" t="s">
        <v>468</v>
      </c>
      <c r="G4" s="10" t="s">
        <v>26</v>
      </c>
      <c r="H4" s="10" t="s">
        <v>28</v>
      </c>
      <c r="I4" s="10" t="s">
        <v>30</v>
      </c>
      <c r="J4" s="10" t="s">
        <v>32</v>
      </c>
      <c r="K4" s="10" t="s">
        <v>34</v>
      </c>
      <c r="L4" s="10" t="s">
        <v>35</v>
      </c>
      <c r="N4" s="10" t="s">
        <v>150</v>
      </c>
      <c r="O4" s="10" t="s">
        <v>21</v>
      </c>
      <c r="P4" s="10" t="s">
        <v>462</v>
      </c>
      <c r="Q4" s="10" t="s">
        <v>466</v>
      </c>
      <c r="R4" s="10" t="s">
        <v>468</v>
      </c>
      <c r="S4" s="10" t="s">
        <v>26</v>
      </c>
      <c r="T4" s="10" t="s">
        <v>28</v>
      </c>
      <c r="U4" s="10" t="s">
        <v>30</v>
      </c>
      <c r="V4" s="10" t="s">
        <v>32</v>
      </c>
      <c r="W4" s="10" t="s">
        <v>34</v>
      </c>
      <c r="X4" s="10" t="s">
        <v>433</v>
      </c>
      <c r="Y4" s="10" t="s">
        <v>1019</v>
      </c>
    </row>
    <row r="5" spans="2:25" ht="21" thickBot="1">
      <c r="B5" s="11" t="s">
        <v>46</v>
      </c>
      <c r="C5" s="11" t="s">
        <v>6</v>
      </c>
      <c r="D5" s="11" t="s">
        <v>5</v>
      </c>
      <c r="E5" s="11" t="s">
        <v>5</v>
      </c>
      <c r="F5" s="11" t="s">
        <v>5</v>
      </c>
      <c r="G5" s="11" t="s">
        <v>38</v>
      </c>
      <c r="H5" s="11" t="s">
        <v>38</v>
      </c>
      <c r="I5" s="11" t="s">
        <v>38</v>
      </c>
      <c r="J5" s="11" t="s">
        <v>38</v>
      </c>
      <c r="K5" s="11" t="s">
        <v>38</v>
      </c>
      <c r="L5" s="11" t="s">
        <v>38</v>
      </c>
      <c r="N5" s="11" t="s">
        <v>152</v>
      </c>
      <c r="O5" s="11" t="s">
        <v>6</v>
      </c>
      <c r="P5" s="11" t="s">
        <v>5</v>
      </c>
      <c r="Q5" s="11" t="s">
        <v>5</v>
      </c>
      <c r="R5" s="11" t="s">
        <v>5</v>
      </c>
      <c r="S5" s="11" t="s">
        <v>38</v>
      </c>
      <c r="T5" s="11" t="s">
        <v>38</v>
      </c>
      <c r="U5" s="11" t="s">
        <v>38</v>
      </c>
      <c r="V5" s="11" t="s">
        <v>424</v>
      </c>
      <c r="W5" s="11" t="s">
        <v>424</v>
      </c>
      <c r="X5" s="11" t="s">
        <v>424</v>
      </c>
      <c r="Y5" s="11" t="s">
        <v>6</v>
      </c>
    </row>
    <row r="6" spans="2:25" ht="22" thickTop="1" thickBot="1">
      <c r="B6" s="2" t="s">
        <v>39</v>
      </c>
      <c r="C6" s="2">
        <f>SUM(C7:C8)</f>
        <v>109.34103</v>
      </c>
      <c r="D6" s="2">
        <f>SUMPRODUCT($C$7:$C$8,D7:D8)/SUM($C$7:$C$8)</f>
        <v>-1.6246022553475584E-17</v>
      </c>
      <c r="E6" s="2">
        <f>SUMPRODUCT($C$7:$C$8,E7:E8)/SUM($C$7:$C$8)</f>
        <v>-3.8116615510207269E-3</v>
      </c>
      <c r="F6" s="2">
        <f>SUMPRODUCT($C$7:$C$8,F7:F8)/SUM($C$7:$C$8)</f>
        <v>0.14843543727363825</v>
      </c>
      <c r="G6" s="2" t="e" cm="1">
        <f t="array" ref="G6">SUM(G7:G8)+SUMPRODUCT($C$7:$C$8,POWER(E7:E8-E$6,2)+POWER(F7:F8-F$6,2))</f>
        <v>#REF!</v>
      </c>
      <c r="H6" s="2" t="e" cm="1">
        <f t="array" ref="H6">SUM(H7:H8)+SUMPRODUCT($C$7:$C$8,POWER(D7:D8-D$6,2)+POWER(F7:F8-F$6,2))</f>
        <v>#VALUE!</v>
      </c>
      <c r="I6" s="2" t="e" cm="1">
        <f t="array" ref="I6">SUM(I7:I8)+SUMPRODUCT($C$7:$C$8,POWER(D7:D8-D$6,2)+POWER(E7:E8-E$6,2))</f>
        <v>#VALUE!</v>
      </c>
      <c r="J6" s="2" cm="1">
        <f t="array" ref="J6">SUM(J7:J8)+SUMPRODUCT($C7:$C8,(D7:D8-D$6)*(E7:E8-E$6))</f>
        <v>-5.8092098142302387E-2</v>
      </c>
      <c r="K6" s="2" cm="1">
        <f t="array" ref="K6">SUM(K7:K8)+SUMPRODUCT($C$7:$C$8,(E7:E8-E$6)*(F7:F8-F$6))</f>
        <v>6.7897266982905963E-2</v>
      </c>
      <c r="L6" s="2" cm="1">
        <f t="array" ref="L6">SUM(L7:L8)+SUMPRODUCT($C$7:$C$8,(F7:F8-F$6)*(D7:D8-D$6))</f>
        <v>5.0077012366259606</v>
      </c>
      <c r="N6" s="2" t="s">
        <v>40</v>
      </c>
      <c r="O6" s="2">
        <f>SUM(F20:F30)</f>
        <v>32.812000000000005</v>
      </c>
      <c r="P6" s="2">
        <f>SUMPRODUCT($F$20:$F$30,G20:G30)/SUM($F$20:$F$30)</f>
        <v>1.2443252468609044E-2</v>
      </c>
      <c r="Q6" s="2">
        <f>SUMPRODUCT($F$20:$F$30,H20:H30)/SUM($F$20:$F$30)</f>
        <v>-1.2702212605144578E-2</v>
      </c>
      <c r="R6" s="2">
        <f>SUMPRODUCT($F$20:$F$30,I20:I30)/SUM($F$20:$F$30)</f>
        <v>1.9701816408630987E-2</v>
      </c>
      <c r="S6" s="1" t="e">
        <f>SUMPRODUCT(主翼!$BH$117:$BH$150,主翼!BI51:BI150)*2</f>
        <v>#REF!</v>
      </c>
      <c r="T6" s="1" t="e">
        <f>SUMPRODUCT(主翼!$BH$117:$BH$150,主翼!BJ51:BJ150)*2</f>
        <v>#VALUE!</v>
      </c>
      <c r="U6" s="1" t="e">
        <f>SUMPRODUCT(主翼!$BH$117:$BH$150,主翼!BK51:BK150)*2</f>
        <v>#VALUE!</v>
      </c>
      <c r="V6" s="2">
        <v>0</v>
      </c>
      <c r="W6" s="2" cm="1">
        <f t="array" ref="W6">SUMPRODUCT(主翼!AH51:AH150,(主翼!AP51:AP150-機体重量!$Q$6)*(主翼!AO51:AO150-機体重量!$R$6))</f>
        <v>0</v>
      </c>
      <c r="X6" s="2">
        <v>0</v>
      </c>
      <c r="Y6" s="2">
        <f>SUM(F20:F30)-SUM(D20:D30)</f>
        <v>0.88739424337087058</v>
      </c>
    </row>
    <row r="7" spans="2:25" ht="22" thickTop="1" thickBot="1">
      <c r="B7" s="23" t="s">
        <v>503</v>
      </c>
      <c r="C7" s="23">
        <f>F19</f>
        <v>49.341030000000003</v>
      </c>
      <c r="D7" s="23" cm="1">
        <f t="array" ref="D7:F7">G19:I19</f>
        <v>0.23651605975797427</v>
      </c>
      <c r="E7" s="23">
        <v>-8.4467430047569705E-3</v>
      </c>
      <c r="F7" s="23">
        <v>8.5731562555544524E-2</v>
      </c>
      <c r="G7" s="23" t="e" cm="1">
        <f t="array" ref="G7">SUM(S6:S12)+SUMPRODUCT($O6:$O12,POWER(Q6:Q12-$E$6,2)+POWER(R6:R12-$F$6,2))</f>
        <v>#REF!</v>
      </c>
      <c r="H7" s="23" t="e" cm="1">
        <f t="array" ref="H7">SUM(T6:T10)+SUMPRODUCT($O6:$O10,POWER(P6:P10-$D$6,2)+POWER(R6:R10-$F$6,2))</f>
        <v>#VALUE!</v>
      </c>
      <c r="I7" s="23" t="e" cm="1">
        <f t="array" ref="I7">SUM(U6:U10)+SUMPRODUCT($O6:$O10,POWER(P6:P10-$D$6,2)+POWER(Q6:Q10-$E$6,2))</f>
        <v>#VALUE!</v>
      </c>
      <c r="J7" s="23" cm="1">
        <f t="array" ref="J7">SUM(V6:V10)+SUMPRODUCT($O6:$O10,(P6:P10-$D$6)*(Q6:Q10-$E$6))</f>
        <v>4.0480936599089232E-2</v>
      </c>
      <c r="K7" s="23" cm="1">
        <f t="array" ref="K7">SUM(W6:W10)+SUMPRODUCT($O6:$O10,(Q6:Q10-$E$6)*(R6:R10-$F$6))</f>
        <v>4.1764110412771067E-2</v>
      </c>
      <c r="L7" s="23" cm="1">
        <f t="array" ref="L7">SUM(X6:X10)+SUMPRODUCT($O6:$O10,(P6:P10-$D$6)*(R6:R10-$F$6))</f>
        <v>5.185207731107135</v>
      </c>
      <c r="N7" s="1" t="s">
        <v>1196</v>
      </c>
      <c r="O7" s="1">
        <f>SUM(F32:F46)</f>
        <v>2.5494400000000002</v>
      </c>
      <c r="P7" s="1">
        <f>SUMPRODUCT($F$32:$F$46,G32:G46)/SUM($F$32:$F$46)</f>
        <v>3.2467059432659711</v>
      </c>
      <c r="Q7" s="1">
        <f>SUMPRODUCT($F$32:$F$46,H32:H46)/SUM($F$32:$F$46)</f>
        <v>5.4914020333877722E-6</v>
      </c>
      <c r="R7" s="1">
        <f>SUMPRODUCT($F$32:$F$46,I32:I46)/SUM($F$32:$F$46)</f>
        <v>0.41327067905108567</v>
      </c>
      <c r="T7" s="1">
        <v>4.2714103151758623E-8</v>
      </c>
      <c r="U7" s="1">
        <v>1.6148927593375719</v>
      </c>
      <c r="V7" s="1">
        <v>0</v>
      </c>
      <c r="W7" s="1">
        <v>0</v>
      </c>
      <c r="X7" s="1">
        <v>0</v>
      </c>
      <c r="Y7" s="1">
        <f>SUM(F32:F46)-SUM(D32:D46)</f>
        <v>0.32444000000000006</v>
      </c>
    </row>
    <row r="8" spans="2:25" ht="21" thickBot="1">
      <c r="B8" s="1" t="s">
        <v>48</v>
      </c>
      <c r="C8" s="9">
        <f>全機諸元!D27</f>
        <v>60</v>
      </c>
      <c r="D8" s="192">
        <f>-(C7/C8)*D7</f>
        <v>-0.19449910000000004</v>
      </c>
      <c r="E8" s="22">
        <v>0</v>
      </c>
      <c r="F8" s="1">
        <v>0.2</v>
      </c>
      <c r="G8" s="21">
        <v>1.3360000000000001</v>
      </c>
      <c r="H8" s="21">
        <v>9.8309999999999995</v>
      </c>
      <c r="I8" s="21">
        <v>10.130000000000001</v>
      </c>
      <c r="J8" s="21">
        <v>0</v>
      </c>
      <c r="K8" s="21">
        <v>0</v>
      </c>
      <c r="L8" s="21">
        <v>1.1559999999999999</v>
      </c>
      <c r="M8" s="3" t="s">
        <v>1171</v>
      </c>
      <c r="N8" s="1" t="s">
        <v>56</v>
      </c>
      <c r="O8" s="1">
        <f>SUM(F48:F50)</f>
        <v>2.7089999999999996</v>
      </c>
      <c r="P8" s="1">
        <f>SUMPRODUCT($F$48:$F$50,G48:G50)/SUM($F$48:$F$50)</f>
        <v>1.8238002953119237</v>
      </c>
      <c r="Q8" s="1">
        <f>SUMPRODUCT($F$48:$F$50,H48:H50)/SUM($F$48:$F$50)</f>
        <v>0</v>
      </c>
      <c r="R8" s="1">
        <f>SUMPRODUCT($F$48:$F$50,I48:I50)/SUM($F$48:$F$50)</f>
        <v>0.32000000000000006</v>
      </c>
      <c r="S8" s="1">
        <v>0.16954833279692161</v>
      </c>
      <c r="T8" s="1">
        <v>4.8610744233556025</v>
      </c>
      <c r="U8" s="1">
        <v>4.6915260905586802</v>
      </c>
      <c r="V8" s="1">
        <v>0</v>
      </c>
      <c r="W8" s="1">
        <v>0</v>
      </c>
      <c r="X8" s="1">
        <v>0.7464691440225939</v>
      </c>
      <c r="Y8" s="1">
        <f>SUM(F48:F50)-SUM(D48:D50)</f>
        <v>1.3239999999999996</v>
      </c>
    </row>
    <row r="9" spans="2:25">
      <c r="D9" s="3" t="s">
        <v>1051</v>
      </c>
      <c r="N9" s="1" t="s">
        <v>7</v>
      </c>
      <c r="O9" s="1">
        <f>SUM(F52:F58)</f>
        <v>7.2450000000000001</v>
      </c>
      <c r="P9" s="1">
        <f>SUMPRODUCT($F$52:$F$58,G52:G58)/SUM($F$52:$F$58)</f>
        <v>-0.22874810213940647</v>
      </c>
      <c r="Q9" s="1">
        <f>SUMPRODUCT($F$52:$F$58,H52:H58)/SUM($F$52:$F$58)</f>
        <v>0</v>
      </c>
      <c r="R9" s="1">
        <f>SUMPRODUCT($F$52:$F$58,I52:I58)/SUM($F$52:$F$58)</f>
        <v>0.17341614906832298</v>
      </c>
      <c r="S9" s="1">
        <v>0.16954833279692161</v>
      </c>
      <c r="T9" s="1">
        <v>4.8610744233556025</v>
      </c>
      <c r="U9" s="1">
        <v>4.6915260905586802</v>
      </c>
      <c r="V9" s="1">
        <v>0</v>
      </c>
      <c r="W9" s="1">
        <v>0</v>
      </c>
      <c r="X9" s="1">
        <v>0.7464691440225939</v>
      </c>
      <c r="Y9" s="1">
        <f>SUM(F52:F58)-SUM(D52:D58)</f>
        <v>2.7450000000000001</v>
      </c>
    </row>
    <row r="10" spans="2:25">
      <c r="B10" s="3" t="s">
        <v>835</v>
      </c>
      <c r="N10" s="1" t="s">
        <v>42</v>
      </c>
      <c r="O10" s="1">
        <f>SUM(F60:F61)</f>
        <v>1.464</v>
      </c>
      <c r="P10" s="1">
        <f>SUMPRODUCT($F$60:$F$61,G60:G61)/SUM($F$60:$F$61)</f>
        <v>0</v>
      </c>
      <c r="Q10" s="1">
        <f>SUMPRODUCT($F$60:$F$61,H60:H61)/SUM($F$60:$F$61)</f>
        <v>0</v>
      </c>
      <c r="R10" s="1">
        <f>SUMPRODUCT($F$60:$F$61,I60:I61)/SUM($F$60:$F$61)</f>
        <v>0</v>
      </c>
      <c r="S10" s="1">
        <v>0.16954833279692161</v>
      </c>
      <c r="T10" s="1">
        <v>4.8610744233556025</v>
      </c>
      <c r="U10" s="1">
        <v>4.6915260905586802</v>
      </c>
      <c r="V10" s="1">
        <v>0</v>
      </c>
      <c r="W10" s="1">
        <v>0</v>
      </c>
      <c r="X10" s="1">
        <v>0.7464691440225939</v>
      </c>
      <c r="Y10" s="1">
        <f>SUM(F60:F61)-SUM(D60:D61)</f>
        <v>-3.6000000000000032E-2</v>
      </c>
    </row>
    <row r="11" spans="2:25">
      <c r="B11" s="10" t="s">
        <v>836</v>
      </c>
      <c r="C11" s="12" t="s">
        <v>837</v>
      </c>
      <c r="D11" s="10" t="s">
        <v>838</v>
      </c>
      <c r="E11" s="13" t="s">
        <v>839</v>
      </c>
      <c r="F11" s="14" t="s">
        <v>840</v>
      </c>
      <c r="N11" s="1" t="s">
        <v>539</v>
      </c>
      <c r="O11" s="1">
        <f>SUM(F63:F67)</f>
        <v>0.82059000000000004</v>
      </c>
      <c r="P11" s="1">
        <f>SUMPRODUCT($F$63:$F$67,G63:G67)/SUM($F$63:$F$67)</f>
        <v>0.92187450492937995</v>
      </c>
      <c r="Q11" s="1">
        <f>SUMPRODUCT($F$63:$F$67,H63:H67)/SUM($F$63:$F$67)</f>
        <v>0</v>
      </c>
      <c r="R11" s="1">
        <f>SUMPRODUCT($F$63:$F$67,I63:I67)/SUM($F$63:$F$67)</f>
        <v>0.49566628888970132</v>
      </c>
      <c r="S11" s="1">
        <v>0.16954833279692161</v>
      </c>
      <c r="T11" s="1">
        <v>4.8610744233556025</v>
      </c>
      <c r="U11" s="1">
        <v>4.6915260905586802</v>
      </c>
      <c r="V11" s="1">
        <v>0</v>
      </c>
      <c r="W11" s="1">
        <v>0</v>
      </c>
      <c r="X11" s="1">
        <v>0.7464691440225939</v>
      </c>
      <c r="Y11" s="1">
        <f>SUM(F63:F67)-SUM(D63:D67)</f>
        <v>-0.27940999999999983</v>
      </c>
    </row>
    <row r="12" spans="2:25" ht="21" thickBot="1">
      <c r="B12" s="11" t="s">
        <v>841</v>
      </c>
      <c r="C12" s="15" t="s">
        <v>841</v>
      </c>
      <c r="D12" s="11" t="s">
        <v>676</v>
      </c>
      <c r="E12" s="16" t="s">
        <v>732</v>
      </c>
      <c r="F12" s="17" t="s">
        <v>676</v>
      </c>
      <c r="N12" s="1" t="s">
        <v>1048</v>
      </c>
      <c r="O12" s="1">
        <f>SUM(F69:F72)</f>
        <v>1.7409999999999999</v>
      </c>
      <c r="P12" s="1">
        <f>SUMPRODUCT($F$69:$F$72,G69:G72)/SUM($F$69:$F$72)</f>
        <v>-0.60626076967260201</v>
      </c>
      <c r="Q12" s="1">
        <f>SUMPRODUCT($F$69:$F$72,H69:H72)/SUM($F$69:$F$72)</f>
        <v>0</v>
      </c>
      <c r="R12" s="1">
        <f>SUMPRODUCT($F$69:$F$72,I69:I72)/SUM($F$69:$F$72)</f>
        <v>0</v>
      </c>
      <c r="S12" s="1">
        <v>0.16954833279692161</v>
      </c>
      <c r="T12" s="1">
        <v>4.8610744233556025</v>
      </c>
      <c r="U12" s="1">
        <v>4.6915260905586802</v>
      </c>
      <c r="V12" s="1">
        <v>0</v>
      </c>
      <c r="W12" s="1">
        <v>0</v>
      </c>
      <c r="X12" s="1">
        <v>0.7464691440225939</v>
      </c>
      <c r="Y12" s="1">
        <f>SUM(F69:F72)-SUM(D69:D72)</f>
        <v>-0.25900000000000012</v>
      </c>
    </row>
    <row r="13" spans="2:25" ht="21" thickTop="1">
      <c r="B13" s="4">
        <v>0</v>
      </c>
      <c r="C13" s="5">
        <v>2000</v>
      </c>
      <c r="D13" s="4">
        <v>0.32</v>
      </c>
      <c r="E13" s="6">
        <f>(B13+C13)/1000</f>
        <v>2</v>
      </c>
      <c r="F13" s="7">
        <f>D13*C13/(B13+C13)</f>
        <v>0.32</v>
      </c>
      <c r="Y13" s="3">
        <f>SUM(Y6:Y12)</f>
        <v>4.7064242433708712</v>
      </c>
    </row>
    <row r="15" spans="2:25">
      <c r="B15" s="3" t="s">
        <v>1040</v>
      </c>
      <c r="G15" s="3" t="s">
        <v>1182</v>
      </c>
      <c r="H15" s="3" t="s">
        <v>1184</v>
      </c>
      <c r="I15" s="3" t="s">
        <v>1183</v>
      </c>
      <c r="M15" s="3" t="s">
        <v>1401</v>
      </c>
    </row>
    <row r="16" spans="2:25">
      <c r="B16" s="10" t="s">
        <v>0</v>
      </c>
      <c r="C16" s="10" t="s">
        <v>44</v>
      </c>
      <c r="D16" s="10" t="s">
        <v>1</v>
      </c>
      <c r="E16" s="10" t="s">
        <v>1034</v>
      </c>
      <c r="F16" s="10" t="s">
        <v>19</v>
      </c>
      <c r="G16" s="10" t="s">
        <v>2</v>
      </c>
      <c r="H16" s="10"/>
      <c r="I16" s="10"/>
      <c r="M16" s="3" t="s">
        <v>1052</v>
      </c>
      <c r="N16" s="1" t="s">
        <v>504</v>
      </c>
      <c r="O16" s="64">
        <f>SUM(O18:O32)</f>
        <v>7.7866057566291387</v>
      </c>
      <c r="P16" s="65" t="s">
        <v>505</v>
      </c>
      <c r="Q16" s="64">
        <f>SUM(Q18:Q32)</f>
        <v>5.117</v>
      </c>
      <c r="R16" s="65" t="s">
        <v>506</v>
      </c>
      <c r="S16" s="64">
        <f>SUM(S18:S32)</f>
        <v>3.9830000000000001</v>
      </c>
      <c r="T16" s="65" t="s">
        <v>507</v>
      </c>
      <c r="U16" s="64">
        <f>SUM(U18:U32)</f>
        <v>2.7690000000000001</v>
      </c>
      <c r="X16" s="3" t="s">
        <v>1397</v>
      </c>
    </row>
    <row r="17" spans="2:21" ht="21" thickBot="1">
      <c r="B17" s="10" t="s">
        <v>46</v>
      </c>
      <c r="C17" s="10" t="s">
        <v>46</v>
      </c>
      <c r="D17" s="10" t="s">
        <v>46</v>
      </c>
      <c r="E17" s="10" t="s">
        <v>46</v>
      </c>
      <c r="F17" s="10" t="s">
        <v>46</v>
      </c>
      <c r="G17" s="10" t="s">
        <v>20</v>
      </c>
      <c r="H17" s="10" t="s">
        <v>22</v>
      </c>
      <c r="I17" s="10" t="s">
        <v>23</v>
      </c>
      <c r="N17" s="10" t="s">
        <v>44</v>
      </c>
      <c r="O17" s="39" t="s">
        <v>1</v>
      </c>
      <c r="P17" s="13" t="s">
        <v>44</v>
      </c>
      <c r="Q17" s="39" t="s">
        <v>19</v>
      </c>
      <c r="R17" s="13" t="s">
        <v>44</v>
      </c>
      <c r="S17" s="39" t="s">
        <v>19</v>
      </c>
      <c r="T17" s="13" t="s">
        <v>44</v>
      </c>
      <c r="U17" s="39" t="s">
        <v>19</v>
      </c>
    </row>
    <row r="18" spans="2:21" ht="22" thickTop="1" thickBot="1">
      <c r="B18" s="11" t="s">
        <v>46</v>
      </c>
      <c r="C18" s="11" t="s">
        <v>46</v>
      </c>
      <c r="D18" s="11" t="s">
        <v>36</v>
      </c>
      <c r="E18" s="15" t="s">
        <v>36</v>
      </c>
      <c r="F18" s="11" t="s">
        <v>36</v>
      </c>
      <c r="G18" s="11" t="s">
        <v>5</v>
      </c>
      <c r="H18" s="11" t="s">
        <v>5</v>
      </c>
      <c r="I18" s="11" t="s">
        <v>5</v>
      </c>
      <c r="N18" s="24" t="s">
        <v>11</v>
      </c>
      <c r="O18" s="66">
        <v>3.2229999999999999</v>
      </c>
      <c r="P18" s="67" t="s">
        <v>11</v>
      </c>
      <c r="Q18" s="66">
        <v>3.2959999999999998</v>
      </c>
      <c r="R18" s="67" t="s">
        <v>11</v>
      </c>
      <c r="S18" s="66">
        <v>2.4809999999999999</v>
      </c>
      <c r="T18" s="67" t="s">
        <v>11</v>
      </c>
      <c r="U18" s="66">
        <v>1.526</v>
      </c>
    </row>
    <row r="19" spans="2:21" ht="22" thickTop="1" thickBot="1">
      <c r="B19" s="18"/>
      <c r="C19" s="18" t="s">
        <v>4</v>
      </c>
      <c r="D19" s="18">
        <f>SUM(D20:D73)</f>
        <v>44.634605756629142</v>
      </c>
      <c r="E19" s="18">
        <f>SUM(E20:E73)</f>
        <v>49.341030000000003</v>
      </c>
      <c r="F19" s="18">
        <f>SUM(F20:F73)</f>
        <v>49.341030000000003</v>
      </c>
      <c r="G19" s="18">
        <f>SUMPRODUCT($F$20:$F$73,G20:G73)/SUM($F$20:$F$73)</f>
        <v>0.23651605975797427</v>
      </c>
      <c r="H19" s="18">
        <f>SUMPRODUCT($F$20:$F$73,H20:H73)/SUM($F$20:$F$73)</f>
        <v>-8.4467430047569705E-3</v>
      </c>
      <c r="I19" s="18">
        <f>SUMPRODUCT($F$20:$F$73,I20:I73)/SUM($F$20:$F$73)</f>
        <v>8.5731562555544524E-2</v>
      </c>
      <c r="N19" s="1" t="s">
        <v>10</v>
      </c>
      <c r="O19" s="68">
        <v>1.7</v>
      </c>
      <c r="P19" s="6" t="s">
        <v>12</v>
      </c>
      <c r="Q19" s="69">
        <v>0.25800000000000001</v>
      </c>
      <c r="R19" s="6" t="s">
        <v>12</v>
      </c>
      <c r="S19" s="69">
        <v>0.16400000000000001</v>
      </c>
      <c r="T19" s="6" t="s">
        <v>12</v>
      </c>
      <c r="U19" s="69">
        <v>0.106</v>
      </c>
    </row>
    <row r="20" spans="2:21" ht="21" thickTop="1">
      <c r="B20" s="2" t="s">
        <v>40</v>
      </c>
      <c r="C20" s="2" t="s">
        <v>511</v>
      </c>
      <c r="D20" s="2">
        <f>O16</f>
        <v>7.7866057566291387</v>
      </c>
      <c r="E20" s="4">
        <v>8.5060000000000002</v>
      </c>
      <c r="F20" s="2">
        <f>IF(E20="",D20,E20)</f>
        <v>8.5060000000000002</v>
      </c>
      <c r="G20" s="4">
        <v>4.8000000000000001E-2</v>
      </c>
      <c r="H20" s="4">
        <v>0</v>
      </c>
      <c r="I20" s="4">
        <v>7.5999999999999998E-2</v>
      </c>
      <c r="N20" s="1" t="s">
        <v>8</v>
      </c>
      <c r="O20" s="68">
        <v>0.3</v>
      </c>
      <c r="P20" s="65" t="s">
        <v>13</v>
      </c>
      <c r="Q20" s="68">
        <v>0.47499999999999998</v>
      </c>
      <c r="R20" s="65" t="s">
        <v>13</v>
      </c>
      <c r="S20" s="68">
        <v>0.36699999999999999</v>
      </c>
      <c r="T20" s="65" t="s">
        <v>13</v>
      </c>
      <c r="U20" s="68">
        <v>0.32</v>
      </c>
    </row>
    <row r="21" spans="2:21">
      <c r="B21" s="1"/>
      <c r="C21" s="1" t="s">
        <v>513</v>
      </c>
      <c r="D21" s="1">
        <f>Q16</f>
        <v>5.117</v>
      </c>
      <c r="E21" s="21">
        <v>5.3289999999999997</v>
      </c>
      <c r="F21" s="2">
        <f t="shared" ref="F21:F35" si="0">IF(E21="",D21,E21)</f>
        <v>5.3289999999999997</v>
      </c>
      <c r="G21" s="21">
        <v>0</v>
      </c>
      <c r="H21" s="21">
        <f>主桁!H7+1.932</f>
        <v>3.3319999999999999</v>
      </c>
      <c r="I21" s="21">
        <v>0</v>
      </c>
      <c r="N21" s="1" t="s">
        <v>1197</v>
      </c>
      <c r="O21" s="68">
        <v>1</v>
      </c>
      <c r="P21" s="65" t="s">
        <v>14</v>
      </c>
      <c r="Q21" s="68">
        <v>0.123</v>
      </c>
      <c r="R21" s="65" t="s">
        <v>14</v>
      </c>
      <c r="S21" s="68">
        <v>9.5000000000000001E-2</v>
      </c>
      <c r="T21" s="65" t="s">
        <v>14</v>
      </c>
      <c r="U21" s="68">
        <v>8.5999999999999993E-2</v>
      </c>
    </row>
    <row r="22" spans="2:21">
      <c r="B22" s="1"/>
      <c r="C22" s="1" t="s">
        <v>515</v>
      </c>
      <c r="D22" s="1">
        <f>Q16</f>
        <v>5.117</v>
      </c>
      <c r="E22" s="21">
        <v>5.319</v>
      </c>
      <c r="F22" s="2">
        <f t="shared" si="0"/>
        <v>5.319</v>
      </c>
      <c r="G22" s="21">
        <v>0</v>
      </c>
      <c r="H22" s="21">
        <f>-(主桁!H7+1.957)</f>
        <v>-3.3570000000000002</v>
      </c>
      <c r="I22" s="21">
        <v>0</v>
      </c>
      <c r="N22" s="1" t="s">
        <v>9</v>
      </c>
      <c r="O22" s="68"/>
      <c r="P22" s="65" t="s">
        <v>15</v>
      </c>
      <c r="Q22" s="68">
        <v>0.108</v>
      </c>
      <c r="R22" s="65" t="s">
        <v>15</v>
      </c>
      <c r="S22" s="68">
        <v>0.10199999999999999</v>
      </c>
      <c r="T22" s="65" t="s">
        <v>15</v>
      </c>
      <c r="U22" s="68">
        <v>0.125</v>
      </c>
    </row>
    <row r="23" spans="2:21">
      <c r="B23" s="1"/>
      <c r="C23" s="1" t="s">
        <v>517</v>
      </c>
      <c r="D23" s="1">
        <f>S16</f>
        <v>3.9830000000000001</v>
      </c>
      <c r="E23" s="21">
        <v>4.01</v>
      </c>
      <c r="F23" s="2">
        <f t="shared" si="0"/>
        <v>4.01</v>
      </c>
      <c r="G23" s="21">
        <v>0</v>
      </c>
      <c r="H23" s="21">
        <f>主桁!H9+1.943</f>
        <v>6.843</v>
      </c>
      <c r="I23" s="21">
        <v>0</v>
      </c>
      <c r="N23" s="1" t="s">
        <v>518</v>
      </c>
      <c r="O23" s="68"/>
      <c r="P23" s="65" t="s">
        <v>16</v>
      </c>
      <c r="Q23" s="68">
        <v>0.23</v>
      </c>
      <c r="R23" s="65" t="s">
        <v>16</v>
      </c>
      <c r="S23" s="68">
        <v>0.217</v>
      </c>
      <c r="T23" s="65" t="s">
        <v>16</v>
      </c>
      <c r="U23" s="68">
        <v>0.255</v>
      </c>
    </row>
    <row r="24" spans="2:21">
      <c r="B24" s="1"/>
      <c r="C24" s="1" t="s">
        <v>519</v>
      </c>
      <c r="D24" s="1">
        <f>S16</f>
        <v>3.9830000000000001</v>
      </c>
      <c r="E24" s="21">
        <v>3.9820000000000002</v>
      </c>
      <c r="F24" s="2">
        <f t="shared" si="0"/>
        <v>3.9820000000000002</v>
      </c>
      <c r="G24" s="21">
        <v>0</v>
      </c>
      <c r="H24" s="21">
        <f>-(主桁!H9+1.966)</f>
        <v>-6.8659999999999997</v>
      </c>
      <c r="I24" s="21">
        <v>0</v>
      </c>
      <c r="N24" s="2" t="s">
        <v>12</v>
      </c>
      <c r="O24" s="69">
        <v>0.23</v>
      </c>
      <c r="P24" s="65" t="s">
        <v>17</v>
      </c>
      <c r="Q24" s="68">
        <v>0.32700000000000001</v>
      </c>
      <c r="R24" s="65" t="s">
        <v>17</v>
      </c>
      <c r="S24" s="68">
        <v>0.25700000000000001</v>
      </c>
      <c r="T24" s="65" t="s">
        <v>17</v>
      </c>
      <c r="U24" s="68">
        <v>0.251</v>
      </c>
    </row>
    <row r="25" spans="2:21">
      <c r="B25" s="1"/>
      <c r="C25" s="1" t="s">
        <v>520</v>
      </c>
      <c r="D25" s="1">
        <f>U16</f>
        <v>2.7690000000000001</v>
      </c>
      <c r="E25" s="21">
        <v>2.552</v>
      </c>
      <c r="F25" s="2">
        <f t="shared" si="0"/>
        <v>2.552</v>
      </c>
      <c r="G25" s="21">
        <v>0</v>
      </c>
      <c r="H25" s="21">
        <f>主桁!H11+1.82</f>
        <v>10.219999999999999</v>
      </c>
      <c r="I25" s="21">
        <v>0</v>
      </c>
      <c r="N25" s="1" t="s">
        <v>13</v>
      </c>
      <c r="O25" s="68">
        <v>0.39606880111426901</v>
      </c>
      <c r="P25" s="65" t="s">
        <v>18</v>
      </c>
      <c r="Q25" s="68">
        <v>0.3</v>
      </c>
      <c r="R25" s="65" t="s">
        <v>18</v>
      </c>
      <c r="S25" s="68">
        <v>0.3</v>
      </c>
      <c r="T25" s="65" t="s">
        <v>18</v>
      </c>
      <c r="U25" s="68">
        <v>0.1</v>
      </c>
    </row>
    <row r="26" spans="2:21">
      <c r="B26" s="1"/>
      <c r="C26" s="1" t="s">
        <v>521</v>
      </c>
      <c r="D26" s="1">
        <f>U16</f>
        <v>2.7690000000000001</v>
      </c>
      <c r="E26" s="21">
        <v>2.5819999999999999</v>
      </c>
      <c r="F26" s="2">
        <f t="shared" si="0"/>
        <v>2.5819999999999999</v>
      </c>
      <c r="G26" s="21">
        <v>0</v>
      </c>
      <c r="H26" s="21">
        <f>-(主桁!H11+1.834)</f>
        <v>-10.233999999999998</v>
      </c>
      <c r="I26" s="21">
        <v>0</v>
      </c>
      <c r="N26" s="1" t="s">
        <v>14</v>
      </c>
      <c r="O26" s="68">
        <v>0.10257245551487038</v>
      </c>
      <c r="P26" s="1"/>
      <c r="Q26" s="68"/>
      <c r="R26" s="1"/>
      <c r="S26" s="68"/>
      <c r="T26" s="1"/>
      <c r="U26" s="68"/>
    </row>
    <row r="27" spans="2:21">
      <c r="B27" s="1"/>
      <c r="C27" s="1" t="s">
        <v>1035</v>
      </c>
      <c r="D27" s="21">
        <v>0.15</v>
      </c>
      <c r="E27" s="21">
        <v>0.216</v>
      </c>
      <c r="F27" s="2">
        <f t="shared" si="0"/>
        <v>0.216</v>
      </c>
      <c r="G27" s="21">
        <v>0</v>
      </c>
      <c r="H27" s="21">
        <f>主桁!H13+0.2</f>
        <v>12.399999999999999</v>
      </c>
      <c r="I27" s="21">
        <v>0</v>
      </c>
      <c r="N27" s="1" t="s">
        <v>15</v>
      </c>
      <c r="O27" s="68">
        <v>8.3999999999999991E-2</v>
      </c>
      <c r="P27" s="1"/>
      <c r="Q27" s="68"/>
      <c r="R27" s="1"/>
      <c r="S27" s="68"/>
      <c r="T27" s="1"/>
      <c r="U27" s="68"/>
    </row>
    <row r="28" spans="2:21">
      <c r="B28" s="1"/>
      <c r="C28" s="1" t="s">
        <v>1036</v>
      </c>
      <c r="D28" s="21">
        <v>0.15</v>
      </c>
      <c r="E28" s="21">
        <v>0.222</v>
      </c>
      <c r="F28" s="2">
        <f t="shared" si="0"/>
        <v>0.222</v>
      </c>
      <c r="G28" s="21">
        <v>0</v>
      </c>
      <c r="H28" s="21">
        <f>-(主桁!H13+0.2)</f>
        <v>-12.399999999999999</v>
      </c>
      <c r="I28" s="21">
        <v>0</v>
      </c>
      <c r="N28" s="1" t="s">
        <v>16</v>
      </c>
      <c r="O28" s="68">
        <v>0.17850000000000002</v>
      </c>
      <c r="P28" s="1"/>
      <c r="Q28" s="68"/>
      <c r="R28" s="1"/>
      <c r="S28" s="68"/>
      <c r="T28" s="1"/>
      <c r="U28" s="68"/>
    </row>
    <row r="29" spans="2:21">
      <c r="B29" s="1"/>
      <c r="C29" s="1" t="s">
        <v>1047</v>
      </c>
      <c r="D29" s="21">
        <v>0.1</v>
      </c>
      <c r="E29" s="21">
        <v>9.4E-2</v>
      </c>
      <c r="F29" s="2">
        <f t="shared" si="0"/>
        <v>9.4E-2</v>
      </c>
      <c r="G29" s="21">
        <v>0</v>
      </c>
      <c r="H29" s="21">
        <v>0</v>
      </c>
      <c r="I29" s="21">
        <v>0</v>
      </c>
      <c r="J29"/>
      <c r="N29" s="1" t="s">
        <v>17</v>
      </c>
      <c r="O29" s="68">
        <v>0.2724645</v>
      </c>
      <c r="P29" s="1"/>
      <c r="Q29" s="68"/>
      <c r="R29" s="1"/>
      <c r="S29" s="68"/>
      <c r="T29" s="1"/>
      <c r="U29" s="68"/>
    </row>
    <row r="30" spans="2:21">
      <c r="B30" s="1"/>
      <c r="C30" s="1" t="s">
        <v>523</v>
      </c>
      <c r="D30" s="21"/>
      <c r="E30" s="21"/>
      <c r="F30" s="2">
        <f t="shared" si="0"/>
        <v>0</v>
      </c>
      <c r="G30" s="21"/>
      <c r="H30" s="21"/>
      <c r="I30" s="21"/>
      <c r="J30" s="3" t="s">
        <v>1175</v>
      </c>
      <c r="N30" s="1" t="s">
        <v>18</v>
      </c>
      <c r="O30" s="68">
        <v>0.3</v>
      </c>
      <c r="P30" s="1"/>
      <c r="Q30" s="68"/>
      <c r="R30" s="1"/>
      <c r="S30" s="68"/>
      <c r="T30" s="1"/>
      <c r="U30" s="68"/>
    </row>
    <row r="31" spans="2:21">
      <c r="B31" s="1"/>
      <c r="C31" s="1"/>
      <c r="D31" s="21"/>
      <c r="E31" s="21"/>
      <c r="F31" s="2">
        <f t="shared" si="0"/>
        <v>0</v>
      </c>
      <c r="G31" s="21"/>
      <c r="H31" s="21"/>
      <c r="I31" s="21"/>
      <c r="N31" s="1" t="s">
        <v>1050</v>
      </c>
      <c r="O31" s="68"/>
      <c r="P31" s="1"/>
      <c r="Q31" s="68"/>
      <c r="R31" s="1"/>
      <c r="S31" s="68"/>
      <c r="T31" s="1"/>
      <c r="U31" s="68"/>
    </row>
    <row r="32" spans="2:21">
      <c r="B32" s="1" t="s">
        <v>1177</v>
      </c>
      <c r="C32" s="1" t="s">
        <v>49</v>
      </c>
      <c r="D32" s="1">
        <f>O36</f>
        <v>1.1759999999999999</v>
      </c>
      <c r="E32" s="21">
        <v>1.1679999999999999</v>
      </c>
      <c r="F32" s="2">
        <f t="shared" si="0"/>
        <v>1.1679999999999999</v>
      </c>
      <c r="G32" s="21">
        <v>3.2</v>
      </c>
      <c r="H32" s="21">
        <v>0</v>
      </c>
      <c r="I32" s="21">
        <v>0</v>
      </c>
      <c r="N32" s="1" t="s">
        <v>1049</v>
      </c>
      <c r="O32" s="68"/>
      <c r="P32" s="1"/>
      <c r="Q32" s="68"/>
      <c r="R32" s="1"/>
      <c r="S32" s="68"/>
      <c r="T32" s="1"/>
      <c r="U32" s="68"/>
    </row>
    <row r="33" spans="2:19">
      <c r="B33" s="1"/>
      <c r="C33" s="1" t="s">
        <v>1037</v>
      </c>
      <c r="D33" s="21">
        <v>0.05</v>
      </c>
      <c r="E33" s="21">
        <v>2.0369999999999999E-2</v>
      </c>
      <c r="F33" s="2">
        <f t="shared" si="0"/>
        <v>2.0369999999999999E-2</v>
      </c>
      <c r="G33" s="21">
        <v>3.2</v>
      </c>
      <c r="H33" s="21">
        <v>1.4</v>
      </c>
      <c r="I33" s="21">
        <v>1.27</v>
      </c>
    </row>
    <row r="34" spans="2:19">
      <c r="B34" s="1"/>
      <c r="C34" s="1" t="s">
        <v>1038</v>
      </c>
      <c r="D34" s="21">
        <v>0.05</v>
      </c>
      <c r="E34" s="21">
        <v>2.036E-2</v>
      </c>
      <c r="F34" s="2">
        <f t="shared" si="0"/>
        <v>2.036E-2</v>
      </c>
      <c r="G34" s="21">
        <v>3.2</v>
      </c>
      <c r="H34" s="21">
        <v>-1.4</v>
      </c>
      <c r="I34" s="21">
        <v>1.27</v>
      </c>
    </row>
    <row r="35" spans="2:19">
      <c r="B35" s="1"/>
      <c r="C35" s="1" t="s">
        <v>522</v>
      </c>
      <c r="D35" s="21"/>
      <c r="E35" s="21">
        <v>3.6429999999999997E-2</v>
      </c>
      <c r="F35" s="2">
        <f t="shared" si="0"/>
        <v>3.6429999999999997E-2</v>
      </c>
      <c r="G35" s="21">
        <v>3.2</v>
      </c>
      <c r="H35" s="21">
        <v>0</v>
      </c>
      <c r="I35" s="21">
        <v>1.27</v>
      </c>
    </row>
    <row r="36" spans="2:19">
      <c r="B36" s="1"/>
      <c r="C36" s="1" t="s">
        <v>525</v>
      </c>
      <c r="D36" s="1">
        <f>Q36</f>
        <v>0.69700000000000006</v>
      </c>
      <c r="E36" s="21">
        <v>0.69</v>
      </c>
      <c r="F36" s="2">
        <f>IF(E36="",D36,E36)</f>
        <v>0.69</v>
      </c>
      <c r="G36" s="21">
        <v>3.2</v>
      </c>
      <c r="H36" s="21">
        <v>0</v>
      </c>
      <c r="I36" s="21">
        <v>0.77</v>
      </c>
      <c r="M36" s="3" t="s">
        <v>1053</v>
      </c>
      <c r="N36" s="1" t="s">
        <v>50</v>
      </c>
      <c r="O36" s="64">
        <f>SUM(O38:O52)</f>
        <v>1.1759999999999999</v>
      </c>
      <c r="P36" s="65" t="s">
        <v>508</v>
      </c>
      <c r="Q36" s="64">
        <f>SUM(Q38:Q52)</f>
        <v>0.69700000000000006</v>
      </c>
      <c r="R36" s="65" t="s">
        <v>55</v>
      </c>
      <c r="S36" s="64">
        <f>SUM(S38:S52)</f>
        <v>0.252</v>
      </c>
    </row>
    <row r="37" spans="2:19" ht="21" thickBot="1">
      <c r="B37" s="1"/>
      <c r="C37" s="1" t="s">
        <v>1173</v>
      </c>
      <c r="D37" s="21"/>
      <c r="E37" s="21">
        <f>0.0027+0.00151+0.02405</f>
        <v>2.826E-2</v>
      </c>
      <c r="F37" s="2">
        <f>IF(E37="",D37,E37)</f>
        <v>2.826E-2</v>
      </c>
      <c r="G37" s="21">
        <v>3.2</v>
      </c>
      <c r="H37" s="21">
        <v>0</v>
      </c>
      <c r="I37" s="21">
        <v>0.37</v>
      </c>
      <c r="N37" s="10" t="s">
        <v>44</v>
      </c>
      <c r="O37" s="39" t="s">
        <v>19</v>
      </c>
      <c r="P37" s="13" t="s">
        <v>44</v>
      </c>
      <c r="Q37" s="39" t="s">
        <v>19</v>
      </c>
      <c r="R37" s="13" t="s">
        <v>44</v>
      </c>
      <c r="S37" s="39" t="s">
        <v>19</v>
      </c>
    </row>
    <row r="38" spans="2:19" ht="21" thickTop="1">
      <c r="B38" s="1"/>
      <c r="C38" s="1" t="s">
        <v>526</v>
      </c>
      <c r="D38" s="1">
        <f>S36</f>
        <v>0.252</v>
      </c>
      <c r="E38" s="21">
        <v>0.39600000000000002</v>
      </c>
      <c r="F38" s="2">
        <f>IF(E38="",D38,E38)</f>
        <v>0.39600000000000002</v>
      </c>
      <c r="G38" s="21">
        <v>3.5</v>
      </c>
      <c r="H38" s="21">
        <v>0</v>
      </c>
      <c r="I38" s="21">
        <v>0.77</v>
      </c>
      <c r="N38" s="24" t="s">
        <v>11</v>
      </c>
      <c r="O38" s="66">
        <v>0.41099999999999998</v>
      </c>
      <c r="P38" s="67" t="s">
        <v>54</v>
      </c>
      <c r="Q38" s="66">
        <v>0.51700000000000002</v>
      </c>
      <c r="R38" s="67" t="s">
        <v>509</v>
      </c>
      <c r="S38" s="66">
        <v>9.0999999999999998E-2</v>
      </c>
    </row>
    <row r="39" spans="2:19">
      <c r="B39" s="1"/>
      <c r="C39" s="1" t="s">
        <v>1174</v>
      </c>
      <c r="D39" s="1"/>
      <c r="E39" s="21">
        <v>4.2799999999999998E-2</v>
      </c>
      <c r="F39" s="2">
        <f>IF(E39="",D39,E39)</f>
        <v>4.2799999999999998E-2</v>
      </c>
      <c r="G39" s="21">
        <v>3.5</v>
      </c>
      <c r="H39" s="21">
        <v>0</v>
      </c>
      <c r="I39" s="21">
        <v>0.37</v>
      </c>
      <c r="N39" s="2" t="s">
        <v>12</v>
      </c>
      <c r="O39" s="69">
        <v>6.5000000000000002E-2</v>
      </c>
      <c r="P39" s="65" t="s">
        <v>510</v>
      </c>
      <c r="Q39" s="69">
        <v>0.18</v>
      </c>
      <c r="R39" s="6" t="s">
        <v>15</v>
      </c>
      <c r="S39" s="69"/>
    </row>
    <row r="40" spans="2:19">
      <c r="B40" s="1"/>
      <c r="C40" s="1" t="s">
        <v>528</v>
      </c>
      <c r="D40" s="21"/>
      <c r="E40" s="21">
        <v>9.8600000000000007E-3</v>
      </c>
      <c r="F40" s="2">
        <f t="shared" ref="F40:F45" si="1">IF(E40="",D40,E40)</f>
        <v>9.8600000000000007E-3</v>
      </c>
      <c r="G40" s="21">
        <v>3</v>
      </c>
      <c r="H40" s="21">
        <v>0</v>
      </c>
      <c r="I40" s="21">
        <v>0.37</v>
      </c>
      <c r="N40" s="1" t="s">
        <v>13</v>
      </c>
      <c r="O40" s="68">
        <v>0.112</v>
      </c>
      <c r="P40" s="3" t="s">
        <v>512</v>
      </c>
      <c r="Q40" s="68"/>
      <c r="R40" s="65" t="s">
        <v>13</v>
      </c>
      <c r="S40" s="68"/>
    </row>
    <row r="41" spans="2:19">
      <c r="B41" s="1"/>
      <c r="C41" s="1" t="s">
        <v>1185</v>
      </c>
      <c r="D41" s="21"/>
      <c r="E41" s="21">
        <v>2.5309999999999999E-2</v>
      </c>
      <c r="F41" s="2">
        <f t="shared" si="1"/>
        <v>2.5309999999999999E-2</v>
      </c>
      <c r="G41" s="21">
        <v>3.2</v>
      </c>
      <c r="H41" s="21">
        <v>0</v>
      </c>
      <c r="I41" s="21">
        <v>0.37</v>
      </c>
      <c r="N41" s="1" t="s">
        <v>14</v>
      </c>
      <c r="O41" s="68">
        <v>4.0000000000000001E-3</v>
      </c>
      <c r="P41" s="65"/>
      <c r="Q41" s="68"/>
      <c r="R41" s="65" t="s">
        <v>514</v>
      </c>
      <c r="S41" s="68">
        <v>0.161</v>
      </c>
    </row>
    <row r="42" spans="2:19">
      <c r="B42" s="1"/>
      <c r="C42" s="1" t="s">
        <v>1186</v>
      </c>
      <c r="D42" s="21"/>
      <c r="E42" s="21">
        <v>0.03</v>
      </c>
      <c r="F42" s="2">
        <f t="shared" si="1"/>
        <v>0.03</v>
      </c>
      <c r="G42" s="21">
        <v>3.2</v>
      </c>
      <c r="H42" s="21">
        <v>0</v>
      </c>
      <c r="I42" s="21">
        <v>1.27</v>
      </c>
      <c r="N42" s="1" t="s">
        <v>15</v>
      </c>
      <c r="O42" s="68">
        <v>0.126</v>
      </c>
      <c r="P42" s="65"/>
      <c r="Q42" s="68"/>
      <c r="R42" s="65"/>
      <c r="S42" s="68"/>
    </row>
    <row r="43" spans="2:19">
      <c r="B43" s="1"/>
      <c r="C43" s="1" t="s">
        <v>1187</v>
      </c>
      <c r="D43" s="21"/>
      <c r="E43" s="21">
        <v>2.9080000000000002E-2</v>
      </c>
      <c r="F43" s="2">
        <f t="shared" si="1"/>
        <v>2.9080000000000002E-2</v>
      </c>
      <c r="G43" s="21">
        <v>3.2</v>
      </c>
      <c r="H43" s="21">
        <v>0</v>
      </c>
      <c r="I43" s="21">
        <v>0.77</v>
      </c>
      <c r="N43" s="1" t="s">
        <v>16</v>
      </c>
      <c r="O43" s="68">
        <v>7.0999999999999994E-2</v>
      </c>
      <c r="P43" s="65"/>
      <c r="Q43" s="68"/>
      <c r="R43" s="65"/>
      <c r="S43" s="68"/>
    </row>
    <row r="44" spans="2:19">
      <c r="B44" s="1"/>
      <c r="C44" s="1" t="s">
        <v>1172</v>
      </c>
      <c r="D44" s="21"/>
      <c r="E44" s="21">
        <v>2.07E-2</v>
      </c>
      <c r="F44" s="2">
        <f t="shared" si="1"/>
        <v>2.07E-2</v>
      </c>
      <c r="G44" s="21">
        <v>3</v>
      </c>
      <c r="H44" s="21">
        <v>0</v>
      </c>
      <c r="I44" s="21">
        <v>0.37</v>
      </c>
      <c r="N44" s="1" t="s">
        <v>17</v>
      </c>
      <c r="O44" s="68">
        <v>0.187</v>
      </c>
      <c r="P44" s="65"/>
      <c r="Q44" s="68"/>
      <c r="R44" s="65"/>
      <c r="S44" s="68"/>
    </row>
    <row r="45" spans="2:19">
      <c r="B45" s="1"/>
      <c r="C45" s="1" t="s">
        <v>1041</v>
      </c>
      <c r="D45" s="21"/>
      <c r="E45" s="21">
        <v>1.227E-2</v>
      </c>
      <c r="F45" s="2">
        <f t="shared" si="1"/>
        <v>1.227E-2</v>
      </c>
      <c r="G45" s="21">
        <v>3</v>
      </c>
      <c r="H45" s="21">
        <v>0</v>
      </c>
      <c r="I45" s="21">
        <v>0.37</v>
      </c>
      <c r="N45" s="1" t="s">
        <v>52</v>
      </c>
      <c r="O45" s="68"/>
      <c r="P45" s="65"/>
      <c r="Q45" s="68"/>
      <c r="R45" s="65"/>
      <c r="S45" s="68"/>
    </row>
    <row r="46" spans="2:19">
      <c r="B46" s="1"/>
      <c r="C46" s="1" t="s">
        <v>1176</v>
      </c>
      <c r="D46" s="21"/>
      <c r="E46" s="21">
        <v>0.02</v>
      </c>
      <c r="F46" s="2">
        <f>IF(E46="",D46,E46)</f>
        <v>0.02</v>
      </c>
      <c r="G46" s="21">
        <v>3</v>
      </c>
      <c r="H46" s="21">
        <v>0</v>
      </c>
      <c r="I46" s="21">
        <v>0.37</v>
      </c>
      <c r="N46" s="1" t="s">
        <v>53</v>
      </c>
      <c r="O46" s="68"/>
      <c r="P46" s="65"/>
      <c r="Q46" s="68"/>
      <c r="R46" s="65"/>
      <c r="S46" s="68"/>
    </row>
    <row r="47" spans="2:19">
      <c r="B47" s="1"/>
      <c r="C47" s="1"/>
      <c r="D47" s="21"/>
      <c r="E47" s="21"/>
      <c r="F47" s="2">
        <f t="shared" ref="F47:F73" si="2">IF(E47="",D47,E47)</f>
        <v>0</v>
      </c>
      <c r="G47" s="21"/>
      <c r="H47" s="21"/>
      <c r="I47" s="21"/>
      <c r="N47" s="1" t="s">
        <v>516</v>
      </c>
      <c r="O47" s="68"/>
      <c r="P47" s="1"/>
      <c r="Q47" s="68"/>
      <c r="R47" s="1"/>
      <c r="S47" s="68"/>
    </row>
    <row r="48" spans="2:19">
      <c r="B48" s="1" t="s">
        <v>56</v>
      </c>
      <c r="C48" s="1" t="s">
        <v>534</v>
      </c>
      <c r="D48" s="1">
        <f>O55</f>
        <v>1.385</v>
      </c>
      <c r="E48" s="21">
        <v>2.161</v>
      </c>
      <c r="F48" s="2">
        <f t="shared" si="2"/>
        <v>2.161</v>
      </c>
      <c r="G48" s="21">
        <f>胴接桁!C8+1.645</f>
        <v>2.0950000000000002</v>
      </c>
      <c r="H48" s="21">
        <v>0</v>
      </c>
      <c r="I48" s="21">
        <v>0.32</v>
      </c>
      <c r="J48" s="3" t="s">
        <v>1188</v>
      </c>
      <c r="N48" s="1" t="s">
        <v>522</v>
      </c>
      <c r="O48" s="68"/>
      <c r="P48" s="1"/>
      <c r="Q48" s="68"/>
      <c r="R48" s="1"/>
      <c r="S48" s="68"/>
    </row>
    <row r="49" spans="2:41">
      <c r="B49" s="1"/>
      <c r="C49" s="1" t="s">
        <v>535</v>
      </c>
      <c r="D49" s="21"/>
      <c r="E49" s="21">
        <v>0.53800000000000003</v>
      </c>
      <c r="F49" s="2">
        <f t="shared" si="2"/>
        <v>0.53800000000000003</v>
      </c>
      <c r="G49" s="21">
        <v>0.76</v>
      </c>
      <c r="H49" s="21">
        <v>0</v>
      </c>
      <c r="I49" s="21">
        <v>0.32</v>
      </c>
      <c r="N49" s="1"/>
      <c r="O49" s="68">
        <v>0.2</v>
      </c>
      <c r="P49" s="1"/>
      <c r="Q49" s="68"/>
      <c r="R49" s="1"/>
      <c r="S49" s="68"/>
    </row>
    <row r="50" spans="2:41">
      <c r="B50" s="1"/>
      <c r="C50" s="1" t="s">
        <v>1169</v>
      </c>
      <c r="D50" s="21"/>
      <c r="E50" s="21">
        <v>0.01</v>
      </c>
      <c r="F50" s="2">
        <f t="shared" si="2"/>
        <v>0.01</v>
      </c>
      <c r="G50" s="21">
        <v>0.45</v>
      </c>
      <c r="H50" s="21">
        <v>0</v>
      </c>
      <c r="I50" s="21">
        <v>0.32</v>
      </c>
      <c r="N50" s="1"/>
      <c r="O50" s="68"/>
      <c r="P50" s="1"/>
      <c r="Q50" s="68"/>
      <c r="R50" s="1"/>
      <c r="S50" s="68"/>
    </row>
    <row r="51" spans="2:41">
      <c r="B51" s="1"/>
      <c r="C51" s="1"/>
      <c r="D51" s="21"/>
      <c r="E51" s="21"/>
      <c r="F51" s="2">
        <f t="shared" si="2"/>
        <v>0</v>
      </c>
      <c r="G51" s="21"/>
      <c r="H51" s="21"/>
      <c r="I51" s="21"/>
      <c r="N51" s="1"/>
      <c r="O51" s="68"/>
      <c r="P51" s="1"/>
      <c r="Q51" s="68"/>
      <c r="R51" s="1"/>
      <c r="S51" s="68"/>
    </row>
    <row r="52" spans="2:41">
      <c r="B52" s="1" t="s">
        <v>41</v>
      </c>
      <c r="C52" s="1" t="s">
        <v>1045</v>
      </c>
      <c r="D52" s="21">
        <v>1</v>
      </c>
      <c r="E52" s="21">
        <v>1.1659999999999999</v>
      </c>
      <c r="F52" s="2">
        <f t="shared" si="2"/>
        <v>1.1659999999999999</v>
      </c>
      <c r="G52" s="21">
        <v>-1.33</v>
      </c>
      <c r="H52" s="21">
        <v>0</v>
      </c>
      <c r="I52" s="21">
        <v>0.3</v>
      </c>
      <c r="N52" s="1"/>
      <c r="O52" s="68"/>
      <c r="P52" s="1"/>
      <c r="Q52" s="68"/>
      <c r="R52" s="1"/>
      <c r="S52" s="68"/>
    </row>
    <row r="53" spans="2:41">
      <c r="B53" s="1"/>
      <c r="C53" s="1" t="s">
        <v>1043</v>
      </c>
      <c r="D53" s="21"/>
      <c r="E53" s="21">
        <v>0.77400000000000002</v>
      </c>
      <c r="F53" s="2">
        <f t="shared" si="2"/>
        <v>0.77400000000000002</v>
      </c>
      <c r="G53" s="21">
        <v>-0.6</v>
      </c>
      <c r="H53" s="21">
        <v>0</v>
      </c>
      <c r="I53" s="21">
        <v>0.3</v>
      </c>
    </row>
    <row r="54" spans="2:41">
      <c r="B54" s="1"/>
      <c r="C54" s="1" t="s">
        <v>1163</v>
      </c>
      <c r="D54" s="21">
        <v>1.5</v>
      </c>
      <c r="E54" s="21">
        <v>1.706</v>
      </c>
      <c r="F54" s="2">
        <f t="shared" si="2"/>
        <v>1.706</v>
      </c>
      <c r="G54" s="21">
        <v>0.3</v>
      </c>
      <c r="H54" s="21">
        <v>0</v>
      </c>
      <c r="I54" s="21">
        <v>0.3</v>
      </c>
    </row>
    <row r="55" spans="2:41">
      <c r="B55" s="1"/>
      <c r="C55" s="1" t="s">
        <v>1044</v>
      </c>
      <c r="D55" s="21"/>
      <c r="E55" s="21">
        <v>0.76600000000000001</v>
      </c>
      <c r="F55" s="2">
        <f t="shared" si="2"/>
        <v>0.76600000000000001</v>
      </c>
      <c r="G55" s="21">
        <v>1</v>
      </c>
      <c r="H55" s="21">
        <v>0</v>
      </c>
      <c r="I55" s="21">
        <v>0.3</v>
      </c>
      <c r="M55" s="3" t="s">
        <v>43</v>
      </c>
      <c r="N55" s="1" t="s">
        <v>56</v>
      </c>
      <c r="O55" s="64">
        <f>SUM(O57:O70)</f>
        <v>1.385</v>
      </c>
      <c r="P55" s="1" t="s">
        <v>3</v>
      </c>
      <c r="Q55" s="64">
        <f>SUM(Q57:Q70)</f>
        <v>0.75</v>
      </c>
      <c r="R55" s="1" t="s">
        <v>524</v>
      </c>
      <c r="S55" s="64">
        <f>SUM(S57:S70)</f>
        <v>0</v>
      </c>
      <c r="T55"/>
      <c r="U55"/>
    </row>
    <row r="56" spans="2:41" ht="21" thickBot="1">
      <c r="B56" s="1"/>
      <c r="C56" s="1" t="s">
        <v>1042</v>
      </c>
      <c r="D56" s="21">
        <v>1</v>
      </c>
      <c r="E56" s="21">
        <v>1.1200000000000001</v>
      </c>
      <c r="F56" s="2">
        <f t="shared" si="2"/>
        <v>1.1200000000000001</v>
      </c>
      <c r="G56" s="21">
        <v>-0.4</v>
      </c>
      <c r="H56" s="21">
        <v>0</v>
      </c>
      <c r="I56" s="21">
        <v>-0.06</v>
      </c>
      <c r="N56" s="10" t="s">
        <v>44</v>
      </c>
      <c r="O56" s="39" t="s">
        <v>19</v>
      </c>
      <c r="P56" s="10" t="s">
        <v>44</v>
      </c>
      <c r="Q56" s="39" t="s">
        <v>19</v>
      </c>
      <c r="R56" s="10" t="s">
        <v>44</v>
      </c>
      <c r="S56" s="39" t="s">
        <v>19</v>
      </c>
      <c r="T56"/>
      <c r="U56"/>
    </row>
    <row r="57" spans="2:41" ht="21" thickTop="1">
      <c r="B57" s="1"/>
      <c r="C57" s="1" t="s">
        <v>536</v>
      </c>
      <c r="D57" s="21">
        <v>1</v>
      </c>
      <c r="E57" s="21">
        <v>1.573</v>
      </c>
      <c r="F57" s="2">
        <f t="shared" si="2"/>
        <v>1.573</v>
      </c>
      <c r="G57" s="21">
        <v>-0.3</v>
      </c>
      <c r="H57" s="21">
        <v>0</v>
      </c>
      <c r="I57" s="21">
        <v>0</v>
      </c>
      <c r="N57" s="24" t="s">
        <v>11</v>
      </c>
      <c r="O57" s="66">
        <v>1.385</v>
      </c>
      <c r="P57" s="24" t="s">
        <v>527</v>
      </c>
      <c r="Q57" s="66"/>
      <c r="R57" s="24"/>
      <c r="S57" s="66"/>
      <c r="T57"/>
      <c r="U57"/>
    </row>
    <row r="58" spans="2:41">
      <c r="B58" s="1"/>
      <c r="C58" s="1" t="s">
        <v>1167</v>
      </c>
      <c r="D58" s="21"/>
      <c r="E58" s="21">
        <v>0.14000000000000001</v>
      </c>
      <c r="F58" s="2">
        <f t="shared" si="2"/>
        <v>0.14000000000000001</v>
      </c>
      <c r="G58" s="21">
        <v>0</v>
      </c>
      <c r="H58" s="21">
        <v>0</v>
      </c>
      <c r="I58" s="21">
        <v>0</v>
      </c>
      <c r="N58" s="1" t="s">
        <v>529</v>
      </c>
      <c r="O58" s="68"/>
      <c r="P58" s="1" t="s">
        <v>530</v>
      </c>
      <c r="Q58" s="68"/>
      <c r="R58" s="1"/>
      <c r="S58" s="68"/>
      <c r="T58"/>
      <c r="U58"/>
    </row>
    <row r="59" spans="2:41">
      <c r="B59" s="1"/>
      <c r="C59" s="1"/>
      <c r="D59" s="21"/>
      <c r="E59" s="21"/>
      <c r="F59" s="2">
        <f t="shared" si="2"/>
        <v>0</v>
      </c>
      <c r="G59" s="21"/>
      <c r="H59" s="21"/>
      <c r="I59" s="21"/>
      <c r="N59" s="1" t="s">
        <v>9</v>
      </c>
      <c r="O59" s="68"/>
      <c r="P59" s="1" t="s">
        <v>531</v>
      </c>
      <c r="Q59" s="68"/>
      <c r="R59" s="1"/>
      <c r="S59" s="68"/>
      <c r="T59"/>
      <c r="U59"/>
      <c r="AO59" s="70"/>
    </row>
    <row r="60" spans="2:41">
      <c r="B60" s="1" t="s">
        <v>42</v>
      </c>
      <c r="C60" s="1" t="s">
        <v>537</v>
      </c>
      <c r="D60" s="1">
        <f>Q55</f>
        <v>0.75</v>
      </c>
      <c r="E60" s="21">
        <v>0.73199999999999998</v>
      </c>
      <c r="F60" s="2">
        <f t="shared" si="2"/>
        <v>0.73199999999999998</v>
      </c>
      <c r="G60" s="21">
        <v>0</v>
      </c>
      <c r="H60" s="21">
        <v>-0.5</v>
      </c>
      <c r="I60" s="21">
        <v>0</v>
      </c>
      <c r="N60" s="1" t="s">
        <v>18</v>
      </c>
      <c r="O60" s="68"/>
      <c r="P60" s="1" t="s">
        <v>532</v>
      </c>
      <c r="Q60" s="68"/>
      <c r="R60" s="1"/>
      <c r="S60" s="68"/>
      <c r="T60"/>
      <c r="U60"/>
      <c r="AO60" s="70"/>
    </row>
    <row r="61" spans="2:41">
      <c r="B61" s="1"/>
      <c r="C61" s="1" t="s">
        <v>538</v>
      </c>
      <c r="D61" s="1">
        <f>Q55</f>
        <v>0.75</v>
      </c>
      <c r="E61" s="21">
        <v>0.73199999999999998</v>
      </c>
      <c r="F61" s="2">
        <f t="shared" si="2"/>
        <v>0.73199999999999998</v>
      </c>
      <c r="G61" s="21">
        <v>0</v>
      </c>
      <c r="H61" s="21">
        <v>0.5</v>
      </c>
      <c r="I61" s="21">
        <v>0</v>
      </c>
      <c r="N61" s="1" t="s">
        <v>533</v>
      </c>
      <c r="O61" s="68"/>
      <c r="P61" s="1"/>
      <c r="Q61" s="68"/>
      <c r="R61" s="1"/>
      <c r="S61" s="68"/>
      <c r="T61"/>
      <c r="U61"/>
      <c r="AO61" s="70"/>
    </row>
    <row r="62" spans="2:41">
      <c r="B62" s="1"/>
      <c r="C62" s="1"/>
      <c r="D62" s="21"/>
      <c r="E62" s="21"/>
      <c r="F62" s="2">
        <f t="shared" si="2"/>
        <v>0</v>
      </c>
      <c r="G62" s="21"/>
      <c r="H62" s="21"/>
      <c r="I62" s="21"/>
      <c r="N62" s="1" t="s">
        <v>528</v>
      </c>
      <c r="O62" s="68"/>
      <c r="P62" s="2"/>
      <c r="Q62" s="69">
        <v>0.75</v>
      </c>
      <c r="R62" s="2"/>
      <c r="S62" s="69"/>
      <c r="T62"/>
      <c r="U62"/>
      <c r="AO62" s="70"/>
    </row>
    <row r="63" spans="2:41">
      <c r="B63" s="1" t="s">
        <v>539</v>
      </c>
      <c r="C63" s="1" t="s">
        <v>540</v>
      </c>
      <c r="D63" s="21">
        <v>0.2</v>
      </c>
      <c r="E63" s="21">
        <f>0.09825+0.12141</f>
        <v>0.21966000000000002</v>
      </c>
      <c r="F63" s="2">
        <f t="shared" si="2"/>
        <v>0.21966000000000002</v>
      </c>
      <c r="G63" s="21">
        <v>0.25</v>
      </c>
      <c r="H63" s="21">
        <v>0</v>
      </c>
      <c r="I63" s="21">
        <v>0.32</v>
      </c>
      <c r="J63" s="3" t="s">
        <v>1180</v>
      </c>
      <c r="N63" s="1"/>
      <c r="O63" s="68"/>
      <c r="P63" s="1"/>
      <c r="Q63" s="68"/>
      <c r="R63" s="1"/>
      <c r="S63" s="68"/>
      <c r="T63"/>
      <c r="U63"/>
      <c r="AO63" s="70"/>
    </row>
    <row r="64" spans="2:41">
      <c r="B64" s="1"/>
      <c r="C64" s="1" t="s">
        <v>541</v>
      </c>
      <c r="D64" s="21">
        <v>0.5</v>
      </c>
      <c r="E64" s="21">
        <f>0.03075+0.21551</f>
        <v>0.24626000000000001</v>
      </c>
      <c r="F64" s="2">
        <f t="shared" si="2"/>
        <v>0.24626000000000001</v>
      </c>
      <c r="G64" s="21">
        <v>0.25</v>
      </c>
      <c r="H64" s="21">
        <v>0</v>
      </c>
      <c r="I64" s="21">
        <v>0.32</v>
      </c>
      <c r="J64" s="3" t="s">
        <v>1180</v>
      </c>
      <c r="N64" s="1" t="s">
        <v>57</v>
      </c>
      <c r="O64" s="68"/>
      <c r="P64" s="1"/>
      <c r="Q64" s="68"/>
      <c r="R64" s="1"/>
      <c r="S64" s="68"/>
      <c r="T64"/>
      <c r="U64"/>
      <c r="AO64" s="70"/>
    </row>
    <row r="65" spans="2:45">
      <c r="B65" s="1"/>
      <c r="C65" s="1" t="s">
        <v>1046</v>
      </c>
      <c r="D65" s="21">
        <v>0.2</v>
      </c>
      <c r="E65" s="21">
        <f>0.00929+0.02011+0.08804</f>
        <v>0.11743999999999999</v>
      </c>
      <c r="F65" s="2">
        <f t="shared" si="2"/>
        <v>0.11743999999999999</v>
      </c>
      <c r="G65" s="21">
        <v>1</v>
      </c>
      <c r="H65" s="21">
        <v>0</v>
      </c>
      <c r="I65" s="21">
        <v>0.32</v>
      </c>
      <c r="J65" s="3" t="s">
        <v>1181</v>
      </c>
      <c r="N65" s="1"/>
      <c r="O65" s="68"/>
      <c r="P65" s="1"/>
      <c r="Q65" s="68"/>
      <c r="R65" s="1"/>
      <c r="S65" s="68"/>
      <c r="T65"/>
      <c r="U65"/>
      <c r="AO65" s="70"/>
    </row>
    <row r="66" spans="2:45">
      <c r="B66" s="1"/>
      <c r="C66" s="1" t="s">
        <v>1039</v>
      </c>
      <c r="D66" s="21">
        <v>0.2</v>
      </c>
      <c r="E66" s="21">
        <v>0.155</v>
      </c>
      <c r="F66" s="2">
        <f t="shared" si="2"/>
        <v>0.155</v>
      </c>
      <c r="G66" s="21">
        <v>3</v>
      </c>
      <c r="H66" s="21">
        <v>0</v>
      </c>
      <c r="I66" s="21">
        <v>1.25</v>
      </c>
      <c r="N66" s="1"/>
      <c r="O66" s="68"/>
      <c r="P66" s="1"/>
      <c r="Q66" s="68"/>
      <c r="R66" s="1"/>
      <c r="S66" s="68"/>
      <c r="T66"/>
      <c r="U66"/>
      <c r="AO66" s="70"/>
    </row>
    <row r="67" spans="2:45">
      <c r="B67" s="1"/>
      <c r="C67" s="1" t="s">
        <v>1178</v>
      </c>
      <c r="D67" s="21"/>
      <c r="E67" s="21">
        <f>0.01887+0.06336</f>
        <v>8.2229999999999998E-2</v>
      </c>
      <c r="F67" s="2">
        <f t="shared" si="2"/>
        <v>8.2229999999999998E-2</v>
      </c>
      <c r="G67" s="21">
        <v>0.7</v>
      </c>
      <c r="H67" s="21">
        <v>0</v>
      </c>
      <c r="I67" s="21">
        <v>0.32</v>
      </c>
      <c r="N67" s="1"/>
      <c r="O67" s="68"/>
      <c r="P67" s="1"/>
      <c r="Q67" s="68"/>
      <c r="R67" s="1"/>
      <c r="S67" s="68"/>
      <c r="T67"/>
      <c r="U67"/>
      <c r="AO67" s="70"/>
    </row>
    <row r="68" spans="2:45">
      <c r="B68" s="1"/>
      <c r="C68" s="1"/>
      <c r="D68" s="21"/>
      <c r="E68" s="21"/>
      <c r="F68" s="2">
        <f t="shared" si="2"/>
        <v>0</v>
      </c>
      <c r="G68" s="21"/>
      <c r="H68" s="21"/>
      <c r="I68" s="21"/>
      <c r="N68" s="1"/>
      <c r="O68" s="68"/>
      <c r="P68" s="1"/>
      <c r="Q68" s="68"/>
      <c r="R68" s="1"/>
      <c r="S68" s="68"/>
      <c r="T68"/>
      <c r="U68"/>
      <c r="AO68" s="70"/>
    </row>
    <row r="69" spans="2:45">
      <c r="B69" s="1" t="s">
        <v>1048</v>
      </c>
      <c r="C69" s="1" t="s">
        <v>1166</v>
      </c>
      <c r="D69" s="21">
        <v>1.5</v>
      </c>
      <c r="E69" s="21">
        <v>1.27</v>
      </c>
      <c r="F69" s="2">
        <f t="shared" si="2"/>
        <v>1.27</v>
      </c>
      <c r="G69" s="21">
        <v>-0.5</v>
      </c>
      <c r="H69" s="21">
        <v>0</v>
      </c>
      <c r="I69" s="21">
        <v>0</v>
      </c>
      <c r="N69" s="1"/>
      <c r="O69" s="68"/>
      <c r="P69" s="1"/>
      <c r="Q69" s="68"/>
      <c r="R69" s="1"/>
      <c r="S69" s="68"/>
      <c r="T69"/>
      <c r="U69"/>
      <c r="AM69" s="70"/>
      <c r="AN69" s="70"/>
      <c r="AO69" s="70"/>
      <c r="AP69" s="70"/>
      <c r="AQ69" s="70"/>
      <c r="AR69" s="70"/>
      <c r="AS69" s="70"/>
    </row>
    <row r="70" spans="2:45">
      <c r="B70" s="1"/>
      <c r="C70" s="1" t="s">
        <v>542</v>
      </c>
      <c r="D70" s="21">
        <v>0.5</v>
      </c>
      <c r="E70" s="21">
        <v>0.23</v>
      </c>
      <c r="F70" s="2">
        <f t="shared" si="2"/>
        <v>0.23</v>
      </c>
      <c r="G70" s="21">
        <v>-1.5</v>
      </c>
      <c r="H70" s="21">
        <v>0</v>
      </c>
      <c r="I70" s="21">
        <v>0</v>
      </c>
      <c r="N70" s="1"/>
      <c r="O70" s="68"/>
      <c r="P70" s="1"/>
      <c r="Q70" s="68"/>
      <c r="R70" s="1"/>
      <c r="S70" s="68"/>
      <c r="T70"/>
      <c r="U70"/>
      <c r="AM70" s="70"/>
      <c r="AN70" s="70"/>
      <c r="AO70" s="70"/>
      <c r="AP70" s="70"/>
      <c r="AQ70" s="70"/>
      <c r="AR70" s="70"/>
      <c r="AS70" s="70"/>
    </row>
    <row r="71" spans="2:45">
      <c r="B71" s="1"/>
      <c r="C71" s="1" t="s">
        <v>1168</v>
      </c>
      <c r="D71" s="21"/>
      <c r="E71" s="21">
        <v>2.1000000000000001E-2</v>
      </c>
      <c r="F71" s="2">
        <f t="shared" si="2"/>
        <v>2.1000000000000001E-2</v>
      </c>
      <c r="G71" s="21">
        <v>-1.5</v>
      </c>
      <c r="H71" s="21">
        <v>0</v>
      </c>
      <c r="I71" s="21">
        <v>0</v>
      </c>
      <c r="AM71" s="70"/>
      <c r="AN71" s="70"/>
      <c r="AO71" s="70"/>
      <c r="AP71" s="70"/>
      <c r="AQ71" s="70"/>
      <c r="AR71" s="70"/>
      <c r="AS71" s="70"/>
    </row>
    <row r="72" spans="2:45">
      <c r="B72" s="1"/>
      <c r="C72" s="1" t="s">
        <v>1179</v>
      </c>
      <c r="D72" s="21"/>
      <c r="E72" s="21">
        <f>0.17+0.05</f>
        <v>0.22000000000000003</v>
      </c>
      <c r="F72" s="2">
        <f t="shared" si="2"/>
        <v>0.22000000000000003</v>
      </c>
      <c r="G72" s="21">
        <v>-0.2</v>
      </c>
      <c r="H72" s="21">
        <v>0</v>
      </c>
      <c r="I72" s="21">
        <v>0</v>
      </c>
      <c r="AM72" s="70"/>
      <c r="AN72" s="70"/>
      <c r="AO72" s="70"/>
      <c r="AP72" s="70"/>
      <c r="AQ72" s="70"/>
      <c r="AR72" s="70"/>
      <c r="AS72" s="70"/>
    </row>
    <row r="73" spans="2:45">
      <c r="B73" s="1"/>
      <c r="C73" s="1"/>
      <c r="D73" s="21"/>
      <c r="E73" s="21"/>
      <c r="F73" s="2">
        <f t="shared" si="2"/>
        <v>0</v>
      </c>
      <c r="G73" s="21"/>
      <c r="H73" s="21"/>
      <c r="I73" s="21"/>
      <c r="AM73" s="70"/>
      <c r="AN73" s="70"/>
      <c r="AO73" s="70"/>
      <c r="AP73" s="70"/>
      <c r="AQ73" s="70"/>
      <c r="AR73" s="70"/>
      <c r="AS73" s="70"/>
    </row>
    <row r="74" spans="2:45">
      <c r="B74"/>
      <c r="F74"/>
      <c r="G74"/>
      <c r="AM74" s="70"/>
      <c r="AN74" s="70"/>
      <c r="AO74" s="70"/>
      <c r="AP74" s="70"/>
      <c r="AQ74" s="70"/>
      <c r="AR74" s="70"/>
      <c r="AS74" s="70"/>
    </row>
    <row r="75" spans="2:45">
      <c r="B75"/>
      <c r="F75"/>
      <c r="G75"/>
      <c r="AM75" s="70"/>
      <c r="AN75" s="70"/>
      <c r="AO75" s="70"/>
      <c r="AP75" s="70"/>
      <c r="AQ75" s="70"/>
      <c r="AR75" s="70"/>
      <c r="AS75" s="70"/>
    </row>
    <row r="76" spans="2:45">
      <c r="B76"/>
      <c r="C76" t="s">
        <v>1164</v>
      </c>
      <c r="D76"/>
      <c r="E76">
        <v>730</v>
      </c>
      <c r="F76"/>
      <c r="G76"/>
      <c r="AM76" s="70"/>
      <c r="AN76" s="70"/>
      <c r="AO76" s="70"/>
      <c r="AP76" s="70"/>
      <c r="AQ76" s="70"/>
      <c r="AR76" s="70"/>
      <c r="AS76" s="70"/>
    </row>
    <row r="77" spans="2:45">
      <c r="B77"/>
      <c r="C77" t="s">
        <v>1165</v>
      </c>
      <c r="D77"/>
      <c r="E77">
        <v>730</v>
      </c>
      <c r="F77"/>
      <c r="G77"/>
      <c r="AM77" s="70"/>
      <c r="AN77" s="70"/>
      <c r="AO77" s="70"/>
      <c r="AP77" s="70"/>
      <c r="AQ77" s="70"/>
      <c r="AR77" s="70"/>
      <c r="AS77" s="70"/>
    </row>
    <row r="78" spans="2:45">
      <c r="AM78" s="70"/>
      <c r="AN78" s="70"/>
      <c r="AO78" s="70"/>
      <c r="AP78" s="70"/>
      <c r="AQ78" s="70"/>
      <c r="AR78" s="70"/>
      <c r="AS78" s="70"/>
    </row>
    <row r="79" spans="2:45">
      <c r="AM79" s="70"/>
      <c r="AN79" s="70"/>
      <c r="AO79" s="70"/>
      <c r="AP79" s="70"/>
      <c r="AQ79" s="70"/>
      <c r="AR79" s="70"/>
      <c r="AS79" s="70"/>
    </row>
    <row r="80" spans="2:45">
      <c r="AM80" s="70"/>
      <c r="AN80" s="70"/>
      <c r="AO80" s="70"/>
      <c r="AP80" s="70"/>
      <c r="AQ80" s="70"/>
      <c r="AR80" s="70"/>
      <c r="AS80" s="70"/>
    </row>
    <row r="81" spans="2:45">
      <c r="AM81" s="70"/>
      <c r="AN81" s="70"/>
      <c r="AO81" s="70"/>
      <c r="AP81" s="70"/>
      <c r="AQ81" s="70"/>
      <c r="AR81" s="70"/>
      <c r="AS81" s="70"/>
    </row>
    <row r="82" spans="2:45">
      <c r="U82" s="70"/>
      <c r="AM82" s="70"/>
      <c r="AN82" s="70"/>
      <c r="AO82" s="70"/>
      <c r="AP82" s="70"/>
      <c r="AQ82" s="70"/>
      <c r="AR82" s="70"/>
      <c r="AS82" s="70"/>
    </row>
    <row r="83" spans="2:45">
      <c r="B83"/>
      <c r="C83"/>
      <c r="D83"/>
      <c r="E83" t="s">
        <v>113</v>
      </c>
      <c r="F83"/>
      <c r="G83"/>
      <c r="U83" s="70"/>
      <c r="AM83" s="70"/>
      <c r="AN83" s="70"/>
      <c r="AO83" s="70"/>
      <c r="AP83" s="70"/>
      <c r="AQ83" s="70"/>
      <c r="AR83" s="70"/>
      <c r="AS83" s="70"/>
    </row>
    <row r="84" spans="2:45">
      <c r="AM84" s="70"/>
      <c r="AN84" s="70"/>
      <c r="AO84" s="70"/>
      <c r="AP84" s="70"/>
      <c r="AQ84" s="70"/>
      <c r="AR84" s="70"/>
      <c r="AS84" s="70"/>
    </row>
    <row r="85" spans="2:45">
      <c r="AM85" s="70"/>
      <c r="AN85" s="70"/>
      <c r="AO85" s="70"/>
      <c r="AP85" s="70"/>
      <c r="AQ85" s="70"/>
      <c r="AR85" s="70"/>
      <c r="AS85" s="70"/>
    </row>
    <row r="86" spans="2:45">
      <c r="AM86" s="70"/>
      <c r="AN86" s="70"/>
      <c r="AO86" s="70"/>
      <c r="AP86" s="70"/>
      <c r="AQ86" s="70"/>
      <c r="AR86" s="70"/>
      <c r="AS86" s="70"/>
    </row>
    <row r="87" spans="2:45">
      <c r="AM87" s="70"/>
      <c r="AN87" s="70"/>
      <c r="AO87" s="70"/>
      <c r="AP87" s="70"/>
      <c r="AQ87" s="70"/>
      <c r="AR87" s="70"/>
      <c r="AS87" s="70"/>
    </row>
    <row r="88" spans="2:45">
      <c r="AM88" s="70"/>
      <c r="AN88" s="70"/>
      <c r="AO88" s="70"/>
      <c r="AP88" s="70"/>
      <c r="AQ88" s="70"/>
      <c r="AR88" s="70"/>
      <c r="AS88" s="70"/>
    </row>
    <row r="89" spans="2:45">
      <c r="AM89" s="70"/>
      <c r="AN89" s="70"/>
      <c r="AO89" s="70"/>
      <c r="AP89" s="70"/>
      <c r="AQ89" s="70"/>
      <c r="AR89" s="70"/>
      <c r="AS89" s="70"/>
    </row>
  </sheetData>
  <mergeCells count="4">
    <mergeCell ref="D3:F3"/>
    <mergeCell ref="G3:L3"/>
    <mergeCell ref="P3:R3"/>
    <mergeCell ref="S3:X3"/>
  </mergeCells>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124"/>
  <sheetViews>
    <sheetView tabSelected="1" zoomScale="132" zoomScaleNormal="85" workbookViewId="0">
      <selection activeCell="G12" sqref="G12"/>
    </sheetView>
  </sheetViews>
  <sheetFormatPr baseColWidth="10" defaultColWidth="8.85546875" defaultRowHeight="20"/>
  <cols>
    <col min="1" max="38" width="8.85546875" style="3"/>
    <col min="39" max="39" width="11.5703125" style="3" bestFit="1" customWidth="1"/>
    <col min="40" max="16384" width="8.85546875" style="3"/>
  </cols>
  <sheetData>
    <row r="2" spans="2:39" ht="21" thickBot="1">
      <c r="B2" t="s">
        <v>1239</v>
      </c>
      <c r="C2"/>
      <c r="D2"/>
      <c r="E2"/>
      <c r="M2" s="3" t="s">
        <v>860</v>
      </c>
      <c r="U2" s="3" t="s">
        <v>1152</v>
      </c>
      <c r="AA2" s="3" t="s">
        <v>1116</v>
      </c>
      <c r="AB2" s="3" t="s">
        <v>1266</v>
      </c>
      <c r="AF2" s="3" t="s">
        <v>13</v>
      </c>
      <c r="AG2" s="3" t="s">
        <v>1266</v>
      </c>
    </row>
    <row r="3" spans="2:39" ht="20.25" customHeight="1" thickBot="1">
      <c r="B3" s="296" t="s">
        <v>1244</v>
      </c>
      <c r="C3" s="297"/>
      <c r="D3" s="297"/>
      <c r="E3" s="297"/>
      <c r="F3" s="298"/>
      <c r="H3" s="11" t="s">
        <v>59</v>
      </c>
      <c r="I3" s="11" t="s">
        <v>60</v>
      </c>
      <c r="J3" s="11" t="s">
        <v>61</v>
      </c>
      <c r="K3" s="11" t="s">
        <v>62</v>
      </c>
      <c r="M3" s="10" t="s">
        <v>458</v>
      </c>
      <c r="N3" s="10" t="s">
        <v>661</v>
      </c>
      <c r="O3" s="10" t="s">
        <v>639</v>
      </c>
      <c r="P3" s="10" t="s">
        <v>851</v>
      </c>
      <c r="Q3" s="10" t="s">
        <v>852</v>
      </c>
      <c r="R3" s="10" t="s">
        <v>659</v>
      </c>
      <c r="S3" s="10" t="s">
        <v>658</v>
      </c>
      <c r="U3" s="10" t="s">
        <v>458</v>
      </c>
      <c r="V3" s="10" t="s">
        <v>925</v>
      </c>
      <c r="W3" s="10" t="s">
        <v>150</v>
      </c>
      <c r="X3" s="10" t="s">
        <v>151</v>
      </c>
      <c r="Y3" s="10" t="s">
        <v>152</v>
      </c>
      <c r="AA3" s="10" t="s">
        <v>1059</v>
      </c>
      <c r="AB3" s="10" t="s">
        <v>1056</v>
      </c>
      <c r="AC3" s="10" t="s">
        <v>1060</v>
      </c>
      <c r="AD3" s="10" t="s">
        <v>1061</v>
      </c>
      <c r="AF3" s="10"/>
      <c r="AG3" s="10" t="s">
        <v>1056</v>
      </c>
    </row>
    <row r="4" spans="2:39" ht="21" thickTop="1">
      <c r="B4" s="299"/>
      <c r="C4" s="300"/>
      <c r="D4" s="300"/>
      <c r="E4" s="300"/>
      <c r="F4" s="301"/>
      <c r="H4" s="1" t="s">
        <v>843</v>
      </c>
      <c r="I4" s="1" t="s">
        <v>371</v>
      </c>
      <c r="J4" s="1"/>
      <c r="K4" s="1" t="s">
        <v>367</v>
      </c>
      <c r="M4" s="1" t="s">
        <v>150</v>
      </c>
      <c r="N4" s="1" t="s">
        <v>598</v>
      </c>
      <c r="O4" s="1" t="s">
        <v>599</v>
      </c>
      <c r="P4" s="59" t="s">
        <v>600</v>
      </c>
      <c r="Q4" s="59" t="s">
        <v>601</v>
      </c>
      <c r="R4" s="1" t="s">
        <v>45</v>
      </c>
      <c r="S4" s="59" t="s">
        <v>46</v>
      </c>
      <c r="U4" s="2" t="s">
        <v>721</v>
      </c>
      <c r="V4" s="4" t="s">
        <v>926</v>
      </c>
      <c r="W4" s="2" t="s">
        <v>722</v>
      </c>
      <c r="X4" s="4">
        <v>10</v>
      </c>
      <c r="Y4" s="2" t="s">
        <v>923</v>
      </c>
      <c r="AA4" s="104">
        <v>1</v>
      </c>
      <c r="AB4" s="4">
        <v>-0.55000000000000004</v>
      </c>
      <c r="AC4" s="4">
        <v>5</v>
      </c>
      <c r="AD4" s="4">
        <v>5</v>
      </c>
      <c r="AF4" s="1" t="s">
        <v>1057</v>
      </c>
      <c r="AG4" s="21">
        <v>-0.6</v>
      </c>
    </row>
    <row r="5" spans="2:39" ht="21" thickBot="1">
      <c r="B5" s="299"/>
      <c r="C5" s="300"/>
      <c r="D5" s="300"/>
      <c r="E5" s="300"/>
      <c r="F5" s="301"/>
      <c r="H5" s="1" t="s">
        <v>709</v>
      </c>
      <c r="I5" s="1" t="s">
        <v>366</v>
      </c>
      <c r="J5" s="1"/>
      <c r="K5" s="1" t="s">
        <v>367</v>
      </c>
      <c r="M5" s="19" t="s">
        <v>152</v>
      </c>
      <c r="N5" s="19" t="s">
        <v>5</v>
      </c>
      <c r="O5" s="19" t="s">
        <v>5</v>
      </c>
      <c r="P5" s="121" t="s">
        <v>315</v>
      </c>
      <c r="Q5" s="121" t="s">
        <v>315</v>
      </c>
      <c r="R5" s="19" t="s">
        <v>46</v>
      </c>
      <c r="S5" s="121" t="s">
        <v>46</v>
      </c>
      <c r="U5" s="1" t="s">
        <v>723</v>
      </c>
      <c r="V5" s="4" t="s">
        <v>927</v>
      </c>
      <c r="W5" s="1" t="s">
        <v>722</v>
      </c>
      <c r="X5" s="21">
        <v>2</v>
      </c>
      <c r="Y5" s="2" t="s">
        <v>923</v>
      </c>
      <c r="AA5" s="28">
        <v>2</v>
      </c>
      <c r="AB5" s="21">
        <v>-0.155</v>
      </c>
      <c r="AC5" s="21">
        <v>5</v>
      </c>
      <c r="AD5" s="21">
        <v>5</v>
      </c>
      <c r="AF5" s="1" t="s">
        <v>1058</v>
      </c>
      <c r="AG5" s="21">
        <v>0.25</v>
      </c>
      <c r="AJ5" s="1" t="s">
        <v>1156</v>
      </c>
      <c r="AK5" s="1" t="s">
        <v>1157</v>
      </c>
      <c r="AL5" s="21">
        <v>7.4999999999999997E-3</v>
      </c>
      <c r="AM5" s="1" t="s">
        <v>6</v>
      </c>
    </row>
    <row r="6" spans="2:39" ht="21" thickTop="1">
      <c r="B6" s="299"/>
      <c r="C6" s="300"/>
      <c r="D6" s="300"/>
      <c r="E6" s="300"/>
      <c r="F6" s="301"/>
      <c r="H6" s="50" t="s">
        <v>844</v>
      </c>
      <c r="I6" s="1" t="s">
        <v>363</v>
      </c>
      <c r="J6" s="1"/>
      <c r="K6" s="1" t="s">
        <v>45</v>
      </c>
      <c r="M6" s="75" t="s">
        <v>650</v>
      </c>
      <c r="N6" s="4">
        <v>0</v>
      </c>
      <c r="O6" s="4">
        <v>0.93</v>
      </c>
      <c r="P6" s="4">
        <v>2</v>
      </c>
      <c r="Q6" s="4">
        <v>0</v>
      </c>
      <c r="R6" s="4">
        <v>0.35</v>
      </c>
      <c r="S6" s="4" t="s">
        <v>662</v>
      </c>
      <c r="U6" s="1" t="s">
        <v>727</v>
      </c>
      <c r="V6" s="4" t="s">
        <v>928</v>
      </c>
      <c r="W6" s="1" t="s">
        <v>722</v>
      </c>
      <c r="X6" s="21">
        <f>0.45</f>
        <v>0.45</v>
      </c>
      <c r="Y6" s="2" t="s">
        <v>923</v>
      </c>
      <c r="AA6" s="104">
        <v>3</v>
      </c>
      <c r="AB6" s="21">
        <v>-2.5000000000000001E-2</v>
      </c>
      <c r="AC6" s="21">
        <v>5</v>
      </c>
      <c r="AD6" s="21">
        <v>5</v>
      </c>
      <c r="AJ6" s="20" t="s">
        <v>1158</v>
      </c>
      <c r="AK6" s="1" t="s">
        <v>1159</v>
      </c>
      <c r="AL6" s="21">
        <v>7.4999999999999997E-3</v>
      </c>
      <c r="AM6" s="1" t="s">
        <v>6</v>
      </c>
    </row>
    <row r="7" spans="2:39">
      <c r="B7" s="299"/>
      <c r="C7" s="300"/>
      <c r="D7" s="300"/>
      <c r="E7" s="300"/>
      <c r="F7" s="301"/>
      <c r="H7" s="50" t="s">
        <v>545</v>
      </c>
      <c r="I7" s="50" t="s">
        <v>460</v>
      </c>
      <c r="J7" s="50" t="e">
        <f>SUM(#REF!)*2</f>
        <v>#REF!</v>
      </c>
      <c r="K7" s="50" t="s">
        <v>401</v>
      </c>
      <c r="M7" s="10" t="s">
        <v>669</v>
      </c>
      <c r="N7" s="21">
        <v>1.6</v>
      </c>
      <c r="O7" s="21">
        <v>0.93</v>
      </c>
      <c r="P7" s="21">
        <v>2</v>
      </c>
      <c r="Q7" s="21">
        <v>0</v>
      </c>
      <c r="R7" s="4">
        <v>0.35</v>
      </c>
      <c r="S7" s="21" t="s">
        <v>636</v>
      </c>
      <c r="U7" s="1" t="s">
        <v>737</v>
      </c>
      <c r="V7" s="4" t="s">
        <v>929</v>
      </c>
      <c r="W7" s="1" t="s">
        <v>738</v>
      </c>
      <c r="X7" s="21">
        <v>8</v>
      </c>
      <c r="Y7" s="1" t="s">
        <v>1406</v>
      </c>
      <c r="AA7" s="28">
        <v>4</v>
      </c>
      <c r="AB7" s="21">
        <v>0.01</v>
      </c>
      <c r="AC7" s="21">
        <v>5</v>
      </c>
      <c r="AD7" s="21">
        <v>5</v>
      </c>
      <c r="AF7" s="3" t="s">
        <v>1409</v>
      </c>
      <c r="AJ7" s="1" t="s">
        <v>1160</v>
      </c>
      <c r="AK7" s="1" t="s">
        <v>1161</v>
      </c>
      <c r="AL7" s="21">
        <v>0.03</v>
      </c>
      <c r="AM7" s="1" t="s">
        <v>6</v>
      </c>
    </row>
    <row r="8" spans="2:39">
      <c r="B8" s="299"/>
      <c r="C8" s="300"/>
      <c r="D8" s="300"/>
      <c r="E8" s="300"/>
      <c r="F8" s="301"/>
      <c r="H8" s="50" t="s">
        <v>1124</v>
      </c>
      <c r="I8" s="50" t="s">
        <v>460</v>
      </c>
      <c r="J8" s="50"/>
      <c r="K8" s="50" t="s">
        <v>1123</v>
      </c>
      <c r="M8" s="10" t="s">
        <v>670</v>
      </c>
      <c r="N8" s="21">
        <v>5.2</v>
      </c>
      <c r="O8" s="21">
        <v>0.78</v>
      </c>
      <c r="P8" s="21">
        <v>2</v>
      </c>
      <c r="Q8" s="21">
        <v>0</v>
      </c>
      <c r="R8" s="4">
        <v>0.35</v>
      </c>
      <c r="S8" s="21" t="s">
        <v>662</v>
      </c>
      <c r="U8" s="1" t="s">
        <v>728</v>
      </c>
      <c r="V8" s="4" t="s">
        <v>928</v>
      </c>
      <c r="W8" s="1" t="s">
        <v>729</v>
      </c>
      <c r="X8" s="21">
        <v>20</v>
      </c>
      <c r="Y8" s="2" t="s">
        <v>923</v>
      </c>
      <c r="AA8" s="104">
        <v>5</v>
      </c>
      <c r="AB8" s="21">
        <v>0.2</v>
      </c>
      <c r="AC8" s="21">
        <v>5</v>
      </c>
      <c r="AD8" s="21">
        <v>5</v>
      </c>
    </row>
    <row r="9" spans="2:39">
      <c r="B9" s="299"/>
      <c r="C9" s="300"/>
      <c r="D9" s="300"/>
      <c r="E9" s="300"/>
      <c r="F9" s="301"/>
      <c r="H9" s="50" t="s">
        <v>548</v>
      </c>
      <c r="I9" s="50" t="s">
        <v>413</v>
      </c>
      <c r="J9" s="50"/>
      <c r="K9" s="50" t="s">
        <v>553</v>
      </c>
      <c r="M9" s="10" t="s">
        <v>671</v>
      </c>
      <c r="N9" s="21">
        <v>7.2</v>
      </c>
      <c r="O9" s="21">
        <v>0.68</v>
      </c>
      <c r="P9" s="21">
        <v>2</v>
      </c>
      <c r="Q9" s="21">
        <v>6</v>
      </c>
      <c r="R9" s="4">
        <v>0.35</v>
      </c>
      <c r="S9" s="21" t="s">
        <v>662</v>
      </c>
      <c r="U9" s="1"/>
      <c r="V9" s="2"/>
      <c r="W9" s="1" t="s">
        <v>722</v>
      </c>
      <c r="X9" s="21">
        <v>0.5</v>
      </c>
      <c r="Y9" s="2" t="s">
        <v>923</v>
      </c>
      <c r="AA9" s="28">
        <v>6</v>
      </c>
      <c r="AB9" s="21"/>
      <c r="AC9" s="21"/>
      <c r="AD9" s="21"/>
    </row>
    <row r="10" spans="2:39">
      <c r="B10" s="299"/>
      <c r="C10" s="300"/>
      <c r="D10" s="300"/>
      <c r="E10" s="300"/>
      <c r="F10" s="301"/>
      <c r="H10" s="50" t="s">
        <v>546</v>
      </c>
      <c r="I10" s="50" t="s">
        <v>551</v>
      </c>
      <c r="J10" s="50"/>
      <c r="K10" s="50" t="s">
        <v>46</v>
      </c>
      <c r="M10" s="10" t="s">
        <v>672</v>
      </c>
      <c r="N10" s="21">
        <v>8.6</v>
      </c>
      <c r="O10" s="21">
        <v>0.61</v>
      </c>
      <c r="P10" s="21">
        <v>2</v>
      </c>
      <c r="Q10" s="21">
        <v>6</v>
      </c>
      <c r="R10" s="4">
        <v>0.35</v>
      </c>
      <c r="S10" s="21" t="s">
        <v>662</v>
      </c>
      <c r="U10" s="1"/>
      <c r="V10" s="2"/>
      <c r="W10" s="1" t="s">
        <v>1118</v>
      </c>
      <c r="X10" s="21">
        <v>13.5</v>
      </c>
      <c r="Y10" s="2" t="s">
        <v>1119</v>
      </c>
      <c r="AA10" s="28">
        <v>7</v>
      </c>
      <c r="AB10" s="21"/>
      <c r="AC10" s="21"/>
      <c r="AD10" s="21"/>
    </row>
    <row r="11" spans="2:39">
      <c r="B11" s="299"/>
      <c r="C11" s="300"/>
      <c r="D11" s="300"/>
      <c r="E11" s="300"/>
      <c r="F11" s="301"/>
      <c r="H11" s="50" t="s">
        <v>547</v>
      </c>
      <c r="I11" s="50" t="s">
        <v>552</v>
      </c>
      <c r="J11" s="50"/>
      <c r="K11" s="50" t="s">
        <v>5</v>
      </c>
      <c r="M11" s="10" t="s">
        <v>673</v>
      </c>
      <c r="N11" s="21">
        <v>10.8</v>
      </c>
      <c r="O11" s="21">
        <v>0.52</v>
      </c>
      <c r="P11" s="21">
        <v>2</v>
      </c>
      <c r="Q11" s="21">
        <v>6</v>
      </c>
      <c r="R11" s="4">
        <v>0.35</v>
      </c>
      <c r="S11" s="21" t="s">
        <v>663</v>
      </c>
      <c r="U11" s="1" t="s">
        <v>1063</v>
      </c>
      <c r="V11" s="4" t="s">
        <v>1055</v>
      </c>
      <c r="W11" s="1" t="s">
        <v>1064</v>
      </c>
      <c r="X11" s="21">
        <v>4</v>
      </c>
      <c r="Y11" s="1" t="s">
        <v>924</v>
      </c>
      <c r="AA11" s="28">
        <v>8</v>
      </c>
      <c r="AB11" s="21"/>
      <c r="AC11" s="21"/>
      <c r="AD11" s="21"/>
    </row>
    <row r="12" spans="2:39">
      <c r="B12" s="299"/>
      <c r="C12" s="300"/>
      <c r="D12" s="300"/>
      <c r="E12" s="300"/>
      <c r="F12" s="301"/>
      <c r="H12" s="50" t="s">
        <v>1301</v>
      </c>
      <c r="I12" s="50" t="s">
        <v>845</v>
      </c>
      <c r="J12" s="50"/>
      <c r="K12" s="50" t="s">
        <v>5</v>
      </c>
      <c r="M12" s="10" t="s">
        <v>1105</v>
      </c>
      <c r="N12" s="21">
        <v>12.2</v>
      </c>
      <c r="O12" s="21">
        <v>0.39750000000000002</v>
      </c>
      <c r="P12" s="21">
        <v>0.5</v>
      </c>
      <c r="Q12" s="21">
        <v>36</v>
      </c>
      <c r="R12" s="4">
        <v>0.35</v>
      </c>
      <c r="S12" s="21" t="s">
        <v>663</v>
      </c>
      <c r="U12" s="1" t="s">
        <v>1121</v>
      </c>
      <c r="V12" s="4" t="s">
        <v>930</v>
      </c>
      <c r="W12" s="1" t="s">
        <v>1065</v>
      </c>
      <c r="X12" s="21">
        <v>10</v>
      </c>
      <c r="Y12" s="1" t="s">
        <v>1066</v>
      </c>
      <c r="AA12" s="28">
        <v>9</v>
      </c>
      <c r="AB12" s="21"/>
      <c r="AC12" s="21"/>
      <c r="AD12" s="21"/>
    </row>
    <row r="13" spans="2:39" ht="21" thickBot="1">
      <c r="B13" s="302"/>
      <c r="C13" s="303"/>
      <c r="D13" s="303"/>
      <c r="E13" s="303"/>
      <c r="F13" s="304"/>
      <c r="H13" s="50" t="s">
        <v>1302</v>
      </c>
      <c r="I13" s="50" t="s">
        <v>846</v>
      </c>
      <c r="J13" s="50"/>
      <c r="K13" s="50" t="s">
        <v>263</v>
      </c>
      <c r="M13" s="10" t="s">
        <v>649</v>
      </c>
      <c r="N13" s="21">
        <v>12.4</v>
      </c>
      <c r="O13" s="21">
        <v>0.38</v>
      </c>
      <c r="P13" s="21">
        <v>0.5</v>
      </c>
      <c r="Q13" s="21"/>
      <c r="R13" s="4">
        <v>0.35</v>
      </c>
      <c r="S13" s="21" t="s">
        <v>637</v>
      </c>
      <c r="U13" s="1" t="s">
        <v>1062</v>
      </c>
      <c r="V13" s="4" t="s">
        <v>136</v>
      </c>
      <c r="W13" s="1" t="s">
        <v>1122</v>
      </c>
      <c r="X13" s="21">
        <v>0.5</v>
      </c>
      <c r="Y13" s="1" t="s">
        <v>923</v>
      </c>
      <c r="AA13" s="28">
        <v>10</v>
      </c>
      <c r="AB13" s="21"/>
      <c r="AC13" s="21"/>
      <c r="AD13" s="21"/>
    </row>
    <row r="14" spans="2:39">
      <c r="AD14"/>
      <c r="AE14"/>
    </row>
    <row r="15" spans="2:39">
      <c r="W15" s="27">
        <v>1</v>
      </c>
      <c r="X15" s="1" t="s">
        <v>1145</v>
      </c>
    </row>
    <row r="17" spans="7:33">
      <c r="U17" s="123"/>
      <c r="V17" s="180"/>
      <c r="W17" s="180"/>
      <c r="X17" s="180"/>
      <c r="Y17" s="180"/>
      <c r="Z17" s="180"/>
      <c r="AA17" s="180"/>
      <c r="AB17" s="180"/>
      <c r="AC17" s="180"/>
      <c r="AD17" s="180"/>
      <c r="AE17" s="180"/>
      <c r="AF17" s="180"/>
      <c r="AG17" s="124"/>
    </row>
    <row r="18" spans="7:33">
      <c r="U18" s="253"/>
      <c r="AG18" s="233"/>
    </row>
    <row r="19" spans="7:33">
      <c r="U19" s="253"/>
      <c r="AG19" s="233"/>
    </row>
    <row r="20" spans="7:33">
      <c r="U20" s="253"/>
      <c r="AG20" s="233"/>
    </row>
    <row r="21" spans="7:33">
      <c r="U21" s="253"/>
      <c r="AG21" s="233"/>
    </row>
    <row r="22" spans="7:33">
      <c r="U22" s="253"/>
      <c r="AG22" s="233"/>
    </row>
    <row r="23" spans="7:33">
      <c r="G23" s="10" t="s">
        <v>1101</v>
      </c>
      <c r="H23" s="10" t="s">
        <v>1102</v>
      </c>
      <c r="I23" s="10" t="s">
        <v>1103</v>
      </c>
      <c r="J23" s="10" t="s">
        <v>1102</v>
      </c>
      <c r="K23" s="10" t="s">
        <v>1104</v>
      </c>
      <c r="L23" s="10" t="s">
        <v>1102</v>
      </c>
      <c r="N23" s="10" t="s">
        <v>1421</v>
      </c>
      <c r="O23" s="10" t="s">
        <v>1102</v>
      </c>
      <c r="P23" s="10" t="s">
        <v>1422</v>
      </c>
      <c r="Q23" s="10" t="s">
        <v>1102</v>
      </c>
      <c r="U23" s="253"/>
      <c r="AG23" s="233"/>
    </row>
    <row r="24" spans="7:33">
      <c r="G24" s="1" t="s">
        <v>46</v>
      </c>
      <c r="H24" s="1" t="s">
        <v>46</v>
      </c>
      <c r="I24" s="1" t="s">
        <v>46</v>
      </c>
      <c r="J24" s="1" t="s">
        <v>46</v>
      </c>
      <c r="K24" s="1" t="s">
        <v>46</v>
      </c>
      <c r="L24" s="1" t="s">
        <v>46</v>
      </c>
      <c r="N24" s="1" t="s">
        <v>46</v>
      </c>
      <c r="O24" s="1" t="s">
        <v>46</v>
      </c>
      <c r="P24" s="1" t="s">
        <v>46</v>
      </c>
      <c r="Q24" s="1" t="s">
        <v>46</v>
      </c>
      <c r="U24" s="253"/>
      <c r="AG24" s="233"/>
    </row>
    <row r="25" spans="7:33" ht="21" thickBot="1">
      <c r="G25" s="19" t="s">
        <v>1099</v>
      </c>
      <c r="H25" s="19" t="s">
        <v>5</v>
      </c>
      <c r="I25" s="19" t="s">
        <v>1100</v>
      </c>
      <c r="J25" s="19" t="s">
        <v>315</v>
      </c>
      <c r="K25" s="19" t="s">
        <v>46</v>
      </c>
      <c r="L25" s="19" t="s">
        <v>5</v>
      </c>
      <c r="N25" s="19" t="s">
        <v>996</v>
      </c>
      <c r="O25" s="19" t="s">
        <v>996</v>
      </c>
      <c r="P25" s="19" t="s">
        <v>996</v>
      </c>
      <c r="Q25" s="19" t="s">
        <v>996</v>
      </c>
      <c r="U25" s="253"/>
      <c r="AG25" s="233"/>
    </row>
    <row r="26" spans="7:33" ht="21" thickTop="1">
      <c r="G26" s="1" cm="1">
        <f t="array" ref="G26:H26">LINEST(O6:O7,N6:N7,TRUE,FALSE)</f>
        <v>0</v>
      </c>
      <c r="H26" s="2">
        <v>0.93</v>
      </c>
      <c r="I26" s="1" cm="1">
        <f t="array" ref="I26:J26">LINEST(P6:P7,N6:N7,TRUE,FALSE)</f>
        <v>0</v>
      </c>
      <c r="J26" s="2">
        <v>2</v>
      </c>
      <c r="K26" s="1" cm="1">
        <f t="array" ref="K26:L26">LINEST(R6:R7,N6:N7,TRUE,FALSE)</f>
        <v>0</v>
      </c>
      <c r="L26" s="2">
        <v>0.35</v>
      </c>
      <c r="M26" s="329">
        <v>0</v>
      </c>
      <c r="N26" s="2" cm="1">
        <f t="array" ref="N26:O29">TRANSPOSE(主桁!U20:X21)</f>
        <v>0</v>
      </c>
      <c r="O26" s="2">
        <v>113.39</v>
      </c>
      <c r="P26" s="2" cm="1">
        <f t="array" ref="P26:Q29">TRANSPOSE(主桁!Y20:AB21)</f>
        <v>0</v>
      </c>
      <c r="Q26" s="2">
        <v>113.39</v>
      </c>
      <c r="U26" s="8"/>
      <c r="V26" s="254"/>
      <c r="W26" s="254"/>
      <c r="X26" s="254"/>
      <c r="Y26" s="254"/>
      <c r="Z26" s="254"/>
      <c r="AA26" s="254"/>
      <c r="AB26" s="254"/>
      <c r="AC26" s="254"/>
      <c r="AD26" s="254"/>
      <c r="AE26" s="254"/>
      <c r="AF26" s="254"/>
      <c r="AG26" s="7"/>
    </row>
    <row r="27" spans="7:33">
      <c r="G27" s="1" cm="1">
        <f t="array" ref="G27:H27">LINEST(O7:O8,N7:N8,TRUE,FALSE)</f>
        <v>-4.1666666666666671E-2</v>
      </c>
      <c r="H27" s="1">
        <v>0.9966666666666667</v>
      </c>
      <c r="I27" s="1" cm="1">
        <f t="array" ref="I27:J27">LINEST(P7:P8,N7:N8,TRUE,FALSE)</f>
        <v>0</v>
      </c>
      <c r="J27" s="1">
        <v>2</v>
      </c>
      <c r="K27" s="1" cm="1">
        <f t="array" ref="K27:L27">LINEST(R7:R8,N7:N8,TRUE,FALSE)</f>
        <v>0</v>
      </c>
      <c r="L27" s="1">
        <v>0.35</v>
      </c>
      <c r="M27" s="329">
        <v>1</v>
      </c>
      <c r="N27" s="1">
        <v>-8.0000000000000018</v>
      </c>
      <c r="O27" s="1">
        <v>133.10999999999999</v>
      </c>
      <c r="P27" s="1">
        <v>-8.1679999999999975</v>
      </c>
      <c r="Q27" s="1">
        <v>133.75469999999999</v>
      </c>
    </row>
    <row r="28" spans="7:33">
      <c r="G28" s="1" cm="1">
        <f t="array" ref="G28:H28">LINEST(O8:O9,N8:N9,TRUE,FALSE)</f>
        <v>-4.9999999999999996E-2</v>
      </c>
      <c r="H28" s="1">
        <v>1.04</v>
      </c>
      <c r="I28" s="1" cm="1">
        <f t="array" ref="I28:J28">LINEST(P8:P9,N8:N9,TRUE,FALSE)</f>
        <v>0</v>
      </c>
      <c r="J28" s="1">
        <v>2</v>
      </c>
      <c r="K28" s="1" cm="1">
        <f t="array" ref="K28:L28">LINEST(R8:R9,N8:N9,TRUE,FALSE)</f>
        <v>0</v>
      </c>
      <c r="L28" s="1">
        <v>0.35</v>
      </c>
      <c r="M28" s="329">
        <v>2</v>
      </c>
      <c r="N28" s="1">
        <v>-8.0000000000000018</v>
      </c>
      <c r="O28" s="1">
        <v>140.69800000000001</v>
      </c>
      <c r="P28" s="1">
        <v>-8.1199999999999992</v>
      </c>
      <c r="Q28" s="1">
        <v>140.67549999999997</v>
      </c>
      <c r="W28" s="249" t="s">
        <v>1265</v>
      </c>
    </row>
    <row r="29" spans="7:33">
      <c r="G29" s="1" cm="1">
        <f t="array" ref="G29:H29">LINEST(O9:O10,N9:N10,TRUE,FALSE)</f>
        <v>-5.0000000000000072E-2</v>
      </c>
      <c r="H29" s="1">
        <v>1.0400000000000005</v>
      </c>
      <c r="I29" s="1" cm="1">
        <f t="array" ref="I29:J29">LINEST(P9:P10,N9:N10,TRUE,FALSE)</f>
        <v>0</v>
      </c>
      <c r="J29" s="1">
        <v>2</v>
      </c>
      <c r="K29" s="1" cm="1">
        <f t="array" ref="K29:L29">LINEST(R9:R10,N9:N10,TRUE,FALSE)</f>
        <v>0</v>
      </c>
      <c r="L29" s="1">
        <v>0.35</v>
      </c>
      <c r="M29" s="329">
        <v>3</v>
      </c>
      <c r="N29" s="1">
        <v>-8.5</v>
      </c>
      <c r="O29" s="1">
        <v>149.32799999999997</v>
      </c>
      <c r="P29" s="1">
        <v>-8.5</v>
      </c>
      <c r="Q29" s="1">
        <v>148.15199999999999</v>
      </c>
      <c r="W29" s="3" t="s">
        <v>1410</v>
      </c>
    </row>
    <row r="30" spans="7:33">
      <c r="G30" s="1" cm="1">
        <f t="array" ref="G30:H30">LINEST(O10:O11,N10:N11,TRUE,FALSE)</f>
        <v>-4.0909090909090867E-2</v>
      </c>
      <c r="H30" s="1">
        <v>0.96181818181818135</v>
      </c>
      <c r="I30" s="1" cm="1">
        <f t="array" ref="I30:J30">LINEST(P10:P11,N10:N11,TRUE,FALSE)</f>
        <v>0</v>
      </c>
      <c r="J30" s="1">
        <v>2</v>
      </c>
      <c r="K30" s="1" cm="1">
        <f t="array" ref="K30:L30">LINEST(R10:R11,N10:N11,TRUE,FALSE)</f>
        <v>0</v>
      </c>
      <c r="L30" s="1">
        <v>0.35</v>
      </c>
      <c r="N30" s="1"/>
      <c r="O30" s="1"/>
      <c r="P30" s="1"/>
      <c r="Q30" s="1"/>
      <c r="W30" s="249" t="s">
        <v>1267</v>
      </c>
    </row>
    <row r="31" spans="7:33">
      <c r="G31" s="1" cm="1">
        <f t="array" ref="G31:H31">LINEST(O11:O12,N11:N12,TRUE,FALSE)</f>
        <v>-8.7500000000000092E-2</v>
      </c>
      <c r="H31" s="1">
        <v>1.465000000000001</v>
      </c>
      <c r="I31" s="1" cm="1">
        <f t="array" ref="I31:J31">LINEST(P11:P12,N11:N12,TRUE,FALSE)</f>
        <v>-1.0714285714285725</v>
      </c>
      <c r="J31" s="1">
        <v>13.571428571428584</v>
      </c>
      <c r="K31" s="1" cm="1">
        <f t="array" ref="K31:L31">LINEST(R11:R12,N11:N12,TRUE,FALSE)</f>
        <v>0</v>
      </c>
      <c r="L31" s="1">
        <v>0.35</v>
      </c>
      <c r="N31" s="1"/>
      <c r="O31" s="1"/>
      <c r="P31" s="1"/>
      <c r="Q31" s="1"/>
      <c r="W31" s="249" t="s">
        <v>1267</v>
      </c>
    </row>
    <row r="32" spans="7:33">
      <c r="G32" s="1" cm="1">
        <f t="array" ref="G32:H32">LINEST(O12:O13,N12:N13,TRUE,FALSE)</f>
        <v>-8.749999999999962E-2</v>
      </c>
      <c r="H32" s="1">
        <v>1.4649999999999954</v>
      </c>
      <c r="I32" s="1" cm="1">
        <f t="array" ref="I32:J32">LINEST(P12:P13,N12:N13,TRUE,FALSE)</f>
        <v>0</v>
      </c>
      <c r="J32" s="1">
        <v>0.5</v>
      </c>
      <c r="K32" s="1" cm="1">
        <f t="array" ref="K32:L32">LINEST(R12:R13,N12:N13,TRUE,FALSE)</f>
        <v>0</v>
      </c>
      <c r="L32" s="1">
        <v>0.35</v>
      </c>
      <c r="N32" s="1"/>
      <c r="O32" s="1"/>
      <c r="P32" s="1"/>
      <c r="Q32" s="1"/>
      <c r="U32" s="250"/>
    </row>
    <row r="43" spans="2:64">
      <c r="B43" s="10" t="s">
        <v>1098</v>
      </c>
      <c r="C43" s="223">
        <v>60</v>
      </c>
      <c r="D43" s="208" t="s">
        <v>46</v>
      </c>
      <c r="F43" s="3" t="s">
        <v>740</v>
      </c>
    </row>
    <row r="44" spans="2:64">
      <c r="B44" s="10" t="s">
        <v>1268</v>
      </c>
      <c r="C44" s="207">
        <v>0.8</v>
      </c>
      <c r="D44" s="208" t="s">
        <v>5</v>
      </c>
      <c r="F44" s="127" t="s">
        <v>716</v>
      </c>
      <c r="G44" s="127" t="s">
        <v>717</v>
      </c>
      <c r="H44" s="127" t="s">
        <v>718</v>
      </c>
      <c r="I44" s="127" t="s">
        <v>1094</v>
      </c>
      <c r="AY44" s="3" t="s">
        <v>918</v>
      </c>
      <c r="AZ44" s="3" t="s">
        <v>1155</v>
      </c>
    </row>
    <row r="45" spans="2:64">
      <c r="B45" s="10" t="s">
        <v>842</v>
      </c>
      <c r="C45" s="207">
        <v>0.2</v>
      </c>
      <c r="D45" s="208" t="s">
        <v>37</v>
      </c>
      <c r="F45" s="1">
        <f>主桁!H7</f>
        <v>1.4</v>
      </c>
      <c r="G45" s="1">
        <f>主桁!H9</f>
        <v>4.8999999999999995</v>
      </c>
      <c r="H45" s="1">
        <f>主桁!H11</f>
        <v>8.3999999999999986</v>
      </c>
      <c r="I45" s="1">
        <f>主桁!H13</f>
        <v>12.2</v>
      </c>
      <c r="AY45" s="3">
        <f>0.095</f>
        <v>9.5000000000000001E-2</v>
      </c>
      <c r="AZ45" s="3">
        <v>2.0499999999999998</v>
      </c>
    </row>
    <row r="46" spans="2:64">
      <c r="BG46" s="3" t="s">
        <v>1126</v>
      </c>
    </row>
    <row r="47" spans="2:64">
      <c r="B47" s="3" t="s">
        <v>664</v>
      </c>
      <c r="I47" s="3" t="s">
        <v>752</v>
      </c>
      <c r="M47" s="3" t="s">
        <v>917</v>
      </c>
      <c r="W47" s="3" t="s">
        <v>1128</v>
      </c>
      <c r="AC47" s="3" t="s">
        <v>682</v>
      </c>
      <c r="AD47"/>
      <c r="AT47" s="3" t="s">
        <v>1140</v>
      </c>
      <c r="AY47" s="3" t="s">
        <v>746</v>
      </c>
      <c r="BC47" s="3" t="s">
        <v>1162</v>
      </c>
      <c r="BD47" s="3">
        <v>2</v>
      </c>
      <c r="BE47" s="3">
        <v>3</v>
      </c>
      <c r="BG47" s="1">
        <f>SUM(BF117:BF150)/1000</f>
        <v>0</v>
      </c>
      <c r="BH47" s="1">
        <f>SUM(BG117:BG150)/1000</f>
        <v>0</v>
      </c>
      <c r="BI47" s="1">
        <f>BG47+BH47</f>
        <v>0</v>
      </c>
      <c r="BJ47" s="3" t="s">
        <v>24</v>
      </c>
    </row>
    <row r="48" spans="2:64">
      <c r="B48" s="10" t="s">
        <v>665</v>
      </c>
      <c r="C48" s="12" t="s">
        <v>1097</v>
      </c>
      <c r="D48" s="10" t="s">
        <v>639</v>
      </c>
      <c r="E48" s="12" t="s">
        <v>914</v>
      </c>
      <c r="F48" s="10" t="s">
        <v>910</v>
      </c>
      <c r="G48" s="10" t="s">
        <v>911</v>
      </c>
      <c r="H48" s="279" t="s">
        <v>1408</v>
      </c>
      <c r="I48" s="12" t="s">
        <v>1071</v>
      </c>
      <c r="J48" s="12" t="s">
        <v>1072</v>
      </c>
      <c r="K48" s="10" t="s">
        <v>659</v>
      </c>
      <c r="L48" s="39" t="s">
        <v>679</v>
      </c>
      <c r="M48" s="13" t="s">
        <v>1106</v>
      </c>
      <c r="N48" s="14" t="s">
        <v>1107</v>
      </c>
      <c r="O48" s="14" t="s">
        <v>1108</v>
      </c>
      <c r="P48" s="14" t="s">
        <v>1109</v>
      </c>
      <c r="Q48" s="10" t="s">
        <v>667</v>
      </c>
      <c r="R48" s="10" t="s">
        <v>668</v>
      </c>
      <c r="S48" s="10" t="s">
        <v>1095</v>
      </c>
      <c r="T48" s="10" t="s">
        <v>847</v>
      </c>
      <c r="U48" s="14" t="s">
        <v>336</v>
      </c>
      <c r="V48" s="10" t="s">
        <v>666</v>
      </c>
      <c r="W48" s="12" t="s">
        <v>1134</v>
      </c>
      <c r="X48" s="10" t="s">
        <v>1129</v>
      </c>
      <c r="Y48" s="10" t="s">
        <v>1135</v>
      </c>
      <c r="Z48" s="10" t="s">
        <v>1136</v>
      </c>
      <c r="AA48" s="10" t="s">
        <v>1130</v>
      </c>
      <c r="AB48" s="10" t="s">
        <v>1131</v>
      </c>
      <c r="AC48" s="14" t="s">
        <v>709</v>
      </c>
      <c r="AD48" s="10" t="s">
        <v>710</v>
      </c>
      <c r="AE48" s="10" t="s">
        <v>711</v>
      </c>
      <c r="AF48" s="12" t="s">
        <v>683</v>
      </c>
      <c r="AG48" s="10" t="s">
        <v>684</v>
      </c>
      <c r="AH48" s="10" t="s">
        <v>754</v>
      </c>
      <c r="AI48" s="10" t="s">
        <v>339</v>
      </c>
      <c r="AJ48" s="10" t="s">
        <v>352</v>
      </c>
      <c r="AK48" s="10" t="s">
        <v>757</v>
      </c>
      <c r="AL48" s="10" t="s">
        <v>364</v>
      </c>
      <c r="AM48" s="10" t="s">
        <v>759</v>
      </c>
      <c r="AN48" s="10" t="s">
        <v>346</v>
      </c>
      <c r="AO48" s="10" t="s">
        <v>685</v>
      </c>
      <c r="AP48" s="10" t="s">
        <v>687</v>
      </c>
      <c r="AQ48" s="10" t="s">
        <v>686</v>
      </c>
      <c r="AR48" s="10" t="s">
        <v>690</v>
      </c>
      <c r="AS48" s="39" t="s">
        <v>688</v>
      </c>
      <c r="AT48" s="10" t="s">
        <v>918</v>
      </c>
      <c r="AU48" s="10" t="s">
        <v>919</v>
      </c>
      <c r="AV48" s="178" t="s">
        <v>922</v>
      </c>
      <c r="AW48" s="12" t="s">
        <v>920</v>
      </c>
      <c r="AX48" s="39" t="s">
        <v>921</v>
      </c>
      <c r="AY48" s="14" t="s">
        <v>721</v>
      </c>
      <c r="AZ48" s="10" t="s">
        <v>723</v>
      </c>
      <c r="BA48" s="10" t="s">
        <v>724</v>
      </c>
      <c r="BB48" s="10" t="s">
        <v>727</v>
      </c>
      <c r="BC48" s="10" t="s">
        <v>1117</v>
      </c>
      <c r="BD48" s="10" t="s">
        <v>1120</v>
      </c>
      <c r="BE48" s="10" t="s">
        <v>1125</v>
      </c>
      <c r="BF48" s="12" t="s">
        <v>750</v>
      </c>
      <c r="BG48" s="10" t="s">
        <v>1111</v>
      </c>
      <c r="BH48" s="10" t="s">
        <v>1110</v>
      </c>
      <c r="BI48" s="10" t="s">
        <v>1127</v>
      </c>
      <c r="BJ48" s="103" t="s">
        <v>1112</v>
      </c>
      <c r="BK48" s="103"/>
      <c r="BL48" s="220"/>
    </row>
    <row r="49" spans="2:64">
      <c r="B49" s="1" t="s">
        <v>674</v>
      </c>
      <c r="C49" s="9" t="s">
        <v>22</v>
      </c>
      <c r="D49" s="1" t="s">
        <v>640</v>
      </c>
      <c r="E49" s="9" t="s">
        <v>632</v>
      </c>
      <c r="F49" s="59" t="s">
        <v>675</v>
      </c>
      <c r="G49" s="59" t="s">
        <v>675</v>
      </c>
      <c r="H49" s="280" t="s">
        <v>675</v>
      </c>
      <c r="I49" s="9" t="s">
        <v>675</v>
      </c>
      <c r="J49" s="9" t="s">
        <v>675</v>
      </c>
      <c r="K49" s="1" t="s">
        <v>675</v>
      </c>
      <c r="L49" s="64" t="s">
        <v>675</v>
      </c>
      <c r="M49" s="65" t="s">
        <v>675</v>
      </c>
      <c r="N49" s="22" t="s">
        <v>675</v>
      </c>
      <c r="O49" s="22" t="s">
        <v>675</v>
      </c>
      <c r="P49" s="22" t="s">
        <v>675</v>
      </c>
      <c r="Q49" s="1" t="s">
        <v>915</v>
      </c>
      <c r="R49" s="1" t="s">
        <v>916</v>
      </c>
      <c r="S49" s="1" t="s">
        <v>1096</v>
      </c>
      <c r="T49" s="1" t="s">
        <v>848</v>
      </c>
      <c r="U49" s="22" t="s">
        <v>691</v>
      </c>
      <c r="V49" s="1" t="s">
        <v>850</v>
      </c>
      <c r="W49" s="175" t="s">
        <v>1137</v>
      </c>
      <c r="X49" s="59" t="s">
        <v>699</v>
      </c>
      <c r="Y49" s="59" t="s">
        <v>1138</v>
      </c>
      <c r="Z49" s="59" t="s">
        <v>1139</v>
      </c>
      <c r="AA49" s="59" t="s">
        <v>1133</v>
      </c>
      <c r="AB49" s="59" t="s">
        <v>1132</v>
      </c>
      <c r="AC49" s="218" t="s">
        <v>366</v>
      </c>
      <c r="AD49" s="59" t="s">
        <v>369</v>
      </c>
      <c r="AE49" s="59" t="s">
        <v>856</v>
      </c>
      <c r="AF49" s="175" t="s">
        <v>691</v>
      </c>
      <c r="AG49" s="59" t="s">
        <v>692</v>
      </c>
      <c r="AH49" s="59" t="s">
        <v>755</v>
      </c>
      <c r="AI49" s="59" t="s">
        <v>693</v>
      </c>
      <c r="AJ49" s="59" t="s">
        <v>694</v>
      </c>
      <c r="AK49" s="59" t="s">
        <v>758</v>
      </c>
      <c r="AL49" s="59" t="s">
        <v>695</v>
      </c>
      <c r="AM49" s="59" t="s">
        <v>698</v>
      </c>
      <c r="AN49" s="59" t="s">
        <v>696</v>
      </c>
      <c r="AO49" s="59" t="s">
        <v>697</v>
      </c>
      <c r="AP49" s="59" t="s">
        <v>701</v>
      </c>
      <c r="AQ49" s="59" t="s">
        <v>700</v>
      </c>
      <c r="AR49" s="59" t="s">
        <v>704</v>
      </c>
      <c r="AS49" s="174" t="s">
        <v>702</v>
      </c>
      <c r="AT49" s="59"/>
      <c r="AU49" s="59"/>
      <c r="AV49" s="179" t="s">
        <v>675</v>
      </c>
      <c r="AW49" s="9" t="s">
        <v>675</v>
      </c>
      <c r="AX49" s="64" t="s">
        <v>675</v>
      </c>
      <c r="AY49" s="22" t="s">
        <v>45</v>
      </c>
      <c r="AZ49" s="1" t="s">
        <v>45</v>
      </c>
      <c r="BA49" s="1" t="s">
        <v>45</v>
      </c>
      <c r="BB49" s="1" t="s">
        <v>45</v>
      </c>
      <c r="BC49" s="1" t="s">
        <v>45</v>
      </c>
      <c r="BD49" s="1" t="s">
        <v>45</v>
      </c>
      <c r="BE49" s="1" t="s">
        <v>45</v>
      </c>
      <c r="BF49" s="9" t="s">
        <v>45</v>
      </c>
      <c r="BG49" s="1" t="s">
        <v>45</v>
      </c>
      <c r="BH49" s="59" t="s">
        <v>45</v>
      </c>
      <c r="BI49" s="59" t="s">
        <v>45</v>
      </c>
      <c r="BJ49" s="1" t="s">
        <v>1113</v>
      </c>
      <c r="BK49" s="1" t="s">
        <v>1114</v>
      </c>
      <c r="BL49" s="64" t="s">
        <v>1115</v>
      </c>
    </row>
    <row r="50" spans="2:64" ht="21" thickBot="1">
      <c r="B50" s="20" t="s">
        <v>675</v>
      </c>
      <c r="C50" s="123" t="s">
        <v>676</v>
      </c>
      <c r="D50" s="20" t="s">
        <v>789</v>
      </c>
      <c r="E50" s="123" t="s">
        <v>676</v>
      </c>
      <c r="F50" s="122" t="s">
        <v>675</v>
      </c>
      <c r="G50" s="121" t="s">
        <v>675</v>
      </c>
      <c r="H50" s="281" t="s">
        <v>675</v>
      </c>
      <c r="I50" s="123" t="s">
        <v>627</v>
      </c>
      <c r="J50" s="123" t="s">
        <v>627</v>
      </c>
      <c r="K50" s="19" t="s">
        <v>154</v>
      </c>
      <c r="L50" s="173" t="s">
        <v>627</v>
      </c>
      <c r="M50" s="229" t="s">
        <v>45</v>
      </c>
      <c r="N50" s="124" t="s">
        <v>45</v>
      </c>
      <c r="O50" s="124" t="s">
        <v>45</v>
      </c>
      <c r="P50" s="124" t="s">
        <v>45</v>
      </c>
      <c r="Q50" s="19" t="s">
        <v>676</v>
      </c>
      <c r="R50" s="19" t="s">
        <v>676</v>
      </c>
      <c r="S50" s="19" t="s">
        <v>676</v>
      </c>
      <c r="T50" s="19" t="s">
        <v>676</v>
      </c>
      <c r="U50" s="124" t="s">
        <v>263</v>
      </c>
      <c r="V50" s="19" t="s">
        <v>263</v>
      </c>
      <c r="W50" s="176" t="s">
        <v>705</v>
      </c>
      <c r="X50" s="122" t="s">
        <v>705</v>
      </c>
      <c r="Y50" s="122" t="s">
        <v>676</v>
      </c>
      <c r="Z50" s="122" t="s">
        <v>676</v>
      </c>
      <c r="AA50" s="122" t="s">
        <v>676</v>
      </c>
      <c r="AB50" s="122" t="s">
        <v>705</v>
      </c>
      <c r="AC50" s="219" t="s">
        <v>276</v>
      </c>
      <c r="AD50" s="122" t="s">
        <v>276</v>
      </c>
      <c r="AE50" s="122" t="s">
        <v>756</v>
      </c>
      <c r="AF50" s="176" t="s">
        <v>705</v>
      </c>
      <c r="AG50" s="122" t="s">
        <v>675</v>
      </c>
      <c r="AH50" s="122" t="s">
        <v>675</v>
      </c>
      <c r="AI50" s="122" t="s">
        <v>675</v>
      </c>
      <c r="AJ50" s="122" t="s">
        <v>675</v>
      </c>
      <c r="AK50" s="122" t="s">
        <v>675</v>
      </c>
      <c r="AL50" s="122" t="s">
        <v>675</v>
      </c>
      <c r="AM50" s="122" t="s">
        <v>675</v>
      </c>
      <c r="AN50" s="122" t="s">
        <v>706</v>
      </c>
      <c r="AO50" s="122" t="s">
        <v>706</v>
      </c>
      <c r="AP50" s="122" t="s">
        <v>707</v>
      </c>
      <c r="AQ50" s="122" t="s">
        <v>707</v>
      </c>
      <c r="AR50" s="122" t="s">
        <v>707</v>
      </c>
      <c r="AS50" s="201" t="s">
        <v>708</v>
      </c>
      <c r="AT50" s="122" t="s">
        <v>401</v>
      </c>
      <c r="AU50" s="122" t="s">
        <v>5</v>
      </c>
      <c r="AV50" s="180" t="s">
        <v>676</v>
      </c>
      <c r="AW50" s="123" t="s">
        <v>676</v>
      </c>
      <c r="AX50" s="173" t="s">
        <v>676</v>
      </c>
      <c r="AY50" s="177" t="s">
        <v>749</v>
      </c>
      <c r="AZ50" s="128" t="s">
        <v>749</v>
      </c>
      <c r="BA50" s="128" t="s">
        <v>749</v>
      </c>
      <c r="BB50" s="19" t="s">
        <v>749</v>
      </c>
      <c r="BC50" s="19" t="s">
        <v>749</v>
      </c>
      <c r="BD50" s="19" t="s">
        <v>749</v>
      </c>
      <c r="BE50" s="19" t="s">
        <v>749</v>
      </c>
      <c r="BF50" s="181" t="s">
        <v>749</v>
      </c>
      <c r="BG50" s="128" t="s">
        <v>749</v>
      </c>
      <c r="BH50" s="122" t="s">
        <v>749</v>
      </c>
      <c r="BI50" s="121" t="s">
        <v>6</v>
      </c>
      <c r="BJ50" s="19" t="s">
        <v>401</v>
      </c>
      <c r="BK50" s="19" t="s">
        <v>401</v>
      </c>
      <c r="BL50" s="221" t="s">
        <v>401</v>
      </c>
    </row>
    <row r="51" spans="2:64" ht="21" thickTop="1">
      <c r="B51" s="210">
        <v>0</v>
      </c>
      <c r="C51" s="24">
        <v>0</v>
      </c>
      <c r="D51" s="24">
        <f>IF($C51&lt;$N$7,$G$26*$C51+$H$26,IF($C51&lt;$N$8,$G$27*$C51+$H$27,IF($C51&lt;$N$9,$G$28*$C51+$H$28,IF($C51&lt;$N$10,$G$29*$C51+$H$29,IF($C51&lt;$N$11,$G$30*$C51+$H$30,IF($C51&lt;$N$12,$G$31*$C51+$H$31,$G$32*$C51+$H$32))))))*10^3</f>
        <v>930</v>
      </c>
      <c r="E51" s="45">
        <f>C44</f>
        <v>0.8</v>
      </c>
      <c r="F51" s="45" t="str">
        <f>IF(C51&lt;$N$7,"flat",IF(C51&lt;$N$8,"1st",IF(C51&lt;$N$9,"2nd",IF(C51&lt;$N$10,"3rd",IF(C51&lt;$N$11,"4th",IF(C51&lt;$N$12,"5th","6th"))))))</f>
        <v>flat</v>
      </c>
      <c r="G51" s="45" t="str">
        <f t="shared" ref="G51:G82" si="0">IF(OR(C51=$F$45,C51=$G$45,C51=$H$45),"端リブ",IF(C51&lt;$F$45,"0番",IF(C51&lt;$G$45,"1番",IF(C51&lt;$H$45,"2番",IF(C51&lt;$I$45,"3番","ウィングレット")))))</f>
        <v>0番</v>
      </c>
      <c r="H51" s="282" t="s">
        <v>1413</v>
      </c>
      <c r="I51" s="67">
        <f>IF(G51="0番",$O$26+$N$26*C51,IF(G51="1番",$O$27+$N$27*C51,IF(G51="2番",$O$28+$N$28*C51,IF(G51="3番",$O$29+$N$29*C51))))</f>
        <v>113.39</v>
      </c>
      <c r="J51" s="24">
        <f>IF(G51="0番",$Q$26+$P$26*C51,IF(G51="1番",$Q$27+$P$27*C51,IF(G51="2番",$Q$28+$P$28*C51,IF(G51="3番",$Q$29+$P$29*C51))))</f>
        <v>113.39</v>
      </c>
      <c r="K51" s="24">
        <f t="shared" ref="K51:K82" si="1">IF($C51&lt;$N$7,$K$26*$C51+$L$26,IF($C51&lt;$N$8,$K$27*$C51+$L$27,IF($C51&lt;$N$9,$K$28*$C51+$L$28,IF($C51&lt;$N$10,$K$29*$C51+$L$30,IF($C51&lt;$N$11,$K$30*$C51+$L$29,IF($C51&lt;$N$12,$K$31*$C51+$L$31,$K$32*$C51+$L$32))))))</f>
        <v>0.35</v>
      </c>
      <c r="L51" s="211"/>
      <c r="M51" s="67" t="str">
        <f t="shared" ref="M51:M82" si="2">IF($C51&lt;$N$7,$S$6,IF($C51&lt;$N$8,$S$7,IF($C51&lt;$N$9,$S$8,IF($C51&lt;$N$10,$S$9,IF($C51&lt;$N$11,$S$10,IF($C51&lt;$N$12,$S$11,$S$12))))))</f>
        <v>QX0023</v>
      </c>
      <c r="N51" s="24">
        <f>100-P51</f>
        <v>100</v>
      </c>
      <c r="O51" s="24" t="str">
        <f t="shared" ref="O51:O82" si="3">IF($C51&lt;$N$7,$S$7,IF($C51&lt;$N$8,$S$8,IF($C51&lt;$N$9,$S$9,IF($C51&lt;$N$10,$S$10,IF($C51&lt;$N$11,$S$11,IF($C51&lt;$N$12,$S$12,$S$13))))))</f>
        <v>QX0023</v>
      </c>
      <c r="P51" s="24">
        <f t="shared" ref="P51:P82" si="4">IF(M51=O51,0,IF($C51&lt;$N$7,($C51-$N$6)/($N$7-$N$6),IF($C51&lt;$N$8,($C51-$N$7)/($N$8-$N$7),IF($C51&lt;$N$9,($C51-$N$8)/($N$9-$N$8),IF($C51&lt;$N$10,($C51-$N$9)/($N$10-$N$9),IF($C51&lt;$N$11,($C51-$N$10)/($N$11-$N$10),IF($C51&lt;$N$12,($C51-$N$11)/($N$12-$N$11),($C51-$N$12)/($N$13-$N$12))))))))*100</f>
        <v>0</v>
      </c>
      <c r="Q51" s="24">
        <f t="shared" ref="Q51:Q82" si="5">D51*K51/1000</f>
        <v>0.32550000000000001</v>
      </c>
      <c r="R51" s="24">
        <f t="shared" ref="R51:R82" si="6">Q51-D51/1000</f>
        <v>-0.60450000000000004</v>
      </c>
      <c r="S51" s="24">
        <v>0</v>
      </c>
      <c r="T51" s="24">
        <v>0</v>
      </c>
      <c r="U51" s="24">
        <f t="shared" ref="U51:U82" si="7">IF($C51&lt;$N$7,$I$26*$C51+$J$26,IF($C51&lt;$N$8,$I$27*$C51+$J$27,IF($C51&lt;$N$9,$I$28*$C51+$J$28,IF($C51&lt;$N$10,$I$29*$C51+$J$29,IF($C51&lt;$N$11,$I$30*$C51+$J$30,IF($C51&lt;$N$12,$I$31*$C51+$J$31,$I$32*$C51+$J$32))))))</f>
        <v>2</v>
      </c>
      <c r="V51" s="209">
        <f t="shared" ref="V51:V82" si="8">IF($C51&lt;$N$7,$Q$6,IF($C51&lt;$N$8,$Q$7,IF($C51&lt;$N$9,$Q$8,IF($C51&lt;$N$10,$Q$9,IF($C51&lt;$N$11,$Q$10,IF($C51&lt;$N$12,$Q$11,$Q$12))))))</f>
        <v>0</v>
      </c>
      <c r="W51" s="213"/>
      <c r="X51" s="214"/>
      <c r="Y51" s="214">
        <v>0</v>
      </c>
      <c r="Z51" s="214">
        <v>0</v>
      </c>
      <c r="AA51" s="214"/>
      <c r="AB51" s="214"/>
      <c r="AC51" s="215"/>
      <c r="AD51" s="214"/>
      <c r="AE51" s="214"/>
      <c r="AF51" s="213"/>
      <c r="AG51" s="214"/>
      <c r="AH51" s="214"/>
      <c r="AI51" s="214"/>
      <c r="AJ51" s="214"/>
      <c r="AK51" s="214"/>
      <c r="AL51" s="214"/>
      <c r="AM51" s="214"/>
      <c r="AN51" s="214"/>
      <c r="AO51" s="214"/>
      <c r="AP51" s="214"/>
      <c r="AQ51" s="214"/>
      <c r="AR51" s="214"/>
      <c r="AS51" s="214"/>
      <c r="AT51" s="214">
        <f t="shared" ref="AT51:AT82" si="9">$AY$45*(D51/10^3)^2</f>
        <v>8.2165500000000016E-2</v>
      </c>
      <c r="AU51" s="214">
        <f t="shared" ref="AU51:AU82" si="10">D51*$AZ$45/10^3</f>
        <v>1.9064999999999999</v>
      </c>
      <c r="AV51" s="214">
        <f t="shared" ref="AV51:AV82" si="11">$AU$51*0.85/2</f>
        <v>0.81026249999999989</v>
      </c>
      <c r="AW51" s="214">
        <f>AU51*0.75/2</f>
        <v>0.7149375</v>
      </c>
      <c r="AX51" s="211">
        <f>AU51*0.4/2</f>
        <v>0.38129999999999997</v>
      </c>
      <c r="AY51" s="67">
        <f>AT51*$X$4*パラメータ!$D$23</f>
        <v>27.114615000000004</v>
      </c>
      <c r="AZ51" s="24">
        <f>AV51*$X$5*E51*パラメータ!$D$28</f>
        <v>110.19569999999999</v>
      </c>
      <c r="BA51" s="24">
        <f>SUMPRODUCT($AC$4:$AC$10,$AD$4:$AD$10)*E51*パラメータ!$D$26*10^-3</f>
        <v>51</v>
      </c>
      <c r="BB51" s="24">
        <f>(AW51+AX51)*$X$6*$X$4*パラメータ!$D$21*10^-3</f>
        <v>7.3996031249999987</v>
      </c>
      <c r="BC51" s="24">
        <f>($X$8*$X$9*パラメータ!$D$21+0.5*$X$8^2*SIN(RADIANS($X$10))*パラメータ!$D$24)*E51*10^-3</f>
        <v>13.232591521159183</v>
      </c>
      <c r="BD51" s="24">
        <f t="shared" ref="BD51:BD82" si="12">AU51*($X$12)</f>
        <v>19.064999999999998</v>
      </c>
      <c r="BE51" s="24">
        <f t="shared" ref="BE51:BE82" si="13">$X$11</f>
        <v>4</v>
      </c>
      <c r="BF51" s="1">
        <f>IF(G51="端リブ",AT51*$X$13*パラメータ!$D$21*2,0)</f>
        <v>0</v>
      </c>
      <c r="BG51" s="24" t="e">
        <f>主桁!BA7*1000</f>
        <v>#REF!</v>
      </c>
      <c r="BH51" s="24">
        <f>SUM(AY51:BF51)</f>
        <v>232.00750964615918</v>
      </c>
      <c r="BI51" s="24" t="e">
        <f>(BG51+BH51)/1000</f>
        <v>#REF!</v>
      </c>
      <c r="BJ51" s="24">
        <f>(Y51-機体重量!$Q$6)^2+(Z51-機体重量!$R$6)^2</f>
        <v>5.4950777486569501E-4</v>
      </c>
      <c r="BK51" s="24">
        <f>(Z51-機体重量!$R$6)^2</f>
        <v>3.8816156979940122E-4</v>
      </c>
      <c r="BL51" s="228">
        <f>(Y51-機体重量!$Q$6)^2</f>
        <v>1.6134620506629379E-4</v>
      </c>
    </row>
    <row r="52" spans="2:64">
      <c r="B52" s="104">
        <v>1</v>
      </c>
      <c r="C52" s="1">
        <f>C51+E51</f>
        <v>0.8</v>
      </c>
      <c r="D52" s="2">
        <f t="shared" ref="D52:D82" si="14">IF($C52&lt;$N$7,$G$26*$C52+$H$26,IF($C52&lt;$N$8,$G$27*$C52+$H$27,IF($C52&lt;$N$9,$G$28*$C52+$H$28,IF($C52&lt;$N$10,$G$29*$C52+$H$29,IF($C52&lt;$N$11,$G$30*$C52+$H$30,IF($C52&lt;$N$12,$G$31*$C52+$H$31,$G$32*$C52+$H$32))))))*10^3</f>
        <v>930</v>
      </c>
      <c r="E52" s="4">
        <v>0.2</v>
      </c>
      <c r="F52" s="4" t="str">
        <f>IF(C52&lt;$N$7,"flat",IF(C52&lt;$N$8,"1st",IF(C52&lt;$N$9,"2nd",IF(C52&lt;$N$10,"3rd",IF(C52&lt;$N$11,"4th",IF(C52&lt;$N$12,"5th","6th"))))))</f>
        <v>flat</v>
      </c>
      <c r="G52" s="4" t="str">
        <f t="shared" si="0"/>
        <v>0番</v>
      </c>
      <c r="H52" s="283" t="s">
        <v>1414</v>
      </c>
      <c r="I52" s="65">
        <f>IF(G52="0番",$O$26+$N$26*C52,IF(G52="1番",$O$27+$N$27*C52,IF(G52="2番",$O$28+$N$28*C52,IF(G52="3番",$O$29+$N$29*C52))))</f>
        <v>113.39</v>
      </c>
      <c r="J52" s="1">
        <f>IF(G52="0番",$Q$26+$P$26*C52,IF(G52="1番",$Q$27+$P$27*C52,IF(G52="2番",$Q$28+$P$28*C52,IF(G52="3番",$Q$29+$P$29*C52))))</f>
        <v>113.39</v>
      </c>
      <c r="K52" s="1">
        <f t="shared" si="1"/>
        <v>0.35</v>
      </c>
      <c r="L52" s="225"/>
      <c r="M52" s="6" t="str">
        <f t="shared" si="2"/>
        <v>QX0023</v>
      </c>
      <c r="N52" s="2">
        <f>100-P52</f>
        <v>100</v>
      </c>
      <c r="O52" s="2" t="str">
        <f t="shared" si="3"/>
        <v>QX0023</v>
      </c>
      <c r="P52" s="2">
        <f t="shared" si="4"/>
        <v>0</v>
      </c>
      <c r="Q52" s="2">
        <f t="shared" si="5"/>
        <v>0.32550000000000001</v>
      </c>
      <c r="R52" s="2">
        <f t="shared" si="6"/>
        <v>-0.60450000000000004</v>
      </c>
      <c r="S52" s="2">
        <v>0</v>
      </c>
      <c r="T52" s="2">
        <v>0</v>
      </c>
      <c r="U52" s="2">
        <f t="shared" si="7"/>
        <v>2</v>
      </c>
      <c r="V52" s="7">
        <f t="shared" si="8"/>
        <v>0</v>
      </c>
      <c r="W52" s="226"/>
      <c r="X52" s="188"/>
      <c r="Y52" s="188"/>
      <c r="Z52" s="188"/>
      <c r="AA52" s="188"/>
      <c r="AB52" s="188"/>
      <c r="AC52" s="227"/>
      <c r="AD52" s="188"/>
      <c r="AE52" s="188"/>
      <c r="AF52" s="226"/>
      <c r="AG52" s="188"/>
      <c r="AH52" s="188"/>
      <c r="AI52" s="188"/>
      <c r="AJ52" s="188"/>
      <c r="AK52" s="188"/>
      <c r="AL52" s="188"/>
      <c r="AM52" s="188"/>
      <c r="AN52" s="188"/>
      <c r="AO52" s="188"/>
      <c r="AP52" s="188"/>
      <c r="AQ52" s="188"/>
      <c r="AR52" s="188"/>
      <c r="AS52" s="188"/>
      <c r="AT52" s="79">
        <f t="shared" si="9"/>
        <v>8.2165500000000016E-2</v>
      </c>
      <c r="AU52" s="79">
        <f t="shared" si="10"/>
        <v>1.9064999999999999</v>
      </c>
      <c r="AV52" s="79">
        <f t="shared" si="11"/>
        <v>0.81026249999999989</v>
      </c>
      <c r="AW52" s="79">
        <f t="shared" ref="AW52:AW114" si="15">AU52*0.75/2</f>
        <v>0.7149375</v>
      </c>
      <c r="AX52" s="212">
        <f t="shared" ref="AX52:AX114" si="16">AU52*0.4/2</f>
        <v>0.38129999999999997</v>
      </c>
      <c r="AY52" s="6">
        <f>AT52*$X$4*パラメータ!$D$23</f>
        <v>27.114615000000004</v>
      </c>
      <c r="AZ52" s="2">
        <f>AV52*$X$5*E52*パラメータ!$D$28</f>
        <v>27.548924999999997</v>
      </c>
      <c r="BA52" s="2">
        <f>SUMPRODUCT($AC$4:$AC$10,$AD$4:$AD$10)*E52*パラメータ!$D$26*10^-3</f>
        <v>12.75</v>
      </c>
      <c r="BB52" s="2">
        <f>(AW52+AX52)*$X$6*$X$4*パラメータ!$D$21*10^-3</f>
        <v>7.3996031249999987</v>
      </c>
      <c r="BC52" s="2">
        <f>($X$8*$X$9*パラメータ!$D$21+0.5*$X$8^2*SIN(RADIANS($X$10))*パラメータ!$D$24)*E52*10^-3</f>
        <v>3.3081478802897957</v>
      </c>
      <c r="BD52" s="2">
        <f t="shared" si="12"/>
        <v>19.064999999999998</v>
      </c>
      <c r="BE52" s="2">
        <f t="shared" si="13"/>
        <v>4</v>
      </c>
      <c r="BF52" s="1">
        <f>IF(G52="端リブ",AT52*$X$13*パラメータ!$D$21*2,0)</f>
        <v>0</v>
      </c>
      <c r="BG52" s="1" t="e">
        <f>主桁!BA8*1000</f>
        <v>#REF!</v>
      </c>
      <c r="BH52" s="2">
        <f>SUM(AY52:BF52)</f>
        <v>101.18629100528979</v>
      </c>
      <c r="BI52" s="2" t="e">
        <f>(BG52+BH52)/1000</f>
        <v>#REF!</v>
      </c>
      <c r="BJ52" s="2">
        <f>(Y52-機体重量!$Q$6)^2+(Z52-機体重量!$R$6)^2</f>
        <v>5.4950777486569501E-4</v>
      </c>
      <c r="BK52" s="2">
        <f>(Z52-機体重量!$R$6)^2</f>
        <v>3.8816156979940122E-4</v>
      </c>
      <c r="BL52" s="222">
        <f>(Y52-機体重量!$Q$6)^2</f>
        <v>1.6134620506629379E-4</v>
      </c>
    </row>
    <row r="53" spans="2:64">
      <c r="B53" s="28">
        <v>2</v>
      </c>
      <c r="C53" s="1">
        <f>C52+E52</f>
        <v>1</v>
      </c>
      <c r="D53" s="1">
        <f t="shared" si="14"/>
        <v>930</v>
      </c>
      <c r="E53" s="21">
        <v>0.2</v>
      </c>
      <c r="F53" s="21" t="str">
        <f>IF(C53&lt;$N$7,"flat",IF(C53&lt;$N$8,"1st",IF(C53&lt;$N$9,"2nd",IF(C53&lt;$N$10,"3rd",IF(C53&lt;$N$11,"4th",IF(C53&lt;$N$12,"5th","6th"))))))</f>
        <v>flat</v>
      </c>
      <c r="G53" s="21" t="str">
        <f t="shared" si="0"/>
        <v>0番</v>
      </c>
      <c r="H53" s="283" t="s">
        <v>1414</v>
      </c>
      <c r="I53" s="65">
        <f t="shared" ref="I52:I115" si="17">IF(G53="0番",$O$26+$N$26*C53,IF(G53="1番",$O$27+$N$27*C53,IF(G53="2番",$O$28+$N$28*C53,IF(G53="3番",$O$29+$N$29*C53))))</f>
        <v>113.39</v>
      </c>
      <c r="J53" s="1">
        <f t="shared" ref="J53:J116" si="18">IF(G53="0番",$Q$26+$P$26*C53,IF(G53="1番",$Q$27+$P$27*C53,IF(G53="2番",$Q$28+$P$28*C53,IF(G53="3番",$Q$29+$P$29*C53))))</f>
        <v>113.39</v>
      </c>
      <c r="K53" s="22">
        <f t="shared" si="1"/>
        <v>0.35</v>
      </c>
      <c r="L53" s="212"/>
      <c r="M53" s="65" t="str">
        <f t="shared" si="2"/>
        <v>QX0023</v>
      </c>
      <c r="N53" s="1">
        <f t="shared" ref="N53:N111" si="19">100-P53</f>
        <v>100</v>
      </c>
      <c r="O53" s="1" t="str">
        <f t="shared" si="3"/>
        <v>QX0023</v>
      </c>
      <c r="P53" s="1">
        <f t="shared" si="4"/>
        <v>0</v>
      </c>
      <c r="Q53" s="1">
        <f t="shared" si="5"/>
        <v>0.32550000000000001</v>
      </c>
      <c r="R53" s="1">
        <f t="shared" si="6"/>
        <v>-0.60450000000000004</v>
      </c>
      <c r="S53" s="1">
        <f t="shared" ref="S53:S84" si="20">S52+E52*COS(RADIANS(V52))</f>
        <v>0.2</v>
      </c>
      <c r="T53" s="1">
        <f t="shared" ref="T53:T84" si="21">T52+E52*SIN(RADIANS(V52))</f>
        <v>0</v>
      </c>
      <c r="U53" s="1">
        <f t="shared" si="7"/>
        <v>2</v>
      </c>
      <c r="V53" s="7">
        <f t="shared" si="8"/>
        <v>0</v>
      </c>
      <c r="W53" s="216"/>
      <c r="X53" s="79"/>
      <c r="Y53" s="79"/>
      <c r="Z53" s="79"/>
      <c r="AA53" s="79"/>
      <c r="AB53" s="79"/>
      <c r="AC53" s="217"/>
      <c r="AD53" s="79"/>
      <c r="AE53" s="79"/>
      <c r="AF53" s="216"/>
      <c r="AG53" s="79"/>
      <c r="AH53" s="79"/>
      <c r="AI53" s="79"/>
      <c r="AJ53" s="79"/>
      <c r="AK53" s="79"/>
      <c r="AL53" s="79"/>
      <c r="AM53" s="79"/>
      <c r="AN53" s="79"/>
      <c r="AO53" s="79"/>
      <c r="AP53" s="79"/>
      <c r="AQ53" s="79"/>
      <c r="AR53" s="79"/>
      <c r="AS53" s="79"/>
      <c r="AT53" s="79">
        <f t="shared" si="9"/>
        <v>8.2165500000000016E-2</v>
      </c>
      <c r="AU53" s="79">
        <f t="shared" si="10"/>
        <v>1.9064999999999999</v>
      </c>
      <c r="AV53" s="79">
        <f t="shared" si="11"/>
        <v>0.81026249999999989</v>
      </c>
      <c r="AW53" s="79">
        <f t="shared" si="15"/>
        <v>0.7149375</v>
      </c>
      <c r="AX53" s="212">
        <f t="shared" si="16"/>
        <v>0.38129999999999997</v>
      </c>
      <c r="AY53" s="65">
        <f>AT53*$X$4*パラメータ!$D$23</f>
        <v>27.114615000000004</v>
      </c>
      <c r="AZ53" s="1">
        <f>AV53*$X$5*E53*パラメータ!$D$28</f>
        <v>27.548924999999997</v>
      </c>
      <c r="BA53" s="1">
        <f>SUMPRODUCT($AC$4:$AC$10,$AD$4:$AD$10)*E53*パラメータ!$D$26*10^-3</f>
        <v>12.75</v>
      </c>
      <c r="BB53" s="1">
        <f>(AW53+AX53)*$X$6*$X$4*パラメータ!$D$21*10^-3</f>
        <v>7.3996031249999987</v>
      </c>
      <c r="BC53" s="1">
        <f>($X$8*$X$9*パラメータ!$D$21+0.5*$X$8^2*SIN(RADIANS($X$10))*パラメータ!$D$24)*E53*10^-3</f>
        <v>3.3081478802897957</v>
      </c>
      <c r="BD53" s="1">
        <f t="shared" si="12"/>
        <v>19.064999999999998</v>
      </c>
      <c r="BE53" s="1">
        <f t="shared" si="13"/>
        <v>4</v>
      </c>
      <c r="BF53" s="1">
        <f>IF(G53="端リブ",AT53*$X$13*パラメータ!$D$21*2,0)</f>
        <v>0</v>
      </c>
      <c r="BG53" s="1" t="e">
        <f>主桁!BA9*1000</f>
        <v>#REF!</v>
      </c>
      <c r="BH53" s="1">
        <f t="shared" ref="BH53:BH114" si="22">SUM(AY53:BF53)</f>
        <v>101.18629100528979</v>
      </c>
      <c r="BI53" s="1" t="e">
        <f t="shared" ref="BI53:BI114" si="23">(BG53+BH53)/1000</f>
        <v>#REF!</v>
      </c>
      <c r="BJ53" s="2">
        <f>(Y53-機体重量!$Q$6)^2+(Z53-機体重量!$R$6)^2</f>
        <v>5.4950777486569501E-4</v>
      </c>
      <c r="BK53" s="2">
        <f>(Z53-機体重量!$R$6)^2</f>
        <v>3.8816156979940122E-4</v>
      </c>
      <c r="BL53" s="222">
        <f>(Y53-機体重量!$Q$6)^2</f>
        <v>1.6134620506629379E-4</v>
      </c>
    </row>
    <row r="54" spans="2:64">
      <c r="B54" s="104">
        <v>3</v>
      </c>
      <c r="C54" s="1">
        <f>C53+E53</f>
        <v>1.2</v>
      </c>
      <c r="D54" s="1">
        <f t="shared" si="14"/>
        <v>930</v>
      </c>
      <c r="E54" s="21">
        <v>0.2</v>
      </c>
      <c r="F54" s="21" t="s">
        <v>912</v>
      </c>
      <c r="G54" s="4" t="str">
        <f t="shared" si="0"/>
        <v>0番</v>
      </c>
      <c r="H54" s="283" t="s">
        <v>1411</v>
      </c>
      <c r="I54" s="65">
        <f t="shared" si="17"/>
        <v>113.39</v>
      </c>
      <c r="J54" s="1">
        <f t="shared" si="18"/>
        <v>113.39</v>
      </c>
      <c r="K54" s="1">
        <f t="shared" si="1"/>
        <v>0.35</v>
      </c>
      <c r="L54" s="212"/>
      <c r="M54" s="65" t="str">
        <f t="shared" si="2"/>
        <v>QX0023</v>
      </c>
      <c r="N54" s="1">
        <f t="shared" si="19"/>
        <v>100</v>
      </c>
      <c r="O54" s="1" t="str">
        <f t="shared" si="3"/>
        <v>QX0023</v>
      </c>
      <c r="P54" s="1">
        <f t="shared" si="4"/>
        <v>0</v>
      </c>
      <c r="Q54" s="1">
        <f t="shared" si="5"/>
        <v>0.32550000000000001</v>
      </c>
      <c r="R54" s="1">
        <f t="shared" si="6"/>
        <v>-0.60450000000000004</v>
      </c>
      <c r="S54" s="1">
        <f t="shared" si="20"/>
        <v>0.4</v>
      </c>
      <c r="T54" s="1">
        <f t="shared" si="21"/>
        <v>0</v>
      </c>
      <c r="U54" s="1">
        <f t="shared" si="7"/>
        <v>2</v>
      </c>
      <c r="V54" s="7">
        <f t="shared" si="8"/>
        <v>0</v>
      </c>
      <c r="W54" s="216"/>
      <c r="X54" s="79"/>
      <c r="Y54" s="79"/>
      <c r="Z54" s="79"/>
      <c r="AA54" s="79"/>
      <c r="AB54" s="79"/>
      <c r="AC54" s="217"/>
      <c r="AD54" s="79"/>
      <c r="AE54" s="79"/>
      <c r="AF54" s="216"/>
      <c r="AG54" s="79"/>
      <c r="AH54" s="79"/>
      <c r="AI54" s="79"/>
      <c r="AJ54" s="79"/>
      <c r="AK54" s="79"/>
      <c r="AL54" s="79"/>
      <c r="AM54" s="79"/>
      <c r="AN54" s="79"/>
      <c r="AO54" s="79"/>
      <c r="AP54" s="79"/>
      <c r="AQ54" s="79"/>
      <c r="AR54" s="79"/>
      <c r="AS54" s="79"/>
      <c r="AT54" s="79">
        <f t="shared" si="9"/>
        <v>8.2165500000000016E-2</v>
      </c>
      <c r="AU54" s="79">
        <f t="shared" si="10"/>
        <v>1.9064999999999999</v>
      </c>
      <c r="AV54" s="79">
        <f t="shared" si="11"/>
        <v>0.81026249999999989</v>
      </c>
      <c r="AW54" s="79">
        <f t="shared" si="15"/>
        <v>0.7149375</v>
      </c>
      <c r="AX54" s="212">
        <f t="shared" si="16"/>
        <v>0.38129999999999997</v>
      </c>
      <c r="AY54" s="65">
        <f>AT54*$X$4*パラメータ!$D$23</f>
        <v>27.114615000000004</v>
      </c>
      <c r="AZ54" s="1">
        <f>AV54*$X$5*E54*パラメータ!$D$28</f>
        <v>27.548924999999997</v>
      </c>
      <c r="BA54" s="1">
        <f>SUMPRODUCT($AC$4:$AC$10,$AD$4:$AD$10)*E54*パラメータ!$D$26*10^-3</f>
        <v>12.75</v>
      </c>
      <c r="BB54" s="1">
        <f>(AW54+AX54)*$X$6*$X$4*パラメータ!$D$21*10^-3</f>
        <v>7.3996031249999987</v>
      </c>
      <c r="BC54" s="1">
        <f>($X$8*$X$9*パラメータ!$D$21+0.5*$X$8^2*SIN(RADIANS($X$10))*パラメータ!$D$24)*E54*10^-3</f>
        <v>3.3081478802897957</v>
      </c>
      <c r="BD54" s="1">
        <f t="shared" si="12"/>
        <v>19.064999999999998</v>
      </c>
      <c r="BE54" s="1">
        <f t="shared" si="13"/>
        <v>4</v>
      </c>
      <c r="BF54" s="1">
        <f>IF(G54="端リブ",AT54*$X$13*パラメータ!$D$21*2,0)</f>
        <v>0</v>
      </c>
      <c r="BG54" s="1" t="e">
        <f>主桁!BA10*1000</f>
        <v>#REF!</v>
      </c>
      <c r="BH54" s="1">
        <f t="shared" si="22"/>
        <v>101.18629100528979</v>
      </c>
      <c r="BI54" s="1" t="e">
        <f t="shared" si="23"/>
        <v>#REF!</v>
      </c>
      <c r="BJ54" s="2">
        <f>(Y54-機体重量!$Q$6)^2+(Z54-機体重量!$R$6)^2</f>
        <v>5.4950777486569501E-4</v>
      </c>
      <c r="BK54" s="2">
        <f>(Z54-機体重量!$R$6)^2</f>
        <v>3.8816156979940122E-4</v>
      </c>
      <c r="BL54" s="222">
        <f>(Y54-機体重量!$Q$6)^2</f>
        <v>1.6134620506629379E-4</v>
      </c>
    </row>
    <row r="55" spans="2:64">
      <c r="B55" s="28">
        <v>4</v>
      </c>
      <c r="C55" s="1">
        <f t="shared" ref="C55:C61" si="24">C54+E54</f>
        <v>1.4</v>
      </c>
      <c r="D55" s="1">
        <f t="shared" si="14"/>
        <v>930</v>
      </c>
      <c r="E55" s="21">
        <v>0.2</v>
      </c>
      <c r="F55" s="21" t="str">
        <f>IF(C55&lt;$N$7,"flat",IF(C55&lt;$N$8,"1st",IF(C55&lt;$N$9,"2nd",IF(C55&lt;$N$10,"3rd",IF(C55&lt;$N$11,"4th",IF(C55&lt;$N$12,"5th","6th"))))))</f>
        <v>flat</v>
      </c>
      <c r="G55" s="4" t="str">
        <f t="shared" si="0"/>
        <v>端リブ</v>
      </c>
      <c r="H55" s="283" t="s">
        <v>1411</v>
      </c>
      <c r="I55" s="65" t="b">
        <f t="shared" si="17"/>
        <v>0</v>
      </c>
      <c r="J55" s="1" t="b">
        <f t="shared" si="18"/>
        <v>0</v>
      </c>
      <c r="K55" s="1">
        <f t="shared" si="1"/>
        <v>0.35</v>
      </c>
      <c r="L55" s="212"/>
      <c r="M55" s="65" t="str">
        <f t="shared" si="2"/>
        <v>QX0023</v>
      </c>
      <c r="N55" s="1">
        <f t="shared" si="19"/>
        <v>100</v>
      </c>
      <c r="O55" s="1" t="str">
        <f t="shared" si="3"/>
        <v>QX0023</v>
      </c>
      <c r="P55" s="1">
        <f t="shared" si="4"/>
        <v>0</v>
      </c>
      <c r="Q55" s="1">
        <f t="shared" si="5"/>
        <v>0.32550000000000001</v>
      </c>
      <c r="R55" s="1">
        <f t="shared" si="6"/>
        <v>-0.60450000000000004</v>
      </c>
      <c r="S55" s="1">
        <f t="shared" si="20"/>
        <v>0.60000000000000009</v>
      </c>
      <c r="T55" s="1">
        <f t="shared" si="21"/>
        <v>0</v>
      </c>
      <c r="U55" s="1">
        <f t="shared" si="7"/>
        <v>2</v>
      </c>
      <c r="V55" s="7">
        <f t="shared" si="8"/>
        <v>0</v>
      </c>
      <c r="W55" s="216"/>
      <c r="X55" s="79"/>
      <c r="Y55" s="79"/>
      <c r="Z55" s="79"/>
      <c r="AA55" s="79"/>
      <c r="AB55" s="79"/>
      <c r="AC55" s="217"/>
      <c r="AD55" s="79"/>
      <c r="AE55" s="79"/>
      <c r="AF55" s="216"/>
      <c r="AG55" s="79"/>
      <c r="AH55" s="79"/>
      <c r="AI55" s="79"/>
      <c r="AJ55" s="79"/>
      <c r="AK55" s="79"/>
      <c r="AL55" s="79"/>
      <c r="AM55" s="79"/>
      <c r="AN55" s="79"/>
      <c r="AO55" s="79"/>
      <c r="AP55" s="79"/>
      <c r="AQ55" s="79"/>
      <c r="AR55" s="79"/>
      <c r="AS55" s="79"/>
      <c r="AT55" s="79">
        <f t="shared" si="9"/>
        <v>8.2165500000000016E-2</v>
      </c>
      <c r="AU55" s="79">
        <f t="shared" si="10"/>
        <v>1.9064999999999999</v>
      </c>
      <c r="AV55" s="79">
        <f t="shared" si="11"/>
        <v>0.81026249999999989</v>
      </c>
      <c r="AW55" s="79">
        <f t="shared" si="15"/>
        <v>0.7149375</v>
      </c>
      <c r="AX55" s="212">
        <f t="shared" si="16"/>
        <v>0.38129999999999997</v>
      </c>
      <c r="AY55" s="65">
        <f>AT55*$X$4*パラメータ!$D$23</f>
        <v>27.114615000000004</v>
      </c>
      <c r="AZ55" s="1">
        <f>AV55*$X$5*E55*パラメータ!$D$28</f>
        <v>27.548924999999997</v>
      </c>
      <c r="BA55" s="1">
        <f>SUMPRODUCT($AC$4:$AC$10,$AD$4:$AD$10)*E55*パラメータ!$D$26*10^-3</f>
        <v>12.75</v>
      </c>
      <c r="BB55" s="1">
        <f>(AW55+AX55)*$X$6*$X$4*パラメータ!$D$21*10^-3</f>
        <v>7.3996031249999987</v>
      </c>
      <c r="BC55" s="1">
        <f>($X$8*$X$9*パラメータ!$D$21+0.5*$X$8^2*SIN(RADIANS($X$10))*パラメータ!$D$24)*E55*10^-3</f>
        <v>3.3081478802897957</v>
      </c>
      <c r="BD55" s="1">
        <f t="shared" si="12"/>
        <v>19.064999999999998</v>
      </c>
      <c r="BE55" s="1">
        <f t="shared" si="13"/>
        <v>4</v>
      </c>
      <c r="BF55" s="1">
        <f>IF(G55="端リブ",AT55*$X$13*パラメータ!$D$21*2,0)</f>
        <v>123.24825000000003</v>
      </c>
      <c r="BG55" s="1" t="e">
        <f>主桁!BA11*1000</f>
        <v>#REF!</v>
      </c>
      <c r="BH55" s="1">
        <f t="shared" si="22"/>
        <v>224.43454100528982</v>
      </c>
      <c r="BI55" s="1" t="e">
        <f t="shared" si="23"/>
        <v>#REF!</v>
      </c>
      <c r="BJ55" s="2">
        <f>(Y55-機体重量!$Q$6)^2+(Z55-機体重量!$R$6)^2</f>
        <v>5.4950777486569501E-4</v>
      </c>
      <c r="BK55" s="2">
        <f>(Z55-機体重量!$R$6)^2</f>
        <v>3.8816156979940122E-4</v>
      </c>
      <c r="BL55" s="222">
        <f>(Y55-機体重量!$Q$6)^2</f>
        <v>1.6134620506629379E-4</v>
      </c>
    </row>
    <row r="56" spans="2:64">
      <c r="B56" s="104">
        <v>5</v>
      </c>
      <c r="C56" s="1">
        <f t="shared" si="24"/>
        <v>1.5999999999999999</v>
      </c>
      <c r="D56" s="1">
        <f t="shared" si="14"/>
        <v>930</v>
      </c>
      <c r="E56" s="21">
        <v>0.2</v>
      </c>
      <c r="F56" s="21" t="s">
        <v>912</v>
      </c>
      <c r="G56" s="4" t="str">
        <f t="shared" si="0"/>
        <v>1番</v>
      </c>
      <c r="H56" s="283" t="s">
        <v>1411</v>
      </c>
      <c r="I56" s="65">
        <f t="shared" si="17"/>
        <v>120.30999999999999</v>
      </c>
      <c r="J56" s="1">
        <f t="shared" si="18"/>
        <v>120.68589999999999</v>
      </c>
      <c r="K56" s="1">
        <f t="shared" si="1"/>
        <v>0.35</v>
      </c>
      <c r="L56" s="212"/>
      <c r="M56" s="65" t="str">
        <f t="shared" si="2"/>
        <v>QX0023</v>
      </c>
      <c r="N56" s="1">
        <f t="shared" si="19"/>
        <v>100</v>
      </c>
      <c r="O56" s="1" t="str">
        <f t="shared" si="3"/>
        <v>QX0023</v>
      </c>
      <c r="P56" s="1">
        <f t="shared" si="4"/>
        <v>0</v>
      </c>
      <c r="Q56" s="1">
        <f t="shared" si="5"/>
        <v>0.32550000000000001</v>
      </c>
      <c r="R56" s="1">
        <f t="shared" si="6"/>
        <v>-0.60450000000000004</v>
      </c>
      <c r="S56" s="1">
        <f t="shared" si="20"/>
        <v>0.8</v>
      </c>
      <c r="T56" s="1">
        <f t="shared" si="21"/>
        <v>0</v>
      </c>
      <c r="U56" s="1">
        <f t="shared" si="7"/>
        <v>2</v>
      </c>
      <c r="V56" s="7">
        <f t="shared" si="8"/>
        <v>0</v>
      </c>
      <c r="W56" s="216"/>
      <c r="X56" s="79"/>
      <c r="Y56" s="79"/>
      <c r="Z56" s="79"/>
      <c r="AA56" s="79"/>
      <c r="AB56" s="79"/>
      <c r="AC56" s="217"/>
      <c r="AD56" s="79"/>
      <c r="AE56" s="79"/>
      <c r="AF56" s="216"/>
      <c r="AG56" s="79"/>
      <c r="AH56" s="79"/>
      <c r="AI56" s="79"/>
      <c r="AJ56" s="79"/>
      <c r="AK56" s="79"/>
      <c r="AL56" s="79"/>
      <c r="AM56" s="79"/>
      <c r="AN56" s="79"/>
      <c r="AO56" s="79"/>
      <c r="AP56" s="79"/>
      <c r="AQ56" s="79"/>
      <c r="AR56" s="79"/>
      <c r="AS56" s="79"/>
      <c r="AT56" s="79">
        <f t="shared" si="9"/>
        <v>8.2165500000000016E-2</v>
      </c>
      <c r="AU56" s="79">
        <f t="shared" si="10"/>
        <v>1.9064999999999999</v>
      </c>
      <c r="AV56" s="79">
        <f t="shared" si="11"/>
        <v>0.81026249999999989</v>
      </c>
      <c r="AW56" s="79">
        <f t="shared" si="15"/>
        <v>0.7149375</v>
      </c>
      <c r="AX56" s="212">
        <f t="shared" si="16"/>
        <v>0.38129999999999997</v>
      </c>
      <c r="AY56" s="65">
        <f>AT56*$X$4*パラメータ!$D$23</f>
        <v>27.114615000000004</v>
      </c>
      <c r="AZ56" s="1">
        <f>AV56*$X$5*E56*パラメータ!$D$28</f>
        <v>27.548924999999997</v>
      </c>
      <c r="BA56" s="1">
        <f>SUMPRODUCT($AC$4:$AC$10,$AD$4:$AD$10)*E56*パラメータ!$D$26*10^-3</f>
        <v>12.75</v>
      </c>
      <c r="BB56" s="1">
        <f>(AW56+AX56)*$X$6*$X$4*パラメータ!$D$21*10^-3</f>
        <v>7.3996031249999987</v>
      </c>
      <c r="BC56" s="1">
        <f>($X$8*$X$9*パラメータ!$D$21+0.5*$X$8^2*SIN(RADIANS($X$10))*パラメータ!$D$24)*E56*10^-3</f>
        <v>3.3081478802897957</v>
      </c>
      <c r="BD56" s="1">
        <f t="shared" si="12"/>
        <v>19.064999999999998</v>
      </c>
      <c r="BE56" s="1">
        <f t="shared" si="13"/>
        <v>4</v>
      </c>
      <c r="BF56" s="1">
        <f>IF(G56="端リブ",AT56*$X$13*パラメータ!$D$21*2,0)</f>
        <v>0</v>
      </c>
      <c r="BG56" s="1" t="e">
        <f>主桁!BA12*1000</f>
        <v>#REF!</v>
      </c>
      <c r="BH56" s="1">
        <f t="shared" si="22"/>
        <v>101.18629100528979</v>
      </c>
      <c r="BI56" s="1" t="e">
        <f t="shared" si="23"/>
        <v>#REF!</v>
      </c>
      <c r="BJ56" s="2">
        <f>(Y56-機体重量!$Q$6)^2+(Z56-機体重量!$R$6)^2</f>
        <v>5.4950777486569501E-4</v>
      </c>
      <c r="BK56" s="2">
        <f>(Z56-機体重量!$R$6)^2</f>
        <v>3.8816156979940122E-4</v>
      </c>
      <c r="BL56" s="222">
        <f>(Y56-機体重量!$Q$6)^2</f>
        <v>1.6134620506629379E-4</v>
      </c>
    </row>
    <row r="57" spans="2:64">
      <c r="B57" s="28">
        <v>6</v>
      </c>
      <c r="C57" s="1">
        <f t="shared" si="24"/>
        <v>1.7999999999999998</v>
      </c>
      <c r="D57" s="1">
        <f t="shared" si="14"/>
        <v>921.66666666666674</v>
      </c>
      <c r="E57" s="21">
        <v>0.2</v>
      </c>
      <c r="F57" s="21" t="str">
        <f t="shared" ref="F57:F70" si="25">IF(C57&lt;$N$7,"flat",IF(C57&lt;$N$8,"1st",IF(C57&lt;$N$9,"2nd",IF(C57&lt;$N$10,"3rd",IF(C57&lt;$N$11,"4th",IF(C57&lt;$N$12,"5th","6th"))))))</f>
        <v>1st</v>
      </c>
      <c r="G57" s="4" t="str">
        <f t="shared" si="0"/>
        <v>1番</v>
      </c>
      <c r="H57" s="283" t="s">
        <v>1411</v>
      </c>
      <c r="I57" s="65">
        <f t="shared" si="17"/>
        <v>118.70999999999998</v>
      </c>
      <c r="J57" s="1">
        <f t="shared" si="18"/>
        <v>119.05229999999999</v>
      </c>
      <c r="K57" s="1">
        <f t="shared" si="1"/>
        <v>0.35</v>
      </c>
      <c r="L57" s="212"/>
      <c r="M57" s="65" t="str">
        <f t="shared" si="2"/>
        <v>QX0023</v>
      </c>
      <c r="N57" s="1">
        <f t="shared" si="19"/>
        <v>100</v>
      </c>
      <c r="O57" s="1" t="str">
        <f t="shared" si="3"/>
        <v>QX0023</v>
      </c>
      <c r="P57" s="1">
        <f t="shared" si="4"/>
        <v>0</v>
      </c>
      <c r="Q57" s="1">
        <f t="shared" si="5"/>
        <v>0.32258333333333333</v>
      </c>
      <c r="R57" s="1">
        <f t="shared" si="6"/>
        <v>-0.59908333333333341</v>
      </c>
      <c r="S57" s="1">
        <f t="shared" si="20"/>
        <v>1</v>
      </c>
      <c r="T57" s="1">
        <f t="shared" si="21"/>
        <v>0</v>
      </c>
      <c r="U57" s="1">
        <f t="shared" si="7"/>
        <v>2</v>
      </c>
      <c r="V57" s="7">
        <f t="shared" si="8"/>
        <v>0</v>
      </c>
      <c r="W57" s="216"/>
      <c r="X57" s="79"/>
      <c r="Y57" s="79"/>
      <c r="Z57" s="79"/>
      <c r="AA57" s="79"/>
      <c r="AB57" s="79"/>
      <c r="AC57" s="217"/>
      <c r="AD57" s="79"/>
      <c r="AE57" s="79"/>
      <c r="AF57" s="216"/>
      <c r="AG57" s="79"/>
      <c r="AH57" s="79"/>
      <c r="AI57" s="79"/>
      <c r="AJ57" s="79"/>
      <c r="AK57" s="79"/>
      <c r="AL57" s="79"/>
      <c r="AM57" s="79"/>
      <c r="AN57" s="79"/>
      <c r="AO57" s="79"/>
      <c r="AP57" s="79"/>
      <c r="AQ57" s="79"/>
      <c r="AR57" s="79"/>
      <c r="AS57" s="79"/>
      <c r="AT57" s="79">
        <f t="shared" si="9"/>
        <v>8.0699597222222239E-2</v>
      </c>
      <c r="AU57" s="79">
        <f t="shared" si="10"/>
        <v>1.8894166666666667</v>
      </c>
      <c r="AV57" s="79">
        <f t="shared" si="11"/>
        <v>0.81026249999999989</v>
      </c>
      <c r="AW57" s="79">
        <f t="shared" si="15"/>
        <v>0.70853125000000006</v>
      </c>
      <c r="AX57" s="212">
        <f t="shared" si="16"/>
        <v>0.37788333333333335</v>
      </c>
      <c r="AY57" s="65">
        <f>AT57*$X$4*パラメータ!$D$23</f>
        <v>26.630867083333339</v>
      </c>
      <c r="AZ57" s="1">
        <f>AV57*$X$5*E57*パラメータ!$D$28</f>
        <v>27.548924999999997</v>
      </c>
      <c r="BA57" s="1">
        <f>SUMPRODUCT($AC$4:$AC$10,$AD$4:$AD$10)*E57*パラメータ!$D$26*10^-3</f>
        <v>12.75</v>
      </c>
      <c r="BB57" s="1">
        <f>(AW57+AX57)*$X$6*$X$4*パラメータ!$D$21*10^-3</f>
        <v>7.3332984375000017</v>
      </c>
      <c r="BC57" s="1">
        <f>($X$8*$X$9*パラメータ!$D$21+0.5*$X$8^2*SIN(RADIANS($X$10))*パラメータ!$D$24)*E57*10^-3</f>
        <v>3.3081478802897957</v>
      </c>
      <c r="BD57" s="1">
        <f t="shared" si="12"/>
        <v>18.894166666666667</v>
      </c>
      <c r="BE57" s="1">
        <f t="shared" si="13"/>
        <v>4</v>
      </c>
      <c r="BF57" s="1">
        <f>IF(G57="端リブ",AT57*$X$13*パラメータ!$D$21*2,0)</f>
        <v>0</v>
      </c>
      <c r="BG57" s="1" t="e">
        <f>主桁!BA13*1000</f>
        <v>#REF!</v>
      </c>
      <c r="BH57" s="1">
        <f t="shared" si="22"/>
        <v>100.4654050677898</v>
      </c>
      <c r="BI57" s="1" t="e">
        <f t="shared" si="23"/>
        <v>#REF!</v>
      </c>
      <c r="BJ57" s="2">
        <f>(Y57-機体重量!$Q$6)^2+(Z57-機体重量!$R$6)^2</f>
        <v>5.4950777486569501E-4</v>
      </c>
      <c r="BK57" s="2">
        <f>(Z57-機体重量!$R$6)^2</f>
        <v>3.8816156979940122E-4</v>
      </c>
      <c r="BL57" s="222">
        <f>(Y57-機体重量!$Q$6)^2</f>
        <v>1.6134620506629379E-4</v>
      </c>
    </row>
    <row r="58" spans="2:64">
      <c r="B58" s="104">
        <v>7</v>
      </c>
      <c r="C58" s="1">
        <f t="shared" si="24"/>
        <v>1.9999999999999998</v>
      </c>
      <c r="D58" s="1">
        <f t="shared" si="14"/>
        <v>913.33333333333337</v>
      </c>
      <c r="E58" s="21">
        <v>0.2</v>
      </c>
      <c r="F58" s="21" t="str">
        <f t="shared" si="25"/>
        <v>1st</v>
      </c>
      <c r="G58" s="4" t="str">
        <f t="shared" si="0"/>
        <v>1番</v>
      </c>
      <c r="H58" s="283" t="s">
        <v>1411</v>
      </c>
      <c r="I58" s="65">
        <f t="shared" si="17"/>
        <v>117.10999999999999</v>
      </c>
      <c r="J58" s="1">
        <f t="shared" si="18"/>
        <v>117.4187</v>
      </c>
      <c r="K58" s="1">
        <f t="shared" si="1"/>
        <v>0.35</v>
      </c>
      <c r="L58" s="212"/>
      <c r="M58" s="65" t="str">
        <f t="shared" si="2"/>
        <v>QX0023</v>
      </c>
      <c r="N58" s="1">
        <f t="shared" si="19"/>
        <v>100</v>
      </c>
      <c r="O58" s="1" t="str">
        <f t="shared" si="3"/>
        <v>QX0023</v>
      </c>
      <c r="P58" s="1">
        <f t="shared" si="4"/>
        <v>0</v>
      </c>
      <c r="Q58" s="1">
        <f t="shared" si="5"/>
        <v>0.31966666666666671</v>
      </c>
      <c r="R58" s="1">
        <f t="shared" si="6"/>
        <v>-0.59366666666666656</v>
      </c>
      <c r="S58" s="1">
        <f t="shared" si="20"/>
        <v>1.2</v>
      </c>
      <c r="T58" s="1">
        <f t="shared" si="21"/>
        <v>0</v>
      </c>
      <c r="U58" s="1">
        <f t="shared" si="7"/>
        <v>2</v>
      </c>
      <c r="V58" s="7">
        <f t="shared" si="8"/>
        <v>0</v>
      </c>
      <c r="W58" s="216"/>
      <c r="X58" s="79"/>
      <c r="Y58" s="79"/>
      <c r="Z58" s="79"/>
      <c r="AA58" s="79"/>
      <c r="AB58" s="79"/>
      <c r="AC58" s="217"/>
      <c r="AD58" s="79"/>
      <c r="AE58" s="79"/>
      <c r="AF58" s="216"/>
      <c r="AG58" s="79"/>
      <c r="AH58" s="79"/>
      <c r="AI58" s="79"/>
      <c r="AJ58" s="79"/>
      <c r="AK58" s="79"/>
      <c r="AL58" s="79"/>
      <c r="AM58" s="79"/>
      <c r="AN58" s="79"/>
      <c r="AO58" s="79"/>
      <c r="AP58" s="79"/>
      <c r="AQ58" s="79"/>
      <c r="AR58" s="79"/>
      <c r="AS58" s="79"/>
      <c r="AT58" s="79">
        <f t="shared" si="9"/>
        <v>7.9246888888888894E-2</v>
      </c>
      <c r="AU58" s="79">
        <f t="shared" si="10"/>
        <v>1.8723333333333332</v>
      </c>
      <c r="AV58" s="79">
        <f t="shared" si="11"/>
        <v>0.81026249999999989</v>
      </c>
      <c r="AW58" s="79">
        <f t="shared" si="15"/>
        <v>0.70212499999999989</v>
      </c>
      <c r="AX58" s="212">
        <f t="shared" si="16"/>
        <v>0.37446666666666667</v>
      </c>
      <c r="AY58" s="65">
        <f>AT58*$X$4*パラメータ!$D$23</f>
        <v>26.151473333333332</v>
      </c>
      <c r="AZ58" s="1">
        <f>AV58*$X$5*E58*パラメータ!$D$28</f>
        <v>27.548924999999997</v>
      </c>
      <c r="BA58" s="1">
        <f>SUMPRODUCT($AC$4:$AC$10,$AD$4:$AD$10)*E58*パラメータ!$D$26*10^-3</f>
        <v>12.75</v>
      </c>
      <c r="BB58" s="1">
        <f>(AW58+AX58)*$X$6*$X$4*パラメータ!$D$21*10^-3</f>
        <v>7.266993750000001</v>
      </c>
      <c r="BC58" s="1">
        <f>($X$8*$X$9*パラメータ!$D$21+0.5*$X$8^2*SIN(RADIANS($X$10))*パラメータ!$D$24)*E58*10^-3</f>
        <v>3.3081478802897957</v>
      </c>
      <c r="BD58" s="1">
        <f t="shared" si="12"/>
        <v>18.723333333333333</v>
      </c>
      <c r="BE58" s="1">
        <f t="shared" si="13"/>
        <v>4</v>
      </c>
      <c r="BF58" s="1">
        <f>IF(G58="端リブ",AT58*$X$13*パラメータ!$D$21*2,0)</f>
        <v>0</v>
      </c>
      <c r="BG58" s="1" t="e">
        <f>主桁!BA14*1000</f>
        <v>#REF!</v>
      </c>
      <c r="BH58" s="1">
        <f t="shared" si="22"/>
        <v>99.748873296956447</v>
      </c>
      <c r="BI58" s="1" t="e">
        <f t="shared" si="23"/>
        <v>#REF!</v>
      </c>
      <c r="BJ58" s="2">
        <f>(Y58-機体重量!$Q$6)^2+(Z58-機体重量!$R$6)^2</f>
        <v>5.4950777486569501E-4</v>
      </c>
      <c r="BK58" s="2">
        <f>(Z58-機体重量!$R$6)^2</f>
        <v>3.8816156979940122E-4</v>
      </c>
      <c r="BL58" s="222">
        <f>(Y58-機体重量!$Q$6)^2</f>
        <v>1.6134620506629379E-4</v>
      </c>
    </row>
    <row r="59" spans="2:64">
      <c r="B59" s="28">
        <v>8</v>
      </c>
      <c r="C59" s="1">
        <f t="shared" si="24"/>
        <v>2.1999999999999997</v>
      </c>
      <c r="D59" s="1">
        <f t="shared" si="14"/>
        <v>905</v>
      </c>
      <c r="E59" s="21">
        <v>0.2</v>
      </c>
      <c r="F59" s="21" t="str">
        <f t="shared" si="25"/>
        <v>1st</v>
      </c>
      <c r="G59" s="4" t="str">
        <f t="shared" si="0"/>
        <v>1番</v>
      </c>
      <c r="H59" s="283" t="s">
        <v>1411</v>
      </c>
      <c r="I59" s="65">
        <f t="shared" si="17"/>
        <v>115.50999999999999</v>
      </c>
      <c r="J59" s="1">
        <f t="shared" si="18"/>
        <v>115.7851</v>
      </c>
      <c r="K59" s="1">
        <f t="shared" si="1"/>
        <v>0.35</v>
      </c>
      <c r="L59" s="212"/>
      <c r="M59" s="65" t="str">
        <f t="shared" si="2"/>
        <v>QX0023</v>
      </c>
      <c r="N59" s="1">
        <f t="shared" si="19"/>
        <v>100</v>
      </c>
      <c r="O59" s="1" t="str">
        <f t="shared" si="3"/>
        <v>QX0023</v>
      </c>
      <c r="P59" s="1">
        <f t="shared" si="4"/>
        <v>0</v>
      </c>
      <c r="Q59" s="1">
        <f t="shared" si="5"/>
        <v>0.31674999999999998</v>
      </c>
      <c r="R59" s="1">
        <f t="shared" si="6"/>
        <v>-0.58825000000000005</v>
      </c>
      <c r="S59" s="1">
        <f t="shared" si="20"/>
        <v>1.4</v>
      </c>
      <c r="T59" s="1">
        <f t="shared" si="21"/>
        <v>0</v>
      </c>
      <c r="U59" s="1">
        <f t="shared" si="7"/>
        <v>2</v>
      </c>
      <c r="V59" s="7">
        <f t="shared" si="8"/>
        <v>0</v>
      </c>
      <c r="W59" s="216"/>
      <c r="X59" s="79"/>
      <c r="Y59" s="79"/>
      <c r="Z59" s="79"/>
      <c r="AA59" s="79"/>
      <c r="AB59" s="79"/>
      <c r="AC59" s="217"/>
      <c r="AD59" s="79"/>
      <c r="AE59" s="79"/>
      <c r="AF59" s="216"/>
      <c r="AG59" s="79"/>
      <c r="AH59" s="79"/>
      <c r="AI59" s="79"/>
      <c r="AJ59" s="79"/>
      <c r="AK59" s="79"/>
      <c r="AL59" s="79"/>
      <c r="AM59" s="79"/>
      <c r="AN59" s="79"/>
      <c r="AO59" s="79"/>
      <c r="AP59" s="79"/>
      <c r="AQ59" s="79"/>
      <c r="AR59" s="79"/>
      <c r="AS59" s="79"/>
      <c r="AT59" s="79">
        <f t="shared" si="9"/>
        <v>7.7807374999999998E-2</v>
      </c>
      <c r="AU59" s="79">
        <f t="shared" si="10"/>
        <v>1.8552499999999998</v>
      </c>
      <c r="AV59" s="79">
        <f t="shared" si="11"/>
        <v>0.81026249999999989</v>
      </c>
      <c r="AW59" s="79">
        <f t="shared" si="15"/>
        <v>0.69571874999999994</v>
      </c>
      <c r="AX59" s="212">
        <f t="shared" si="16"/>
        <v>0.37104999999999999</v>
      </c>
      <c r="AY59" s="65">
        <f>AT59*$X$4*パラメータ!$D$23</f>
        <v>25.676433750000001</v>
      </c>
      <c r="AZ59" s="1">
        <f>AV59*$X$5*E59*パラメータ!$D$28</f>
        <v>27.548924999999997</v>
      </c>
      <c r="BA59" s="1">
        <f>SUMPRODUCT($AC$4:$AC$10,$AD$4:$AD$10)*E59*パラメータ!$D$26*10^-3</f>
        <v>12.75</v>
      </c>
      <c r="BB59" s="1">
        <f>(AW59+AX59)*$X$6*$X$4*パラメータ!$D$21*10^-3</f>
        <v>7.2006890624999995</v>
      </c>
      <c r="BC59" s="1">
        <f>($X$8*$X$9*パラメータ!$D$21+0.5*$X$8^2*SIN(RADIANS($X$10))*パラメータ!$D$24)*E59*10^-3</f>
        <v>3.3081478802897957</v>
      </c>
      <c r="BD59" s="1">
        <f t="shared" si="12"/>
        <v>18.552499999999998</v>
      </c>
      <c r="BE59" s="1">
        <f t="shared" si="13"/>
        <v>4</v>
      </c>
      <c r="BF59" s="1">
        <f>IF(G59="端リブ",AT59*$X$13*パラメータ!$D$21*2,0)</f>
        <v>0</v>
      </c>
      <c r="BG59" s="1" t="e">
        <f>主桁!BA15*1000</f>
        <v>#REF!</v>
      </c>
      <c r="BH59" s="1">
        <f t="shared" si="22"/>
        <v>99.036695692789792</v>
      </c>
      <c r="BI59" s="1" t="e">
        <f t="shared" si="23"/>
        <v>#REF!</v>
      </c>
      <c r="BJ59" s="2">
        <f>(Y59-機体重量!$Q$6)^2+(Z59-機体重量!$R$6)^2</f>
        <v>5.4950777486569501E-4</v>
      </c>
      <c r="BK59" s="2">
        <f>(Z59-機体重量!$R$6)^2</f>
        <v>3.8816156979940122E-4</v>
      </c>
      <c r="BL59" s="222">
        <f>(Y59-機体重量!$Q$6)^2</f>
        <v>1.6134620506629379E-4</v>
      </c>
    </row>
    <row r="60" spans="2:64">
      <c r="B60" s="104">
        <v>9</v>
      </c>
      <c r="C60" s="1">
        <f t="shared" si="24"/>
        <v>2.4</v>
      </c>
      <c r="D60" s="1">
        <f t="shared" si="14"/>
        <v>896.66666666666674</v>
      </c>
      <c r="E60" s="21">
        <v>0.2</v>
      </c>
      <c r="F60" s="21" t="str">
        <f t="shared" si="25"/>
        <v>1st</v>
      </c>
      <c r="G60" s="4" t="str">
        <f t="shared" si="0"/>
        <v>1番</v>
      </c>
      <c r="H60" s="283" t="s">
        <v>1411</v>
      </c>
      <c r="I60" s="65">
        <f t="shared" si="17"/>
        <v>113.90999999999998</v>
      </c>
      <c r="J60" s="1">
        <f t="shared" si="18"/>
        <v>114.1515</v>
      </c>
      <c r="K60" s="1">
        <f t="shared" si="1"/>
        <v>0.35</v>
      </c>
      <c r="L60" s="212"/>
      <c r="M60" s="65" t="str">
        <f t="shared" si="2"/>
        <v>QX0023</v>
      </c>
      <c r="N60" s="1">
        <f t="shared" si="19"/>
        <v>100</v>
      </c>
      <c r="O60" s="1" t="str">
        <f t="shared" si="3"/>
        <v>QX0023</v>
      </c>
      <c r="P60" s="1">
        <f t="shared" si="4"/>
        <v>0</v>
      </c>
      <c r="Q60" s="1">
        <f t="shared" si="5"/>
        <v>0.3138333333333333</v>
      </c>
      <c r="R60" s="1">
        <f t="shared" si="6"/>
        <v>-0.58283333333333343</v>
      </c>
      <c r="S60" s="1">
        <f t="shared" si="20"/>
        <v>1.5999999999999999</v>
      </c>
      <c r="T60" s="1">
        <f t="shared" si="21"/>
        <v>0</v>
      </c>
      <c r="U60" s="1">
        <f t="shared" si="7"/>
        <v>2</v>
      </c>
      <c r="V60" s="7">
        <f t="shared" si="8"/>
        <v>0</v>
      </c>
      <c r="W60" s="216"/>
      <c r="X60" s="79"/>
      <c r="Y60" s="79"/>
      <c r="Z60" s="79"/>
      <c r="AA60" s="79"/>
      <c r="AB60" s="79"/>
      <c r="AC60" s="217"/>
      <c r="AD60" s="79"/>
      <c r="AE60" s="79"/>
      <c r="AF60" s="216"/>
      <c r="AG60" s="79"/>
      <c r="AH60" s="79"/>
      <c r="AI60" s="79"/>
      <c r="AJ60" s="79"/>
      <c r="AK60" s="79"/>
      <c r="AL60" s="79"/>
      <c r="AM60" s="79"/>
      <c r="AN60" s="79"/>
      <c r="AO60" s="79"/>
      <c r="AP60" s="79"/>
      <c r="AQ60" s="79"/>
      <c r="AR60" s="79"/>
      <c r="AS60" s="79"/>
      <c r="AT60" s="79">
        <f t="shared" si="9"/>
        <v>7.6381055555555563E-2</v>
      </c>
      <c r="AU60" s="79">
        <f t="shared" si="10"/>
        <v>1.8381666666666667</v>
      </c>
      <c r="AV60" s="79">
        <f t="shared" si="11"/>
        <v>0.81026249999999989</v>
      </c>
      <c r="AW60" s="79">
        <f t="shared" si="15"/>
        <v>0.68931249999999999</v>
      </c>
      <c r="AX60" s="212">
        <f t="shared" si="16"/>
        <v>0.36763333333333337</v>
      </c>
      <c r="AY60" s="65">
        <f>AT60*$X$4*パラメータ!$D$23</f>
        <v>25.205748333333336</v>
      </c>
      <c r="AZ60" s="1">
        <f>AV60*$X$5*E60*パラメータ!$D$28</f>
        <v>27.548924999999997</v>
      </c>
      <c r="BA60" s="1">
        <f>SUMPRODUCT($AC$4:$AC$10,$AD$4:$AD$10)*E60*パラメータ!$D$26*10^-3</f>
        <v>12.75</v>
      </c>
      <c r="BB60" s="1">
        <f>(AW60+AX60)*$X$6*$X$4*パラメータ!$D$21*10^-3</f>
        <v>7.1343843749999998</v>
      </c>
      <c r="BC60" s="1">
        <f>($X$8*$X$9*パラメータ!$D$21+0.5*$X$8^2*SIN(RADIANS($X$10))*パラメータ!$D$24)*E60*10^-3</f>
        <v>3.3081478802897957</v>
      </c>
      <c r="BD60" s="1">
        <f t="shared" si="12"/>
        <v>18.381666666666668</v>
      </c>
      <c r="BE60" s="1">
        <f t="shared" si="13"/>
        <v>4</v>
      </c>
      <c r="BF60" s="1">
        <f>IF(G60="端リブ",AT60*$X$13*パラメータ!$D$21*2,0)</f>
        <v>0</v>
      </c>
      <c r="BG60" s="1" t="e">
        <f>主桁!BA16*1000</f>
        <v>#REF!</v>
      </c>
      <c r="BH60" s="1">
        <f t="shared" si="22"/>
        <v>98.328872255289781</v>
      </c>
      <c r="BI60" s="1" t="e">
        <f t="shared" si="23"/>
        <v>#REF!</v>
      </c>
      <c r="BJ60" s="2">
        <f>(Y60-機体重量!$Q$6)^2+(Z60-機体重量!$R$6)^2</f>
        <v>5.4950777486569501E-4</v>
      </c>
      <c r="BK60" s="2">
        <f>(Z60-機体重量!$R$6)^2</f>
        <v>3.8816156979940122E-4</v>
      </c>
      <c r="BL60" s="222">
        <f>(Y60-機体重量!$Q$6)^2</f>
        <v>1.6134620506629379E-4</v>
      </c>
    </row>
    <row r="61" spans="2:64">
      <c r="B61" s="28">
        <v>10</v>
      </c>
      <c r="C61" s="1">
        <f t="shared" si="24"/>
        <v>2.6</v>
      </c>
      <c r="D61" s="1">
        <f t="shared" si="14"/>
        <v>888.33333333333326</v>
      </c>
      <c r="E61" s="21">
        <v>0.2</v>
      </c>
      <c r="F61" s="21" t="str">
        <f t="shared" si="25"/>
        <v>1st</v>
      </c>
      <c r="G61" s="4" t="str">
        <f t="shared" si="0"/>
        <v>1番</v>
      </c>
      <c r="H61" s="283" t="s">
        <v>1411</v>
      </c>
      <c r="I61" s="65">
        <f t="shared" si="17"/>
        <v>112.30999999999997</v>
      </c>
      <c r="J61" s="1">
        <f t="shared" si="18"/>
        <v>112.5179</v>
      </c>
      <c r="K61" s="1">
        <f t="shared" si="1"/>
        <v>0.35</v>
      </c>
      <c r="L61" s="212"/>
      <c r="M61" s="65" t="str">
        <f t="shared" si="2"/>
        <v>QX0023</v>
      </c>
      <c r="N61" s="1">
        <f t="shared" si="19"/>
        <v>100</v>
      </c>
      <c r="O61" s="1" t="str">
        <f t="shared" si="3"/>
        <v>QX0023</v>
      </c>
      <c r="P61" s="1">
        <f t="shared" si="4"/>
        <v>0</v>
      </c>
      <c r="Q61" s="1">
        <f t="shared" si="5"/>
        <v>0.31091666666666662</v>
      </c>
      <c r="R61" s="1">
        <f t="shared" si="6"/>
        <v>-0.57741666666666669</v>
      </c>
      <c r="S61" s="1">
        <f t="shared" si="20"/>
        <v>1.7999999999999998</v>
      </c>
      <c r="T61" s="1">
        <f t="shared" si="21"/>
        <v>0</v>
      </c>
      <c r="U61" s="1">
        <f t="shared" si="7"/>
        <v>2</v>
      </c>
      <c r="V61" s="7">
        <f t="shared" si="8"/>
        <v>0</v>
      </c>
      <c r="W61" s="216"/>
      <c r="X61" s="79"/>
      <c r="Y61" s="79"/>
      <c r="Z61" s="79"/>
      <c r="AA61" s="79"/>
      <c r="AB61" s="79"/>
      <c r="AC61" s="217"/>
      <c r="AD61" s="79"/>
      <c r="AE61" s="79"/>
      <c r="AF61" s="216"/>
      <c r="AG61" s="79"/>
      <c r="AH61" s="79"/>
      <c r="AI61" s="79"/>
      <c r="AJ61" s="79"/>
      <c r="AK61" s="79"/>
      <c r="AL61" s="79"/>
      <c r="AM61" s="79"/>
      <c r="AN61" s="79"/>
      <c r="AO61" s="79"/>
      <c r="AP61" s="79"/>
      <c r="AQ61" s="79"/>
      <c r="AR61" s="79"/>
      <c r="AS61" s="79"/>
      <c r="AT61" s="79">
        <f t="shared" si="9"/>
        <v>7.4967930555555548E-2</v>
      </c>
      <c r="AU61" s="79">
        <f t="shared" si="10"/>
        <v>1.8210833333333329</v>
      </c>
      <c r="AV61" s="79">
        <f t="shared" si="11"/>
        <v>0.81026249999999989</v>
      </c>
      <c r="AW61" s="79">
        <f t="shared" si="15"/>
        <v>0.68290624999999983</v>
      </c>
      <c r="AX61" s="212">
        <f t="shared" si="16"/>
        <v>0.36421666666666663</v>
      </c>
      <c r="AY61" s="65">
        <f>AT61*$X$4*パラメータ!$D$23</f>
        <v>24.739417083333333</v>
      </c>
      <c r="AZ61" s="1">
        <f>AV61*$X$5*E61*パラメータ!$D$28</f>
        <v>27.548924999999997</v>
      </c>
      <c r="BA61" s="1">
        <f>SUMPRODUCT($AC$4:$AC$10,$AD$4:$AD$10)*E61*パラメータ!$D$26*10^-3</f>
        <v>12.75</v>
      </c>
      <c r="BB61" s="1">
        <f>(AW61+AX61)*$X$6*$X$4*パラメータ!$D$21*10^-3</f>
        <v>7.0680796874999983</v>
      </c>
      <c r="BC61" s="1">
        <f>($X$8*$X$9*パラメータ!$D$21+0.5*$X$8^2*SIN(RADIANS($X$10))*パラメータ!$D$24)*E61*10^-3</f>
        <v>3.3081478802897957</v>
      </c>
      <c r="BD61" s="1">
        <f t="shared" si="12"/>
        <v>18.21083333333333</v>
      </c>
      <c r="BE61" s="1">
        <f t="shared" si="13"/>
        <v>4</v>
      </c>
      <c r="BF61" s="1">
        <f>IF(G61="端リブ",AT61*$X$13*パラメータ!$D$21*2,0)</f>
        <v>0</v>
      </c>
      <c r="BG61" s="1" t="e">
        <f>主桁!BA17*1000</f>
        <v>#REF!</v>
      </c>
      <c r="BH61" s="1">
        <f t="shared" si="22"/>
        <v>97.625402984456457</v>
      </c>
      <c r="BI61" s="1" t="e">
        <f t="shared" si="23"/>
        <v>#REF!</v>
      </c>
      <c r="BJ61" s="2">
        <f>(Y61-機体重量!$Q$6)^2+(Z61-機体重量!$R$6)^2</f>
        <v>5.4950777486569501E-4</v>
      </c>
      <c r="BK61" s="2">
        <f>(Z61-機体重量!$R$6)^2</f>
        <v>3.8816156979940122E-4</v>
      </c>
      <c r="BL61" s="222">
        <f>(Y61-機体重量!$Q$6)^2</f>
        <v>1.6134620506629379E-4</v>
      </c>
    </row>
    <row r="62" spans="2:64">
      <c r="B62" s="104">
        <v>11</v>
      </c>
      <c r="C62" s="1">
        <f t="shared" ref="C62:C111" si="26">C61+E61</f>
        <v>2.8000000000000003</v>
      </c>
      <c r="D62" s="1">
        <f t="shared" si="14"/>
        <v>880</v>
      </c>
      <c r="E62" s="21">
        <v>0.2</v>
      </c>
      <c r="F62" s="21" t="str">
        <f t="shared" si="25"/>
        <v>1st</v>
      </c>
      <c r="G62" s="4" t="str">
        <f t="shared" si="0"/>
        <v>1番</v>
      </c>
      <c r="H62" s="283" t="s">
        <v>1411</v>
      </c>
      <c r="I62" s="65">
        <f t="shared" si="17"/>
        <v>110.70999999999998</v>
      </c>
      <c r="J62" s="1">
        <f t="shared" si="18"/>
        <v>110.8843</v>
      </c>
      <c r="K62" s="1">
        <f t="shared" si="1"/>
        <v>0.35</v>
      </c>
      <c r="L62" s="212"/>
      <c r="M62" s="65" t="str">
        <f t="shared" si="2"/>
        <v>QX0023</v>
      </c>
      <c r="N62" s="1">
        <f t="shared" si="19"/>
        <v>100</v>
      </c>
      <c r="O62" s="1" t="str">
        <f t="shared" si="3"/>
        <v>QX0023</v>
      </c>
      <c r="P62" s="1">
        <f t="shared" si="4"/>
        <v>0</v>
      </c>
      <c r="Q62" s="1">
        <f t="shared" si="5"/>
        <v>0.308</v>
      </c>
      <c r="R62" s="1">
        <f t="shared" si="6"/>
        <v>-0.57200000000000006</v>
      </c>
      <c r="S62" s="1">
        <f t="shared" si="20"/>
        <v>1.9999999999999998</v>
      </c>
      <c r="T62" s="1">
        <f t="shared" si="21"/>
        <v>0</v>
      </c>
      <c r="U62" s="1">
        <f t="shared" si="7"/>
        <v>2</v>
      </c>
      <c r="V62" s="7">
        <f t="shared" si="8"/>
        <v>0</v>
      </c>
      <c r="W62" s="216"/>
      <c r="X62" s="79"/>
      <c r="Y62" s="79"/>
      <c r="Z62" s="79"/>
      <c r="AA62" s="79"/>
      <c r="AB62" s="79"/>
      <c r="AC62" s="217"/>
      <c r="AD62" s="79"/>
      <c r="AE62" s="79"/>
      <c r="AF62" s="216"/>
      <c r="AG62" s="79"/>
      <c r="AH62" s="79"/>
      <c r="AI62" s="79"/>
      <c r="AJ62" s="79"/>
      <c r="AK62" s="79"/>
      <c r="AL62" s="79"/>
      <c r="AM62" s="79"/>
      <c r="AN62" s="79"/>
      <c r="AO62" s="79"/>
      <c r="AP62" s="79"/>
      <c r="AQ62" s="79"/>
      <c r="AR62" s="79"/>
      <c r="AS62" s="79"/>
      <c r="AT62" s="79">
        <f t="shared" si="9"/>
        <v>7.3567999999999995E-2</v>
      </c>
      <c r="AU62" s="79">
        <f t="shared" si="10"/>
        <v>1.8039999999999998</v>
      </c>
      <c r="AV62" s="79">
        <f t="shared" si="11"/>
        <v>0.81026249999999989</v>
      </c>
      <c r="AW62" s="79">
        <f t="shared" si="15"/>
        <v>0.67649999999999988</v>
      </c>
      <c r="AX62" s="212">
        <f t="shared" si="16"/>
        <v>0.36080000000000001</v>
      </c>
      <c r="AY62" s="65">
        <f>AT62*$X$4*パラメータ!$D$23</f>
        <v>24.277439999999995</v>
      </c>
      <c r="AZ62" s="1">
        <f>AV62*$X$5*E62*パラメータ!$D$28</f>
        <v>27.548924999999997</v>
      </c>
      <c r="BA62" s="1">
        <f>SUMPRODUCT($AC$4:$AC$10,$AD$4:$AD$10)*E62*パラメータ!$D$26*10^-3</f>
        <v>12.75</v>
      </c>
      <c r="BB62" s="1">
        <f>(AW62+AX62)*$X$6*$X$4*パラメータ!$D$21*10^-3</f>
        <v>7.0017749999999994</v>
      </c>
      <c r="BC62" s="1">
        <f>($X$8*$X$9*パラメータ!$D$21+0.5*$X$8^2*SIN(RADIANS($X$10))*パラメータ!$D$24)*E62*10^-3</f>
        <v>3.3081478802897957</v>
      </c>
      <c r="BD62" s="1">
        <f t="shared" si="12"/>
        <v>18.04</v>
      </c>
      <c r="BE62" s="1">
        <f t="shared" si="13"/>
        <v>4</v>
      </c>
      <c r="BF62" s="1">
        <f>IF(G62="端リブ",AT62*$X$13*パラメータ!$D$21*2,0)</f>
        <v>0</v>
      </c>
      <c r="BG62" s="1" t="e">
        <f>主桁!BA18*1000</f>
        <v>#REF!</v>
      </c>
      <c r="BH62" s="1">
        <f t="shared" si="22"/>
        <v>96.926287880289777</v>
      </c>
      <c r="BI62" s="1" t="e">
        <f t="shared" si="23"/>
        <v>#REF!</v>
      </c>
      <c r="BJ62" s="2">
        <f>(Y62-機体重量!$Q$6)^2+(Z62-機体重量!$R$6)^2</f>
        <v>5.4950777486569501E-4</v>
      </c>
      <c r="BK62" s="2">
        <f>(Z62-機体重量!$R$6)^2</f>
        <v>3.8816156979940122E-4</v>
      </c>
      <c r="BL62" s="222">
        <f>(Y62-機体重量!$Q$6)^2</f>
        <v>1.6134620506629379E-4</v>
      </c>
    </row>
    <row r="63" spans="2:64">
      <c r="B63" s="28">
        <v>12</v>
      </c>
      <c r="C63" s="1">
        <f t="shared" si="26"/>
        <v>3.0000000000000004</v>
      </c>
      <c r="D63" s="1">
        <f t="shared" si="14"/>
        <v>871.66666666666674</v>
      </c>
      <c r="E63" s="21">
        <v>0.2</v>
      </c>
      <c r="F63" s="21" t="str">
        <f t="shared" si="25"/>
        <v>1st</v>
      </c>
      <c r="G63" s="4" t="str">
        <f t="shared" si="0"/>
        <v>1番</v>
      </c>
      <c r="H63" s="283" t="s">
        <v>1411</v>
      </c>
      <c r="I63" s="65">
        <f t="shared" si="17"/>
        <v>109.10999999999997</v>
      </c>
      <c r="J63" s="1">
        <f t="shared" si="18"/>
        <v>109.25069999999999</v>
      </c>
      <c r="K63" s="1">
        <f t="shared" si="1"/>
        <v>0.35</v>
      </c>
      <c r="L63" s="212"/>
      <c r="M63" s="65" t="str">
        <f t="shared" si="2"/>
        <v>QX0023</v>
      </c>
      <c r="N63" s="1">
        <f t="shared" si="19"/>
        <v>100</v>
      </c>
      <c r="O63" s="1" t="str">
        <f t="shared" si="3"/>
        <v>QX0023</v>
      </c>
      <c r="P63" s="1">
        <f t="shared" si="4"/>
        <v>0</v>
      </c>
      <c r="Q63" s="1">
        <f t="shared" si="5"/>
        <v>0.30508333333333332</v>
      </c>
      <c r="R63" s="1">
        <f t="shared" si="6"/>
        <v>-0.56658333333333344</v>
      </c>
      <c r="S63" s="1">
        <f t="shared" si="20"/>
        <v>2.1999999999999997</v>
      </c>
      <c r="T63" s="1">
        <f t="shared" si="21"/>
        <v>0</v>
      </c>
      <c r="U63" s="1">
        <f t="shared" si="7"/>
        <v>2</v>
      </c>
      <c r="V63" s="7">
        <f t="shared" si="8"/>
        <v>0</v>
      </c>
      <c r="W63" s="216"/>
      <c r="X63" s="79"/>
      <c r="Y63" s="79"/>
      <c r="Z63" s="79"/>
      <c r="AA63" s="79"/>
      <c r="AB63" s="79"/>
      <c r="AC63" s="217"/>
      <c r="AD63" s="79"/>
      <c r="AE63" s="79"/>
      <c r="AF63" s="216"/>
      <c r="AG63" s="79"/>
      <c r="AH63" s="79"/>
      <c r="AI63" s="79"/>
      <c r="AJ63" s="79"/>
      <c r="AK63" s="79"/>
      <c r="AL63" s="79"/>
      <c r="AM63" s="79"/>
      <c r="AN63" s="79"/>
      <c r="AO63" s="79"/>
      <c r="AP63" s="79"/>
      <c r="AQ63" s="79"/>
      <c r="AR63" s="79"/>
      <c r="AS63" s="79"/>
      <c r="AT63" s="79">
        <f t="shared" si="9"/>
        <v>7.2181263888888889E-2</v>
      </c>
      <c r="AU63" s="79">
        <f t="shared" si="10"/>
        <v>1.7869166666666667</v>
      </c>
      <c r="AV63" s="79">
        <f t="shared" si="11"/>
        <v>0.81026249999999989</v>
      </c>
      <c r="AW63" s="79">
        <f t="shared" si="15"/>
        <v>0.67009375000000004</v>
      </c>
      <c r="AX63" s="212">
        <f t="shared" si="16"/>
        <v>0.35738333333333339</v>
      </c>
      <c r="AY63" s="65">
        <f>AT63*$X$4*パラメータ!$D$23</f>
        <v>23.819817083333334</v>
      </c>
      <c r="AZ63" s="1">
        <f>AV63*$X$5*E63*パラメータ!$D$28</f>
        <v>27.548924999999997</v>
      </c>
      <c r="BA63" s="1">
        <f>SUMPRODUCT($AC$4:$AC$10,$AD$4:$AD$10)*E63*パラメータ!$D$26*10^-3</f>
        <v>12.75</v>
      </c>
      <c r="BB63" s="1">
        <f>(AW63+AX63)*$X$6*$X$4*パラメータ!$D$21*10^-3</f>
        <v>6.9354703124999997</v>
      </c>
      <c r="BC63" s="1">
        <f>($X$8*$X$9*パラメータ!$D$21+0.5*$X$8^2*SIN(RADIANS($X$10))*パラメータ!$D$24)*E63*10^-3</f>
        <v>3.3081478802897957</v>
      </c>
      <c r="BD63" s="1">
        <f t="shared" si="12"/>
        <v>17.869166666666668</v>
      </c>
      <c r="BE63" s="1">
        <f t="shared" si="13"/>
        <v>4</v>
      </c>
      <c r="BF63" s="1">
        <f>IF(G63="端リブ",AT63*$X$13*パラメータ!$D$21*2,0)</f>
        <v>0</v>
      </c>
      <c r="BG63" s="1" t="e">
        <f>主桁!BA19*1000</f>
        <v>#REF!</v>
      </c>
      <c r="BH63" s="1">
        <f t="shared" si="22"/>
        <v>96.231526942789799</v>
      </c>
      <c r="BI63" s="1" t="e">
        <f t="shared" si="23"/>
        <v>#REF!</v>
      </c>
      <c r="BJ63" s="2">
        <f>(Y63-機体重量!$Q$6)^2+(Z63-機体重量!$R$6)^2</f>
        <v>5.4950777486569501E-4</v>
      </c>
      <c r="BK63" s="2">
        <f>(Z63-機体重量!$R$6)^2</f>
        <v>3.8816156979940122E-4</v>
      </c>
      <c r="BL63" s="222">
        <f>(Y63-機体重量!$Q$6)^2</f>
        <v>1.6134620506629379E-4</v>
      </c>
    </row>
    <row r="64" spans="2:64">
      <c r="B64" s="104">
        <v>13</v>
      </c>
      <c r="C64" s="1">
        <f t="shared" si="26"/>
        <v>3.2000000000000006</v>
      </c>
      <c r="D64" s="1">
        <f t="shared" si="14"/>
        <v>863.33333333333326</v>
      </c>
      <c r="E64" s="21">
        <v>0.2</v>
      </c>
      <c r="F64" s="21" t="str">
        <f t="shared" si="25"/>
        <v>1st</v>
      </c>
      <c r="G64" s="4" t="str">
        <f t="shared" si="0"/>
        <v>1番</v>
      </c>
      <c r="H64" s="283" t="s">
        <v>1411</v>
      </c>
      <c r="I64" s="65">
        <f t="shared" si="17"/>
        <v>107.50999999999998</v>
      </c>
      <c r="J64" s="1">
        <f t="shared" si="18"/>
        <v>107.61709999999999</v>
      </c>
      <c r="K64" s="1">
        <f t="shared" si="1"/>
        <v>0.35</v>
      </c>
      <c r="L64" s="212"/>
      <c r="M64" s="65" t="str">
        <f t="shared" si="2"/>
        <v>QX0023</v>
      </c>
      <c r="N64" s="1">
        <f t="shared" si="19"/>
        <v>100</v>
      </c>
      <c r="O64" s="1" t="str">
        <f t="shared" si="3"/>
        <v>QX0023</v>
      </c>
      <c r="P64" s="1">
        <f t="shared" si="4"/>
        <v>0</v>
      </c>
      <c r="Q64" s="1">
        <f t="shared" si="5"/>
        <v>0.30216666666666664</v>
      </c>
      <c r="R64" s="1">
        <f t="shared" si="6"/>
        <v>-0.56116666666666659</v>
      </c>
      <c r="S64" s="1">
        <f t="shared" si="20"/>
        <v>2.4</v>
      </c>
      <c r="T64" s="1">
        <f t="shared" si="21"/>
        <v>0</v>
      </c>
      <c r="U64" s="1">
        <f t="shared" si="7"/>
        <v>2</v>
      </c>
      <c r="V64" s="7">
        <f t="shared" si="8"/>
        <v>0</v>
      </c>
      <c r="W64" s="216"/>
      <c r="X64" s="79"/>
      <c r="Y64" s="79"/>
      <c r="Z64" s="79"/>
      <c r="AA64" s="79"/>
      <c r="AB64" s="79"/>
      <c r="AC64" s="217"/>
      <c r="AD64" s="79"/>
      <c r="AE64" s="79"/>
      <c r="AF64" s="216"/>
      <c r="AG64" s="79"/>
      <c r="AH64" s="79"/>
      <c r="AI64" s="79"/>
      <c r="AJ64" s="79"/>
      <c r="AK64" s="79"/>
      <c r="AL64" s="79"/>
      <c r="AM64" s="79"/>
      <c r="AN64" s="79"/>
      <c r="AO64" s="79"/>
      <c r="AP64" s="79"/>
      <c r="AQ64" s="79"/>
      <c r="AR64" s="79"/>
      <c r="AS64" s="79"/>
      <c r="AT64" s="79">
        <f t="shared" si="9"/>
        <v>7.0807722222222216E-2</v>
      </c>
      <c r="AU64" s="79">
        <f t="shared" si="10"/>
        <v>1.7698333333333329</v>
      </c>
      <c r="AV64" s="79">
        <f t="shared" si="11"/>
        <v>0.81026249999999989</v>
      </c>
      <c r="AW64" s="79">
        <f t="shared" si="15"/>
        <v>0.66368749999999987</v>
      </c>
      <c r="AX64" s="212">
        <f t="shared" si="16"/>
        <v>0.3539666666666666</v>
      </c>
      <c r="AY64" s="65">
        <f>AT64*$X$4*パラメータ!$D$23</f>
        <v>23.366548333333331</v>
      </c>
      <c r="AZ64" s="1">
        <f>AV64*$X$5*E64*パラメータ!$D$28</f>
        <v>27.548924999999997</v>
      </c>
      <c r="BA64" s="1">
        <f>SUMPRODUCT($AC$4:$AC$10,$AD$4:$AD$10)*E64*パラメータ!$D$26*10^-3</f>
        <v>12.75</v>
      </c>
      <c r="BB64" s="1">
        <f>(AW64+AX64)*$X$6*$X$4*パラメータ!$D$21*10^-3</f>
        <v>6.8691656249999991</v>
      </c>
      <c r="BC64" s="1">
        <f>($X$8*$X$9*パラメータ!$D$21+0.5*$X$8^2*SIN(RADIANS($X$10))*パラメータ!$D$24)*E64*10^-3</f>
        <v>3.3081478802897957</v>
      </c>
      <c r="BD64" s="1">
        <f t="shared" si="12"/>
        <v>17.698333333333331</v>
      </c>
      <c r="BE64" s="1">
        <f t="shared" si="13"/>
        <v>4</v>
      </c>
      <c r="BF64" s="1">
        <f>IF(G64="端リブ",AT64*$X$13*パラメータ!$D$21*2,0)</f>
        <v>0</v>
      </c>
      <c r="BG64" s="1" t="e">
        <f>主桁!BA20*1000</f>
        <v>#REF!</v>
      </c>
      <c r="BH64" s="1">
        <f t="shared" si="22"/>
        <v>95.541120171956436</v>
      </c>
      <c r="BI64" s="1" t="e">
        <f t="shared" si="23"/>
        <v>#REF!</v>
      </c>
      <c r="BJ64" s="2">
        <f>(Y64-機体重量!$Q$6)^2+(Z64-機体重量!$R$6)^2</f>
        <v>5.4950777486569501E-4</v>
      </c>
      <c r="BK64" s="2">
        <f>(Z64-機体重量!$R$6)^2</f>
        <v>3.8816156979940122E-4</v>
      </c>
      <c r="BL64" s="222">
        <f>(Y64-機体重量!$Q$6)^2</f>
        <v>1.6134620506629379E-4</v>
      </c>
    </row>
    <row r="65" spans="2:64">
      <c r="B65" s="28">
        <v>14</v>
      </c>
      <c r="C65" s="1">
        <f t="shared" si="26"/>
        <v>3.4000000000000008</v>
      </c>
      <c r="D65" s="1">
        <f t="shared" si="14"/>
        <v>855</v>
      </c>
      <c r="E65" s="21">
        <v>0.2</v>
      </c>
      <c r="F65" s="21" t="str">
        <f t="shared" si="25"/>
        <v>1st</v>
      </c>
      <c r="G65" s="4" t="str">
        <f t="shared" si="0"/>
        <v>1番</v>
      </c>
      <c r="H65" s="283" t="s">
        <v>1411</v>
      </c>
      <c r="I65" s="65">
        <f t="shared" si="17"/>
        <v>105.90999999999997</v>
      </c>
      <c r="J65" s="1">
        <f t="shared" si="18"/>
        <v>105.98349999999999</v>
      </c>
      <c r="K65" s="1">
        <f t="shared" si="1"/>
        <v>0.35</v>
      </c>
      <c r="L65" s="212"/>
      <c r="M65" s="65" t="str">
        <f t="shared" si="2"/>
        <v>QX0023</v>
      </c>
      <c r="N65" s="1">
        <f t="shared" si="19"/>
        <v>100</v>
      </c>
      <c r="O65" s="1" t="str">
        <f t="shared" si="3"/>
        <v>QX0023</v>
      </c>
      <c r="P65" s="1">
        <f t="shared" si="4"/>
        <v>0</v>
      </c>
      <c r="Q65" s="1">
        <f t="shared" si="5"/>
        <v>0.29925000000000002</v>
      </c>
      <c r="R65" s="1">
        <f t="shared" si="6"/>
        <v>-0.55574999999999997</v>
      </c>
      <c r="S65" s="1">
        <f t="shared" si="20"/>
        <v>2.6</v>
      </c>
      <c r="T65" s="1">
        <f t="shared" si="21"/>
        <v>0</v>
      </c>
      <c r="U65" s="1">
        <f t="shared" si="7"/>
        <v>2</v>
      </c>
      <c r="V65" s="7">
        <f t="shared" si="8"/>
        <v>0</v>
      </c>
      <c r="W65" s="216"/>
      <c r="X65" s="79"/>
      <c r="Y65" s="79"/>
      <c r="Z65" s="79"/>
      <c r="AA65" s="79"/>
      <c r="AB65" s="79"/>
      <c r="AC65" s="217"/>
      <c r="AD65" s="79"/>
      <c r="AE65" s="79"/>
      <c r="AF65" s="216"/>
      <c r="AG65" s="79"/>
      <c r="AH65" s="79"/>
      <c r="AI65" s="79"/>
      <c r="AJ65" s="79"/>
      <c r="AK65" s="79"/>
      <c r="AL65" s="79"/>
      <c r="AM65" s="79"/>
      <c r="AN65" s="79"/>
      <c r="AO65" s="79"/>
      <c r="AP65" s="79"/>
      <c r="AQ65" s="79"/>
      <c r="AR65" s="79"/>
      <c r="AS65" s="79"/>
      <c r="AT65" s="79">
        <f t="shared" si="9"/>
        <v>6.9447374999999992E-2</v>
      </c>
      <c r="AU65" s="79">
        <f t="shared" si="10"/>
        <v>1.7527499999999998</v>
      </c>
      <c r="AV65" s="79">
        <f t="shared" si="11"/>
        <v>0.81026249999999989</v>
      </c>
      <c r="AW65" s="79">
        <f t="shared" si="15"/>
        <v>0.65728124999999993</v>
      </c>
      <c r="AX65" s="212">
        <f t="shared" si="16"/>
        <v>0.35054999999999997</v>
      </c>
      <c r="AY65" s="65">
        <f>AT65*$X$4*パラメータ!$D$23</f>
        <v>22.917633749999997</v>
      </c>
      <c r="AZ65" s="1">
        <f>AV65*$X$5*E65*パラメータ!$D$28</f>
        <v>27.548924999999997</v>
      </c>
      <c r="BA65" s="1">
        <f>SUMPRODUCT($AC$4:$AC$10,$AD$4:$AD$10)*E65*パラメータ!$D$26*10^-3</f>
        <v>12.75</v>
      </c>
      <c r="BB65" s="1">
        <f>(AW65+AX65)*$X$6*$X$4*パラメータ!$D$21*10^-3</f>
        <v>6.8028609375000011</v>
      </c>
      <c r="BC65" s="1">
        <f>($X$8*$X$9*パラメータ!$D$21+0.5*$X$8^2*SIN(RADIANS($X$10))*パラメータ!$D$24)*E65*10^-3</f>
        <v>3.3081478802897957</v>
      </c>
      <c r="BD65" s="1">
        <f t="shared" si="12"/>
        <v>17.527499999999996</v>
      </c>
      <c r="BE65" s="1">
        <f t="shared" si="13"/>
        <v>4</v>
      </c>
      <c r="BF65" s="1">
        <f>IF(G65="端リブ",AT65*$X$13*パラメータ!$D$21*2,0)</f>
        <v>0</v>
      </c>
      <c r="BG65" s="1" t="e">
        <f>主桁!BA21*1000</f>
        <v>#REF!</v>
      </c>
      <c r="BH65" s="1">
        <f t="shared" si="22"/>
        <v>94.855067567789774</v>
      </c>
      <c r="BI65" s="1" t="e">
        <f t="shared" si="23"/>
        <v>#REF!</v>
      </c>
      <c r="BJ65" s="2">
        <f>(Y65-機体重量!$Q$6)^2+(Z65-機体重量!$R$6)^2</f>
        <v>5.4950777486569501E-4</v>
      </c>
      <c r="BK65" s="2">
        <f>(Z65-機体重量!$R$6)^2</f>
        <v>3.8816156979940122E-4</v>
      </c>
      <c r="BL65" s="222">
        <f>(Y65-機体重量!$Q$6)^2</f>
        <v>1.6134620506629379E-4</v>
      </c>
    </row>
    <row r="66" spans="2:64">
      <c r="B66" s="104">
        <v>15</v>
      </c>
      <c r="C66" s="1">
        <f t="shared" si="26"/>
        <v>3.600000000000001</v>
      </c>
      <c r="D66" s="1">
        <f t="shared" si="14"/>
        <v>846.66666666666663</v>
      </c>
      <c r="E66" s="21">
        <v>0.2</v>
      </c>
      <c r="F66" s="21" t="str">
        <f t="shared" si="25"/>
        <v>1st</v>
      </c>
      <c r="G66" s="4" t="str">
        <f t="shared" si="0"/>
        <v>1番</v>
      </c>
      <c r="H66" s="283" t="s">
        <v>1411</v>
      </c>
      <c r="I66" s="65">
        <f t="shared" si="17"/>
        <v>104.30999999999997</v>
      </c>
      <c r="J66" s="1">
        <f t="shared" si="18"/>
        <v>104.34989999999999</v>
      </c>
      <c r="K66" s="1">
        <f t="shared" si="1"/>
        <v>0.35</v>
      </c>
      <c r="L66" s="212"/>
      <c r="M66" s="65" t="str">
        <f t="shared" si="2"/>
        <v>QX0023</v>
      </c>
      <c r="N66" s="1">
        <f t="shared" si="19"/>
        <v>100</v>
      </c>
      <c r="O66" s="1" t="str">
        <f t="shared" si="3"/>
        <v>QX0023</v>
      </c>
      <c r="P66" s="1">
        <f t="shared" si="4"/>
        <v>0</v>
      </c>
      <c r="Q66" s="1">
        <f t="shared" si="5"/>
        <v>0.29633333333333334</v>
      </c>
      <c r="R66" s="1">
        <f t="shared" si="6"/>
        <v>-0.55033333333333334</v>
      </c>
      <c r="S66" s="1">
        <f t="shared" si="20"/>
        <v>2.8000000000000003</v>
      </c>
      <c r="T66" s="1">
        <f t="shared" si="21"/>
        <v>0</v>
      </c>
      <c r="U66" s="1">
        <f t="shared" si="7"/>
        <v>2</v>
      </c>
      <c r="V66" s="7">
        <f t="shared" si="8"/>
        <v>0</v>
      </c>
      <c r="W66" s="216"/>
      <c r="X66" s="79"/>
      <c r="Y66" s="79"/>
      <c r="Z66" s="79"/>
      <c r="AA66" s="79"/>
      <c r="AB66" s="79"/>
      <c r="AC66" s="217"/>
      <c r="AD66" s="79"/>
      <c r="AE66" s="79"/>
      <c r="AF66" s="216"/>
      <c r="AG66" s="79"/>
      <c r="AH66" s="79"/>
      <c r="AI66" s="79"/>
      <c r="AJ66" s="79"/>
      <c r="AK66" s="79"/>
      <c r="AL66" s="79"/>
      <c r="AM66" s="79"/>
      <c r="AN66" s="79"/>
      <c r="AO66" s="79"/>
      <c r="AP66" s="79"/>
      <c r="AQ66" s="79"/>
      <c r="AR66" s="79"/>
      <c r="AS66" s="79"/>
      <c r="AT66" s="79">
        <f t="shared" si="9"/>
        <v>6.8100222222222229E-2</v>
      </c>
      <c r="AU66" s="79">
        <f t="shared" si="10"/>
        <v>1.7356666666666665</v>
      </c>
      <c r="AV66" s="79">
        <f t="shared" si="11"/>
        <v>0.81026249999999989</v>
      </c>
      <c r="AW66" s="79">
        <f t="shared" si="15"/>
        <v>0.65087499999999987</v>
      </c>
      <c r="AX66" s="212">
        <f t="shared" si="16"/>
        <v>0.34713333333333329</v>
      </c>
      <c r="AY66" s="65">
        <f>AT66*$X$4*パラメータ!$D$23</f>
        <v>22.473073333333335</v>
      </c>
      <c r="AZ66" s="1">
        <f>AV66*$X$5*E66*パラメータ!$D$28</f>
        <v>27.548924999999997</v>
      </c>
      <c r="BA66" s="1">
        <f>SUMPRODUCT($AC$4:$AC$10,$AD$4:$AD$10)*E66*パラメータ!$D$26*10^-3</f>
        <v>12.75</v>
      </c>
      <c r="BB66" s="1">
        <f>(AW66+AX66)*$X$6*$X$4*パラメータ!$D$21*10^-3</f>
        <v>6.7365562499999987</v>
      </c>
      <c r="BC66" s="1">
        <f>($X$8*$X$9*パラメータ!$D$21+0.5*$X$8^2*SIN(RADIANS($X$10))*パラメータ!$D$24)*E66*10^-3</f>
        <v>3.3081478802897957</v>
      </c>
      <c r="BD66" s="1">
        <f t="shared" si="12"/>
        <v>17.356666666666666</v>
      </c>
      <c r="BE66" s="1">
        <f t="shared" si="13"/>
        <v>4</v>
      </c>
      <c r="BF66" s="1">
        <f>IF(G66="端リブ",AT66*$X$13*パラメータ!$D$21*2,0)</f>
        <v>0</v>
      </c>
      <c r="BG66" s="1" t="e">
        <f>主桁!BA22*1000</f>
        <v>#REF!</v>
      </c>
      <c r="BH66" s="1">
        <f t="shared" si="22"/>
        <v>94.173369130289785</v>
      </c>
      <c r="BI66" s="1" t="e">
        <f t="shared" si="23"/>
        <v>#REF!</v>
      </c>
      <c r="BJ66" s="2">
        <f>(Y66-機体重量!$Q$6)^2+(Z66-機体重量!$R$6)^2</f>
        <v>5.4950777486569501E-4</v>
      </c>
      <c r="BK66" s="2">
        <f>(Z66-機体重量!$R$6)^2</f>
        <v>3.8816156979940122E-4</v>
      </c>
      <c r="BL66" s="222">
        <f>(Y66-機体重量!$Q$6)^2</f>
        <v>1.6134620506629379E-4</v>
      </c>
    </row>
    <row r="67" spans="2:64">
      <c r="B67" s="28">
        <v>16</v>
      </c>
      <c r="C67" s="1">
        <f t="shared" si="26"/>
        <v>3.8000000000000012</v>
      </c>
      <c r="D67" s="1">
        <f t="shared" si="14"/>
        <v>838.33333333333326</v>
      </c>
      <c r="E67" s="21">
        <v>0.2</v>
      </c>
      <c r="F67" s="21" t="str">
        <f t="shared" si="25"/>
        <v>1st</v>
      </c>
      <c r="G67" s="4" t="str">
        <f t="shared" si="0"/>
        <v>1番</v>
      </c>
      <c r="H67" s="283" t="s">
        <v>1411</v>
      </c>
      <c r="I67" s="65">
        <f t="shared" si="17"/>
        <v>102.70999999999997</v>
      </c>
      <c r="J67" s="1">
        <f t="shared" si="18"/>
        <v>102.71629999999999</v>
      </c>
      <c r="K67" s="1">
        <f t="shared" si="1"/>
        <v>0.35</v>
      </c>
      <c r="L67" s="212"/>
      <c r="M67" s="65" t="str">
        <f t="shared" si="2"/>
        <v>QX0023</v>
      </c>
      <c r="N67" s="1">
        <f t="shared" si="19"/>
        <v>100</v>
      </c>
      <c r="O67" s="1" t="str">
        <f t="shared" si="3"/>
        <v>QX0023</v>
      </c>
      <c r="P67" s="1">
        <f t="shared" si="4"/>
        <v>0</v>
      </c>
      <c r="Q67" s="1">
        <f t="shared" si="5"/>
        <v>0.2934166666666666</v>
      </c>
      <c r="R67" s="1">
        <f t="shared" si="6"/>
        <v>-0.54491666666666672</v>
      </c>
      <c r="S67" s="1">
        <f t="shared" si="20"/>
        <v>3.0000000000000004</v>
      </c>
      <c r="T67" s="1">
        <f t="shared" si="21"/>
        <v>0</v>
      </c>
      <c r="U67" s="1">
        <f t="shared" si="7"/>
        <v>2</v>
      </c>
      <c r="V67" s="7">
        <f t="shared" si="8"/>
        <v>0</v>
      </c>
      <c r="W67" s="216"/>
      <c r="X67" s="79"/>
      <c r="Y67" s="79"/>
      <c r="Z67" s="79"/>
      <c r="AA67" s="79"/>
      <c r="AB67" s="79"/>
      <c r="AC67" s="217"/>
      <c r="AD67" s="79"/>
      <c r="AE67" s="79"/>
      <c r="AF67" s="216"/>
      <c r="AG67" s="79"/>
      <c r="AH67" s="79"/>
      <c r="AI67" s="79"/>
      <c r="AJ67" s="79"/>
      <c r="AK67" s="79"/>
      <c r="AL67" s="79"/>
      <c r="AM67" s="79"/>
      <c r="AN67" s="79"/>
      <c r="AO67" s="79"/>
      <c r="AP67" s="79"/>
      <c r="AQ67" s="79"/>
      <c r="AR67" s="79"/>
      <c r="AS67" s="79"/>
      <c r="AT67" s="79">
        <f t="shared" si="9"/>
        <v>6.6766263888888885E-2</v>
      </c>
      <c r="AU67" s="79">
        <f t="shared" si="10"/>
        <v>1.7185833333333331</v>
      </c>
      <c r="AV67" s="79">
        <f t="shared" si="11"/>
        <v>0.81026249999999989</v>
      </c>
      <c r="AW67" s="79">
        <f t="shared" si="15"/>
        <v>0.64446874999999992</v>
      </c>
      <c r="AX67" s="212">
        <f t="shared" si="16"/>
        <v>0.34371666666666667</v>
      </c>
      <c r="AY67" s="65">
        <f>AT67*$X$4*パラメータ!$D$23</f>
        <v>22.032867083333333</v>
      </c>
      <c r="AZ67" s="1">
        <f>AV67*$X$5*E67*パラメータ!$D$28</f>
        <v>27.548924999999997</v>
      </c>
      <c r="BA67" s="1">
        <f>SUMPRODUCT($AC$4:$AC$10,$AD$4:$AD$10)*E67*パラメータ!$D$26*10^-3</f>
        <v>12.75</v>
      </c>
      <c r="BB67" s="1">
        <f>(AW67+AX67)*$X$6*$X$4*パラメータ!$D$21*10^-3</f>
        <v>6.6702515624999998</v>
      </c>
      <c r="BC67" s="1">
        <f>($X$8*$X$9*パラメータ!$D$21+0.5*$X$8^2*SIN(RADIANS($X$10))*パラメータ!$D$24)*E67*10^-3</f>
        <v>3.3081478802897957</v>
      </c>
      <c r="BD67" s="1">
        <f t="shared" si="12"/>
        <v>17.185833333333331</v>
      </c>
      <c r="BE67" s="1">
        <f t="shared" si="13"/>
        <v>4</v>
      </c>
      <c r="BF67" s="1">
        <f>IF(G67="端リブ",AT67*$X$13*パラメータ!$D$21*2,0)</f>
        <v>0</v>
      </c>
      <c r="BG67" s="1" t="e">
        <f>主桁!BA23*1000</f>
        <v>#REF!</v>
      </c>
      <c r="BH67" s="1">
        <f t="shared" si="22"/>
        <v>93.496024859456455</v>
      </c>
      <c r="BI67" s="1" t="e">
        <f t="shared" si="23"/>
        <v>#REF!</v>
      </c>
      <c r="BJ67" s="2">
        <f>(Y67-機体重量!$Q$6)^2+(Z67-機体重量!$R$6)^2</f>
        <v>5.4950777486569501E-4</v>
      </c>
      <c r="BK67" s="2">
        <f>(Z67-機体重量!$R$6)^2</f>
        <v>3.8816156979940122E-4</v>
      </c>
      <c r="BL67" s="222">
        <f>(Y67-機体重量!$Q$6)^2</f>
        <v>1.6134620506629379E-4</v>
      </c>
    </row>
    <row r="68" spans="2:64">
      <c r="B68" s="104">
        <v>17</v>
      </c>
      <c r="C68" s="1">
        <f t="shared" si="26"/>
        <v>4.0000000000000009</v>
      </c>
      <c r="D68" s="1">
        <f t="shared" si="14"/>
        <v>830</v>
      </c>
      <c r="E68" s="21">
        <v>0.2</v>
      </c>
      <c r="F68" s="21" t="str">
        <f t="shared" si="25"/>
        <v>1st</v>
      </c>
      <c r="G68" s="4" t="str">
        <f t="shared" si="0"/>
        <v>1番</v>
      </c>
      <c r="H68" s="283" t="s">
        <v>1411</v>
      </c>
      <c r="I68" s="65">
        <f t="shared" si="17"/>
        <v>101.10999999999997</v>
      </c>
      <c r="J68" s="1">
        <f t="shared" si="18"/>
        <v>101.08269999999999</v>
      </c>
      <c r="K68" s="1">
        <f t="shared" si="1"/>
        <v>0.35</v>
      </c>
      <c r="L68" s="212"/>
      <c r="M68" s="65" t="str">
        <f t="shared" si="2"/>
        <v>QX0023</v>
      </c>
      <c r="N68" s="1">
        <f t="shared" si="19"/>
        <v>100</v>
      </c>
      <c r="O68" s="1" t="str">
        <f t="shared" si="3"/>
        <v>QX0023</v>
      </c>
      <c r="P68" s="1">
        <f t="shared" si="4"/>
        <v>0</v>
      </c>
      <c r="Q68" s="1">
        <f t="shared" si="5"/>
        <v>0.29049999999999998</v>
      </c>
      <c r="R68" s="1">
        <f t="shared" si="6"/>
        <v>-0.53949999999999998</v>
      </c>
      <c r="S68" s="1">
        <f t="shared" si="20"/>
        <v>3.2000000000000006</v>
      </c>
      <c r="T68" s="1">
        <f t="shared" si="21"/>
        <v>0</v>
      </c>
      <c r="U68" s="1">
        <f t="shared" si="7"/>
        <v>2</v>
      </c>
      <c r="V68" s="7">
        <f t="shared" si="8"/>
        <v>0</v>
      </c>
      <c r="W68" s="216"/>
      <c r="X68" s="79"/>
      <c r="Y68" s="79"/>
      <c r="Z68" s="79"/>
      <c r="AA68" s="79"/>
      <c r="AB68" s="79"/>
      <c r="AC68" s="217"/>
      <c r="AD68" s="79"/>
      <c r="AE68" s="79"/>
      <c r="AF68" s="216"/>
      <c r="AG68" s="79"/>
      <c r="AH68" s="79"/>
      <c r="AI68" s="79"/>
      <c r="AJ68" s="79"/>
      <c r="AK68" s="79"/>
      <c r="AL68" s="79"/>
      <c r="AM68" s="79"/>
      <c r="AN68" s="79"/>
      <c r="AO68" s="79"/>
      <c r="AP68" s="79"/>
      <c r="AQ68" s="79"/>
      <c r="AR68" s="79"/>
      <c r="AS68" s="79"/>
      <c r="AT68" s="79">
        <f t="shared" si="9"/>
        <v>6.544549999999999E-2</v>
      </c>
      <c r="AU68" s="79">
        <f t="shared" si="10"/>
        <v>1.7014999999999998</v>
      </c>
      <c r="AV68" s="79">
        <f t="shared" si="11"/>
        <v>0.81026249999999989</v>
      </c>
      <c r="AW68" s="79">
        <f t="shared" si="15"/>
        <v>0.63806249999999998</v>
      </c>
      <c r="AX68" s="212">
        <f t="shared" si="16"/>
        <v>0.34029999999999999</v>
      </c>
      <c r="AY68" s="65">
        <f>AT68*$X$4*パラメータ!$D$23</f>
        <v>21.597014999999995</v>
      </c>
      <c r="AZ68" s="1">
        <f>AV68*$X$5*E68*パラメータ!$D$28</f>
        <v>27.548924999999997</v>
      </c>
      <c r="BA68" s="1">
        <f>SUMPRODUCT($AC$4:$AC$10,$AD$4:$AD$10)*E68*パラメータ!$D$26*10^-3</f>
        <v>12.75</v>
      </c>
      <c r="BB68" s="1">
        <f>(AW68+AX68)*$X$6*$X$4*パラメータ!$D$21*10^-3</f>
        <v>6.603946875000001</v>
      </c>
      <c r="BC68" s="1">
        <f>($X$8*$X$9*パラメータ!$D$21+0.5*$X$8^2*SIN(RADIANS($X$10))*パラメータ!$D$24)*E68*10^-3</f>
        <v>3.3081478802897957</v>
      </c>
      <c r="BD68" s="1">
        <f t="shared" si="12"/>
        <v>17.014999999999997</v>
      </c>
      <c r="BE68" s="1">
        <f t="shared" si="13"/>
        <v>4</v>
      </c>
      <c r="BF68" s="1">
        <f>IF(G68="端リブ",AT68*$X$13*パラメータ!$D$21*2,0)</f>
        <v>0</v>
      </c>
      <c r="BG68" s="1" t="e">
        <f>主桁!BA24*1000</f>
        <v>#REF!</v>
      </c>
      <c r="BH68" s="1">
        <f t="shared" si="22"/>
        <v>92.823034755289797</v>
      </c>
      <c r="BI68" s="1" t="e">
        <f t="shared" si="23"/>
        <v>#REF!</v>
      </c>
      <c r="BJ68" s="2">
        <f>(Y68-機体重量!$Q$6)^2+(Z68-機体重量!$R$6)^2</f>
        <v>5.4950777486569501E-4</v>
      </c>
      <c r="BK68" s="2">
        <f>(Z68-機体重量!$R$6)^2</f>
        <v>3.8816156979940122E-4</v>
      </c>
      <c r="BL68" s="222">
        <f>(Y68-機体重量!$Q$6)^2</f>
        <v>1.6134620506629379E-4</v>
      </c>
    </row>
    <row r="69" spans="2:64">
      <c r="B69" s="28">
        <v>18</v>
      </c>
      <c r="C69" s="1">
        <f t="shared" si="26"/>
        <v>4.2000000000000011</v>
      </c>
      <c r="D69" s="1">
        <f t="shared" si="14"/>
        <v>821.66666666666663</v>
      </c>
      <c r="E69" s="21">
        <v>0.2</v>
      </c>
      <c r="F69" s="21" t="str">
        <f t="shared" si="25"/>
        <v>1st</v>
      </c>
      <c r="G69" s="4" t="str">
        <f t="shared" si="0"/>
        <v>1番</v>
      </c>
      <c r="H69" s="283" t="s">
        <v>1411</v>
      </c>
      <c r="I69" s="65">
        <f t="shared" si="17"/>
        <v>99.509999999999962</v>
      </c>
      <c r="J69" s="1">
        <f t="shared" si="18"/>
        <v>99.449099999999987</v>
      </c>
      <c r="K69" s="1">
        <f t="shared" si="1"/>
        <v>0.35</v>
      </c>
      <c r="L69" s="212"/>
      <c r="M69" s="65" t="str">
        <f t="shared" si="2"/>
        <v>QX0023</v>
      </c>
      <c r="N69" s="1">
        <f t="shared" si="19"/>
        <v>100</v>
      </c>
      <c r="O69" s="1" t="str">
        <f t="shared" si="3"/>
        <v>QX0023</v>
      </c>
      <c r="P69" s="1">
        <f t="shared" si="4"/>
        <v>0</v>
      </c>
      <c r="Q69" s="1">
        <f t="shared" si="5"/>
        <v>0.2875833333333333</v>
      </c>
      <c r="R69" s="1">
        <f t="shared" si="6"/>
        <v>-0.53408333333333335</v>
      </c>
      <c r="S69" s="1">
        <f t="shared" si="20"/>
        <v>3.4000000000000008</v>
      </c>
      <c r="T69" s="1">
        <f t="shared" si="21"/>
        <v>0</v>
      </c>
      <c r="U69" s="1">
        <f t="shared" si="7"/>
        <v>2</v>
      </c>
      <c r="V69" s="7">
        <f t="shared" si="8"/>
        <v>0</v>
      </c>
      <c r="W69" s="216"/>
      <c r="X69" s="79"/>
      <c r="Y69" s="79"/>
      <c r="Z69" s="79"/>
      <c r="AA69" s="79"/>
      <c r="AB69" s="79"/>
      <c r="AC69" s="217"/>
      <c r="AD69" s="79"/>
      <c r="AE69" s="79"/>
      <c r="AF69" s="216"/>
      <c r="AG69" s="79"/>
      <c r="AH69" s="79"/>
      <c r="AI69" s="79"/>
      <c r="AJ69" s="79"/>
      <c r="AK69" s="79"/>
      <c r="AL69" s="79"/>
      <c r="AM69" s="79"/>
      <c r="AN69" s="79"/>
      <c r="AO69" s="79"/>
      <c r="AP69" s="79"/>
      <c r="AQ69" s="79"/>
      <c r="AR69" s="79"/>
      <c r="AS69" s="79"/>
      <c r="AT69" s="79">
        <f t="shared" si="9"/>
        <v>6.4137930555555556E-2</v>
      </c>
      <c r="AU69" s="79">
        <f t="shared" si="10"/>
        <v>1.6844166666666665</v>
      </c>
      <c r="AV69" s="79">
        <f t="shared" si="11"/>
        <v>0.81026249999999989</v>
      </c>
      <c r="AW69" s="79">
        <f t="shared" si="15"/>
        <v>0.63165624999999992</v>
      </c>
      <c r="AX69" s="212">
        <f t="shared" si="16"/>
        <v>0.33688333333333331</v>
      </c>
      <c r="AY69" s="65">
        <f>AT69*$X$4*パラメータ!$D$23</f>
        <v>21.165517083333334</v>
      </c>
      <c r="AZ69" s="1">
        <f>AV69*$X$5*E69*パラメータ!$D$28</f>
        <v>27.548924999999997</v>
      </c>
      <c r="BA69" s="1">
        <f>SUMPRODUCT($AC$4:$AC$10,$AD$4:$AD$10)*E69*パラメータ!$D$26*10^-3</f>
        <v>12.75</v>
      </c>
      <c r="BB69" s="1">
        <f>(AW69+AX69)*$X$6*$X$4*パラメータ!$D$21*10^-3</f>
        <v>6.5376421874999995</v>
      </c>
      <c r="BC69" s="1">
        <f>($X$8*$X$9*パラメータ!$D$21+0.5*$X$8^2*SIN(RADIANS($X$10))*パラメータ!$D$24)*E69*10^-3</f>
        <v>3.3081478802897957</v>
      </c>
      <c r="BD69" s="1">
        <f t="shared" si="12"/>
        <v>16.844166666666666</v>
      </c>
      <c r="BE69" s="1">
        <f t="shared" si="13"/>
        <v>4</v>
      </c>
      <c r="BF69" s="1">
        <f>IF(G69="端リブ",AT69*$X$13*パラメータ!$D$21*2,0)</f>
        <v>0</v>
      </c>
      <c r="BG69" s="1" t="e">
        <f>主桁!BA25*1000</f>
        <v>#REF!</v>
      </c>
      <c r="BH69" s="1">
        <f t="shared" si="22"/>
        <v>92.154398817789797</v>
      </c>
      <c r="BI69" s="1" t="e">
        <f t="shared" si="23"/>
        <v>#REF!</v>
      </c>
      <c r="BJ69" s="2">
        <f>(Y69-機体重量!$Q$6)^2+(Z69-機体重量!$R$6)^2</f>
        <v>5.4950777486569501E-4</v>
      </c>
      <c r="BK69" s="2">
        <f>(Z69-機体重量!$R$6)^2</f>
        <v>3.8816156979940122E-4</v>
      </c>
      <c r="BL69" s="222">
        <f>(Y69-機体重量!$Q$6)^2</f>
        <v>1.6134620506629379E-4</v>
      </c>
    </row>
    <row r="70" spans="2:64">
      <c r="B70" s="104">
        <v>19</v>
      </c>
      <c r="C70" s="1">
        <f t="shared" si="26"/>
        <v>4.4000000000000012</v>
      </c>
      <c r="D70" s="1">
        <f t="shared" si="14"/>
        <v>813.33333333333326</v>
      </c>
      <c r="E70" s="21">
        <v>0.2</v>
      </c>
      <c r="F70" s="21" t="str">
        <f t="shared" si="25"/>
        <v>1st</v>
      </c>
      <c r="G70" s="4" t="str">
        <f t="shared" si="0"/>
        <v>1番</v>
      </c>
      <c r="H70" s="283" t="s">
        <v>1411</v>
      </c>
      <c r="I70" s="65">
        <f t="shared" si="17"/>
        <v>97.909999999999968</v>
      </c>
      <c r="J70" s="1">
        <f t="shared" si="18"/>
        <v>97.815499999999986</v>
      </c>
      <c r="K70" s="1">
        <f t="shared" si="1"/>
        <v>0.35</v>
      </c>
      <c r="L70" s="212"/>
      <c r="M70" s="65" t="str">
        <f t="shared" si="2"/>
        <v>QX0023</v>
      </c>
      <c r="N70" s="1">
        <f t="shared" si="19"/>
        <v>100</v>
      </c>
      <c r="O70" s="1" t="str">
        <f t="shared" si="3"/>
        <v>QX0023</v>
      </c>
      <c r="P70" s="1">
        <f t="shared" si="4"/>
        <v>0</v>
      </c>
      <c r="Q70" s="1">
        <f t="shared" si="5"/>
        <v>0.28466666666666662</v>
      </c>
      <c r="R70" s="1">
        <f t="shared" si="6"/>
        <v>-0.52866666666666662</v>
      </c>
      <c r="S70" s="1">
        <f t="shared" si="20"/>
        <v>3.600000000000001</v>
      </c>
      <c r="T70" s="1">
        <f t="shared" si="21"/>
        <v>0</v>
      </c>
      <c r="U70" s="1">
        <f t="shared" si="7"/>
        <v>2</v>
      </c>
      <c r="V70" s="7">
        <f t="shared" si="8"/>
        <v>0</v>
      </c>
      <c r="W70" s="216"/>
      <c r="X70" s="79"/>
      <c r="Y70" s="79"/>
      <c r="Z70" s="79"/>
      <c r="AA70" s="79"/>
      <c r="AB70" s="79"/>
      <c r="AC70" s="217"/>
      <c r="AD70" s="79"/>
      <c r="AE70" s="79"/>
      <c r="AF70" s="216"/>
      <c r="AG70" s="79"/>
      <c r="AH70" s="79"/>
      <c r="AI70" s="79"/>
      <c r="AJ70" s="79"/>
      <c r="AK70" s="79"/>
      <c r="AL70" s="79"/>
      <c r="AM70" s="79"/>
      <c r="AN70" s="79"/>
      <c r="AO70" s="79"/>
      <c r="AP70" s="79"/>
      <c r="AQ70" s="79"/>
      <c r="AR70" s="79"/>
      <c r="AS70" s="79"/>
      <c r="AT70" s="79">
        <f t="shared" si="9"/>
        <v>6.2843555555555541E-2</v>
      </c>
      <c r="AU70" s="79">
        <f t="shared" si="10"/>
        <v>1.6673333333333331</v>
      </c>
      <c r="AV70" s="79">
        <f t="shared" si="11"/>
        <v>0.81026249999999989</v>
      </c>
      <c r="AW70" s="79">
        <f t="shared" si="15"/>
        <v>0.62524999999999986</v>
      </c>
      <c r="AX70" s="212">
        <f t="shared" si="16"/>
        <v>0.33346666666666663</v>
      </c>
      <c r="AY70" s="65">
        <f>AT70*$X$4*パラメータ!$D$23</f>
        <v>20.738373333333328</v>
      </c>
      <c r="AZ70" s="1">
        <f>AV70*$X$5*E70*パラメータ!$D$28</f>
        <v>27.548924999999997</v>
      </c>
      <c r="BA70" s="1">
        <f>SUMPRODUCT($AC$4:$AC$10,$AD$4:$AD$10)*E70*パラメータ!$D$26*10^-3</f>
        <v>12.75</v>
      </c>
      <c r="BB70" s="1">
        <f>(AW70+AX70)*$X$6*$X$4*パラメータ!$D$21*10^-3</f>
        <v>6.4713374999999997</v>
      </c>
      <c r="BC70" s="1">
        <f>($X$8*$X$9*パラメータ!$D$21+0.5*$X$8^2*SIN(RADIANS($X$10))*パラメータ!$D$24)*E70*10^-3</f>
        <v>3.3081478802897957</v>
      </c>
      <c r="BD70" s="1">
        <f t="shared" si="12"/>
        <v>16.673333333333332</v>
      </c>
      <c r="BE70" s="1">
        <f t="shared" si="13"/>
        <v>4</v>
      </c>
      <c r="BF70" s="1">
        <f>IF(G70="端リブ",AT70*$X$13*パラメータ!$D$21*2,0)</f>
        <v>0</v>
      </c>
      <c r="BG70" s="1" t="e">
        <f>主桁!BA26*1000</f>
        <v>#REF!</v>
      </c>
      <c r="BH70" s="1">
        <f t="shared" si="22"/>
        <v>91.490117046956456</v>
      </c>
      <c r="BI70" s="1" t="e">
        <f t="shared" si="23"/>
        <v>#REF!</v>
      </c>
      <c r="BJ70" s="2">
        <f>(Y70-機体重量!$Q$6)^2+(Z70-機体重量!$R$6)^2</f>
        <v>5.4950777486569501E-4</v>
      </c>
      <c r="BK70" s="2">
        <f>(Z70-機体重量!$R$6)^2</f>
        <v>3.8816156979940122E-4</v>
      </c>
      <c r="BL70" s="222">
        <f>(Y70-機体重量!$Q$6)^2</f>
        <v>1.6134620506629379E-4</v>
      </c>
    </row>
    <row r="71" spans="2:64">
      <c r="B71" s="28">
        <v>20</v>
      </c>
      <c r="C71" s="1">
        <f t="shared" si="26"/>
        <v>4.6000000000000014</v>
      </c>
      <c r="D71" s="1">
        <f t="shared" si="14"/>
        <v>804.99999999999989</v>
      </c>
      <c r="E71" s="21">
        <v>0.15</v>
      </c>
      <c r="F71" s="21" t="s">
        <v>912</v>
      </c>
      <c r="G71" s="4" t="str">
        <f t="shared" si="0"/>
        <v>1番</v>
      </c>
      <c r="H71" s="283" t="s">
        <v>1411</v>
      </c>
      <c r="I71" s="65">
        <f t="shared" si="17"/>
        <v>96.309999999999974</v>
      </c>
      <c r="J71" s="1">
        <f t="shared" si="18"/>
        <v>96.181899999999985</v>
      </c>
      <c r="K71" s="1">
        <f t="shared" si="1"/>
        <v>0.35</v>
      </c>
      <c r="L71" s="212"/>
      <c r="M71" s="65" t="str">
        <f t="shared" si="2"/>
        <v>QX0023</v>
      </c>
      <c r="N71" s="1">
        <f t="shared" si="19"/>
        <v>100</v>
      </c>
      <c r="O71" s="1" t="str">
        <f t="shared" si="3"/>
        <v>QX0023</v>
      </c>
      <c r="P71" s="1">
        <f t="shared" si="4"/>
        <v>0</v>
      </c>
      <c r="Q71" s="1">
        <f t="shared" si="5"/>
        <v>0.28174999999999994</v>
      </c>
      <c r="R71" s="1">
        <f t="shared" si="6"/>
        <v>-0.52324999999999999</v>
      </c>
      <c r="S71" s="1">
        <f t="shared" si="20"/>
        <v>3.8000000000000012</v>
      </c>
      <c r="T71" s="1">
        <f t="shared" si="21"/>
        <v>0</v>
      </c>
      <c r="U71" s="1">
        <f t="shared" si="7"/>
        <v>2</v>
      </c>
      <c r="V71" s="7">
        <f t="shared" si="8"/>
        <v>0</v>
      </c>
      <c r="W71" s="216"/>
      <c r="X71" s="79"/>
      <c r="Y71" s="79"/>
      <c r="Z71" s="79"/>
      <c r="AA71" s="79"/>
      <c r="AB71" s="79"/>
      <c r="AC71" s="217"/>
      <c r="AD71" s="79"/>
      <c r="AE71" s="79"/>
      <c r="AF71" s="216"/>
      <c r="AG71" s="79"/>
      <c r="AH71" s="79"/>
      <c r="AI71" s="79"/>
      <c r="AJ71" s="79"/>
      <c r="AK71" s="79"/>
      <c r="AL71" s="79"/>
      <c r="AM71" s="79"/>
      <c r="AN71" s="79"/>
      <c r="AO71" s="79"/>
      <c r="AP71" s="79"/>
      <c r="AQ71" s="79"/>
      <c r="AR71" s="79"/>
      <c r="AS71" s="79"/>
      <c r="AT71" s="79">
        <f t="shared" si="9"/>
        <v>6.1562374999999989E-2</v>
      </c>
      <c r="AU71" s="79">
        <f t="shared" si="10"/>
        <v>1.6502499999999996</v>
      </c>
      <c r="AV71" s="79">
        <f t="shared" si="11"/>
        <v>0.81026249999999989</v>
      </c>
      <c r="AW71" s="79">
        <f t="shared" si="15"/>
        <v>0.6188437499999998</v>
      </c>
      <c r="AX71" s="212">
        <f t="shared" si="16"/>
        <v>0.33004999999999995</v>
      </c>
      <c r="AY71" s="65">
        <f>AT71*$X$4*パラメータ!$D$23</f>
        <v>20.315583749999998</v>
      </c>
      <c r="AZ71" s="1">
        <f>AV71*$X$5*E71*パラメータ!$D$28</f>
        <v>20.661693749999998</v>
      </c>
      <c r="BA71" s="1">
        <f>SUMPRODUCT($AC$4:$AC$10,$AD$4:$AD$10)*E71*パラメータ!$D$26*10^-3</f>
        <v>9.5625</v>
      </c>
      <c r="BB71" s="1">
        <f>(AW71+AX71)*$X$6*$X$4*パラメータ!$D$21*10^-3</f>
        <v>6.4050328124999991</v>
      </c>
      <c r="BC71" s="1">
        <f>($X$8*$X$9*パラメータ!$D$21+0.5*$X$8^2*SIN(RADIANS($X$10))*パラメータ!$D$24)*E71*10^-3</f>
        <v>2.4811109102173465</v>
      </c>
      <c r="BD71" s="1">
        <f t="shared" si="12"/>
        <v>16.502499999999994</v>
      </c>
      <c r="BE71" s="1">
        <f t="shared" si="13"/>
        <v>4</v>
      </c>
      <c r="BF71" s="1">
        <f>IF(G71="端リブ",AT71*$X$13*パラメータ!$D$21*2,0)</f>
        <v>0</v>
      </c>
      <c r="BG71" s="1" t="e">
        <f>主桁!BA27*1000</f>
        <v>#REF!</v>
      </c>
      <c r="BH71" s="1">
        <f t="shared" si="22"/>
        <v>79.928421222717333</v>
      </c>
      <c r="BI71" s="1" t="e">
        <f t="shared" si="23"/>
        <v>#REF!</v>
      </c>
      <c r="BJ71" s="2">
        <f>(Y71-機体重量!$Q$6)^2+(Z71-機体重量!$R$6)^2</f>
        <v>5.4950777486569501E-4</v>
      </c>
      <c r="BK71" s="2">
        <f>(Z71-機体重量!$R$6)^2</f>
        <v>3.8816156979940122E-4</v>
      </c>
      <c r="BL71" s="222">
        <f>(Y71-機体重量!$Q$6)^2</f>
        <v>1.6134620506629379E-4</v>
      </c>
    </row>
    <row r="72" spans="2:64">
      <c r="B72" s="104">
        <v>21</v>
      </c>
      <c r="C72" s="1">
        <f>C71+E71</f>
        <v>4.7500000000000018</v>
      </c>
      <c r="D72" s="1">
        <f t="shared" si="14"/>
        <v>798.75</v>
      </c>
      <c r="E72" s="21">
        <v>0.15</v>
      </c>
      <c r="F72" s="21" t="str">
        <f>IF(C72&lt;$N$7,"flat",IF(C72&lt;$N$8,"1st",IF(C72&lt;$N$9,"2nd",IF(C72&lt;$N$10,"3rd",IF(C72&lt;$N$11,"4th",IF(C72&lt;$N$12,"5th","6th"))))))</f>
        <v>1st</v>
      </c>
      <c r="G72" s="4" t="str">
        <f t="shared" si="0"/>
        <v>1番</v>
      </c>
      <c r="H72" s="283" t="s">
        <v>1411</v>
      </c>
      <c r="I72" s="65">
        <f t="shared" si="17"/>
        <v>95.109999999999957</v>
      </c>
      <c r="J72" s="1">
        <f t="shared" si="18"/>
        <v>94.956699999999984</v>
      </c>
      <c r="K72" s="1">
        <f t="shared" si="1"/>
        <v>0.35</v>
      </c>
      <c r="L72" s="212"/>
      <c r="M72" s="65" t="str">
        <f t="shared" si="2"/>
        <v>QX0023</v>
      </c>
      <c r="N72" s="1">
        <f t="shared" si="19"/>
        <v>100</v>
      </c>
      <c r="O72" s="1" t="str">
        <f t="shared" si="3"/>
        <v>QX0023</v>
      </c>
      <c r="P72" s="1">
        <f t="shared" si="4"/>
        <v>0</v>
      </c>
      <c r="Q72" s="1">
        <f t="shared" si="5"/>
        <v>0.27956249999999999</v>
      </c>
      <c r="R72" s="1">
        <f t="shared" si="6"/>
        <v>-0.51918749999999991</v>
      </c>
      <c r="S72" s="1">
        <f t="shared" si="20"/>
        <v>3.9500000000000011</v>
      </c>
      <c r="T72" s="1">
        <f t="shared" si="21"/>
        <v>0</v>
      </c>
      <c r="U72" s="1">
        <f t="shared" si="7"/>
        <v>2</v>
      </c>
      <c r="V72" s="7">
        <f t="shared" si="8"/>
        <v>0</v>
      </c>
      <c r="W72" s="216"/>
      <c r="X72" s="79"/>
      <c r="Y72" s="79"/>
      <c r="Z72" s="79"/>
      <c r="AA72" s="79"/>
      <c r="AB72" s="79"/>
      <c r="AC72" s="217"/>
      <c r="AD72" s="79"/>
      <c r="AE72" s="79"/>
      <c r="AF72" s="216"/>
      <c r="AG72" s="79"/>
      <c r="AH72" s="79"/>
      <c r="AI72" s="79"/>
      <c r="AJ72" s="79"/>
      <c r="AK72" s="79"/>
      <c r="AL72" s="79"/>
      <c r="AM72" s="79"/>
      <c r="AN72" s="79"/>
      <c r="AO72" s="79"/>
      <c r="AP72" s="79"/>
      <c r="AQ72" s="79"/>
      <c r="AR72" s="79"/>
      <c r="AS72" s="79"/>
      <c r="AT72" s="79">
        <f t="shared" si="9"/>
        <v>6.0610148437499997E-2</v>
      </c>
      <c r="AU72" s="79">
        <f t="shared" si="10"/>
        <v>1.6374374999999999</v>
      </c>
      <c r="AV72" s="79">
        <f t="shared" si="11"/>
        <v>0.81026249999999989</v>
      </c>
      <c r="AW72" s="79">
        <f t="shared" si="15"/>
        <v>0.61403906249999995</v>
      </c>
      <c r="AX72" s="212">
        <f t="shared" si="16"/>
        <v>0.32748749999999999</v>
      </c>
      <c r="AY72" s="65">
        <f>AT72*$X$4*パラメータ!$D$23</f>
        <v>20.001348984374999</v>
      </c>
      <c r="AZ72" s="1">
        <f>AV72*$X$5*E72*パラメータ!$D$28</f>
        <v>20.661693749999998</v>
      </c>
      <c r="BA72" s="1">
        <f>SUMPRODUCT($AC$4:$AC$10,$AD$4:$AD$10)*E72*パラメータ!$D$26*10^-3</f>
        <v>9.5625</v>
      </c>
      <c r="BB72" s="1">
        <f>(AW72+AX72)*$X$6*$X$4*パラメータ!$D$21*10^-3</f>
        <v>6.3553042968749995</v>
      </c>
      <c r="BC72" s="1">
        <f>($X$8*$X$9*パラメータ!$D$21+0.5*$X$8^2*SIN(RADIANS($X$10))*パラメータ!$D$24)*E72*10^-3</f>
        <v>2.4811109102173465</v>
      </c>
      <c r="BD72" s="1">
        <f t="shared" si="12"/>
        <v>16.374375000000001</v>
      </c>
      <c r="BE72" s="1">
        <f t="shared" si="13"/>
        <v>4</v>
      </c>
      <c r="BF72" s="1">
        <f>IF(G72="端リブ",AT72*$X$13*パラメータ!$D$21*2,0)</f>
        <v>0</v>
      </c>
      <c r="BG72" s="1" t="e">
        <f>主桁!BA28*1000</f>
        <v>#REF!</v>
      </c>
      <c r="BH72" s="1">
        <f t="shared" si="22"/>
        <v>79.436332941467342</v>
      </c>
      <c r="BI72" s="1" t="e">
        <f t="shared" si="23"/>
        <v>#REF!</v>
      </c>
      <c r="BJ72" s="2">
        <f>(Y72-機体重量!$Q$6)^2+(Z72-機体重量!$R$6)^2</f>
        <v>5.4950777486569501E-4</v>
      </c>
      <c r="BK72" s="2">
        <f>(Z72-機体重量!$R$6)^2</f>
        <v>3.8816156979940122E-4</v>
      </c>
      <c r="BL72" s="222">
        <f>(Y72-機体重量!$Q$6)^2</f>
        <v>1.6134620506629379E-4</v>
      </c>
    </row>
    <row r="73" spans="2:64">
      <c r="B73" s="28">
        <v>22</v>
      </c>
      <c r="C73" s="1">
        <f t="shared" si="26"/>
        <v>4.9000000000000021</v>
      </c>
      <c r="D73" s="1">
        <f t="shared" si="14"/>
        <v>792.5</v>
      </c>
      <c r="E73" s="21">
        <v>0.15</v>
      </c>
      <c r="F73" s="21" t="str">
        <f>IF(C73&lt;$N$7,"flat",IF(C73&lt;$N$8,"1st",IF(C73&lt;$N$9,"2nd",IF(C73&lt;$N$10,"3rd",IF(C73&lt;$N$11,"4th",IF(C73&lt;$N$12,"5th","6th"))))))</f>
        <v>1st</v>
      </c>
      <c r="G73" s="4" t="s">
        <v>1407</v>
      </c>
      <c r="H73" s="283" t="s">
        <v>1411</v>
      </c>
      <c r="I73" s="65" t="b">
        <f t="shared" si="17"/>
        <v>0</v>
      </c>
      <c r="J73" s="1" t="b">
        <f t="shared" si="18"/>
        <v>0</v>
      </c>
      <c r="K73" s="1">
        <f t="shared" si="1"/>
        <v>0.35</v>
      </c>
      <c r="L73" s="212"/>
      <c r="M73" s="65" t="str">
        <f t="shared" si="2"/>
        <v>QX0023</v>
      </c>
      <c r="N73" s="1">
        <f t="shared" si="19"/>
        <v>100</v>
      </c>
      <c r="O73" s="1" t="str">
        <f t="shared" si="3"/>
        <v>QX0023</v>
      </c>
      <c r="P73" s="1">
        <f t="shared" si="4"/>
        <v>0</v>
      </c>
      <c r="Q73" s="1">
        <f t="shared" si="5"/>
        <v>0.27737499999999998</v>
      </c>
      <c r="R73" s="1">
        <f t="shared" si="6"/>
        <v>-0.51512500000000006</v>
      </c>
      <c r="S73" s="1">
        <f t="shared" si="20"/>
        <v>4.1000000000000014</v>
      </c>
      <c r="T73" s="1">
        <f t="shared" si="21"/>
        <v>0</v>
      </c>
      <c r="U73" s="1">
        <f t="shared" si="7"/>
        <v>2</v>
      </c>
      <c r="V73" s="7">
        <f t="shared" si="8"/>
        <v>0</v>
      </c>
      <c r="W73" s="216"/>
      <c r="X73" s="79"/>
      <c r="Y73" s="79"/>
      <c r="Z73" s="79"/>
      <c r="AA73" s="79"/>
      <c r="AB73" s="79"/>
      <c r="AC73" s="217"/>
      <c r="AD73" s="79"/>
      <c r="AE73" s="79"/>
      <c r="AF73" s="216"/>
      <c r="AG73" s="79"/>
      <c r="AH73" s="79"/>
      <c r="AI73" s="79"/>
      <c r="AJ73" s="79"/>
      <c r="AK73" s="79"/>
      <c r="AL73" s="79"/>
      <c r="AM73" s="79"/>
      <c r="AN73" s="79"/>
      <c r="AO73" s="79"/>
      <c r="AP73" s="79"/>
      <c r="AQ73" s="79"/>
      <c r="AR73" s="79"/>
      <c r="AS73" s="79"/>
      <c r="AT73" s="79">
        <f t="shared" si="9"/>
        <v>5.9665343750000002E-2</v>
      </c>
      <c r="AU73" s="79">
        <f t="shared" si="10"/>
        <v>1.6246249999999998</v>
      </c>
      <c r="AV73" s="79">
        <f t="shared" si="11"/>
        <v>0.81026249999999989</v>
      </c>
      <c r="AW73" s="79">
        <f t="shared" si="15"/>
        <v>0.60923437499999988</v>
      </c>
      <c r="AX73" s="212">
        <f t="shared" si="16"/>
        <v>0.32492499999999996</v>
      </c>
      <c r="AY73" s="65">
        <f>AT73*$X$4*パラメータ!$D$23</f>
        <v>19.689563437499999</v>
      </c>
      <c r="AZ73" s="1">
        <f>AV73*$X$5*E73*パラメータ!$D$28</f>
        <v>20.661693749999998</v>
      </c>
      <c r="BA73" s="1">
        <f>SUMPRODUCT($AC$4:$AC$10,$AD$4:$AD$10)*E73*パラメータ!$D$26*10^-3</f>
        <v>9.5625</v>
      </c>
      <c r="BB73" s="1">
        <f>(AW73+AX73)*$X$6*$X$4*パラメータ!$D$21*10^-3</f>
        <v>6.30557578125</v>
      </c>
      <c r="BC73" s="1">
        <f>($X$8*$X$9*パラメータ!$D$21+0.5*$X$8^2*SIN(RADIANS($X$10))*パラメータ!$D$24)*E73*10^-3</f>
        <v>2.4811109102173465</v>
      </c>
      <c r="BD73" s="1">
        <f t="shared" si="12"/>
        <v>16.246249999999996</v>
      </c>
      <c r="BE73" s="1">
        <f t="shared" si="13"/>
        <v>4</v>
      </c>
      <c r="BF73" s="1">
        <f>IF(G73="端リブ",AT73*$X$13*パラメータ!$D$21*2,0)</f>
        <v>89.498015625000008</v>
      </c>
      <c r="BG73" s="1" t="e">
        <f>主桁!BA29*1000</f>
        <v>#REF!</v>
      </c>
      <c r="BH73" s="1">
        <f t="shared" si="22"/>
        <v>168.44470950396735</v>
      </c>
      <c r="BI73" s="1" t="e">
        <f t="shared" si="23"/>
        <v>#REF!</v>
      </c>
      <c r="BJ73" s="2">
        <f>(Y73-機体重量!$Q$6)^2+(Z73-機体重量!$R$6)^2</f>
        <v>5.4950777486569501E-4</v>
      </c>
      <c r="BK73" s="2">
        <f>(Z73-機体重量!$R$6)^2</f>
        <v>3.8816156979940122E-4</v>
      </c>
      <c r="BL73" s="222">
        <f>(Y73-機体重量!$Q$6)^2</f>
        <v>1.6134620506629379E-4</v>
      </c>
    </row>
    <row r="74" spans="2:64">
      <c r="B74" s="104">
        <v>23</v>
      </c>
      <c r="C74" s="1">
        <f t="shared" si="26"/>
        <v>5.0500000000000025</v>
      </c>
      <c r="D74" s="1">
        <f t="shared" si="14"/>
        <v>786.24999999999989</v>
      </c>
      <c r="E74" s="21">
        <v>0.15</v>
      </c>
      <c r="F74" s="21" t="s">
        <v>912</v>
      </c>
      <c r="G74" s="4" t="str">
        <f t="shared" si="0"/>
        <v>2番</v>
      </c>
      <c r="H74" s="283" t="s">
        <v>1411</v>
      </c>
      <c r="I74" s="65">
        <f t="shared" si="17"/>
        <v>100.29799999999997</v>
      </c>
      <c r="J74" s="1">
        <f t="shared" si="18"/>
        <v>99.669499999999957</v>
      </c>
      <c r="K74" s="1">
        <f t="shared" si="1"/>
        <v>0.35</v>
      </c>
      <c r="L74" s="212"/>
      <c r="M74" s="65" t="str">
        <f t="shared" si="2"/>
        <v>QX0023</v>
      </c>
      <c r="N74" s="1">
        <f t="shared" si="19"/>
        <v>100</v>
      </c>
      <c r="O74" s="1" t="str">
        <f t="shared" si="3"/>
        <v>QX0023</v>
      </c>
      <c r="P74" s="1">
        <f t="shared" si="4"/>
        <v>0</v>
      </c>
      <c r="Q74" s="1">
        <f t="shared" si="5"/>
        <v>0.27518749999999992</v>
      </c>
      <c r="R74" s="1">
        <f t="shared" si="6"/>
        <v>-0.51106249999999998</v>
      </c>
      <c r="S74" s="1">
        <f t="shared" si="20"/>
        <v>4.2500000000000018</v>
      </c>
      <c r="T74" s="1">
        <f t="shared" si="21"/>
        <v>0</v>
      </c>
      <c r="U74" s="1">
        <f t="shared" si="7"/>
        <v>2</v>
      </c>
      <c r="V74" s="7">
        <f t="shared" si="8"/>
        <v>0</v>
      </c>
      <c r="W74" s="216"/>
      <c r="X74" s="79"/>
      <c r="Y74" s="79"/>
      <c r="Z74" s="79"/>
      <c r="AA74" s="79"/>
      <c r="AB74" s="79"/>
      <c r="AC74" s="217"/>
      <c r="AD74" s="79"/>
      <c r="AE74" s="79"/>
      <c r="AF74" s="216"/>
      <c r="AG74" s="79"/>
      <c r="AH74" s="79"/>
      <c r="AI74" s="79"/>
      <c r="AJ74" s="79"/>
      <c r="AK74" s="79"/>
      <c r="AL74" s="79"/>
      <c r="AM74" s="79"/>
      <c r="AN74" s="79"/>
      <c r="AO74" s="79"/>
      <c r="AP74" s="79"/>
      <c r="AQ74" s="79"/>
      <c r="AR74" s="79"/>
      <c r="AS74" s="79"/>
      <c r="AT74" s="79">
        <f t="shared" si="9"/>
        <v>5.8727960937499983E-2</v>
      </c>
      <c r="AU74" s="79">
        <f t="shared" si="10"/>
        <v>1.6118124999999996</v>
      </c>
      <c r="AV74" s="79">
        <f t="shared" si="11"/>
        <v>0.81026249999999989</v>
      </c>
      <c r="AW74" s="79">
        <f t="shared" si="15"/>
        <v>0.60442968749999992</v>
      </c>
      <c r="AX74" s="212">
        <f t="shared" si="16"/>
        <v>0.32236249999999994</v>
      </c>
      <c r="AY74" s="65">
        <f>AT74*$X$4*パラメータ!$D$23</f>
        <v>19.380227109374992</v>
      </c>
      <c r="AZ74" s="1">
        <f>AV74*$X$5*E74*パラメータ!$D$28</f>
        <v>20.661693749999998</v>
      </c>
      <c r="BA74" s="1">
        <f>SUMPRODUCT($AC$4:$AC$10,$AD$4:$AD$10)*E74*パラメータ!$D$26*10^-3</f>
        <v>9.5625</v>
      </c>
      <c r="BB74" s="1">
        <f>(AW74+AX74)*$X$6*$X$4*パラメータ!$D$21*10^-3</f>
        <v>6.2558472656249986</v>
      </c>
      <c r="BC74" s="1">
        <f>($X$8*$X$9*パラメータ!$D$21+0.5*$X$8^2*SIN(RADIANS($X$10))*パラメータ!$D$24)*E74*10^-3</f>
        <v>2.4811109102173465</v>
      </c>
      <c r="BD74" s="1">
        <f t="shared" si="12"/>
        <v>16.118124999999996</v>
      </c>
      <c r="BE74" s="1">
        <f t="shared" si="13"/>
        <v>4</v>
      </c>
      <c r="BF74" s="1">
        <f>IF(G74="端リブ",AT74*$X$13*パラメータ!$D$21*2,0)</f>
        <v>0</v>
      </c>
      <c r="BG74" s="1" t="e">
        <f>主桁!BA30*1000</f>
        <v>#REF!</v>
      </c>
      <c r="BH74" s="1">
        <f t="shared" si="22"/>
        <v>78.459504035217336</v>
      </c>
      <c r="BI74" s="1" t="e">
        <f t="shared" si="23"/>
        <v>#REF!</v>
      </c>
      <c r="BJ74" s="2">
        <f>(Y74-機体重量!$Q$6)^2+(Z74-機体重量!$R$6)^2</f>
        <v>5.4950777486569501E-4</v>
      </c>
      <c r="BK74" s="2">
        <f>(Z74-機体重量!$R$6)^2</f>
        <v>3.8816156979940122E-4</v>
      </c>
      <c r="BL74" s="222">
        <f>(Y74-機体重量!$Q$6)^2</f>
        <v>1.6134620506629379E-4</v>
      </c>
    </row>
    <row r="75" spans="2:64">
      <c r="B75" s="28">
        <v>24</v>
      </c>
      <c r="C75" s="1">
        <f t="shared" si="26"/>
        <v>5.2000000000000028</v>
      </c>
      <c r="D75" s="1">
        <f t="shared" si="14"/>
        <v>779.99999999999989</v>
      </c>
      <c r="E75" s="21">
        <v>0.15</v>
      </c>
      <c r="F75" s="21" t="str">
        <f t="shared" ref="F75:F85" si="27">IF(C75&lt;$N$7,"flat",IF(C75&lt;$N$8,"1st",IF(C75&lt;$N$9,"2nd",IF(C75&lt;$N$10,"3rd",IF(C75&lt;$N$11,"4th",IF(C75&lt;$N$12,"5th","6th"))))))</f>
        <v>2nd</v>
      </c>
      <c r="G75" s="4" t="str">
        <f t="shared" si="0"/>
        <v>2番</v>
      </c>
      <c r="H75" s="283" t="s">
        <v>1412</v>
      </c>
      <c r="I75" s="65">
        <f t="shared" si="17"/>
        <v>99.097999999999985</v>
      </c>
      <c r="J75" s="1">
        <f t="shared" si="18"/>
        <v>98.451499999999953</v>
      </c>
      <c r="K75" s="1">
        <f t="shared" si="1"/>
        <v>0.35</v>
      </c>
      <c r="L75" s="212"/>
      <c r="M75" s="65" t="str">
        <f t="shared" si="2"/>
        <v>QX0023</v>
      </c>
      <c r="N75" s="1">
        <f t="shared" si="19"/>
        <v>100</v>
      </c>
      <c r="O75" s="1" t="str">
        <f t="shared" si="3"/>
        <v>QX0023</v>
      </c>
      <c r="P75" s="1">
        <f t="shared" si="4"/>
        <v>0</v>
      </c>
      <c r="Q75" s="1">
        <f t="shared" si="5"/>
        <v>0.27299999999999996</v>
      </c>
      <c r="R75" s="1">
        <f t="shared" si="6"/>
        <v>-0.5069999999999999</v>
      </c>
      <c r="S75" s="1">
        <f t="shared" si="20"/>
        <v>4.4000000000000021</v>
      </c>
      <c r="T75" s="1">
        <f t="shared" si="21"/>
        <v>0</v>
      </c>
      <c r="U75" s="1">
        <f t="shared" si="7"/>
        <v>2</v>
      </c>
      <c r="V75" s="7">
        <f t="shared" si="8"/>
        <v>0</v>
      </c>
      <c r="W75" s="216"/>
      <c r="X75" s="79"/>
      <c r="Y75" s="79"/>
      <c r="Z75" s="79"/>
      <c r="AA75" s="79"/>
      <c r="AB75" s="79"/>
      <c r="AC75" s="217"/>
      <c r="AD75" s="79"/>
      <c r="AE75" s="79"/>
      <c r="AF75" s="216"/>
      <c r="AG75" s="79"/>
      <c r="AH75" s="79"/>
      <c r="AI75" s="79"/>
      <c r="AJ75" s="79"/>
      <c r="AK75" s="79"/>
      <c r="AL75" s="79"/>
      <c r="AM75" s="79"/>
      <c r="AN75" s="79"/>
      <c r="AO75" s="79"/>
      <c r="AP75" s="79"/>
      <c r="AQ75" s="79"/>
      <c r="AR75" s="79"/>
      <c r="AS75" s="79"/>
      <c r="AT75" s="79">
        <f t="shared" si="9"/>
        <v>5.7797999999999981E-2</v>
      </c>
      <c r="AU75" s="79">
        <f t="shared" si="10"/>
        <v>1.5989999999999995</v>
      </c>
      <c r="AV75" s="79">
        <f t="shared" si="11"/>
        <v>0.81026249999999989</v>
      </c>
      <c r="AW75" s="79">
        <f t="shared" si="15"/>
        <v>0.59962499999999985</v>
      </c>
      <c r="AX75" s="212">
        <f t="shared" si="16"/>
        <v>0.31979999999999992</v>
      </c>
      <c r="AY75" s="65">
        <f>AT75*$X$4*パラメータ!$D$23</f>
        <v>19.073339999999995</v>
      </c>
      <c r="AZ75" s="1">
        <f>AV75*$X$5*E75*パラメータ!$D$28</f>
        <v>20.661693749999998</v>
      </c>
      <c r="BA75" s="1">
        <f>SUMPRODUCT($AC$4:$AC$10,$AD$4:$AD$10)*E75*パラメータ!$D$26*10^-3</f>
        <v>9.5625</v>
      </c>
      <c r="BB75" s="1">
        <f>(AW75+AX75)*$X$6*$X$4*パラメータ!$D$21*10^-3</f>
        <v>6.206118749999999</v>
      </c>
      <c r="BC75" s="1">
        <f>($X$8*$X$9*パラメータ!$D$21+0.5*$X$8^2*SIN(RADIANS($X$10))*パラメータ!$D$24)*E75*10^-3</f>
        <v>2.4811109102173465</v>
      </c>
      <c r="BD75" s="1">
        <f t="shared" si="12"/>
        <v>15.989999999999995</v>
      </c>
      <c r="BE75" s="1">
        <f t="shared" si="13"/>
        <v>4</v>
      </c>
      <c r="BF75" s="1">
        <f>IF(G75="端リブ",AT75*$X$13*パラメータ!$D$21*2,0)</f>
        <v>0</v>
      </c>
      <c r="BG75" s="1" t="e">
        <f>主桁!BA31*1000</f>
        <v>#REF!</v>
      </c>
      <c r="BH75" s="1">
        <f t="shared" si="22"/>
        <v>77.974763410217335</v>
      </c>
      <c r="BI75" s="1" t="e">
        <f t="shared" si="23"/>
        <v>#REF!</v>
      </c>
      <c r="BJ75" s="2">
        <f>(Y75-機体重量!$Q$6)^2+(Z75-機体重量!$R$6)^2</f>
        <v>5.4950777486569501E-4</v>
      </c>
      <c r="BK75" s="2">
        <f>(Z75-機体重量!$R$6)^2</f>
        <v>3.8816156979940122E-4</v>
      </c>
      <c r="BL75" s="222">
        <f>(Y75-機体重量!$Q$6)^2</f>
        <v>1.6134620506629379E-4</v>
      </c>
    </row>
    <row r="76" spans="2:64">
      <c r="B76" s="104">
        <v>25</v>
      </c>
      <c r="C76" s="1">
        <f t="shared" si="26"/>
        <v>5.3500000000000032</v>
      </c>
      <c r="D76" s="1">
        <f t="shared" si="14"/>
        <v>772.5</v>
      </c>
      <c r="E76" s="21">
        <v>0.15</v>
      </c>
      <c r="F76" s="21" t="str">
        <f t="shared" si="27"/>
        <v>2nd</v>
      </c>
      <c r="G76" s="4" t="str">
        <f t="shared" si="0"/>
        <v>2番</v>
      </c>
      <c r="H76" s="283" t="s">
        <v>1411</v>
      </c>
      <c r="I76" s="65">
        <f t="shared" si="17"/>
        <v>97.897999999999968</v>
      </c>
      <c r="J76" s="1">
        <f t="shared" si="18"/>
        <v>97.23349999999995</v>
      </c>
      <c r="K76" s="1">
        <f t="shared" si="1"/>
        <v>0.35</v>
      </c>
      <c r="L76" s="212"/>
      <c r="M76" s="65" t="str">
        <f t="shared" si="2"/>
        <v>QX0023</v>
      </c>
      <c r="N76" s="1">
        <f t="shared" si="19"/>
        <v>100</v>
      </c>
      <c r="O76" s="1" t="str">
        <f t="shared" si="3"/>
        <v>QX0023</v>
      </c>
      <c r="P76" s="1">
        <f t="shared" si="4"/>
        <v>0</v>
      </c>
      <c r="Q76" s="1">
        <f t="shared" si="5"/>
        <v>0.27037499999999998</v>
      </c>
      <c r="R76" s="1">
        <f t="shared" si="6"/>
        <v>-0.50212499999999993</v>
      </c>
      <c r="S76" s="1">
        <f t="shared" si="20"/>
        <v>4.5500000000000025</v>
      </c>
      <c r="T76" s="1">
        <f t="shared" si="21"/>
        <v>0</v>
      </c>
      <c r="U76" s="1">
        <f t="shared" si="7"/>
        <v>2</v>
      </c>
      <c r="V76" s="7">
        <f t="shared" si="8"/>
        <v>0</v>
      </c>
      <c r="W76" s="216"/>
      <c r="X76" s="79"/>
      <c r="Y76" s="79"/>
      <c r="Z76" s="79"/>
      <c r="AA76" s="79"/>
      <c r="AB76" s="79"/>
      <c r="AC76" s="217"/>
      <c r="AD76" s="79"/>
      <c r="AE76" s="79"/>
      <c r="AF76" s="216"/>
      <c r="AG76" s="79"/>
      <c r="AH76" s="79"/>
      <c r="AI76" s="79"/>
      <c r="AJ76" s="79"/>
      <c r="AK76" s="79"/>
      <c r="AL76" s="79"/>
      <c r="AM76" s="79"/>
      <c r="AN76" s="79"/>
      <c r="AO76" s="79"/>
      <c r="AP76" s="79"/>
      <c r="AQ76" s="79"/>
      <c r="AR76" s="79"/>
      <c r="AS76" s="79"/>
      <c r="AT76" s="79">
        <f t="shared" si="9"/>
        <v>5.6691843749999998E-2</v>
      </c>
      <c r="AU76" s="79">
        <f t="shared" si="10"/>
        <v>1.5836249999999998</v>
      </c>
      <c r="AV76" s="79">
        <f t="shared" si="11"/>
        <v>0.81026249999999989</v>
      </c>
      <c r="AW76" s="79">
        <f t="shared" si="15"/>
        <v>0.59385937499999997</v>
      </c>
      <c r="AX76" s="212">
        <f t="shared" si="16"/>
        <v>0.31672499999999998</v>
      </c>
      <c r="AY76" s="65">
        <f>AT76*$X$4*パラメータ!$D$23</f>
        <v>18.708308437500001</v>
      </c>
      <c r="AZ76" s="1">
        <f>AV76*$X$5*E76*パラメータ!$D$28</f>
        <v>20.661693749999998</v>
      </c>
      <c r="BA76" s="1">
        <f>SUMPRODUCT($AC$4:$AC$10,$AD$4:$AD$10)*E76*パラメータ!$D$26*10^-3</f>
        <v>9.5625</v>
      </c>
      <c r="BB76" s="1">
        <f>(AW76+AX76)*$X$6*$X$4*パラメータ!$D$21*10^-3</f>
        <v>6.1464445312500011</v>
      </c>
      <c r="BC76" s="1">
        <f>($X$8*$X$9*パラメータ!$D$21+0.5*$X$8^2*SIN(RADIANS($X$10))*パラメータ!$D$24)*E76*10^-3</f>
        <v>2.4811109102173465</v>
      </c>
      <c r="BD76" s="1">
        <f t="shared" si="12"/>
        <v>15.836249999999998</v>
      </c>
      <c r="BE76" s="1">
        <f t="shared" si="13"/>
        <v>4</v>
      </c>
      <c r="BF76" s="1">
        <f>IF(G76="端リブ",AT76*$X$13*パラメータ!$D$21*2,0)</f>
        <v>0</v>
      </c>
      <c r="BG76" s="1" t="e">
        <f>主桁!BA32*1000</f>
        <v>#REF!</v>
      </c>
      <c r="BH76" s="1">
        <f t="shared" si="22"/>
        <v>77.39630762896735</v>
      </c>
      <c r="BI76" s="1" t="e">
        <f t="shared" si="23"/>
        <v>#REF!</v>
      </c>
      <c r="BJ76" s="2">
        <f>(Y76-機体重量!$Q$6)^2+(Z76-機体重量!$R$6)^2</f>
        <v>5.4950777486569501E-4</v>
      </c>
      <c r="BK76" s="2">
        <f>(Z76-機体重量!$R$6)^2</f>
        <v>3.8816156979940122E-4</v>
      </c>
      <c r="BL76" s="222">
        <f>(Y76-機体重量!$Q$6)^2</f>
        <v>1.6134620506629379E-4</v>
      </c>
    </row>
    <row r="77" spans="2:64">
      <c r="B77" s="28">
        <v>26</v>
      </c>
      <c r="C77" s="1">
        <f t="shared" si="26"/>
        <v>5.5000000000000036</v>
      </c>
      <c r="D77" s="1">
        <f t="shared" si="14"/>
        <v>764.99999999999989</v>
      </c>
      <c r="E77" s="21">
        <v>0.15</v>
      </c>
      <c r="F77" s="21" t="str">
        <f t="shared" si="27"/>
        <v>2nd</v>
      </c>
      <c r="G77" s="4" t="str">
        <f t="shared" si="0"/>
        <v>2番</v>
      </c>
      <c r="H77" s="283" t="s">
        <v>1412</v>
      </c>
      <c r="I77" s="65">
        <f t="shared" si="17"/>
        <v>96.697999999999979</v>
      </c>
      <c r="J77" s="1">
        <f t="shared" si="18"/>
        <v>96.015499999999946</v>
      </c>
      <c r="K77" s="1">
        <f t="shared" si="1"/>
        <v>0.35</v>
      </c>
      <c r="L77" s="212"/>
      <c r="M77" s="65" t="str">
        <f t="shared" si="2"/>
        <v>QX0023</v>
      </c>
      <c r="N77" s="1">
        <f t="shared" si="19"/>
        <v>100</v>
      </c>
      <c r="O77" s="1" t="str">
        <f t="shared" si="3"/>
        <v>QX0023</v>
      </c>
      <c r="P77" s="1">
        <f t="shared" si="4"/>
        <v>0</v>
      </c>
      <c r="Q77" s="1">
        <f t="shared" si="5"/>
        <v>0.26774999999999993</v>
      </c>
      <c r="R77" s="1">
        <f t="shared" si="6"/>
        <v>-0.49724999999999997</v>
      </c>
      <c r="S77" s="1">
        <f t="shared" si="20"/>
        <v>4.7000000000000028</v>
      </c>
      <c r="T77" s="1">
        <f t="shared" si="21"/>
        <v>0</v>
      </c>
      <c r="U77" s="1">
        <f t="shared" si="7"/>
        <v>2</v>
      </c>
      <c r="V77" s="7">
        <f t="shared" si="8"/>
        <v>0</v>
      </c>
      <c r="W77" s="216"/>
      <c r="X77" s="79"/>
      <c r="Y77" s="79"/>
      <c r="Z77" s="79"/>
      <c r="AA77" s="79"/>
      <c r="AB77" s="79"/>
      <c r="AC77" s="217"/>
      <c r="AD77" s="79"/>
      <c r="AE77" s="79"/>
      <c r="AF77" s="216"/>
      <c r="AG77" s="79"/>
      <c r="AH77" s="79"/>
      <c r="AI77" s="79"/>
      <c r="AJ77" s="79"/>
      <c r="AK77" s="79"/>
      <c r="AL77" s="79"/>
      <c r="AM77" s="79"/>
      <c r="AN77" s="79"/>
      <c r="AO77" s="79"/>
      <c r="AP77" s="79"/>
      <c r="AQ77" s="79"/>
      <c r="AR77" s="79"/>
      <c r="AS77" s="79"/>
      <c r="AT77" s="79">
        <f t="shared" si="9"/>
        <v>5.559637499999999E-2</v>
      </c>
      <c r="AU77" s="79">
        <f t="shared" si="10"/>
        <v>1.5682499999999995</v>
      </c>
      <c r="AV77" s="79">
        <f t="shared" si="11"/>
        <v>0.81026249999999989</v>
      </c>
      <c r="AW77" s="79">
        <f t="shared" si="15"/>
        <v>0.58809374999999986</v>
      </c>
      <c r="AX77" s="212">
        <f t="shared" si="16"/>
        <v>0.31364999999999993</v>
      </c>
      <c r="AY77" s="65">
        <f>AT77*$X$4*パラメータ!$D$23</f>
        <v>18.346803749999996</v>
      </c>
      <c r="AZ77" s="1">
        <f>AV77*$X$5*E77*パラメータ!$D$28</f>
        <v>20.661693749999998</v>
      </c>
      <c r="BA77" s="1">
        <f>SUMPRODUCT($AC$4:$AC$10,$AD$4:$AD$10)*E77*パラメータ!$D$26*10^-3</f>
        <v>9.5625</v>
      </c>
      <c r="BB77" s="1">
        <f>(AW77+AX77)*$X$6*$X$4*パラメータ!$D$21*10^-3</f>
        <v>6.0867703124999988</v>
      </c>
      <c r="BC77" s="1">
        <f>($X$8*$X$9*パラメータ!$D$21+0.5*$X$8^2*SIN(RADIANS($X$10))*パラメータ!$D$24)*E77*10^-3</f>
        <v>2.4811109102173465</v>
      </c>
      <c r="BD77" s="1">
        <f t="shared" si="12"/>
        <v>15.682499999999994</v>
      </c>
      <c r="BE77" s="1">
        <f t="shared" si="13"/>
        <v>4</v>
      </c>
      <c r="BF77" s="1">
        <f>IF(G77="端リブ",AT77*$X$13*パラメータ!$D$21*2,0)</f>
        <v>0</v>
      </c>
      <c r="BG77" s="1" t="e">
        <f>主桁!BA33*1000</f>
        <v>#REF!</v>
      </c>
      <c r="BH77" s="1">
        <f t="shared" si="22"/>
        <v>76.821378722717327</v>
      </c>
      <c r="BI77" s="1" t="e">
        <f t="shared" si="23"/>
        <v>#REF!</v>
      </c>
      <c r="BJ77" s="2">
        <f>(Y77-機体重量!$Q$6)^2+(Z77-機体重量!$R$6)^2</f>
        <v>5.4950777486569501E-4</v>
      </c>
      <c r="BK77" s="2">
        <f>(Z77-機体重量!$R$6)^2</f>
        <v>3.8816156979940122E-4</v>
      </c>
      <c r="BL77" s="222">
        <f>(Y77-機体重量!$Q$6)^2</f>
        <v>1.6134620506629379E-4</v>
      </c>
    </row>
    <row r="78" spans="2:64">
      <c r="B78" s="104">
        <v>27</v>
      </c>
      <c r="C78" s="1">
        <f t="shared" si="26"/>
        <v>5.6500000000000039</v>
      </c>
      <c r="D78" s="1">
        <f t="shared" si="14"/>
        <v>757.49999999999989</v>
      </c>
      <c r="E78" s="21">
        <v>0.15</v>
      </c>
      <c r="F78" s="21" t="str">
        <f t="shared" si="27"/>
        <v>2nd</v>
      </c>
      <c r="G78" s="4" t="str">
        <f t="shared" si="0"/>
        <v>2番</v>
      </c>
      <c r="H78" s="283" t="s">
        <v>1411</v>
      </c>
      <c r="I78" s="65">
        <f t="shared" si="17"/>
        <v>95.497999999999962</v>
      </c>
      <c r="J78" s="1">
        <f t="shared" si="18"/>
        <v>94.797499999999943</v>
      </c>
      <c r="K78" s="1">
        <f t="shared" si="1"/>
        <v>0.35</v>
      </c>
      <c r="L78" s="212"/>
      <c r="M78" s="65" t="str">
        <f t="shared" si="2"/>
        <v>QX0023</v>
      </c>
      <c r="N78" s="1">
        <f t="shared" si="19"/>
        <v>100</v>
      </c>
      <c r="O78" s="1" t="str">
        <f t="shared" si="3"/>
        <v>QX0023</v>
      </c>
      <c r="P78" s="1">
        <f t="shared" si="4"/>
        <v>0</v>
      </c>
      <c r="Q78" s="1">
        <f t="shared" si="5"/>
        <v>0.26512499999999994</v>
      </c>
      <c r="R78" s="1">
        <f t="shared" si="6"/>
        <v>-0.4923749999999999</v>
      </c>
      <c r="S78" s="1">
        <f t="shared" si="20"/>
        <v>4.8500000000000032</v>
      </c>
      <c r="T78" s="1">
        <f t="shared" si="21"/>
        <v>0</v>
      </c>
      <c r="U78" s="1">
        <f t="shared" si="7"/>
        <v>2</v>
      </c>
      <c r="V78" s="7">
        <f t="shared" si="8"/>
        <v>0</v>
      </c>
      <c r="W78" s="216"/>
      <c r="X78" s="79"/>
      <c r="Y78" s="79"/>
      <c r="Z78" s="79"/>
      <c r="AA78" s="79"/>
      <c r="AB78" s="79"/>
      <c r="AC78" s="217"/>
      <c r="AD78" s="79"/>
      <c r="AE78" s="79"/>
      <c r="AF78" s="216"/>
      <c r="AG78" s="79"/>
      <c r="AH78" s="79"/>
      <c r="AI78" s="79"/>
      <c r="AJ78" s="79"/>
      <c r="AK78" s="79"/>
      <c r="AL78" s="79"/>
      <c r="AM78" s="79"/>
      <c r="AN78" s="79"/>
      <c r="AO78" s="79"/>
      <c r="AP78" s="79"/>
      <c r="AQ78" s="79"/>
      <c r="AR78" s="79"/>
      <c r="AS78" s="79"/>
      <c r="AT78" s="79">
        <f t="shared" si="9"/>
        <v>5.4511593749999976E-2</v>
      </c>
      <c r="AU78" s="79">
        <f t="shared" si="10"/>
        <v>1.5528749999999996</v>
      </c>
      <c r="AV78" s="79">
        <f t="shared" si="11"/>
        <v>0.81026249999999989</v>
      </c>
      <c r="AW78" s="79">
        <f t="shared" si="15"/>
        <v>0.58232812499999986</v>
      </c>
      <c r="AX78" s="212">
        <f t="shared" si="16"/>
        <v>0.31057499999999993</v>
      </c>
      <c r="AY78" s="65">
        <f>AT78*$X$4*パラメータ!$D$23</f>
        <v>17.988825937499993</v>
      </c>
      <c r="AZ78" s="1">
        <f>AV78*$X$5*E78*パラメータ!$D$28</f>
        <v>20.661693749999998</v>
      </c>
      <c r="BA78" s="1">
        <f>SUMPRODUCT($AC$4:$AC$10,$AD$4:$AD$10)*E78*パラメータ!$D$26*10^-3</f>
        <v>9.5625</v>
      </c>
      <c r="BB78" s="1">
        <f>(AW78+AX78)*$X$6*$X$4*パラメータ!$D$21*10^-3</f>
        <v>6.0270960937499991</v>
      </c>
      <c r="BC78" s="1">
        <f>($X$8*$X$9*パラメータ!$D$21+0.5*$X$8^2*SIN(RADIANS($X$10))*パラメータ!$D$24)*E78*10^-3</f>
        <v>2.4811109102173465</v>
      </c>
      <c r="BD78" s="1">
        <f t="shared" si="12"/>
        <v>15.528749999999995</v>
      </c>
      <c r="BE78" s="1">
        <f t="shared" si="13"/>
        <v>4</v>
      </c>
      <c r="BF78" s="1">
        <f>IF(G78="端リブ",AT78*$X$13*パラメータ!$D$21*2,0)</f>
        <v>0</v>
      </c>
      <c r="BG78" s="1" t="e">
        <f>主桁!BA34*1000</f>
        <v>#REF!</v>
      </c>
      <c r="BH78" s="1">
        <f t="shared" si="22"/>
        <v>76.249976691467339</v>
      </c>
      <c r="BI78" s="1" t="e">
        <f t="shared" si="23"/>
        <v>#REF!</v>
      </c>
      <c r="BJ78" s="2">
        <f>(Y78-機体重量!$Q$6)^2+(Z78-機体重量!$R$6)^2</f>
        <v>5.4950777486569501E-4</v>
      </c>
      <c r="BK78" s="2">
        <f>(Z78-機体重量!$R$6)^2</f>
        <v>3.8816156979940122E-4</v>
      </c>
      <c r="BL78" s="222">
        <f>(Y78-機体重量!$Q$6)^2</f>
        <v>1.6134620506629379E-4</v>
      </c>
    </row>
    <row r="79" spans="2:64">
      <c r="B79" s="28">
        <v>28</v>
      </c>
      <c r="C79" s="1">
        <f t="shared" si="26"/>
        <v>5.8000000000000043</v>
      </c>
      <c r="D79" s="1">
        <f t="shared" si="14"/>
        <v>749.99999999999977</v>
      </c>
      <c r="E79" s="21">
        <v>0.15</v>
      </c>
      <c r="F79" s="21" t="str">
        <f t="shared" si="27"/>
        <v>2nd</v>
      </c>
      <c r="G79" s="4" t="str">
        <f t="shared" si="0"/>
        <v>2番</v>
      </c>
      <c r="H79" s="283" t="s">
        <v>1412</v>
      </c>
      <c r="I79" s="65">
        <f t="shared" si="17"/>
        <v>94.297999999999973</v>
      </c>
      <c r="J79" s="1">
        <f t="shared" si="18"/>
        <v>93.579499999999939</v>
      </c>
      <c r="K79" s="1">
        <f t="shared" si="1"/>
        <v>0.35</v>
      </c>
      <c r="L79" s="212"/>
      <c r="M79" s="65" t="str">
        <f t="shared" si="2"/>
        <v>QX0023</v>
      </c>
      <c r="N79" s="1">
        <f t="shared" si="19"/>
        <v>100</v>
      </c>
      <c r="O79" s="1" t="str">
        <f t="shared" si="3"/>
        <v>QX0023</v>
      </c>
      <c r="P79" s="1">
        <f t="shared" si="4"/>
        <v>0</v>
      </c>
      <c r="Q79" s="1">
        <f t="shared" si="5"/>
        <v>0.2624999999999999</v>
      </c>
      <c r="R79" s="1">
        <f t="shared" si="6"/>
        <v>-0.48749999999999988</v>
      </c>
      <c r="S79" s="1">
        <f t="shared" si="20"/>
        <v>5.0000000000000036</v>
      </c>
      <c r="T79" s="1">
        <f t="shared" si="21"/>
        <v>0</v>
      </c>
      <c r="U79" s="1">
        <f t="shared" si="7"/>
        <v>2</v>
      </c>
      <c r="V79" s="7">
        <f t="shared" si="8"/>
        <v>0</v>
      </c>
      <c r="W79" s="216"/>
      <c r="X79" s="79"/>
      <c r="Y79" s="79"/>
      <c r="Z79" s="79"/>
      <c r="AA79" s="79"/>
      <c r="AB79" s="79"/>
      <c r="AC79" s="217"/>
      <c r="AD79" s="79"/>
      <c r="AE79" s="79"/>
      <c r="AF79" s="216"/>
      <c r="AG79" s="79"/>
      <c r="AH79" s="79"/>
      <c r="AI79" s="79"/>
      <c r="AJ79" s="79"/>
      <c r="AK79" s="79"/>
      <c r="AL79" s="79"/>
      <c r="AM79" s="79"/>
      <c r="AN79" s="79"/>
      <c r="AO79" s="79"/>
      <c r="AP79" s="79"/>
      <c r="AQ79" s="79"/>
      <c r="AR79" s="79"/>
      <c r="AS79" s="79"/>
      <c r="AT79" s="79">
        <f t="shared" si="9"/>
        <v>5.3437499999999971E-2</v>
      </c>
      <c r="AU79" s="79">
        <f t="shared" si="10"/>
        <v>1.5374999999999994</v>
      </c>
      <c r="AV79" s="79">
        <f t="shared" si="11"/>
        <v>0.81026249999999989</v>
      </c>
      <c r="AW79" s="79">
        <f t="shared" si="15"/>
        <v>0.57656249999999976</v>
      </c>
      <c r="AX79" s="212">
        <f t="shared" si="16"/>
        <v>0.30749999999999988</v>
      </c>
      <c r="AY79" s="65">
        <f>AT79*$X$4*パラメータ!$D$23</f>
        <v>17.634374999999991</v>
      </c>
      <c r="AZ79" s="1">
        <f>AV79*$X$5*E79*パラメータ!$D$28</f>
        <v>20.661693749999998</v>
      </c>
      <c r="BA79" s="1">
        <f>SUMPRODUCT($AC$4:$AC$10,$AD$4:$AD$10)*E79*パラメータ!$D$26*10^-3</f>
        <v>9.5625</v>
      </c>
      <c r="BB79" s="1">
        <f>(AW79+AX79)*$X$6*$X$4*パラメータ!$D$21*10^-3</f>
        <v>5.9674218749999977</v>
      </c>
      <c r="BC79" s="1">
        <f>($X$8*$X$9*パラメータ!$D$21+0.5*$X$8^2*SIN(RADIANS($X$10))*パラメータ!$D$24)*E79*10^-3</f>
        <v>2.4811109102173465</v>
      </c>
      <c r="BD79" s="1">
        <f t="shared" si="12"/>
        <v>15.374999999999995</v>
      </c>
      <c r="BE79" s="1">
        <f t="shared" si="13"/>
        <v>4</v>
      </c>
      <c r="BF79" s="1">
        <f>IF(G79="端リブ",AT79*$X$13*パラメータ!$D$21*2,0)</f>
        <v>0</v>
      </c>
      <c r="BG79" s="1" t="e">
        <f>主桁!BA35*1000</f>
        <v>#REF!</v>
      </c>
      <c r="BH79" s="1">
        <f t="shared" si="22"/>
        <v>75.682101535217328</v>
      </c>
      <c r="BI79" s="1" t="e">
        <f t="shared" si="23"/>
        <v>#REF!</v>
      </c>
      <c r="BJ79" s="2">
        <f>(Y79-機体重量!$Q$6)^2+(Z79-機体重量!$R$6)^2</f>
        <v>5.4950777486569501E-4</v>
      </c>
      <c r="BK79" s="2">
        <f>(Z79-機体重量!$R$6)^2</f>
        <v>3.8816156979940122E-4</v>
      </c>
      <c r="BL79" s="222">
        <f>(Y79-機体重量!$Q$6)^2</f>
        <v>1.6134620506629379E-4</v>
      </c>
    </row>
    <row r="80" spans="2:64">
      <c r="B80" s="104">
        <v>29</v>
      </c>
      <c r="C80" s="1">
        <f t="shared" si="26"/>
        <v>5.9500000000000046</v>
      </c>
      <c r="D80" s="1">
        <f t="shared" si="14"/>
        <v>742.49999999999977</v>
      </c>
      <c r="E80" s="21">
        <v>0.15</v>
      </c>
      <c r="F80" s="21" t="str">
        <f t="shared" si="27"/>
        <v>2nd</v>
      </c>
      <c r="G80" s="4" t="str">
        <f t="shared" si="0"/>
        <v>2番</v>
      </c>
      <c r="H80" s="283" t="s">
        <v>1411</v>
      </c>
      <c r="I80" s="65">
        <f t="shared" si="17"/>
        <v>93.097999999999956</v>
      </c>
      <c r="J80" s="1">
        <f t="shared" si="18"/>
        <v>92.361499999999936</v>
      </c>
      <c r="K80" s="1">
        <f t="shared" si="1"/>
        <v>0.35</v>
      </c>
      <c r="L80" s="212"/>
      <c r="M80" s="65" t="str">
        <f t="shared" si="2"/>
        <v>QX0023</v>
      </c>
      <c r="N80" s="1">
        <f t="shared" si="19"/>
        <v>100</v>
      </c>
      <c r="O80" s="1" t="str">
        <f t="shared" si="3"/>
        <v>QX0023</v>
      </c>
      <c r="P80" s="1">
        <f t="shared" si="4"/>
        <v>0</v>
      </c>
      <c r="Q80" s="1">
        <f t="shared" si="5"/>
        <v>0.25987499999999991</v>
      </c>
      <c r="R80" s="1">
        <f t="shared" si="6"/>
        <v>-0.48262499999999992</v>
      </c>
      <c r="S80" s="1">
        <f t="shared" si="20"/>
        <v>5.1500000000000039</v>
      </c>
      <c r="T80" s="1">
        <f t="shared" si="21"/>
        <v>0</v>
      </c>
      <c r="U80" s="1">
        <f t="shared" si="7"/>
        <v>2</v>
      </c>
      <c r="V80" s="7">
        <f t="shared" si="8"/>
        <v>0</v>
      </c>
      <c r="W80" s="216"/>
      <c r="X80" s="79"/>
      <c r="Y80" s="79"/>
      <c r="Z80" s="79"/>
      <c r="AA80" s="79"/>
      <c r="AB80" s="79"/>
      <c r="AC80" s="217"/>
      <c r="AD80" s="79"/>
      <c r="AE80" s="79"/>
      <c r="AF80" s="216"/>
      <c r="AG80" s="79"/>
      <c r="AH80" s="79"/>
      <c r="AI80" s="79"/>
      <c r="AJ80" s="79"/>
      <c r="AK80" s="79"/>
      <c r="AL80" s="79"/>
      <c r="AM80" s="79"/>
      <c r="AN80" s="79"/>
      <c r="AO80" s="79"/>
      <c r="AP80" s="79"/>
      <c r="AQ80" s="79"/>
      <c r="AR80" s="79"/>
      <c r="AS80" s="79"/>
      <c r="AT80" s="79">
        <f t="shared" si="9"/>
        <v>5.2374093749999982E-2</v>
      </c>
      <c r="AU80" s="79">
        <f t="shared" si="10"/>
        <v>1.5221249999999993</v>
      </c>
      <c r="AV80" s="79">
        <f t="shared" si="11"/>
        <v>0.81026249999999989</v>
      </c>
      <c r="AW80" s="79">
        <f t="shared" si="15"/>
        <v>0.57079687499999976</v>
      </c>
      <c r="AX80" s="212">
        <f t="shared" si="16"/>
        <v>0.30442499999999989</v>
      </c>
      <c r="AY80" s="65">
        <f>AT80*$X$4*パラメータ!$D$23</f>
        <v>17.283450937499996</v>
      </c>
      <c r="AZ80" s="1">
        <f>AV80*$X$5*E80*パラメータ!$D$28</f>
        <v>20.661693749999998</v>
      </c>
      <c r="BA80" s="1">
        <f>SUMPRODUCT($AC$4:$AC$10,$AD$4:$AD$10)*E80*パラメータ!$D$26*10^-3</f>
        <v>9.5625</v>
      </c>
      <c r="BB80" s="1">
        <f>(AW80+AX80)*$X$6*$X$4*パラメータ!$D$21*10^-3</f>
        <v>5.9077476562499971</v>
      </c>
      <c r="BC80" s="1">
        <f>($X$8*$X$9*パラメータ!$D$21+0.5*$X$8^2*SIN(RADIANS($X$10))*パラメータ!$D$24)*E80*10^-3</f>
        <v>2.4811109102173465</v>
      </c>
      <c r="BD80" s="1">
        <f t="shared" si="12"/>
        <v>15.221249999999992</v>
      </c>
      <c r="BE80" s="1">
        <f t="shared" si="13"/>
        <v>4</v>
      </c>
      <c r="BF80" s="1">
        <f>IF(G80="端リブ",AT80*$X$13*パラメータ!$D$21*2,0)</f>
        <v>0</v>
      </c>
      <c r="BG80" s="1" t="e">
        <f>主桁!BA36*1000</f>
        <v>#REF!</v>
      </c>
      <c r="BH80" s="1">
        <f t="shared" si="22"/>
        <v>75.117753253967322</v>
      </c>
      <c r="BI80" s="1" t="e">
        <f t="shared" si="23"/>
        <v>#REF!</v>
      </c>
      <c r="BJ80" s="2">
        <f>(Y80-機体重量!$Q$6)^2+(Z80-機体重量!$R$6)^2</f>
        <v>5.4950777486569501E-4</v>
      </c>
      <c r="BK80" s="2">
        <f>(Z80-機体重量!$R$6)^2</f>
        <v>3.8816156979940122E-4</v>
      </c>
      <c r="BL80" s="222">
        <f>(Y80-機体重量!$Q$6)^2</f>
        <v>1.6134620506629379E-4</v>
      </c>
    </row>
    <row r="81" spans="2:64">
      <c r="B81" s="28">
        <v>30</v>
      </c>
      <c r="C81" s="1">
        <f t="shared" si="26"/>
        <v>6.100000000000005</v>
      </c>
      <c r="D81" s="1">
        <f t="shared" si="14"/>
        <v>734.99999999999989</v>
      </c>
      <c r="E81" s="21">
        <v>0.15</v>
      </c>
      <c r="F81" s="21" t="str">
        <f t="shared" si="27"/>
        <v>2nd</v>
      </c>
      <c r="G81" s="4" t="str">
        <f t="shared" si="0"/>
        <v>2番</v>
      </c>
      <c r="H81" s="283" t="s">
        <v>1412</v>
      </c>
      <c r="I81" s="65">
        <f t="shared" si="17"/>
        <v>91.897999999999954</v>
      </c>
      <c r="J81" s="1">
        <f t="shared" si="18"/>
        <v>91.143499999999932</v>
      </c>
      <c r="K81" s="1">
        <f t="shared" si="1"/>
        <v>0.35</v>
      </c>
      <c r="L81" s="212"/>
      <c r="M81" s="65" t="str">
        <f t="shared" si="2"/>
        <v>QX0023</v>
      </c>
      <c r="N81" s="1">
        <f t="shared" si="19"/>
        <v>100</v>
      </c>
      <c r="O81" s="1" t="str">
        <f t="shared" si="3"/>
        <v>QX0023</v>
      </c>
      <c r="P81" s="1">
        <f t="shared" si="4"/>
        <v>0</v>
      </c>
      <c r="Q81" s="1">
        <f t="shared" si="5"/>
        <v>0.25724999999999992</v>
      </c>
      <c r="R81" s="1">
        <f t="shared" si="6"/>
        <v>-0.47774999999999995</v>
      </c>
      <c r="S81" s="1">
        <f t="shared" si="20"/>
        <v>5.3000000000000043</v>
      </c>
      <c r="T81" s="1">
        <f t="shared" si="21"/>
        <v>0</v>
      </c>
      <c r="U81" s="1">
        <f t="shared" si="7"/>
        <v>2</v>
      </c>
      <c r="V81" s="7">
        <f t="shared" si="8"/>
        <v>0</v>
      </c>
      <c r="W81" s="216"/>
      <c r="X81" s="79"/>
      <c r="Y81" s="79"/>
      <c r="Z81" s="79"/>
      <c r="AA81" s="79"/>
      <c r="AB81" s="79"/>
      <c r="AC81" s="217"/>
      <c r="AD81" s="79"/>
      <c r="AE81" s="79"/>
      <c r="AF81" s="216"/>
      <c r="AG81" s="79"/>
      <c r="AH81" s="79"/>
      <c r="AI81" s="79"/>
      <c r="AJ81" s="79"/>
      <c r="AK81" s="79"/>
      <c r="AL81" s="79"/>
      <c r="AM81" s="79"/>
      <c r="AN81" s="79"/>
      <c r="AO81" s="79"/>
      <c r="AP81" s="79"/>
      <c r="AQ81" s="79"/>
      <c r="AR81" s="79"/>
      <c r="AS81" s="79"/>
      <c r="AT81" s="79">
        <f t="shared" si="9"/>
        <v>5.1321374999999989E-2</v>
      </c>
      <c r="AU81" s="79">
        <f t="shared" si="10"/>
        <v>1.5067499999999996</v>
      </c>
      <c r="AV81" s="79">
        <f t="shared" si="11"/>
        <v>0.81026249999999989</v>
      </c>
      <c r="AW81" s="79">
        <f t="shared" si="15"/>
        <v>0.56503124999999987</v>
      </c>
      <c r="AX81" s="212">
        <f t="shared" si="16"/>
        <v>0.30134999999999995</v>
      </c>
      <c r="AY81" s="65">
        <f>AT81*$X$4*パラメータ!$D$23</f>
        <v>16.936053749999996</v>
      </c>
      <c r="AZ81" s="1">
        <f>AV81*$X$5*E81*パラメータ!$D$28</f>
        <v>20.661693749999998</v>
      </c>
      <c r="BA81" s="1">
        <f>SUMPRODUCT($AC$4:$AC$10,$AD$4:$AD$10)*E81*パラメータ!$D$26*10^-3</f>
        <v>9.5625</v>
      </c>
      <c r="BB81" s="1">
        <f>(AW81+AX81)*$X$6*$X$4*パラメータ!$D$21*10^-3</f>
        <v>5.8480734374999992</v>
      </c>
      <c r="BC81" s="1">
        <f>($X$8*$X$9*パラメータ!$D$21+0.5*$X$8^2*SIN(RADIANS($X$10))*パラメータ!$D$24)*E81*10^-3</f>
        <v>2.4811109102173465</v>
      </c>
      <c r="BD81" s="1">
        <f t="shared" si="12"/>
        <v>15.067499999999995</v>
      </c>
      <c r="BE81" s="1">
        <f t="shared" si="13"/>
        <v>4</v>
      </c>
      <c r="BF81" s="1">
        <f>IF(G81="端リブ",AT81*$X$13*パラメータ!$D$21*2,0)</f>
        <v>0</v>
      </c>
      <c r="BG81" s="1" t="e">
        <f>主桁!BA37*1000</f>
        <v>#REF!</v>
      </c>
      <c r="BH81" s="1">
        <f t="shared" si="22"/>
        <v>74.556931847717337</v>
      </c>
      <c r="BI81" s="1" t="e">
        <f t="shared" si="23"/>
        <v>#REF!</v>
      </c>
      <c r="BJ81" s="2">
        <f>(Y81-機体重量!$Q$6)^2+(Z81-機体重量!$R$6)^2</f>
        <v>5.4950777486569501E-4</v>
      </c>
      <c r="BK81" s="2">
        <f>(Z81-機体重量!$R$6)^2</f>
        <v>3.8816156979940122E-4</v>
      </c>
      <c r="BL81" s="222">
        <f>(Y81-機体重量!$Q$6)^2</f>
        <v>1.6134620506629379E-4</v>
      </c>
    </row>
    <row r="82" spans="2:64">
      <c r="B82" s="104">
        <v>31</v>
      </c>
      <c r="C82" s="1">
        <f t="shared" si="26"/>
        <v>6.2500000000000053</v>
      </c>
      <c r="D82" s="1">
        <f t="shared" si="14"/>
        <v>727.49999999999977</v>
      </c>
      <c r="E82" s="21">
        <v>0.15</v>
      </c>
      <c r="F82" s="21" t="str">
        <f t="shared" si="27"/>
        <v>2nd</v>
      </c>
      <c r="G82" s="4" t="str">
        <f t="shared" si="0"/>
        <v>2番</v>
      </c>
      <c r="H82" s="283" t="s">
        <v>1411</v>
      </c>
      <c r="I82" s="65">
        <f t="shared" si="17"/>
        <v>90.697999999999951</v>
      </c>
      <c r="J82" s="1">
        <f t="shared" si="18"/>
        <v>89.925499999999943</v>
      </c>
      <c r="K82" s="1">
        <f t="shared" si="1"/>
        <v>0.35</v>
      </c>
      <c r="L82" s="212"/>
      <c r="M82" s="65" t="str">
        <f t="shared" si="2"/>
        <v>QX0023</v>
      </c>
      <c r="N82" s="1">
        <f t="shared" si="19"/>
        <v>100</v>
      </c>
      <c r="O82" s="1" t="str">
        <f t="shared" si="3"/>
        <v>QX0023</v>
      </c>
      <c r="P82" s="1">
        <f t="shared" si="4"/>
        <v>0</v>
      </c>
      <c r="Q82" s="1">
        <f t="shared" si="5"/>
        <v>0.25462499999999993</v>
      </c>
      <c r="R82" s="1">
        <f t="shared" si="6"/>
        <v>-0.47287499999999988</v>
      </c>
      <c r="S82" s="1">
        <f t="shared" si="20"/>
        <v>5.4500000000000046</v>
      </c>
      <c r="T82" s="1">
        <f t="shared" si="21"/>
        <v>0</v>
      </c>
      <c r="U82" s="1">
        <f t="shared" si="7"/>
        <v>2</v>
      </c>
      <c r="V82" s="7">
        <f t="shared" si="8"/>
        <v>0</v>
      </c>
      <c r="W82" s="216"/>
      <c r="X82" s="79"/>
      <c r="Y82" s="79"/>
      <c r="Z82" s="79"/>
      <c r="AA82" s="79"/>
      <c r="AB82" s="79"/>
      <c r="AC82" s="217"/>
      <c r="AD82" s="79"/>
      <c r="AE82" s="79"/>
      <c r="AF82" s="216"/>
      <c r="AG82" s="79"/>
      <c r="AH82" s="79"/>
      <c r="AI82" s="79"/>
      <c r="AJ82" s="79"/>
      <c r="AK82" s="79"/>
      <c r="AL82" s="79"/>
      <c r="AM82" s="79"/>
      <c r="AN82" s="79"/>
      <c r="AO82" s="79"/>
      <c r="AP82" s="79"/>
      <c r="AQ82" s="79"/>
      <c r="AR82" s="79"/>
      <c r="AS82" s="79"/>
      <c r="AT82" s="79">
        <f t="shared" si="9"/>
        <v>5.0279343749999976E-2</v>
      </c>
      <c r="AU82" s="79">
        <f t="shared" si="10"/>
        <v>1.4913749999999992</v>
      </c>
      <c r="AV82" s="79">
        <f t="shared" si="11"/>
        <v>0.81026249999999989</v>
      </c>
      <c r="AW82" s="79">
        <f t="shared" si="15"/>
        <v>0.55926562499999966</v>
      </c>
      <c r="AX82" s="212">
        <f t="shared" si="16"/>
        <v>0.29827499999999985</v>
      </c>
      <c r="AY82" s="65">
        <f>AT82*$X$4*パラメータ!$D$23</f>
        <v>16.59218343749999</v>
      </c>
      <c r="AZ82" s="1">
        <f>AV82*$X$5*E82*パラメータ!$D$28</f>
        <v>20.661693749999998</v>
      </c>
      <c r="BA82" s="1">
        <f>SUMPRODUCT($AC$4:$AC$10,$AD$4:$AD$10)*E82*パラメータ!$D$26*10^-3</f>
        <v>9.5625</v>
      </c>
      <c r="BB82" s="1">
        <f>(AW82+AX82)*$X$6*$X$4*パラメータ!$D$21*10^-3</f>
        <v>5.788399218749996</v>
      </c>
      <c r="BC82" s="1">
        <f>($X$8*$X$9*パラメータ!$D$21+0.5*$X$8^2*SIN(RADIANS($X$10))*パラメータ!$D$24)*E82*10^-3</f>
        <v>2.4811109102173465</v>
      </c>
      <c r="BD82" s="1">
        <f t="shared" si="12"/>
        <v>14.913749999999993</v>
      </c>
      <c r="BE82" s="1">
        <f t="shared" si="13"/>
        <v>4</v>
      </c>
      <c r="BF82" s="1">
        <f>IF(G82="端リブ",AT82*$X$13*パラメータ!$D$21*2,0)</f>
        <v>0</v>
      </c>
      <c r="BG82" s="1" t="e">
        <f>主桁!BA38*1000</f>
        <v>#REF!</v>
      </c>
      <c r="BH82" s="1">
        <f t="shared" si="22"/>
        <v>73.999637316467329</v>
      </c>
      <c r="BI82" s="1" t="e">
        <f t="shared" si="23"/>
        <v>#REF!</v>
      </c>
      <c r="BJ82" s="2">
        <f>(Y82-機体重量!$Q$6)^2+(Z82-機体重量!$R$6)^2</f>
        <v>5.4950777486569501E-4</v>
      </c>
      <c r="BK82" s="2">
        <f>(Z82-機体重量!$R$6)^2</f>
        <v>3.8816156979940122E-4</v>
      </c>
      <c r="BL82" s="222">
        <f>(Y82-機体重量!$Q$6)^2</f>
        <v>1.6134620506629379E-4</v>
      </c>
    </row>
    <row r="83" spans="2:64">
      <c r="B83" s="28">
        <v>32</v>
      </c>
      <c r="C83" s="1">
        <f t="shared" si="26"/>
        <v>6.4000000000000057</v>
      </c>
      <c r="D83" s="1">
        <f t="shared" ref="D83:D120" si="28">IF($C83&lt;$N$7,$G$26*$C83+$H$26,IF($C83&lt;$N$8,$G$27*$C83+$H$27,IF($C83&lt;$N$9,$G$28*$C83+$H$28,IF($C83&lt;$N$10,$G$29*$C83+$H$29,IF($C83&lt;$N$11,$G$30*$C83+$H$30,IF($C83&lt;$N$12,$G$31*$C83+$H$31,$G$32*$C83+$H$32))))))*10^3</f>
        <v>719.99999999999977</v>
      </c>
      <c r="E83" s="21">
        <v>0.15</v>
      </c>
      <c r="F83" s="21" t="str">
        <f t="shared" si="27"/>
        <v>2nd</v>
      </c>
      <c r="G83" s="4" t="str">
        <f t="shared" ref="G83:G111" si="29">IF(OR(C83=$F$45,C83=$G$45,C83=$H$45),"端リブ",IF(C83&lt;$F$45,"0番",IF(C83&lt;$G$45,"1番",IF(C83&lt;$H$45,"2番",IF(C83&lt;$I$45,"3番","ウィングレット")))))</f>
        <v>2番</v>
      </c>
      <c r="H83" s="283" t="s">
        <v>1412</v>
      </c>
      <c r="I83" s="65">
        <f t="shared" si="17"/>
        <v>89.497999999999948</v>
      </c>
      <c r="J83" s="1">
        <f t="shared" si="18"/>
        <v>88.707499999999925</v>
      </c>
      <c r="K83" s="1">
        <f t="shared" ref="K83:K120" si="30">IF($C83&lt;$N$7,$K$26*$C83+$L$26,IF($C83&lt;$N$8,$K$27*$C83+$L$27,IF($C83&lt;$N$9,$K$28*$C83+$L$28,IF($C83&lt;$N$10,$K$29*$C83+$L$30,IF($C83&lt;$N$11,$K$30*$C83+$L$29,IF($C83&lt;$N$12,$K$31*$C83+$L$31,$K$32*$C83+$L$32))))))</f>
        <v>0.35</v>
      </c>
      <c r="L83" s="212"/>
      <c r="M83" s="65" t="str">
        <f t="shared" ref="M83:M111" si="31">IF($C83&lt;$N$7,$S$6,IF($C83&lt;$N$8,$S$7,IF($C83&lt;$N$9,$S$8,IF($C83&lt;$N$10,$S$9,IF($C83&lt;$N$11,$S$10,IF($C83&lt;$N$12,$S$11,$S$12))))))</f>
        <v>QX0023</v>
      </c>
      <c r="N83" s="1">
        <f t="shared" si="19"/>
        <v>100</v>
      </c>
      <c r="O83" s="1" t="str">
        <f t="shared" ref="O83:O111" si="32">IF($C83&lt;$N$7,$S$7,IF($C83&lt;$N$8,$S$8,IF($C83&lt;$N$9,$S$9,IF($C83&lt;$N$10,$S$10,IF($C83&lt;$N$11,$S$11,IF($C83&lt;$N$12,$S$12,$S$13))))))</f>
        <v>QX0023</v>
      </c>
      <c r="P83" s="1">
        <f t="shared" ref="P83:P111" si="33">IF(M83=O83,0,IF($C83&lt;$N$7,($C83-$N$6)/($N$7-$N$6),IF($C83&lt;$N$8,($C83-$N$7)/($N$8-$N$7),IF($C83&lt;$N$9,($C83-$N$8)/($N$9-$N$8),IF($C83&lt;$N$10,($C83-$N$9)/($N$10-$N$9),IF($C83&lt;$N$11,($C83-$N$10)/($N$11-$N$10),IF($C83&lt;$N$12,($C83-$N$11)/($N$12-$N$11),($C83-$N$12)/($N$13-$N$12))))))))*100</f>
        <v>0</v>
      </c>
      <c r="Q83" s="1">
        <f t="shared" ref="Q83:Q111" si="34">D83*K83/1000</f>
        <v>0.25199999999999989</v>
      </c>
      <c r="R83" s="1">
        <f t="shared" ref="R83:R111" si="35">Q83-D83/1000</f>
        <v>-0.46799999999999986</v>
      </c>
      <c r="S83" s="1">
        <f t="shared" si="20"/>
        <v>5.600000000000005</v>
      </c>
      <c r="T83" s="1">
        <f t="shared" si="21"/>
        <v>0</v>
      </c>
      <c r="U83" s="1">
        <f t="shared" ref="U83:U124" si="36">IF($C83&lt;$N$7,$I$26*$C83+$J$26,IF($C83&lt;$N$8,$I$27*$C83+$J$27,IF($C83&lt;$N$9,$I$28*$C83+$J$28,IF($C83&lt;$N$10,$I$29*$C83+$J$29,IF($C83&lt;$N$11,$I$30*$C83+$J$30,IF($C83&lt;$N$12,$I$31*$C83+$J$31,$I$32*$C83+$J$32))))))</f>
        <v>2</v>
      </c>
      <c r="V83" s="7">
        <f t="shared" ref="V83:V111" si="37">IF($C83&lt;$N$7,$Q$6,IF($C83&lt;$N$8,$Q$7,IF($C83&lt;$N$9,$Q$8,IF($C83&lt;$N$10,$Q$9,IF($C83&lt;$N$11,$Q$10,IF($C83&lt;$N$12,$Q$11,$Q$12))))))</f>
        <v>0</v>
      </c>
      <c r="W83" s="216"/>
      <c r="X83" s="79"/>
      <c r="Y83" s="79"/>
      <c r="Z83" s="79"/>
      <c r="AA83" s="79"/>
      <c r="AB83" s="79"/>
      <c r="AC83" s="217"/>
      <c r="AD83" s="79"/>
      <c r="AE83" s="79"/>
      <c r="AF83" s="216"/>
      <c r="AG83" s="79"/>
      <c r="AH83" s="79"/>
      <c r="AI83" s="79"/>
      <c r="AJ83" s="79"/>
      <c r="AK83" s="79"/>
      <c r="AL83" s="79"/>
      <c r="AM83" s="79"/>
      <c r="AN83" s="79"/>
      <c r="AO83" s="79"/>
      <c r="AP83" s="79"/>
      <c r="AQ83" s="79"/>
      <c r="AR83" s="79"/>
      <c r="AS83" s="79"/>
      <c r="AT83" s="79">
        <f t="shared" ref="AT83:AT114" si="38">$AY$45*(D83/10^3)^2</f>
        <v>4.9247999999999965E-2</v>
      </c>
      <c r="AU83" s="79">
        <f t="shared" ref="AU83:AU114" si="39">D83*$AZ$45/10^3</f>
        <v>1.4759999999999993</v>
      </c>
      <c r="AV83" s="79">
        <f t="shared" ref="AV83:AV114" si="40">$AU$51*0.85/2</f>
        <v>0.81026249999999989</v>
      </c>
      <c r="AW83" s="79">
        <f t="shared" si="15"/>
        <v>0.55349999999999977</v>
      </c>
      <c r="AX83" s="212">
        <f t="shared" si="16"/>
        <v>0.29519999999999985</v>
      </c>
      <c r="AY83" s="65">
        <f>AT83*$X$4*パラメータ!$D$23</f>
        <v>16.251839999999987</v>
      </c>
      <c r="AZ83" s="1">
        <f>AV83*$X$5*E83*パラメータ!$D$28</f>
        <v>20.661693749999998</v>
      </c>
      <c r="BA83" s="1">
        <f>SUMPRODUCT($AC$4:$AC$10,$AD$4:$AD$10)*E83*パラメータ!$D$26*10^-3</f>
        <v>9.5625</v>
      </c>
      <c r="BB83" s="1">
        <f>(AW83+AX83)*$X$6*$X$4*パラメータ!$D$21*10^-3</f>
        <v>5.7287249999999981</v>
      </c>
      <c r="BC83" s="1">
        <f>($X$8*$X$9*パラメータ!$D$21+0.5*$X$8^2*SIN(RADIANS($X$10))*パラメータ!$D$24)*E83*10^-3</f>
        <v>2.4811109102173465</v>
      </c>
      <c r="BD83" s="1">
        <f t="shared" ref="BD83:BD114" si="41">AU83*($X$12)</f>
        <v>14.759999999999993</v>
      </c>
      <c r="BE83" s="1">
        <f t="shared" ref="BE83:BE114" si="42">$X$11</f>
        <v>4</v>
      </c>
      <c r="BF83" s="1">
        <f>IF(G83="端リブ",AT83*$X$13*パラメータ!$D$21*2,0)</f>
        <v>0</v>
      </c>
      <c r="BG83" s="1" t="e">
        <f>主桁!BA39*1000</f>
        <v>#REF!</v>
      </c>
      <c r="BH83" s="1">
        <f t="shared" si="22"/>
        <v>73.445869660217326</v>
      </c>
      <c r="BI83" s="1" t="e">
        <f t="shared" si="23"/>
        <v>#REF!</v>
      </c>
      <c r="BJ83" s="2">
        <f>(Y83-機体重量!$Q$6)^2+(Z83-機体重量!$R$6)^2</f>
        <v>5.4950777486569501E-4</v>
      </c>
      <c r="BK83" s="2">
        <f>(Z83-機体重量!$R$6)^2</f>
        <v>3.8816156979940122E-4</v>
      </c>
      <c r="BL83" s="222">
        <f>(Y83-機体重量!$Q$6)^2</f>
        <v>1.6134620506629379E-4</v>
      </c>
    </row>
    <row r="84" spans="2:64">
      <c r="B84" s="104">
        <v>33</v>
      </c>
      <c r="C84" s="1">
        <f t="shared" si="26"/>
        <v>6.550000000000006</v>
      </c>
      <c r="D84" s="1">
        <f t="shared" si="28"/>
        <v>712.49999999999966</v>
      </c>
      <c r="E84" s="21">
        <v>0.15</v>
      </c>
      <c r="F84" s="21" t="str">
        <f t="shared" si="27"/>
        <v>2nd</v>
      </c>
      <c r="G84" s="4" t="str">
        <f t="shared" si="29"/>
        <v>2番</v>
      </c>
      <c r="H84" s="283" t="s">
        <v>1411</v>
      </c>
      <c r="I84" s="65">
        <f t="shared" si="17"/>
        <v>88.297999999999945</v>
      </c>
      <c r="J84" s="1">
        <f t="shared" si="18"/>
        <v>87.489499999999936</v>
      </c>
      <c r="K84" s="1">
        <f t="shared" si="30"/>
        <v>0.35</v>
      </c>
      <c r="L84" s="212"/>
      <c r="M84" s="65" t="str">
        <f t="shared" si="31"/>
        <v>QX0023</v>
      </c>
      <c r="N84" s="1">
        <f t="shared" si="19"/>
        <v>100</v>
      </c>
      <c r="O84" s="1" t="str">
        <f t="shared" si="32"/>
        <v>QX0023</v>
      </c>
      <c r="P84" s="1">
        <f t="shared" si="33"/>
        <v>0</v>
      </c>
      <c r="Q84" s="1">
        <f t="shared" si="34"/>
        <v>0.24937499999999985</v>
      </c>
      <c r="R84" s="1">
        <f t="shared" si="35"/>
        <v>-0.46312499999999984</v>
      </c>
      <c r="S84" s="1">
        <f t="shared" si="20"/>
        <v>5.7500000000000053</v>
      </c>
      <c r="T84" s="1">
        <f t="shared" si="21"/>
        <v>0</v>
      </c>
      <c r="U84" s="1">
        <f t="shared" si="36"/>
        <v>2</v>
      </c>
      <c r="V84" s="7">
        <f t="shared" si="37"/>
        <v>0</v>
      </c>
      <c r="W84" s="216"/>
      <c r="X84" s="79"/>
      <c r="Y84" s="79"/>
      <c r="Z84" s="79"/>
      <c r="AA84" s="79"/>
      <c r="AB84" s="79"/>
      <c r="AC84" s="217"/>
      <c r="AD84" s="79"/>
      <c r="AE84" s="79"/>
      <c r="AF84" s="216"/>
      <c r="AG84" s="79"/>
      <c r="AH84" s="79"/>
      <c r="AI84" s="79"/>
      <c r="AJ84" s="79"/>
      <c r="AK84" s="79"/>
      <c r="AL84" s="79"/>
      <c r="AM84" s="79"/>
      <c r="AN84" s="79"/>
      <c r="AO84" s="79"/>
      <c r="AP84" s="79"/>
      <c r="AQ84" s="79"/>
      <c r="AR84" s="79"/>
      <c r="AS84" s="79"/>
      <c r="AT84" s="79">
        <f t="shared" si="38"/>
        <v>4.8227343749999964E-2</v>
      </c>
      <c r="AU84" s="79">
        <f t="shared" si="39"/>
        <v>1.4606249999999992</v>
      </c>
      <c r="AV84" s="79">
        <f t="shared" si="40"/>
        <v>0.81026249999999989</v>
      </c>
      <c r="AW84" s="79">
        <f t="shared" si="15"/>
        <v>0.54773437499999966</v>
      </c>
      <c r="AX84" s="212">
        <f t="shared" si="16"/>
        <v>0.29212499999999986</v>
      </c>
      <c r="AY84" s="65">
        <f>AT84*$X$4*パラメータ!$D$23</f>
        <v>15.915023437499988</v>
      </c>
      <c r="AZ84" s="1">
        <f>AV84*$X$5*E84*パラメータ!$D$28</f>
        <v>20.661693749999998</v>
      </c>
      <c r="BA84" s="1">
        <f>SUMPRODUCT($AC$4:$AC$10,$AD$4:$AD$10)*E84*パラメータ!$D$26*10^-3</f>
        <v>9.5625</v>
      </c>
      <c r="BB84" s="1">
        <f>(AW84+AX84)*$X$6*$X$4*パラメータ!$D$21*10^-3</f>
        <v>5.6690507812499975</v>
      </c>
      <c r="BC84" s="1">
        <f>($X$8*$X$9*パラメータ!$D$21+0.5*$X$8^2*SIN(RADIANS($X$10))*パラメータ!$D$24)*E84*10^-3</f>
        <v>2.4811109102173465</v>
      </c>
      <c r="BD84" s="1">
        <f t="shared" si="41"/>
        <v>14.606249999999992</v>
      </c>
      <c r="BE84" s="1">
        <f t="shared" si="42"/>
        <v>4</v>
      </c>
      <c r="BF84" s="1">
        <f>IF(G84="端リブ",AT84*$X$13*パラメータ!$D$21*2,0)</f>
        <v>0</v>
      </c>
      <c r="BG84" s="1" t="e">
        <f>主桁!BA40*1000</f>
        <v>#REF!</v>
      </c>
      <c r="BH84" s="1">
        <f t="shared" si="22"/>
        <v>72.895628878967329</v>
      </c>
      <c r="BI84" s="1" t="e">
        <f t="shared" si="23"/>
        <v>#REF!</v>
      </c>
      <c r="BJ84" s="2">
        <f>(Y84-機体重量!$Q$6)^2+(Z84-機体重量!$R$6)^2</f>
        <v>5.4950777486569501E-4</v>
      </c>
      <c r="BK84" s="2">
        <f>(Z84-機体重量!$R$6)^2</f>
        <v>3.8816156979940122E-4</v>
      </c>
      <c r="BL84" s="222">
        <f>(Y84-機体重量!$Q$6)^2</f>
        <v>1.6134620506629379E-4</v>
      </c>
    </row>
    <row r="85" spans="2:64">
      <c r="B85" s="28">
        <v>34</v>
      </c>
      <c r="C85" s="1">
        <f t="shared" si="26"/>
        <v>6.7000000000000064</v>
      </c>
      <c r="D85" s="1">
        <f t="shared" si="28"/>
        <v>704.99999999999977</v>
      </c>
      <c r="E85" s="21">
        <v>0.15</v>
      </c>
      <c r="F85" s="21" t="str">
        <f t="shared" si="27"/>
        <v>2nd</v>
      </c>
      <c r="G85" s="4" t="str">
        <f t="shared" si="29"/>
        <v>2番</v>
      </c>
      <c r="H85" s="283" t="s">
        <v>1412</v>
      </c>
      <c r="I85" s="65">
        <f t="shared" si="17"/>
        <v>87.097999999999942</v>
      </c>
      <c r="J85" s="1">
        <f t="shared" si="18"/>
        <v>86.271499999999918</v>
      </c>
      <c r="K85" s="1">
        <f t="shared" si="30"/>
        <v>0.35</v>
      </c>
      <c r="L85" s="212"/>
      <c r="M85" s="65" t="str">
        <f t="shared" si="31"/>
        <v>QX0023</v>
      </c>
      <c r="N85" s="1">
        <f t="shared" si="19"/>
        <v>100</v>
      </c>
      <c r="O85" s="1" t="str">
        <f t="shared" si="32"/>
        <v>QX0023</v>
      </c>
      <c r="P85" s="1">
        <f t="shared" si="33"/>
        <v>0</v>
      </c>
      <c r="Q85" s="1">
        <f t="shared" si="34"/>
        <v>0.24674999999999991</v>
      </c>
      <c r="R85" s="1">
        <f t="shared" si="35"/>
        <v>-0.45824999999999982</v>
      </c>
      <c r="S85" s="1">
        <f t="shared" ref="S85:S111" si="43">S84+E84*COS(RADIANS(V84))</f>
        <v>5.9000000000000057</v>
      </c>
      <c r="T85" s="1">
        <f t="shared" ref="T85:T111" si="44">T84+E84*SIN(RADIANS(V84))</f>
        <v>0</v>
      </c>
      <c r="U85" s="1">
        <f t="shared" si="36"/>
        <v>2</v>
      </c>
      <c r="V85" s="7">
        <f t="shared" si="37"/>
        <v>0</v>
      </c>
      <c r="W85" s="216"/>
      <c r="X85" s="79"/>
      <c r="Y85" s="79"/>
      <c r="Z85" s="79"/>
      <c r="AA85" s="79"/>
      <c r="AB85" s="79"/>
      <c r="AC85" s="217"/>
      <c r="AD85" s="79"/>
      <c r="AE85" s="79"/>
      <c r="AF85" s="216"/>
      <c r="AG85" s="79"/>
      <c r="AH85" s="79"/>
      <c r="AI85" s="79"/>
      <c r="AJ85" s="79"/>
      <c r="AK85" s="79"/>
      <c r="AL85" s="79"/>
      <c r="AM85" s="79"/>
      <c r="AN85" s="79"/>
      <c r="AO85" s="79"/>
      <c r="AP85" s="79"/>
      <c r="AQ85" s="79"/>
      <c r="AR85" s="79"/>
      <c r="AS85" s="79"/>
      <c r="AT85" s="79">
        <f t="shared" si="38"/>
        <v>4.7217374999999964E-2</v>
      </c>
      <c r="AU85" s="79">
        <f t="shared" si="39"/>
        <v>1.4452499999999993</v>
      </c>
      <c r="AV85" s="79">
        <f t="shared" si="40"/>
        <v>0.81026249999999989</v>
      </c>
      <c r="AW85" s="79">
        <f t="shared" si="15"/>
        <v>0.54196874999999967</v>
      </c>
      <c r="AX85" s="212">
        <f t="shared" si="16"/>
        <v>0.28904999999999986</v>
      </c>
      <c r="AY85" s="65">
        <f>AT85*$X$4*パラメータ!$D$23</f>
        <v>15.581733749999987</v>
      </c>
      <c r="AZ85" s="1">
        <f>AV85*$X$5*E85*パラメータ!$D$28</f>
        <v>20.661693749999998</v>
      </c>
      <c r="BA85" s="1">
        <f>SUMPRODUCT($AC$4:$AC$10,$AD$4:$AD$10)*E85*パラメータ!$D$26*10^-3</f>
        <v>9.5625</v>
      </c>
      <c r="BB85" s="1">
        <f>(AW85+AX85)*$X$6*$X$4*パラメータ!$D$21*10^-3</f>
        <v>5.6093765624999969</v>
      </c>
      <c r="BC85" s="1">
        <f>($X$8*$X$9*パラメータ!$D$21+0.5*$X$8^2*SIN(RADIANS($X$10))*パラメータ!$D$24)*E85*10^-3</f>
        <v>2.4811109102173465</v>
      </c>
      <c r="BD85" s="1">
        <f t="shared" si="41"/>
        <v>14.452499999999993</v>
      </c>
      <c r="BE85" s="1">
        <f t="shared" si="42"/>
        <v>4</v>
      </c>
      <c r="BF85" s="1">
        <f>IF(G85="端リブ",AT85*$X$13*パラメータ!$D$21*2,0)</f>
        <v>0</v>
      </c>
      <c r="BG85" s="1" t="e">
        <f>主桁!BA41*1000</f>
        <v>#REF!</v>
      </c>
      <c r="BH85" s="1">
        <f t="shared" si="22"/>
        <v>72.348914972717324</v>
      </c>
      <c r="BI85" s="1" t="e">
        <f t="shared" si="23"/>
        <v>#REF!</v>
      </c>
      <c r="BJ85" s="2">
        <f>(Y85-機体重量!$Q$6)^2+(Z85-機体重量!$R$6)^2</f>
        <v>5.4950777486569501E-4</v>
      </c>
      <c r="BK85" s="2">
        <f>(Z85-機体重量!$R$6)^2</f>
        <v>3.8816156979940122E-4</v>
      </c>
      <c r="BL85" s="222">
        <f>(Y85-機体重量!$Q$6)^2</f>
        <v>1.6134620506629379E-4</v>
      </c>
    </row>
    <row r="86" spans="2:64">
      <c r="B86" s="104">
        <v>35</v>
      </c>
      <c r="C86" s="1">
        <f t="shared" si="26"/>
        <v>6.8500000000000068</v>
      </c>
      <c r="D86" s="1">
        <f t="shared" si="28"/>
        <v>697.49999999999977</v>
      </c>
      <c r="E86" s="21">
        <v>0.15</v>
      </c>
      <c r="F86" s="21" t="str">
        <f>IF(C86&lt;$N$7,"flat",IF(C86&lt;$N$8,"1st",IF(C86&lt;$N$9,"2nd",IF(C86&lt;$N$10,"3rd",IF(C86&lt;$N$11,"4th",IF(C86&lt;$N$12,"5th","6th"))))))</f>
        <v>2nd</v>
      </c>
      <c r="G86" s="4" t="str">
        <f t="shared" si="29"/>
        <v>2番</v>
      </c>
      <c r="H86" s="283" t="s">
        <v>1411</v>
      </c>
      <c r="I86" s="65">
        <f t="shared" si="17"/>
        <v>85.897999999999939</v>
      </c>
      <c r="J86" s="1">
        <f t="shared" si="18"/>
        <v>85.053499999999929</v>
      </c>
      <c r="K86" s="1">
        <f t="shared" si="30"/>
        <v>0.35</v>
      </c>
      <c r="L86" s="212"/>
      <c r="M86" s="65" t="str">
        <f t="shared" si="31"/>
        <v>QX0023</v>
      </c>
      <c r="N86" s="1">
        <f t="shared" si="19"/>
        <v>100</v>
      </c>
      <c r="O86" s="1" t="str">
        <f t="shared" si="32"/>
        <v>QX0023</v>
      </c>
      <c r="P86" s="1">
        <f t="shared" si="33"/>
        <v>0</v>
      </c>
      <c r="Q86" s="1">
        <f t="shared" si="34"/>
        <v>0.24412499999999993</v>
      </c>
      <c r="R86" s="1">
        <f t="shared" si="35"/>
        <v>-0.45337499999999986</v>
      </c>
      <c r="S86" s="1">
        <f t="shared" si="43"/>
        <v>6.050000000000006</v>
      </c>
      <c r="T86" s="1">
        <f t="shared" si="44"/>
        <v>0</v>
      </c>
      <c r="U86" s="1">
        <f t="shared" si="36"/>
        <v>2</v>
      </c>
      <c r="V86" s="7">
        <f t="shared" si="37"/>
        <v>0</v>
      </c>
      <c r="W86" s="216"/>
      <c r="X86" s="79"/>
      <c r="Y86" s="79"/>
      <c r="Z86" s="79"/>
      <c r="AA86" s="79"/>
      <c r="AB86" s="79"/>
      <c r="AC86" s="217"/>
      <c r="AD86" s="79"/>
      <c r="AE86" s="79"/>
      <c r="AF86" s="216"/>
      <c r="AG86" s="79"/>
      <c r="AH86" s="79"/>
      <c r="AI86" s="79"/>
      <c r="AJ86" s="79"/>
      <c r="AK86" s="79"/>
      <c r="AL86" s="79"/>
      <c r="AM86" s="79"/>
      <c r="AN86" s="79"/>
      <c r="AO86" s="79"/>
      <c r="AP86" s="79"/>
      <c r="AQ86" s="79"/>
      <c r="AR86" s="79"/>
      <c r="AS86" s="79"/>
      <c r="AT86" s="79">
        <f t="shared" si="38"/>
        <v>4.6218093749999974E-2</v>
      </c>
      <c r="AU86" s="79">
        <f t="shared" si="39"/>
        <v>1.4298749999999993</v>
      </c>
      <c r="AV86" s="79">
        <f t="shared" si="40"/>
        <v>0.81026249999999989</v>
      </c>
      <c r="AW86" s="79">
        <f t="shared" si="15"/>
        <v>0.53620312499999978</v>
      </c>
      <c r="AX86" s="212">
        <f t="shared" si="16"/>
        <v>0.28597499999999987</v>
      </c>
      <c r="AY86" s="65">
        <f>AT86*$X$4*パラメータ!$D$23</f>
        <v>15.251970937499991</v>
      </c>
      <c r="AZ86" s="1">
        <f>AV86*$X$5*E86*パラメータ!$D$28</f>
        <v>20.661693749999998</v>
      </c>
      <c r="BA86" s="1">
        <f>SUMPRODUCT($AC$4:$AC$10,$AD$4:$AD$10)*E86*パラメータ!$D$26*10^-3</f>
        <v>9.5625</v>
      </c>
      <c r="BB86" s="1">
        <f>(AW86+AX86)*$X$6*$X$4*パラメータ!$D$21*10^-3</f>
        <v>5.5497023437499973</v>
      </c>
      <c r="BC86" s="1">
        <f>($X$8*$X$9*パラメータ!$D$21+0.5*$X$8^2*SIN(RADIANS($X$10))*パラメータ!$D$24)*E86*10^-3</f>
        <v>2.4811109102173465</v>
      </c>
      <c r="BD86" s="1">
        <f t="shared" si="41"/>
        <v>14.298749999999993</v>
      </c>
      <c r="BE86" s="1">
        <f t="shared" si="42"/>
        <v>4</v>
      </c>
      <c r="BF86" s="1">
        <f>IF(G86="端リブ",AT86*$X$13*パラメータ!$D$21*2,0)</f>
        <v>0</v>
      </c>
      <c r="BG86" s="1" t="e">
        <f>主桁!BA42*1000</f>
        <v>#REF!</v>
      </c>
      <c r="BH86" s="1">
        <f t="shared" si="22"/>
        <v>71.805727941467325</v>
      </c>
      <c r="BI86" s="1" t="e">
        <f t="shared" si="23"/>
        <v>#REF!</v>
      </c>
      <c r="BJ86" s="2">
        <f>(Y86-機体重量!$Q$6)^2+(Z86-機体重量!$R$6)^2</f>
        <v>5.4950777486569501E-4</v>
      </c>
      <c r="BK86" s="2">
        <f>(Z86-機体重量!$R$6)^2</f>
        <v>3.8816156979940122E-4</v>
      </c>
      <c r="BL86" s="222">
        <f>(Y86-機体重量!$Q$6)^2</f>
        <v>1.6134620506629379E-4</v>
      </c>
    </row>
    <row r="87" spans="2:64">
      <c r="B87" s="28">
        <v>36</v>
      </c>
      <c r="C87" s="1">
        <f t="shared" si="26"/>
        <v>7.0000000000000071</v>
      </c>
      <c r="D87" s="1">
        <f t="shared" si="28"/>
        <v>689.99999999999977</v>
      </c>
      <c r="E87" s="21">
        <v>0.2</v>
      </c>
      <c r="F87" s="21" t="str">
        <f>IF(C87&lt;$N$7,"flat",IF(C87&lt;$N$8,"1st",IF(C87&lt;$N$9,"2nd",IF(C87&lt;$N$10,"3rd",IF(C87&lt;$N$11,"4th",IF(C87&lt;$N$12,"5th","6th"))))))</f>
        <v>2nd</v>
      </c>
      <c r="G87" s="4" t="str">
        <f t="shared" si="29"/>
        <v>2番</v>
      </c>
      <c r="H87" s="283" t="s">
        <v>1412</v>
      </c>
      <c r="I87" s="65">
        <f t="shared" si="17"/>
        <v>84.697999999999936</v>
      </c>
      <c r="J87" s="1">
        <f t="shared" si="18"/>
        <v>83.835499999999911</v>
      </c>
      <c r="K87" s="1">
        <f t="shared" si="30"/>
        <v>0.35</v>
      </c>
      <c r="L87" s="212"/>
      <c r="M87" s="65" t="str">
        <f t="shared" si="31"/>
        <v>QX0023</v>
      </c>
      <c r="N87" s="1">
        <f t="shared" si="19"/>
        <v>100</v>
      </c>
      <c r="O87" s="1" t="str">
        <f t="shared" si="32"/>
        <v>QX0023</v>
      </c>
      <c r="P87" s="1">
        <f t="shared" si="33"/>
        <v>0</v>
      </c>
      <c r="Q87" s="1">
        <f t="shared" si="34"/>
        <v>0.24149999999999991</v>
      </c>
      <c r="R87" s="1">
        <f t="shared" si="35"/>
        <v>-0.44849999999999979</v>
      </c>
      <c r="S87" s="1">
        <f t="shared" si="43"/>
        <v>6.2000000000000064</v>
      </c>
      <c r="T87" s="1">
        <f t="shared" si="44"/>
        <v>0</v>
      </c>
      <c r="U87" s="1">
        <f t="shared" si="36"/>
        <v>2</v>
      </c>
      <c r="V87" s="7">
        <f t="shared" si="37"/>
        <v>0</v>
      </c>
      <c r="W87" s="216"/>
      <c r="X87" s="79"/>
      <c r="Y87" s="79"/>
      <c r="Z87" s="79"/>
      <c r="AA87" s="79"/>
      <c r="AB87" s="79"/>
      <c r="AC87" s="217"/>
      <c r="AD87" s="79"/>
      <c r="AE87" s="79"/>
      <c r="AF87" s="216"/>
      <c r="AG87" s="79"/>
      <c r="AH87" s="79"/>
      <c r="AI87" s="79"/>
      <c r="AJ87" s="79"/>
      <c r="AK87" s="79"/>
      <c r="AL87" s="79"/>
      <c r="AM87" s="79"/>
      <c r="AN87" s="79"/>
      <c r="AO87" s="79"/>
      <c r="AP87" s="79"/>
      <c r="AQ87" s="79"/>
      <c r="AR87" s="79"/>
      <c r="AS87" s="79"/>
      <c r="AT87" s="79">
        <f t="shared" si="38"/>
        <v>4.5229499999999964E-2</v>
      </c>
      <c r="AU87" s="79">
        <f t="shared" si="39"/>
        <v>1.4144999999999994</v>
      </c>
      <c r="AV87" s="79">
        <f t="shared" si="40"/>
        <v>0.81026249999999989</v>
      </c>
      <c r="AW87" s="79">
        <f t="shared" si="15"/>
        <v>0.53043749999999978</v>
      </c>
      <c r="AX87" s="212">
        <f t="shared" si="16"/>
        <v>0.28289999999999987</v>
      </c>
      <c r="AY87" s="65">
        <f>AT87*$X$4*パラメータ!$D$23</f>
        <v>14.925734999999989</v>
      </c>
      <c r="AZ87" s="1">
        <f>AV87*$X$5*E87*パラメータ!$D$28</f>
        <v>27.548924999999997</v>
      </c>
      <c r="BA87" s="1">
        <f>SUMPRODUCT($AC$4:$AC$10,$AD$4:$AD$10)*E87*パラメータ!$D$26*10^-3</f>
        <v>12.75</v>
      </c>
      <c r="BB87" s="1">
        <f>(AW87+AX87)*$X$6*$X$4*パラメータ!$D$21*10^-3</f>
        <v>5.4900281249999976</v>
      </c>
      <c r="BC87" s="1">
        <f>($X$8*$X$9*パラメータ!$D$21+0.5*$X$8^2*SIN(RADIANS($X$10))*パラメータ!$D$24)*E87*10^-3</f>
        <v>3.3081478802897957</v>
      </c>
      <c r="BD87" s="1">
        <f t="shared" si="41"/>
        <v>14.144999999999994</v>
      </c>
      <c r="BE87" s="1">
        <f t="shared" si="42"/>
        <v>4</v>
      </c>
      <c r="BF87" s="1">
        <f>IF(G87="端リブ",AT87*$X$13*パラメータ!$D$21*2,0)</f>
        <v>0</v>
      </c>
      <c r="BG87" s="1" t="e">
        <f>主桁!BA43*1000</f>
        <v>#REF!</v>
      </c>
      <c r="BH87" s="1">
        <f t="shared" si="22"/>
        <v>82.167836005289772</v>
      </c>
      <c r="BI87" s="1" t="e">
        <f t="shared" si="23"/>
        <v>#REF!</v>
      </c>
      <c r="BJ87" s="2">
        <f>(Y87-機体重量!$Q$6)^2+(Z87-機体重量!$R$6)^2</f>
        <v>5.4950777486569501E-4</v>
      </c>
      <c r="BK87" s="2">
        <f>(Z87-機体重量!$R$6)^2</f>
        <v>3.8816156979940122E-4</v>
      </c>
      <c r="BL87" s="222">
        <f>(Y87-機体重量!$Q$6)^2</f>
        <v>1.6134620506629379E-4</v>
      </c>
    </row>
    <row r="88" spans="2:64">
      <c r="B88" s="104">
        <v>37</v>
      </c>
      <c r="C88" s="1">
        <f t="shared" si="26"/>
        <v>7.2000000000000073</v>
      </c>
      <c r="D88" s="1">
        <f t="shared" si="28"/>
        <v>679.99999999999966</v>
      </c>
      <c r="E88" s="21">
        <v>0.15</v>
      </c>
      <c r="F88" s="21" t="s">
        <v>912</v>
      </c>
      <c r="G88" s="4" t="str">
        <f t="shared" si="29"/>
        <v>2番</v>
      </c>
      <c r="H88" s="283" t="s">
        <v>1411</v>
      </c>
      <c r="I88" s="65">
        <f t="shared" si="17"/>
        <v>83.097999999999928</v>
      </c>
      <c r="J88" s="1">
        <f t="shared" si="18"/>
        <v>82.211499999999916</v>
      </c>
      <c r="K88" s="1">
        <f t="shared" si="30"/>
        <v>0.35</v>
      </c>
      <c r="L88" s="212"/>
      <c r="M88" s="65" t="str">
        <f t="shared" si="31"/>
        <v>QX0023</v>
      </c>
      <c r="N88" s="1">
        <f t="shared" si="19"/>
        <v>100</v>
      </c>
      <c r="O88" s="1" t="str">
        <f t="shared" si="32"/>
        <v>QX0023</v>
      </c>
      <c r="P88" s="1">
        <f t="shared" si="33"/>
        <v>0</v>
      </c>
      <c r="Q88" s="1">
        <f t="shared" si="34"/>
        <v>0.23799999999999985</v>
      </c>
      <c r="R88" s="1">
        <f t="shared" si="35"/>
        <v>-0.44199999999999973</v>
      </c>
      <c r="S88" s="1">
        <f t="shared" si="43"/>
        <v>6.4000000000000066</v>
      </c>
      <c r="T88" s="1">
        <f t="shared" si="44"/>
        <v>0</v>
      </c>
      <c r="U88" s="1">
        <f t="shared" si="36"/>
        <v>2</v>
      </c>
      <c r="V88" s="7">
        <f t="shared" si="37"/>
        <v>6</v>
      </c>
      <c r="W88" s="216"/>
      <c r="X88" s="79"/>
      <c r="Y88" s="79"/>
      <c r="Z88" s="79"/>
      <c r="AA88" s="79"/>
      <c r="AB88" s="79"/>
      <c r="AC88" s="217"/>
      <c r="AD88" s="79"/>
      <c r="AE88" s="79"/>
      <c r="AF88" s="216"/>
      <c r="AG88" s="79"/>
      <c r="AH88" s="79"/>
      <c r="AI88" s="79"/>
      <c r="AJ88" s="79"/>
      <c r="AK88" s="79"/>
      <c r="AL88" s="79"/>
      <c r="AM88" s="79"/>
      <c r="AN88" s="79"/>
      <c r="AO88" s="79"/>
      <c r="AP88" s="79"/>
      <c r="AQ88" s="79"/>
      <c r="AR88" s="79"/>
      <c r="AS88" s="79"/>
      <c r="AT88" s="79">
        <f t="shared" si="38"/>
        <v>4.3927999999999953E-2</v>
      </c>
      <c r="AU88" s="79">
        <f t="shared" si="39"/>
        <v>1.393999999999999</v>
      </c>
      <c r="AV88" s="79">
        <f t="shared" si="40"/>
        <v>0.81026249999999989</v>
      </c>
      <c r="AW88" s="79">
        <f t="shared" si="15"/>
        <v>0.5227499999999996</v>
      </c>
      <c r="AX88" s="212">
        <f t="shared" si="16"/>
        <v>0.27879999999999983</v>
      </c>
      <c r="AY88" s="65">
        <f>AT88*$X$4*パラメータ!$D$23</f>
        <v>14.496239999999986</v>
      </c>
      <c r="AZ88" s="1">
        <f>AV88*$X$5*E88*パラメータ!$D$28</f>
        <v>20.661693749999998</v>
      </c>
      <c r="BA88" s="1">
        <f>SUMPRODUCT($AC$4:$AC$10,$AD$4:$AD$10)*E88*パラメータ!$D$26*10^-3</f>
        <v>9.5625</v>
      </c>
      <c r="BB88" s="1">
        <f>(AW88+AX88)*$X$6*$X$4*パラメータ!$D$21*10^-3</f>
        <v>5.410462499999996</v>
      </c>
      <c r="BC88" s="1">
        <f>($X$8*$X$9*パラメータ!$D$21+0.5*$X$8^2*SIN(RADIANS($X$10))*パラメータ!$D$24)*E88*10^-3</f>
        <v>2.4811109102173465</v>
      </c>
      <c r="BD88" s="1">
        <f t="shared" si="41"/>
        <v>13.939999999999991</v>
      </c>
      <c r="BE88" s="1">
        <f t="shared" si="42"/>
        <v>4</v>
      </c>
      <c r="BF88" s="1">
        <f>IF(G88="端リブ",AT88*$X$13*パラメータ!$D$21*2,0)</f>
        <v>0</v>
      </c>
      <c r="BG88" s="1" t="e">
        <f>主桁!BA44*1000</f>
        <v>#REF!</v>
      </c>
      <c r="BH88" s="1">
        <f t="shared" si="22"/>
        <v>70.552007160217315</v>
      </c>
      <c r="BI88" s="1" t="e">
        <f t="shared" si="23"/>
        <v>#REF!</v>
      </c>
      <c r="BJ88" s="2">
        <f>(Y88-機体重量!$Q$6)^2+(Z88-機体重量!$R$6)^2</f>
        <v>5.4950777486569501E-4</v>
      </c>
      <c r="BK88" s="2">
        <f>(Z88-機体重量!$R$6)^2</f>
        <v>3.8816156979940122E-4</v>
      </c>
      <c r="BL88" s="222">
        <f>(Y88-機体重量!$Q$6)^2</f>
        <v>1.6134620506629379E-4</v>
      </c>
    </row>
    <row r="89" spans="2:64">
      <c r="B89" s="28">
        <v>38</v>
      </c>
      <c r="C89" s="1">
        <f t="shared" si="26"/>
        <v>7.3500000000000076</v>
      </c>
      <c r="D89" s="1">
        <f t="shared" si="28"/>
        <v>672.49999999999955</v>
      </c>
      <c r="E89" s="21">
        <v>0.15</v>
      </c>
      <c r="F89" s="21" t="str">
        <f>IF(C89&lt;$N$7,"flat",IF(C89&lt;$N$8,"1st",IF(C89&lt;$N$9,"2nd",IF(C89&lt;$N$10,"3rd",IF(C89&lt;$N$11,"4th",IF(C89&lt;$N$12,"5th","6th"))))))</f>
        <v>3rd</v>
      </c>
      <c r="G89" s="4" t="str">
        <f t="shared" si="29"/>
        <v>2番</v>
      </c>
      <c r="H89" s="283" t="s">
        <v>1412</v>
      </c>
      <c r="I89" s="65">
        <f t="shared" si="17"/>
        <v>81.897999999999939</v>
      </c>
      <c r="J89" s="1">
        <f t="shared" si="18"/>
        <v>80.993499999999912</v>
      </c>
      <c r="K89" s="1">
        <f t="shared" si="30"/>
        <v>0.35</v>
      </c>
      <c r="L89" s="212"/>
      <c r="M89" s="65" t="str">
        <f t="shared" si="31"/>
        <v>QX0023</v>
      </c>
      <c r="N89" s="1">
        <f t="shared" si="19"/>
        <v>100</v>
      </c>
      <c r="O89" s="1" t="str">
        <f t="shared" si="32"/>
        <v>QX0023</v>
      </c>
      <c r="P89" s="1">
        <f t="shared" si="33"/>
        <v>0</v>
      </c>
      <c r="Q89" s="1">
        <f t="shared" si="34"/>
        <v>0.23537499999999983</v>
      </c>
      <c r="R89" s="1">
        <f t="shared" si="35"/>
        <v>-0.43712499999999971</v>
      </c>
      <c r="S89" s="1">
        <f t="shared" si="43"/>
        <v>6.5491782843052473</v>
      </c>
      <c r="T89" s="1">
        <f t="shared" si="44"/>
        <v>1.5679269490148019E-2</v>
      </c>
      <c r="U89" s="1">
        <f t="shared" si="36"/>
        <v>2</v>
      </c>
      <c r="V89" s="7">
        <f t="shared" si="37"/>
        <v>6</v>
      </c>
      <c r="W89" s="216"/>
      <c r="X89" s="79"/>
      <c r="Y89" s="79"/>
      <c r="Z89" s="79"/>
      <c r="AA89" s="79"/>
      <c r="AB89" s="79"/>
      <c r="AC89" s="217"/>
      <c r="AD89" s="79"/>
      <c r="AE89" s="79"/>
      <c r="AF89" s="216"/>
      <c r="AG89" s="79"/>
      <c r="AH89" s="79"/>
      <c r="AI89" s="79"/>
      <c r="AJ89" s="79"/>
      <c r="AK89" s="79"/>
      <c r="AL89" s="79"/>
      <c r="AM89" s="79"/>
      <c r="AN89" s="79"/>
      <c r="AO89" s="79"/>
      <c r="AP89" s="79"/>
      <c r="AQ89" s="79"/>
      <c r="AR89" s="79"/>
      <c r="AS89" s="79"/>
      <c r="AT89" s="79">
        <f t="shared" si="38"/>
        <v>4.2964343749999939E-2</v>
      </c>
      <c r="AU89" s="79">
        <f t="shared" si="39"/>
        <v>1.3786249999999989</v>
      </c>
      <c r="AV89" s="79">
        <f t="shared" si="40"/>
        <v>0.81026249999999989</v>
      </c>
      <c r="AW89" s="79">
        <f t="shared" si="15"/>
        <v>0.51698437499999961</v>
      </c>
      <c r="AX89" s="212">
        <f t="shared" si="16"/>
        <v>0.27572499999999978</v>
      </c>
      <c r="AY89" s="65">
        <f>AT89*$X$4*パラメータ!$D$23</f>
        <v>14.17823343749998</v>
      </c>
      <c r="AZ89" s="1">
        <f>AV89*$X$5*E89*パラメータ!$D$28</f>
        <v>20.661693749999998</v>
      </c>
      <c r="BA89" s="1">
        <f>SUMPRODUCT($AC$4:$AC$10,$AD$4:$AD$10)*E89*パラメータ!$D$26*10^-3</f>
        <v>9.5625</v>
      </c>
      <c r="BB89" s="1">
        <f>(AW89+AX89)*$X$6*$X$4*パラメータ!$D$21*10^-3</f>
        <v>5.3507882812499954</v>
      </c>
      <c r="BC89" s="1">
        <f>($X$8*$X$9*パラメータ!$D$21+0.5*$X$8^2*SIN(RADIANS($X$10))*パラメータ!$D$24)*E89*10^-3</f>
        <v>2.4811109102173465</v>
      </c>
      <c r="BD89" s="1">
        <f t="shared" si="41"/>
        <v>13.786249999999988</v>
      </c>
      <c r="BE89" s="1">
        <f t="shared" si="42"/>
        <v>4</v>
      </c>
      <c r="BF89" s="1">
        <f>IF(G89="端リブ",AT89*$X$13*パラメータ!$D$21*2,0)</f>
        <v>0</v>
      </c>
      <c r="BG89" s="1" t="e">
        <f>主桁!BA45*1000</f>
        <v>#REF!</v>
      </c>
      <c r="BH89" s="1">
        <f t="shared" si="22"/>
        <v>70.02057637896732</v>
      </c>
      <c r="BI89" s="1" t="e">
        <f t="shared" si="23"/>
        <v>#REF!</v>
      </c>
      <c r="BJ89" s="2">
        <f>(Y89-機体重量!$Q$6)^2+(Z89-機体重量!$R$6)^2</f>
        <v>5.4950777486569501E-4</v>
      </c>
      <c r="BK89" s="2">
        <f>(Z89-機体重量!$R$6)^2</f>
        <v>3.8816156979940122E-4</v>
      </c>
      <c r="BL89" s="222">
        <f>(Y89-機体重量!$Q$6)^2</f>
        <v>1.6134620506629379E-4</v>
      </c>
    </row>
    <row r="90" spans="2:64">
      <c r="B90" s="104">
        <v>39</v>
      </c>
      <c r="C90" s="1">
        <f t="shared" si="26"/>
        <v>7.500000000000008</v>
      </c>
      <c r="D90" s="1">
        <f t="shared" si="28"/>
        <v>664.99999999999955</v>
      </c>
      <c r="E90" s="21">
        <v>0.15</v>
      </c>
      <c r="F90" s="21" t="str">
        <f>IF(C90&lt;$N$7,"flat",IF(C90&lt;$N$8,"1st",IF(C90&lt;$N$9,"2nd",IF(C90&lt;$N$10,"3rd",IF(C90&lt;$N$11,"4th",IF(C90&lt;$N$12,"5th","6th"))))))</f>
        <v>3rd</v>
      </c>
      <c r="G90" s="4" t="str">
        <f t="shared" si="29"/>
        <v>2番</v>
      </c>
      <c r="H90" s="283" t="s">
        <v>1411</v>
      </c>
      <c r="I90" s="65">
        <f t="shared" si="17"/>
        <v>80.697999999999922</v>
      </c>
      <c r="J90" s="1">
        <f t="shared" si="18"/>
        <v>79.775499999999909</v>
      </c>
      <c r="K90" s="1">
        <f t="shared" si="30"/>
        <v>0.35</v>
      </c>
      <c r="L90" s="212"/>
      <c r="M90" s="65" t="str">
        <f t="shared" si="31"/>
        <v>QX0023</v>
      </c>
      <c r="N90" s="1">
        <f t="shared" si="19"/>
        <v>100</v>
      </c>
      <c r="O90" s="1" t="str">
        <f t="shared" si="32"/>
        <v>QX0023</v>
      </c>
      <c r="P90" s="1">
        <f t="shared" si="33"/>
        <v>0</v>
      </c>
      <c r="Q90" s="1">
        <f t="shared" si="34"/>
        <v>0.23274999999999982</v>
      </c>
      <c r="R90" s="1">
        <f t="shared" si="35"/>
        <v>-0.4322499999999998</v>
      </c>
      <c r="S90" s="1">
        <f t="shared" si="43"/>
        <v>6.698356568610488</v>
      </c>
      <c r="T90" s="1">
        <f t="shared" si="44"/>
        <v>3.1358538980296037E-2</v>
      </c>
      <c r="U90" s="1">
        <f t="shared" si="36"/>
        <v>2</v>
      </c>
      <c r="V90" s="7">
        <f t="shared" si="37"/>
        <v>6</v>
      </c>
      <c r="W90" s="216"/>
      <c r="X90" s="79"/>
      <c r="Y90" s="79"/>
      <c r="Z90" s="79"/>
      <c r="AA90" s="79"/>
      <c r="AB90" s="79"/>
      <c r="AC90" s="217"/>
      <c r="AD90" s="79"/>
      <c r="AE90" s="79"/>
      <c r="AF90" s="216"/>
      <c r="AG90" s="79"/>
      <c r="AH90" s="79"/>
      <c r="AI90" s="79"/>
      <c r="AJ90" s="79"/>
      <c r="AK90" s="79"/>
      <c r="AL90" s="79"/>
      <c r="AM90" s="79"/>
      <c r="AN90" s="79"/>
      <c r="AO90" s="79"/>
      <c r="AP90" s="79"/>
      <c r="AQ90" s="79"/>
      <c r="AR90" s="79"/>
      <c r="AS90" s="79"/>
      <c r="AT90" s="79">
        <f t="shared" si="38"/>
        <v>4.2011374999999948E-2</v>
      </c>
      <c r="AU90" s="79">
        <f t="shared" si="39"/>
        <v>1.363249999999999</v>
      </c>
      <c r="AV90" s="79">
        <f t="shared" si="40"/>
        <v>0.81026249999999989</v>
      </c>
      <c r="AW90" s="79">
        <f t="shared" si="15"/>
        <v>0.51121874999999961</v>
      </c>
      <c r="AX90" s="212">
        <f t="shared" si="16"/>
        <v>0.27264999999999978</v>
      </c>
      <c r="AY90" s="65">
        <f>AT90*$X$4*パラメータ!$D$23</f>
        <v>13.863753749999983</v>
      </c>
      <c r="AZ90" s="1">
        <f>AV90*$X$5*E90*パラメータ!$D$28</f>
        <v>20.661693749999998</v>
      </c>
      <c r="BA90" s="1">
        <f>SUMPRODUCT($AC$4:$AC$10,$AD$4:$AD$10)*E90*パラメータ!$D$26*10^-3</f>
        <v>9.5625</v>
      </c>
      <c r="BB90" s="1">
        <f>(AW90+AX90)*$X$6*$X$4*パラメータ!$D$21*10^-3</f>
        <v>5.2911140624999966</v>
      </c>
      <c r="BC90" s="1">
        <f>($X$8*$X$9*パラメータ!$D$21+0.5*$X$8^2*SIN(RADIANS($X$10))*パラメータ!$D$24)*E90*10^-3</f>
        <v>2.4811109102173465</v>
      </c>
      <c r="BD90" s="1">
        <f t="shared" si="41"/>
        <v>13.63249999999999</v>
      </c>
      <c r="BE90" s="1">
        <f t="shared" si="42"/>
        <v>4</v>
      </c>
      <c r="BF90" s="1">
        <f>IF(G90="端リブ",AT90*$X$13*パラメータ!$D$21*2,0)</f>
        <v>0</v>
      </c>
      <c r="BG90" s="1" t="e">
        <f>主桁!BA46*1000</f>
        <v>#REF!</v>
      </c>
      <c r="BH90" s="1">
        <f t="shared" si="22"/>
        <v>69.492672472717317</v>
      </c>
      <c r="BI90" s="1" t="e">
        <f t="shared" si="23"/>
        <v>#REF!</v>
      </c>
      <c r="BJ90" s="2">
        <f>(Y90-機体重量!$Q$6)^2+(Z90-機体重量!$R$6)^2</f>
        <v>5.4950777486569501E-4</v>
      </c>
      <c r="BK90" s="2">
        <f>(Z90-機体重量!$R$6)^2</f>
        <v>3.8816156979940122E-4</v>
      </c>
      <c r="BL90" s="222">
        <f>(Y90-機体重量!$Q$6)^2</f>
        <v>1.6134620506629379E-4</v>
      </c>
    </row>
    <row r="91" spans="2:64">
      <c r="B91" s="28">
        <v>40</v>
      </c>
      <c r="C91" s="1">
        <f t="shared" si="26"/>
        <v>7.6500000000000083</v>
      </c>
      <c r="D91" s="1">
        <f t="shared" si="28"/>
        <v>657.49999999999955</v>
      </c>
      <c r="E91" s="21">
        <v>0.15</v>
      </c>
      <c r="F91" s="21" t="str">
        <f>IF(C91&lt;$N$7,"flat",IF(C91&lt;$N$8,"1st",IF(C91&lt;$N$9,"2nd",IF(C91&lt;$N$10,"3rd",IF(C91&lt;$N$11,"4th",IF(C91&lt;$N$12,"5th","6th"))))))</f>
        <v>3rd</v>
      </c>
      <c r="G91" s="4" t="str">
        <f t="shared" si="29"/>
        <v>2番</v>
      </c>
      <c r="H91" s="283" t="s">
        <v>1412</v>
      </c>
      <c r="I91" s="65">
        <f t="shared" si="17"/>
        <v>79.497999999999934</v>
      </c>
      <c r="J91" s="1">
        <f t="shared" si="18"/>
        <v>78.557499999999919</v>
      </c>
      <c r="K91" s="1">
        <f t="shared" si="30"/>
        <v>0.35</v>
      </c>
      <c r="L91" s="212"/>
      <c r="M91" s="65" t="str">
        <f t="shared" si="31"/>
        <v>QX0023</v>
      </c>
      <c r="N91" s="1">
        <f t="shared" si="19"/>
        <v>100</v>
      </c>
      <c r="O91" s="1" t="str">
        <f t="shared" si="32"/>
        <v>QX0023</v>
      </c>
      <c r="P91" s="1">
        <f t="shared" si="33"/>
        <v>0</v>
      </c>
      <c r="Q91" s="1">
        <f t="shared" si="34"/>
        <v>0.23012499999999983</v>
      </c>
      <c r="R91" s="1">
        <f t="shared" si="35"/>
        <v>-0.42737499999999973</v>
      </c>
      <c r="S91" s="1">
        <f t="shared" si="43"/>
        <v>6.8475348529157287</v>
      </c>
      <c r="T91" s="1">
        <f t="shared" si="44"/>
        <v>4.7037808470444059E-2</v>
      </c>
      <c r="U91" s="1">
        <f t="shared" si="36"/>
        <v>2</v>
      </c>
      <c r="V91" s="7">
        <f t="shared" si="37"/>
        <v>6</v>
      </c>
      <c r="W91" s="216"/>
      <c r="X91" s="79"/>
      <c r="Y91" s="79"/>
      <c r="Z91" s="79"/>
      <c r="AA91" s="79"/>
      <c r="AB91" s="79"/>
      <c r="AC91" s="217"/>
      <c r="AD91" s="79"/>
      <c r="AE91" s="79"/>
      <c r="AF91" s="216"/>
      <c r="AG91" s="79"/>
      <c r="AH91" s="79"/>
      <c r="AI91" s="79"/>
      <c r="AJ91" s="79"/>
      <c r="AK91" s="79"/>
      <c r="AL91" s="79"/>
      <c r="AM91" s="79"/>
      <c r="AN91" s="79"/>
      <c r="AO91" s="79"/>
      <c r="AP91" s="79"/>
      <c r="AQ91" s="79"/>
      <c r="AR91" s="79"/>
      <c r="AS91" s="79"/>
      <c r="AT91" s="79">
        <f t="shared" si="38"/>
        <v>4.1069093749999945E-2</v>
      </c>
      <c r="AU91" s="79">
        <f t="shared" si="39"/>
        <v>1.3478749999999988</v>
      </c>
      <c r="AV91" s="79">
        <f t="shared" si="40"/>
        <v>0.81026249999999989</v>
      </c>
      <c r="AW91" s="79">
        <f t="shared" si="15"/>
        <v>0.50545312499999961</v>
      </c>
      <c r="AX91" s="212">
        <f t="shared" si="16"/>
        <v>0.26957499999999979</v>
      </c>
      <c r="AY91" s="65">
        <f>AT91*$X$4*パラメータ!$D$23</f>
        <v>13.552800937499983</v>
      </c>
      <c r="AZ91" s="1">
        <f>AV91*$X$5*E91*パラメータ!$D$28</f>
        <v>20.661693749999998</v>
      </c>
      <c r="BA91" s="1">
        <f>SUMPRODUCT($AC$4:$AC$10,$AD$4:$AD$10)*E91*パラメータ!$D$26*10^-3</f>
        <v>9.5625</v>
      </c>
      <c r="BB91" s="1">
        <f>(AW91+AX91)*$X$6*$X$4*パラメータ!$D$21*10^-3</f>
        <v>5.231439843749996</v>
      </c>
      <c r="BC91" s="1">
        <f>($X$8*$X$9*パラメータ!$D$21+0.5*$X$8^2*SIN(RADIANS($X$10))*パラメータ!$D$24)*E91*10^-3</f>
        <v>2.4811109102173465</v>
      </c>
      <c r="BD91" s="1">
        <f t="shared" si="41"/>
        <v>13.478749999999987</v>
      </c>
      <c r="BE91" s="1">
        <f t="shared" si="42"/>
        <v>4</v>
      </c>
      <c r="BF91" s="1">
        <f>IF(G91="端リブ",AT91*$X$13*パラメータ!$D$21*2,0)</f>
        <v>0</v>
      </c>
      <c r="BG91" s="1" t="e">
        <f>主桁!BA47*1000</f>
        <v>#REF!</v>
      </c>
      <c r="BH91" s="1">
        <f t="shared" si="22"/>
        <v>68.968295441467305</v>
      </c>
      <c r="BI91" s="1" t="e">
        <f t="shared" si="23"/>
        <v>#REF!</v>
      </c>
      <c r="BJ91" s="2">
        <f>(Y91-機体重量!$Q$6)^2+(Z91-機体重量!$R$6)^2</f>
        <v>5.4950777486569501E-4</v>
      </c>
      <c r="BK91" s="2">
        <f>(Z91-機体重量!$R$6)^2</f>
        <v>3.8816156979940122E-4</v>
      </c>
      <c r="BL91" s="222">
        <f>(Y91-機体重量!$Q$6)^2</f>
        <v>1.6134620506629379E-4</v>
      </c>
    </row>
    <row r="92" spans="2:64">
      <c r="B92" s="104">
        <v>41</v>
      </c>
      <c r="C92" s="1">
        <f t="shared" si="26"/>
        <v>7.8000000000000087</v>
      </c>
      <c r="D92" s="1">
        <f t="shared" si="28"/>
        <v>649.99999999999943</v>
      </c>
      <c r="E92" s="21">
        <v>0.15</v>
      </c>
      <c r="F92" s="21" t="str">
        <f>IF(C92&lt;$N$7,"flat",IF(C92&lt;$N$8,"1st",IF(C92&lt;$N$9,"2nd",IF(C92&lt;$N$10,"3rd",IF(C92&lt;$N$11,"4th",IF(C92&lt;$N$12,"5th","6th"))))))</f>
        <v>3rd</v>
      </c>
      <c r="G92" s="4" t="str">
        <f t="shared" si="29"/>
        <v>2番</v>
      </c>
      <c r="H92" s="283" t="s">
        <v>1411</v>
      </c>
      <c r="I92" s="65">
        <f t="shared" si="17"/>
        <v>78.297999999999917</v>
      </c>
      <c r="J92" s="1">
        <f t="shared" si="18"/>
        <v>77.339499999999902</v>
      </c>
      <c r="K92" s="1">
        <f t="shared" si="30"/>
        <v>0.35</v>
      </c>
      <c r="L92" s="212"/>
      <c r="M92" s="65" t="str">
        <f t="shared" si="31"/>
        <v>QX0023</v>
      </c>
      <c r="N92" s="1">
        <f t="shared" si="19"/>
        <v>100</v>
      </c>
      <c r="O92" s="1" t="str">
        <f t="shared" si="32"/>
        <v>QX0023</v>
      </c>
      <c r="P92" s="1">
        <f t="shared" si="33"/>
        <v>0</v>
      </c>
      <c r="Q92" s="1">
        <f t="shared" si="34"/>
        <v>0.22749999999999979</v>
      </c>
      <c r="R92" s="1">
        <f t="shared" si="35"/>
        <v>-0.42249999999999965</v>
      </c>
      <c r="S92" s="1">
        <f t="shared" si="43"/>
        <v>6.9967131372209694</v>
      </c>
      <c r="T92" s="1">
        <f t="shared" si="44"/>
        <v>6.2717077960592074E-2</v>
      </c>
      <c r="U92" s="1">
        <f t="shared" si="36"/>
        <v>2</v>
      </c>
      <c r="V92" s="7">
        <f t="shared" si="37"/>
        <v>6</v>
      </c>
      <c r="W92" s="216"/>
      <c r="X92" s="79"/>
      <c r="Y92" s="79"/>
      <c r="Z92" s="79"/>
      <c r="AA92" s="79"/>
      <c r="AB92" s="79"/>
      <c r="AC92" s="217"/>
      <c r="AD92" s="79"/>
      <c r="AE92" s="79"/>
      <c r="AF92" s="216"/>
      <c r="AG92" s="79"/>
      <c r="AH92" s="79"/>
      <c r="AI92" s="79"/>
      <c r="AJ92" s="79"/>
      <c r="AK92" s="79"/>
      <c r="AL92" s="79"/>
      <c r="AM92" s="79"/>
      <c r="AN92" s="79"/>
      <c r="AO92" s="79"/>
      <c r="AP92" s="79"/>
      <c r="AQ92" s="79"/>
      <c r="AR92" s="79"/>
      <c r="AS92" s="79"/>
      <c r="AT92" s="79">
        <f t="shared" si="38"/>
        <v>4.0137499999999937E-2</v>
      </c>
      <c r="AU92" s="79">
        <f t="shared" si="39"/>
        <v>1.3324999999999987</v>
      </c>
      <c r="AV92" s="79">
        <f t="shared" si="40"/>
        <v>0.81026249999999989</v>
      </c>
      <c r="AW92" s="79">
        <f t="shared" si="15"/>
        <v>0.49968749999999951</v>
      </c>
      <c r="AX92" s="212">
        <f t="shared" si="16"/>
        <v>0.26649999999999974</v>
      </c>
      <c r="AY92" s="65">
        <f>AT92*$X$4*パラメータ!$D$23</f>
        <v>13.24537499999998</v>
      </c>
      <c r="AZ92" s="1">
        <f>AV92*$X$5*E92*パラメータ!$D$28</f>
        <v>20.661693749999998</v>
      </c>
      <c r="BA92" s="1">
        <f>SUMPRODUCT($AC$4:$AC$10,$AD$4:$AD$10)*E92*パラメータ!$D$26*10^-3</f>
        <v>9.5625</v>
      </c>
      <c r="BB92" s="1">
        <f>(AW92+AX92)*$X$6*$X$4*パラメータ!$D$21*10^-3</f>
        <v>5.1717656249999946</v>
      </c>
      <c r="BC92" s="1">
        <f>($X$8*$X$9*パラメータ!$D$21+0.5*$X$8^2*SIN(RADIANS($X$10))*パラメータ!$D$24)*E92*10^-3</f>
        <v>2.4811109102173465</v>
      </c>
      <c r="BD92" s="1">
        <f t="shared" si="41"/>
        <v>13.324999999999987</v>
      </c>
      <c r="BE92" s="1">
        <f t="shared" si="42"/>
        <v>4</v>
      </c>
      <c r="BF92" s="1">
        <f>IF(G92="端リブ",AT92*$X$13*パラメータ!$D$21*2,0)</f>
        <v>0</v>
      </c>
      <c r="BG92" s="1" t="e">
        <f>主桁!BA48*1000</f>
        <v>#REF!</v>
      </c>
      <c r="BH92" s="1">
        <f t="shared" si="22"/>
        <v>68.447445285217299</v>
      </c>
      <c r="BI92" s="1" t="e">
        <f t="shared" si="23"/>
        <v>#REF!</v>
      </c>
      <c r="BJ92" s="2">
        <f>(Y92-機体重量!$Q$6)^2+(Z92-機体重量!$R$6)^2</f>
        <v>5.4950777486569501E-4</v>
      </c>
      <c r="BK92" s="2">
        <f>(Z92-機体重量!$R$6)^2</f>
        <v>3.8816156979940122E-4</v>
      </c>
      <c r="BL92" s="222">
        <f>(Y92-機体重量!$Q$6)^2</f>
        <v>1.6134620506629379E-4</v>
      </c>
    </row>
    <row r="93" spans="2:64">
      <c r="B93" s="28">
        <v>42</v>
      </c>
      <c r="C93" s="1">
        <f t="shared" si="26"/>
        <v>7.9500000000000091</v>
      </c>
      <c r="D93" s="1">
        <f t="shared" si="28"/>
        <v>642.49999999999943</v>
      </c>
      <c r="E93" s="21">
        <v>0.15</v>
      </c>
      <c r="F93" s="21" t="str">
        <f t="shared" ref="F93:F109" si="45">IF(C93&lt;$N$7,"flat",IF(C93&lt;$N$8,"1st",IF(C93&lt;$N$9,"2nd",IF(C93&lt;$N$10,"3rd",IF(C93&lt;$N$11,"4th",IF(C93&lt;$N$12,"5th","6th"))))))</f>
        <v>3rd</v>
      </c>
      <c r="G93" s="4" t="str">
        <f t="shared" si="29"/>
        <v>2番</v>
      </c>
      <c r="H93" s="283" t="s">
        <v>1412</v>
      </c>
      <c r="I93" s="65">
        <f t="shared" si="17"/>
        <v>77.097999999999928</v>
      </c>
      <c r="J93" s="1">
        <f t="shared" si="18"/>
        <v>76.121499999999898</v>
      </c>
      <c r="K93" s="1">
        <f t="shared" si="30"/>
        <v>0.35</v>
      </c>
      <c r="L93" s="212"/>
      <c r="M93" s="65" t="str">
        <f t="shared" si="31"/>
        <v>QX0023</v>
      </c>
      <c r="N93" s="1">
        <f t="shared" si="19"/>
        <v>100</v>
      </c>
      <c r="O93" s="1" t="str">
        <f t="shared" si="32"/>
        <v>QX0023</v>
      </c>
      <c r="P93" s="1">
        <f t="shared" si="33"/>
        <v>0</v>
      </c>
      <c r="Q93" s="1">
        <f t="shared" si="34"/>
        <v>0.22487499999999977</v>
      </c>
      <c r="R93" s="1">
        <f t="shared" si="35"/>
        <v>-0.41762499999999964</v>
      </c>
      <c r="S93" s="1">
        <f t="shared" si="43"/>
        <v>7.1458914215262102</v>
      </c>
      <c r="T93" s="1">
        <f t="shared" si="44"/>
        <v>7.8396347450740089E-2</v>
      </c>
      <c r="U93" s="1">
        <f t="shared" si="36"/>
        <v>2</v>
      </c>
      <c r="V93" s="7">
        <f t="shared" si="37"/>
        <v>6</v>
      </c>
      <c r="W93" s="216"/>
      <c r="X93" s="79"/>
      <c r="Y93" s="79"/>
      <c r="Z93" s="79"/>
      <c r="AA93" s="79"/>
      <c r="AB93" s="79"/>
      <c r="AC93" s="217"/>
      <c r="AD93" s="79"/>
      <c r="AE93" s="79"/>
      <c r="AF93" s="216"/>
      <c r="AG93" s="79"/>
      <c r="AH93" s="79"/>
      <c r="AI93" s="79"/>
      <c r="AJ93" s="79"/>
      <c r="AK93" s="79"/>
      <c r="AL93" s="79"/>
      <c r="AM93" s="79"/>
      <c r="AN93" s="79"/>
      <c r="AO93" s="79"/>
      <c r="AP93" s="79"/>
      <c r="AQ93" s="79"/>
      <c r="AR93" s="79"/>
      <c r="AS93" s="79"/>
      <c r="AT93" s="79">
        <f t="shared" si="38"/>
        <v>3.9216593749999924E-2</v>
      </c>
      <c r="AU93" s="79">
        <f t="shared" si="39"/>
        <v>1.3171249999999985</v>
      </c>
      <c r="AV93" s="79">
        <f t="shared" si="40"/>
        <v>0.81026249999999989</v>
      </c>
      <c r="AW93" s="79">
        <f t="shared" si="15"/>
        <v>0.49392187499999946</v>
      </c>
      <c r="AX93" s="212">
        <f t="shared" si="16"/>
        <v>0.26342499999999974</v>
      </c>
      <c r="AY93" s="65">
        <f>AT93*$X$4*パラメータ!$D$23</f>
        <v>12.941475937499975</v>
      </c>
      <c r="AZ93" s="1">
        <f>AV93*$X$5*E93*パラメータ!$D$28</f>
        <v>20.661693749999998</v>
      </c>
      <c r="BA93" s="1">
        <f>SUMPRODUCT($AC$4:$AC$10,$AD$4:$AD$10)*E93*パラメータ!$D$26*10^-3</f>
        <v>9.5625</v>
      </c>
      <c r="BB93" s="1">
        <f>(AW93+AX93)*$X$6*$X$4*パラメータ!$D$21*10^-3</f>
        <v>5.1120914062499949</v>
      </c>
      <c r="BC93" s="1">
        <f>($X$8*$X$9*パラメータ!$D$21+0.5*$X$8^2*SIN(RADIANS($X$10))*パラメータ!$D$24)*E93*10^-3</f>
        <v>2.4811109102173465</v>
      </c>
      <c r="BD93" s="1">
        <f t="shared" si="41"/>
        <v>13.171249999999986</v>
      </c>
      <c r="BE93" s="1">
        <f t="shared" si="42"/>
        <v>4</v>
      </c>
      <c r="BF93" s="1">
        <f>IF(G93="端リブ",AT93*$X$13*パラメータ!$D$21*2,0)</f>
        <v>0</v>
      </c>
      <c r="BG93" s="1" t="e">
        <f>主桁!BA49*1000</f>
        <v>#REF!</v>
      </c>
      <c r="BH93" s="1">
        <f t="shared" si="22"/>
        <v>67.930122003967298</v>
      </c>
      <c r="BI93" s="1" t="e">
        <f t="shared" si="23"/>
        <v>#REF!</v>
      </c>
      <c r="BJ93" s="2">
        <f>(Y93-機体重量!$Q$6)^2+(Z93-機体重量!$R$6)^2</f>
        <v>5.4950777486569501E-4</v>
      </c>
      <c r="BK93" s="2">
        <f>(Z93-機体重量!$R$6)^2</f>
        <v>3.8816156979940122E-4</v>
      </c>
      <c r="BL93" s="222">
        <f>(Y93-機体重量!$Q$6)^2</f>
        <v>1.6134620506629379E-4</v>
      </c>
    </row>
    <row r="94" spans="2:64">
      <c r="B94" s="104">
        <v>43</v>
      </c>
      <c r="C94" s="1">
        <f t="shared" si="26"/>
        <v>8.1000000000000085</v>
      </c>
      <c r="D94" s="1">
        <f t="shared" si="28"/>
        <v>634.99999999999943</v>
      </c>
      <c r="E94" s="21">
        <v>0.15</v>
      </c>
      <c r="F94" s="21" t="str">
        <f t="shared" si="45"/>
        <v>3rd</v>
      </c>
      <c r="G94" s="4" t="str">
        <f t="shared" si="29"/>
        <v>2番</v>
      </c>
      <c r="H94" s="283" t="s">
        <v>1411</v>
      </c>
      <c r="I94" s="65">
        <f t="shared" si="17"/>
        <v>75.897999999999925</v>
      </c>
      <c r="J94" s="1">
        <f t="shared" si="18"/>
        <v>74.903499999999909</v>
      </c>
      <c r="K94" s="1">
        <f t="shared" si="30"/>
        <v>0.35</v>
      </c>
      <c r="L94" s="212"/>
      <c r="M94" s="65" t="str">
        <f t="shared" si="31"/>
        <v>QX0023</v>
      </c>
      <c r="N94" s="1">
        <f t="shared" si="19"/>
        <v>100</v>
      </c>
      <c r="O94" s="1" t="str">
        <f t="shared" si="32"/>
        <v>QX0023</v>
      </c>
      <c r="P94" s="1">
        <f t="shared" si="33"/>
        <v>0</v>
      </c>
      <c r="Q94" s="1">
        <f t="shared" si="34"/>
        <v>0.22224999999999981</v>
      </c>
      <c r="R94" s="1">
        <f t="shared" si="35"/>
        <v>-0.41274999999999962</v>
      </c>
      <c r="S94" s="1">
        <f t="shared" si="43"/>
        <v>7.2950697058314509</v>
      </c>
      <c r="T94" s="1">
        <f t="shared" si="44"/>
        <v>9.4075616940888104E-2</v>
      </c>
      <c r="U94" s="1">
        <f t="shared" si="36"/>
        <v>2</v>
      </c>
      <c r="V94" s="7">
        <f t="shared" si="37"/>
        <v>6</v>
      </c>
      <c r="W94" s="216"/>
      <c r="X94" s="79"/>
      <c r="Y94" s="79"/>
      <c r="Z94" s="79"/>
      <c r="AA94" s="79"/>
      <c r="AB94" s="79"/>
      <c r="AC94" s="217"/>
      <c r="AD94" s="79"/>
      <c r="AE94" s="79"/>
      <c r="AF94" s="216"/>
      <c r="AG94" s="79"/>
      <c r="AH94" s="79"/>
      <c r="AI94" s="79"/>
      <c r="AJ94" s="79"/>
      <c r="AK94" s="79"/>
      <c r="AL94" s="79"/>
      <c r="AM94" s="79"/>
      <c r="AN94" s="79"/>
      <c r="AO94" s="79"/>
      <c r="AP94" s="79"/>
      <c r="AQ94" s="79"/>
      <c r="AR94" s="79"/>
      <c r="AS94" s="79"/>
      <c r="AT94" s="79">
        <f t="shared" si="38"/>
        <v>3.8306374999999934E-2</v>
      </c>
      <c r="AU94" s="79">
        <f t="shared" si="39"/>
        <v>1.3017499999999986</v>
      </c>
      <c r="AV94" s="79">
        <f t="shared" si="40"/>
        <v>0.81026249999999989</v>
      </c>
      <c r="AW94" s="79">
        <f t="shared" si="15"/>
        <v>0.48815624999999951</v>
      </c>
      <c r="AX94" s="212">
        <f t="shared" si="16"/>
        <v>0.26034999999999975</v>
      </c>
      <c r="AY94" s="65">
        <f>AT94*$X$4*パラメータ!$D$23</f>
        <v>12.64110374999998</v>
      </c>
      <c r="AZ94" s="1">
        <f>AV94*$X$5*E94*パラメータ!$D$28</f>
        <v>20.661693749999998</v>
      </c>
      <c r="BA94" s="1">
        <f>SUMPRODUCT($AC$4:$AC$10,$AD$4:$AD$10)*E94*パラメータ!$D$26*10^-3</f>
        <v>9.5625</v>
      </c>
      <c r="BB94" s="1">
        <f>(AW94+AX94)*$X$6*$X$4*パラメータ!$D$21*10^-3</f>
        <v>5.0524171874999952</v>
      </c>
      <c r="BC94" s="1">
        <f>($X$8*$X$9*パラメータ!$D$21+0.5*$X$8^2*SIN(RADIANS($X$10))*パラメータ!$D$24)*E94*10^-3</f>
        <v>2.4811109102173465</v>
      </c>
      <c r="BD94" s="1">
        <f t="shared" si="41"/>
        <v>13.017499999999986</v>
      </c>
      <c r="BE94" s="1">
        <f t="shared" si="42"/>
        <v>4</v>
      </c>
      <c r="BF94" s="1">
        <f>IF(G94="端リブ",AT94*$X$13*パラメータ!$D$21*2,0)</f>
        <v>0</v>
      </c>
      <c r="BG94" s="1" t="e">
        <f>主桁!BA50*1000</f>
        <v>#REF!</v>
      </c>
      <c r="BH94" s="1">
        <f t="shared" si="22"/>
        <v>67.416325597717304</v>
      </c>
      <c r="BI94" s="1" t="e">
        <f t="shared" si="23"/>
        <v>#REF!</v>
      </c>
      <c r="BJ94" s="2">
        <f>(Y94-機体重量!$Q$6)^2+(Z94-機体重量!$R$6)^2</f>
        <v>5.4950777486569501E-4</v>
      </c>
      <c r="BK94" s="2">
        <f>(Z94-機体重量!$R$6)^2</f>
        <v>3.8816156979940122E-4</v>
      </c>
      <c r="BL94" s="222">
        <f>(Y94-機体重量!$Q$6)^2</f>
        <v>1.6134620506629379E-4</v>
      </c>
    </row>
    <row r="95" spans="2:64">
      <c r="B95" s="28">
        <v>44</v>
      </c>
      <c r="C95" s="1">
        <f t="shared" si="26"/>
        <v>8.2500000000000089</v>
      </c>
      <c r="D95" s="1">
        <f t="shared" si="28"/>
        <v>627.49999999999955</v>
      </c>
      <c r="E95" s="21">
        <v>0.15</v>
      </c>
      <c r="F95" s="21" t="s">
        <v>912</v>
      </c>
      <c r="G95" s="4" t="str">
        <f t="shared" si="29"/>
        <v>2番</v>
      </c>
      <c r="H95" s="283" t="s">
        <v>1411</v>
      </c>
      <c r="I95" s="65">
        <f t="shared" si="17"/>
        <v>74.697999999999922</v>
      </c>
      <c r="J95" s="1">
        <f t="shared" si="18"/>
        <v>73.685499999999905</v>
      </c>
      <c r="K95" s="1">
        <f t="shared" si="30"/>
        <v>0.35</v>
      </c>
      <c r="L95" s="212"/>
      <c r="M95" s="65" t="str">
        <f t="shared" si="31"/>
        <v>QX0023</v>
      </c>
      <c r="N95" s="1">
        <f t="shared" si="19"/>
        <v>100</v>
      </c>
      <c r="O95" s="1" t="str">
        <f t="shared" si="32"/>
        <v>QX0023</v>
      </c>
      <c r="P95" s="1">
        <f t="shared" si="33"/>
        <v>0</v>
      </c>
      <c r="Q95" s="1">
        <f t="shared" si="34"/>
        <v>0.21962499999999982</v>
      </c>
      <c r="R95" s="1">
        <f t="shared" si="35"/>
        <v>-0.40787499999999965</v>
      </c>
      <c r="S95" s="1">
        <f t="shared" si="43"/>
        <v>7.4442479901366916</v>
      </c>
      <c r="T95" s="1">
        <f t="shared" si="44"/>
        <v>0.10975488643103612</v>
      </c>
      <c r="U95" s="1">
        <f t="shared" si="36"/>
        <v>2</v>
      </c>
      <c r="V95" s="7">
        <f t="shared" si="37"/>
        <v>6</v>
      </c>
      <c r="W95" s="216"/>
      <c r="X95" s="79"/>
      <c r="Y95" s="79"/>
      <c r="Z95" s="79"/>
      <c r="AA95" s="79"/>
      <c r="AB95" s="79"/>
      <c r="AC95" s="217"/>
      <c r="AD95" s="79"/>
      <c r="AE95" s="79"/>
      <c r="AF95" s="216"/>
      <c r="AG95" s="79"/>
      <c r="AH95" s="79"/>
      <c r="AI95" s="79"/>
      <c r="AJ95" s="79"/>
      <c r="AK95" s="79"/>
      <c r="AL95" s="79"/>
      <c r="AM95" s="79"/>
      <c r="AN95" s="79"/>
      <c r="AO95" s="79"/>
      <c r="AP95" s="79"/>
      <c r="AQ95" s="79"/>
      <c r="AR95" s="79"/>
      <c r="AS95" s="79"/>
      <c r="AT95" s="79">
        <f t="shared" si="38"/>
        <v>3.7406843749999939E-2</v>
      </c>
      <c r="AU95" s="79">
        <f t="shared" si="39"/>
        <v>1.2863749999999989</v>
      </c>
      <c r="AV95" s="79">
        <f t="shared" si="40"/>
        <v>0.81026249999999989</v>
      </c>
      <c r="AW95" s="79">
        <f t="shared" si="15"/>
        <v>0.48239062499999963</v>
      </c>
      <c r="AX95" s="212">
        <f t="shared" si="16"/>
        <v>0.25727499999999981</v>
      </c>
      <c r="AY95" s="65">
        <f>AT95*$X$4*パラメータ!$D$23</f>
        <v>12.344258437499981</v>
      </c>
      <c r="AZ95" s="1">
        <f>AV95*$X$5*E95*パラメータ!$D$28</f>
        <v>20.661693749999998</v>
      </c>
      <c r="BA95" s="1">
        <f>SUMPRODUCT($AC$4:$AC$10,$AD$4:$AD$10)*E95*パラメータ!$D$26*10^-3</f>
        <v>9.5625</v>
      </c>
      <c r="BB95" s="1">
        <f>(AW95+AX95)*$X$6*$X$4*パラメータ!$D$21*10^-3</f>
        <v>4.9927429687499965</v>
      </c>
      <c r="BC95" s="1">
        <f>($X$8*$X$9*パラメータ!$D$21+0.5*$X$8^2*SIN(RADIANS($X$10))*パラメータ!$D$24)*E95*10^-3</f>
        <v>2.4811109102173465</v>
      </c>
      <c r="BD95" s="1">
        <f t="shared" si="41"/>
        <v>12.863749999999989</v>
      </c>
      <c r="BE95" s="1">
        <f t="shared" si="42"/>
        <v>4</v>
      </c>
      <c r="BF95" s="1">
        <f>IF(G95="端リブ",AT95*$X$13*パラメータ!$D$21*2,0)</f>
        <v>0</v>
      </c>
      <c r="BG95" s="1" t="e">
        <f>主桁!BA51*1000</f>
        <v>#REF!</v>
      </c>
      <c r="BH95" s="1">
        <f t="shared" si="22"/>
        <v>66.906056066467301</v>
      </c>
      <c r="BI95" s="1" t="e">
        <f t="shared" si="23"/>
        <v>#REF!</v>
      </c>
      <c r="BJ95" s="2">
        <f>(Y95-機体重量!$Q$6)^2+(Z95-機体重量!$R$6)^2</f>
        <v>5.4950777486569501E-4</v>
      </c>
      <c r="BK95" s="2">
        <f>(Z95-機体重量!$R$6)^2</f>
        <v>3.8816156979940122E-4</v>
      </c>
      <c r="BL95" s="222">
        <f>(Y95-機体重量!$Q$6)^2</f>
        <v>1.6134620506629379E-4</v>
      </c>
    </row>
    <row r="96" spans="2:64">
      <c r="B96" s="104">
        <v>45</v>
      </c>
      <c r="C96" s="1">
        <f t="shared" si="26"/>
        <v>8.4000000000000092</v>
      </c>
      <c r="D96" s="1">
        <f t="shared" si="28"/>
        <v>619.99999999999943</v>
      </c>
      <c r="E96" s="21">
        <v>0.15</v>
      </c>
      <c r="F96" s="21" t="str">
        <f t="shared" si="45"/>
        <v>3rd</v>
      </c>
      <c r="G96" s="4" t="s">
        <v>995</v>
      </c>
      <c r="H96" s="283" t="s">
        <v>1411</v>
      </c>
      <c r="I96" s="65" t="b">
        <f t="shared" si="17"/>
        <v>0</v>
      </c>
      <c r="J96" s="1" t="b">
        <f t="shared" si="18"/>
        <v>0</v>
      </c>
      <c r="K96" s="1">
        <f t="shared" si="30"/>
        <v>0.35</v>
      </c>
      <c r="L96" s="212"/>
      <c r="M96" s="65" t="str">
        <f t="shared" si="31"/>
        <v>QX0023</v>
      </c>
      <c r="N96" s="1">
        <f t="shared" si="19"/>
        <v>100</v>
      </c>
      <c r="O96" s="1" t="str">
        <f t="shared" si="32"/>
        <v>QX0023</v>
      </c>
      <c r="P96" s="1">
        <f t="shared" si="33"/>
        <v>0</v>
      </c>
      <c r="Q96" s="1">
        <f t="shared" si="34"/>
        <v>0.2169999999999998</v>
      </c>
      <c r="R96" s="1">
        <f t="shared" si="35"/>
        <v>-0.40299999999999964</v>
      </c>
      <c r="S96" s="1">
        <f t="shared" si="43"/>
        <v>7.5934262744419323</v>
      </c>
      <c r="T96" s="1">
        <f t="shared" si="44"/>
        <v>0.12543415592118415</v>
      </c>
      <c r="U96" s="1">
        <f t="shared" si="36"/>
        <v>2</v>
      </c>
      <c r="V96" s="7">
        <f t="shared" si="37"/>
        <v>6</v>
      </c>
      <c r="W96" s="216"/>
      <c r="X96" s="79"/>
      <c r="Y96" s="79"/>
      <c r="Z96" s="79"/>
      <c r="AA96" s="79"/>
      <c r="AB96" s="79"/>
      <c r="AC96" s="217"/>
      <c r="AD96" s="79"/>
      <c r="AE96" s="79"/>
      <c r="AF96" s="216"/>
      <c r="AG96" s="79"/>
      <c r="AH96" s="79"/>
      <c r="AI96" s="79"/>
      <c r="AJ96" s="79"/>
      <c r="AK96" s="79"/>
      <c r="AL96" s="79"/>
      <c r="AM96" s="79"/>
      <c r="AN96" s="79"/>
      <c r="AO96" s="79"/>
      <c r="AP96" s="79"/>
      <c r="AQ96" s="79"/>
      <c r="AR96" s="79"/>
      <c r="AS96" s="79"/>
      <c r="AT96" s="79">
        <f t="shared" si="38"/>
        <v>3.6517999999999932E-2</v>
      </c>
      <c r="AU96" s="79">
        <f t="shared" si="39"/>
        <v>1.2709999999999986</v>
      </c>
      <c r="AV96" s="79">
        <f t="shared" si="40"/>
        <v>0.81026249999999989</v>
      </c>
      <c r="AW96" s="79">
        <f t="shared" si="15"/>
        <v>0.47662499999999947</v>
      </c>
      <c r="AX96" s="212">
        <f t="shared" si="16"/>
        <v>0.2541999999999997</v>
      </c>
      <c r="AY96" s="65">
        <f>AT96*$X$4*パラメータ!$D$23</f>
        <v>12.050939999999978</v>
      </c>
      <c r="AZ96" s="1">
        <f>AV96*$X$5*E96*パラメータ!$D$28</f>
        <v>20.661693749999998</v>
      </c>
      <c r="BA96" s="1">
        <f>SUMPRODUCT($AC$4:$AC$10,$AD$4:$AD$10)*E96*パラメータ!$D$26*10^-3</f>
        <v>9.5625</v>
      </c>
      <c r="BB96" s="1">
        <f>(AW96+AX96)*$X$6*$X$4*パラメータ!$D$21*10^-3</f>
        <v>4.933068749999995</v>
      </c>
      <c r="BC96" s="1">
        <f>($X$8*$X$9*パラメータ!$D$21+0.5*$X$8^2*SIN(RADIANS($X$10))*パラメータ!$D$24)*E96*10^-3</f>
        <v>2.4811109102173465</v>
      </c>
      <c r="BD96" s="1">
        <f t="shared" si="41"/>
        <v>12.709999999999987</v>
      </c>
      <c r="BE96" s="1">
        <f t="shared" si="42"/>
        <v>4</v>
      </c>
      <c r="BF96" s="1">
        <f>IF(G96="端リブ",AT96*$X$13*パラメータ!$D$21*2,0)</f>
        <v>54.776999999999902</v>
      </c>
      <c r="BG96" s="1" t="e">
        <f>主桁!BA52*1000</f>
        <v>#REF!</v>
      </c>
      <c r="BH96" s="1">
        <f t="shared" si="22"/>
        <v>121.1763134102172</v>
      </c>
      <c r="BI96" s="1" t="e">
        <f t="shared" si="23"/>
        <v>#REF!</v>
      </c>
      <c r="BJ96" s="2">
        <f>(Y96-機体重量!$Q$6)^2+(Z96-機体重量!$R$6)^2</f>
        <v>5.4950777486569501E-4</v>
      </c>
      <c r="BK96" s="2">
        <f>(Z96-機体重量!$R$6)^2</f>
        <v>3.8816156979940122E-4</v>
      </c>
      <c r="BL96" s="222">
        <f>(Y96-機体重量!$Q$6)^2</f>
        <v>1.6134620506629379E-4</v>
      </c>
    </row>
    <row r="97" spans="2:64">
      <c r="B97" s="28">
        <v>46</v>
      </c>
      <c r="C97" s="1">
        <f t="shared" si="26"/>
        <v>8.5500000000000096</v>
      </c>
      <c r="D97" s="1">
        <f t="shared" si="28"/>
        <v>612.49999999999943</v>
      </c>
      <c r="E97" s="21">
        <v>0.15</v>
      </c>
      <c r="F97" s="21" t="s">
        <v>912</v>
      </c>
      <c r="G97" s="4" t="str">
        <f t="shared" si="29"/>
        <v>3番</v>
      </c>
      <c r="H97" s="283" t="s">
        <v>1411</v>
      </c>
      <c r="I97" s="65">
        <f t="shared" si="17"/>
        <v>76.652999999999892</v>
      </c>
      <c r="J97" s="1">
        <f t="shared" si="18"/>
        <v>75.476999999999904</v>
      </c>
      <c r="K97" s="1">
        <f t="shared" si="30"/>
        <v>0.35</v>
      </c>
      <c r="L97" s="212"/>
      <c r="M97" s="65" t="str">
        <f t="shared" si="31"/>
        <v>QX0023</v>
      </c>
      <c r="N97" s="1">
        <f t="shared" si="19"/>
        <v>100</v>
      </c>
      <c r="O97" s="1" t="str">
        <f t="shared" si="32"/>
        <v>QX0023</v>
      </c>
      <c r="P97" s="1">
        <f t="shared" si="33"/>
        <v>0</v>
      </c>
      <c r="Q97" s="1">
        <f t="shared" si="34"/>
        <v>0.21437499999999979</v>
      </c>
      <c r="R97" s="1">
        <f t="shared" si="35"/>
        <v>-0.39812499999999962</v>
      </c>
      <c r="S97" s="1">
        <f t="shared" si="43"/>
        <v>7.742604558747173</v>
      </c>
      <c r="T97" s="1">
        <f t="shared" si="44"/>
        <v>0.14111342541133218</v>
      </c>
      <c r="U97" s="1">
        <f t="shared" si="36"/>
        <v>2</v>
      </c>
      <c r="V97" s="7">
        <f t="shared" si="37"/>
        <v>6</v>
      </c>
      <c r="W97" s="216"/>
      <c r="X97" s="79"/>
      <c r="Y97" s="79"/>
      <c r="Z97" s="79"/>
      <c r="AA97" s="79"/>
      <c r="AB97" s="79"/>
      <c r="AC97" s="217"/>
      <c r="AD97" s="79"/>
      <c r="AE97" s="79"/>
      <c r="AF97" s="216"/>
      <c r="AG97" s="79"/>
      <c r="AH97" s="79"/>
      <c r="AI97" s="79"/>
      <c r="AJ97" s="79"/>
      <c r="AK97" s="79"/>
      <c r="AL97" s="79"/>
      <c r="AM97" s="79"/>
      <c r="AN97" s="79"/>
      <c r="AO97" s="79"/>
      <c r="AP97" s="79"/>
      <c r="AQ97" s="79"/>
      <c r="AR97" s="79"/>
      <c r="AS97" s="79"/>
      <c r="AT97" s="79">
        <f t="shared" si="38"/>
        <v>3.5639843749999928E-2</v>
      </c>
      <c r="AU97" s="79">
        <f t="shared" si="39"/>
        <v>1.2556249999999987</v>
      </c>
      <c r="AV97" s="79">
        <f t="shared" si="40"/>
        <v>0.81026249999999989</v>
      </c>
      <c r="AW97" s="79">
        <f t="shared" si="15"/>
        <v>0.47085937499999952</v>
      </c>
      <c r="AX97" s="212">
        <f t="shared" si="16"/>
        <v>0.25112499999999977</v>
      </c>
      <c r="AY97" s="65">
        <f>AT97*$X$4*パラメータ!$D$23</f>
        <v>11.761148437499976</v>
      </c>
      <c r="AZ97" s="1">
        <f>AV97*$X$5*E97*パラメータ!$D$28</f>
        <v>20.661693749999998</v>
      </c>
      <c r="BA97" s="1">
        <f>SUMPRODUCT($AC$4:$AC$10,$AD$4:$AD$10)*E97*パラメータ!$D$26*10^-3</f>
        <v>9.5625</v>
      </c>
      <c r="BB97" s="1">
        <f>(AW97+AX97)*$X$6*$X$4*パラメータ!$D$21*10^-3</f>
        <v>4.8733945312499953</v>
      </c>
      <c r="BC97" s="1">
        <f>($X$8*$X$9*パラメータ!$D$21+0.5*$X$8^2*SIN(RADIANS($X$10))*パラメータ!$D$24)*E97*10^-3</f>
        <v>2.4811109102173465</v>
      </c>
      <c r="BD97" s="1">
        <f t="shared" si="41"/>
        <v>12.556249999999986</v>
      </c>
      <c r="BE97" s="1">
        <f t="shared" si="42"/>
        <v>4</v>
      </c>
      <c r="BF97" s="1">
        <f>IF(G97="端リブ",AT97*$X$13*パラメータ!$D$21*2,0)</f>
        <v>0</v>
      </c>
      <c r="BG97" s="1" t="e">
        <f>主桁!BA53*1000</f>
        <v>#REF!</v>
      </c>
      <c r="BH97" s="1">
        <f t="shared" si="22"/>
        <v>65.896097628967297</v>
      </c>
      <c r="BI97" s="1" t="e">
        <f t="shared" si="23"/>
        <v>#REF!</v>
      </c>
      <c r="BJ97" s="2">
        <f>(Y97-機体重量!$Q$6)^2+(Z97-機体重量!$R$6)^2</f>
        <v>5.4950777486569501E-4</v>
      </c>
      <c r="BK97" s="2">
        <f>(Z97-機体重量!$R$6)^2</f>
        <v>3.8816156979940122E-4</v>
      </c>
      <c r="BL97" s="222">
        <f>(Y97-機体重量!$Q$6)^2</f>
        <v>1.6134620506629379E-4</v>
      </c>
    </row>
    <row r="98" spans="2:64">
      <c r="B98" s="104">
        <v>47</v>
      </c>
      <c r="C98" s="1">
        <f t="shared" si="26"/>
        <v>8.7000000000000099</v>
      </c>
      <c r="D98" s="1">
        <f t="shared" si="28"/>
        <v>605.90909090909042</v>
      </c>
      <c r="E98" s="21">
        <v>0.15</v>
      </c>
      <c r="F98" s="21" t="str">
        <f t="shared" si="45"/>
        <v>4th</v>
      </c>
      <c r="G98" s="4" t="str">
        <f t="shared" si="29"/>
        <v>3番</v>
      </c>
      <c r="H98" s="283" t="s">
        <v>1412</v>
      </c>
      <c r="I98" s="65">
        <f t="shared" si="17"/>
        <v>75.377999999999886</v>
      </c>
      <c r="J98" s="1">
        <f t="shared" si="18"/>
        <v>74.201999999999899</v>
      </c>
      <c r="K98" s="1">
        <f t="shared" si="30"/>
        <v>0.35</v>
      </c>
      <c r="L98" s="212"/>
      <c r="M98" s="65" t="str">
        <f t="shared" si="31"/>
        <v>QX0023</v>
      </c>
      <c r="N98" s="1">
        <f t="shared" si="19"/>
        <v>95.454545454544984</v>
      </c>
      <c r="O98" s="1" t="str">
        <f t="shared" si="32"/>
        <v>QX0123</v>
      </c>
      <c r="P98" s="1">
        <f t="shared" si="33"/>
        <v>4.5454545454550122</v>
      </c>
      <c r="Q98" s="1">
        <f t="shared" si="34"/>
        <v>0.21206818181818166</v>
      </c>
      <c r="R98" s="1">
        <f t="shared" si="35"/>
        <v>-0.39384090909090874</v>
      </c>
      <c r="S98" s="1">
        <f t="shared" si="43"/>
        <v>7.8917828430524137</v>
      </c>
      <c r="T98" s="1">
        <f t="shared" si="44"/>
        <v>0.15679269490148021</v>
      </c>
      <c r="U98" s="1">
        <f t="shared" si="36"/>
        <v>2</v>
      </c>
      <c r="V98" s="7">
        <f t="shared" si="37"/>
        <v>6</v>
      </c>
      <c r="W98" s="216"/>
      <c r="X98" s="79"/>
      <c r="Y98" s="79"/>
      <c r="Z98" s="79"/>
      <c r="AA98" s="79"/>
      <c r="AB98" s="79"/>
      <c r="AC98" s="217"/>
      <c r="AD98" s="79"/>
      <c r="AE98" s="79"/>
      <c r="AF98" s="216"/>
      <c r="AG98" s="79"/>
      <c r="AH98" s="79"/>
      <c r="AI98" s="79"/>
      <c r="AJ98" s="79"/>
      <c r="AK98" s="79"/>
      <c r="AL98" s="79"/>
      <c r="AM98" s="79"/>
      <c r="AN98" s="79"/>
      <c r="AO98" s="79"/>
      <c r="AP98" s="79"/>
      <c r="AQ98" s="79"/>
      <c r="AR98" s="79"/>
      <c r="AS98" s="79"/>
      <c r="AT98" s="79">
        <f t="shared" si="38"/>
        <v>3.4876953512396634E-2</v>
      </c>
      <c r="AU98" s="79">
        <f t="shared" si="39"/>
        <v>1.2421136363636354</v>
      </c>
      <c r="AV98" s="79">
        <f t="shared" si="40"/>
        <v>0.81026249999999989</v>
      </c>
      <c r="AW98" s="79">
        <f t="shared" si="15"/>
        <v>0.46579261363636326</v>
      </c>
      <c r="AX98" s="212">
        <f t="shared" si="16"/>
        <v>0.24842272727272707</v>
      </c>
      <c r="AY98" s="65">
        <f>AT98*$X$4*パラメータ!$D$23</f>
        <v>11.509394659090891</v>
      </c>
      <c r="AZ98" s="1">
        <f>AV98*$X$5*E98*パラメータ!$D$28</f>
        <v>20.661693749999998</v>
      </c>
      <c r="BA98" s="1">
        <f>SUMPRODUCT($AC$4:$AC$10,$AD$4:$AD$10)*E98*パラメータ!$D$26*10^-3</f>
        <v>9.5625</v>
      </c>
      <c r="BB98" s="1">
        <f>(AW98+AX98)*$X$6*$X$4*パラメータ!$D$21*10^-3</f>
        <v>4.8209535511363599</v>
      </c>
      <c r="BC98" s="1">
        <f>($X$8*$X$9*パラメータ!$D$21+0.5*$X$8^2*SIN(RADIANS($X$10))*パラメータ!$D$24)*E98*10^-3</f>
        <v>2.4811109102173465</v>
      </c>
      <c r="BD98" s="1">
        <f t="shared" si="41"/>
        <v>12.421136363636354</v>
      </c>
      <c r="BE98" s="1">
        <f t="shared" si="42"/>
        <v>4</v>
      </c>
      <c r="BF98" s="1">
        <f>IF(G98="端リブ",AT98*$X$13*パラメータ!$D$21*2,0)</f>
        <v>0</v>
      </c>
      <c r="BG98" s="1" t="e">
        <f>主桁!BA54*1000</f>
        <v>#REF!</v>
      </c>
      <c r="BH98" s="1">
        <f t="shared" si="22"/>
        <v>65.456789234080944</v>
      </c>
      <c r="BI98" s="1" t="e">
        <f t="shared" si="23"/>
        <v>#REF!</v>
      </c>
      <c r="BJ98" s="2">
        <f>(Y98-機体重量!$Q$6)^2+(Z98-機体重量!$R$6)^2</f>
        <v>5.4950777486569501E-4</v>
      </c>
      <c r="BK98" s="2">
        <f>(Z98-機体重量!$R$6)^2</f>
        <v>3.8816156979940122E-4</v>
      </c>
      <c r="BL98" s="222">
        <f>(Y98-機体重量!$Q$6)^2</f>
        <v>1.6134620506629379E-4</v>
      </c>
    </row>
    <row r="99" spans="2:64">
      <c r="B99" s="28">
        <v>48</v>
      </c>
      <c r="C99" s="1">
        <f t="shared" si="26"/>
        <v>8.8500000000000103</v>
      </c>
      <c r="D99" s="1">
        <f t="shared" si="28"/>
        <v>599.77272727272668</v>
      </c>
      <c r="E99" s="21">
        <v>0.15</v>
      </c>
      <c r="F99" s="21" t="str">
        <f t="shared" si="45"/>
        <v>4th</v>
      </c>
      <c r="G99" s="4" t="str">
        <f t="shared" si="29"/>
        <v>3番</v>
      </c>
      <c r="H99" s="283" t="s">
        <v>1411</v>
      </c>
      <c r="I99" s="65">
        <f t="shared" si="17"/>
        <v>74.102999999999881</v>
      </c>
      <c r="J99" s="1">
        <f t="shared" si="18"/>
        <v>72.926999999999893</v>
      </c>
      <c r="K99" s="1">
        <f t="shared" si="30"/>
        <v>0.35</v>
      </c>
      <c r="L99" s="212"/>
      <c r="M99" s="65" t="str">
        <f t="shared" si="31"/>
        <v>QX0023</v>
      </c>
      <c r="N99" s="1">
        <f t="shared" si="19"/>
        <v>88.636363636363157</v>
      </c>
      <c r="O99" s="1" t="str">
        <f t="shared" si="32"/>
        <v>QX0123</v>
      </c>
      <c r="P99" s="1">
        <f t="shared" si="33"/>
        <v>11.363636363636843</v>
      </c>
      <c r="Q99" s="1">
        <f t="shared" si="34"/>
        <v>0.20992045454545433</v>
      </c>
      <c r="R99" s="1">
        <f t="shared" si="35"/>
        <v>-0.38985227272727235</v>
      </c>
      <c r="S99" s="1">
        <f t="shared" si="43"/>
        <v>8.0409611273576544</v>
      </c>
      <c r="T99" s="1">
        <f t="shared" si="44"/>
        <v>0.17247196439162824</v>
      </c>
      <c r="U99" s="1">
        <f t="shared" si="36"/>
        <v>2</v>
      </c>
      <c r="V99" s="7">
        <f t="shared" si="37"/>
        <v>6</v>
      </c>
      <c r="W99" s="216"/>
      <c r="X99" s="79"/>
      <c r="Y99" s="79"/>
      <c r="Z99" s="79"/>
      <c r="AA99" s="79"/>
      <c r="AB99" s="79"/>
      <c r="AC99" s="217"/>
      <c r="AD99" s="79"/>
      <c r="AE99" s="79"/>
      <c r="AF99" s="216"/>
      <c r="AG99" s="79"/>
      <c r="AH99" s="79"/>
      <c r="AI99" s="79"/>
      <c r="AJ99" s="79"/>
      <c r="AK99" s="79"/>
      <c r="AL99" s="79"/>
      <c r="AM99" s="79"/>
      <c r="AN99" s="79"/>
      <c r="AO99" s="79"/>
      <c r="AP99" s="79"/>
      <c r="AQ99" s="79"/>
      <c r="AR99" s="79"/>
      <c r="AS99" s="79"/>
      <c r="AT99" s="79">
        <f t="shared" si="38"/>
        <v>3.4174095816115635E-2</v>
      </c>
      <c r="AU99" s="79">
        <f t="shared" si="39"/>
        <v>1.2295340909090897</v>
      </c>
      <c r="AV99" s="79">
        <f t="shared" si="40"/>
        <v>0.81026249999999989</v>
      </c>
      <c r="AW99" s="79">
        <f t="shared" si="15"/>
        <v>0.46107528409090864</v>
      </c>
      <c r="AX99" s="212">
        <f t="shared" si="16"/>
        <v>0.24590681818181795</v>
      </c>
      <c r="AY99" s="65">
        <f>AT99*$X$4*パラメータ!$D$23</f>
        <v>11.27745161931816</v>
      </c>
      <c r="AZ99" s="1">
        <f>AV99*$X$5*E99*パラメータ!$D$28</f>
        <v>20.661693749999998</v>
      </c>
      <c r="BA99" s="1">
        <f>SUMPRODUCT($AC$4:$AC$10,$AD$4:$AD$10)*E99*パラメータ!$D$26*10^-3</f>
        <v>9.5625</v>
      </c>
      <c r="BB99" s="1">
        <f>(AW99+AX99)*$X$6*$X$4*パラメータ!$D$21*10^-3</f>
        <v>4.7721291903409053</v>
      </c>
      <c r="BC99" s="1">
        <f>($X$8*$X$9*パラメータ!$D$21+0.5*$X$8^2*SIN(RADIANS($X$10))*パラメータ!$D$24)*E99*10^-3</f>
        <v>2.4811109102173465</v>
      </c>
      <c r="BD99" s="1">
        <f t="shared" si="41"/>
        <v>12.295340909090896</v>
      </c>
      <c r="BE99" s="1">
        <f t="shared" si="42"/>
        <v>4</v>
      </c>
      <c r="BF99" s="1">
        <f>IF(G99="端リブ",AT99*$X$13*パラメータ!$D$21*2,0)</f>
        <v>0</v>
      </c>
      <c r="BG99" s="1" t="e">
        <f>主桁!BA55*1000</f>
        <v>#REF!</v>
      </c>
      <c r="BH99" s="1">
        <f t="shared" si="22"/>
        <v>65.050226378967295</v>
      </c>
      <c r="BI99" s="1" t="e">
        <f t="shared" si="23"/>
        <v>#REF!</v>
      </c>
      <c r="BJ99" s="2">
        <f>(Y99-機体重量!$Q$6)^2+(Z99-機体重量!$R$6)^2</f>
        <v>5.4950777486569501E-4</v>
      </c>
      <c r="BK99" s="2">
        <f>(Z99-機体重量!$R$6)^2</f>
        <v>3.8816156979940122E-4</v>
      </c>
      <c r="BL99" s="222">
        <f>(Y99-機体重量!$Q$6)^2</f>
        <v>1.6134620506629379E-4</v>
      </c>
    </row>
    <row r="100" spans="2:64">
      <c r="B100" s="104">
        <v>49</v>
      </c>
      <c r="C100" s="1">
        <f t="shared" si="26"/>
        <v>9.0000000000000107</v>
      </c>
      <c r="D100" s="1">
        <f t="shared" si="28"/>
        <v>593.63636363636306</v>
      </c>
      <c r="E100" s="21">
        <v>0.15</v>
      </c>
      <c r="F100" s="21" t="str">
        <f t="shared" si="45"/>
        <v>4th</v>
      </c>
      <c r="G100" s="4" t="str">
        <f t="shared" si="29"/>
        <v>3番</v>
      </c>
      <c r="H100" s="283" t="s">
        <v>1412</v>
      </c>
      <c r="I100" s="65">
        <f t="shared" si="17"/>
        <v>72.827999999999889</v>
      </c>
      <c r="J100" s="1">
        <f t="shared" si="18"/>
        <v>71.651999999999902</v>
      </c>
      <c r="K100" s="1">
        <f t="shared" si="30"/>
        <v>0.35</v>
      </c>
      <c r="L100" s="212"/>
      <c r="M100" s="65" t="str">
        <f t="shared" si="31"/>
        <v>QX0023</v>
      </c>
      <c r="N100" s="1">
        <f t="shared" si="19"/>
        <v>81.81818181818133</v>
      </c>
      <c r="O100" s="1" t="str">
        <f t="shared" si="32"/>
        <v>QX0123</v>
      </c>
      <c r="P100" s="1">
        <f t="shared" si="33"/>
        <v>18.181818181818674</v>
      </c>
      <c r="Q100" s="1">
        <f t="shared" si="34"/>
        <v>0.20777272727272705</v>
      </c>
      <c r="R100" s="1">
        <f t="shared" si="35"/>
        <v>-0.38586363636363602</v>
      </c>
      <c r="S100" s="1">
        <f t="shared" si="43"/>
        <v>8.1901394116628961</v>
      </c>
      <c r="T100" s="1">
        <f t="shared" si="44"/>
        <v>0.18815123388177626</v>
      </c>
      <c r="U100" s="1">
        <f t="shared" si="36"/>
        <v>2</v>
      </c>
      <c r="V100" s="7">
        <f t="shared" si="37"/>
        <v>6</v>
      </c>
      <c r="W100" s="216"/>
      <c r="X100" s="79"/>
      <c r="Y100" s="79"/>
      <c r="Z100" s="79"/>
      <c r="AA100" s="79"/>
      <c r="AB100" s="79"/>
      <c r="AC100" s="217"/>
      <c r="AD100" s="79"/>
      <c r="AE100" s="79"/>
      <c r="AF100" s="216"/>
      <c r="AG100" s="79"/>
      <c r="AH100" s="79"/>
      <c r="AI100" s="79"/>
      <c r="AJ100" s="79"/>
      <c r="AK100" s="79"/>
      <c r="AL100" s="79"/>
      <c r="AM100" s="79"/>
      <c r="AN100" s="79"/>
      <c r="AO100" s="79"/>
      <c r="AP100" s="79"/>
      <c r="AQ100" s="79"/>
      <c r="AR100" s="79"/>
      <c r="AS100" s="79"/>
      <c r="AT100" s="79">
        <f t="shared" si="38"/>
        <v>3.3478392561983407E-2</v>
      </c>
      <c r="AU100" s="79">
        <f t="shared" si="39"/>
        <v>1.2169545454545441</v>
      </c>
      <c r="AV100" s="79">
        <f t="shared" si="40"/>
        <v>0.81026249999999989</v>
      </c>
      <c r="AW100" s="79">
        <f t="shared" si="15"/>
        <v>0.45635795454545403</v>
      </c>
      <c r="AX100" s="212">
        <f t="shared" si="16"/>
        <v>0.24339090909090882</v>
      </c>
      <c r="AY100" s="65">
        <f>AT100*$X$4*パラメータ!$D$23</f>
        <v>11.047869545454525</v>
      </c>
      <c r="AZ100" s="1">
        <f>AV100*$X$5*E100*パラメータ!$D$28</f>
        <v>20.661693749999998</v>
      </c>
      <c r="BA100" s="1">
        <f>SUMPRODUCT($AC$4:$AC$10,$AD$4:$AD$10)*E100*パラメータ!$D$26*10^-3</f>
        <v>9.5625</v>
      </c>
      <c r="BB100" s="1">
        <f>(AW100+AX100)*$X$6*$X$4*パラメータ!$D$21*10^-3</f>
        <v>4.7233048295454498</v>
      </c>
      <c r="BC100" s="1">
        <f>($X$8*$X$9*パラメータ!$D$21+0.5*$X$8^2*SIN(RADIANS($X$10))*パラメータ!$D$24)*E100*10^-3</f>
        <v>2.4811109102173465</v>
      </c>
      <c r="BD100" s="1">
        <f t="shared" si="41"/>
        <v>12.169545454545441</v>
      </c>
      <c r="BE100" s="1">
        <f t="shared" si="42"/>
        <v>4</v>
      </c>
      <c r="BF100" s="1">
        <f>IF(G100="端リブ",AT100*$X$13*パラメータ!$D$21*2,0)</f>
        <v>0</v>
      </c>
      <c r="BG100" s="1" t="e">
        <f>主桁!BA56*1000</f>
        <v>#REF!</v>
      </c>
      <c r="BH100" s="1">
        <f t="shared" si="22"/>
        <v>64.646024489762766</v>
      </c>
      <c r="BI100" s="1" t="e">
        <f t="shared" si="23"/>
        <v>#REF!</v>
      </c>
      <c r="BJ100" s="2">
        <f>(Y100-機体重量!$Q$6)^2+(Z100-機体重量!$R$6)^2</f>
        <v>5.4950777486569501E-4</v>
      </c>
      <c r="BK100" s="2">
        <f>(Z100-機体重量!$R$6)^2</f>
        <v>3.8816156979940122E-4</v>
      </c>
      <c r="BL100" s="222">
        <f>(Y100-機体重量!$Q$6)^2</f>
        <v>1.6134620506629379E-4</v>
      </c>
    </row>
    <row r="101" spans="2:64">
      <c r="B101" s="28">
        <v>50</v>
      </c>
      <c r="C101" s="1">
        <f t="shared" si="26"/>
        <v>9.150000000000011</v>
      </c>
      <c r="D101" s="1">
        <f t="shared" si="28"/>
        <v>587.49999999999943</v>
      </c>
      <c r="E101" s="21">
        <v>0.15</v>
      </c>
      <c r="F101" s="21" t="str">
        <f t="shared" si="45"/>
        <v>4th</v>
      </c>
      <c r="G101" s="4" t="str">
        <f t="shared" si="29"/>
        <v>3番</v>
      </c>
      <c r="H101" s="283" t="s">
        <v>1411</v>
      </c>
      <c r="I101" s="65">
        <f t="shared" si="17"/>
        <v>71.552999999999884</v>
      </c>
      <c r="J101" s="1">
        <f t="shared" si="18"/>
        <v>70.376999999999896</v>
      </c>
      <c r="K101" s="1">
        <f t="shared" si="30"/>
        <v>0.35</v>
      </c>
      <c r="L101" s="212"/>
      <c r="M101" s="65" t="str">
        <f t="shared" si="31"/>
        <v>QX0023</v>
      </c>
      <c r="N101" s="1">
        <f t="shared" si="19"/>
        <v>74.999999999999488</v>
      </c>
      <c r="O101" s="1" t="str">
        <f t="shared" si="32"/>
        <v>QX0123</v>
      </c>
      <c r="P101" s="1">
        <f t="shared" si="33"/>
        <v>25.000000000000504</v>
      </c>
      <c r="Q101" s="1">
        <f t="shared" si="34"/>
        <v>0.20562499999999981</v>
      </c>
      <c r="R101" s="1">
        <f t="shared" si="35"/>
        <v>-0.38187499999999963</v>
      </c>
      <c r="S101" s="1">
        <f t="shared" si="43"/>
        <v>8.3393176959681377</v>
      </c>
      <c r="T101" s="1">
        <f t="shared" si="44"/>
        <v>0.20383050337192429</v>
      </c>
      <c r="U101" s="1">
        <f t="shared" si="36"/>
        <v>2</v>
      </c>
      <c r="V101" s="7">
        <f t="shared" si="37"/>
        <v>6</v>
      </c>
      <c r="W101" s="216"/>
      <c r="X101" s="79"/>
      <c r="Y101" s="79"/>
      <c r="Z101" s="79"/>
      <c r="AA101" s="79"/>
      <c r="AB101" s="79"/>
      <c r="AC101" s="217"/>
      <c r="AD101" s="79"/>
      <c r="AE101" s="79"/>
      <c r="AF101" s="216"/>
      <c r="AG101" s="79"/>
      <c r="AH101" s="79"/>
      <c r="AI101" s="79"/>
      <c r="AJ101" s="79"/>
      <c r="AK101" s="79"/>
      <c r="AL101" s="79"/>
      <c r="AM101" s="79"/>
      <c r="AN101" s="79"/>
      <c r="AO101" s="79"/>
      <c r="AP101" s="79"/>
      <c r="AQ101" s="79"/>
      <c r="AR101" s="79"/>
      <c r="AS101" s="79"/>
      <c r="AT101" s="79">
        <f t="shared" si="38"/>
        <v>3.2789843749999943E-2</v>
      </c>
      <c r="AU101" s="79">
        <f t="shared" si="39"/>
        <v>1.2043749999999986</v>
      </c>
      <c r="AV101" s="79">
        <f t="shared" si="40"/>
        <v>0.81026249999999989</v>
      </c>
      <c r="AW101" s="79">
        <f t="shared" si="15"/>
        <v>0.45164062499999946</v>
      </c>
      <c r="AX101" s="212">
        <f t="shared" si="16"/>
        <v>0.24087499999999973</v>
      </c>
      <c r="AY101" s="65">
        <f>AT101*$X$4*パラメータ!$D$23</f>
        <v>10.820648437499981</v>
      </c>
      <c r="AZ101" s="1">
        <f>AV101*$X$5*E101*パラメータ!$D$28</f>
        <v>20.661693749999998</v>
      </c>
      <c r="BA101" s="1">
        <f>SUMPRODUCT($AC$4:$AC$10,$AD$4:$AD$10)*E101*パラメータ!$D$26*10^-3</f>
        <v>9.5625</v>
      </c>
      <c r="BB101" s="1">
        <f>(AW101+AX101)*$X$6*$X$4*パラメータ!$D$21*10^-3</f>
        <v>4.6744804687499943</v>
      </c>
      <c r="BC101" s="1">
        <f>($X$8*$X$9*パラメータ!$D$21+0.5*$X$8^2*SIN(RADIANS($X$10))*パラメータ!$D$24)*E101*10^-3</f>
        <v>2.4811109102173465</v>
      </c>
      <c r="BD101" s="1">
        <f t="shared" si="41"/>
        <v>12.043749999999987</v>
      </c>
      <c r="BE101" s="1">
        <f t="shared" si="42"/>
        <v>4</v>
      </c>
      <c r="BF101" s="1">
        <f>IF(G101="端リブ",AT101*$X$13*パラメータ!$D$21*2,0)</f>
        <v>0</v>
      </c>
      <c r="BG101" s="1" t="e">
        <f>主桁!BA57*1000</f>
        <v>#REF!</v>
      </c>
      <c r="BH101" s="1">
        <f t="shared" si="22"/>
        <v>64.244183566467314</v>
      </c>
      <c r="BI101" s="1" t="e">
        <f t="shared" si="23"/>
        <v>#REF!</v>
      </c>
      <c r="BJ101" s="2">
        <f>(Y101-機体重量!$Q$6)^2+(Z101-機体重量!$R$6)^2</f>
        <v>5.4950777486569501E-4</v>
      </c>
      <c r="BK101" s="2">
        <f>(Z101-機体重量!$R$6)^2</f>
        <v>3.8816156979940122E-4</v>
      </c>
      <c r="BL101" s="222">
        <f>(Y101-機体重量!$Q$6)^2</f>
        <v>1.6134620506629379E-4</v>
      </c>
    </row>
    <row r="102" spans="2:64">
      <c r="B102" s="104">
        <v>51</v>
      </c>
      <c r="C102" s="1">
        <f t="shared" si="26"/>
        <v>9.3000000000000114</v>
      </c>
      <c r="D102" s="1">
        <f t="shared" si="28"/>
        <v>581.36363636363581</v>
      </c>
      <c r="E102" s="21">
        <v>0.15</v>
      </c>
      <c r="F102" s="21" t="str">
        <f t="shared" si="45"/>
        <v>4th</v>
      </c>
      <c r="G102" s="4" t="str">
        <f t="shared" si="29"/>
        <v>3番</v>
      </c>
      <c r="H102" s="283" t="s">
        <v>1412</v>
      </c>
      <c r="I102" s="65">
        <f t="shared" si="17"/>
        <v>70.277999999999878</v>
      </c>
      <c r="J102" s="1">
        <f t="shared" si="18"/>
        <v>69.10199999999989</v>
      </c>
      <c r="K102" s="1">
        <f t="shared" si="30"/>
        <v>0.35</v>
      </c>
      <c r="L102" s="212"/>
      <c r="M102" s="65" t="str">
        <f t="shared" si="31"/>
        <v>QX0023</v>
      </c>
      <c r="N102" s="1">
        <f t="shared" si="19"/>
        <v>68.181818181817661</v>
      </c>
      <c r="O102" s="1" t="str">
        <f t="shared" si="32"/>
        <v>QX0123</v>
      </c>
      <c r="P102" s="1">
        <f t="shared" si="33"/>
        <v>31.818181818182335</v>
      </c>
      <c r="Q102" s="1">
        <f t="shared" si="34"/>
        <v>0.20347727272727251</v>
      </c>
      <c r="R102" s="1">
        <f t="shared" si="35"/>
        <v>-0.37788636363636335</v>
      </c>
      <c r="S102" s="1">
        <f t="shared" si="43"/>
        <v>8.4884959802733793</v>
      </c>
      <c r="T102" s="1">
        <f t="shared" si="44"/>
        <v>0.21950977286207232</v>
      </c>
      <c r="U102" s="1">
        <f t="shared" si="36"/>
        <v>2</v>
      </c>
      <c r="V102" s="7">
        <f t="shared" si="37"/>
        <v>6</v>
      </c>
      <c r="W102" s="216"/>
      <c r="X102" s="79"/>
      <c r="Y102" s="79"/>
      <c r="Z102" s="79"/>
      <c r="AA102" s="79"/>
      <c r="AB102" s="79"/>
      <c r="AC102" s="217"/>
      <c r="AD102" s="79"/>
      <c r="AE102" s="79"/>
      <c r="AF102" s="216"/>
      <c r="AG102" s="79"/>
      <c r="AH102" s="79"/>
      <c r="AI102" s="79"/>
      <c r="AJ102" s="79"/>
      <c r="AK102" s="79"/>
      <c r="AL102" s="79"/>
      <c r="AM102" s="79"/>
      <c r="AN102" s="79"/>
      <c r="AO102" s="79"/>
      <c r="AP102" s="79"/>
      <c r="AQ102" s="79"/>
      <c r="AR102" s="79"/>
      <c r="AS102" s="79"/>
      <c r="AT102" s="79">
        <f t="shared" si="38"/>
        <v>3.2108449380165237E-2</v>
      </c>
      <c r="AU102" s="79">
        <f t="shared" si="39"/>
        <v>1.1917954545454534</v>
      </c>
      <c r="AV102" s="79">
        <f t="shared" si="40"/>
        <v>0.81026249999999989</v>
      </c>
      <c r="AW102" s="79">
        <f t="shared" si="15"/>
        <v>0.44692329545454501</v>
      </c>
      <c r="AX102" s="212">
        <f t="shared" si="16"/>
        <v>0.23835909090909069</v>
      </c>
      <c r="AY102" s="65">
        <f>AT102*$X$4*パラメータ!$D$23</f>
        <v>10.595788295454529</v>
      </c>
      <c r="AZ102" s="1">
        <f>AV102*$X$5*E102*パラメータ!$D$28</f>
        <v>20.661693749999998</v>
      </c>
      <c r="BA102" s="1">
        <f>SUMPRODUCT($AC$4:$AC$10,$AD$4:$AD$10)*E102*パラメータ!$D$26*10^-3</f>
        <v>9.5625</v>
      </c>
      <c r="BB102" s="1">
        <f>(AW102+AX102)*$X$6*$X$4*パラメータ!$D$21*10^-3</f>
        <v>4.6256561079545406</v>
      </c>
      <c r="BC102" s="1">
        <f>($X$8*$X$9*パラメータ!$D$21+0.5*$X$8^2*SIN(RADIANS($X$10))*パラメータ!$D$24)*E102*10^-3</f>
        <v>2.4811109102173465</v>
      </c>
      <c r="BD102" s="1">
        <f t="shared" si="41"/>
        <v>11.917954545454535</v>
      </c>
      <c r="BE102" s="1">
        <f t="shared" si="42"/>
        <v>4</v>
      </c>
      <c r="BF102" s="1">
        <f>IF(G102="端リブ",AT102*$X$13*パラメータ!$D$21*2,0)</f>
        <v>0</v>
      </c>
      <c r="BG102" s="1" t="e">
        <f>主桁!BA58*1000</f>
        <v>#REF!</v>
      </c>
      <c r="BH102" s="1">
        <f t="shared" si="22"/>
        <v>63.844703609080945</v>
      </c>
      <c r="BI102" s="1" t="e">
        <f t="shared" si="23"/>
        <v>#REF!</v>
      </c>
      <c r="BJ102" s="2">
        <f>(Y102-機体重量!$Q$6)^2+(Z102-機体重量!$R$6)^2</f>
        <v>5.4950777486569501E-4</v>
      </c>
      <c r="BK102" s="2">
        <f>(Z102-機体重量!$R$6)^2</f>
        <v>3.8816156979940122E-4</v>
      </c>
      <c r="BL102" s="222">
        <f>(Y102-機体重量!$Q$6)^2</f>
        <v>1.6134620506629379E-4</v>
      </c>
    </row>
    <row r="103" spans="2:64">
      <c r="B103" s="28">
        <v>52</v>
      </c>
      <c r="C103" s="1">
        <f t="shared" si="26"/>
        <v>9.4500000000000117</v>
      </c>
      <c r="D103" s="1">
        <f t="shared" si="28"/>
        <v>575.22727272727229</v>
      </c>
      <c r="E103" s="21">
        <v>0.15</v>
      </c>
      <c r="F103" s="21" t="str">
        <f t="shared" si="45"/>
        <v>4th</v>
      </c>
      <c r="G103" s="4" t="str">
        <f t="shared" si="29"/>
        <v>3番</v>
      </c>
      <c r="H103" s="283" t="s">
        <v>1411</v>
      </c>
      <c r="I103" s="65">
        <f t="shared" si="17"/>
        <v>69.002999999999872</v>
      </c>
      <c r="J103" s="1">
        <f t="shared" si="18"/>
        <v>67.826999999999884</v>
      </c>
      <c r="K103" s="1">
        <f t="shared" si="30"/>
        <v>0.35</v>
      </c>
      <c r="L103" s="212"/>
      <c r="M103" s="65" t="str">
        <f t="shared" si="31"/>
        <v>QX0023</v>
      </c>
      <c r="N103" s="1">
        <f t="shared" si="19"/>
        <v>61.363636363635834</v>
      </c>
      <c r="O103" s="1" t="str">
        <f t="shared" si="32"/>
        <v>QX0123</v>
      </c>
      <c r="P103" s="1">
        <f t="shared" si="33"/>
        <v>38.636363636364166</v>
      </c>
      <c r="Q103" s="1">
        <f t="shared" si="34"/>
        <v>0.20132954545454529</v>
      </c>
      <c r="R103" s="1">
        <f t="shared" si="35"/>
        <v>-0.37389772727272697</v>
      </c>
      <c r="S103" s="1">
        <f t="shared" si="43"/>
        <v>8.6376742645786209</v>
      </c>
      <c r="T103" s="1">
        <f t="shared" si="44"/>
        <v>0.23518904235222035</v>
      </c>
      <c r="U103" s="1">
        <f t="shared" si="36"/>
        <v>2</v>
      </c>
      <c r="V103" s="7">
        <f t="shared" si="37"/>
        <v>6</v>
      </c>
      <c r="W103" s="216"/>
      <c r="X103" s="79"/>
      <c r="Y103" s="79"/>
      <c r="Z103" s="79"/>
      <c r="AA103" s="79"/>
      <c r="AB103" s="79"/>
      <c r="AC103" s="217"/>
      <c r="AD103" s="79"/>
      <c r="AE103" s="79"/>
      <c r="AF103" s="216"/>
      <c r="AG103" s="79"/>
      <c r="AH103" s="79"/>
      <c r="AI103" s="79"/>
      <c r="AJ103" s="79"/>
      <c r="AK103" s="79"/>
      <c r="AL103" s="79"/>
      <c r="AM103" s="79"/>
      <c r="AN103" s="79"/>
      <c r="AO103" s="79"/>
      <c r="AP103" s="79"/>
      <c r="AQ103" s="79"/>
      <c r="AR103" s="79"/>
      <c r="AS103" s="79"/>
      <c r="AT103" s="79">
        <f t="shared" si="38"/>
        <v>3.1434209452479288E-2</v>
      </c>
      <c r="AU103" s="79">
        <f t="shared" si="39"/>
        <v>1.179215909090908</v>
      </c>
      <c r="AV103" s="79">
        <f t="shared" si="40"/>
        <v>0.81026249999999989</v>
      </c>
      <c r="AW103" s="79">
        <f t="shared" si="15"/>
        <v>0.4422059659090905</v>
      </c>
      <c r="AX103" s="212">
        <f t="shared" si="16"/>
        <v>0.23584318181818162</v>
      </c>
      <c r="AY103" s="65">
        <f>AT103*$X$4*パラメータ!$D$23</f>
        <v>10.373289119318166</v>
      </c>
      <c r="AZ103" s="1">
        <f>AV103*$X$5*E103*パラメータ!$D$28</f>
        <v>20.661693749999998</v>
      </c>
      <c r="BA103" s="1">
        <f>SUMPRODUCT($AC$4:$AC$10,$AD$4:$AD$10)*E103*パラメータ!$D$26*10^-3</f>
        <v>9.5625</v>
      </c>
      <c r="BB103" s="1">
        <f>(AW103+AX103)*$X$6*$X$4*パラメータ!$D$21*10^-3</f>
        <v>4.576831747159086</v>
      </c>
      <c r="BC103" s="1">
        <f>($X$8*$X$9*パラメータ!$D$21+0.5*$X$8^2*SIN(RADIANS($X$10))*パラメータ!$D$24)*E103*10^-3</f>
        <v>2.4811109102173465</v>
      </c>
      <c r="BD103" s="1">
        <f t="shared" si="41"/>
        <v>11.792159090909081</v>
      </c>
      <c r="BE103" s="1">
        <f t="shared" si="42"/>
        <v>4</v>
      </c>
      <c r="BF103" s="1">
        <f>IF(G103="端リブ",AT103*$X$13*パラメータ!$D$21*2,0)</f>
        <v>0</v>
      </c>
      <c r="BG103" s="1" t="e">
        <f>主桁!BA59*1000</f>
        <v>#REF!</v>
      </c>
      <c r="BH103" s="1">
        <f t="shared" si="22"/>
        <v>63.447584617603674</v>
      </c>
      <c r="BI103" s="1" t="e">
        <f t="shared" si="23"/>
        <v>#REF!</v>
      </c>
      <c r="BJ103" s="2">
        <f>(Y103-機体重量!$Q$6)^2+(Z103-機体重量!$R$6)^2</f>
        <v>5.4950777486569501E-4</v>
      </c>
      <c r="BK103" s="2">
        <f>(Z103-機体重量!$R$6)^2</f>
        <v>3.8816156979940122E-4</v>
      </c>
      <c r="BL103" s="222">
        <f>(Y103-機体重量!$Q$6)^2</f>
        <v>1.6134620506629379E-4</v>
      </c>
    </row>
    <row r="104" spans="2:64">
      <c r="B104" s="104">
        <v>53</v>
      </c>
      <c r="C104" s="1">
        <f t="shared" si="26"/>
        <v>9.6000000000000121</v>
      </c>
      <c r="D104" s="1">
        <f t="shared" si="28"/>
        <v>569.09090909090855</v>
      </c>
      <c r="E104" s="21">
        <v>0.15</v>
      </c>
      <c r="F104" s="21" t="str">
        <f t="shared" si="45"/>
        <v>4th</v>
      </c>
      <c r="G104" s="4" t="str">
        <f t="shared" si="29"/>
        <v>3番</v>
      </c>
      <c r="H104" s="283" t="s">
        <v>1412</v>
      </c>
      <c r="I104" s="65">
        <f t="shared" si="17"/>
        <v>67.727999999999867</v>
      </c>
      <c r="J104" s="1">
        <f t="shared" si="18"/>
        <v>66.551999999999879</v>
      </c>
      <c r="K104" s="1">
        <f t="shared" si="30"/>
        <v>0.35</v>
      </c>
      <c r="L104" s="212"/>
      <c r="M104" s="65" t="str">
        <f t="shared" si="31"/>
        <v>QX0023</v>
      </c>
      <c r="N104" s="1">
        <f t="shared" si="19"/>
        <v>54.545454545454</v>
      </c>
      <c r="O104" s="1" t="str">
        <f t="shared" si="32"/>
        <v>QX0123</v>
      </c>
      <c r="P104" s="1">
        <f t="shared" si="33"/>
        <v>45.454545454546</v>
      </c>
      <c r="Q104" s="1">
        <f t="shared" si="34"/>
        <v>0.19918181818181799</v>
      </c>
      <c r="R104" s="1">
        <f t="shared" si="35"/>
        <v>-0.36990909090909052</v>
      </c>
      <c r="S104" s="1">
        <f t="shared" si="43"/>
        <v>8.7868525488838625</v>
      </c>
      <c r="T104" s="1">
        <f t="shared" si="44"/>
        <v>0.25086831184236835</v>
      </c>
      <c r="U104" s="1">
        <f t="shared" si="36"/>
        <v>2</v>
      </c>
      <c r="V104" s="7">
        <f t="shared" si="37"/>
        <v>6</v>
      </c>
      <c r="W104" s="216"/>
      <c r="X104" s="79"/>
      <c r="Y104" s="79"/>
      <c r="Z104" s="79"/>
      <c r="AA104" s="79"/>
      <c r="AB104" s="79"/>
      <c r="AC104" s="217"/>
      <c r="AD104" s="79"/>
      <c r="AE104" s="79"/>
      <c r="AF104" s="216"/>
      <c r="AG104" s="79"/>
      <c r="AH104" s="79"/>
      <c r="AI104" s="79"/>
      <c r="AJ104" s="79"/>
      <c r="AK104" s="79"/>
      <c r="AL104" s="79"/>
      <c r="AM104" s="79"/>
      <c r="AN104" s="79"/>
      <c r="AO104" s="79"/>
      <c r="AP104" s="79"/>
      <c r="AQ104" s="79"/>
      <c r="AR104" s="79"/>
      <c r="AS104" s="79"/>
      <c r="AT104" s="79">
        <f t="shared" si="38"/>
        <v>3.0767123966942089E-2</v>
      </c>
      <c r="AU104" s="79">
        <f t="shared" si="39"/>
        <v>1.1666363636363624</v>
      </c>
      <c r="AV104" s="79">
        <f t="shared" si="40"/>
        <v>0.81026249999999989</v>
      </c>
      <c r="AW104" s="79">
        <f t="shared" si="15"/>
        <v>0.43748863636363589</v>
      </c>
      <c r="AX104" s="212">
        <f t="shared" si="16"/>
        <v>0.23332727272727249</v>
      </c>
      <c r="AY104" s="65">
        <f>AT104*$X$4*パラメータ!$D$23</f>
        <v>10.15315090909089</v>
      </c>
      <c r="AZ104" s="1">
        <f>AV104*$X$5*E104*パラメータ!$D$28</f>
        <v>20.661693749999998</v>
      </c>
      <c r="BA104" s="1">
        <f>SUMPRODUCT($AC$4:$AC$10,$AD$4:$AD$10)*E104*パラメータ!$D$26*10^-3</f>
        <v>9.5625</v>
      </c>
      <c r="BB104" s="1">
        <f>(AW104+AX104)*$X$6*$X$4*パラメータ!$D$21*10^-3</f>
        <v>4.5280073863636314</v>
      </c>
      <c r="BC104" s="1">
        <f>($X$8*$X$9*パラメータ!$D$21+0.5*$X$8^2*SIN(RADIANS($X$10))*パラメータ!$D$24)*E104*10^-3</f>
        <v>2.4811109102173465</v>
      </c>
      <c r="BD104" s="1">
        <f t="shared" si="41"/>
        <v>11.666363636363624</v>
      </c>
      <c r="BE104" s="1">
        <f t="shared" si="42"/>
        <v>4</v>
      </c>
      <c r="BF104" s="1">
        <f>IF(G104="端リブ",AT104*$X$13*パラメータ!$D$21*2,0)</f>
        <v>0</v>
      </c>
      <c r="BG104" s="1" t="e">
        <f>主桁!BA60*1000</f>
        <v>#REF!</v>
      </c>
      <c r="BH104" s="1">
        <f t="shared" si="22"/>
        <v>63.052826592035487</v>
      </c>
      <c r="BI104" s="1" t="e">
        <f t="shared" si="23"/>
        <v>#REF!</v>
      </c>
      <c r="BJ104" s="2">
        <f>(Y104-機体重量!$Q$6)^2+(Z104-機体重量!$R$6)^2</f>
        <v>5.4950777486569501E-4</v>
      </c>
      <c r="BK104" s="2">
        <f>(Z104-機体重量!$R$6)^2</f>
        <v>3.8816156979940122E-4</v>
      </c>
      <c r="BL104" s="222">
        <f>(Y104-機体重量!$Q$6)^2</f>
        <v>1.6134620506629379E-4</v>
      </c>
    </row>
    <row r="105" spans="2:64">
      <c r="B105" s="28">
        <v>54</v>
      </c>
      <c r="C105" s="1">
        <f t="shared" si="26"/>
        <v>9.7500000000000124</v>
      </c>
      <c r="D105" s="1">
        <f t="shared" si="28"/>
        <v>562.95454545454481</v>
      </c>
      <c r="E105" s="21">
        <v>0.15</v>
      </c>
      <c r="F105" s="21" t="str">
        <f t="shared" si="45"/>
        <v>4th</v>
      </c>
      <c r="G105" s="4" t="str">
        <f t="shared" si="29"/>
        <v>3番</v>
      </c>
      <c r="H105" s="283" t="s">
        <v>1411</v>
      </c>
      <c r="I105" s="65">
        <f t="shared" si="17"/>
        <v>66.452999999999875</v>
      </c>
      <c r="J105" s="1">
        <f t="shared" si="18"/>
        <v>65.276999999999887</v>
      </c>
      <c r="K105" s="1">
        <f t="shared" si="30"/>
        <v>0.35</v>
      </c>
      <c r="L105" s="212"/>
      <c r="M105" s="65" t="str">
        <f t="shared" si="31"/>
        <v>QX0023</v>
      </c>
      <c r="N105" s="1">
        <f t="shared" si="19"/>
        <v>47.727272727272172</v>
      </c>
      <c r="O105" s="1" t="str">
        <f t="shared" si="32"/>
        <v>QX0123</v>
      </c>
      <c r="P105" s="1">
        <f t="shared" si="33"/>
        <v>52.272727272727828</v>
      </c>
      <c r="Q105" s="1">
        <f t="shared" si="34"/>
        <v>0.19703409090909069</v>
      </c>
      <c r="R105" s="1">
        <f t="shared" si="35"/>
        <v>-0.36592045454545413</v>
      </c>
      <c r="S105" s="1">
        <f t="shared" si="43"/>
        <v>8.9360308331891041</v>
      </c>
      <c r="T105" s="1">
        <f t="shared" si="44"/>
        <v>0.26654758133251638</v>
      </c>
      <c r="U105" s="1">
        <f t="shared" si="36"/>
        <v>2</v>
      </c>
      <c r="V105" s="7">
        <f t="shared" si="37"/>
        <v>6</v>
      </c>
      <c r="W105" s="216"/>
      <c r="X105" s="79"/>
      <c r="Y105" s="79"/>
      <c r="Z105" s="79"/>
      <c r="AA105" s="79"/>
      <c r="AB105" s="79"/>
      <c r="AC105" s="217"/>
      <c r="AD105" s="79"/>
      <c r="AE105" s="79"/>
      <c r="AF105" s="216"/>
      <c r="AG105" s="79"/>
      <c r="AH105" s="79"/>
      <c r="AI105" s="79"/>
      <c r="AJ105" s="79"/>
      <c r="AK105" s="79"/>
      <c r="AL105" s="79"/>
      <c r="AM105" s="79"/>
      <c r="AN105" s="79"/>
      <c r="AO105" s="79"/>
      <c r="AP105" s="79"/>
      <c r="AQ105" s="79"/>
      <c r="AR105" s="79"/>
      <c r="AS105" s="79"/>
      <c r="AT105" s="79">
        <f t="shared" si="38"/>
        <v>3.0107192923553655E-2</v>
      </c>
      <c r="AU105" s="79">
        <f t="shared" si="39"/>
        <v>1.1540568181818169</v>
      </c>
      <c r="AV105" s="79">
        <f t="shared" si="40"/>
        <v>0.81026249999999989</v>
      </c>
      <c r="AW105" s="79">
        <f t="shared" si="15"/>
        <v>0.43277130681818132</v>
      </c>
      <c r="AX105" s="212">
        <f t="shared" si="16"/>
        <v>0.2308113636363634</v>
      </c>
      <c r="AY105" s="65">
        <f>AT105*$X$4*パラメータ!$D$23</f>
        <v>9.9353736647727064</v>
      </c>
      <c r="AZ105" s="1">
        <f>AV105*$X$5*E105*パラメータ!$D$28</f>
        <v>20.661693749999998</v>
      </c>
      <c r="BA105" s="1">
        <f>SUMPRODUCT($AC$4:$AC$10,$AD$4:$AD$10)*E105*パラメータ!$D$26*10^-3</f>
        <v>9.5625</v>
      </c>
      <c r="BB105" s="1">
        <f>(AW105+AX105)*$X$6*$X$4*パラメータ!$D$21*10^-3</f>
        <v>4.4791830255681768</v>
      </c>
      <c r="BC105" s="1">
        <f>($X$8*$X$9*パラメータ!$D$21+0.5*$X$8^2*SIN(RADIANS($X$10))*パラメータ!$D$24)*E105*10^-3</f>
        <v>2.4811109102173465</v>
      </c>
      <c r="BD105" s="1">
        <f t="shared" si="41"/>
        <v>11.54056818181817</v>
      </c>
      <c r="BE105" s="1">
        <f t="shared" si="42"/>
        <v>4</v>
      </c>
      <c r="BF105" s="1">
        <f>IF(G105="端リブ",AT105*$X$13*パラメータ!$D$21*2,0)</f>
        <v>0</v>
      </c>
      <c r="BG105" s="1" t="e">
        <f>主桁!BA61*1000</f>
        <v>#REF!</v>
      </c>
      <c r="BH105" s="1">
        <f t="shared" si="22"/>
        <v>62.660429532376398</v>
      </c>
      <c r="BI105" s="1" t="e">
        <f t="shared" si="23"/>
        <v>#REF!</v>
      </c>
      <c r="BJ105" s="2">
        <f>(Y105-機体重量!$Q$6)^2+(Z105-機体重量!$R$6)^2</f>
        <v>5.4950777486569501E-4</v>
      </c>
      <c r="BK105" s="2">
        <f>(Z105-機体重量!$R$6)^2</f>
        <v>3.8816156979940122E-4</v>
      </c>
      <c r="BL105" s="222">
        <f>(Y105-機体重量!$Q$6)^2</f>
        <v>1.6134620506629379E-4</v>
      </c>
    </row>
    <row r="106" spans="2:64">
      <c r="B106" s="104">
        <v>55</v>
      </c>
      <c r="C106" s="1">
        <f t="shared" si="26"/>
        <v>9.9000000000000128</v>
      </c>
      <c r="D106" s="1">
        <f t="shared" si="28"/>
        <v>556.81818181818119</v>
      </c>
      <c r="E106" s="21">
        <v>0.15</v>
      </c>
      <c r="F106" s="21" t="str">
        <f t="shared" si="45"/>
        <v>4th</v>
      </c>
      <c r="G106" s="4" t="str">
        <f t="shared" si="29"/>
        <v>3番</v>
      </c>
      <c r="H106" s="283" t="s">
        <v>1412</v>
      </c>
      <c r="I106" s="65">
        <f t="shared" si="17"/>
        <v>65.177999999999869</v>
      </c>
      <c r="J106" s="1">
        <f t="shared" si="18"/>
        <v>64.001999999999882</v>
      </c>
      <c r="K106" s="1">
        <f t="shared" si="30"/>
        <v>0.35</v>
      </c>
      <c r="L106" s="212"/>
      <c r="M106" s="65" t="str">
        <f t="shared" si="31"/>
        <v>QX0023</v>
      </c>
      <c r="N106" s="1">
        <f t="shared" si="19"/>
        <v>40.909090909090338</v>
      </c>
      <c r="O106" s="1" t="str">
        <f t="shared" si="32"/>
        <v>QX0123</v>
      </c>
      <c r="P106" s="1">
        <f t="shared" si="33"/>
        <v>59.090909090909662</v>
      </c>
      <c r="Q106" s="1">
        <f t="shared" si="34"/>
        <v>0.19488636363636339</v>
      </c>
      <c r="R106" s="1">
        <f t="shared" si="35"/>
        <v>-0.36193181818181785</v>
      </c>
      <c r="S106" s="1">
        <f t="shared" si="43"/>
        <v>9.0852091174943457</v>
      </c>
      <c r="T106" s="1">
        <f t="shared" si="44"/>
        <v>0.28222685082266441</v>
      </c>
      <c r="U106" s="1">
        <f t="shared" si="36"/>
        <v>2</v>
      </c>
      <c r="V106" s="7">
        <f t="shared" si="37"/>
        <v>6</v>
      </c>
      <c r="W106" s="216"/>
      <c r="X106" s="79"/>
      <c r="Y106" s="79"/>
      <c r="Z106" s="79"/>
      <c r="AA106" s="79"/>
      <c r="AB106" s="79"/>
      <c r="AC106" s="217"/>
      <c r="AD106" s="79"/>
      <c r="AE106" s="79"/>
      <c r="AF106" s="216"/>
      <c r="AG106" s="79"/>
      <c r="AH106" s="79"/>
      <c r="AI106" s="79"/>
      <c r="AJ106" s="79"/>
      <c r="AK106" s="79"/>
      <c r="AL106" s="79"/>
      <c r="AM106" s="79"/>
      <c r="AN106" s="79"/>
      <c r="AO106" s="79"/>
      <c r="AP106" s="79"/>
      <c r="AQ106" s="79"/>
      <c r="AR106" s="79"/>
      <c r="AS106" s="79"/>
      <c r="AT106" s="79">
        <f t="shared" si="38"/>
        <v>2.9454416322313985E-2</v>
      </c>
      <c r="AU106" s="79">
        <f t="shared" si="39"/>
        <v>1.1414772727272713</v>
      </c>
      <c r="AV106" s="79">
        <f t="shared" si="40"/>
        <v>0.81026249999999989</v>
      </c>
      <c r="AW106" s="79">
        <f t="shared" si="15"/>
        <v>0.42805397727272676</v>
      </c>
      <c r="AX106" s="212">
        <f t="shared" si="16"/>
        <v>0.22829545454545427</v>
      </c>
      <c r="AY106" s="65">
        <f>AT106*$X$4*パラメータ!$D$23</f>
        <v>9.7199573863636157</v>
      </c>
      <c r="AZ106" s="1">
        <f>AV106*$X$5*E106*パラメータ!$D$28</f>
        <v>20.661693749999998</v>
      </c>
      <c r="BA106" s="1">
        <f>SUMPRODUCT($AC$4:$AC$10,$AD$4:$AD$10)*E106*パラメータ!$D$26*10^-3</f>
        <v>9.5625</v>
      </c>
      <c r="BB106" s="1">
        <f>(AW106+AX106)*$X$6*$X$4*パラメータ!$D$21*10^-3</f>
        <v>4.4303586647727222</v>
      </c>
      <c r="BC106" s="1">
        <f>($X$8*$X$9*パラメータ!$D$21+0.5*$X$8^2*SIN(RADIANS($X$10))*パラメータ!$D$24)*E106*10^-3</f>
        <v>2.4811109102173465</v>
      </c>
      <c r="BD106" s="1">
        <f t="shared" si="41"/>
        <v>11.414772727272712</v>
      </c>
      <c r="BE106" s="1">
        <f t="shared" si="42"/>
        <v>4</v>
      </c>
      <c r="BF106" s="1">
        <f>IF(G106="端リブ",AT106*$X$13*パラメータ!$D$21*2,0)</f>
        <v>0</v>
      </c>
      <c r="BG106" s="1" t="e">
        <f>主桁!BA62*1000</f>
        <v>#REF!</v>
      </c>
      <c r="BH106" s="1">
        <f t="shared" si="22"/>
        <v>62.2703934386264</v>
      </c>
      <c r="BI106" s="1" t="e">
        <f t="shared" si="23"/>
        <v>#REF!</v>
      </c>
      <c r="BJ106" s="2">
        <f>(Y106-機体重量!$Q$6)^2+(Z106-機体重量!$R$6)^2</f>
        <v>5.4950777486569501E-4</v>
      </c>
      <c r="BK106" s="2">
        <f>(Z106-機体重量!$R$6)^2</f>
        <v>3.8816156979940122E-4</v>
      </c>
      <c r="BL106" s="222">
        <f>(Y106-機体重量!$Q$6)^2</f>
        <v>1.6134620506629379E-4</v>
      </c>
    </row>
    <row r="107" spans="2:64">
      <c r="B107" s="28">
        <v>56</v>
      </c>
      <c r="C107" s="1">
        <f t="shared" si="26"/>
        <v>10.050000000000013</v>
      </c>
      <c r="D107" s="1">
        <f t="shared" si="28"/>
        <v>550.68181818181756</v>
      </c>
      <c r="E107" s="21">
        <v>0.15</v>
      </c>
      <c r="F107" s="21" t="str">
        <f t="shared" si="45"/>
        <v>4th</v>
      </c>
      <c r="G107" s="4" t="str">
        <f t="shared" si="29"/>
        <v>3番</v>
      </c>
      <c r="H107" s="283" t="s">
        <v>1411</v>
      </c>
      <c r="I107" s="65">
        <f t="shared" si="17"/>
        <v>63.902999999999864</v>
      </c>
      <c r="J107" s="1">
        <f t="shared" si="18"/>
        <v>62.726999999999876</v>
      </c>
      <c r="K107" s="1">
        <f t="shared" si="30"/>
        <v>0.35</v>
      </c>
      <c r="L107" s="212"/>
      <c r="M107" s="65" t="str">
        <f t="shared" si="31"/>
        <v>QX0023</v>
      </c>
      <c r="N107" s="1">
        <f t="shared" si="19"/>
        <v>34.090909090908511</v>
      </c>
      <c r="O107" s="1" t="str">
        <f t="shared" si="32"/>
        <v>QX0123</v>
      </c>
      <c r="P107" s="1">
        <f t="shared" si="33"/>
        <v>65.909090909091489</v>
      </c>
      <c r="Q107" s="1">
        <f t="shared" si="34"/>
        <v>0.19273863636363614</v>
      </c>
      <c r="R107" s="1">
        <f t="shared" si="35"/>
        <v>-0.35794318181818147</v>
      </c>
      <c r="S107" s="1">
        <f t="shared" si="43"/>
        <v>9.2343874017995873</v>
      </c>
      <c r="T107" s="1">
        <f t="shared" si="44"/>
        <v>0.29790612031281244</v>
      </c>
      <c r="U107" s="1">
        <f t="shared" si="36"/>
        <v>2</v>
      </c>
      <c r="V107" s="7">
        <f t="shared" si="37"/>
        <v>6</v>
      </c>
      <c r="W107" s="216"/>
      <c r="X107" s="79"/>
      <c r="Y107" s="79"/>
      <c r="Z107" s="79"/>
      <c r="AA107" s="79"/>
      <c r="AB107" s="79"/>
      <c r="AC107" s="217"/>
      <c r="AD107" s="79"/>
      <c r="AE107" s="79"/>
      <c r="AF107" s="216"/>
      <c r="AG107" s="79"/>
      <c r="AH107" s="79"/>
      <c r="AI107" s="79"/>
      <c r="AJ107" s="79"/>
      <c r="AK107" s="79"/>
      <c r="AL107" s="79"/>
      <c r="AM107" s="79"/>
      <c r="AN107" s="79"/>
      <c r="AO107" s="79"/>
      <c r="AP107" s="79"/>
      <c r="AQ107" s="79"/>
      <c r="AR107" s="79"/>
      <c r="AS107" s="79"/>
      <c r="AT107" s="79">
        <f t="shared" si="38"/>
        <v>2.880879416322308E-2</v>
      </c>
      <c r="AU107" s="79">
        <f t="shared" si="39"/>
        <v>1.1288977272727259</v>
      </c>
      <c r="AV107" s="79">
        <f t="shared" si="40"/>
        <v>0.81026249999999989</v>
      </c>
      <c r="AW107" s="79">
        <f t="shared" si="15"/>
        <v>0.4233366477272722</v>
      </c>
      <c r="AX107" s="212">
        <f t="shared" si="16"/>
        <v>0.22577954545454518</v>
      </c>
      <c r="AY107" s="65">
        <f>AT107*$X$4*パラメータ!$D$23</f>
        <v>9.5069020738636159</v>
      </c>
      <c r="AZ107" s="1">
        <f>AV107*$X$5*E107*パラメータ!$D$28</f>
        <v>20.661693749999998</v>
      </c>
      <c r="BA107" s="1">
        <f>SUMPRODUCT($AC$4:$AC$10,$AD$4:$AD$10)*E107*パラメータ!$D$26*10^-3</f>
        <v>9.5625</v>
      </c>
      <c r="BB107" s="1">
        <f>(AW107+AX107)*$X$6*$X$4*パラメータ!$D$21*10^-3</f>
        <v>4.3815343039772667</v>
      </c>
      <c r="BC107" s="1">
        <f>($X$8*$X$9*パラメータ!$D$21+0.5*$X$8^2*SIN(RADIANS($X$10))*パラメータ!$D$24)*E107*10^-3</f>
        <v>2.4811109102173465</v>
      </c>
      <c r="BD107" s="1">
        <f t="shared" si="41"/>
        <v>11.288977272727259</v>
      </c>
      <c r="BE107" s="1">
        <f t="shared" si="42"/>
        <v>4</v>
      </c>
      <c r="BF107" s="1">
        <f>IF(G107="端リブ",AT107*$X$13*パラメータ!$D$21*2,0)</f>
        <v>0</v>
      </c>
      <c r="BG107" s="1" t="e">
        <f>主桁!BA63*1000</f>
        <v>#REF!</v>
      </c>
      <c r="BH107" s="1">
        <f t="shared" si="22"/>
        <v>61.882718310785485</v>
      </c>
      <c r="BI107" s="1" t="e">
        <f t="shared" si="23"/>
        <v>#REF!</v>
      </c>
      <c r="BJ107" s="2">
        <f>(Y107-機体重量!$Q$6)^2+(Z107-機体重量!$R$6)^2</f>
        <v>5.4950777486569501E-4</v>
      </c>
      <c r="BK107" s="2">
        <f>(Z107-機体重量!$R$6)^2</f>
        <v>3.8816156979940122E-4</v>
      </c>
      <c r="BL107" s="222">
        <f>(Y107-機体重量!$Q$6)^2</f>
        <v>1.6134620506629379E-4</v>
      </c>
    </row>
    <row r="108" spans="2:64">
      <c r="B108" s="104">
        <v>57</v>
      </c>
      <c r="C108" s="1">
        <f t="shared" si="26"/>
        <v>10.200000000000014</v>
      </c>
      <c r="D108" s="1">
        <f t="shared" si="28"/>
        <v>544.54545454545405</v>
      </c>
      <c r="E108" s="21">
        <v>0.15</v>
      </c>
      <c r="F108" s="21" t="str">
        <f t="shared" si="45"/>
        <v>4th</v>
      </c>
      <c r="G108" s="4" t="str">
        <f t="shared" si="29"/>
        <v>3番</v>
      </c>
      <c r="H108" s="283" t="s">
        <v>1412</v>
      </c>
      <c r="I108" s="65">
        <f t="shared" si="17"/>
        <v>62.627999999999858</v>
      </c>
      <c r="J108" s="1">
        <f t="shared" si="18"/>
        <v>61.45199999999987</v>
      </c>
      <c r="K108" s="1">
        <f t="shared" si="30"/>
        <v>0.35</v>
      </c>
      <c r="L108" s="212"/>
      <c r="M108" s="65" t="str">
        <f t="shared" si="31"/>
        <v>QX0023</v>
      </c>
      <c r="N108" s="1">
        <f t="shared" si="19"/>
        <v>27.272727272726684</v>
      </c>
      <c r="O108" s="1" t="str">
        <f t="shared" si="32"/>
        <v>QX0123</v>
      </c>
      <c r="P108" s="1">
        <f t="shared" si="33"/>
        <v>72.727272727273316</v>
      </c>
      <c r="Q108" s="1">
        <f t="shared" si="34"/>
        <v>0.19059090909090889</v>
      </c>
      <c r="R108" s="1">
        <f t="shared" si="35"/>
        <v>-0.35395454545454508</v>
      </c>
      <c r="S108" s="1">
        <f t="shared" si="43"/>
        <v>9.3835656861048289</v>
      </c>
      <c r="T108" s="1">
        <f t="shared" si="44"/>
        <v>0.31358538980296047</v>
      </c>
      <c r="U108" s="1">
        <f t="shared" si="36"/>
        <v>2</v>
      </c>
      <c r="V108" s="7">
        <f t="shared" si="37"/>
        <v>6</v>
      </c>
      <c r="W108" s="216"/>
      <c r="X108" s="79"/>
      <c r="Y108" s="79"/>
      <c r="Z108" s="79"/>
      <c r="AA108" s="79"/>
      <c r="AB108" s="79"/>
      <c r="AC108" s="217"/>
      <c r="AD108" s="79"/>
      <c r="AE108" s="79"/>
      <c r="AF108" s="216"/>
      <c r="AG108" s="79"/>
      <c r="AH108" s="79"/>
      <c r="AI108" s="79"/>
      <c r="AJ108" s="79"/>
      <c r="AK108" s="79"/>
      <c r="AL108" s="79"/>
      <c r="AM108" s="79"/>
      <c r="AN108" s="79"/>
      <c r="AO108" s="79"/>
      <c r="AP108" s="79"/>
      <c r="AQ108" s="79"/>
      <c r="AR108" s="79"/>
      <c r="AS108" s="79"/>
      <c r="AT108" s="79">
        <f t="shared" si="38"/>
        <v>2.8170326446280935E-2</v>
      </c>
      <c r="AU108" s="79">
        <f t="shared" si="39"/>
        <v>1.1163181818181807</v>
      </c>
      <c r="AV108" s="79">
        <f t="shared" si="40"/>
        <v>0.81026249999999989</v>
      </c>
      <c r="AW108" s="79">
        <f t="shared" si="15"/>
        <v>0.41861931818181775</v>
      </c>
      <c r="AX108" s="212">
        <f t="shared" si="16"/>
        <v>0.22326363636363614</v>
      </c>
      <c r="AY108" s="65">
        <f>AT108*$X$4*パラメータ!$D$23</f>
        <v>9.2962077272727086</v>
      </c>
      <c r="AZ108" s="1">
        <f>AV108*$X$5*E108*パラメータ!$D$28</f>
        <v>20.661693749999998</v>
      </c>
      <c r="BA108" s="1">
        <f>SUMPRODUCT($AC$4:$AC$10,$AD$4:$AD$10)*E108*パラメータ!$D$26*10^-3</f>
        <v>9.5625</v>
      </c>
      <c r="BB108" s="1">
        <f>(AW108+AX108)*$X$6*$X$4*パラメータ!$D$21*10^-3</f>
        <v>4.332709943181813</v>
      </c>
      <c r="BC108" s="1">
        <f>($X$8*$X$9*パラメータ!$D$21+0.5*$X$8^2*SIN(RADIANS($X$10))*パラメータ!$D$24)*E108*10^-3</f>
        <v>2.4811109102173465</v>
      </c>
      <c r="BD108" s="1">
        <f t="shared" si="41"/>
        <v>11.163181818181807</v>
      </c>
      <c r="BE108" s="1">
        <f t="shared" si="42"/>
        <v>4</v>
      </c>
      <c r="BF108" s="1">
        <f>IF(G108="端リブ",AT108*$X$13*パラメータ!$D$21*2,0)</f>
        <v>0</v>
      </c>
      <c r="BG108" s="1" t="e">
        <f>主桁!BA64*1000</f>
        <v>#REF!</v>
      </c>
      <c r="BH108" s="1">
        <f t="shared" si="22"/>
        <v>61.497404148853668</v>
      </c>
      <c r="BI108" s="1" t="e">
        <f t="shared" si="23"/>
        <v>#REF!</v>
      </c>
      <c r="BJ108" s="2">
        <f>(Y108-機体重量!$Q$6)^2+(Z108-機体重量!$R$6)^2</f>
        <v>5.4950777486569501E-4</v>
      </c>
      <c r="BK108" s="2">
        <f>(Z108-機体重量!$R$6)^2</f>
        <v>3.8816156979940122E-4</v>
      </c>
      <c r="BL108" s="222">
        <f>(Y108-機体重量!$Q$6)^2</f>
        <v>1.6134620506629379E-4</v>
      </c>
    </row>
    <row r="109" spans="2:64">
      <c r="B109" s="28">
        <v>58</v>
      </c>
      <c r="C109" s="1">
        <f t="shared" si="26"/>
        <v>10.350000000000014</v>
      </c>
      <c r="D109" s="1">
        <f t="shared" si="28"/>
        <v>538.40909090909031</v>
      </c>
      <c r="E109" s="21">
        <v>0.15</v>
      </c>
      <c r="F109" s="21" t="str">
        <f t="shared" si="45"/>
        <v>4th</v>
      </c>
      <c r="G109" s="4" t="str">
        <f t="shared" si="29"/>
        <v>3番</v>
      </c>
      <c r="H109" s="283" t="s">
        <v>1411</v>
      </c>
      <c r="I109" s="65">
        <f t="shared" si="17"/>
        <v>61.352999999999852</v>
      </c>
      <c r="J109" s="1">
        <f t="shared" si="18"/>
        <v>60.176999999999865</v>
      </c>
      <c r="K109" s="1">
        <f t="shared" si="30"/>
        <v>0.35</v>
      </c>
      <c r="L109" s="212"/>
      <c r="M109" s="65" t="str">
        <f t="shared" si="31"/>
        <v>QX0023</v>
      </c>
      <c r="N109" s="1">
        <f t="shared" si="19"/>
        <v>20.454545454544842</v>
      </c>
      <c r="O109" s="1" t="str">
        <f t="shared" si="32"/>
        <v>QX0123</v>
      </c>
      <c r="P109" s="1">
        <f t="shared" si="33"/>
        <v>79.545454545455158</v>
      </c>
      <c r="Q109" s="1">
        <f t="shared" si="34"/>
        <v>0.18844318181818159</v>
      </c>
      <c r="R109" s="1">
        <f t="shared" si="35"/>
        <v>-0.34996590909090869</v>
      </c>
      <c r="S109" s="1">
        <f t="shared" si="43"/>
        <v>9.5327439704100705</v>
      </c>
      <c r="T109" s="1">
        <f t="shared" si="44"/>
        <v>0.3292646592931085</v>
      </c>
      <c r="U109" s="1">
        <f t="shared" si="36"/>
        <v>2</v>
      </c>
      <c r="V109" s="7">
        <f t="shared" si="37"/>
        <v>6</v>
      </c>
      <c r="W109" s="216"/>
      <c r="X109" s="79"/>
      <c r="Y109" s="79"/>
      <c r="Z109" s="79"/>
      <c r="AA109" s="79"/>
      <c r="AB109" s="79"/>
      <c r="AC109" s="217"/>
      <c r="AD109" s="79"/>
      <c r="AE109" s="79"/>
      <c r="AF109" s="216"/>
      <c r="AG109" s="79"/>
      <c r="AH109" s="79"/>
      <c r="AI109" s="79"/>
      <c r="AJ109" s="79"/>
      <c r="AK109" s="79"/>
      <c r="AL109" s="79"/>
      <c r="AM109" s="79"/>
      <c r="AN109" s="79"/>
      <c r="AO109" s="79"/>
      <c r="AP109" s="79"/>
      <c r="AQ109" s="79"/>
      <c r="AR109" s="79"/>
      <c r="AS109" s="79"/>
      <c r="AT109" s="79">
        <f t="shared" si="38"/>
        <v>2.7539013171487541E-2</v>
      </c>
      <c r="AU109" s="79">
        <f t="shared" si="39"/>
        <v>1.1037386363636352</v>
      </c>
      <c r="AV109" s="79">
        <f t="shared" si="40"/>
        <v>0.81026249999999989</v>
      </c>
      <c r="AW109" s="79">
        <f t="shared" si="15"/>
        <v>0.41390198863636318</v>
      </c>
      <c r="AX109" s="212">
        <f t="shared" si="16"/>
        <v>0.22074772727272707</v>
      </c>
      <c r="AY109" s="65">
        <f>AT109*$X$4*パラメータ!$D$23</f>
        <v>9.0878743465908887</v>
      </c>
      <c r="AZ109" s="1">
        <f>AV109*$X$5*E109*パラメータ!$D$28</f>
        <v>20.661693749999998</v>
      </c>
      <c r="BA109" s="1">
        <f>SUMPRODUCT($AC$4:$AC$10,$AD$4:$AD$10)*E109*パラメータ!$D$26*10^-3</f>
        <v>9.5625</v>
      </c>
      <c r="BB109" s="1">
        <f>(AW109+AX109)*$X$6*$X$4*パラメータ!$D$21*10^-3</f>
        <v>4.2838855823863584</v>
      </c>
      <c r="BC109" s="1">
        <f>($X$8*$X$9*パラメータ!$D$21+0.5*$X$8^2*SIN(RADIANS($X$10))*パラメータ!$D$24)*E109*10^-3</f>
        <v>2.4811109102173465</v>
      </c>
      <c r="BD109" s="1">
        <f t="shared" si="41"/>
        <v>11.037386363636353</v>
      </c>
      <c r="BE109" s="1">
        <f t="shared" si="42"/>
        <v>4</v>
      </c>
      <c r="BF109" s="1">
        <f>IF(G109="端リブ",AT109*$X$13*パラメータ!$D$21*2,0)</f>
        <v>0</v>
      </c>
      <c r="BG109" s="1" t="e">
        <f>主桁!BA65*1000</f>
        <v>#REF!</v>
      </c>
      <c r="BH109" s="1">
        <f t="shared" si="22"/>
        <v>61.114450952830943</v>
      </c>
      <c r="BI109" s="1" t="e">
        <f t="shared" si="23"/>
        <v>#REF!</v>
      </c>
      <c r="BJ109" s="2">
        <f>(Y109-機体重量!$Q$6)^2+(Z109-機体重量!$R$6)^2</f>
        <v>5.4950777486569501E-4</v>
      </c>
      <c r="BK109" s="2">
        <f>(Z109-機体重量!$R$6)^2</f>
        <v>3.8816156979940122E-4</v>
      </c>
      <c r="BL109" s="222">
        <f>(Y109-機体重量!$Q$6)^2</f>
        <v>1.6134620506629379E-4</v>
      </c>
    </row>
    <row r="110" spans="2:64">
      <c r="B110" s="104">
        <v>59</v>
      </c>
      <c r="C110" s="1">
        <f t="shared" si="26"/>
        <v>10.500000000000014</v>
      </c>
      <c r="D110" s="1">
        <f t="shared" si="28"/>
        <v>532.27272727272668</v>
      </c>
      <c r="E110" s="21">
        <v>0.15</v>
      </c>
      <c r="F110" s="21" t="str">
        <f>IF(C110&lt;$N$7,"flat",IF(C110&lt;$N$8,"1st",IF(C110&lt;$N$9,"2nd",IF(C110&lt;$N$10,"3rd",IF(C110&lt;$N$11,"4th",IF(C110&lt;$N$12,"5th","6th"))))))</f>
        <v>4th</v>
      </c>
      <c r="G110" s="4" t="str">
        <f t="shared" si="29"/>
        <v>3番</v>
      </c>
      <c r="H110" s="283" t="s">
        <v>1412</v>
      </c>
      <c r="I110" s="65">
        <f t="shared" si="17"/>
        <v>60.077999999999861</v>
      </c>
      <c r="J110" s="1">
        <f t="shared" si="18"/>
        <v>58.901999999999873</v>
      </c>
      <c r="K110" s="1">
        <f t="shared" si="30"/>
        <v>0.35</v>
      </c>
      <c r="L110" s="212"/>
      <c r="M110" s="65" t="str">
        <f t="shared" si="31"/>
        <v>QX0023</v>
      </c>
      <c r="N110" s="1">
        <f t="shared" si="19"/>
        <v>13.636363636363015</v>
      </c>
      <c r="O110" s="1" t="str">
        <f t="shared" si="32"/>
        <v>QX0123</v>
      </c>
      <c r="P110" s="1">
        <f t="shared" si="33"/>
        <v>86.363636363636985</v>
      </c>
      <c r="Q110" s="1">
        <f t="shared" si="34"/>
        <v>0.18629545454545432</v>
      </c>
      <c r="R110" s="1">
        <f t="shared" si="35"/>
        <v>-0.34597727272727236</v>
      </c>
      <c r="S110" s="1">
        <f t="shared" si="43"/>
        <v>9.6819222547153121</v>
      </c>
      <c r="T110" s="1">
        <f t="shared" si="44"/>
        <v>0.34494392878325653</v>
      </c>
      <c r="U110" s="1">
        <f t="shared" si="36"/>
        <v>2</v>
      </c>
      <c r="V110" s="7">
        <f t="shared" si="37"/>
        <v>6</v>
      </c>
      <c r="W110" s="216"/>
      <c r="X110" s="79"/>
      <c r="Y110" s="79"/>
      <c r="Z110" s="79"/>
      <c r="AA110" s="79"/>
      <c r="AB110" s="79"/>
      <c r="AC110" s="217"/>
      <c r="AD110" s="79"/>
      <c r="AE110" s="79"/>
      <c r="AF110" s="216"/>
      <c r="AG110" s="79"/>
      <c r="AH110" s="79"/>
      <c r="AI110" s="79"/>
      <c r="AJ110" s="79"/>
      <c r="AK110" s="79"/>
      <c r="AL110" s="79"/>
      <c r="AM110" s="79"/>
      <c r="AN110" s="79"/>
      <c r="AO110" s="79"/>
      <c r="AP110" s="79"/>
      <c r="AQ110" s="79"/>
      <c r="AR110" s="79"/>
      <c r="AS110" s="79"/>
      <c r="AT110" s="79">
        <f t="shared" si="38"/>
        <v>2.6914854338842917E-2</v>
      </c>
      <c r="AU110" s="79">
        <f t="shared" si="39"/>
        <v>1.0911590909090896</v>
      </c>
      <c r="AV110" s="79">
        <f t="shared" si="40"/>
        <v>0.81026249999999989</v>
      </c>
      <c r="AW110" s="79">
        <f t="shared" si="15"/>
        <v>0.40918465909090862</v>
      </c>
      <c r="AX110" s="212">
        <f t="shared" si="16"/>
        <v>0.21823181818181792</v>
      </c>
      <c r="AY110" s="65">
        <f>AT110*$X$4*パラメータ!$D$23</f>
        <v>8.8819019318181631</v>
      </c>
      <c r="AZ110" s="1">
        <f>AV110*$X$5*E110*パラメータ!$D$28</f>
        <v>20.661693749999998</v>
      </c>
      <c r="BA110" s="1">
        <f>SUMPRODUCT($AC$4:$AC$10,$AD$4:$AD$10)*E110*パラメータ!$D$26*10^-3</f>
        <v>9.5625</v>
      </c>
      <c r="BB110" s="1">
        <f>(AW110+AX110)*$X$6*$X$4*パラメータ!$D$21*10^-3</f>
        <v>4.2350612215909038</v>
      </c>
      <c r="BC110" s="1">
        <f>($X$8*$X$9*パラメータ!$D$21+0.5*$X$8^2*SIN(RADIANS($X$10))*パラメータ!$D$24)*E110*10^-3</f>
        <v>2.4811109102173465</v>
      </c>
      <c r="BD110" s="1">
        <f t="shared" si="41"/>
        <v>10.911590909090895</v>
      </c>
      <c r="BE110" s="1">
        <f t="shared" si="42"/>
        <v>4</v>
      </c>
      <c r="BF110" s="1">
        <f>IF(G110="端リブ",AT110*$X$13*パラメータ!$D$21*2,0)</f>
        <v>0</v>
      </c>
      <c r="BG110" s="1" t="e">
        <f>主桁!BA66*1000</f>
        <v>#REF!</v>
      </c>
      <c r="BH110" s="1">
        <f t="shared" si="22"/>
        <v>60.733858722717308</v>
      </c>
      <c r="BI110" s="1" t="e">
        <f t="shared" si="23"/>
        <v>#REF!</v>
      </c>
      <c r="BJ110" s="2">
        <f>(Y110-機体重量!$Q$6)^2+(Z110-機体重量!$R$6)^2</f>
        <v>5.4950777486569501E-4</v>
      </c>
      <c r="BK110" s="2">
        <f>(Z110-機体重量!$R$6)^2</f>
        <v>3.8816156979940122E-4</v>
      </c>
      <c r="BL110" s="222">
        <f>(Y110-機体重量!$Q$6)^2</f>
        <v>1.6134620506629379E-4</v>
      </c>
    </row>
    <row r="111" spans="2:64">
      <c r="B111" s="28">
        <v>60</v>
      </c>
      <c r="C111" s="1">
        <f t="shared" si="26"/>
        <v>10.650000000000015</v>
      </c>
      <c r="D111" s="1">
        <f t="shared" si="28"/>
        <v>526.13636363636294</v>
      </c>
      <c r="E111" s="21">
        <v>0.15</v>
      </c>
      <c r="F111" s="21" t="str">
        <f>IF(C111&lt;$N$7,"flat",IF(C111&lt;$N$8,"1st",IF(C111&lt;$N$9,"2nd",IF(C111&lt;$N$10,"3rd",IF(C111&lt;$N$11,"4th",IF(C111&lt;$N$12,"5th","6th"))))))</f>
        <v>4th</v>
      </c>
      <c r="G111" s="4" t="str">
        <f t="shared" si="29"/>
        <v>3番</v>
      </c>
      <c r="H111" s="283" t="s">
        <v>1411</v>
      </c>
      <c r="I111" s="65">
        <f t="shared" si="17"/>
        <v>58.802999999999855</v>
      </c>
      <c r="J111" s="1">
        <f t="shared" si="18"/>
        <v>57.626999999999867</v>
      </c>
      <c r="K111" s="1">
        <f t="shared" si="30"/>
        <v>0.35</v>
      </c>
      <c r="L111" s="212"/>
      <c r="M111" s="65" t="str">
        <f t="shared" si="31"/>
        <v>QX0023</v>
      </c>
      <c r="N111" s="1">
        <f t="shared" si="19"/>
        <v>6.8181818181811877</v>
      </c>
      <c r="O111" s="1" t="str">
        <f t="shared" si="32"/>
        <v>QX0123</v>
      </c>
      <c r="P111" s="1">
        <f t="shared" si="33"/>
        <v>93.181818181818812</v>
      </c>
      <c r="Q111" s="1">
        <f t="shared" si="34"/>
        <v>0.18414772727272702</v>
      </c>
      <c r="R111" s="1">
        <f t="shared" si="35"/>
        <v>-0.34198863636363597</v>
      </c>
      <c r="S111" s="1">
        <f t="shared" si="43"/>
        <v>9.8311005390205537</v>
      </c>
      <c r="T111" s="1">
        <f t="shared" si="44"/>
        <v>0.36062319827340455</v>
      </c>
      <c r="U111" s="1">
        <f t="shared" si="36"/>
        <v>2</v>
      </c>
      <c r="V111" s="7">
        <f t="shared" si="37"/>
        <v>6</v>
      </c>
      <c r="W111" s="216"/>
      <c r="X111" s="79"/>
      <c r="Y111" s="79"/>
      <c r="Z111" s="79"/>
      <c r="AA111" s="79"/>
      <c r="AB111" s="79"/>
      <c r="AC111" s="217"/>
      <c r="AD111" s="79"/>
      <c r="AE111" s="79"/>
      <c r="AF111" s="216"/>
      <c r="AG111" s="79"/>
      <c r="AH111" s="79"/>
      <c r="AI111" s="79"/>
      <c r="AJ111" s="79"/>
      <c r="AK111" s="79"/>
      <c r="AL111" s="79"/>
      <c r="AM111" s="79"/>
      <c r="AN111" s="79"/>
      <c r="AO111" s="79"/>
      <c r="AP111" s="79"/>
      <c r="AQ111" s="79"/>
      <c r="AR111" s="79"/>
      <c r="AS111" s="79"/>
      <c r="AT111" s="79">
        <f t="shared" si="38"/>
        <v>2.6297849948347041E-2</v>
      </c>
      <c r="AU111" s="79">
        <f t="shared" si="39"/>
        <v>1.0785795454545439</v>
      </c>
      <c r="AV111" s="79">
        <f t="shared" si="40"/>
        <v>0.81026249999999989</v>
      </c>
      <c r="AW111" s="79">
        <f t="shared" si="15"/>
        <v>0.40446732954545395</v>
      </c>
      <c r="AX111" s="212">
        <f t="shared" si="16"/>
        <v>0.21571590909090879</v>
      </c>
      <c r="AY111" s="65">
        <f>AT111*$X$4*パラメータ!$D$23</f>
        <v>8.6782904829545231</v>
      </c>
      <c r="AZ111" s="1">
        <f>AV111*$X$5*E111*パラメータ!$D$28</f>
        <v>20.661693749999998</v>
      </c>
      <c r="BA111" s="1">
        <f>SUMPRODUCT($AC$4:$AC$10,$AD$4:$AD$10)*E111*パラメータ!$D$26*10^-3</f>
        <v>9.5625</v>
      </c>
      <c r="BB111" s="1">
        <f>(AW111+AX111)*$X$6*$X$4*パラメータ!$D$21*10^-3</f>
        <v>4.1862368607954483</v>
      </c>
      <c r="BC111" s="1">
        <f>($X$8*$X$9*パラメータ!$D$21+0.5*$X$8^2*SIN(RADIANS($X$10))*パラメータ!$D$24)*E111*10^-3</f>
        <v>2.4811109102173465</v>
      </c>
      <c r="BD111" s="1">
        <f t="shared" si="41"/>
        <v>10.78579545454544</v>
      </c>
      <c r="BE111" s="1">
        <f t="shared" si="42"/>
        <v>4</v>
      </c>
      <c r="BF111" s="1">
        <f>IF(G111="端リブ",AT111*$X$13*パラメータ!$D$21*2,0)</f>
        <v>0</v>
      </c>
      <c r="BG111" s="1" t="e">
        <f>主桁!BA67*1000</f>
        <v>#REF!</v>
      </c>
      <c r="BH111" s="1">
        <f t="shared" si="22"/>
        <v>60.355627458512757</v>
      </c>
      <c r="BI111" s="1" t="e">
        <f t="shared" si="23"/>
        <v>#REF!</v>
      </c>
      <c r="BJ111" s="2">
        <f>(Y111-機体重量!$Q$6)^2+(Z111-機体重量!$R$6)^2</f>
        <v>5.4950777486569501E-4</v>
      </c>
      <c r="BK111" s="2">
        <f>(Z111-機体重量!$R$6)^2</f>
        <v>3.8816156979940122E-4</v>
      </c>
      <c r="BL111" s="222">
        <f>(Y111-機体重量!$Q$6)^2</f>
        <v>1.6134620506629379E-4</v>
      </c>
    </row>
    <row r="112" spans="2:64">
      <c r="B112" s="28">
        <v>61</v>
      </c>
      <c r="C112" s="1">
        <f t="shared" ref="C112:C120" si="46">C111+E111</f>
        <v>10.800000000000015</v>
      </c>
      <c r="D112" s="1">
        <f t="shared" si="28"/>
        <v>519.99999999999864</v>
      </c>
      <c r="E112" s="21">
        <v>0.15</v>
      </c>
      <c r="F112" s="21" t="s">
        <v>912</v>
      </c>
      <c r="G112" s="4" t="str">
        <f t="shared" ref="G112:G116" si="47">IF(OR(C112=$F$45,C112=$G$45,C112=$H$45),"端リブ",IF(C112&lt;$F$45,"0番",IF(C112&lt;$G$45,"1番",IF(C112&lt;$H$45,"2番",IF(C112&lt;$I$45,"3番","ウィングレット")))))</f>
        <v>3番</v>
      </c>
      <c r="H112" s="283" t="s">
        <v>1411</v>
      </c>
      <c r="I112" s="65">
        <f t="shared" si="17"/>
        <v>57.527999999999849</v>
      </c>
      <c r="J112" s="1">
        <f t="shared" si="18"/>
        <v>56.351999999999862</v>
      </c>
      <c r="K112" s="1">
        <f t="shared" si="30"/>
        <v>0.35</v>
      </c>
      <c r="L112" s="212"/>
      <c r="M112" s="22"/>
      <c r="N112" s="22"/>
      <c r="O112" s="22"/>
      <c r="P112" s="22"/>
      <c r="Q112" s="1"/>
      <c r="R112" s="1"/>
      <c r="S112" s="1"/>
      <c r="T112" s="1"/>
      <c r="U112" s="1">
        <f t="shared" si="36"/>
        <v>1.999999999999984</v>
      </c>
      <c r="V112" s="1"/>
      <c r="W112" s="216"/>
      <c r="X112" s="79"/>
      <c r="Y112" s="79"/>
      <c r="Z112" s="79"/>
      <c r="AA112" s="79"/>
      <c r="AB112" s="79"/>
      <c r="AC112" s="217"/>
      <c r="AD112" s="79"/>
      <c r="AE112" s="79"/>
      <c r="AF112" s="216"/>
      <c r="AG112" s="79"/>
      <c r="AH112" s="79"/>
      <c r="AI112" s="79"/>
      <c r="AJ112" s="79"/>
      <c r="AK112" s="79"/>
      <c r="AL112" s="79"/>
      <c r="AM112" s="79"/>
      <c r="AN112" s="79"/>
      <c r="AO112" s="79"/>
      <c r="AP112" s="79"/>
      <c r="AQ112" s="79"/>
      <c r="AR112" s="79"/>
      <c r="AS112" s="79"/>
      <c r="AT112" s="79">
        <f t="shared" si="38"/>
        <v>2.5687999999999871E-2</v>
      </c>
      <c r="AU112" s="79">
        <f t="shared" si="39"/>
        <v>1.0659999999999969</v>
      </c>
      <c r="AV112" s="79">
        <f t="shared" si="40"/>
        <v>0.81026249999999989</v>
      </c>
      <c r="AW112" s="79">
        <f t="shared" si="15"/>
        <v>0.39974999999999883</v>
      </c>
      <c r="AX112" s="212">
        <f t="shared" si="16"/>
        <v>0.21319999999999939</v>
      </c>
      <c r="AY112" s="65">
        <f>AT112*$X$4*パラメータ!$D$23</f>
        <v>8.4770399999999579</v>
      </c>
      <c r="AZ112" s="1">
        <f>AV112*$X$5*E112*パラメータ!$D$28</f>
        <v>20.661693749999998</v>
      </c>
      <c r="BA112" s="1">
        <f>SUMPRODUCT($AC$4:$AC$10,$AD$4:$AD$10)*E112*パラメータ!$D$26*10^-3</f>
        <v>9.5625</v>
      </c>
      <c r="BB112" s="1">
        <f>(AW112+AX112)*$X$6*$X$4*パラメータ!$D$21*10^-3</f>
        <v>4.1374124999999884</v>
      </c>
      <c r="BC112" s="1">
        <f>($X$8*$X$9*パラメータ!$D$21+0.5*$X$8^2*SIN(RADIANS($X$10))*パラメータ!$D$24)*E112*10^-3</f>
        <v>2.4811109102173465</v>
      </c>
      <c r="BD112" s="1">
        <f t="shared" si="41"/>
        <v>10.65999999999997</v>
      </c>
      <c r="BE112" s="1">
        <f t="shared" si="42"/>
        <v>4</v>
      </c>
      <c r="BF112" s="1">
        <f>IF(G112="端リブ",AT112*$X$13*パラメータ!$D$21*2,0)</f>
        <v>0</v>
      </c>
      <c r="BG112" s="1">
        <f>主桁!BA68*1000</f>
        <v>0</v>
      </c>
      <c r="BH112" s="1">
        <f t="shared" si="22"/>
        <v>59.979757160217261</v>
      </c>
      <c r="BI112" s="1">
        <f t="shared" si="23"/>
        <v>5.9979757160217258E-2</v>
      </c>
      <c r="BJ112" s="2">
        <f>(Y112-機体重量!$Q$6)^2+(Z112-機体重量!$R$6)^2</f>
        <v>5.4950777486569501E-4</v>
      </c>
      <c r="BK112" s="2">
        <f>(Z112-機体重量!$R$6)^2</f>
        <v>3.8816156979940122E-4</v>
      </c>
      <c r="BL112" s="222">
        <f>(Y112-機体重量!$Q$6)^2</f>
        <v>1.6134620506629379E-4</v>
      </c>
    </row>
    <row r="113" spans="2:64">
      <c r="B113" s="28">
        <v>62</v>
      </c>
      <c r="C113" s="1">
        <f t="shared" si="46"/>
        <v>10.950000000000015</v>
      </c>
      <c r="D113" s="1">
        <f t="shared" si="28"/>
        <v>506.87499999999864</v>
      </c>
      <c r="E113" s="21">
        <v>0.15</v>
      </c>
      <c r="F113" s="21" t="str">
        <f t="shared" ref="F113:F118" si="48">IF(C113&lt;$N$7,"flat",IF(C113&lt;$N$8,"1st",IF(C113&lt;$N$9,"2nd",IF(C113&lt;$N$10,"3rd",IF(C113&lt;$N$11,"4th",IF(C113&lt;$N$12,"5th","6th"))))))</f>
        <v>5th</v>
      </c>
      <c r="G113" s="4" t="str">
        <f t="shared" si="47"/>
        <v>3番</v>
      </c>
      <c r="H113" s="283" t="s">
        <v>1411</v>
      </c>
      <c r="I113" s="65">
        <f t="shared" si="17"/>
        <v>56.252999999999844</v>
      </c>
      <c r="J113" s="1">
        <f t="shared" si="18"/>
        <v>55.076999999999856</v>
      </c>
      <c r="K113" s="1">
        <f t="shared" si="30"/>
        <v>0.35</v>
      </c>
      <c r="L113" s="212"/>
      <c r="M113" s="22"/>
      <c r="N113" s="22"/>
      <c r="O113" s="22"/>
      <c r="P113" s="22"/>
      <c r="Q113" s="1"/>
      <c r="R113" s="1"/>
      <c r="S113" s="1"/>
      <c r="T113" s="1"/>
      <c r="U113" s="1">
        <f t="shared" si="36"/>
        <v>1.8392857142856975</v>
      </c>
      <c r="V113" s="1"/>
      <c r="W113" s="216"/>
      <c r="X113" s="79"/>
      <c r="Y113" s="79"/>
      <c r="Z113" s="79"/>
      <c r="AA113" s="79"/>
      <c r="AB113" s="79"/>
      <c r="AC113" s="217"/>
      <c r="AD113" s="79"/>
      <c r="AE113" s="79"/>
      <c r="AF113" s="216"/>
      <c r="AG113" s="79"/>
      <c r="AH113" s="79"/>
      <c r="AI113" s="79"/>
      <c r="AJ113" s="79"/>
      <c r="AK113" s="79"/>
      <c r="AL113" s="79"/>
      <c r="AM113" s="79"/>
      <c r="AN113" s="79"/>
      <c r="AO113" s="79"/>
      <c r="AP113" s="79"/>
      <c r="AQ113" s="79"/>
      <c r="AR113" s="79"/>
      <c r="AS113" s="79"/>
      <c r="AT113" s="79">
        <f t="shared" si="38"/>
        <v>2.4407615234374867E-2</v>
      </c>
      <c r="AU113" s="79">
        <f t="shared" si="39"/>
        <v>1.039093749999997</v>
      </c>
      <c r="AV113" s="79">
        <f t="shared" si="40"/>
        <v>0.81026249999999989</v>
      </c>
      <c r="AW113" s="79">
        <f t="shared" si="15"/>
        <v>0.38966015624999889</v>
      </c>
      <c r="AX113" s="212">
        <f t="shared" si="16"/>
        <v>0.20781874999999941</v>
      </c>
      <c r="AY113" s="65">
        <f>AT113*$X$4*パラメータ!$D$23</f>
        <v>8.054513027343706</v>
      </c>
      <c r="AZ113" s="1">
        <f>AV113*$X$5*E113*パラメータ!$D$28</f>
        <v>20.661693749999998</v>
      </c>
      <c r="BA113" s="1">
        <f>SUMPRODUCT($AC$4:$AC$10,$AD$4:$AD$10)*E113*パラメータ!$D$26*10^-3</f>
        <v>9.5625</v>
      </c>
      <c r="BB113" s="1">
        <f>(AW113+AX113)*$X$6*$X$4*パラメータ!$D$21*10^-3</f>
        <v>4.0329826171874892</v>
      </c>
      <c r="BC113" s="1">
        <f>($X$8*$X$9*パラメータ!$D$21+0.5*$X$8^2*SIN(RADIANS($X$10))*パラメータ!$D$24)*E113*10^-3</f>
        <v>2.4811109102173465</v>
      </c>
      <c r="BD113" s="1">
        <f t="shared" si="41"/>
        <v>10.390937499999971</v>
      </c>
      <c r="BE113" s="1">
        <f t="shared" si="42"/>
        <v>4</v>
      </c>
      <c r="BF113" s="1">
        <f>IF(G113="端リブ",AT113*$X$13*パラメータ!$D$21*2,0)</f>
        <v>0</v>
      </c>
      <c r="BG113" s="1">
        <f>主桁!BA69*1000</f>
        <v>0</v>
      </c>
      <c r="BH113" s="1">
        <f t="shared" si="22"/>
        <v>59.183737804748503</v>
      </c>
      <c r="BI113" s="1">
        <f t="shared" si="23"/>
        <v>5.9183737804748504E-2</v>
      </c>
      <c r="BJ113" s="2">
        <f>(Y113-機体重量!$Q$6)^2+(Z113-機体重量!$R$6)^2</f>
        <v>5.4950777486569501E-4</v>
      </c>
      <c r="BK113" s="2">
        <f>(Z113-機体重量!$R$6)^2</f>
        <v>3.8816156979940122E-4</v>
      </c>
      <c r="BL113" s="222">
        <f>(Y113-機体重量!$Q$6)^2</f>
        <v>1.6134620506629379E-4</v>
      </c>
    </row>
    <row r="114" spans="2:64">
      <c r="B114" s="28">
        <v>63</v>
      </c>
      <c r="C114" s="1">
        <f t="shared" si="46"/>
        <v>11.100000000000016</v>
      </c>
      <c r="D114" s="1">
        <f t="shared" si="28"/>
        <v>493.74999999999858</v>
      </c>
      <c r="E114" s="21">
        <v>0.15</v>
      </c>
      <c r="F114" s="21" t="str">
        <f t="shared" si="48"/>
        <v>5th</v>
      </c>
      <c r="G114" s="4" t="str">
        <f t="shared" si="47"/>
        <v>3番</v>
      </c>
      <c r="H114" s="283" t="s">
        <v>1412</v>
      </c>
      <c r="I114" s="65">
        <f t="shared" si="17"/>
        <v>54.977999999999838</v>
      </c>
      <c r="J114" s="1">
        <f t="shared" si="18"/>
        <v>53.80199999999985</v>
      </c>
      <c r="K114" s="1">
        <f t="shared" si="30"/>
        <v>0.35</v>
      </c>
      <c r="L114" s="212"/>
      <c r="M114" s="22"/>
      <c r="N114" s="22"/>
      <c r="O114" s="22"/>
      <c r="P114" s="22"/>
      <c r="Q114" s="1"/>
      <c r="R114" s="1"/>
      <c r="S114" s="1"/>
      <c r="T114" s="1"/>
      <c r="U114" s="1">
        <f t="shared" si="36"/>
        <v>1.6785714285714128</v>
      </c>
      <c r="V114" s="1"/>
      <c r="W114" s="216"/>
      <c r="X114" s="79"/>
      <c r="Y114" s="79"/>
      <c r="Z114" s="79"/>
      <c r="AA114" s="79"/>
      <c r="AB114" s="79"/>
      <c r="AC114" s="217"/>
      <c r="AD114" s="79"/>
      <c r="AE114" s="79"/>
      <c r="AF114" s="216"/>
      <c r="AG114" s="79"/>
      <c r="AH114" s="79"/>
      <c r="AI114" s="79"/>
      <c r="AJ114" s="79"/>
      <c r="AK114" s="79"/>
      <c r="AL114" s="79"/>
      <c r="AM114" s="79"/>
      <c r="AN114" s="79"/>
      <c r="AO114" s="79"/>
      <c r="AP114" s="79"/>
      <c r="AQ114" s="79"/>
      <c r="AR114" s="79"/>
      <c r="AS114" s="79"/>
      <c r="AT114" s="79">
        <f t="shared" si="38"/>
        <v>2.3159960937499866E-2</v>
      </c>
      <c r="AU114" s="79">
        <f t="shared" si="39"/>
        <v>1.0121874999999971</v>
      </c>
      <c r="AV114" s="79">
        <f t="shared" si="40"/>
        <v>0.81026249999999989</v>
      </c>
      <c r="AW114" s="79">
        <f t="shared" si="15"/>
        <v>0.37957031249999895</v>
      </c>
      <c r="AX114" s="212">
        <f t="shared" si="16"/>
        <v>0.20243749999999944</v>
      </c>
      <c r="AY114" s="65">
        <f>AT114*$X$4*パラメータ!$D$23</f>
        <v>7.6427871093749555</v>
      </c>
      <c r="AZ114" s="1">
        <f>AV114*$X$5*E114*パラメータ!$D$28</f>
        <v>20.661693749999998</v>
      </c>
      <c r="BA114" s="1">
        <f>SUMPRODUCT($AC$4:$AC$10,$AD$4:$AD$10)*E114*パラメータ!$D$26*10^-3</f>
        <v>9.5625</v>
      </c>
      <c r="BB114" s="1">
        <f>(AW114+AX114)*$X$6*$X$4*パラメータ!$D$21*10^-3</f>
        <v>3.9285527343749891</v>
      </c>
      <c r="BC114" s="1">
        <f>($X$8*$X$9*パラメータ!$D$21+0.5*$X$8^2*SIN(RADIANS($X$10))*パラメータ!$D$24)*E114*10^-3</f>
        <v>2.4811109102173465</v>
      </c>
      <c r="BD114" s="1">
        <f t="shared" si="41"/>
        <v>10.121874999999971</v>
      </c>
      <c r="BE114" s="1">
        <f t="shared" si="42"/>
        <v>4</v>
      </c>
      <c r="BF114" s="1">
        <f>IF(G114="端リブ",AT114*$X$13*パラメータ!$D$21*2,0)</f>
        <v>0</v>
      </c>
      <c r="BG114" s="1">
        <f>主桁!BA70*1000</f>
        <v>0</v>
      </c>
      <c r="BH114" s="1">
        <f t="shared" si="22"/>
        <v>58.398519503967265</v>
      </c>
      <c r="BI114" s="1">
        <f t="shared" si="23"/>
        <v>5.8398519503967267E-2</v>
      </c>
      <c r="BJ114" s="2">
        <f>(Y114-機体重量!$Q$6)^2+(Z114-機体重量!$R$6)^2</f>
        <v>5.4950777486569501E-4</v>
      </c>
      <c r="BK114" s="2">
        <f>(Z114-機体重量!$R$6)^2</f>
        <v>3.8816156979940122E-4</v>
      </c>
      <c r="BL114" s="222">
        <f>(Y114-機体重量!$Q$6)^2</f>
        <v>1.6134620506629379E-4</v>
      </c>
    </row>
    <row r="115" spans="2:64">
      <c r="B115" s="28">
        <v>64</v>
      </c>
      <c r="C115" s="1">
        <f t="shared" si="46"/>
        <v>11.250000000000016</v>
      </c>
      <c r="D115" s="1">
        <f t="shared" si="28"/>
        <v>480.62499999999852</v>
      </c>
      <c r="E115" s="21">
        <v>0.15</v>
      </c>
      <c r="F115" s="21" t="str">
        <f t="shared" si="48"/>
        <v>5th</v>
      </c>
      <c r="G115" s="4" t="str">
        <f t="shared" si="47"/>
        <v>3番</v>
      </c>
      <c r="H115" s="283" t="s">
        <v>1411</v>
      </c>
      <c r="I115" s="65">
        <f t="shared" si="17"/>
        <v>53.702999999999832</v>
      </c>
      <c r="J115" s="1">
        <f t="shared" si="18"/>
        <v>52.526999999999845</v>
      </c>
      <c r="K115" s="1">
        <f t="shared" si="30"/>
        <v>0.35</v>
      </c>
      <c r="L115" s="212"/>
      <c r="M115" s="22"/>
      <c r="N115" s="22"/>
      <c r="O115" s="22"/>
      <c r="P115" s="22"/>
      <c r="Q115" s="1"/>
      <c r="R115" s="1"/>
      <c r="S115" s="1"/>
      <c r="T115" s="1"/>
      <c r="U115" s="1">
        <f t="shared" si="36"/>
        <v>1.5178571428571264</v>
      </c>
      <c r="V115" s="1"/>
      <c r="W115" s="216"/>
      <c r="X115" s="79"/>
      <c r="Y115" s="79"/>
      <c r="Z115" s="79"/>
      <c r="AA115" s="79"/>
      <c r="AB115" s="79"/>
      <c r="AC115" s="217"/>
      <c r="AD115" s="79"/>
      <c r="AE115" s="79"/>
      <c r="AF115" s="216"/>
      <c r="AG115" s="79"/>
      <c r="AH115" s="79"/>
      <c r="AI115" s="79"/>
      <c r="AJ115" s="79"/>
      <c r="AK115" s="79"/>
      <c r="AL115" s="79"/>
      <c r="AM115" s="79"/>
      <c r="AN115" s="79"/>
      <c r="AO115" s="79"/>
      <c r="AP115" s="79"/>
      <c r="AQ115" s="79"/>
      <c r="AR115" s="79"/>
      <c r="AS115" s="79"/>
      <c r="AT115" s="79"/>
      <c r="AU115" s="79"/>
      <c r="AV115" s="217"/>
      <c r="AW115" s="79"/>
      <c r="AX115" s="212"/>
      <c r="AY115" s="22"/>
      <c r="AZ115" s="1"/>
      <c r="BA115" s="1"/>
      <c r="BB115" s="1"/>
      <c r="BC115" s="1"/>
      <c r="BD115" s="1"/>
      <c r="BE115" s="1"/>
      <c r="BF115" s="9"/>
      <c r="BG115" s="1"/>
      <c r="BH115" s="1"/>
      <c r="BI115" s="1"/>
      <c r="BJ115" s="1"/>
      <c r="BK115" s="1"/>
      <c r="BL115" s="64"/>
    </row>
    <row r="116" spans="2:64">
      <c r="B116" s="28">
        <v>65</v>
      </c>
      <c r="C116" s="1">
        <f t="shared" si="46"/>
        <v>11.400000000000016</v>
      </c>
      <c r="D116" s="1">
        <f t="shared" si="28"/>
        <v>467.49999999999847</v>
      </c>
      <c r="E116" s="21">
        <v>0.15</v>
      </c>
      <c r="F116" s="21" t="str">
        <f t="shared" si="48"/>
        <v>5th</v>
      </c>
      <c r="G116" s="4" t="str">
        <f t="shared" si="47"/>
        <v>3番</v>
      </c>
      <c r="H116" s="283" t="s">
        <v>1412</v>
      </c>
      <c r="I116" s="65">
        <f t="shared" ref="I116:I120" si="49">IF(G116="0番",$O$26+$N$26*C116,IF(G116="1番",$O$27+$N$27*C116,IF(G116="2番",$O$28+$N$28*C116,IF(G116="3番",$O$29+$N$29*C116))))</f>
        <v>52.427999999999841</v>
      </c>
      <c r="J116" s="1">
        <f t="shared" si="18"/>
        <v>51.251999999999853</v>
      </c>
      <c r="K116" s="1">
        <f t="shared" si="30"/>
        <v>0.35</v>
      </c>
      <c r="L116" s="212"/>
      <c r="M116" s="22"/>
      <c r="N116" s="22"/>
      <c r="O116" s="22"/>
      <c r="P116" s="22"/>
      <c r="Q116" s="1"/>
      <c r="R116" s="1"/>
      <c r="S116" s="1"/>
      <c r="T116" s="1"/>
      <c r="U116" s="1">
        <f t="shared" si="36"/>
        <v>1.3571428571428399</v>
      </c>
      <c r="V116" s="1"/>
      <c r="W116" s="216"/>
      <c r="X116" s="79"/>
      <c r="Y116" s="79"/>
      <c r="Z116" s="79"/>
      <c r="AA116" s="79"/>
      <c r="AB116" s="79"/>
      <c r="AC116" s="217"/>
      <c r="AD116" s="79"/>
      <c r="AE116" s="79"/>
      <c r="AF116" s="216"/>
      <c r="AG116" s="79"/>
      <c r="AH116" s="79"/>
      <c r="AI116" s="79"/>
      <c r="AJ116" s="79"/>
      <c r="AK116" s="79"/>
      <c r="AL116" s="79"/>
      <c r="AM116" s="79"/>
      <c r="AN116" s="79"/>
      <c r="AO116" s="79"/>
      <c r="AP116" s="79"/>
      <c r="AQ116" s="79"/>
      <c r="AR116" s="79"/>
      <c r="AS116" s="79"/>
      <c r="AT116" s="79"/>
      <c r="AU116" s="79"/>
      <c r="AV116" s="217"/>
      <c r="AW116" s="79"/>
      <c r="AX116" s="212"/>
      <c r="AY116" s="22"/>
      <c r="AZ116" s="1"/>
      <c r="BA116" s="1"/>
      <c r="BB116" s="1"/>
      <c r="BC116" s="1"/>
      <c r="BD116" s="1"/>
      <c r="BE116" s="1"/>
      <c r="BF116" s="9"/>
      <c r="BG116" s="1"/>
      <c r="BH116" s="1"/>
      <c r="BI116" s="1"/>
      <c r="BJ116" s="1"/>
      <c r="BK116" s="1"/>
      <c r="BL116" s="64"/>
    </row>
    <row r="117" spans="2:64">
      <c r="B117" s="28">
        <v>66</v>
      </c>
      <c r="C117" s="1">
        <f t="shared" si="46"/>
        <v>11.550000000000017</v>
      </c>
      <c r="D117" s="1">
        <f t="shared" si="28"/>
        <v>454.37499999999841</v>
      </c>
      <c r="E117" s="21">
        <v>0.15</v>
      </c>
      <c r="F117" s="21" t="str">
        <f t="shared" si="48"/>
        <v>5th</v>
      </c>
      <c r="G117" s="4" t="str">
        <f t="shared" ref="G117:G118" si="50">IF(OR(C117=$F$45,C117=$G$45,C117=$H$45),"端リブ",IF(C117&lt;$F$45,"0番",IF(C117&lt;$G$45,"1番",IF(C117&lt;$H$45,"2番",IF(C117&lt;$I$45,"3番","ウィングレット")))))</f>
        <v>3番</v>
      </c>
      <c r="H117" s="283" t="s">
        <v>1411</v>
      </c>
      <c r="I117" s="65">
        <f t="shared" si="49"/>
        <v>51.152999999999835</v>
      </c>
      <c r="J117" s="1">
        <f t="shared" ref="J117:J120" si="51">IF(G117="0番",$Q$26+$P$26*C117,IF(G117="1番",$Q$27+$P$27*C117,IF(G117="2番",$Q$28+$P$28*C117,IF(G117="3番",$Q$29+$P$29*C117))))</f>
        <v>49.976999999999848</v>
      </c>
      <c r="K117" s="1">
        <f t="shared" si="30"/>
        <v>0.35</v>
      </c>
      <c r="L117" s="212"/>
      <c r="U117" s="1">
        <f t="shared" si="36"/>
        <v>1.1964285714285534</v>
      </c>
    </row>
    <row r="118" spans="2:64">
      <c r="B118" s="28">
        <v>67</v>
      </c>
      <c r="C118" s="1">
        <f t="shared" si="46"/>
        <v>11.700000000000017</v>
      </c>
      <c r="D118" s="1">
        <f t="shared" si="28"/>
        <v>441.24999999999835</v>
      </c>
      <c r="E118" s="21">
        <v>0.15</v>
      </c>
      <c r="F118" s="21" t="str">
        <f t="shared" si="48"/>
        <v>5th</v>
      </c>
      <c r="G118" s="4" t="str">
        <f t="shared" si="50"/>
        <v>3番</v>
      </c>
      <c r="H118" s="283" t="s">
        <v>1412</v>
      </c>
      <c r="I118" s="65">
        <f t="shared" si="49"/>
        <v>49.87799999999983</v>
      </c>
      <c r="J118" s="1">
        <f t="shared" si="51"/>
        <v>48.701999999999842</v>
      </c>
      <c r="K118" s="1">
        <f t="shared" si="30"/>
        <v>0.35</v>
      </c>
      <c r="L118" s="212"/>
      <c r="U118" s="1">
        <f t="shared" si="36"/>
        <v>1.0357142857142669</v>
      </c>
    </row>
    <row r="119" spans="2:64">
      <c r="B119" s="28">
        <v>68</v>
      </c>
      <c r="C119" s="1">
        <f t="shared" si="46"/>
        <v>11.850000000000017</v>
      </c>
      <c r="D119" s="1">
        <f t="shared" si="28"/>
        <v>428.12499999999829</v>
      </c>
      <c r="E119" s="21">
        <v>0.15</v>
      </c>
      <c r="F119" s="21" t="s">
        <v>912</v>
      </c>
      <c r="G119" s="4" t="s">
        <v>1407</v>
      </c>
      <c r="H119" s="283" t="s">
        <v>1411</v>
      </c>
      <c r="I119" s="65" t="b">
        <f t="shared" si="49"/>
        <v>0</v>
      </c>
      <c r="J119" s="1" t="b">
        <f t="shared" si="51"/>
        <v>0</v>
      </c>
      <c r="K119" s="1">
        <f t="shared" si="30"/>
        <v>0.35</v>
      </c>
      <c r="L119" s="212"/>
      <c r="U119" s="1">
        <f t="shared" si="36"/>
        <v>0.87499999999998046</v>
      </c>
    </row>
    <row r="120" spans="2:64">
      <c r="B120" s="28">
        <v>69</v>
      </c>
      <c r="C120" s="1">
        <f t="shared" si="46"/>
        <v>12.000000000000018</v>
      </c>
      <c r="D120" s="1">
        <f t="shared" si="28"/>
        <v>414.99999999999824</v>
      </c>
      <c r="E120" s="21"/>
      <c r="F120" s="21" t="s">
        <v>912</v>
      </c>
      <c r="G120" s="4" t="s">
        <v>1407</v>
      </c>
      <c r="H120" s="283" t="s">
        <v>1411</v>
      </c>
      <c r="I120" s="65" t="b">
        <f t="shared" si="49"/>
        <v>0</v>
      </c>
      <c r="J120" s="1" t="b">
        <f t="shared" si="51"/>
        <v>0</v>
      </c>
      <c r="K120" s="1">
        <f t="shared" si="30"/>
        <v>0.35</v>
      </c>
      <c r="L120" s="212"/>
      <c r="U120" s="1">
        <f t="shared" si="36"/>
        <v>0.71428571428569398</v>
      </c>
    </row>
    <row r="121" spans="2:64">
      <c r="B121" s="28"/>
      <c r="C121" s="1"/>
      <c r="D121" s="1"/>
      <c r="E121" s="21"/>
      <c r="F121" s="21"/>
      <c r="G121" s="4"/>
      <c r="H121" s="283"/>
      <c r="I121" s="1"/>
      <c r="J121" s="1"/>
      <c r="K121" s="1">
        <f>IF($C121&lt;$N$7,$K$26*$C121+$L$26,IF($C121&lt;$N$8,$K$27*$C121+$L$27,IF($C121&lt;$N$9,$K$28*$C121+$L$28,IF($C121&lt;$N$10,$K$29*$C121+$L$30,IF($C121&lt;$N$11,$K$30*$C121+$L$29,IF($C121&lt;$N$12,$K$31*$C121+$L$31,$K$32*$C121+$L$32))))))</f>
        <v>0.35</v>
      </c>
      <c r="L121" s="212"/>
      <c r="U121" s="1">
        <f t="shared" si="36"/>
        <v>2</v>
      </c>
    </row>
    <row r="122" spans="2:64">
      <c r="B122" s="28"/>
      <c r="C122" s="1"/>
      <c r="D122" s="1"/>
      <c r="E122" s="21"/>
      <c r="F122" s="21"/>
      <c r="G122" s="4"/>
      <c r="H122" s="283"/>
      <c r="I122" s="1"/>
      <c r="J122" s="1"/>
      <c r="K122" s="1">
        <f>IF($C122&lt;$N$7,$K$26*$C122+$L$26,IF($C122&lt;$N$8,$K$27*$C122+$L$27,IF($C122&lt;$N$9,$K$28*$C122+$L$28,IF($C122&lt;$N$10,$K$29*$C122+$L$30,IF($C122&lt;$N$11,$K$30*$C122+$L$29,IF($C122&lt;$N$12,$K$31*$C122+$L$31,$K$32*$C122+$L$32))))))</f>
        <v>0.35</v>
      </c>
      <c r="L122" s="212"/>
      <c r="U122" s="1">
        <f t="shared" si="36"/>
        <v>2</v>
      </c>
    </row>
    <row r="123" spans="2:64">
      <c r="B123" s="28"/>
      <c r="C123" s="1"/>
      <c r="D123" s="1"/>
      <c r="E123" s="21"/>
      <c r="F123" s="21"/>
      <c r="G123" s="4"/>
      <c r="H123" s="283"/>
      <c r="I123" s="1"/>
      <c r="J123" s="1"/>
      <c r="K123" s="1">
        <f>IF($C123&lt;$N$7,$K$26*$C123+$L$26,IF($C123&lt;$N$8,$K$27*$C123+$L$27,IF($C123&lt;$N$9,$K$28*$C123+$L$28,IF($C123&lt;$N$10,$K$29*$C123+$L$30,IF($C123&lt;$N$11,$K$30*$C123+$L$29,IF($C123&lt;$N$12,$K$31*$C123+$L$31,$K$32*$C123+$L$32))))))</f>
        <v>0.35</v>
      </c>
      <c r="L123" s="212"/>
      <c r="U123" s="1">
        <f t="shared" si="36"/>
        <v>2</v>
      </c>
    </row>
    <row r="124" spans="2:64">
      <c r="B124" s="28"/>
      <c r="C124" s="1"/>
      <c r="D124" s="1"/>
      <c r="E124" s="21"/>
      <c r="F124" s="21"/>
      <c r="G124" s="4"/>
      <c r="H124" s="283"/>
      <c r="I124" s="1"/>
      <c r="J124" s="1"/>
      <c r="K124" s="1">
        <f>IF($C124&lt;$N$7,$K$26*$C124+$L$26,IF($C124&lt;$N$8,$K$27*$C124+$L$27,IF($C124&lt;$N$9,$K$28*$C124+$L$28,IF($C124&lt;$N$10,$K$29*$C124+$L$30,IF($C124&lt;$N$11,$K$30*$C124+$L$29,IF($C124&lt;$N$12,$K$31*$C124+$L$31,$K$32*$C124+$L$32))))))</f>
        <v>0.35</v>
      </c>
      <c r="L124" s="212"/>
      <c r="U124" s="1">
        <f t="shared" si="36"/>
        <v>2</v>
      </c>
    </row>
  </sheetData>
  <mergeCells count="1">
    <mergeCell ref="B3:F13"/>
  </mergeCells>
  <phoneticPr fontId="3"/>
  <conditionalFormatting sqref="D47 E42:E46 E140:E1048576 E1 E20:E32 K2:K13 F48:F124">
    <cfRule type="cellIs" dxfId="4" priority="4" operator="equal">
      <formula>"基準"</formula>
    </cfRule>
  </conditionalFormatting>
  <conditionalFormatting sqref="E47 F42:F46 F140:F1048576 G1 F20:F32 L2:L13 G48:H124">
    <cfRule type="cellIs" dxfId="3" priority="3" stopIfTrue="1" operator="equal">
      <formula>"端リブ"</formula>
    </cfRule>
  </conditionalFormatting>
  <conditionalFormatting sqref="K125:K150 L51:L124">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124" xr:uid="{54B72FDD-3BFD-C348-854F-97EE96A04B50}">
      <formula1>"基準,flat,1st,2nd,3rd,4th,5th,6th"</formula1>
    </dataValidation>
    <dataValidation type="list" allowBlank="1" showInputMessage="1" showErrorMessage="1" sqref="G51:G124" xr:uid="{0B4AB969-65C3-964B-B800-C2CBD36EA684}">
      <formula1>"端リブ,0番,1番,2番,3番,ウィングレット"</formula1>
    </dataValidation>
    <dataValidation type="list" allowBlank="1" showInputMessage="1" showErrorMessage="1" sqref="W28 W30:W31" xr:uid="{DF7E7DB9-7C63-477F-A9DD-A18EC8BB5415}">
      <formula1>"dxf,svg,pdf,csv"</formula1>
    </dataValidation>
    <dataValidation type="list" allowBlank="1" showInputMessage="1" showErrorMessage="1" sqref="H53:H124"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V4:V8 V13</xm:sqref>
        </x14:dataValidation>
        <x14:dataValidation type="list" allowBlank="1" showInputMessage="1" showErrorMessage="1" xr:uid="{0966932E-2437-5D44-926B-ED9DB59478DC}">
          <x14:formula1>
            <xm:f>パラメータ!$I$22:$I$49</xm:f>
          </x14:formula1>
          <xm:sqref>V11:V12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F3" sqref="F3"/>
    </sheetView>
  </sheetViews>
  <sheetFormatPr baseColWidth="10" defaultColWidth="8.7109375" defaultRowHeight="20"/>
  <cols>
    <col min="1" max="16384" width="8.7109375" style="140"/>
  </cols>
  <sheetData>
    <row r="1" spans="2:46">
      <c r="P1" s="141"/>
      <c r="R1" s="141"/>
      <c r="AG1" s="141"/>
      <c r="AH1" s="141"/>
    </row>
    <row r="2" spans="2:46">
      <c r="B2" s="141"/>
      <c r="C2" s="141"/>
      <c r="D2" s="141"/>
      <c r="E2" s="141"/>
      <c r="G2" s="141" t="s">
        <v>860</v>
      </c>
      <c r="H2" s="141"/>
      <c r="I2" s="141"/>
      <c r="J2" s="141"/>
      <c r="K2" s="141"/>
      <c r="L2" s="141"/>
      <c r="M2" s="141"/>
      <c r="N2" s="141"/>
      <c r="O2" s="141"/>
      <c r="P2" s="141"/>
      <c r="R2" s="140" t="s">
        <v>741</v>
      </c>
      <c r="U2" s="141" t="s">
        <v>719</v>
      </c>
      <c r="AF2" s="141"/>
      <c r="AG2" s="141" t="s">
        <v>853</v>
      </c>
      <c r="AH2" s="141"/>
      <c r="AI2" s="141"/>
      <c r="AJ2" s="141"/>
    </row>
    <row r="3" spans="2:46" ht="21" thickBot="1">
      <c r="B3" s="142" t="s">
        <v>59</v>
      </c>
      <c r="C3" s="142" t="s">
        <v>60</v>
      </c>
      <c r="D3" s="142" t="s">
        <v>61</v>
      </c>
      <c r="E3" s="142" t="s">
        <v>62</v>
      </c>
      <c r="G3" s="143" t="s">
        <v>458</v>
      </c>
      <c r="H3" s="143" t="s">
        <v>661</v>
      </c>
      <c r="I3" s="143" t="s">
        <v>639</v>
      </c>
      <c r="J3" s="143" t="s">
        <v>851</v>
      </c>
      <c r="K3" s="143" t="s">
        <v>852</v>
      </c>
      <c r="L3" s="143" t="s">
        <v>659</v>
      </c>
      <c r="M3" s="143" t="s">
        <v>658</v>
      </c>
      <c r="N3" s="143" t="s">
        <v>638</v>
      </c>
      <c r="O3" s="143" t="s">
        <v>596</v>
      </c>
      <c r="P3" s="143" t="s">
        <v>632</v>
      </c>
      <c r="R3" s="139" t="s">
        <v>893</v>
      </c>
      <c r="S3" s="144"/>
      <c r="U3" s="143" t="s">
        <v>458</v>
      </c>
      <c r="V3" s="143" t="s">
        <v>150</v>
      </c>
      <c r="W3" s="143" t="s">
        <v>151</v>
      </c>
      <c r="X3" s="143" t="s">
        <v>152</v>
      </c>
      <c r="AF3" s="141"/>
      <c r="AG3" s="142" t="s">
        <v>59</v>
      </c>
      <c r="AH3" s="142" t="s">
        <v>60</v>
      </c>
      <c r="AI3" s="142" t="s">
        <v>61</v>
      </c>
      <c r="AJ3" s="142" t="s">
        <v>62</v>
      </c>
      <c r="AM3" s="141"/>
    </row>
    <row r="4" spans="2:46" ht="21" thickTop="1">
      <c r="B4" s="144" t="s">
        <v>843</v>
      </c>
      <c r="C4" s="144" t="s">
        <v>371</v>
      </c>
      <c r="D4" s="144"/>
      <c r="E4" s="144" t="s">
        <v>367</v>
      </c>
      <c r="G4" s="139" t="s">
        <v>150</v>
      </c>
      <c r="H4" s="139" t="s">
        <v>598</v>
      </c>
      <c r="I4" s="139" t="s">
        <v>599</v>
      </c>
      <c r="J4" s="145" t="s">
        <v>600</v>
      </c>
      <c r="K4" s="145" t="s">
        <v>601</v>
      </c>
      <c r="L4" s="139" t="s">
        <v>45</v>
      </c>
      <c r="M4" s="145" t="s">
        <v>46</v>
      </c>
      <c r="N4" s="139" t="s">
        <v>597</v>
      </c>
      <c r="O4" s="139" t="s">
        <v>602</v>
      </c>
      <c r="P4" s="139" t="s">
        <v>603</v>
      </c>
      <c r="R4" s="139" t="s">
        <v>894</v>
      </c>
      <c r="S4" s="144"/>
      <c r="U4" s="146" t="s">
        <v>721</v>
      </c>
      <c r="V4" s="146" t="s">
        <v>722</v>
      </c>
      <c r="W4" s="147">
        <f>10*10^-3</f>
        <v>0.01</v>
      </c>
      <c r="X4" s="146" t="s">
        <v>676</v>
      </c>
      <c r="AF4" s="141" t="s">
        <v>575</v>
      </c>
      <c r="AG4" s="139" t="s">
        <v>576</v>
      </c>
      <c r="AH4" s="139" t="s">
        <v>460</v>
      </c>
      <c r="AI4" s="139"/>
      <c r="AJ4" s="139" t="s">
        <v>401</v>
      </c>
      <c r="AM4" s="141" t="s">
        <v>113</v>
      </c>
    </row>
    <row r="5" spans="2:46" ht="21" thickBot="1">
      <c r="B5" s="144" t="s">
        <v>709</v>
      </c>
      <c r="C5" s="144" t="s">
        <v>366</v>
      </c>
      <c r="D5" s="144"/>
      <c r="E5" s="144" t="s">
        <v>367</v>
      </c>
      <c r="G5" s="148" t="s">
        <v>152</v>
      </c>
      <c r="H5" s="148" t="s">
        <v>5</v>
      </c>
      <c r="I5" s="148" t="s">
        <v>5</v>
      </c>
      <c r="J5" s="149" t="s">
        <v>315</v>
      </c>
      <c r="K5" s="149" t="s">
        <v>315</v>
      </c>
      <c r="L5" s="148" t="s">
        <v>660</v>
      </c>
      <c r="M5" s="149" t="s">
        <v>46</v>
      </c>
      <c r="N5" s="148" t="s">
        <v>46</v>
      </c>
      <c r="O5" s="148" t="s">
        <v>46</v>
      </c>
      <c r="P5" s="148" t="s">
        <v>5</v>
      </c>
      <c r="U5" s="139" t="s">
        <v>723</v>
      </c>
      <c r="V5" s="139" t="s">
        <v>722</v>
      </c>
      <c r="W5" s="150">
        <f>2*10^-3</f>
        <v>2E-3</v>
      </c>
      <c r="X5" s="139" t="s">
        <v>676</v>
      </c>
      <c r="AF5" s="141"/>
      <c r="AG5" s="139" t="s">
        <v>480</v>
      </c>
      <c r="AH5" s="139" t="s">
        <v>577</v>
      </c>
      <c r="AI5" s="139"/>
      <c r="AJ5" s="139" t="s">
        <v>5</v>
      </c>
      <c r="AM5" s="141"/>
    </row>
    <row r="6" spans="2:46" ht="21" thickTop="1">
      <c r="B6" s="139" t="s">
        <v>844</v>
      </c>
      <c r="C6" s="144" t="s">
        <v>363</v>
      </c>
      <c r="D6" s="144"/>
      <c r="E6" s="144" t="s">
        <v>45</v>
      </c>
      <c r="G6" s="151" t="s">
        <v>650</v>
      </c>
      <c r="H6" s="147">
        <v>0</v>
      </c>
      <c r="I6" s="147">
        <v>0.93</v>
      </c>
      <c r="J6" s="147">
        <v>2</v>
      </c>
      <c r="K6" s="147">
        <v>0</v>
      </c>
      <c r="L6" s="147">
        <v>35</v>
      </c>
      <c r="M6" s="147" t="s">
        <v>662</v>
      </c>
      <c r="N6" s="152">
        <v>0</v>
      </c>
      <c r="O6" s="146">
        <f t="shared" ref="O6:O11" si="0">I7/I6</f>
        <v>1</v>
      </c>
      <c r="P6" s="146">
        <f t="shared" ref="P6:P11" si="1">H7-H6</f>
        <v>1.6</v>
      </c>
      <c r="R6" s="140" t="s">
        <v>742</v>
      </c>
      <c r="U6" s="146" t="s">
        <v>724</v>
      </c>
      <c r="V6" s="146" t="s">
        <v>725</v>
      </c>
      <c r="W6" s="153">
        <v>5</v>
      </c>
      <c r="X6" s="146" t="s">
        <v>675</v>
      </c>
      <c r="AF6" s="141"/>
      <c r="AG6" s="139" t="s">
        <v>546</v>
      </c>
      <c r="AH6" s="139" t="s">
        <v>551</v>
      </c>
      <c r="AI6" s="139"/>
      <c r="AJ6" s="139" t="s">
        <v>46</v>
      </c>
      <c r="AM6" s="141"/>
    </row>
    <row r="7" spans="2:46">
      <c r="B7" s="139" t="s">
        <v>545</v>
      </c>
      <c r="C7" s="139" t="s">
        <v>460</v>
      </c>
      <c r="D7" s="139"/>
      <c r="E7" s="139" t="s">
        <v>401</v>
      </c>
      <c r="G7" s="143" t="s">
        <v>669</v>
      </c>
      <c r="H7" s="150">
        <v>1.6</v>
      </c>
      <c r="I7" s="150">
        <v>0.93</v>
      </c>
      <c r="J7" s="150">
        <v>2</v>
      </c>
      <c r="K7" s="150">
        <v>0</v>
      </c>
      <c r="L7" s="150">
        <v>35</v>
      </c>
      <c r="M7" s="150" t="s">
        <v>662</v>
      </c>
      <c r="N7" s="154"/>
      <c r="O7" s="139">
        <f t="shared" si="0"/>
        <v>0.83870967741935487</v>
      </c>
      <c r="P7" s="139">
        <f t="shared" si="1"/>
        <v>3.6</v>
      </c>
      <c r="R7" s="144">
        <v>1</v>
      </c>
      <c r="S7" s="144"/>
      <c r="U7" s="139"/>
      <c r="V7" s="139" t="s">
        <v>726</v>
      </c>
      <c r="W7" s="150">
        <f>(F30*G30)*10^-6</f>
        <v>0</v>
      </c>
      <c r="X7" s="139" t="s">
        <v>720</v>
      </c>
      <c r="AF7" s="141"/>
      <c r="AG7" s="139" t="s">
        <v>578</v>
      </c>
      <c r="AH7" s="139" t="s">
        <v>579</v>
      </c>
      <c r="AI7" s="139"/>
      <c r="AJ7" s="139" t="s">
        <v>5</v>
      </c>
      <c r="AM7" s="141"/>
    </row>
    <row r="8" spans="2:46" ht="21" thickBot="1">
      <c r="B8" s="139" t="s">
        <v>548</v>
      </c>
      <c r="C8" s="139" t="s">
        <v>413</v>
      </c>
      <c r="D8" s="139"/>
      <c r="E8" s="139" t="s">
        <v>553</v>
      </c>
      <c r="G8" s="143" t="s">
        <v>670</v>
      </c>
      <c r="H8" s="150">
        <v>5.2</v>
      </c>
      <c r="I8" s="150">
        <v>0.78</v>
      </c>
      <c r="J8" s="150">
        <v>2</v>
      </c>
      <c r="K8" s="150">
        <v>0</v>
      </c>
      <c r="L8" s="150">
        <v>35</v>
      </c>
      <c r="M8" s="150" t="s">
        <v>662</v>
      </c>
      <c r="N8" s="154"/>
      <c r="O8" s="139">
        <f t="shared" si="0"/>
        <v>0.87179487179487181</v>
      </c>
      <c r="P8" s="139">
        <f t="shared" si="1"/>
        <v>2</v>
      </c>
      <c r="R8" s="144">
        <v>2</v>
      </c>
      <c r="S8" s="144"/>
      <c r="U8" s="139" t="s">
        <v>727</v>
      </c>
      <c r="V8" s="139" t="s">
        <v>722</v>
      </c>
      <c r="W8" s="150">
        <f>0.45*10^-3</f>
        <v>4.5000000000000004E-4</v>
      </c>
      <c r="X8" s="139" t="s">
        <v>676</v>
      </c>
      <c r="AF8" s="141"/>
      <c r="AG8" s="148" t="s">
        <v>580</v>
      </c>
      <c r="AH8" s="148" t="s">
        <v>415</v>
      </c>
      <c r="AI8" s="148"/>
      <c r="AJ8" s="148" t="s">
        <v>5</v>
      </c>
      <c r="AM8" s="141"/>
    </row>
    <row r="9" spans="2:46" ht="21" thickTop="1">
      <c r="B9" s="139" t="s">
        <v>546</v>
      </c>
      <c r="C9" s="139" t="s">
        <v>551</v>
      </c>
      <c r="D9" s="139"/>
      <c r="E9" s="139" t="s">
        <v>46</v>
      </c>
      <c r="G9" s="143" t="s">
        <v>671</v>
      </c>
      <c r="H9" s="150">
        <v>7.2</v>
      </c>
      <c r="I9" s="150">
        <v>0.68</v>
      </c>
      <c r="J9" s="150">
        <v>2</v>
      </c>
      <c r="K9" s="150">
        <v>6</v>
      </c>
      <c r="L9" s="150">
        <v>35</v>
      </c>
      <c r="M9" s="150" t="s">
        <v>662</v>
      </c>
      <c r="N9" s="154"/>
      <c r="O9" s="139">
        <f t="shared" si="0"/>
        <v>0.89705882352941169</v>
      </c>
      <c r="P9" s="139">
        <f t="shared" si="1"/>
        <v>1.3999999999999995</v>
      </c>
      <c r="R9" s="144">
        <v>3</v>
      </c>
      <c r="S9" s="144"/>
      <c r="U9" s="139" t="s">
        <v>728</v>
      </c>
      <c r="V9" s="139" t="s">
        <v>729</v>
      </c>
      <c r="W9" s="150">
        <v>0.02</v>
      </c>
      <c r="X9" s="139" t="s">
        <v>676</v>
      </c>
      <c r="AF9" s="141" t="s">
        <v>581</v>
      </c>
      <c r="AG9" s="139" t="s">
        <v>576</v>
      </c>
      <c r="AH9" s="139" t="s">
        <v>460</v>
      </c>
      <c r="AI9" s="139"/>
      <c r="AJ9" s="139" t="s">
        <v>401</v>
      </c>
      <c r="AM9" s="141"/>
    </row>
    <row r="10" spans="2:46">
      <c r="B10" s="139" t="s">
        <v>547</v>
      </c>
      <c r="C10" s="139" t="s">
        <v>552</v>
      </c>
      <c r="D10" s="139"/>
      <c r="E10" s="139" t="s">
        <v>5</v>
      </c>
      <c r="G10" s="143" t="s">
        <v>672</v>
      </c>
      <c r="H10" s="150">
        <v>8.6</v>
      </c>
      <c r="I10" s="150">
        <v>0.61</v>
      </c>
      <c r="J10" s="150">
        <v>2</v>
      </c>
      <c r="K10" s="150">
        <v>6</v>
      </c>
      <c r="L10" s="150">
        <v>35</v>
      </c>
      <c r="M10" s="150" t="s">
        <v>662</v>
      </c>
      <c r="N10" s="154"/>
      <c r="O10" s="139">
        <f t="shared" si="0"/>
        <v>0.85245901639344268</v>
      </c>
      <c r="P10" s="139">
        <f t="shared" si="1"/>
        <v>2.2000000000000011</v>
      </c>
      <c r="R10" s="144">
        <v>4</v>
      </c>
      <c r="S10" s="144"/>
      <c r="U10" s="139"/>
      <c r="V10" s="139" t="s">
        <v>722</v>
      </c>
      <c r="W10" s="150">
        <f>0.5*10^-3</f>
        <v>5.0000000000000001E-4</v>
      </c>
      <c r="X10" s="139" t="s">
        <v>676</v>
      </c>
      <c r="AF10" s="141"/>
      <c r="AG10" s="139" t="s">
        <v>480</v>
      </c>
      <c r="AH10" s="139" t="s">
        <v>577</v>
      </c>
      <c r="AI10" s="139"/>
      <c r="AJ10" s="139" t="s">
        <v>5</v>
      </c>
      <c r="AM10" s="141"/>
    </row>
    <row r="11" spans="2:46">
      <c r="B11" s="139" t="s">
        <v>806</v>
      </c>
      <c r="C11" s="139" t="s">
        <v>845</v>
      </c>
      <c r="D11" s="139"/>
      <c r="E11" s="139" t="s">
        <v>5</v>
      </c>
      <c r="G11" s="143" t="s">
        <v>673</v>
      </c>
      <c r="H11" s="150">
        <v>10.8</v>
      </c>
      <c r="I11" s="150">
        <v>0.52</v>
      </c>
      <c r="J11" s="150">
        <v>2</v>
      </c>
      <c r="K11" s="150">
        <v>6</v>
      </c>
      <c r="L11" s="150">
        <v>35</v>
      </c>
      <c r="M11" s="150" t="s">
        <v>663</v>
      </c>
      <c r="N11" s="154"/>
      <c r="O11" s="139">
        <f t="shared" si="0"/>
        <v>0.73076923076923073</v>
      </c>
      <c r="P11" s="139">
        <f t="shared" si="1"/>
        <v>1.5999999999999996</v>
      </c>
      <c r="R11" s="144">
        <v>5</v>
      </c>
      <c r="S11" s="144"/>
      <c r="U11" s="139" t="s">
        <v>730</v>
      </c>
      <c r="V11" s="139" t="s">
        <v>731</v>
      </c>
      <c r="W11" s="150">
        <v>7.4999999999999997E-3</v>
      </c>
      <c r="X11" s="139" t="s">
        <v>732</v>
      </c>
      <c r="AF11" s="141"/>
      <c r="AG11" s="139" t="s">
        <v>546</v>
      </c>
      <c r="AH11" s="139" t="s">
        <v>551</v>
      </c>
      <c r="AI11" s="139"/>
      <c r="AJ11" s="139" t="s">
        <v>46</v>
      </c>
      <c r="AM11" s="141"/>
    </row>
    <row r="12" spans="2:46">
      <c r="B12" s="139" t="s">
        <v>807</v>
      </c>
      <c r="C12" s="139" t="s">
        <v>846</v>
      </c>
      <c r="D12" s="139"/>
      <c r="E12" s="139" t="s">
        <v>263</v>
      </c>
      <c r="G12" s="143" t="s">
        <v>649</v>
      </c>
      <c r="H12" s="150">
        <v>12.4</v>
      </c>
      <c r="I12" s="150">
        <v>0.38</v>
      </c>
      <c r="J12" s="150">
        <v>0.5</v>
      </c>
      <c r="K12" s="150">
        <v>6</v>
      </c>
      <c r="L12" s="150">
        <v>35</v>
      </c>
      <c r="M12" s="150" t="s">
        <v>663</v>
      </c>
      <c r="N12" s="154"/>
      <c r="O12" s="139"/>
      <c r="P12" s="139"/>
      <c r="R12" s="144">
        <v>6</v>
      </c>
      <c r="S12" s="144"/>
      <c r="U12" s="155" t="s">
        <v>733</v>
      </c>
      <c r="V12" s="139" t="s">
        <v>734</v>
      </c>
      <c r="W12" s="150">
        <v>7.4999999999999997E-3</v>
      </c>
      <c r="X12" s="139" t="s">
        <v>732</v>
      </c>
      <c r="AF12" s="141"/>
      <c r="AG12" s="139" t="s">
        <v>578</v>
      </c>
      <c r="AH12" s="139" t="s">
        <v>552</v>
      </c>
      <c r="AI12" s="139"/>
      <c r="AJ12" s="139" t="s">
        <v>5</v>
      </c>
      <c r="AM12" s="141"/>
    </row>
    <row r="13" spans="2:46" ht="21" thickBot="1">
      <c r="R13" s="144">
        <v>7</v>
      </c>
      <c r="S13" s="144"/>
      <c r="U13" s="139" t="s">
        <v>735</v>
      </c>
      <c r="V13" s="139" t="s">
        <v>736</v>
      </c>
      <c r="W13" s="150">
        <v>0.03</v>
      </c>
      <c r="X13" s="139" t="s">
        <v>732</v>
      </c>
      <c r="AF13" s="141"/>
      <c r="AG13" s="148" t="s">
        <v>580</v>
      </c>
      <c r="AH13" s="148" t="s">
        <v>415</v>
      </c>
      <c r="AI13" s="148"/>
      <c r="AJ13" s="148" t="s">
        <v>5</v>
      </c>
      <c r="AM13" s="141"/>
    </row>
    <row r="14" spans="2:46" ht="21" thickTop="1">
      <c r="U14" s="139" t="s">
        <v>737</v>
      </c>
      <c r="V14" s="139" t="s">
        <v>738</v>
      </c>
      <c r="W14" s="150">
        <v>0.08</v>
      </c>
      <c r="X14" s="139" t="s">
        <v>676</v>
      </c>
      <c r="AF14" s="141" t="s">
        <v>582</v>
      </c>
      <c r="AG14" s="146" t="s">
        <v>583</v>
      </c>
      <c r="AH14" s="146" t="s">
        <v>584</v>
      </c>
      <c r="AI14" s="147"/>
      <c r="AJ14" s="146" t="s">
        <v>46</v>
      </c>
      <c r="AM14" s="156"/>
      <c r="AR14" s="141"/>
      <c r="AS14" s="141"/>
      <c r="AT14" s="141"/>
    </row>
    <row r="15" spans="2:46">
      <c r="AF15" s="141"/>
      <c r="AG15" s="139" t="s">
        <v>585</v>
      </c>
      <c r="AH15" s="154" t="s">
        <v>586</v>
      </c>
      <c r="AI15" s="139"/>
      <c r="AJ15" s="139" t="s">
        <v>46</v>
      </c>
    </row>
    <row r="16" spans="2:46">
      <c r="AF16" s="141"/>
      <c r="AG16" s="139" t="s">
        <v>587</v>
      </c>
      <c r="AH16" s="139" t="s">
        <v>588</v>
      </c>
      <c r="AI16" s="139"/>
      <c r="AJ16" s="139" t="s">
        <v>423</v>
      </c>
    </row>
    <row r="17" spans="32:36">
      <c r="AF17" s="141"/>
      <c r="AG17" s="139" t="s">
        <v>589</v>
      </c>
      <c r="AH17" s="139" t="s">
        <v>432</v>
      </c>
      <c r="AI17" s="139"/>
      <c r="AJ17" s="139" t="s">
        <v>423</v>
      </c>
    </row>
    <row r="18" spans="32:36">
      <c r="AF18" s="141"/>
      <c r="AG18" s="139" t="s">
        <v>420</v>
      </c>
      <c r="AH18" s="139" t="s">
        <v>421</v>
      </c>
      <c r="AI18" s="139"/>
      <c r="AJ18" s="139" t="s">
        <v>46</v>
      </c>
    </row>
    <row r="19" spans="32:36">
      <c r="AF19" s="141"/>
      <c r="AG19" s="139" t="s">
        <v>442</v>
      </c>
      <c r="AH19" s="139" t="s">
        <v>443</v>
      </c>
      <c r="AI19" s="139"/>
      <c r="AJ19" s="139" t="s">
        <v>46</v>
      </c>
    </row>
    <row r="20" spans="32:36">
      <c r="AF20" s="141"/>
      <c r="AG20" s="155" t="s">
        <v>166</v>
      </c>
      <c r="AH20" s="155" t="s">
        <v>163</v>
      </c>
      <c r="AI20" s="157"/>
      <c r="AJ20" s="155" t="s">
        <v>46</v>
      </c>
    </row>
    <row r="21" spans="32:36" ht="21" thickBot="1">
      <c r="AF21" s="141"/>
      <c r="AG21" s="148" t="s">
        <v>590</v>
      </c>
      <c r="AH21" s="148" t="s">
        <v>591</v>
      </c>
      <c r="AI21" s="148"/>
      <c r="AJ21" s="148" t="s">
        <v>315</v>
      </c>
    </row>
    <row r="22" spans="32:36" ht="21" thickTop="1"/>
    <row r="35" spans="2:51">
      <c r="O35" s="141"/>
      <c r="AR35" s="141"/>
    </row>
    <row r="36" spans="2:51">
      <c r="O36" s="141"/>
    </row>
    <row r="37" spans="2:51">
      <c r="B37" s="158" t="s">
        <v>834</v>
      </c>
      <c r="C37" s="159"/>
      <c r="D37" s="160" t="s">
        <v>45</v>
      </c>
    </row>
    <row r="38" spans="2:51">
      <c r="B38" s="158" t="s">
        <v>842</v>
      </c>
      <c r="C38" s="159"/>
      <c r="D38" s="160" t="s">
        <v>37</v>
      </c>
    </row>
    <row r="40" spans="2:51">
      <c r="B40" s="140" t="s">
        <v>664</v>
      </c>
      <c r="H40" s="140" t="s">
        <v>752</v>
      </c>
      <c r="K40" s="140" t="s">
        <v>678</v>
      </c>
      <c r="R40" s="140" t="s">
        <v>714</v>
      </c>
      <c r="T40" s="140" t="s">
        <v>753</v>
      </c>
      <c r="W40" s="140" t="s">
        <v>746</v>
      </c>
      <c r="AE40" s="141"/>
      <c r="AF40" s="140" t="s">
        <v>682</v>
      </c>
    </row>
    <row r="41" spans="2:51">
      <c r="B41" s="143" t="s">
        <v>665</v>
      </c>
      <c r="C41" s="143" t="s">
        <v>713</v>
      </c>
      <c r="D41" s="143" t="s">
        <v>739</v>
      </c>
      <c r="E41" s="143" t="s">
        <v>677</v>
      </c>
      <c r="F41" s="143" t="s">
        <v>661</v>
      </c>
      <c r="G41" s="143" t="s">
        <v>639</v>
      </c>
      <c r="H41" s="143" t="s">
        <v>659</v>
      </c>
      <c r="I41" s="143" t="s">
        <v>680</v>
      </c>
      <c r="J41" s="161" t="s">
        <v>681</v>
      </c>
      <c r="K41" s="143" t="s">
        <v>679</v>
      </c>
      <c r="L41" s="143" t="s">
        <v>658</v>
      </c>
      <c r="M41" s="143" t="s">
        <v>667</v>
      </c>
      <c r="N41" s="143" t="s">
        <v>668</v>
      </c>
      <c r="O41" s="143" t="s">
        <v>847</v>
      </c>
      <c r="P41" s="162" t="s">
        <v>336</v>
      </c>
      <c r="Q41" s="143" t="s">
        <v>666</v>
      </c>
      <c r="R41" s="143" t="s">
        <v>336</v>
      </c>
      <c r="S41" s="143" t="s">
        <v>666</v>
      </c>
      <c r="T41" s="161" t="s">
        <v>743</v>
      </c>
      <c r="U41" s="161" t="s">
        <v>744</v>
      </c>
      <c r="V41" s="161" t="s">
        <v>745</v>
      </c>
      <c r="W41" s="143" t="s">
        <v>721</v>
      </c>
      <c r="X41" s="143" t="s">
        <v>723</v>
      </c>
      <c r="Y41" s="143" t="s">
        <v>724</v>
      </c>
      <c r="Z41" s="143" t="s">
        <v>727</v>
      </c>
      <c r="AA41" s="143" t="s">
        <v>728</v>
      </c>
      <c r="AB41" s="143" t="s">
        <v>747</v>
      </c>
      <c r="AC41" s="143" t="s">
        <v>751</v>
      </c>
      <c r="AD41" s="143" t="s">
        <v>750</v>
      </c>
      <c r="AE41" s="143" t="s">
        <v>748</v>
      </c>
      <c r="AF41" s="143" t="s">
        <v>689</v>
      </c>
      <c r="AG41" s="143" t="s">
        <v>683</v>
      </c>
      <c r="AH41" s="143" t="s">
        <v>684</v>
      </c>
      <c r="AI41" s="143" t="s">
        <v>754</v>
      </c>
      <c r="AJ41" s="143" t="s">
        <v>339</v>
      </c>
      <c r="AK41" s="143" t="s">
        <v>352</v>
      </c>
      <c r="AL41" s="143" t="s">
        <v>757</v>
      </c>
      <c r="AM41" s="143" t="s">
        <v>364</v>
      </c>
      <c r="AN41" s="143" t="s">
        <v>759</v>
      </c>
      <c r="AO41" s="143" t="s">
        <v>346</v>
      </c>
      <c r="AP41" s="143" t="s">
        <v>685</v>
      </c>
      <c r="AQ41" s="143" t="s">
        <v>709</v>
      </c>
      <c r="AR41" s="143" t="s">
        <v>710</v>
      </c>
      <c r="AS41" s="143" t="s">
        <v>711</v>
      </c>
      <c r="AT41" s="143" t="s">
        <v>687</v>
      </c>
      <c r="AU41" s="143" t="s">
        <v>686</v>
      </c>
      <c r="AV41" s="143" t="s">
        <v>690</v>
      </c>
      <c r="AW41" s="143" t="s">
        <v>688</v>
      </c>
      <c r="AX41" s="143" t="s">
        <v>715</v>
      </c>
    </row>
    <row r="42" spans="2:51">
      <c r="B42" s="139" t="s">
        <v>674</v>
      </c>
      <c r="C42" s="145" t="s">
        <v>675</v>
      </c>
      <c r="D42" s="145" t="s">
        <v>675</v>
      </c>
      <c r="E42" s="139" t="s">
        <v>632</v>
      </c>
      <c r="F42" s="139" t="s">
        <v>849</v>
      </c>
      <c r="G42" s="139" t="s">
        <v>640</v>
      </c>
      <c r="H42" s="139" t="s">
        <v>675</v>
      </c>
      <c r="I42" s="139" t="s">
        <v>675</v>
      </c>
      <c r="J42" s="163" t="s">
        <v>675</v>
      </c>
      <c r="K42" s="139" t="s">
        <v>675</v>
      </c>
      <c r="L42" s="139" t="s">
        <v>675</v>
      </c>
      <c r="M42" s="139" t="s">
        <v>675</v>
      </c>
      <c r="N42" s="139" t="s">
        <v>675</v>
      </c>
      <c r="O42" s="139" t="s">
        <v>848</v>
      </c>
      <c r="P42" s="164" t="s">
        <v>675</v>
      </c>
      <c r="Q42" s="139" t="s">
        <v>850</v>
      </c>
      <c r="R42" s="145" t="s">
        <v>675</v>
      </c>
      <c r="S42" s="145" t="s">
        <v>699</v>
      </c>
      <c r="T42" s="163" t="s">
        <v>675</v>
      </c>
      <c r="U42" s="163" t="s">
        <v>675</v>
      </c>
      <c r="V42" s="163" t="s">
        <v>675</v>
      </c>
      <c r="W42" s="139" t="s">
        <v>45</v>
      </c>
      <c r="X42" s="139" t="s">
        <v>45</v>
      </c>
      <c r="Y42" s="139" t="s">
        <v>45</v>
      </c>
      <c r="Z42" s="139" t="s">
        <v>45</v>
      </c>
      <c r="AA42" s="139" t="s">
        <v>45</v>
      </c>
      <c r="AB42" s="139" t="s">
        <v>45</v>
      </c>
      <c r="AC42" s="139" t="s">
        <v>45</v>
      </c>
      <c r="AD42" s="139" t="s">
        <v>45</v>
      </c>
      <c r="AE42" s="145" t="s">
        <v>45</v>
      </c>
      <c r="AF42" s="145" t="s">
        <v>703</v>
      </c>
      <c r="AG42" s="145" t="s">
        <v>691</v>
      </c>
      <c r="AH42" s="145" t="s">
        <v>692</v>
      </c>
      <c r="AI42" s="145" t="s">
        <v>755</v>
      </c>
      <c r="AJ42" s="145" t="s">
        <v>693</v>
      </c>
      <c r="AK42" s="145" t="s">
        <v>694</v>
      </c>
      <c r="AL42" s="145" t="s">
        <v>758</v>
      </c>
      <c r="AM42" s="145" t="s">
        <v>695</v>
      </c>
      <c r="AN42" s="145" t="s">
        <v>698</v>
      </c>
      <c r="AO42" s="145" t="s">
        <v>696</v>
      </c>
      <c r="AP42" s="145" t="s">
        <v>697</v>
      </c>
      <c r="AQ42" s="145" t="s">
        <v>366</v>
      </c>
      <c r="AR42" s="145" t="s">
        <v>369</v>
      </c>
      <c r="AS42" s="145" t="s">
        <v>856</v>
      </c>
      <c r="AT42" s="145" t="s">
        <v>701</v>
      </c>
      <c r="AU42" s="145" t="s">
        <v>700</v>
      </c>
      <c r="AV42" s="145" t="s">
        <v>704</v>
      </c>
      <c r="AW42" s="145" t="s">
        <v>702</v>
      </c>
      <c r="AX42" s="145" t="s">
        <v>712</v>
      </c>
    </row>
    <row r="43" spans="2:51" ht="21" thickBot="1">
      <c r="B43" s="155" t="s">
        <v>675</v>
      </c>
      <c r="C43" s="165" t="s">
        <v>675</v>
      </c>
      <c r="D43" s="165" t="s">
        <v>675</v>
      </c>
      <c r="E43" s="155" t="s">
        <v>676</v>
      </c>
      <c r="F43" s="155" t="s">
        <v>676</v>
      </c>
      <c r="G43" s="155" t="s">
        <v>676</v>
      </c>
      <c r="H43" s="148" t="s">
        <v>660</v>
      </c>
      <c r="I43" s="155" t="s">
        <v>627</v>
      </c>
      <c r="J43" s="166" t="s">
        <v>627</v>
      </c>
      <c r="K43" s="155" t="s">
        <v>627</v>
      </c>
      <c r="L43" s="155" t="s">
        <v>45</v>
      </c>
      <c r="M43" s="148" t="s">
        <v>676</v>
      </c>
      <c r="N43" s="148" t="s">
        <v>676</v>
      </c>
      <c r="O43" s="148" t="s">
        <v>676</v>
      </c>
      <c r="P43" s="167" t="s">
        <v>263</v>
      </c>
      <c r="Q43" s="155" t="s">
        <v>263</v>
      </c>
      <c r="R43" s="165" t="s">
        <v>705</v>
      </c>
      <c r="S43" s="165" t="s">
        <v>705</v>
      </c>
      <c r="T43" s="166" t="s">
        <v>676</v>
      </c>
      <c r="U43" s="166" t="s">
        <v>676</v>
      </c>
      <c r="V43" s="166" t="s">
        <v>676</v>
      </c>
      <c r="W43" s="168" t="s">
        <v>749</v>
      </c>
      <c r="X43" s="168" t="s">
        <v>749</v>
      </c>
      <c r="Y43" s="168" t="s">
        <v>749</v>
      </c>
      <c r="Z43" s="148" t="s">
        <v>749</v>
      </c>
      <c r="AA43" s="148" t="s">
        <v>749</v>
      </c>
      <c r="AB43" s="148" t="s">
        <v>749</v>
      </c>
      <c r="AC43" s="148" t="s">
        <v>749</v>
      </c>
      <c r="AD43" s="148" t="s">
        <v>749</v>
      </c>
      <c r="AE43" s="165" t="s">
        <v>749</v>
      </c>
      <c r="AF43" s="165" t="s">
        <v>705</v>
      </c>
      <c r="AG43" s="165" t="s">
        <v>705</v>
      </c>
      <c r="AH43" s="165" t="s">
        <v>675</v>
      </c>
      <c r="AI43" s="165" t="s">
        <v>675</v>
      </c>
      <c r="AJ43" s="165" t="s">
        <v>675</v>
      </c>
      <c r="AK43" s="165" t="s">
        <v>675</v>
      </c>
      <c r="AL43" s="165" t="s">
        <v>675</v>
      </c>
      <c r="AM43" s="165" t="s">
        <v>675</v>
      </c>
      <c r="AN43" s="165" t="s">
        <v>675</v>
      </c>
      <c r="AO43" s="165" t="s">
        <v>706</v>
      </c>
      <c r="AP43" s="165" t="s">
        <v>706</v>
      </c>
      <c r="AQ43" s="165" t="s">
        <v>276</v>
      </c>
      <c r="AR43" s="165" t="s">
        <v>276</v>
      </c>
      <c r="AS43" s="165" t="s">
        <v>756</v>
      </c>
      <c r="AT43" s="165" t="s">
        <v>707</v>
      </c>
      <c r="AU43" s="165" t="s">
        <v>707</v>
      </c>
      <c r="AV43" s="165" t="s">
        <v>707</v>
      </c>
      <c r="AW43" s="165" t="s">
        <v>708</v>
      </c>
      <c r="AX43" s="165" t="s">
        <v>708</v>
      </c>
    </row>
    <row r="44" spans="2:51" ht="21" thickTop="1">
      <c r="B44" s="169">
        <v>1</v>
      </c>
      <c r="C44" s="170"/>
      <c r="D44" s="170"/>
      <c r="E44" s="170"/>
      <c r="F44" s="169"/>
      <c r="G44" s="169"/>
      <c r="H44" s="171"/>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row>
    <row r="45" spans="2:51">
      <c r="B45" s="144">
        <v>2</v>
      </c>
      <c r="C45" s="172"/>
      <c r="D45" s="172"/>
      <c r="E45" s="172"/>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row>
    <row r="46" spans="2:51">
      <c r="B46" s="144">
        <v>3</v>
      </c>
      <c r="C46" s="172"/>
      <c r="D46" s="172"/>
      <c r="E46" s="172"/>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row>
    <row r="47" spans="2:51">
      <c r="B47" s="144">
        <v>4</v>
      </c>
      <c r="C47" s="172"/>
      <c r="D47" s="172"/>
      <c r="E47" s="172"/>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row>
    <row r="48" spans="2:51">
      <c r="B48" s="144">
        <v>5</v>
      </c>
      <c r="C48" s="172"/>
      <c r="D48" s="172"/>
      <c r="E48" s="172"/>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row>
    <row r="49" spans="2:51">
      <c r="B49" s="144">
        <v>6</v>
      </c>
      <c r="C49" s="172"/>
      <c r="D49" s="172"/>
      <c r="E49" s="172"/>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row>
    <row r="50" spans="2:51">
      <c r="B50" s="144">
        <v>7</v>
      </c>
      <c r="C50" s="172"/>
      <c r="D50" s="172"/>
      <c r="E50" s="172"/>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row>
    <row r="51" spans="2:51">
      <c r="B51" s="144">
        <v>8</v>
      </c>
      <c r="C51" s="172"/>
      <c r="D51" s="172"/>
      <c r="E51" s="172"/>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row>
    <row r="52" spans="2:51">
      <c r="B52" s="144">
        <v>9</v>
      </c>
      <c r="C52" s="172"/>
      <c r="D52" s="172"/>
      <c r="E52" s="172"/>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row>
    <row r="53" spans="2:51">
      <c r="B53" s="144">
        <v>10</v>
      </c>
      <c r="C53" s="172"/>
      <c r="D53" s="172"/>
      <c r="E53" s="172"/>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row>
    <row r="54" spans="2:51">
      <c r="B54" s="144">
        <v>11</v>
      </c>
      <c r="C54" s="172"/>
      <c r="D54" s="172"/>
      <c r="E54" s="172"/>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row>
    <row r="55" spans="2:51">
      <c r="B55" s="144">
        <v>12</v>
      </c>
      <c r="C55" s="172"/>
      <c r="D55" s="172"/>
      <c r="E55" s="172"/>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2:51">
      <c r="B56" s="144">
        <v>13</v>
      </c>
      <c r="C56" s="172"/>
      <c r="D56" s="172"/>
      <c r="E56" s="172"/>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2:51">
      <c r="B57" s="144">
        <v>14</v>
      </c>
      <c r="C57" s="172"/>
      <c r="D57" s="172"/>
      <c r="E57" s="172"/>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2:51">
      <c r="B58" s="144">
        <v>15</v>
      </c>
      <c r="C58" s="172"/>
      <c r="D58" s="172"/>
      <c r="E58" s="172"/>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2:51">
      <c r="B59" s="144">
        <v>16</v>
      </c>
      <c r="C59" s="172"/>
      <c r="D59" s="172"/>
      <c r="E59" s="172"/>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2:51">
      <c r="B60" s="144">
        <v>17</v>
      </c>
      <c r="C60" s="172"/>
      <c r="D60" s="172"/>
      <c r="E60" s="172"/>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2:51">
      <c r="B61" s="144">
        <v>18</v>
      </c>
      <c r="C61" s="172"/>
      <c r="D61" s="172"/>
      <c r="E61" s="172"/>
      <c r="F61" s="144"/>
      <c r="G61" s="144"/>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2:51">
      <c r="B62" s="144">
        <v>19</v>
      </c>
      <c r="C62" s="172"/>
      <c r="D62" s="172"/>
      <c r="E62" s="172"/>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2:51">
      <c r="B63" s="144">
        <v>20</v>
      </c>
      <c r="C63" s="172"/>
      <c r="D63" s="172"/>
      <c r="E63" s="172"/>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2:51">
      <c r="B64" s="144">
        <v>21</v>
      </c>
      <c r="C64" s="172"/>
      <c r="D64" s="172"/>
      <c r="E64" s="172"/>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2:51">
      <c r="B65" s="144">
        <v>22</v>
      </c>
      <c r="C65" s="172"/>
      <c r="D65" s="172"/>
      <c r="E65" s="172"/>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row>
    <row r="66" spans="2:51">
      <c r="B66" s="144">
        <v>23</v>
      </c>
      <c r="C66" s="172"/>
      <c r="D66" s="172"/>
      <c r="E66" s="172"/>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row>
    <row r="67" spans="2:51">
      <c r="B67" s="144">
        <v>24</v>
      </c>
      <c r="C67" s="172"/>
      <c r="D67" s="172"/>
      <c r="E67" s="172"/>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row>
    <row r="68" spans="2:51">
      <c r="B68" s="144">
        <v>25</v>
      </c>
      <c r="C68" s="172"/>
      <c r="D68" s="172"/>
      <c r="E68" s="172"/>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row>
    <row r="69" spans="2:51">
      <c r="B69" s="144">
        <v>26</v>
      </c>
      <c r="C69" s="172"/>
      <c r="D69" s="172"/>
      <c r="E69" s="172"/>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row>
    <row r="70" spans="2:51">
      <c r="B70" s="144">
        <v>27</v>
      </c>
      <c r="C70" s="172"/>
      <c r="D70" s="172"/>
      <c r="E70" s="172"/>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row>
    <row r="71" spans="2:51">
      <c r="B71" s="144">
        <v>28</v>
      </c>
      <c r="C71" s="172"/>
      <c r="D71" s="172"/>
      <c r="E71" s="172"/>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row>
    <row r="72" spans="2:51">
      <c r="B72" s="144">
        <v>29</v>
      </c>
      <c r="C72" s="172"/>
      <c r="D72" s="172"/>
      <c r="E72" s="172"/>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row>
    <row r="73" spans="2:51">
      <c r="B73" s="144">
        <v>30</v>
      </c>
      <c r="C73" s="172"/>
      <c r="D73" s="172"/>
      <c r="E73" s="172"/>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row>
    <row r="74" spans="2:51">
      <c r="B74" s="144">
        <v>31</v>
      </c>
      <c r="C74" s="172"/>
      <c r="D74" s="172"/>
      <c r="E74" s="172"/>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row>
    <row r="75" spans="2:51">
      <c r="B75" s="144">
        <v>32</v>
      </c>
      <c r="C75" s="172"/>
      <c r="D75" s="172"/>
      <c r="E75" s="172"/>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row>
    <row r="76" spans="2:51">
      <c r="B76" s="144">
        <v>33</v>
      </c>
      <c r="C76" s="172"/>
      <c r="D76" s="172"/>
      <c r="E76" s="172"/>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row>
    <row r="77" spans="2:51">
      <c r="B77" s="144">
        <v>34</v>
      </c>
      <c r="C77" s="172"/>
      <c r="D77" s="172"/>
      <c r="E77" s="172"/>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row>
    <row r="78" spans="2:51">
      <c r="B78" s="144">
        <v>35</v>
      </c>
      <c r="C78" s="172"/>
      <c r="D78" s="172"/>
      <c r="E78" s="172"/>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row>
    <row r="79" spans="2:51">
      <c r="B79" s="144">
        <v>36</v>
      </c>
      <c r="C79" s="172"/>
      <c r="D79" s="172"/>
      <c r="E79" s="172"/>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row>
    <row r="80" spans="2:51">
      <c r="B80" s="144">
        <v>37</v>
      </c>
      <c r="C80" s="172"/>
      <c r="D80" s="172"/>
      <c r="E80" s="172"/>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row>
    <row r="81" spans="2:51">
      <c r="B81" s="144">
        <v>38</v>
      </c>
      <c r="C81" s="172"/>
      <c r="D81" s="172"/>
      <c r="E81" s="172"/>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row>
    <row r="82" spans="2:51">
      <c r="B82" s="144">
        <v>39</v>
      </c>
      <c r="C82" s="172"/>
      <c r="D82" s="172"/>
      <c r="E82" s="172"/>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row>
    <row r="83" spans="2:51">
      <c r="B83" s="144">
        <v>40</v>
      </c>
      <c r="C83" s="172"/>
      <c r="D83" s="172"/>
      <c r="E83" s="172"/>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row>
    <row r="84" spans="2:51">
      <c r="B84" s="144">
        <v>41</v>
      </c>
      <c r="C84" s="172"/>
      <c r="D84" s="172"/>
      <c r="E84" s="172"/>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row>
    <row r="85" spans="2:51">
      <c r="B85" s="144">
        <v>42</v>
      </c>
      <c r="C85" s="172"/>
      <c r="D85" s="172"/>
      <c r="E85" s="172"/>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row>
    <row r="86" spans="2:51">
      <c r="B86" s="144">
        <v>43</v>
      </c>
      <c r="C86" s="172"/>
      <c r="D86" s="172"/>
      <c r="E86" s="172"/>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row>
    <row r="87" spans="2:51">
      <c r="B87" s="144">
        <v>44</v>
      </c>
      <c r="C87" s="172"/>
      <c r="D87" s="172"/>
      <c r="E87" s="172"/>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row>
    <row r="88" spans="2:51">
      <c r="B88" s="144">
        <v>45</v>
      </c>
      <c r="C88" s="172"/>
      <c r="D88" s="172"/>
      <c r="E88" s="172"/>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row>
    <row r="89" spans="2:51">
      <c r="B89" s="144">
        <v>46</v>
      </c>
      <c r="C89" s="172"/>
      <c r="D89" s="172"/>
      <c r="E89" s="172"/>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row>
    <row r="90" spans="2:51">
      <c r="B90" s="144">
        <v>47</v>
      </c>
      <c r="C90" s="172"/>
      <c r="D90" s="172"/>
      <c r="E90" s="172"/>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row>
    <row r="91" spans="2:51">
      <c r="B91" s="144">
        <v>48</v>
      </c>
      <c r="C91" s="172"/>
      <c r="D91" s="172"/>
      <c r="E91" s="172"/>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row>
    <row r="92" spans="2:51">
      <c r="B92" s="144">
        <v>49</v>
      </c>
      <c r="C92" s="172"/>
      <c r="D92" s="172"/>
      <c r="E92" s="172"/>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row>
    <row r="93" spans="2:51">
      <c r="B93" s="144">
        <v>50</v>
      </c>
      <c r="C93" s="172"/>
      <c r="D93" s="172"/>
      <c r="E93" s="172"/>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row>
    <row r="94" spans="2:51">
      <c r="B94" s="144">
        <v>51</v>
      </c>
      <c r="C94" s="172"/>
      <c r="D94" s="172"/>
      <c r="E94" s="172"/>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row>
    <row r="95" spans="2:51">
      <c r="B95" s="144">
        <v>52</v>
      </c>
      <c r="C95" s="172"/>
      <c r="D95" s="172"/>
      <c r="E95" s="172"/>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row>
    <row r="96" spans="2:51">
      <c r="B96" s="144">
        <v>53</v>
      </c>
      <c r="C96" s="172"/>
      <c r="D96" s="172"/>
      <c r="E96" s="172"/>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row>
    <row r="97" spans="2:51">
      <c r="B97" s="144">
        <v>54</v>
      </c>
      <c r="C97" s="172"/>
      <c r="D97" s="172"/>
      <c r="E97" s="172"/>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row>
    <row r="98" spans="2:51">
      <c r="B98" s="144">
        <v>55</v>
      </c>
      <c r="C98" s="172"/>
      <c r="D98" s="172"/>
      <c r="E98" s="172"/>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row>
    <row r="99" spans="2:51">
      <c r="B99" s="144">
        <v>56</v>
      </c>
      <c r="C99" s="172"/>
      <c r="D99" s="172"/>
      <c r="E99" s="172"/>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row>
    <row r="100" spans="2:51">
      <c r="B100" s="144">
        <v>57</v>
      </c>
      <c r="C100" s="172"/>
      <c r="D100" s="172"/>
      <c r="E100" s="172"/>
      <c r="F100" s="144"/>
      <c r="G100" s="144"/>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row>
    <row r="101" spans="2:51">
      <c r="B101" s="144">
        <v>58</v>
      </c>
      <c r="C101" s="172"/>
      <c r="D101" s="172"/>
      <c r="E101" s="172"/>
      <c r="F101" s="144"/>
      <c r="G101" s="144"/>
      <c r="H101" s="144"/>
      <c r="I101" s="144"/>
      <c r="J101" s="144"/>
      <c r="K101" s="144"/>
      <c r="L101" s="144"/>
      <c r="M101" s="144"/>
      <c r="N101" s="14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row>
    <row r="102" spans="2:51">
      <c r="B102" s="144">
        <v>59</v>
      </c>
      <c r="C102" s="172"/>
      <c r="D102" s="172"/>
      <c r="E102" s="172"/>
      <c r="F102" s="144"/>
      <c r="G102" s="144"/>
      <c r="H102" s="144"/>
      <c r="I102" s="144"/>
      <c r="J102" s="144"/>
      <c r="K102" s="144"/>
      <c r="L102" s="144"/>
      <c r="M102" s="144"/>
      <c r="N102" s="14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row>
    <row r="103" spans="2:51">
      <c r="B103" s="144">
        <v>60</v>
      </c>
      <c r="C103" s="172"/>
      <c r="D103" s="172"/>
      <c r="E103" s="172"/>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row>
    <row r="104" spans="2:51">
      <c r="B104" s="144">
        <v>61</v>
      </c>
      <c r="C104" s="172"/>
      <c r="D104" s="172"/>
      <c r="E104" s="172"/>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row>
    <row r="105" spans="2:51">
      <c r="B105" s="144">
        <v>62</v>
      </c>
      <c r="C105" s="172"/>
      <c r="D105" s="172"/>
      <c r="E105" s="172"/>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row>
    <row r="106" spans="2:51">
      <c r="B106" s="144">
        <v>63</v>
      </c>
      <c r="C106" s="172"/>
      <c r="D106" s="172"/>
      <c r="E106" s="172"/>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row>
    <row r="107" spans="2:51">
      <c r="B107" s="144">
        <v>64</v>
      </c>
      <c r="C107" s="172"/>
      <c r="D107" s="172"/>
      <c r="E107" s="172"/>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row>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Q10" sqref="Q10"/>
    </sheetView>
  </sheetViews>
  <sheetFormatPr baseColWidth="10" defaultColWidth="8.7109375" defaultRowHeight="20"/>
  <sheetData>
    <row r="2" spans="2:30" ht="21" thickBot="1">
      <c r="B2" t="s">
        <v>1245</v>
      </c>
      <c r="G2" s="3" t="s">
        <v>900</v>
      </c>
      <c r="H2" s="3"/>
      <c r="I2" s="3"/>
      <c r="J2" s="3"/>
      <c r="K2" s="3"/>
      <c r="S2" s="3"/>
      <c r="U2" s="3"/>
    </row>
    <row r="3" spans="2:30">
      <c r="B3" s="284" t="s">
        <v>1246</v>
      </c>
      <c r="C3" s="285"/>
      <c r="D3" s="285"/>
      <c r="E3" s="286"/>
      <c r="G3" s="1"/>
      <c r="H3" s="10" t="s">
        <v>847</v>
      </c>
      <c r="I3" s="10" t="s">
        <v>639</v>
      </c>
      <c r="J3" s="10" t="s">
        <v>658</v>
      </c>
      <c r="K3" s="10" t="s">
        <v>907</v>
      </c>
    </row>
    <row r="4" spans="2:30">
      <c r="B4" s="287"/>
      <c r="C4" s="288"/>
      <c r="D4" s="288"/>
      <c r="E4" s="289"/>
      <c r="G4" s="1"/>
      <c r="H4" s="1" t="s">
        <v>898</v>
      </c>
      <c r="I4" s="1" t="s">
        <v>896</v>
      </c>
      <c r="J4" s="59" t="s">
        <v>675</v>
      </c>
      <c r="K4" s="59" t="s">
        <v>897</v>
      </c>
    </row>
    <row r="5" spans="2:30">
      <c r="B5" s="287"/>
      <c r="C5" s="288"/>
      <c r="D5" s="288"/>
      <c r="E5" s="289"/>
      <c r="G5" s="1"/>
      <c r="H5" s="1" t="s">
        <v>676</v>
      </c>
      <c r="I5" s="1" t="s">
        <v>676</v>
      </c>
      <c r="J5" s="59" t="s">
        <v>675</v>
      </c>
      <c r="K5" s="59" t="s">
        <v>675</v>
      </c>
    </row>
    <row r="6" spans="2:30">
      <c r="B6" s="287"/>
      <c r="C6" s="288"/>
      <c r="D6" s="288"/>
      <c r="E6" s="289"/>
      <c r="G6" s="10" t="s">
        <v>899</v>
      </c>
      <c r="H6" s="21">
        <v>0</v>
      </c>
      <c r="I6" s="21">
        <v>0.95</v>
      </c>
      <c r="J6" s="21" t="s">
        <v>646</v>
      </c>
      <c r="K6" s="21">
        <v>0.71499999999999997</v>
      </c>
    </row>
    <row r="7" spans="2:30">
      <c r="B7" s="287"/>
      <c r="C7" s="288"/>
      <c r="D7" s="288"/>
      <c r="E7" s="289"/>
      <c r="G7" s="10" t="s">
        <v>649</v>
      </c>
      <c r="H7" s="21">
        <v>0.85</v>
      </c>
      <c r="I7" s="21">
        <v>0.7</v>
      </c>
      <c r="J7" s="21" t="s">
        <v>646</v>
      </c>
      <c r="K7" s="21">
        <v>0.65</v>
      </c>
    </row>
    <row r="8" spans="2:30">
      <c r="B8" s="287"/>
      <c r="C8" s="288"/>
      <c r="D8" s="288"/>
      <c r="E8" s="289"/>
    </row>
    <row r="9" spans="2:30">
      <c r="B9" s="287"/>
      <c r="C9" s="288"/>
      <c r="D9" s="288"/>
      <c r="E9" s="289"/>
    </row>
    <row r="10" spans="2:30" ht="21" thickBot="1">
      <c r="B10" s="290"/>
      <c r="C10" s="291"/>
      <c r="D10" s="291"/>
      <c r="E10" s="292"/>
    </row>
    <row r="11" spans="2:30">
      <c r="G11" s="3" t="s">
        <v>901</v>
      </c>
      <c r="H11" s="3"/>
      <c r="I11" s="3"/>
      <c r="J11" s="3"/>
      <c r="K11" s="3"/>
    </row>
    <row r="12" spans="2:30">
      <c r="G12" s="1"/>
      <c r="H12" s="10" t="s">
        <v>847</v>
      </c>
      <c r="I12" s="10" t="s">
        <v>895</v>
      </c>
      <c r="J12" s="10" t="s">
        <v>658</v>
      </c>
      <c r="K12" s="10" t="s">
        <v>907</v>
      </c>
    </row>
    <row r="13" spans="2:30">
      <c r="G13" s="1"/>
      <c r="H13" s="1" t="s">
        <v>898</v>
      </c>
      <c r="I13" s="1" t="s">
        <v>896</v>
      </c>
      <c r="J13" s="59" t="s">
        <v>675</v>
      </c>
      <c r="K13" s="59" t="s">
        <v>897</v>
      </c>
      <c r="AD13" s="3" t="s">
        <v>1154</v>
      </c>
    </row>
    <row r="14" spans="2:30">
      <c r="G14" s="1"/>
      <c r="H14" s="1" t="s">
        <v>676</v>
      </c>
      <c r="I14" s="1" t="s">
        <v>676</v>
      </c>
      <c r="J14" s="59" t="s">
        <v>675</v>
      </c>
      <c r="K14" s="59" t="s">
        <v>675</v>
      </c>
    </row>
    <row r="15" spans="2:30">
      <c r="G15" s="10" t="s">
        <v>899</v>
      </c>
      <c r="H15" s="21">
        <v>0</v>
      </c>
      <c r="I15" s="21">
        <v>0.95</v>
      </c>
      <c r="J15" s="1">
        <v>1</v>
      </c>
      <c r="K15" s="21">
        <v>0.71499999999999997</v>
      </c>
    </row>
    <row r="16" spans="2:30">
      <c r="B16" t="s">
        <v>905</v>
      </c>
      <c r="G16" s="10" t="s">
        <v>902</v>
      </c>
      <c r="H16" s="21">
        <v>0</v>
      </c>
      <c r="I16" s="21">
        <v>0.95</v>
      </c>
      <c r="J16" s="1">
        <v>1</v>
      </c>
      <c r="K16" s="21">
        <v>0.71499999999999997</v>
      </c>
    </row>
    <row r="17" spans="2:32">
      <c r="B17" s="30"/>
      <c r="C17" s="30"/>
      <c r="D17" s="30"/>
      <c r="E17" s="30"/>
      <c r="G17" s="10" t="s">
        <v>649</v>
      </c>
      <c r="H17" s="21">
        <v>0.85</v>
      </c>
      <c r="I17" s="21">
        <v>0.7</v>
      </c>
      <c r="J17" s="1">
        <v>1</v>
      </c>
      <c r="K17" s="21">
        <v>0.65</v>
      </c>
    </row>
    <row r="18" spans="2:32">
      <c r="B18" s="30" t="s">
        <v>903</v>
      </c>
      <c r="C18" s="30"/>
      <c r="D18" s="30"/>
      <c r="E18" s="30"/>
    </row>
    <row r="19" spans="2:32">
      <c r="B19" s="30" t="s">
        <v>904</v>
      </c>
      <c r="C19" s="30"/>
      <c r="D19" s="30"/>
      <c r="E19" s="30"/>
    </row>
    <row r="20" spans="2:32">
      <c r="B20" s="30" t="s">
        <v>906</v>
      </c>
      <c r="C20" s="30"/>
      <c r="D20" s="30"/>
      <c r="E20" s="30"/>
    </row>
    <row r="22" spans="2:32">
      <c r="B22" t="s">
        <v>641</v>
      </c>
      <c r="G22" t="s">
        <v>908</v>
      </c>
      <c r="X22" t="s">
        <v>868</v>
      </c>
      <c r="AB22" s="3" t="s">
        <v>792</v>
      </c>
      <c r="AC22" s="3"/>
      <c r="AE22" s="3"/>
      <c r="AF22" s="3"/>
    </row>
    <row r="23" spans="2:32">
      <c r="B23" s="30"/>
      <c r="C23" s="30"/>
      <c r="D23" s="30"/>
      <c r="E23" s="30"/>
      <c r="G23" s="10" t="s">
        <v>847</v>
      </c>
      <c r="H23" s="10" t="s">
        <v>869</v>
      </c>
      <c r="I23" s="10" t="s">
        <v>604</v>
      </c>
      <c r="J23" s="10" t="s">
        <v>400</v>
      </c>
      <c r="K23" s="10" t="s">
        <v>605</v>
      </c>
      <c r="L23" s="10" t="s">
        <v>762</v>
      </c>
      <c r="M23" s="10" t="s">
        <v>763</v>
      </c>
      <c r="N23" s="10" t="s">
        <v>764</v>
      </c>
      <c r="O23" s="10" t="s">
        <v>765</v>
      </c>
      <c r="P23" s="10" t="s">
        <v>767</v>
      </c>
      <c r="Q23" s="10" t="s">
        <v>596</v>
      </c>
      <c r="R23" s="10" t="s">
        <v>768</v>
      </c>
      <c r="S23" s="10"/>
      <c r="T23" s="10" t="s">
        <v>769</v>
      </c>
      <c r="U23" s="10" t="s">
        <v>726</v>
      </c>
      <c r="V23" s="10" t="s">
        <v>770</v>
      </c>
      <c r="W23" s="10" t="s">
        <v>771</v>
      </c>
      <c r="X23" s="10" t="s">
        <v>772</v>
      </c>
      <c r="Y23" s="10" t="s">
        <v>773</v>
      </c>
      <c r="Z23" s="10" t="s">
        <v>774</v>
      </c>
      <c r="AA23" s="10" t="s">
        <v>775</v>
      </c>
      <c r="AB23" s="103" t="s">
        <v>793</v>
      </c>
      <c r="AC23" s="103" t="s">
        <v>794</v>
      </c>
      <c r="AD23" s="103" t="s">
        <v>795</v>
      </c>
      <c r="AE23" s="103" t="s">
        <v>796</v>
      </c>
      <c r="AF23" s="103" t="s">
        <v>797</v>
      </c>
    </row>
    <row r="24" spans="2:32">
      <c r="B24" s="30"/>
      <c r="C24" s="30"/>
      <c r="D24" s="30"/>
      <c r="E24" s="30"/>
      <c r="G24" s="1" t="s">
        <v>898</v>
      </c>
      <c r="H24" s="1" t="s">
        <v>45</v>
      </c>
      <c r="I24" s="1" t="s">
        <v>597</v>
      </c>
      <c r="J24" s="1" t="s">
        <v>46</v>
      </c>
      <c r="K24" s="1" t="s">
        <v>46</v>
      </c>
      <c r="L24" s="1" t="s">
        <v>46</v>
      </c>
      <c r="M24" s="1" t="s">
        <v>46</v>
      </c>
      <c r="N24" s="1" t="s">
        <v>46</v>
      </c>
      <c r="O24" s="1" t="s">
        <v>46</v>
      </c>
      <c r="P24" s="1" t="s">
        <v>46</v>
      </c>
      <c r="Q24" s="1" t="s">
        <v>602</v>
      </c>
      <c r="R24" s="1" t="s">
        <v>776</v>
      </c>
      <c r="S24" s="1" t="s">
        <v>777</v>
      </c>
      <c r="T24" s="1" t="s">
        <v>778</v>
      </c>
      <c r="U24" s="1" t="s">
        <v>779</v>
      </c>
      <c r="V24" s="1" t="s">
        <v>780</v>
      </c>
      <c r="W24" s="1" t="s">
        <v>781</v>
      </c>
      <c r="X24" s="1" t="s">
        <v>782</v>
      </c>
      <c r="Y24" s="1" t="s">
        <v>783</v>
      </c>
      <c r="Z24" s="1" t="s">
        <v>784</v>
      </c>
      <c r="AA24" s="1" t="s">
        <v>785</v>
      </c>
      <c r="AB24" s="1" t="s">
        <v>798</v>
      </c>
      <c r="AC24" s="1" t="s">
        <v>799</v>
      </c>
      <c r="AD24" s="1" t="s">
        <v>800</v>
      </c>
      <c r="AE24" s="1" t="s">
        <v>801</v>
      </c>
      <c r="AF24" s="1" t="s">
        <v>802</v>
      </c>
    </row>
    <row r="25" spans="2:32" ht="21" thickBot="1">
      <c r="B25" s="30"/>
      <c r="C25" s="30"/>
      <c r="D25" s="30"/>
      <c r="E25" s="30"/>
      <c r="G25" s="19" t="s">
        <v>5</v>
      </c>
      <c r="H25" s="19" t="s">
        <v>45</v>
      </c>
      <c r="I25" s="19" t="s">
        <v>610</v>
      </c>
      <c r="J25" s="19" t="s">
        <v>610</v>
      </c>
      <c r="K25" s="19" t="s">
        <v>626</v>
      </c>
      <c r="L25" s="19" t="s">
        <v>627</v>
      </c>
      <c r="M25" s="19" t="s">
        <v>627</v>
      </c>
      <c r="N25" s="19" t="s">
        <v>627</v>
      </c>
      <c r="O25" s="19" t="s">
        <v>627</v>
      </c>
      <c r="P25" s="19" t="s">
        <v>45</v>
      </c>
      <c r="Q25" s="19" t="s">
        <v>611</v>
      </c>
      <c r="R25" s="19" t="s">
        <v>786</v>
      </c>
      <c r="S25" s="19" t="s">
        <v>786</v>
      </c>
      <c r="T25" s="19" t="s">
        <v>786</v>
      </c>
      <c r="U25" s="19" t="s">
        <v>787</v>
      </c>
      <c r="V25" s="19" t="s">
        <v>788</v>
      </c>
      <c r="W25" s="19" t="s">
        <v>789</v>
      </c>
      <c r="X25" s="19" t="s">
        <v>790</v>
      </c>
      <c r="Y25" s="19" t="s">
        <v>790</v>
      </c>
      <c r="Z25" s="19" t="s">
        <v>791</v>
      </c>
      <c r="AA25" s="19" t="s">
        <v>791</v>
      </c>
      <c r="AB25" s="19" t="s">
        <v>803</v>
      </c>
      <c r="AC25" s="19" t="s">
        <v>804</v>
      </c>
      <c r="AD25" s="19" t="s">
        <v>805</v>
      </c>
      <c r="AE25" s="19" t="s">
        <v>803</v>
      </c>
      <c r="AF25" s="19" t="s">
        <v>675</v>
      </c>
    </row>
    <row r="26" spans="2:32" ht="21" thickTop="1">
      <c r="B26" s="30"/>
      <c r="C26" s="30"/>
      <c r="D26" s="30"/>
      <c r="E26" s="30"/>
      <c r="G26" s="4">
        <v>0</v>
      </c>
      <c r="H26" s="126" t="s">
        <v>511</v>
      </c>
      <c r="I26" s="104">
        <v>15</v>
      </c>
      <c r="J26" s="104">
        <v>15</v>
      </c>
      <c r="K26" s="104">
        <v>0</v>
      </c>
      <c r="L26" s="126">
        <v>0</v>
      </c>
      <c r="M26" s="126">
        <v>0</v>
      </c>
      <c r="N26" s="104">
        <v>0</v>
      </c>
      <c r="O26" s="104">
        <v>0</v>
      </c>
      <c r="P26" s="104">
        <v>0</v>
      </c>
      <c r="Q26" s="2">
        <v>0</v>
      </c>
      <c r="R26" s="1">
        <v>128.55212654337893</v>
      </c>
      <c r="S26" s="1">
        <v>16.303408580287435</v>
      </c>
      <c r="T26" s="28">
        <v>-1041.8410000000001</v>
      </c>
      <c r="U26" s="28">
        <v>-1041.8410000000001</v>
      </c>
      <c r="V26" s="28">
        <v>-1041.8410000000001</v>
      </c>
      <c r="W26" s="28">
        <v>-1041.8410000000001</v>
      </c>
      <c r="X26" s="28">
        <v>-1041.8410000000001</v>
      </c>
      <c r="Y26" s="28">
        <v>-1041.8410000000001</v>
      </c>
      <c r="Z26" s="28">
        <v>-1041.8410000000001</v>
      </c>
      <c r="AA26" s="28">
        <v>-1041.8410000000001</v>
      </c>
      <c r="AB26" s="28">
        <v>-1041.8410000000001</v>
      </c>
      <c r="AC26" s="28">
        <v>-1041.8410000000001</v>
      </c>
      <c r="AD26" s="28">
        <v>-1041.8410000000001</v>
      </c>
      <c r="AE26" s="28">
        <v>-1041.8410000000001</v>
      </c>
      <c r="AF26" s="28">
        <v>-1041.8410000000001</v>
      </c>
    </row>
    <row r="27" spans="2:32">
      <c r="B27" s="30"/>
      <c r="C27" s="30"/>
      <c r="D27" s="30"/>
      <c r="E27" s="30"/>
      <c r="G27" s="21">
        <v>3.5</v>
      </c>
      <c r="H27" s="27"/>
      <c r="I27" s="28"/>
      <c r="J27" s="28"/>
      <c r="K27" s="28"/>
      <c r="L27" s="27"/>
      <c r="M27" s="27"/>
      <c r="N27" s="28"/>
      <c r="O27" s="28"/>
      <c r="P27" s="28"/>
      <c r="Q27" s="1"/>
      <c r="R27" s="1"/>
      <c r="S27" s="1"/>
      <c r="T27" s="28"/>
      <c r="U27" s="28"/>
      <c r="V27" s="28"/>
      <c r="W27" s="28"/>
      <c r="X27" s="28"/>
      <c r="Y27" s="28"/>
      <c r="Z27" s="28"/>
      <c r="AA27" s="28"/>
      <c r="AB27" s="28"/>
      <c r="AC27" s="28"/>
      <c r="AD27" s="28"/>
      <c r="AE27" s="28"/>
      <c r="AF27" s="28"/>
    </row>
    <row r="28" spans="2:32">
      <c r="B28" s="30"/>
      <c r="C28" s="30"/>
      <c r="D28" s="30"/>
      <c r="E28" s="30"/>
    </row>
    <row r="29" spans="2:32">
      <c r="B29" s="30"/>
      <c r="C29" s="30"/>
      <c r="D29" s="30"/>
      <c r="E29" s="30"/>
      <c r="G29" s="30" t="s">
        <v>870</v>
      </c>
      <c r="H29" s="125">
        <v>500</v>
      </c>
      <c r="I29" s="30" t="s">
        <v>789</v>
      </c>
      <c r="K29" s="30" t="s">
        <v>882</v>
      </c>
      <c r="L29" s="30" t="e">
        <f>(#REF!-H28)*(H29-1)+#REF!</f>
        <v>#REF!</v>
      </c>
      <c r="M29" s="30" t="s">
        <v>789</v>
      </c>
      <c r="S29" t="s">
        <v>1170</v>
      </c>
    </row>
    <row r="30" spans="2:32">
      <c r="B30" s="30"/>
      <c r="C30" s="30"/>
      <c r="D30" s="30"/>
      <c r="E30" s="30"/>
      <c r="G30" s="30" t="s">
        <v>871</v>
      </c>
      <c r="H30" s="125">
        <v>40</v>
      </c>
      <c r="I30" s="30" t="s">
        <v>789</v>
      </c>
      <c r="K30" s="30" t="s">
        <v>884</v>
      </c>
      <c r="L30" s="30" t="e">
        <f>L29-H30*2</f>
        <v>#REF!</v>
      </c>
      <c r="M30" s="30" t="s">
        <v>789</v>
      </c>
      <c r="O30" s="1" t="s">
        <v>889</v>
      </c>
      <c r="P30" s="21">
        <v>10</v>
      </c>
      <c r="Q30" s="1" t="s">
        <v>789</v>
      </c>
      <c r="V30" t="s">
        <v>880</v>
      </c>
      <c r="W30" t="s">
        <v>881</v>
      </c>
    </row>
    <row r="31" spans="2:32">
      <c r="B31" s="30"/>
      <c r="C31" s="30"/>
      <c r="D31" s="30"/>
      <c r="E31" s="30"/>
      <c r="G31" s="30" t="s">
        <v>872</v>
      </c>
      <c r="H31" s="125">
        <v>9</v>
      </c>
      <c r="I31" s="30" t="s">
        <v>873</v>
      </c>
      <c r="K31" s="30" t="s">
        <v>886</v>
      </c>
      <c r="L31" s="30" t="e">
        <f>(L30-#REF!)/2</f>
        <v>#REF!</v>
      </c>
      <c r="M31" s="30" t="s">
        <v>789</v>
      </c>
      <c r="O31" s="1" t="s">
        <v>890</v>
      </c>
      <c r="P31" s="21">
        <v>10</v>
      </c>
      <c r="Q31" s="1" t="s">
        <v>789</v>
      </c>
      <c r="T31" t="s">
        <v>883</v>
      </c>
      <c r="U31" s="30" t="s">
        <v>876</v>
      </c>
      <c r="V31" s="132" t="e">
        <f>#REF!</f>
        <v>#REF!</v>
      </c>
      <c r="W31" s="132" t="e">
        <f>V31+P29*(#REF!+#REF!)*2</f>
        <v>#REF!</v>
      </c>
    </row>
    <row r="32" spans="2:32">
      <c r="B32" s="30"/>
      <c r="C32" s="30"/>
      <c r="D32" s="30"/>
      <c r="E32" s="30"/>
      <c r="G32" s="30" t="s">
        <v>874</v>
      </c>
      <c r="H32" s="125">
        <v>50</v>
      </c>
      <c r="I32" s="30" t="s">
        <v>789</v>
      </c>
      <c r="K32" s="30" t="s">
        <v>892</v>
      </c>
      <c r="L32" s="30"/>
      <c r="M32" s="30" t="s">
        <v>36</v>
      </c>
      <c r="O32" s="1" t="s">
        <v>891</v>
      </c>
      <c r="P32" s="27">
        <v>1000</v>
      </c>
      <c r="Q32" s="1" t="s">
        <v>789</v>
      </c>
      <c r="U32" s="30" t="s">
        <v>885</v>
      </c>
      <c r="V32" s="132" t="e">
        <f>#REF!*#REF!</f>
        <v>#REF!</v>
      </c>
      <c r="W32" s="132" t="e">
        <f>V32+P29*#REF!*2</f>
        <v>#REF!</v>
      </c>
    </row>
    <row r="33" spans="2:35">
      <c r="B33" s="30"/>
      <c r="C33" s="30"/>
      <c r="D33" s="30"/>
      <c r="E33" s="30"/>
      <c r="U33" s="30" t="s">
        <v>887</v>
      </c>
      <c r="V33" s="132">
        <f>L28</f>
        <v>0</v>
      </c>
      <c r="W33" s="132" t="e">
        <f>V33+P29*(#REF!+#REF!)*2</f>
        <v>#REF!</v>
      </c>
    </row>
    <row r="34" spans="2:35">
      <c r="B34" s="30"/>
      <c r="C34" s="30"/>
      <c r="D34" s="30"/>
      <c r="E34" s="30"/>
      <c r="U34" s="30" t="s">
        <v>879</v>
      </c>
      <c r="V34" s="132" t="e">
        <f>L28*#REF!</f>
        <v>#REF!</v>
      </c>
      <c r="W34" s="132" t="e">
        <f>V34+P29*#REF!*2</f>
        <v>#REF!</v>
      </c>
    </row>
    <row r="35" spans="2:35">
      <c r="B35" s="30"/>
      <c r="C35" s="30"/>
      <c r="D35" s="30"/>
      <c r="E35" s="30"/>
      <c r="G35" s="33" t="s">
        <v>875</v>
      </c>
      <c r="H35" s="33">
        <v>1</v>
      </c>
      <c r="I35" s="33">
        <v>2</v>
      </c>
      <c r="J35" s="33">
        <v>3</v>
      </c>
      <c r="K35" s="33">
        <v>4</v>
      </c>
      <c r="L35" s="33">
        <v>5</v>
      </c>
      <c r="M35" s="33">
        <v>6</v>
      </c>
      <c r="N35" s="33">
        <v>7</v>
      </c>
      <c r="O35" s="33">
        <v>8</v>
      </c>
      <c r="P35" s="33">
        <v>9</v>
      </c>
      <c r="Q35" s="33"/>
      <c r="R35" s="33"/>
      <c r="T35" t="s">
        <v>888</v>
      </c>
      <c r="U35" s="30" t="s">
        <v>876</v>
      </c>
      <c r="V35" s="132" t="e">
        <f>H36-#REF!*H30</f>
        <v>#REF!</v>
      </c>
      <c r="W35" s="132" t="e">
        <f>V35+P29*(#REF!+#REF!)*2</f>
        <v>#REF!</v>
      </c>
    </row>
    <row r="36" spans="2:35">
      <c r="B36" s="30"/>
      <c r="C36" s="30"/>
      <c r="D36" s="30"/>
      <c r="E36" s="30"/>
      <c r="G36" s="33" t="s">
        <v>876</v>
      </c>
      <c r="H36" s="131" t="e">
        <f>#REF!+#REF!*(#REF!-$C$16)/2</f>
        <v>#REF!</v>
      </c>
      <c r="I36" s="131" t="e">
        <f>H38+#REF!*$C$18</f>
        <v>#REF!</v>
      </c>
      <c r="J36" s="131" t="e">
        <f>I38+#REF!*$C$18</f>
        <v>#REF!</v>
      </c>
      <c r="K36" s="131" t="e">
        <f>J38+#REF!*$C$18</f>
        <v>#REF!</v>
      </c>
      <c r="L36" s="131" t="e">
        <f>K38+#REF!*$C$18</f>
        <v>#REF!</v>
      </c>
      <c r="M36" s="131" t="e">
        <f>L38+#REF!*$C$18</f>
        <v>#REF!</v>
      </c>
      <c r="N36" s="131" t="e">
        <f>M38+#REF!*$C$18</f>
        <v>#REF!</v>
      </c>
      <c r="O36" s="131" t="e">
        <f>N38+#REF!*$C$18</f>
        <v>#REF!</v>
      </c>
      <c r="P36" s="131" t="e">
        <f>O38+#REF!*$C$18</f>
        <v>#REF!</v>
      </c>
      <c r="Q36" s="131"/>
      <c r="R36" s="131"/>
      <c r="U36" s="30" t="s">
        <v>885</v>
      </c>
      <c r="V36" s="132" t="e">
        <f>V35*#REF!</f>
        <v>#REF!</v>
      </c>
      <c r="W36" s="132" t="e">
        <f>V36+P29*#REF!*2</f>
        <v>#REF!</v>
      </c>
    </row>
    <row r="37" spans="2:35">
      <c r="B37" s="30"/>
      <c r="C37" s="30"/>
      <c r="D37" s="30"/>
      <c r="E37" s="30"/>
      <c r="G37" s="33" t="s">
        <v>877</v>
      </c>
      <c r="H37" s="131" t="e">
        <f>H36*#REF!</f>
        <v>#REF!</v>
      </c>
      <c r="I37" s="131" t="e">
        <f>I36*#REF!</f>
        <v>#REF!</v>
      </c>
      <c r="J37" s="131" t="e">
        <f>J36*#REF!</f>
        <v>#REF!</v>
      </c>
      <c r="K37" s="131" t="e">
        <f>K36*#REF!</f>
        <v>#REF!</v>
      </c>
      <c r="L37" s="131" t="e">
        <f>L36*#REF!</f>
        <v>#REF!</v>
      </c>
      <c r="M37" s="131" t="e">
        <f>M36*#REF!</f>
        <v>#REF!</v>
      </c>
      <c r="N37" s="131" t="e">
        <f>N36*#REF!</f>
        <v>#REF!</v>
      </c>
      <c r="O37" s="131" t="e">
        <f>O36*#REF!</f>
        <v>#REF!</v>
      </c>
      <c r="P37" s="131" t="e">
        <f>P36*#REF!</f>
        <v>#REF!</v>
      </c>
      <c r="Q37" s="131"/>
      <c r="R37" s="131"/>
      <c r="U37" s="30" t="s">
        <v>887</v>
      </c>
      <c r="V37" s="132" t="e">
        <f>O38+H30*#REF!</f>
        <v>#REF!</v>
      </c>
      <c r="W37" s="132" t="e">
        <f>V37+P29*(#REF!+#REF!)*2</f>
        <v>#REF!</v>
      </c>
    </row>
    <row r="38" spans="2:35">
      <c r="B38" s="30"/>
      <c r="C38" s="30"/>
      <c r="D38" s="30"/>
      <c r="E38" s="30"/>
      <c r="G38" s="33" t="s">
        <v>878</v>
      </c>
      <c r="H38" s="131" t="e">
        <f>H36-#REF!*$C$17</f>
        <v>#REF!</v>
      </c>
      <c r="I38" s="131" t="e">
        <f>I36-#REF!*$C$17</f>
        <v>#REF!</v>
      </c>
      <c r="J38" s="131" t="e">
        <f>J36-#REF!*$C$17</f>
        <v>#REF!</v>
      </c>
      <c r="K38" s="131" t="e">
        <f>K36-#REF!*$C$17</f>
        <v>#REF!</v>
      </c>
      <c r="L38" s="131" t="e">
        <f>L36-#REF!*$C$17</f>
        <v>#REF!</v>
      </c>
      <c r="M38" s="131" t="e">
        <f>M36-#REF!*$C$17</f>
        <v>#REF!</v>
      </c>
      <c r="N38" s="131" t="e">
        <f>N36-#REF!*$C$17</f>
        <v>#REF!</v>
      </c>
      <c r="O38" s="131" t="e">
        <f>O36-#REF!*$C$17</f>
        <v>#REF!</v>
      </c>
      <c r="P38" s="131" t="e">
        <f>P36-#REF!*$C$17</f>
        <v>#REF!</v>
      </c>
      <c r="Q38" s="131"/>
      <c r="R38" s="131"/>
      <c r="U38" s="30" t="s">
        <v>879</v>
      </c>
      <c r="V38" s="132" t="e">
        <f>V37*#REF!</f>
        <v>#REF!</v>
      </c>
      <c r="W38" s="132" t="e">
        <f>V38+P29*#REF!*2</f>
        <v>#REF!</v>
      </c>
    </row>
    <row r="39" spans="2:35">
      <c r="B39" s="30"/>
      <c r="C39" s="30"/>
      <c r="D39" s="30"/>
      <c r="E39" s="30"/>
      <c r="G39" s="33" t="s">
        <v>879</v>
      </c>
      <c r="H39" s="131" t="e">
        <f>H38*#REF!</f>
        <v>#REF!</v>
      </c>
      <c r="I39" s="131" t="e">
        <f>I38*#REF!</f>
        <v>#REF!</v>
      </c>
      <c r="J39" s="131" t="e">
        <f>J38*#REF!</f>
        <v>#REF!</v>
      </c>
      <c r="K39" s="131" t="e">
        <f>K38*#REF!</f>
        <v>#REF!</v>
      </c>
      <c r="L39" s="131" t="e">
        <f>L38*#REF!</f>
        <v>#REF!</v>
      </c>
      <c r="M39" s="131" t="e">
        <f>M38*#REF!</f>
        <v>#REF!</v>
      </c>
      <c r="N39" s="131" t="e">
        <f>N38*#REF!</f>
        <v>#REF!</v>
      </c>
      <c r="O39" s="131" t="e">
        <f>O38*#REF!</f>
        <v>#REF!</v>
      </c>
      <c r="P39" s="131" t="e">
        <f>P38*#REF!</f>
        <v>#REF!</v>
      </c>
      <c r="Q39" s="131"/>
      <c r="R39" s="131"/>
    </row>
    <row r="40" spans="2:35">
      <c r="B40" s="30"/>
      <c r="C40" s="30"/>
      <c r="D40" s="30"/>
      <c r="E40" s="30"/>
    </row>
    <row r="41" spans="2:35">
      <c r="B41" s="30"/>
      <c r="C41" s="30"/>
      <c r="D41" s="30"/>
      <c r="E41" s="30"/>
    </row>
    <row r="42" spans="2:35">
      <c r="B42" s="30"/>
      <c r="C42" s="30"/>
      <c r="D42" s="30"/>
      <c r="E42" s="30"/>
      <c r="G42" t="s">
        <v>909</v>
      </c>
      <c r="H42" t="s">
        <v>746</v>
      </c>
      <c r="P42" s="3"/>
      <c r="Q42" t="s">
        <v>682</v>
      </c>
    </row>
    <row r="43" spans="2:35">
      <c r="B43" s="30"/>
      <c r="C43" s="30"/>
      <c r="D43" s="30"/>
      <c r="E43" s="30"/>
      <c r="G43" s="10" t="s">
        <v>648</v>
      </c>
      <c r="H43" s="10" t="s">
        <v>721</v>
      </c>
      <c r="I43" s="10" t="s">
        <v>723</v>
      </c>
      <c r="J43" s="10" t="s">
        <v>724</v>
      </c>
      <c r="K43" s="10" t="s">
        <v>727</v>
      </c>
      <c r="L43" s="10" t="s">
        <v>728</v>
      </c>
      <c r="M43" s="10" t="s">
        <v>747</v>
      </c>
      <c r="N43" s="10" t="s">
        <v>751</v>
      </c>
      <c r="O43" s="10" t="s">
        <v>750</v>
      </c>
      <c r="P43" s="10" t="s">
        <v>748</v>
      </c>
      <c r="Q43" s="10" t="s">
        <v>689</v>
      </c>
      <c r="R43" s="10" t="s">
        <v>683</v>
      </c>
      <c r="S43" s="10" t="s">
        <v>684</v>
      </c>
      <c r="T43" s="10" t="s">
        <v>754</v>
      </c>
      <c r="U43" s="10" t="s">
        <v>339</v>
      </c>
      <c r="V43" s="10" t="s">
        <v>352</v>
      </c>
      <c r="W43" s="10" t="s">
        <v>757</v>
      </c>
      <c r="X43" s="10" t="s">
        <v>364</v>
      </c>
      <c r="Y43" s="10" t="s">
        <v>759</v>
      </c>
      <c r="Z43" s="10" t="s">
        <v>346</v>
      </c>
      <c r="AA43" s="10" t="s">
        <v>685</v>
      </c>
      <c r="AB43" s="10" t="s">
        <v>709</v>
      </c>
      <c r="AC43" s="10" t="s">
        <v>710</v>
      </c>
      <c r="AD43" s="10" t="s">
        <v>711</v>
      </c>
      <c r="AE43" s="10" t="s">
        <v>687</v>
      </c>
      <c r="AF43" s="10" t="s">
        <v>686</v>
      </c>
      <c r="AG43" s="10" t="s">
        <v>690</v>
      </c>
      <c r="AH43" s="10" t="s">
        <v>688</v>
      </c>
      <c r="AI43" s="10" t="s">
        <v>715</v>
      </c>
    </row>
    <row r="44" spans="2:35">
      <c r="B44" s="30"/>
      <c r="C44" s="30"/>
      <c r="D44" s="30"/>
      <c r="E44" s="30"/>
      <c r="G44" s="1" t="s">
        <v>475</v>
      </c>
      <c r="H44" s="1" t="s">
        <v>45</v>
      </c>
      <c r="I44" s="1" t="s">
        <v>45</v>
      </c>
      <c r="J44" s="1" t="s">
        <v>45</v>
      </c>
      <c r="K44" s="1" t="s">
        <v>45</v>
      </c>
      <c r="L44" s="1" t="s">
        <v>45</v>
      </c>
      <c r="M44" s="1" t="s">
        <v>45</v>
      </c>
      <c r="N44" s="1" t="s">
        <v>45</v>
      </c>
      <c r="O44" s="1" t="s">
        <v>45</v>
      </c>
      <c r="P44" s="59" t="s">
        <v>45</v>
      </c>
      <c r="Q44" s="59" t="s">
        <v>703</v>
      </c>
      <c r="R44" s="59" t="s">
        <v>691</v>
      </c>
      <c r="S44" s="59" t="s">
        <v>692</v>
      </c>
      <c r="T44" s="59" t="s">
        <v>755</v>
      </c>
      <c r="U44" s="59" t="s">
        <v>693</v>
      </c>
      <c r="V44" s="59" t="s">
        <v>694</v>
      </c>
      <c r="W44" s="59" t="s">
        <v>758</v>
      </c>
      <c r="X44" s="59" t="s">
        <v>695</v>
      </c>
      <c r="Y44" s="59" t="s">
        <v>698</v>
      </c>
      <c r="Z44" s="59" t="s">
        <v>696</v>
      </c>
      <c r="AA44" s="59" t="s">
        <v>697</v>
      </c>
      <c r="AB44" s="59" t="s">
        <v>366</v>
      </c>
      <c r="AC44" s="59" t="s">
        <v>369</v>
      </c>
      <c r="AD44" s="59" t="s">
        <v>856</v>
      </c>
      <c r="AE44" s="59" t="s">
        <v>701</v>
      </c>
      <c r="AF44" s="59" t="s">
        <v>700</v>
      </c>
      <c r="AG44" s="59" t="s">
        <v>704</v>
      </c>
      <c r="AH44" s="59" t="s">
        <v>702</v>
      </c>
      <c r="AI44" s="59" t="s">
        <v>712</v>
      </c>
    </row>
    <row r="45" spans="2:35" ht="21" thickBot="1">
      <c r="B45" s="30"/>
      <c r="C45" s="30"/>
      <c r="D45" s="30"/>
      <c r="E45" s="30"/>
      <c r="G45" s="19" t="s">
        <v>5</v>
      </c>
      <c r="H45" s="128" t="s">
        <v>749</v>
      </c>
      <c r="I45" s="128" t="s">
        <v>749</v>
      </c>
      <c r="J45" s="128" t="s">
        <v>749</v>
      </c>
      <c r="K45" s="19" t="s">
        <v>749</v>
      </c>
      <c r="L45" s="19" t="s">
        <v>749</v>
      </c>
      <c r="M45" s="19" t="s">
        <v>749</v>
      </c>
      <c r="N45" s="19" t="s">
        <v>749</v>
      </c>
      <c r="O45" s="19" t="s">
        <v>749</v>
      </c>
      <c r="P45" s="122" t="s">
        <v>749</v>
      </c>
      <c r="Q45" s="122" t="s">
        <v>705</v>
      </c>
      <c r="R45" s="122" t="s">
        <v>705</v>
      </c>
      <c r="S45" s="122" t="s">
        <v>675</v>
      </c>
      <c r="T45" s="122" t="s">
        <v>675</v>
      </c>
      <c r="U45" s="122" t="s">
        <v>675</v>
      </c>
      <c r="V45" s="122" t="s">
        <v>675</v>
      </c>
      <c r="W45" s="122" t="s">
        <v>675</v>
      </c>
      <c r="X45" s="122" t="s">
        <v>675</v>
      </c>
      <c r="Y45" s="122" t="s">
        <v>675</v>
      </c>
      <c r="Z45" s="122" t="s">
        <v>706</v>
      </c>
      <c r="AA45" s="122" t="s">
        <v>706</v>
      </c>
      <c r="AB45" s="122" t="s">
        <v>276</v>
      </c>
      <c r="AC45" s="122" t="s">
        <v>276</v>
      </c>
      <c r="AD45" s="122" t="s">
        <v>756</v>
      </c>
      <c r="AE45" s="122" t="s">
        <v>707</v>
      </c>
      <c r="AF45" s="122" t="s">
        <v>707</v>
      </c>
      <c r="AG45" s="122" t="s">
        <v>707</v>
      </c>
      <c r="AH45" s="122" t="s">
        <v>708</v>
      </c>
      <c r="AI45" s="122" t="s">
        <v>708</v>
      </c>
    </row>
    <row r="46" spans="2:35" ht="21" thickTop="1">
      <c r="B46" s="30"/>
      <c r="C46" s="30"/>
      <c r="D46" s="30"/>
      <c r="E46" s="30"/>
      <c r="G46" s="4">
        <v>0</v>
      </c>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row>
    <row r="47" spans="2:35">
      <c r="B47" s="30"/>
      <c r="C47" s="30"/>
      <c r="D47" s="30"/>
      <c r="E47" s="30"/>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M8" sqref="M8"/>
    </sheetView>
  </sheetViews>
  <sheetFormatPr baseColWidth="10" defaultColWidth="8.7109375" defaultRowHeight="20"/>
  <sheetData>
    <row r="2" spans="2:5">
      <c r="B2" s="3" t="s">
        <v>808</v>
      </c>
      <c r="C2" s="3"/>
      <c r="D2" s="3"/>
      <c r="E2" s="3"/>
    </row>
    <row r="3" spans="2:5">
      <c r="B3" s="10" t="s">
        <v>177</v>
      </c>
      <c r="C3" s="10" t="s">
        <v>178</v>
      </c>
      <c r="D3" s="10" t="s">
        <v>809</v>
      </c>
      <c r="E3" s="10" t="s">
        <v>179</v>
      </c>
    </row>
    <row r="4" spans="2:5">
      <c r="B4" s="1" t="s">
        <v>810</v>
      </c>
      <c r="C4" s="1" t="s">
        <v>811</v>
      </c>
      <c r="D4" s="21">
        <v>3.5209999999999999</v>
      </c>
      <c r="E4" s="1" t="s">
        <v>676</v>
      </c>
    </row>
    <row r="5" spans="2:5">
      <c r="B5" s="1" t="s">
        <v>667</v>
      </c>
      <c r="C5" s="1" t="s">
        <v>812</v>
      </c>
      <c r="D5" s="21">
        <v>-1.5</v>
      </c>
      <c r="E5" s="1" t="s">
        <v>676</v>
      </c>
    </row>
    <row r="6" spans="2:5">
      <c r="B6" s="1"/>
      <c r="C6" s="1" t="s">
        <v>813</v>
      </c>
      <c r="D6" s="21">
        <v>0</v>
      </c>
      <c r="E6" s="1" t="s">
        <v>676</v>
      </c>
    </row>
    <row r="7" spans="2:5">
      <c r="B7" s="1"/>
      <c r="C7" s="1" t="s">
        <v>814</v>
      </c>
      <c r="D7" s="21">
        <v>4.5999999999999999E-2</v>
      </c>
      <c r="E7" s="1" t="s">
        <v>676</v>
      </c>
    </row>
    <row r="8" spans="2:5">
      <c r="B8" s="1" t="s">
        <v>336</v>
      </c>
      <c r="C8" s="1" t="s">
        <v>691</v>
      </c>
      <c r="D8" s="21">
        <v>-5.2380000000000004</v>
      </c>
      <c r="E8" s="1" t="s">
        <v>705</v>
      </c>
    </row>
    <row r="9" spans="2:5">
      <c r="B9" s="1" t="s">
        <v>815</v>
      </c>
      <c r="C9" s="1" t="s">
        <v>816</v>
      </c>
      <c r="D9" s="27">
        <v>73</v>
      </c>
      <c r="E9" s="1" t="s">
        <v>675</v>
      </c>
    </row>
    <row r="10" spans="2:5">
      <c r="B10" s="1" t="s">
        <v>817</v>
      </c>
      <c r="C10" s="1" t="s">
        <v>818</v>
      </c>
      <c r="D10" s="27">
        <v>90</v>
      </c>
      <c r="E10" s="1" t="s">
        <v>675</v>
      </c>
    </row>
    <row r="11" spans="2:5">
      <c r="B11" s="1" t="s">
        <v>819</v>
      </c>
      <c r="C11" s="1" t="s">
        <v>675</v>
      </c>
      <c r="D11" s="28" t="s">
        <v>820</v>
      </c>
      <c r="E11" s="1" t="s">
        <v>675</v>
      </c>
    </row>
    <row r="12" spans="2:5">
      <c r="B12" s="1" t="s">
        <v>821</v>
      </c>
      <c r="C12" s="1" t="s">
        <v>675</v>
      </c>
      <c r="D12" s="28" t="s">
        <v>822</v>
      </c>
      <c r="E12" s="1" t="s">
        <v>675</v>
      </c>
    </row>
    <row r="13" spans="2:5">
      <c r="B13" s="1" t="s">
        <v>823</v>
      </c>
      <c r="C13" s="1" t="s">
        <v>824</v>
      </c>
      <c r="D13" s="1">
        <v>0.46397713446944971</v>
      </c>
      <c r="E13" s="1" t="s">
        <v>720</v>
      </c>
    </row>
    <row r="14" spans="2:5">
      <c r="B14" s="1" t="s">
        <v>825</v>
      </c>
      <c r="C14" s="1" t="s">
        <v>826</v>
      </c>
      <c r="D14" s="1">
        <v>0.95184732967148733</v>
      </c>
      <c r="E14" s="1" t="s">
        <v>827</v>
      </c>
    </row>
    <row r="15" spans="2:5">
      <c r="B15" s="1" t="s">
        <v>828</v>
      </c>
      <c r="C15" s="1" t="s">
        <v>829</v>
      </c>
      <c r="D15" s="1">
        <v>2.901613310275148</v>
      </c>
      <c r="E15" s="1" t="s">
        <v>720</v>
      </c>
    </row>
    <row r="16" spans="2:5">
      <c r="B16" s="1" t="s">
        <v>830</v>
      </c>
      <c r="C16" s="1" t="s">
        <v>831</v>
      </c>
      <c r="D16" s="1"/>
      <c r="E16" s="1"/>
    </row>
    <row r="17" spans="2:5">
      <c r="B17" s="1" t="s">
        <v>832</v>
      </c>
      <c r="C17" s="1" t="s">
        <v>833</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B1:BA1288"/>
  <sheetViews>
    <sheetView zoomScale="91" zoomScaleNormal="44" workbookViewId="0">
      <selection activeCell="A15" sqref="A3:E15"/>
    </sheetView>
  </sheetViews>
  <sheetFormatPr baseColWidth="10" defaultColWidth="11.5703125" defaultRowHeight="20"/>
  <cols>
    <col min="1" max="1" width="11.5703125" customWidth="1"/>
    <col min="2" max="2" width="11.42578125" customWidth="1"/>
    <col min="3" max="5" width="11.5703125" customWidth="1"/>
    <col min="32" max="32" width="11.5703125" style="202"/>
    <col min="34" max="34" width="11.5703125" style="3"/>
  </cols>
  <sheetData>
    <row r="1" spans="2:53">
      <c r="AF1"/>
      <c r="AH1"/>
    </row>
    <row r="2" spans="2:53" ht="21" thickBot="1">
      <c r="B2" t="s">
        <v>1418</v>
      </c>
      <c r="G2" s="3"/>
      <c r="H2" s="3"/>
      <c r="I2" t="s">
        <v>1270</v>
      </c>
      <c r="K2" s="3" t="s">
        <v>861</v>
      </c>
      <c r="L2" s="3"/>
      <c r="M2" s="3"/>
      <c r="N2" s="3"/>
      <c r="O2" s="3" t="s">
        <v>862</v>
      </c>
      <c r="P2" s="3"/>
      <c r="Q2" s="3"/>
      <c r="R2" s="3"/>
      <c r="S2" s="3" t="s">
        <v>863</v>
      </c>
      <c r="T2" s="3"/>
      <c r="U2" s="3"/>
      <c r="V2" s="3"/>
      <c r="W2" s="3" t="s">
        <v>864</v>
      </c>
      <c r="X2" s="3"/>
      <c r="Y2" s="3"/>
      <c r="Z2" s="3"/>
    </row>
    <row r="3" spans="2:53">
      <c r="B3" s="255"/>
      <c r="C3" s="256"/>
      <c r="D3" s="256"/>
      <c r="E3" s="257"/>
      <c r="G3" s="10"/>
      <c r="H3" s="12" t="s">
        <v>865</v>
      </c>
      <c r="I3" s="13" t="s">
        <v>656</v>
      </c>
      <c r="J3" s="39" t="s">
        <v>657</v>
      </c>
      <c r="K3" s="14" t="s">
        <v>762</v>
      </c>
      <c r="L3" s="10" t="s">
        <v>763</v>
      </c>
      <c r="M3" s="10" t="s">
        <v>764</v>
      </c>
      <c r="N3" s="39" t="s">
        <v>765</v>
      </c>
      <c r="O3" s="14" t="s">
        <v>762</v>
      </c>
      <c r="P3" s="10" t="s">
        <v>763</v>
      </c>
      <c r="Q3" s="10" t="s">
        <v>764</v>
      </c>
      <c r="R3" s="39" t="s">
        <v>765</v>
      </c>
      <c r="S3" s="14" t="s">
        <v>762</v>
      </c>
      <c r="T3" s="10" t="s">
        <v>763</v>
      </c>
      <c r="U3" s="10" t="s">
        <v>764</v>
      </c>
      <c r="V3" s="39" t="s">
        <v>765</v>
      </c>
      <c r="W3" s="14" t="s">
        <v>762</v>
      </c>
      <c r="X3" s="10" t="s">
        <v>763</v>
      </c>
      <c r="Y3" s="10" t="s">
        <v>764</v>
      </c>
      <c r="Z3" s="10" t="s">
        <v>765</v>
      </c>
      <c r="AC3" t="s">
        <v>1144</v>
      </c>
      <c r="AD3" s="202"/>
      <c r="AF3" s="3"/>
      <c r="AH3"/>
    </row>
    <row r="4" spans="2:53">
      <c r="B4" s="258"/>
      <c r="E4" s="259"/>
      <c r="G4" s="10"/>
      <c r="H4" s="9" t="s">
        <v>866</v>
      </c>
      <c r="I4" s="65" t="s">
        <v>1007</v>
      </c>
      <c r="J4" s="64" t="s">
        <v>1008</v>
      </c>
      <c r="K4" s="22" t="s">
        <v>1009</v>
      </c>
      <c r="L4" s="1" t="s">
        <v>1012</v>
      </c>
      <c r="M4" s="1" t="s">
        <v>1011</v>
      </c>
      <c r="N4" s="64" t="s">
        <v>1010</v>
      </c>
      <c r="O4" s="22" t="s">
        <v>1009</v>
      </c>
      <c r="P4" s="1" t="s">
        <v>1012</v>
      </c>
      <c r="Q4" s="1" t="s">
        <v>1011</v>
      </c>
      <c r="R4" s="64" t="s">
        <v>1010</v>
      </c>
      <c r="S4" s="22" t="s">
        <v>1009</v>
      </c>
      <c r="T4" s="1" t="s">
        <v>1012</v>
      </c>
      <c r="U4" s="1" t="s">
        <v>1011</v>
      </c>
      <c r="V4" s="64" t="s">
        <v>1010</v>
      </c>
      <c r="W4" s="22" t="s">
        <v>1009</v>
      </c>
      <c r="X4" s="1" t="s">
        <v>1012</v>
      </c>
      <c r="Y4" s="1" t="s">
        <v>1011</v>
      </c>
      <c r="Z4" s="1" t="s">
        <v>1010</v>
      </c>
      <c r="AC4" s="10" t="s">
        <v>1032</v>
      </c>
      <c r="AD4" s="203" t="s">
        <v>1074</v>
      </c>
      <c r="AE4" s="10" t="s">
        <v>1013</v>
      </c>
      <c r="AF4" s="10" t="s">
        <v>1073</v>
      </c>
      <c r="AG4" s="10" t="s">
        <v>1075</v>
      </c>
      <c r="AH4" s="10" t="s">
        <v>1076</v>
      </c>
      <c r="AI4" s="10" t="s">
        <v>1077</v>
      </c>
      <c r="AJ4" s="10" t="s">
        <v>1078</v>
      </c>
      <c r="AK4" s="10" t="s">
        <v>1079</v>
      </c>
      <c r="AL4" s="10" t="s">
        <v>1006</v>
      </c>
      <c r="AM4" s="10" t="s">
        <v>1080</v>
      </c>
      <c r="AN4" s="10" t="s">
        <v>1081</v>
      </c>
      <c r="AO4" s="10" t="s">
        <v>1082</v>
      </c>
      <c r="AP4" s="10" t="s">
        <v>1083</v>
      </c>
      <c r="AQ4" s="10" t="s">
        <v>1084</v>
      </c>
      <c r="AR4" s="10" t="s">
        <v>1085</v>
      </c>
      <c r="AS4" s="10" t="s">
        <v>1086</v>
      </c>
      <c r="AT4" s="10" t="s">
        <v>1087</v>
      </c>
      <c r="AU4" s="10" t="s">
        <v>1088</v>
      </c>
      <c r="AV4" s="103" t="s">
        <v>1089</v>
      </c>
      <c r="AW4" s="103" t="s">
        <v>1090</v>
      </c>
      <c r="AX4" s="103" t="s">
        <v>1091</v>
      </c>
      <c r="AY4" s="103" t="s">
        <v>969</v>
      </c>
      <c r="AZ4" s="103" t="s">
        <v>1092</v>
      </c>
      <c r="BA4" s="103" t="s">
        <v>1093</v>
      </c>
    </row>
    <row r="5" spans="2:53">
      <c r="B5" s="258"/>
      <c r="E5" s="259"/>
      <c r="G5" s="10"/>
      <c r="H5" s="9" t="s">
        <v>676</v>
      </c>
      <c r="I5" s="65" t="s">
        <v>789</v>
      </c>
      <c r="J5" s="64" t="s">
        <v>789</v>
      </c>
      <c r="K5" s="22" t="s">
        <v>789</v>
      </c>
      <c r="L5" s="1" t="s">
        <v>789</v>
      </c>
      <c r="M5" s="1" t="s">
        <v>789</v>
      </c>
      <c r="N5" s="64" t="s">
        <v>789</v>
      </c>
      <c r="O5" s="22" t="s">
        <v>789</v>
      </c>
      <c r="P5" s="1" t="s">
        <v>789</v>
      </c>
      <c r="Q5" s="1" t="s">
        <v>789</v>
      </c>
      <c r="R5" s="64" t="s">
        <v>789</v>
      </c>
      <c r="S5" s="22" t="s">
        <v>789</v>
      </c>
      <c r="T5" s="1" t="s">
        <v>789</v>
      </c>
      <c r="U5" s="1" t="s">
        <v>789</v>
      </c>
      <c r="V5" s="64" t="s">
        <v>789</v>
      </c>
      <c r="W5" s="22" t="s">
        <v>789</v>
      </c>
      <c r="X5" s="1" t="s">
        <v>789</v>
      </c>
      <c r="Y5" s="1" t="s">
        <v>789</v>
      </c>
      <c r="Z5" s="1" t="s">
        <v>789</v>
      </c>
      <c r="AC5" s="1" t="s">
        <v>60</v>
      </c>
      <c r="AD5" s="204" t="s">
        <v>597</v>
      </c>
      <c r="AE5" s="1" t="s">
        <v>46</v>
      </c>
      <c r="AF5" s="2" t="s">
        <v>46</v>
      </c>
      <c r="AG5" s="1" t="s">
        <v>1067</v>
      </c>
      <c r="AH5" s="1" t="s">
        <v>1068</v>
      </c>
      <c r="AI5" s="1" t="s">
        <v>1069</v>
      </c>
      <c r="AJ5" s="1" t="s">
        <v>1070</v>
      </c>
      <c r="AK5" s="1" t="s">
        <v>1014</v>
      </c>
      <c r="AL5" s="1" t="s">
        <v>1015</v>
      </c>
      <c r="AM5" s="1" t="s">
        <v>1016</v>
      </c>
      <c r="AN5" s="1" t="s">
        <v>1017</v>
      </c>
      <c r="AO5" s="1" t="s">
        <v>1018</v>
      </c>
      <c r="AP5" s="1" t="s">
        <v>475</v>
      </c>
      <c r="AQ5" s="1" t="s">
        <v>1019</v>
      </c>
      <c r="AR5" s="1" t="s">
        <v>566</v>
      </c>
      <c r="AS5" s="1" t="s">
        <v>1020</v>
      </c>
      <c r="AT5" s="1" t="s">
        <v>1021</v>
      </c>
      <c r="AU5" s="1" t="s">
        <v>46</v>
      </c>
      <c r="AV5" s="1" t="s">
        <v>1022</v>
      </c>
      <c r="AW5" s="1" t="s">
        <v>21</v>
      </c>
      <c r="AX5" s="1" t="s">
        <v>1023</v>
      </c>
      <c r="AY5" s="1" t="s">
        <v>565</v>
      </c>
      <c r="AZ5" s="1" t="s">
        <v>1024</v>
      </c>
      <c r="BA5" s="1" t="s">
        <v>46</v>
      </c>
    </row>
    <row r="6" spans="2:53" ht="21" thickBot="1">
      <c r="B6" s="258"/>
      <c r="E6" s="259"/>
      <c r="G6" s="10" t="s">
        <v>1269</v>
      </c>
      <c r="H6" s="9">
        <v>0</v>
      </c>
      <c r="I6" s="65"/>
      <c r="J6" s="64"/>
      <c r="K6" s="224">
        <v>110</v>
      </c>
      <c r="L6" s="1">
        <f>K6*($H$21*($H6-$H$6)+$H$20*($H$8-$H6))/($H$8-$H$6)</f>
        <v>110</v>
      </c>
      <c r="M6" s="1">
        <f t="shared" ref="M6:N8" si="0">K6+I$20*2</f>
        <v>113.39</v>
      </c>
      <c r="N6" s="64">
        <f t="shared" si="0"/>
        <v>113.39</v>
      </c>
      <c r="O6" s="22"/>
      <c r="P6" s="1"/>
      <c r="Q6" s="1"/>
      <c r="R6" s="64"/>
      <c r="S6" s="22"/>
      <c r="T6" s="1"/>
      <c r="U6" s="1"/>
      <c r="V6" s="64"/>
      <c r="W6" s="22"/>
      <c r="X6" s="1"/>
      <c r="Y6" s="1"/>
      <c r="Z6" s="1"/>
      <c r="AC6" s="19" t="s">
        <v>62</v>
      </c>
      <c r="AD6" s="205" t="s">
        <v>46</v>
      </c>
      <c r="AE6" s="19" t="s">
        <v>46</v>
      </c>
      <c r="AF6" s="19" t="s">
        <v>5</v>
      </c>
      <c r="AG6" s="19" t="s">
        <v>996</v>
      </c>
      <c r="AH6" s="19" t="s">
        <v>996</v>
      </c>
      <c r="AI6" s="19" t="s">
        <v>996</v>
      </c>
      <c r="AJ6" s="19" t="s">
        <v>996</v>
      </c>
      <c r="AK6" s="19" t="s">
        <v>1025</v>
      </c>
      <c r="AL6" s="19" t="s">
        <v>1025</v>
      </c>
      <c r="AM6" s="19" t="s">
        <v>1025</v>
      </c>
      <c r="AN6" s="19" t="s">
        <v>1026</v>
      </c>
      <c r="AO6" s="19" t="s">
        <v>1027</v>
      </c>
      <c r="AP6" s="19" t="s">
        <v>996</v>
      </c>
      <c r="AQ6" s="19" t="s">
        <v>116</v>
      </c>
      <c r="AR6" s="19" t="s">
        <v>116</v>
      </c>
      <c r="AS6" s="19" t="s">
        <v>1028</v>
      </c>
      <c r="AT6" s="19" t="s">
        <v>1028</v>
      </c>
      <c r="AU6" s="19" t="s">
        <v>996</v>
      </c>
      <c r="AV6" s="19" t="s">
        <v>1029</v>
      </c>
      <c r="AW6" s="19" t="s">
        <v>1030</v>
      </c>
      <c r="AX6" s="19" t="s">
        <v>1031</v>
      </c>
      <c r="AY6" s="19" t="s">
        <v>1029</v>
      </c>
      <c r="AZ6" s="19" t="s">
        <v>46</v>
      </c>
      <c r="BA6" s="19" t="s">
        <v>6</v>
      </c>
    </row>
    <row r="7" spans="2:53" ht="21" thickTop="1">
      <c r="B7" s="258"/>
      <c r="E7" s="259"/>
      <c r="G7" s="10" t="s">
        <v>867</v>
      </c>
      <c r="H7" s="9">
        <f>H8-O20</f>
        <v>1.4</v>
      </c>
      <c r="I7" s="65">
        <f>(O7-M7)</f>
        <v>4.1099999999999994</v>
      </c>
      <c r="J7" s="64">
        <f>(P7-N7)</f>
        <v>6.5775000000000006</v>
      </c>
      <c r="K7" s="22">
        <f>$K$6-$L$20*$H7</f>
        <v>110</v>
      </c>
      <c r="L7" s="1">
        <f>K7*($H$21*($H7-$H$6)+$H$20*($H$8-$H7))/($H$8-$H$6)</f>
        <v>110</v>
      </c>
      <c r="M7" s="1">
        <f t="shared" si="0"/>
        <v>113.39</v>
      </c>
      <c r="N7" s="64">
        <f t="shared" si="0"/>
        <v>113.39</v>
      </c>
      <c r="O7" s="224">
        <v>117.5</v>
      </c>
      <c r="P7" s="1">
        <f>$O7*($H$23*($H7-$H$7)+$H$22*($H$10-$H7))/($H$10-$H$7)</f>
        <v>119.9675</v>
      </c>
      <c r="Q7" s="1">
        <f>O7+2*$I$22</f>
        <v>121.91</v>
      </c>
      <c r="R7" s="64">
        <f>P7+2*$J$22</f>
        <v>122.31950000000001</v>
      </c>
      <c r="S7" s="22"/>
      <c r="T7" s="1"/>
      <c r="U7" s="1"/>
      <c r="V7" s="64"/>
      <c r="W7" s="22"/>
      <c r="X7" s="1"/>
      <c r="Y7" s="1"/>
      <c r="Z7" s="1"/>
      <c r="AC7" s="2" t="s">
        <v>61</v>
      </c>
      <c r="AD7" s="206">
        <v>0</v>
      </c>
      <c r="AE7" s="104" t="str">
        <f t="shared" ref="AE7:AE38" si="1">IF(AF7&lt;$H$7,"0",IF(AF7&lt;$H$8,"0-1接合",IF(AF7&lt;$H$9,"1",IF(AF7&lt;$H$10,"1-2接合",IF(AF7&lt;$H$11,"2",IF(AF7&lt;$H$12,"2-3接合",IF(AF7&lt;$H$13,"3","ウィングレット")))))))</f>
        <v>0</v>
      </c>
      <c r="AF7" s="78">
        <f>VLOOKUP(AD7,主翼!B51:C150,2)</f>
        <v>0</v>
      </c>
      <c r="AG7" s="188">
        <v>55</v>
      </c>
      <c r="AH7" s="188">
        <v>55</v>
      </c>
      <c r="AI7" s="188">
        <v>56.695</v>
      </c>
      <c r="AJ7" s="188">
        <v>56.695</v>
      </c>
      <c r="AK7" s="186">
        <v>927564.33127605473</v>
      </c>
      <c r="AL7" s="186">
        <v>927564.3312760609</v>
      </c>
      <c r="AM7" s="186">
        <v>1855128.6642813568</v>
      </c>
      <c r="AN7" s="187">
        <v>594.79397672067023</v>
      </c>
      <c r="AO7" s="187">
        <v>9798.4492207984258</v>
      </c>
      <c r="AP7" s="188">
        <v>350.91090072022854</v>
      </c>
      <c r="AQ7" s="79">
        <v>128.54669117765229</v>
      </c>
      <c r="AR7" s="188">
        <v>16.301557051223895</v>
      </c>
      <c r="AS7" s="26">
        <f>AQ7*AK7*10^-3</f>
        <v>119235.32563994858</v>
      </c>
      <c r="AT7" s="189">
        <f>AR7*AM7*10^-3</f>
        <v>30241.485758143321</v>
      </c>
      <c r="AU7" s="2">
        <f>主翼!L51</f>
        <v>0</v>
      </c>
      <c r="AV7" s="104"/>
      <c r="AW7" s="104"/>
      <c r="AX7" s="104"/>
      <c r="AY7" s="104"/>
      <c r="AZ7" s="2"/>
      <c r="BA7" s="2" t="e">
        <f>AN7*AF7*10^-6*#REF!</f>
        <v>#REF!</v>
      </c>
    </row>
    <row r="8" spans="2:53">
      <c r="B8" s="258"/>
      <c r="E8" s="259"/>
      <c r="G8" s="10" t="s">
        <v>651</v>
      </c>
      <c r="H8" s="9">
        <f>K20/2</f>
        <v>1.75</v>
      </c>
      <c r="I8" s="65">
        <f>(O8-M8)</f>
        <v>1.3100000000000023</v>
      </c>
      <c r="J8" s="64">
        <f>(P8-N8)</f>
        <v>3.7186999999999699</v>
      </c>
      <c r="K8" s="22">
        <f>$K$6-$L$20*$H8</f>
        <v>110</v>
      </c>
      <c r="L8" s="1">
        <f>K8*($H$21*($H8-$H$6)+$H$20*($H$8-$H8))/($H$8-$H$6)</f>
        <v>110</v>
      </c>
      <c r="M8" s="1">
        <f t="shared" si="0"/>
        <v>113.39</v>
      </c>
      <c r="N8" s="64">
        <f t="shared" si="0"/>
        <v>113.39</v>
      </c>
      <c r="O8" s="22">
        <f>$O$7-$L$22*(H8-$H$7)</f>
        <v>114.7</v>
      </c>
      <c r="P8" s="1">
        <f>$O8*($H$23*($H8-$H$7)+$H$22*($H$10-$H8))/($H$10-$H$7)</f>
        <v>117.10869999999997</v>
      </c>
      <c r="Q8" s="1">
        <f>O8+2*$I$22</f>
        <v>119.11</v>
      </c>
      <c r="R8" s="64">
        <f>P8+2*$J$22</f>
        <v>119.46069999999997</v>
      </c>
      <c r="S8" s="22"/>
      <c r="T8" s="1"/>
      <c r="U8" s="1"/>
      <c r="V8" s="64"/>
      <c r="W8" s="22"/>
      <c r="X8" s="1"/>
      <c r="Y8" s="1"/>
      <c r="Z8" s="1"/>
      <c r="AC8" s="1"/>
      <c r="AD8" s="206">
        <v>1</v>
      </c>
      <c r="AE8" s="104" t="str">
        <f t="shared" si="1"/>
        <v>0</v>
      </c>
      <c r="AF8" s="78">
        <f>VLOOKUP(AD8,主翼!B52:C151,2)</f>
        <v>0.8</v>
      </c>
      <c r="AG8" s="79">
        <v>55</v>
      </c>
      <c r="AH8" s="79">
        <v>55</v>
      </c>
      <c r="AI8" s="79">
        <v>56.695</v>
      </c>
      <c r="AJ8" s="79">
        <v>56.695</v>
      </c>
      <c r="AK8" s="190">
        <v>927564.33127605473</v>
      </c>
      <c r="AL8" s="190">
        <v>927564.3312760609</v>
      </c>
      <c r="AM8" s="190">
        <v>1855128.6642813568</v>
      </c>
      <c r="AN8" s="191">
        <v>594.79397672067023</v>
      </c>
      <c r="AO8" s="191">
        <v>9798.4492207984258</v>
      </c>
      <c r="AP8" s="79">
        <v>350.91090072022854</v>
      </c>
      <c r="AQ8" s="79">
        <v>128.54669117765229</v>
      </c>
      <c r="AR8" s="188">
        <v>16.301557051223895</v>
      </c>
      <c r="AS8" s="26">
        <f t="shared" ref="AS8:AS66" si="2">AQ8*AK8*10^-3</f>
        <v>119235.32563994858</v>
      </c>
      <c r="AT8" s="189">
        <f t="shared" ref="AT8:AT66" si="3">AR8*AM8*10^-3</f>
        <v>30241.485758143321</v>
      </c>
      <c r="AU8" s="2">
        <f>主翼!L52</f>
        <v>0</v>
      </c>
      <c r="AV8" s="28"/>
      <c r="AW8" s="28"/>
      <c r="AX8" s="28"/>
      <c r="AY8" s="28"/>
      <c r="AZ8" s="1"/>
      <c r="BA8" s="2" t="e">
        <f>IF((AF8-AF7)&gt;0,(AN7+AN8+SQRT(AN7*AN8))*(AF8-AF7)/3*10^-6*#REF!,0)</f>
        <v>#REF!</v>
      </c>
    </row>
    <row r="9" spans="2:53">
      <c r="B9" s="258"/>
      <c r="E9" s="259"/>
      <c r="G9" s="10" t="s">
        <v>613</v>
      </c>
      <c r="H9" s="9">
        <f>H10-O21</f>
        <v>4.8999999999999995</v>
      </c>
      <c r="I9" s="65">
        <f>(S9-Q9)</f>
        <v>2.5900000000000034</v>
      </c>
      <c r="J9" s="64">
        <f>(T9-R9)</f>
        <v>4.2159999999999798</v>
      </c>
      <c r="K9" s="22"/>
      <c r="L9" s="1"/>
      <c r="M9" s="1"/>
      <c r="N9" s="64"/>
      <c r="O9" s="22">
        <f>$O$7-$L$22*(H9-$H$7)</f>
        <v>89.5</v>
      </c>
      <c r="P9" s="1">
        <f>$O9*($H$23*($H9-$H$7)+$H$22*($H$10-$H9))/($H$10-$H$7)</f>
        <v>91.379499999999993</v>
      </c>
      <c r="Q9" s="1">
        <f>O9+2*$I$22</f>
        <v>93.91</v>
      </c>
      <c r="R9" s="64">
        <f>P9+2*$J$22</f>
        <v>93.731499999999997</v>
      </c>
      <c r="S9" s="224">
        <v>96.5</v>
      </c>
      <c r="T9" s="1">
        <f>$S9*($H$25*($H9-$H$9)+$H$24*($H$12-$H9))/($H$12-$H$9)</f>
        <v>97.947499999999977</v>
      </c>
      <c r="U9" s="1">
        <f t="shared" ref="U9:V12" si="4">S9+2*I$24</f>
        <v>101.498</v>
      </c>
      <c r="V9" s="64">
        <f t="shared" si="4"/>
        <v>100.88749999999997</v>
      </c>
      <c r="W9" s="22"/>
      <c r="X9" s="1"/>
      <c r="Y9" s="1"/>
      <c r="Z9" s="1"/>
      <c r="AC9" s="1"/>
      <c r="AD9" s="206">
        <v>2</v>
      </c>
      <c r="AE9" s="104" t="str">
        <f t="shared" si="1"/>
        <v>0</v>
      </c>
      <c r="AF9" s="78">
        <f>VLOOKUP(AD9,主翼!B53:C152,2)</f>
        <v>1</v>
      </c>
      <c r="AG9" s="79">
        <v>55</v>
      </c>
      <c r="AH9" s="79">
        <v>55</v>
      </c>
      <c r="AI9" s="79">
        <v>56.695</v>
      </c>
      <c r="AJ9" s="79">
        <v>56.695</v>
      </c>
      <c r="AK9" s="190">
        <v>927564.33127605473</v>
      </c>
      <c r="AL9" s="190">
        <v>927564.3312760609</v>
      </c>
      <c r="AM9" s="190">
        <v>1855128.6642813568</v>
      </c>
      <c r="AN9" s="191">
        <v>594.79397672067023</v>
      </c>
      <c r="AO9" s="191">
        <v>9798.4492207984258</v>
      </c>
      <c r="AP9" s="79">
        <v>350.91090072022854</v>
      </c>
      <c r="AQ9" s="79">
        <v>128.54669117765229</v>
      </c>
      <c r="AR9" s="188">
        <v>16.301557051223895</v>
      </c>
      <c r="AS9" s="26">
        <f t="shared" si="2"/>
        <v>119235.32563994858</v>
      </c>
      <c r="AT9" s="189">
        <f t="shared" si="3"/>
        <v>30241.485758143321</v>
      </c>
      <c r="AU9" s="2">
        <f>主翼!L53</f>
        <v>0</v>
      </c>
      <c r="AV9" s="28"/>
      <c r="AW9" s="28"/>
      <c r="AX9" s="28"/>
      <c r="AY9" s="28"/>
      <c r="AZ9" s="1"/>
      <c r="BA9" s="2" t="e">
        <f>IF((AF9-AF8)&gt;0,(AN8+AN9+SQRT(AN8*AN9))*(AF9-AF8)/3*10^-6*#REF!,0)</f>
        <v>#REF!</v>
      </c>
    </row>
    <row r="10" spans="2:53">
      <c r="B10" s="258"/>
      <c r="E10" s="259"/>
      <c r="G10" s="10" t="s">
        <v>652</v>
      </c>
      <c r="H10" s="9">
        <f>H7+K22</f>
        <v>5.1999999999999993</v>
      </c>
      <c r="I10" s="65">
        <f>(S10-Q10)</f>
        <v>2.5899999999999892</v>
      </c>
      <c r="J10" s="64">
        <f>(T10-R10)</f>
        <v>4.2303999999999746</v>
      </c>
      <c r="K10" s="22"/>
      <c r="L10" s="1"/>
      <c r="M10" s="1"/>
      <c r="N10" s="64"/>
      <c r="O10" s="22">
        <f>$O$7-$L$22*(H10-$H$7)</f>
        <v>87.100000000000009</v>
      </c>
      <c r="P10" s="1">
        <f>$O10*($H$23*($H10-$H$7)+$H$22*($H$10-$H10))/($H$10-$H$7)</f>
        <v>88.929100000000005</v>
      </c>
      <c r="Q10" s="1">
        <f>O10+2*$I$22</f>
        <v>91.51</v>
      </c>
      <c r="R10" s="64">
        <f>P10+2*$J$22</f>
        <v>91.281100000000009</v>
      </c>
      <c r="S10" s="22">
        <f>$S$9-$L$24*(H10-$H$9)</f>
        <v>94.1</v>
      </c>
      <c r="T10" s="1">
        <f>$S10*($H$25*($H10-$H$9)+$H$24*($H$12-$H10))/($H$12-$H$9)</f>
        <v>95.511499999999984</v>
      </c>
      <c r="U10" s="1">
        <f t="shared" si="4"/>
        <v>99.097999999999999</v>
      </c>
      <c r="V10" s="64">
        <f t="shared" si="4"/>
        <v>98.451499999999982</v>
      </c>
      <c r="W10" s="22"/>
      <c r="X10" s="1"/>
      <c r="Y10" s="1"/>
      <c r="Z10" s="1"/>
      <c r="AC10" s="1"/>
      <c r="AD10" s="206">
        <v>3</v>
      </c>
      <c r="AE10" s="104" t="str">
        <f t="shared" si="1"/>
        <v>0</v>
      </c>
      <c r="AF10" s="78">
        <f>VLOOKUP(AD10,主翼!B54:C153,2)</f>
        <v>1.2</v>
      </c>
      <c r="AG10" s="79">
        <v>55</v>
      </c>
      <c r="AH10" s="79">
        <v>55</v>
      </c>
      <c r="AI10" s="79">
        <v>56.695</v>
      </c>
      <c r="AJ10" s="79">
        <v>56.695</v>
      </c>
      <c r="AK10" s="190">
        <v>927564.33127605473</v>
      </c>
      <c r="AL10" s="190">
        <v>927564.3312760609</v>
      </c>
      <c r="AM10" s="190">
        <v>1855128.6642813568</v>
      </c>
      <c r="AN10" s="191">
        <v>594.79397672067023</v>
      </c>
      <c r="AO10" s="191">
        <v>9798.4492207984258</v>
      </c>
      <c r="AP10" s="79">
        <v>350.91090072022854</v>
      </c>
      <c r="AQ10" s="79">
        <v>128.54669117765229</v>
      </c>
      <c r="AR10" s="188">
        <v>16.301557051223895</v>
      </c>
      <c r="AS10" s="26">
        <f t="shared" si="2"/>
        <v>119235.32563994858</v>
      </c>
      <c r="AT10" s="189">
        <f t="shared" si="3"/>
        <v>30241.485758143321</v>
      </c>
      <c r="AU10" s="2">
        <f>主翼!L54</f>
        <v>0</v>
      </c>
      <c r="AV10" s="28"/>
      <c r="AW10" s="28"/>
      <c r="AX10" s="28"/>
      <c r="AY10" s="28"/>
      <c r="AZ10" s="1"/>
      <c r="BA10" s="2" t="e">
        <f>IF((AF10-AF9)&gt;0,(AN9+AN10+SQRT(AN9*AN10))*(AF10-AF9)/3*10^-6*#REF!,0)</f>
        <v>#REF!</v>
      </c>
    </row>
    <row r="11" spans="2:53">
      <c r="B11" s="258"/>
      <c r="E11" s="259"/>
      <c r="G11" s="10" t="s">
        <v>614</v>
      </c>
      <c r="H11" s="9">
        <f>H12-O22</f>
        <v>8.3999999999999986</v>
      </c>
      <c r="I11" s="65">
        <f>(W11-U11)</f>
        <v>0.90200000000000102</v>
      </c>
      <c r="J11" s="64">
        <f>(X11-V11)</f>
        <v>1.9325000000000045</v>
      </c>
      <c r="K11" s="22"/>
      <c r="L11" s="1"/>
      <c r="M11" s="1"/>
      <c r="N11" s="64"/>
      <c r="O11" s="22"/>
      <c r="P11" s="1"/>
      <c r="Q11" s="1"/>
      <c r="R11" s="64"/>
      <c r="S11" s="22">
        <f>$S$9-$L$24*(H11-$H$9)</f>
        <v>68.5</v>
      </c>
      <c r="T11" s="1">
        <f>$S11*($H$25*($H11-$H$9)+$H$24*($H$12-$H11))/($H$12-$H$9)</f>
        <v>69.527500000000003</v>
      </c>
      <c r="U11" s="1">
        <f t="shared" si="4"/>
        <v>73.498000000000005</v>
      </c>
      <c r="V11" s="64">
        <f t="shared" si="4"/>
        <v>72.467500000000001</v>
      </c>
      <c r="W11" s="224">
        <v>74.400000000000006</v>
      </c>
      <c r="X11" s="1">
        <f>$W11*($H$27*($H11-$H$11)+$H$26*($H$13-$H11))/($H$13-$H$11)</f>
        <v>74.400000000000006</v>
      </c>
      <c r="Y11" s="1">
        <f t="shared" ref="Y11:Z13" si="5">W11+2*I$26</f>
        <v>77.928000000000011</v>
      </c>
      <c r="Z11" s="1">
        <f t="shared" si="5"/>
        <v>76.75200000000001</v>
      </c>
      <c r="AC11" s="1"/>
      <c r="AD11" s="206">
        <v>4</v>
      </c>
      <c r="AE11" s="104" t="str">
        <f t="shared" si="1"/>
        <v>0-1接合</v>
      </c>
      <c r="AF11" s="78">
        <f>VLOOKUP(AD11,主翼!B55:C154,2)</f>
        <v>1.4</v>
      </c>
      <c r="AG11" s="79">
        <v>55</v>
      </c>
      <c r="AH11" s="79">
        <v>55</v>
      </c>
      <c r="AI11" s="79">
        <v>60.954999999999998</v>
      </c>
      <c r="AJ11" s="79">
        <v>61.159749999999995</v>
      </c>
      <c r="AK11" s="190">
        <v>3679059.7778962436</v>
      </c>
      <c r="AL11" s="190">
        <v>3758310.0167815923</v>
      </c>
      <c r="AM11" s="190">
        <v>7436160.4959747586</v>
      </c>
      <c r="AN11" s="191">
        <v>2208.6491354470913</v>
      </c>
      <c r="AO11" s="191">
        <v>10578.766475598</v>
      </c>
      <c r="AP11" s="79">
        <v>364.61626608747662</v>
      </c>
      <c r="AQ11" s="79">
        <v>113.34563451684357</v>
      </c>
      <c r="AR11" s="188">
        <v>14.661092788303325</v>
      </c>
      <c r="AS11" s="26">
        <f t="shared" si="2"/>
        <v>417005.36495104729</v>
      </c>
      <c r="AT11" s="189">
        <f t="shared" si="3"/>
        <v>109022.23902020161</v>
      </c>
      <c r="AU11" s="2">
        <f>主翼!L55</f>
        <v>0</v>
      </c>
      <c r="AV11" s="28"/>
      <c r="AW11" s="28"/>
      <c r="AX11" s="28"/>
      <c r="AY11" s="28"/>
      <c r="AZ11" s="1"/>
      <c r="BA11" s="2" t="e">
        <f>IF((AF11-AF10)&gt;0,(AN10+AN11+SQRT(AN10*AN11))*(AF11-AF10)/3*10^-6*#REF!,0)</f>
        <v>#REF!</v>
      </c>
    </row>
    <row r="12" spans="2:53">
      <c r="B12" s="258"/>
      <c r="E12" s="259"/>
      <c r="G12" s="10" t="s">
        <v>653</v>
      </c>
      <c r="H12" s="9">
        <f>H9+K24</f>
        <v>8.6999999999999993</v>
      </c>
      <c r="I12" s="65">
        <f>(W12-U12)</f>
        <v>0.75199999999999534</v>
      </c>
      <c r="J12" s="64">
        <f>(X12-V12)</f>
        <v>1.8185000000000144</v>
      </c>
      <c r="K12" s="22"/>
      <c r="L12" s="1"/>
      <c r="M12" s="1"/>
      <c r="N12" s="64"/>
      <c r="O12" s="22"/>
      <c r="P12" s="1"/>
      <c r="Q12" s="1"/>
      <c r="R12" s="64"/>
      <c r="S12" s="22">
        <f>$S$9-$L$24*(H12-$H$9)</f>
        <v>66.099999999999994</v>
      </c>
      <c r="T12" s="1">
        <f>$S12*($H$25*($H12-$H$9)+$H$24*($H$12-$H12))/($H$12-$H$9)</f>
        <v>67.091499999999982</v>
      </c>
      <c r="U12" s="1">
        <f t="shared" si="4"/>
        <v>71.097999999999999</v>
      </c>
      <c r="V12" s="64">
        <f t="shared" si="4"/>
        <v>70.03149999999998</v>
      </c>
      <c r="W12" s="22">
        <f>$W$11-$L$26*(H12-$H$11)</f>
        <v>71.849999999999994</v>
      </c>
      <c r="X12" s="1">
        <f>$W12*($H$27*($H12-$H$11)+$H$26*($H$13-$H12))/($H$13-$H$11)</f>
        <v>71.849999999999994</v>
      </c>
      <c r="Y12" s="1">
        <f t="shared" si="5"/>
        <v>75.378</v>
      </c>
      <c r="Z12" s="1">
        <f t="shared" si="5"/>
        <v>74.201999999999998</v>
      </c>
      <c r="AC12" s="1"/>
      <c r="AD12" s="206">
        <v>5</v>
      </c>
      <c r="AE12" s="104" t="str">
        <f t="shared" si="1"/>
        <v>0-1接合</v>
      </c>
      <c r="AF12" s="78">
        <f>VLOOKUP(AD12,主翼!B56:C155,2)</f>
        <v>1.5999999999999999</v>
      </c>
      <c r="AG12" s="79">
        <v>55</v>
      </c>
      <c r="AH12" s="79">
        <v>55</v>
      </c>
      <c r="AI12" s="79">
        <v>60.155000000000001</v>
      </c>
      <c r="AJ12" s="79">
        <v>60.342950000000002</v>
      </c>
      <c r="AK12" s="190">
        <v>3120848.0485842824</v>
      </c>
      <c r="AL12" s="190">
        <v>3190208.1344231619</v>
      </c>
      <c r="AM12" s="190">
        <v>6309925.0111976657</v>
      </c>
      <c r="AN12" s="191">
        <v>1900.557340455897</v>
      </c>
      <c r="AO12" s="191">
        <v>10431.907697316106</v>
      </c>
      <c r="AP12" s="79">
        <v>362.07650359235737</v>
      </c>
      <c r="AQ12" s="79">
        <v>113.34563451684357</v>
      </c>
      <c r="AR12" s="188">
        <v>14.661092788303325</v>
      </c>
      <c r="AS12" s="26">
        <f t="shared" si="2"/>
        <v>353734.50229743856</v>
      </c>
      <c r="AT12" s="189">
        <f t="shared" si="3"/>
        <v>92510.396076404868</v>
      </c>
      <c r="AU12" s="2">
        <f>主翼!L56</f>
        <v>0</v>
      </c>
      <c r="AV12" s="28"/>
      <c r="AW12" s="28"/>
      <c r="AX12" s="28"/>
      <c r="AY12" s="28"/>
      <c r="AZ12" s="1"/>
      <c r="BA12" s="2" t="e">
        <f>IF((AF12-AF11)&gt;0,(AN11+AN12+SQRT(AN11*AN12))*(AF12-AF11)/3*10^-6*#REF!,0)</f>
        <v>#REF!</v>
      </c>
    </row>
    <row r="13" spans="2:53">
      <c r="B13" s="258"/>
      <c r="E13" s="259"/>
      <c r="G13" s="10" t="s">
        <v>654</v>
      </c>
      <c r="H13" s="9">
        <f>H11+K26</f>
        <v>12.2</v>
      </c>
      <c r="I13" s="65"/>
      <c r="J13" s="64"/>
      <c r="K13" s="22"/>
      <c r="L13" s="1"/>
      <c r="M13" s="1"/>
      <c r="N13" s="64"/>
      <c r="O13" s="22"/>
      <c r="P13" s="1"/>
      <c r="Q13" s="1"/>
      <c r="R13" s="64"/>
      <c r="S13" s="22"/>
      <c r="T13" s="1"/>
      <c r="U13" s="1"/>
      <c r="V13" s="64"/>
      <c r="W13" s="22">
        <f>$W$11-$L$26*(H13-$H$11)</f>
        <v>42.1</v>
      </c>
      <c r="X13" s="1">
        <f>$W13*($H$27*($H13-$H$11)+$H$26*($H$13-$H13))/($H$13-$H$11)</f>
        <v>42.1</v>
      </c>
      <c r="Y13" s="1">
        <f t="shared" si="5"/>
        <v>45.628</v>
      </c>
      <c r="Z13" s="1">
        <f t="shared" si="5"/>
        <v>44.451999999999998</v>
      </c>
      <c r="AC13" s="1"/>
      <c r="AD13" s="206">
        <v>6</v>
      </c>
      <c r="AE13" s="104" t="str">
        <f t="shared" si="1"/>
        <v>1</v>
      </c>
      <c r="AF13" s="78">
        <f>VLOOKUP(AD13,主翼!B57:C156,2)</f>
        <v>1.7999999999999998</v>
      </c>
      <c r="AG13" s="79">
        <v>57.15</v>
      </c>
      <c r="AH13" s="79">
        <v>58.350149999999992</v>
      </c>
      <c r="AI13" s="79">
        <v>59.354999999999997</v>
      </c>
      <c r="AJ13" s="79">
        <v>59.526149999999994</v>
      </c>
      <c r="AK13" s="190">
        <v>1211743.2997121168</v>
      </c>
      <c r="AL13" s="190">
        <v>917745.6479444342</v>
      </c>
      <c r="AM13" s="190">
        <v>2031706.4797556757</v>
      </c>
      <c r="AN13" s="191">
        <v>621.29100934949827</v>
      </c>
      <c r="AO13" s="191">
        <v>10786.013039169731</v>
      </c>
      <c r="AP13" s="79">
        <v>368.18282279477393</v>
      </c>
      <c r="AQ13" s="79">
        <v>98.144577856034871</v>
      </c>
      <c r="AR13" s="188">
        <v>13.020628525382756</v>
      </c>
      <c r="AS13" s="26">
        <f t="shared" si="2"/>
        <v>118926.03462012445</v>
      </c>
      <c r="AT13" s="189">
        <f t="shared" si="3"/>
        <v>26454.095345511734</v>
      </c>
      <c r="AU13" s="2">
        <f>主翼!L57</f>
        <v>0</v>
      </c>
      <c r="AV13" s="28"/>
      <c r="AW13" s="28"/>
      <c r="AX13" s="28"/>
      <c r="AY13" s="28"/>
      <c r="AZ13" s="1"/>
      <c r="BA13" s="2" t="e">
        <f>IF((AF13-AF12)&gt;0,(AN12+AN13+SQRT(AN12*AN13))*(AF13-AF12)/3*10^-6*#REF!,0)</f>
        <v>#REF!</v>
      </c>
    </row>
    <row r="14" spans="2:53" ht="21" thickBot="1">
      <c r="B14" s="260"/>
      <c r="C14" s="261"/>
      <c r="D14" s="261"/>
      <c r="E14" s="262"/>
      <c r="G14" s="10" t="s">
        <v>998</v>
      </c>
      <c r="H14" s="9">
        <f>主翼!N13</f>
        <v>12.4</v>
      </c>
      <c r="I14" s="65"/>
      <c r="J14" s="64"/>
      <c r="K14" s="22"/>
      <c r="L14" s="1"/>
      <c r="M14" s="1"/>
      <c r="N14" s="64"/>
      <c r="O14" s="22"/>
      <c r="P14" s="1"/>
      <c r="Q14" s="1"/>
      <c r="R14" s="64"/>
      <c r="S14" s="22"/>
      <c r="T14" s="1"/>
      <c r="U14" s="1"/>
      <c r="V14" s="64"/>
      <c r="W14" s="22"/>
      <c r="X14" s="1"/>
      <c r="Y14" s="1"/>
      <c r="Z14" s="1"/>
      <c r="AC14" s="1"/>
      <c r="AD14" s="206">
        <v>7</v>
      </c>
      <c r="AE14" s="104" t="str">
        <f t="shared" si="1"/>
        <v>1</v>
      </c>
      <c r="AF14" s="78">
        <f>VLOOKUP(AD14,主翼!B58:C157,2)</f>
        <v>1.9999999999999998</v>
      </c>
      <c r="AG14" s="79">
        <v>56.35</v>
      </c>
      <c r="AH14" s="79">
        <v>57.533349999999999</v>
      </c>
      <c r="AI14" s="79">
        <v>58.555</v>
      </c>
      <c r="AJ14" s="79">
        <v>58.709350000000001</v>
      </c>
      <c r="AK14" s="190">
        <v>1162479.3559664472</v>
      </c>
      <c r="AL14" s="190">
        <v>880158.55648699601</v>
      </c>
      <c r="AM14" s="190">
        <v>1948813.6313182258</v>
      </c>
      <c r="AN14" s="191">
        <v>612.7312581753207</v>
      </c>
      <c r="AO14" s="191">
        <v>10490.459158868071</v>
      </c>
      <c r="AP14" s="79">
        <v>363.10311963876757</v>
      </c>
      <c r="AQ14" s="79">
        <v>98.144577856034871</v>
      </c>
      <c r="AR14" s="188">
        <v>13.020628525382756</v>
      </c>
      <c r="AS14" s="26">
        <f t="shared" si="2"/>
        <v>114091.04565768226</v>
      </c>
      <c r="AT14" s="189">
        <f t="shared" si="3"/>
        <v>25374.778358596843</v>
      </c>
      <c r="AU14" s="2">
        <f>主翼!L58</f>
        <v>0</v>
      </c>
      <c r="AV14" s="28"/>
      <c r="AW14" s="28"/>
      <c r="AX14" s="28"/>
      <c r="AY14" s="28"/>
      <c r="AZ14" s="1"/>
      <c r="BA14" s="2" t="e">
        <f>IF((AF14-AF13)&gt;0,(AN13+AN14+SQRT(AN13*AN14))*(AF14-AF13)/3*10^-6*#REF!,0)</f>
        <v>#REF!</v>
      </c>
    </row>
    <row r="15" spans="2:53">
      <c r="AC15" s="1"/>
      <c r="AD15" s="206">
        <v>8</v>
      </c>
      <c r="AE15" s="104" t="str">
        <f t="shared" si="1"/>
        <v>1</v>
      </c>
      <c r="AF15" s="78">
        <f>VLOOKUP(AD15,主翼!B59:C158,2)</f>
        <v>2.1999999999999997</v>
      </c>
      <c r="AG15" s="79">
        <v>55.55</v>
      </c>
      <c r="AH15" s="79">
        <v>56.716549999999991</v>
      </c>
      <c r="AI15" s="79">
        <v>57.754999999999995</v>
      </c>
      <c r="AJ15" s="79">
        <v>57.892549999999993</v>
      </c>
      <c r="AK15" s="190">
        <v>1114569.0696443412</v>
      </c>
      <c r="AL15" s="190">
        <v>843612.00815889717</v>
      </c>
      <c r="AM15" s="190">
        <v>1868206.6282121004</v>
      </c>
      <c r="AN15" s="191">
        <v>604.17150583651051</v>
      </c>
      <c r="AO15" s="191">
        <v>10199.010963173529</v>
      </c>
      <c r="AP15" s="79">
        <v>358.02341798925579</v>
      </c>
      <c r="AQ15" s="79">
        <v>98.144577856034871</v>
      </c>
      <c r="AR15" s="188">
        <v>13.020628525382756</v>
      </c>
      <c r="AS15" s="26">
        <f t="shared" si="2"/>
        <v>109388.9108316374</v>
      </c>
      <c r="AT15" s="189">
        <f t="shared" si="3"/>
        <v>24325.224514607613</v>
      </c>
      <c r="AU15" s="2">
        <f>主翼!L59</f>
        <v>0</v>
      </c>
      <c r="AV15" s="28"/>
      <c r="AW15" s="28"/>
      <c r="AX15" s="28"/>
      <c r="AY15" s="28"/>
      <c r="AZ15" s="1"/>
      <c r="BA15" s="2" t="e">
        <f>IF((AF15-AF14)&gt;0,(AN14+AN15+SQRT(AN14*AN15))*(AF15-AF14)/3*10^-6*#REF!,0)</f>
        <v>#REF!</v>
      </c>
    </row>
    <row r="16" spans="2:53">
      <c r="F16" t="s">
        <v>11</v>
      </c>
      <c r="N16" t="s">
        <v>1142</v>
      </c>
      <c r="AC16" s="1"/>
      <c r="AD16" s="206">
        <v>9</v>
      </c>
      <c r="AE16" s="104" t="str">
        <f t="shared" si="1"/>
        <v>1</v>
      </c>
      <c r="AF16" s="78">
        <f>VLOOKUP(AD16,主翼!B60:C159,2)</f>
        <v>2.4</v>
      </c>
      <c r="AG16" s="79">
        <v>54.75</v>
      </c>
      <c r="AH16" s="79">
        <v>55.899749999999997</v>
      </c>
      <c r="AI16" s="79">
        <v>56.954999999999998</v>
      </c>
      <c r="AJ16" s="79">
        <v>57.075749999999999</v>
      </c>
      <c r="AK16" s="190">
        <v>1067993.5828292524</v>
      </c>
      <c r="AL16" s="190">
        <v>808091.39693825436</v>
      </c>
      <c r="AM16" s="190">
        <v>1789853.511313939</v>
      </c>
      <c r="AN16" s="191">
        <v>595.61175228432967</v>
      </c>
      <c r="AO16" s="191">
        <v>9911.6684520861145</v>
      </c>
      <c r="AP16" s="79">
        <v>352.94371791125519</v>
      </c>
      <c r="AQ16" s="79">
        <v>98.144577856034871</v>
      </c>
      <c r="AR16" s="188">
        <v>13.020628525382756</v>
      </c>
      <c r="AS16" s="26">
        <f t="shared" si="2"/>
        <v>104817.77933973119</v>
      </c>
      <c r="AT16" s="189">
        <f t="shared" si="3"/>
        <v>23305.017685670762</v>
      </c>
      <c r="AU16" s="2">
        <f>主翼!L60</f>
        <v>0</v>
      </c>
      <c r="AV16" s="28"/>
      <c r="AW16" s="28"/>
      <c r="AX16" s="28"/>
      <c r="AY16" s="28"/>
      <c r="AZ16" s="1"/>
      <c r="BA16" s="2" t="e">
        <f>IF((AF16-AF15)&gt;0,(AN15+AN16+SQRT(AN15*AN16))*(AF16-AF15)/3*10^-6*#REF!,0)</f>
        <v>#REF!</v>
      </c>
    </row>
    <row r="17" spans="2:53">
      <c r="F17" s="10" t="s">
        <v>1402</v>
      </c>
      <c r="G17" s="10" t="s">
        <v>869</v>
      </c>
      <c r="H17" s="10" t="s">
        <v>997</v>
      </c>
      <c r="I17" s="10" t="s">
        <v>1003</v>
      </c>
      <c r="J17" s="39" t="s">
        <v>1001</v>
      </c>
      <c r="K17" s="10" t="s">
        <v>1005</v>
      </c>
      <c r="L17" s="10" t="s">
        <v>1243</v>
      </c>
      <c r="N17" s="10" t="s">
        <v>158</v>
      </c>
      <c r="O17" s="10" t="s">
        <v>1141</v>
      </c>
      <c r="P17" s="10" t="s">
        <v>1274</v>
      </c>
      <c r="Q17" s="10" t="s">
        <v>1143</v>
      </c>
      <c r="AC17" s="1"/>
      <c r="AD17" s="206">
        <v>10</v>
      </c>
      <c r="AE17" s="104" t="str">
        <f t="shared" si="1"/>
        <v>1</v>
      </c>
      <c r="AF17" s="78">
        <f>VLOOKUP(AD17,主翼!B61:C160,2)</f>
        <v>2.6</v>
      </c>
      <c r="AG17" s="79">
        <v>53.95</v>
      </c>
      <c r="AH17" s="79">
        <v>55.082949999999997</v>
      </c>
      <c r="AI17" s="79">
        <v>56.155000000000001</v>
      </c>
      <c r="AJ17" s="79">
        <v>56.258949999999999</v>
      </c>
      <c r="AK17" s="190">
        <v>1022734.0376046614</v>
      </c>
      <c r="AL17" s="190">
        <v>773582.11680316308</v>
      </c>
      <c r="AM17" s="190">
        <v>1713722.3215004622</v>
      </c>
      <c r="AN17" s="191">
        <v>587.05199746732058</v>
      </c>
      <c r="AO17" s="191">
        <v>9628.4316256058228</v>
      </c>
      <c r="AP17" s="79">
        <v>347.86401947362458</v>
      </c>
      <c r="AQ17" s="79">
        <v>98.144577856034871</v>
      </c>
      <c r="AR17" s="188">
        <v>13.020628525382756</v>
      </c>
      <c r="AS17" s="26">
        <f t="shared" si="2"/>
        <v>100375.80037970759</v>
      </c>
      <c r="AT17" s="189">
        <f t="shared" si="3"/>
        <v>22313.741743914081</v>
      </c>
      <c r="AU17" s="2">
        <f>主翼!L61</f>
        <v>0</v>
      </c>
      <c r="AV17" s="28"/>
      <c r="AW17" s="28"/>
      <c r="AX17" s="28"/>
      <c r="AY17" s="28"/>
      <c r="AZ17" s="1"/>
      <c r="BA17" s="2" t="e">
        <f>IF((AF17-AF16)&gt;0,(AN16+AN17+SQRT(AN16*AN17))*(AF17-AF16)/3*10^-6*#REF!,0)</f>
        <v>#REF!</v>
      </c>
    </row>
    <row r="18" spans="2:53">
      <c r="B18" s="30" t="s">
        <v>593</v>
      </c>
      <c r="C18" s="30"/>
      <c r="D18" s="30" t="s">
        <v>477</v>
      </c>
      <c r="F18" s="1" t="s">
        <v>45</v>
      </c>
      <c r="G18" s="1" t="s">
        <v>45</v>
      </c>
      <c r="H18" s="1" t="s">
        <v>46</v>
      </c>
      <c r="I18" s="1" t="s">
        <v>999</v>
      </c>
      <c r="J18" s="64" t="s">
        <v>1000</v>
      </c>
      <c r="K18" s="1" t="s">
        <v>475</v>
      </c>
      <c r="L18" s="1" t="s">
        <v>602</v>
      </c>
      <c r="N18" s="1" t="s">
        <v>46</v>
      </c>
      <c r="O18" s="1" t="s">
        <v>475</v>
      </c>
      <c r="P18" s="1" t="s">
        <v>475</v>
      </c>
      <c r="Q18" s="1" t="s">
        <v>45</v>
      </c>
      <c r="U18" t="s">
        <v>23</v>
      </c>
      <c r="Y18" t="s">
        <v>20</v>
      </c>
      <c r="AC18" s="1"/>
      <c r="AD18" s="206">
        <v>11</v>
      </c>
      <c r="AE18" s="104" t="str">
        <f t="shared" si="1"/>
        <v>1</v>
      </c>
      <c r="AF18" s="78">
        <f>VLOOKUP(AD18,主翼!B62:C161,2)</f>
        <v>2.8000000000000003</v>
      </c>
      <c r="AG18" s="79">
        <v>53.15</v>
      </c>
      <c r="AH18" s="79">
        <v>54.266149999999996</v>
      </c>
      <c r="AI18" s="79">
        <v>55.354999999999997</v>
      </c>
      <c r="AJ18" s="79">
        <v>55.442149999999998</v>
      </c>
      <c r="AK18" s="190">
        <v>978771.57605400798</v>
      </c>
      <c r="AL18" s="190">
        <v>740069.56173170707</v>
      </c>
      <c r="AM18" s="190">
        <v>1639781.0996483155</v>
      </c>
      <c r="AN18" s="191">
        <v>578.49224133104019</v>
      </c>
      <c r="AO18" s="191">
        <v>9349.3004837326534</v>
      </c>
      <c r="AP18" s="79">
        <v>342.78432274926791</v>
      </c>
      <c r="AQ18" s="79">
        <v>98.144577856034871</v>
      </c>
      <c r="AR18" s="188">
        <v>13.020628525382756</v>
      </c>
      <c r="AS18" s="26">
        <f t="shared" si="2"/>
        <v>96061.123149306542</v>
      </c>
      <c r="AT18" s="189">
        <f t="shared" si="3"/>
        <v>21350.980561464363</v>
      </c>
      <c r="AU18" s="2">
        <f>主翼!L62</f>
        <v>0</v>
      </c>
      <c r="AV18" s="28"/>
      <c r="AW18" s="28"/>
      <c r="AX18" s="28"/>
      <c r="AY18" s="28"/>
      <c r="AZ18" s="1"/>
      <c r="BA18" s="2" t="e">
        <f>IF((AF18-AF17)&gt;0,(AN17+AN18+SQRT(AN17*AN18))*(AF18-AF17)/3*10^-6*#REF!,0)</f>
        <v>#REF!</v>
      </c>
    </row>
    <row r="19" spans="2:53" ht="21" thickBot="1">
      <c r="B19" s="30" t="s">
        <v>1403</v>
      </c>
      <c r="C19" s="30"/>
      <c r="D19" s="30" t="s">
        <v>5</v>
      </c>
      <c r="F19" s="19" t="s">
        <v>45</v>
      </c>
      <c r="G19" s="19" t="s">
        <v>45</v>
      </c>
      <c r="H19" s="19" t="s">
        <v>45</v>
      </c>
      <c r="I19" s="19" t="s">
        <v>996</v>
      </c>
      <c r="J19" s="221" t="s">
        <v>996</v>
      </c>
      <c r="K19" s="19" t="s">
        <v>5</v>
      </c>
      <c r="L19" s="19" t="s">
        <v>1004</v>
      </c>
      <c r="N19" s="19" t="s">
        <v>46</v>
      </c>
      <c r="O19" s="19" t="s">
        <v>5</v>
      </c>
      <c r="P19" s="19" t="s">
        <v>5</v>
      </c>
      <c r="Q19" s="19" t="s">
        <v>45</v>
      </c>
      <c r="U19">
        <v>0</v>
      </c>
      <c r="V19">
        <v>1</v>
      </c>
      <c r="W19">
        <v>2</v>
      </c>
      <c r="X19">
        <v>3</v>
      </c>
      <c r="Y19">
        <v>0</v>
      </c>
      <c r="Z19">
        <v>1</v>
      </c>
      <c r="AA19">
        <v>2</v>
      </c>
      <c r="AB19">
        <v>3</v>
      </c>
      <c r="AC19" s="1"/>
      <c r="AD19" s="206">
        <v>12</v>
      </c>
      <c r="AE19" s="104" t="str">
        <f t="shared" si="1"/>
        <v>1</v>
      </c>
      <c r="AF19" s="78">
        <f>VLOOKUP(AD19,主翼!B63:C162,2)</f>
        <v>3.0000000000000004</v>
      </c>
      <c r="AG19" s="79">
        <v>52.349999999999994</v>
      </c>
      <c r="AH19" s="79">
        <v>53.449349999999988</v>
      </c>
      <c r="AI19" s="79">
        <v>54.554999999999993</v>
      </c>
      <c r="AJ19" s="79">
        <v>54.62534999999999</v>
      </c>
      <c r="AK19" s="190">
        <v>936087.34026076109</v>
      </c>
      <c r="AL19" s="190">
        <v>707539.12570196204</v>
      </c>
      <c r="AM19" s="190">
        <v>1567997.8866341789</v>
      </c>
      <c r="AN19" s="191">
        <v>569.93248381788874</v>
      </c>
      <c r="AO19" s="191">
        <v>9074.2750264666047</v>
      </c>
      <c r="AP19" s="79">
        <v>337.7046278154935</v>
      </c>
      <c r="AQ19" s="79">
        <v>98.144577856034871</v>
      </c>
      <c r="AR19" s="188">
        <v>13.020628525382756</v>
      </c>
      <c r="AS19" s="26">
        <f t="shared" si="2"/>
        <v>91871.896846270873</v>
      </c>
      <c r="AT19" s="189">
        <f t="shared" si="3"/>
        <v>20416.318010448867</v>
      </c>
      <c r="AU19" s="2">
        <f>主翼!L63</f>
        <v>0</v>
      </c>
      <c r="AV19" s="28"/>
      <c r="AW19" s="28"/>
      <c r="AX19" s="28"/>
      <c r="AY19" s="28"/>
      <c r="AZ19" s="1"/>
      <c r="BA19" s="2" t="e">
        <f>IF((AF19-AF18)&gt;0,(AN18+AN19+SQRT(AN18*AN19))*(AF19-AF18)/3*10^-6*#REF!,0)</f>
        <v>#REF!</v>
      </c>
    </row>
    <row r="20" spans="2:53" ht="21" thickTop="1">
      <c r="B20" s="30" t="s">
        <v>1404</v>
      </c>
      <c r="C20" s="30"/>
      <c r="D20" s="30" t="s">
        <v>315</v>
      </c>
      <c r="F20" s="278" t="s">
        <v>504</v>
      </c>
      <c r="G20" s="182" t="s">
        <v>511</v>
      </c>
      <c r="H20" s="45">
        <v>1</v>
      </c>
      <c r="I20" s="24">
        <f>VLOOKUP(主桁!$G20,積層構成!$B$7:$M$29,7)</f>
        <v>1.6950000000000001</v>
      </c>
      <c r="J20" s="228">
        <f>VLOOKUP(主桁!$G20,積層構成!$B$7:$M$29,8)</f>
        <v>1.6950000000000001</v>
      </c>
      <c r="K20" s="235">
        <v>3.5</v>
      </c>
      <c r="L20" s="45">
        <v>0</v>
      </c>
      <c r="N20" s="46" t="s">
        <v>1271</v>
      </c>
      <c r="O20" s="45">
        <v>0.35</v>
      </c>
      <c r="P20" s="45">
        <v>0.5</v>
      </c>
      <c r="Q20" s="182">
        <v>2</v>
      </c>
      <c r="T20" t="s">
        <v>1420</v>
      </c>
      <c r="U20">
        <f>SLOPE(M6:M8,H6:H8)</f>
        <v>0</v>
      </c>
      <c r="V20">
        <f>SLOPE(Q7:Q10,H7:H10)</f>
        <v>-8.0000000000000018</v>
      </c>
      <c r="W20">
        <f>SLOPE(U9:U12,H9:H12)</f>
        <v>-8.0000000000000018</v>
      </c>
      <c r="X20">
        <f>SLOPE(Y11:Y13,$H$11:$H$13)</f>
        <v>-8.5</v>
      </c>
      <c r="Y20">
        <f>SLOPE(N6:N8,H6:H8)</f>
        <v>0</v>
      </c>
      <c r="Z20">
        <f>SLOPE(R7:R10,H7:H10)</f>
        <v>-8.1679999999999975</v>
      </c>
      <c r="AA20">
        <f>SLOPE(V9:V12,H9:H12)</f>
        <v>-8.1199999999999992</v>
      </c>
      <c r="AB20">
        <f>SLOPE(Z11:Z13,$H$11:$H$13)</f>
        <v>-8.5</v>
      </c>
      <c r="AC20" s="1"/>
      <c r="AD20" s="206">
        <v>13</v>
      </c>
      <c r="AE20" s="104" t="str">
        <f t="shared" si="1"/>
        <v>1</v>
      </c>
      <c r="AF20" s="78">
        <f>VLOOKUP(AD20,主翼!B64:C163,2)</f>
        <v>3.2000000000000006</v>
      </c>
      <c r="AG20" s="79">
        <v>51.55</v>
      </c>
      <c r="AH20" s="79">
        <v>52.632549999999995</v>
      </c>
      <c r="AI20" s="79">
        <v>53.754999999999995</v>
      </c>
      <c r="AJ20" s="79">
        <v>53.808549999999997</v>
      </c>
      <c r="AK20" s="190">
        <v>894662.47230836505</v>
      </c>
      <c r="AL20" s="190">
        <v>675976.20269203256</v>
      </c>
      <c r="AM20" s="190">
        <v>1498340.7233347527</v>
      </c>
      <c r="AN20" s="191">
        <v>561.37272486687107</v>
      </c>
      <c r="AO20" s="191">
        <v>8803.3552538076838</v>
      </c>
      <c r="AP20" s="79">
        <v>332.62493475432638</v>
      </c>
      <c r="AQ20" s="79">
        <v>98.144577856034871</v>
      </c>
      <c r="AR20" s="188">
        <v>13.020628525382756</v>
      </c>
      <c r="AS20" s="26">
        <f t="shared" si="2"/>
        <v>87806.270668340978</v>
      </c>
      <c r="AT20" s="189">
        <f t="shared" si="3"/>
        <v>19509.337962995112</v>
      </c>
      <c r="AU20" s="2">
        <f>主翼!L64</f>
        <v>0</v>
      </c>
      <c r="AV20" s="28"/>
      <c r="AW20" s="28"/>
      <c r="AX20" s="28"/>
      <c r="AY20" s="28"/>
      <c r="AZ20" s="1"/>
      <c r="BA20" s="2" t="e">
        <f>IF((AF20-AF19)&gt;0,(AN19+AN20+SQRT(AN19*AN20))*(AF20-AF19)/3*10^-6*#REF!,0)</f>
        <v>#REF!</v>
      </c>
    </row>
    <row r="21" spans="2:53" ht="21" thickBot="1">
      <c r="B21" s="30" t="s">
        <v>1405</v>
      </c>
      <c r="C21" s="30"/>
      <c r="D21" s="30" t="s">
        <v>488</v>
      </c>
      <c r="F21" s="277"/>
      <c r="G21" s="183" t="s">
        <v>970</v>
      </c>
      <c r="H21" s="184">
        <v>1</v>
      </c>
      <c r="I21" s="185">
        <f>VLOOKUP(主桁!$G21,積層構成!$B$7:$M$29,7)</f>
        <v>1.6950000000000001</v>
      </c>
      <c r="J21" s="231">
        <f>VLOOKUP(主桁!$G21,積層構成!$B$7:$M$29,8)</f>
        <v>1.6950000000000001</v>
      </c>
      <c r="K21" s="232"/>
      <c r="L21" s="230"/>
      <c r="N21" s="251" t="s">
        <v>1272</v>
      </c>
      <c r="O21" s="21">
        <v>0.3</v>
      </c>
      <c r="P21" s="21">
        <v>0.5</v>
      </c>
      <c r="Q21" s="27">
        <v>2</v>
      </c>
      <c r="T21" t="s">
        <v>1419</v>
      </c>
      <c r="U21">
        <f>INTERCEPT(M6:M8,H6:H8)</f>
        <v>113.39</v>
      </c>
      <c r="V21">
        <f>INTERCEPT(Q7:Q10,H7:H10)</f>
        <v>133.10999999999999</v>
      </c>
      <c r="W21">
        <f>INTERCEPT(U9:U12,H9:H12)</f>
        <v>140.69800000000001</v>
      </c>
      <c r="X21">
        <f>INTERCEPT(Y11:Y13,$H$11:$H$13)</f>
        <v>149.32799999999997</v>
      </c>
      <c r="Y21">
        <f>INTERCEPT(N6:N8,H6:H8)</f>
        <v>113.39</v>
      </c>
      <c r="Z21">
        <f>INTERCEPT(R7:R10,H7:H10)</f>
        <v>133.75469999999999</v>
      </c>
      <c r="AA21">
        <f>INTERCEPT(V9:V12,H9:H12)</f>
        <v>140.67549999999997</v>
      </c>
      <c r="AB21">
        <f>INTERCEPT(Z11:Z13,$H$11:$H$13)</f>
        <v>148.15199999999999</v>
      </c>
      <c r="AC21" s="1"/>
      <c r="AD21" s="206">
        <v>14</v>
      </c>
      <c r="AE21" s="104" t="str">
        <f t="shared" si="1"/>
        <v>1</v>
      </c>
      <c r="AF21" s="78">
        <f>VLOOKUP(AD21,主翼!B65:C164,2)</f>
        <v>3.4000000000000008</v>
      </c>
      <c r="AG21" s="79">
        <v>50.75</v>
      </c>
      <c r="AH21" s="79">
        <v>51.815749999999994</v>
      </c>
      <c r="AI21" s="79">
        <v>52.954999999999998</v>
      </c>
      <c r="AJ21" s="79">
        <v>52.991749999999996</v>
      </c>
      <c r="AK21" s="190">
        <v>854478.11428028019</v>
      </c>
      <c r="AL21" s="190">
        <v>645366.18667999993</v>
      </c>
      <c r="AM21" s="190">
        <v>1430777.6506266897</v>
      </c>
      <c r="AN21" s="191">
        <v>552.81296441332825</v>
      </c>
      <c r="AO21" s="191">
        <v>8536.5411657558852</v>
      </c>
      <c r="AP21" s="79">
        <v>327.54524365288643</v>
      </c>
      <c r="AQ21" s="79">
        <v>98.144577856034871</v>
      </c>
      <c r="AR21" s="188">
        <v>13.020628525382756</v>
      </c>
      <c r="AS21" s="26">
        <f t="shared" si="2"/>
        <v>83862.393813258823</v>
      </c>
      <c r="AT21" s="189">
        <f t="shared" si="3"/>
        <v>18629.624291229997</v>
      </c>
      <c r="AU21" s="2">
        <f>主翼!L65</f>
        <v>0</v>
      </c>
      <c r="AV21" s="28"/>
      <c r="AW21" s="28"/>
      <c r="AX21" s="28"/>
      <c r="AY21" s="28"/>
      <c r="AZ21" s="1"/>
      <c r="BA21" s="2" t="e">
        <f>IF((AF21-AF20)&gt;0,(AN20+AN21+SQRT(AN20*AN21))*(AF21-AF20)/3*10^-6*#REF!,0)</f>
        <v>#REF!</v>
      </c>
    </row>
    <row r="22" spans="2:53" ht="21" thickTop="1">
      <c r="F22" s="278" t="s">
        <v>505</v>
      </c>
      <c r="G22" s="182" t="s">
        <v>913</v>
      </c>
      <c r="H22" s="45">
        <v>1.0209999999999999</v>
      </c>
      <c r="I22" s="24">
        <f>VLOOKUP(主桁!$G22,積層構成!$B$7:$M$29,7)</f>
        <v>2.2050000000000001</v>
      </c>
      <c r="J22" s="228">
        <f>VLOOKUP(主桁!$G22,積層構成!$B$7:$M$29,8)</f>
        <v>1.1759999999999999</v>
      </c>
      <c r="K22" s="5">
        <v>3.8</v>
      </c>
      <c r="L22" s="4">
        <v>8</v>
      </c>
      <c r="N22" s="251" t="s">
        <v>1273</v>
      </c>
      <c r="O22" s="21">
        <v>0.3</v>
      </c>
      <c r="P22" s="21">
        <v>0.5</v>
      </c>
      <c r="Q22" s="27">
        <v>2</v>
      </c>
      <c r="AC22" s="1"/>
      <c r="AD22" s="206">
        <v>15</v>
      </c>
      <c r="AE22" s="104" t="str">
        <f t="shared" si="1"/>
        <v>1</v>
      </c>
      <c r="AF22" s="78">
        <f>VLOOKUP(AD22,主翼!B66:C165,2)</f>
        <v>3.600000000000001</v>
      </c>
      <c r="AG22" s="79">
        <v>49.949999999999996</v>
      </c>
      <c r="AH22" s="79">
        <v>50.998949999999994</v>
      </c>
      <c r="AI22" s="79">
        <v>52.154999999999994</v>
      </c>
      <c r="AJ22" s="79">
        <v>52.174949999999995</v>
      </c>
      <c r="AK22" s="190">
        <v>815515.40825995337</v>
      </c>
      <c r="AL22" s="190">
        <v>615694.47164392041</v>
      </c>
      <c r="AM22" s="190">
        <v>1365276.709386691</v>
      </c>
      <c r="AN22" s="191">
        <v>544.25320238868721</v>
      </c>
      <c r="AO22" s="191">
        <v>8273.8327623112091</v>
      </c>
      <c r="AP22" s="79">
        <v>322.46555460376749</v>
      </c>
      <c r="AQ22" s="79">
        <v>98.144577856034871</v>
      </c>
      <c r="AR22" s="188">
        <v>13.020628525382756</v>
      </c>
      <c r="AS22" s="26">
        <f t="shared" si="2"/>
        <v>80038.415478765062</v>
      </c>
      <c r="AT22" s="189">
        <f t="shared" si="3"/>
        <v>17776.760867281053</v>
      </c>
      <c r="AU22" s="2">
        <f>主翼!L66</f>
        <v>0</v>
      </c>
      <c r="AV22" s="28"/>
      <c r="AW22" s="28"/>
      <c r="AX22" s="28"/>
      <c r="AY22" s="28"/>
      <c r="AZ22" s="1"/>
      <c r="BA22" s="2" t="e">
        <f>IF((AF22-AF21)&gt;0,(AN21+AN22+SQRT(AN21*AN22))*(AF22-AF21)/3*10^-6*#REF!,0)</f>
        <v>#REF!</v>
      </c>
    </row>
    <row r="23" spans="2:53" ht="21" thickBot="1">
      <c r="F23" s="277"/>
      <c r="G23" s="183" t="s">
        <v>913</v>
      </c>
      <c r="H23" s="184">
        <v>1.0209999999999999</v>
      </c>
      <c r="I23" s="185">
        <f>VLOOKUP(主桁!$G23,積層構成!$B$7:$M$29,7)</f>
        <v>2.2050000000000001</v>
      </c>
      <c r="J23" s="231">
        <f>VLOOKUP(主桁!$G23,積層構成!$B$7:$M$29,8)</f>
        <v>1.1759999999999999</v>
      </c>
      <c r="K23" s="232"/>
      <c r="L23" s="230"/>
      <c r="AC23" s="1"/>
      <c r="AD23" s="206">
        <v>16</v>
      </c>
      <c r="AE23" s="104" t="str">
        <f t="shared" si="1"/>
        <v>1</v>
      </c>
      <c r="AF23" s="78">
        <f>VLOOKUP(AD23,主翼!B67:C166,2)</f>
        <v>3.8000000000000012</v>
      </c>
      <c r="AG23" s="79">
        <v>49.149999999999991</v>
      </c>
      <c r="AH23" s="79">
        <v>50.182149999999986</v>
      </c>
      <c r="AI23" s="79">
        <v>51.35499999999999</v>
      </c>
      <c r="AJ23" s="79">
        <v>51.358149999999988</v>
      </c>
      <c r="AK23" s="190">
        <v>777755.49633082643</v>
      </c>
      <c r="AL23" s="190">
        <v>586946.45156191336</v>
      </c>
      <c r="AM23" s="190">
        <v>1301805.9404914088</v>
      </c>
      <c r="AN23" s="191">
        <v>535.69343872010734</v>
      </c>
      <c r="AO23" s="191">
        <v>8015.2300434736553</v>
      </c>
      <c r="AP23" s="79">
        <v>317.38586770550478</v>
      </c>
      <c r="AQ23" s="79">
        <v>98.144577856034871</v>
      </c>
      <c r="AR23" s="188">
        <v>13.020628525382756</v>
      </c>
      <c r="AS23" s="26">
        <f t="shared" si="2"/>
        <v>76332.484862599842</v>
      </c>
      <c r="AT23" s="189">
        <f t="shared" si="3"/>
        <v>16950.331563275166</v>
      </c>
      <c r="AU23" s="2">
        <f>主翼!L67</f>
        <v>0</v>
      </c>
      <c r="AV23" s="28"/>
      <c r="AW23" s="28"/>
      <c r="AX23" s="28"/>
      <c r="AY23" s="28"/>
      <c r="AZ23" s="1"/>
      <c r="BA23" s="2" t="e">
        <f>IF((AF23-AF22)&gt;0,(AN22+AN23+SQRT(AN22*AN23))*(AF23-AF22)/3*10^-6*#REF!,0)</f>
        <v>#REF!</v>
      </c>
    </row>
    <row r="24" spans="2:53" ht="21" thickTop="1">
      <c r="F24" s="278" t="s">
        <v>506</v>
      </c>
      <c r="G24" s="182" t="s">
        <v>985</v>
      </c>
      <c r="H24" s="45">
        <v>1.0149999999999999</v>
      </c>
      <c r="I24" s="24">
        <f>VLOOKUP(主桁!$G24,積層構成!$B$7:$M$29,7)</f>
        <v>2.4989999999999997</v>
      </c>
      <c r="J24" s="228">
        <f>VLOOKUP(主桁!$G24,積層構成!$B$7:$M$29,8)</f>
        <v>1.47</v>
      </c>
      <c r="K24" s="5">
        <v>3.8</v>
      </c>
      <c r="L24" s="4">
        <v>8</v>
      </c>
      <c r="N24" t="s">
        <v>1289</v>
      </c>
      <c r="AC24" s="1"/>
      <c r="AD24" s="206">
        <v>17</v>
      </c>
      <c r="AE24" s="104" t="str">
        <f t="shared" si="1"/>
        <v>1</v>
      </c>
      <c r="AF24" s="78">
        <f>VLOOKUP(AD24,主翼!B68:C167,2)</f>
        <v>4.0000000000000009</v>
      </c>
      <c r="AG24" s="79">
        <v>48.349999999999994</v>
      </c>
      <c r="AH24" s="79">
        <v>49.365349999999992</v>
      </c>
      <c r="AI24" s="79">
        <v>50.554999999999993</v>
      </c>
      <c r="AJ24" s="79">
        <v>50.541349999999994</v>
      </c>
      <c r="AK24" s="190">
        <v>741179.52057635342</v>
      </c>
      <c r="AL24" s="190">
        <v>559107.52041201096</v>
      </c>
      <c r="AM24" s="190">
        <v>1240333.3848175448</v>
      </c>
      <c r="AN24" s="191">
        <v>527.13367333020426</v>
      </c>
      <c r="AO24" s="191">
        <v>7760.7330092432285</v>
      </c>
      <c r="AP24" s="79">
        <v>312.30618306303074</v>
      </c>
      <c r="AQ24" s="79">
        <v>98.144577856034871</v>
      </c>
      <c r="AR24" s="188">
        <v>13.020628525382756</v>
      </c>
      <c r="AS24" s="26">
        <f t="shared" si="2"/>
        <v>72742.75116250453</v>
      </c>
      <c r="AT24" s="189">
        <f t="shared" si="3"/>
        <v>16149.920251339872</v>
      </c>
      <c r="AU24" s="2">
        <f>主翼!L68</f>
        <v>0</v>
      </c>
      <c r="AV24" s="28"/>
      <c r="AW24" s="28"/>
      <c r="AX24" s="28"/>
      <c r="AY24" s="28"/>
      <c r="AZ24" s="1"/>
      <c r="BA24" s="2" t="e">
        <f>IF((AF24-AF23)&gt;0,(AN23+AN24+SQRT(AN23*AN24))*(AF24-AF23)/3*10^-6*#REF!,0)</f>
        <v>#REF!</v>
      </c>
    </row>
    <row r="25" spans="2:53" ht="21" thickBot="1">
      <c r="F25" s="277"/>
      <c r="G25" s="183" t="s">
        <v>985</v>
      </c>
      <c r="H25" s="184">
        <v>1.0149999999999999</v>
      </c>
      <c r="I25" s="185">
        <f>VLOOKUP(主桁!$G25,積層構成!$B$7:$M$29,7)</f>
        <v>2.4989999999999997</v>
      </c>
      <c r="J25" s="231">
        <f>VLOOKUP(主桁!$G25,積層構成!$B$7:$M$29,8)</f>
        <v>1.47</v>
      </c>
      <c r="K25" s="232"/>
      <c r="L25" s="230"/>
      <c r="N25" s="1" t="s">
        <v>889</v>
      </c>
      <c r="O25" s="21">
        <v>10</v>
      </c>
      <c r="P25" s="1" t="s">
        <v>789</v>
      </c>
      <c r="AC25" s="1"/>
      <c r="AD25" s="206">
        <v>18</v>
      </c>
      <c r="AE25" s="104" t="str">
        <f t="shared" si="1"/>
        <v>1</v>
      </c>
      <c r="AF25" s="78">
        <f>VLOOKUP(AD25,主翼!B69:C168,2)</f>
        <v>4.2000000000000011</v>
      </c>
      <c r="AG25" s="79">
        <v>47.55</v>
      </c>
      <c r="AH25" s="79">
        <v>48.548549999999992</v>
      </c>
      <c r="AI25" s="79">
        <v>49.754999999999995</v>
      </c>
      <c r="AJ25" s="79">
        <v>49.724549999999994</v>
      </c>
      <c r="AK25" s="190">
        <v>705768.62307997711</v>
      </c>
      <c r="AL25" s="190">
        <v>532163.07217230392</v>
      </c>
      <c r="AM25" s="190">
        <v>1180827.0832417463</v>
      </c>
      <c r="AN25" s="191">
        <v>518.57390613666166</v>
      </c>
      <c r="AO25" s="191">
        <v>7510.3416596199231</v>
      </c>
      <c r="AP25" s="79">
        <v>307.22650078823483</v>
      </c>
      <c r="AQ25" s="79">
        <v>98.144577856034871</v>
      </c>
      <c r="AR25" s="188">
        <v>13.020628525382756</v>
      </c>
      <c r="AS25" s="26">
        <f t="shared" si="2"/>
        <v>69267.363576219344</v>
      </c>
      <c r="AT25" s="189">
        <f t="shared" si="3"/>
        <v>15375.110803602001</v>
      </c>
      <c r="AU25" s="2">
        <f>主翼!L69</f>
        <v>0</v>
      </c>
      <c r="AV25" s="28"/>
      <c r="AW25" s="28"/>
      <c r="AX25" s="28"/>
      <c r="AY25" s="28"/>
      <c r="AZ25" s="1"/>
      <c r="BA25" s="2" t="e">
        <f>IF((AF25-AF24)&gt;0,(AN24+AN25+SQRT(AN24*AN25))*(AF25-AF24)/3*10^-6*#REF!,0)</f>
        <v>#REF!</v>
      </c>
    </row>
    <row r="26" spans="2:53" ht="21" thickTop="1">
      <c r="F26" s="278" t="s">
        <v>507</v>
      </c>
      <c r="G26" s="126" t="s">
        <v>988</v>
      </c>
      <c r="H26" s="4">
        <v>1</v>
      </c>
      <c r="I26" s="2">
        <f>VLOOKUP(主桁!$G26,積層構成!$B$7:$M$29,7)</f>
        <v>1.7639999999999998</v>
      </c>
      <c r="J26" s="222">
        <f>VLOOKUP(主桁!$G26,積層構成!$B$7:$M$29,8)</f>
        <v>1.1759999999999999</v>
      </c>
      <c r="K26" s="5">
        <v>3.8</v>
      </c>
      <c r="L26" s="4">
        <v>8.5</v>
      </c>
      <c r="N26" s="1" t="s">
        <v>890</v>
      </c>
      <c r="O26" s="21">
        <v>10</v>
      </c>
      <c r="P26" s="1" t="s">
        <v>789</v>
      </c>
      <c r="AC26" s="1"/>
      <c r="AD26" s="206">
        <v>19</v>
      </c>
      <c r="AE26" s="104" t="str">
        <f t="shared" si="1"/>
        <v>1</v>
      </c>
      <c r="AF26" s="78">
        <f>VLOOKUP(AD26,主翼!B70:C169,2)</f>
        <v>4.4000000000000012</v>
      </c>
      <c r="AG26" s="79">
        <v>46.749999999999993</v>
      </c>
      <c r="AH26" s="79">
        <v>47.731749999999991</v>
      </c>
      <c r="AI26" s="79">
        <v>48.954999999999991</v>
      </c>
      <c r="AJ26" s="79">
        <v>48.907749999999993</v>
      </c>
      <c r="AK26" s="190">
        <v>671503.94592512609</v>
      </c>
      <c r="AL26" s="190">
        <v>506098.50082082849</v>
      </c>
      <c r="AM26" s="190">
        <v>1123255.0766407165</v>
      </c>
      <c r="AN26" s="191">
        <v>510.01413705181182</v>
      </c>
      <c r="AO26" s="191">
        <v>7264.0559946037401</v>
      </c>
      <c r="AP26" s="79">
        <v>302.14682100051664</v>
      </c>
      <c r="AQ26" s="79">
        <v>98.144577856034871</v>
      </c>
      <c r="AR26" s="188">
        <v>13.020628525382756</v>
      </c>
      <c r="AS26" s="26">
        <f t="shared" si="2"/>
        <v>65904.471301483165</v>
      </c>
      <c r="AT26" s="189">
        <f t="shared" si="3"/>
        <v>14625.487092189107</v>
      </c>
      <c r="AU26" s="2">
        <f>主翼!L70</f>
        <v>0</v>
      </c>
      <c r="AV26" s="28"/>
      <c r="AW26" s="28"/>
      <c r="AX26" s="28"/>
      <c r="AY26" s="28"/>
      <c r="AZ26" s="1"/>
      <c r="BA26" s="2" t="e">
        <f>IF((AF26-AF25)&gt;0,(AN25+AN26+SQRT(AN25*AN26))*(AF26-AF25)/3*10^-6*#REF!,0)</f>
        <v>#REF!</v>
      </c>
    </row>
    <row r="27" spans="2:53">
      <c r="F27" s="46"/>
      <c r="G27" s="126" t="s">
        <v>988</v>
      </c>
      <c r="H27" s="4">
        <v>1</v>
      </c>
      <c r="I27" s="2">
        <f>VLOOKUP(主桁!$G27,積層構成!$B$7:$M$29,7)</f>
        <v>1.7639999999999998</v>
      </c>
      <c r="J27" s="222">
        <f>VLOOKUP(主桁!$G27,積層構成!$B$7:$M$29,8)</f>
        <v>1.1759999999999999</v>
      </c>
      <c r="N27" s="1" t="s">
        <v>891</v>
      </c>
      <c r="O27" s="27">
        <v>1000</v>
      </c>
      <c r="P27" s="1" t="s">
        <v>789</v>
      </c>
      <c r="AC27" s="1"/>
      <c r="AD27" s="206">
        <v>20</v>
      </c>
      <c r="AE27" s="104" t="str">
        <f t="shared" si="1"/>
        <v>1</v>
      </c>
      <c r="AF27" s="78">
        <f>VLOOKUP(AD27,主翼!B71:C170,2)</f>
        <v>4.6000000000000014</v>
      </c>
      <c r="AG27" s="79">
        <v>45.949999999999996</v>
      </c>
      <c r="AH27" s="79">
        <v>46.91494999999999</v>
      </c>
      <c r="AI27" s="79">
        <v>48.154999999999994</v>
      </c>
      <c r="AJ27" s="79">
        <v>48.090949999999992</v>
      </c>
      <c r="AK27" s="190">
        <v>638366.6311952516</v>
      </c>
      <c r="AL27" s="190">
        <v>480899.20033566101</v>
      </c>
      <c r="AM27" s="190">
        <v>1067585.4058910895</v>
      </c>
      <c r="AN27" s="191">
        <v>501.45436598225274</v>
      </c>
      <c r="AO27" s="191">
        <v>7021.8760141946823</v>
      </c>
      <c r="AP27" s="79">
        <v>297.06714382743826</v>
      </c>
      <c r="AQ27" s="79">
        <v>98.144577856034871</v>
      </c>
      <c r="AR27" s="188">
        <v>13.020628525382756</v>
      </c>
      <c r="AS27" s="26">
        <f t="shared" si="2"/>
        <v>62652.223536037076</v>
      </c>
      <c r="AT27" s="189">
        <f t="shared" si="3"/>
        <v>13900.632989227848</v>
      </c>
      <c r="AU27" s="2">
        <f>主翼!L71</f>
        <v>0</v>
      </c>
      <c r="AV27" s="28"/>
      <c r="AW27" s="28"/>
      <c r="AX27" s="28"/>
      <c r="AY27" s="28"/>
      <c r="AZ27" s="1"/>
      <c r="BA27" s="2" t="e">
        <f>IF((AF27-AF26)&gt;0,(AN26+AN27+SQRT(AN26*AN27))*(AF27-AF26)/3*10^-6*#REF!,0)</f>
        <v>#REF!</v>
      </c>
    </row>
    <row r="28" spans="2:53">
      <c r="AC28" s="1"/>
      <c r="AD28" s="206">
        <v>21</v>
      </c>
      <c r="AE28" s="104" t="str">
        <f t="shared" si="1"/>
        <v>1</v>
      </c>
      <c r="AF28" s="78">
        <f>VLOOKUP(AD28,主翼!B72:C171,2)</f>
        <v>4.7500000000000018</v>
      </c>
      <c r="AG28" s="79">
        <v>45.349999999999994</v>
      </c>
      <c r="AH28" s="79">
        <v>46.30234999999999</v>
      </c>
      <c r="AI28" s="79">
        <v>47.554999999999993</v>
      </c>
      <c r="AJ28" s="79">
        <v>47.478349999999992</v>
      </c>
      <c r="AK28" s="190">
        <v>614242.13252379408</v>
      </c>
      <c r="AL28" s="190">
        <v>462558.77254271222</v>
      </c>
      <c r="AM28" s="190">
        <v>1027062.3353212699</v>
      </c>
      <c r="AN28" s="191">
        <v>495.03453631789654</v>
      </c>
      <c r="AO28" s="191">
        <v>6842.9353844113139</v>
      </c>
      <c r="AP28" s="79">
        <v>293.2573877452179</v>
      </c>
      <c r="AQ28" s="79">
        <v>98.144577856034871</v>
      </c>
      <c r="AR28" s="188">
        <v>13.020628525382756</v>
      </c>
      <c r="AS28" s="26">
        <f t="shared" si="2"/>
        <v>60284.534797938402</v>
      </c>
      <c r="AT28" s="189">
        <f t="shared" si="3"/>
        <v>13372.997140630358</v>
      </c>
      <c r="AU28" s="2">
        <f>主翼!L72</f>
        <v>0</v>
      </c>
      <c r="AV28" s="28"/>
      <c r="AW28" s="28"/>
      <c r="AX28" s="28"/>
      <c r="AY28" s="28"/>
      <c r="AZ28" s="1"/>
      <c r="BA28" s="2" t="e">
        <f>IF((AF28-AF27)&gt;0,(AN27+AN28+SQRT(AN27*AN28))*(AF28-AF27)/3*10^-6*#REF!,0)</f>
        <v>#REF!</v>
      </c>
    </row>
    <row r="29" spans="2:53">
      <c r="AC29" s="1"/>
      <c r="AD29" s="206">
        <v>22</v>
      </c>
      <c r="AE29" s="104" t="str">
        <f t="shared" si="1"/>
        <v>1-2接合</v>
      </c>
      <c r="AF29" s="78">
        <f>VLOOKUP(AD29,主翼!B73:C172,2)</f>
        <v>4.9000000000000021</v>
      </c>
      <c r="AG29" s="79">
        <v>44.749999999999993</v>
      </c>
      <c r="AH29" s="79">
        <v>45.689749999999989</v>
      </c>
      <c r="AI29" s="79">
        <v>50.013999999999996</v>
      </c>
      <c r="AJ29" s="79">
        <v>50.14974999999999</v>
      </c>
      <c r="AK29" s="190">
        <v>1696264.7836370231</v>
      </c>
      <c r="AL29" s="190">
        <v>1606219.4316736383</v>
      </c>
      <c r="AM29" s="190">
        <v>3292205.2906225957</v>
      </c>
      <c r="AN29" s="191">
        <v>1455.0371499687415</v>
      </c>
      <c r="AO29" s="191">
        <v>7133.0916602100242</v>
      </c>
      <c r="AP29" s="79">
        <v>299.41318156977997</v>
      </c>
      <c r="AQ29" s="79">
        <v>92.023981569427491</v>
      </c>
      <c r="AR29" s="188">
        <v>14.148207091055601</v>
      </c>
      <c r="AS29" s="26">
        <f t="shared" si="2"/>
        <v>156097.03918628232</v>
      </c>
      <c r="AT29" s="189">
        <f t="shared" si="3"/>
        <v>46578.802237997377</v>
      </c>
      <c r="AU29" s="2">
        <f>主翼!L73</f>
        <v>0</v>
      </c>
      <c r="AV29" s="28"/>
      <c r="AW29" s="28"/>
      <c r="AX29" s="28"/>
      <c r="AY29" s="28"/>
      <c r="AZ29" s="1"/>
      <c r="BA29" s="2" t="e">
        <f>IF((AF29-AF28)&gt;0,(AN28+AN29+SQRT(AN28*AN29))*(AF29-AF28)/3*10^-6*#REF!,0)</f>
        <v>#REF!</v>
      </c>
    </row>
    <row r="30" spans="2:53">
      <c r="AC30" s="1"/>
      <c r="AD30" s="206">
        <v>23</v>
      </c>
      <c r="AE30" s="104" t="str">
        <f t="shared" si="1"/>
        <v>1-2接合</v>
      </c>
      <c r="AF30" s="78">
        <f>VLOOKUP(AD30,主翼!B74:C173,2)</f>
        <v>5.0500000000000025</v>
      </c>
      <c r="AG30" s="79">
        <v>44.149999999999991</v>
      </c>
      <c r="AH30" s="79">
        <v>45.077149999999989</v>
      </c>
      <c r="AI30" s="79">
        <v>49.413999999999994</v>
      </c>
      <c r="AJ30" s="79">
        <v>49.540749999999989</v>
      </c>
      <c r="AK30" s="190">
        <v>1632899.7700968154</v>
      </c>
      <c r="AL30" s="190">
        <v>1546513.4215529545</v>
      </c>
      <c r="AM30" s="190">
        <v>3169612.0703123393</v>
      </c>
      <c r="AN30" s="191">
        <v>1437.0909924367886</v>
      </c>
      <c r="AO30" s="191">
        <v>6952.9957910955472</v>
      </c>
      <c r="AP30" s="79">
        <v>295.6090944579729</v>
      </c>
      <c r="AQ30" s="79">
        <v>92.023981569427491</v>
      </c>
      <c r="AR30" s="188">
        <v>14.148207091055601</v>
      </c>
      <c r="AS30" s="26">
        <f t="shared" si="2"/>
        <v>150265.93834811173</v>
      </c>
      <c r="AT30" s="189">
        <f t="shared" si="3"/>
        <v>44844.327969088466</v>
      </c>
      <c r="AU30" s="2">
        <f>主翼!L74</f>
        <v>0</v>
      </c>
      <c r="AV30" s="28"/>
      <c r="AW30" s="28"/>
      <c r="AX30" s="28"/>
      <c r="AY30" s="28"/>
      <c r="AZ30" s="1"/>
      <c r="BA30" s="2" t="e">
        <f>IF((AF30-AF29)&gt;0,(AN29+AN30+SQRT(AN29*AN30))*(AF30-AF29)/3*10^-6*#REF!,0)</f>
        <v>#REF!</v>
      </c>
    </row>
    <row r="31" spans="2:53">
      <c r="AC31" s="1"/>
      <c r="AD31" s="206">
        <v>24</v>
      </c>
      <c r="AE31" s="104" t="str">
        <f t="shared" si="1"/>
        <v>2</v>
      </c>
      <c r="AF31" s="78">
        <f>VLOOKUP(AD31,主翼!B75:C174,2)</f>
        <v>5.2000000000000028</v>
      </c>
      <c r="AG31" s="79">
        <v>47.04999999999999</v>
      </c>
      <c r="AH31" s="79">
        <v>47.755749999999985</v>
      </c>
      <c r="AI31" s="79">
        <v>48.813999999999993</v>
      </c>
      <c r="AJ31" s="79">
        <v>48.931749999999987</v>
      </c>
      <c r="AK31" s="190">
        <v>560309.19549204863</v>
      </c>
      <c r="AL31" s="190">
        <v>468281.1690952839</v>
      </c>
      <c r="AM31" s="190">
        <v>1008585.2031832144</v>
      </c>
      <c r="AN31" s="191">
        <v>444.24717998171968</v>
      </c>
      <c r="AO31" s="191">
        <v>7279.7381595055158</v>
      </c>
      <c r="AP31" s="79">
        <v>302.47118595681286</v>
      </c>
      <c r="AQ31" s="79">
        <v>85.903385282820111</v>
      </c>
      <c r="AR31" s="188">
        <v>15.275785656728447</v>
      </c>
      <c r="AS31" s="26">
        <f t="shared" si="2"/>
        <v>48132.456697860427</v>
      </c>
      <c r="AT31" s="189">
        <f t="shared" si="3"/>
        <v>15406.931380374692</v>
      </c>
      <c r="AU31" s="2">
        <f>主翼!L75</f>
        <v>0</v>
      </c>
      <c r="AV31" s="28"/>
      <c r="AW31" s="28"/>
      <c r="AX31" s="28"/>
      <c r="AY31" s="28"/>
      <c r="AZ31" s="1"/>
      <c r="BA31" s="2" t="e">
        <f>IF((AF31-AF30)&gt;0,(AN30+AN31+SQRT(AN30*AN31))*(AF31-AF30)/3*10^-6*#REF!,0)</f>
        <v>#REF!</v>
      </c>
    </row>
    <row r="32" spans="2:53">
      <c r="AC32" s="1"/>
      <c r="AD32" s="206">
        <v>25</v>
      </c>
      <c r="AE32" s="104" t="str">
        <f t="shared" si="1"/>
        <v>2</v>
      </c>
      <c r="AF32" s="78">
        <f>VLOOKUP(AD32,主翼!B76:C175,2)</f>
        <v>5.3500000000000032</v>
      </c>
      <c r="AG32" s="79">
        <v>46.249999999999986</v>
      </c>
      <c r="AH32" s="79">
        <v>46.94374999999998</v>
      </c>
      <c r="AI32" s="79">
        <v>48.013999999999989</v>
      </c>
      <c r="AJ32" s="79">
        <v>48.119749999999982</v>
      </c>
      <c r="AK32" s="190">
        <v>532709.07291632204</v>
      </c>
      <c r="AL32" s="190">
        <v>445094.87184536806</v>
      </c>
      <c r="AM32" s="190">
        <v>958778.45159491396</v>
      </c>
      <c r="AN32" s="191">
        <v>436.81357519673031</v>
      </c>
      <c r="AO32" s="191">
        <v>7038.0045931293471</v>
      </c>
      <c r="AP32" s="79">
        <v>297.40666955524443</v>
      </c>
      <c r="AQ32" s="79">
        <v>85.903385282820111</v>
      </c>
      <c r="AR32" s="188">
        <v>15.275785656728447</v>
      </c>
      <c r="AS32" s="26">
        <f t="shared" si="2"/>
        <v>45761.512734384727</v>
      </c>
      <c r="AT32" s="189">
        <f t="shared" si="3"/>
        <v>14646.094118853896</v>
      </c>
      <c r="AU32" s="2">
        <f>主翼!L76</f>
        <v>0</v>
      </c>
      <c r="AV32" s="28"/>
      <c r="AW32" s="28"/>
      <c r="AX32" s="28"/>
      <c r="AY32" s="28"/>
      <c r="AZ32" s="1"/>
      <c r="BA32" s="2" t="e">
        <f>IF((AF32-AF31)&gt;0,(AN31+AN32+SQRT(AN31*AN32))*(AF32-AF31)/3*10^-6*#REF!,0)</f>
        <v>#REF!</v>
      </c>
    </row>
    <row r="33" spans="2:53">
      <c r="AC33" s="1"/>
      <c r="AD33" s="206">
        <v>26</v>
      </c>
      <c r="AE33" s="104" t="str">
        <f t="shared" si="1"/>
        <v>2</v>
      </c>
      <c r="AF33" s="78">
        <f>VLOOKUP(AD33,主翼!B77:C176,2)</f>
        <v>5.5000000000000036</v>
      </c>
      <c r="AG33" s="79">
        <v>45.449999999999989</v>
      </c>
      <c r="AH33" s="79">
        <v>46.131749999999982</v>
      </c>
      <c r="AI33" s="79">
        <v>47.213999999999992</v>
      </c>
      <c r="AJ33" s="79">
        <v>47.307749999999984</v>
      </c>
      <c r="AK33" s="190">
        <v>506030.53046303376</v>
      </c>
      <c r="AL33" s="190">
        <v>422686.84891304286</v>
      </c>
      <c r="AM33" s="190">
        <v>910639.01197830832</v>
      </c>
      <c r="AN33" s="191">
        <v>429.37996981325608</v>
      </c>
      <c r="AO33" s="191">
        <v>6800.352583928724</v>
      </c>
      <c r="AP33" s="79">
        <v>292.34215404888585</v>
      </c>
      <c r="AQ33" s="79">
        <v>85.903385282820111</v>
      </c>
      <c r="AR33" s="188">
        <v>15.275785656728447</v>
      </c>
      <c r="AS33" s="26">
        <f t="shared" si="2"/>
        <v>43469.735623235829</v>
      </c>
      <c r="AT33" s="189">
        <f t="shared" si="3"/>
        <v>13910.726357635607</v>
      </c>
      <c r="AU33" s="2">
        <f>主翼!L77</f>
        <v>0</v>
      </c>
      <c r="AV33" s="28"/>
      <c r="AW33" s="28"/>
      <c r="AX33" s="28"/>
      <c r="AY33" s="28"/>
      <c r="AZ33" s="1"/>
      <c r="BA33" s="2" t="e">
        <f>IF((AF33-AF32)&gt;0,(AN32+AN33+SQRT(AN32*AN33))*(AF33-AF32)/3*10^-6*#REF!,0)</f>
        <v>#REF!</v>
      </c>
    </row>
    <row r="34" spans="2:53">
      <c r="AC34" s="1"/>
      <c r="AD34" s="206">
        <v>27</v>
      </c>
      <c r="AE34" s="104" t="str">
        <f t="shared" si="1"/>
        <v>2</v>
      </c>
      <c r="AF34" s="78">
        <f>VLOOKUP(AD34,主翼!B78:C177,2)</f>
        <v>5.6500000000000039</v>
      </c>
      <c r="AG34" s="79">
        <v>44.649999999999991</v>
      </c>
      <c r="AH34" s="79">
        <v>45.319749999999985</v>
      </c>
      <c r="AI34" s="79">
        <v>46.413999999999994</v>
      </c>
      <c r="AJ34" s="79">
        <v>46.495749999999987</v>
      </c>
      <c r="AK34" s="190">
        <v>480257.91942906723</v>
      </c>
      <c r="AL34" s="190">
        <v>401043.8142377687</v>
      </c>
      <c r="AM34" s="190">
        <v>864138.49969917501</v>
      </c>
      <c r="AN34" s="191">
        <v>421.94636380070312</v>
      </c>
      <c r="AO34" s="191">
        <v>6566.7821319036439</v>
      </c>
      <c r="AP34" s="79">
        <v>287.27763948508868</v>
      </c>
      <c r="AQ34" s="79">
        <v>85.903385282820111</v>
      </c>
      <c r="AR34" s="188">
        <v>15.275785656728447</v>
      </c>
      <c r="AS34" s="26">
        <f t="shared" si="2"/>
        <v>41255.781087840747</v>
      </c>
      <c r="AT34" s="189">
        <f t="shared" si="3"/>
        <v>13200.394499131497</v>
      </c>
      <c r="AU34" s="2">
        <f>主翼!L78</f>
        <v>0</v>
      </c>
      <c r="AV34" s="28"/>
      <c r="AW34" s="28"/>
      <c r="AX34" s="28"/>
      <c r="AY34" s="28"/>
      <c r="AZ34" s="1"/>
      <c r="BA34" s="2" t="e">
        <f>IF((AF34-AF33)&gt;0,(AN33+AN34+SQRT(AN33*AN34))*(AF34-AF33)/3*10^-6*#REF!,0)</f>
        <v>#REF!</v>
      </c>
    </row>
    <row r="35" spans="2:53">
      <c r="AC35" s="1"/>
      <c r="AD35" s="206">
        <v>28</v>
      </c>
      <c r="AE35" s="104" t="str">
        <f t="shared" si="1"/>
        <v>2</v>
      </c>
      <c r="AF35" s="78">
        <f>VLOOKUP(AD35,主翼!B79:C178,2)</f>
        <v>5.8000000000000043</v>
      </c>
      <c r="AG35" s="79">
        <v>43.849999999999987</v>
      </c>
      <c r="AH35" s="79">
        <v>44.50774999999998</v>
      </c>
      <c r="AI35" s="79">
        <v>45.61399999999999</v>
      </c>
      <c r="AJ35" s="79">
        <v>45.683749999999982</v>
      </c>
      <c r="AK35" s="190">
        <v>455375.59111130214</v>
      </c>
      <c r="AL35" s="190">
        <v>380152.48175901169</v>
      </c>
      <c r="AM35" s="190">
        <v>819248.53012333321</v>
      </c>
      <c r="AN35" s="191">
        <v>414.51275712634759</v>
      </c>
      <c r="AO35" s="191">
        <v>6337.2932370541048</v>
      </c>
      <c r="AP35" s="79">
        <v>282.21312591458775</v>
      </c>
      <c r="AQ35" s="79">
        <v>85.903385282820111</v>
      </c>
      <c r="AR35" s="188">
        <v>15.275785656728447</v>
      </c>
      <c r="AS35" s="26">
        <f t="shared" si="2"/>
        <v>39118.304851626141</v>
      </c>
      <c r="AT35" s="189">
        <f t="shared" si="3"/>
        <v>12514.664945753877</v>
      </c>
      <c r="AU35" s="2">
        <f>主翼!L79</f>
        <v>0</v>
      </c>
      <c r="AV35" s="28"/>
      <c r="AW35" s="28"/>
      <c r="AX35" s="28"/>
      <c r="AY35" s="28"/>
      <c r="AZ35" s="1"/>
      <c r="BA35" s="2" t="e">
        <f>IF((AF35-AF34)&gt;0,(AN34+AN35+SQRT(AN34*AN35))*(AF35-AF34)/3*10^-6*#REF!,0)</f>
        <v>#REF!</v>
      </c>
    </row>
    <row r="36" spans="2:53">
      <c r="AC36" s="1"/>
      <c r="AD36" s="206">
        <v>29</v>
      </c>
      <c r="AE36" s="104" t="str">
        <f t="shared" si="1"/>
        <v>2</v>
      </c>
      <c r="AF36" s="78">
        <f>VLOOKUP(AD36,主翼!B80:C179,2)</f>
        <v>5.9500000000000046</v>
      </c>
      <c r="AG36" s="79">
        <v>43.049999999999983</v>
      </c>
      <c r="AH36" s="79">
        <v>43.695749999999975</v>
      </c>
      <c r="AI36" s="79">
        <v>44.813999999999986</v>
      </c>
      <c r="AJ36" s="79">
        <v>44.871749999999977</v>
      </c>
      <c r="AK36" s="190">
        <v>431367.89680660382</v>
      </c>
      <c r="AL36" s="190">
        <v>359999.56541622168</v>
      </c>
      <c r="AM36" s="190">
        <v>775940.71861654508</v>
      </c>
      <c r="AN36" s="191">
        <v>407.07914975515473</v>
      </c>
      <c r="AO36" s="191">
        <v>6111.8858993801114</v>
      </c>
      <c r="AP36" s="79">
        <v>277.14861339183636</v>
      </c>
      <c r="AQ36" s="79">
        <v>85.903385282820111</v>
      </c>
      <c r="AR36" s="188">
        <v>15.275785656728447</v>
      </c>
      <c r="AS36" s="26">
        <f t="shared" si="2"/>
        <v>37055.962638017474</v>
      </c>
      <c r="AT36" s="189">
        <f t="shared" si="3"/>
        <v>11853.104099914184</v>
      </c>
      <c r="AU36" s="2">
        <f>主翼!L80</f>
        <v>0</v>
      </c>
      <c r="AV36" s="28"/>
      <c r="AW36" s="28"/>
      <c r="AX36" s="28"/>
      <c r="AY36" s="28"/>
      <c r="AZ36" s="1"/>
      <c r="BA36" s="2" t="e">
        <f>IF((AF36-AF35)&gt;0,(AN35+AN36+SQRT(AN35*AN36))*(AF36-AF35)/3*10^-6*#REF!,0)</f>
        <v>#REF!</v>
      </c>
    </row>
    <row r="37" spans="2:53">
      <c r="AC37" s="1"/>
      <c r="AD37" s="206">
        <v>30</v>
      </c>
      <c r="AE37" s="104" t="str">
        <f t="shared" si="1"/>
        <v>2</v>
      </c>
      <c r="AF37" s="78">
        <f>VLOOKUP(AD37,主翼!B81:C180,2)</f>
        <v>6.100000000000005</v>
      </c>
      <c r="AG37" s="79">
        <v>42.249999999999986</v>
      </c>
      <c r="AH37" s="79">
        <v>42.883749999999985</v>
      </c>
      <c r="AI37" s="79">
        <v>44.013999999999989</v>
      </c>
      <c r="AJ37" s="79">
        <v>44.059749999999987</v>
      </c>
      <c r="AK37" s="190">
        <v>408219.18781185918</v>
      </c>
      <c r="AL37" s="190">
        <v>340571.77914885426</v>
      </c>
      <c r="AM37" s="190">
        <v>734186.68054460501</v>
      </c>
      <c r="AN37" s="191">
        <v>399.64554164959031</v>
      </c>
      <c r="AO37" s="191">
        <v>5890.5601188816636</v>
      </c>
      <c r="AP37" s="79">
        <v>272.08410197533857</v>
      </c>
      <c r="AQ37" s="79">
        <v>85.903385282820111</v>
      </c>
      <c r="AR37" s="188">
        <v>15.275785656728447</v>
      </c>
      <c r="AS37" s="26">
        <f t="shared" si="2"/>
        <v>35067.410170442046</v>
      </c>
      <c r="AT37" s="189">
        <f t="shared" si="3"/>
        <v>11215.278364024347</v>
      </c>
      <c r="AU37" s="2">
        <f>主翼!L81</f>
        <v>0</v>
      </c>
      <c r="AV37" s="28"/>
      <c r="AW37" s="28"/>
      <c r="AX37" s="28"/>
      <c r="AY37" s="28"/>
      <c r="AZ37" s="1"/>
      <c r="BA37" s="2" t="e">
        <f>IF((AF37-AF36)&gt;0,(AN36+AN37+SQRT(AN36*AN37))*(AF37-AF36)/3*10^-6*#REF!,0)</f>
        <v>#REF!</v>
      </c>
    </row>
    <row r="38" spans="2:53">
      <c r="AC38" s="1"/>
      <c r="AD38" s="206">
        <v>31</v>
      </c>
      <c r="AE38" s="104" t="str">
        <f t="shared" si="1"/>
        <v>2</v>
      </c>
      <c r="AF38" s="78">
        <f>VLOOKUP(AD38,主翼!B82:C181,2)</f>
        <v>6.2500000000000053</v>
      </c>
      <c r="AG38" s="79">
        <v>41.449999999999989</v>
      </c>
      <c r="AH38" s="79">
        <v>42.071749999999987</v>
      </c>
      <c r="AI38" s="79">
        <v>43.213999999999992</v>
      </c>
      <c r="AJ38" s="79">
        <v>43.247749999999989</v>
      </c>
      <c r="AK38" s="190">
        <v>385913.81542393169</v>
      </c>
      <c r="AL38" s="190">
        <v>321855.83689636615</v>
      </c>
      <c r="AM38" s="190">
        <v>693958.03127332451</v>
      </c>
      <c r="AN38" s="191">
        <v>392.21193276935566</v>
      </c>
      <c r="AO38" s="191">
        <v>5673.3158955587596</v>
      </c>
      <c r="AP38" s="79">
        <v>267.01959172803515</v>
      </c>
      <c r="AQ38" s="79">
        <v>85.903385282820111</v>
      </c>
      <c r="AR38" s="188">
        <v>15.275785656728447</v>
      </c>
      <c r="AS38" s="26">
        <f t="shared" si="2"/>
        <v>33151.303172325133</v>
      </c>
      <c r="AT38" s="189">
        <f t="shared" si="3"/>
        <v>10600.754140496561</v>
      </c>
      <c r="AU38" s="2">
        <f>主翼!L82</f>
        <v>0</v>
      </c>
      <c r="AV38" s="28"/>
      <c r="AW38" s="28"/>
      <c r="AX38" s="28"/>
      <c r="AY38" s="28"/>
      <c r="AZ38" s="1"/>
      <c r="BA38" s="2" t="e">
        <f>IF((AF38-AF37)&gt;0,(AN37+AN38+SQRT(AN37*AN38))*(AF38-AF37)/3*10^-6*#REF!,0)</f>
        <v>#REF!</v>
      </c>
    </row>
    <row r="39" spans="2:53">
      <c r="AC39" s="1"/>
      <c r="AD39" s="206">
        <v>32</v>
      </c>
      <c r="AE39" s="104" t="str">
        <f t="shared" ref="AE39:AE67" si="6">IF(AF39&lt;$H$7,"0",IF(AF39&lt;$H$8,"0-1接合",IF(AF39&lt;$H$9,"1",IF(AF39&lt;$H$10,"1-2接合",IF(AF39&lt;$H$11,"2",IF(AF39&lt;$H$12,"2-3接合",IF(AF39&lt;$H$13,"3","ウィングレット")))))))</f>
        <v>2</v>
      </c>
      <c r="AF39" s="78">
        <f>VLOOKUP(AD39,主翼!B83:C182,2)</f>
        <v>6.4000000000000057</v>
      </c>
      <c r="AG39" s="79">
        <v>40.649999999999984</v>
      </c>
      <c r="AH39" s="79">
        <v>41.259749999999983</v>
      </c>
      <c r="AI39" s="79">
        <v>42.413999999999987</v>
      </c>
      <c r="AJ39" s="79">
        <v>42.435749999999985</v>
      </c>
      <c r="AK39" s="190">
        <v>364436.13093970093</v>
      </c>
      <c r="AL39" s="190">
        <v>303838.45259820495</v>
      </c>
      <c r="AM39" s="190">
        <v>655226.38616846048</v>
      </c>
      <c r="AN39" s="191">
        <v>384.77832307116546</v>
      </c>
      <c r="AO39" s="191">
        <v>5460.1532294113968</v>
      </c>
      <c r="AP39" s="79">
        <v>261.95508271774122</v>
      </c>
      <c r="AQ39" s="79">
        <v>85.903385282820111</v>
      </c>
      <c r="AR39" s="188">
        <v>15.275785656728447</v>
      </c>
      <c r="AS39" s="26">
        <f t="shared" si="2"/>
        <v>31306.297367093408</v>
      </c>
      <c r="AT39" s="189">
        <f t="shared" si="3"/>
        <v>10009.097831742183</v>
      </c>
      <c r="AU39" s="2">
        <f>主翼!L83</f>
        <v>0</v>
      </c>
      <c r="AV39" s="28"/>
      <c r="AW39" s="28"/>
      <c r="AX39" s="28"/>
      <c r="AY39" s="28"/>
      <c r="AZ39" s="1"/>
      <c r="BA39" s="2" t="e">
        <f>IF((AF39-AF38)&gt;0,(AN38+AN39+SQRT(AN38*AN39))*(AF39-AF38)/3*10^-6*#REF!,0)</f>
        <v>#REF!</v>
      </c>
    </row>
    <row r="40" spans="2:53">
      <c r="AC40" s="1"/>
      <c r="AD40" s="206">
        <v>33</v>
      </c>
      <c r="AE40" s="104" t="str">
        <f t="shared" si="6"/>
        <v>2</v>
      </c>
      <c r="AF40" s="78">
        <f>VLOOKUP(AD40,主翼!B84:C183,2)</f>
        <v>6.550000000000006</v>
      </c>
      <c r="AG40" s="79">
        <v>39.84999999999998</v>
      </c>
      <c r="AH40" s="79">
        <v>40.447749999999978</v>
      </c>
      <c r="AI40" s="79">
        <v>41.613999999999983</v>
      </c>
      <c r="AJ40" s="79">
        <v>41.62374999999998</v>
      </c>
      <c r="AK40" s="190">
        <v>343770.48565603327</v>
      </c>
      <c r="AL40" s="190">
        <v>286506.34019381233</v>
      </c>
      <c r="AM40" s="190">
        <v>617963.36059582047</v>
      </c>
      <c r="AN40" s="191">
        <v>377.34471250844575</v>
      </c>
      <c r="AO40" s="191">
        <v>5251.0721204395777</v>
      </c>
      <c r="AP40" s="79">
        <v>256.89057501761584</v>
      </c>
      <c r="AQ40" s="79">
        <v>85.903385282820111</v>
      </c>
      <c r="AR40" s="188">
        <v>15.275785656728447</v>
      </c>
      <c r="AS40" s="26">
        <f t="shared" si="2"/>
        <v>29531.048478172412</v>
      </c>
      <c r="AT40" s="189">
        <f t="shared" si="3"/>
        <v>9439.875840173343</v>
      </c>
      <c r="AU40" s="2">
        <f>主翼!L84</f>
        <v>0</v>
      </c>
      <c r="AV40" s="28"/>
      <c r="AW40" s="28"/>
      <c r="AX40" s="28"/>
      <c r="AY40" s="28"/>
      <c r="AZ40" s="1"/>
      <c r="BA40" s="2" t="e">
        <f>IF((AF40-AF39)&gt;0,(AN39+AN40+SQRT(AN39*AN40))*(AF40-AF39)/3*10^-6*#REF!,0)</f>
        <v>#REF!</v>
      </c>
    </row>
    <row r="41" spans="2:53">
      <c r="AC41" s="1"/>
      <c r="AD41" s="206">
        <v>34</v>
      </c>
      <c r="AE41" s="104" t="str">
        <f t="shared" si="6"/>
        <v>2</v>
      </c>
      <c r="AF41" s="78">
        <f>VLOOKUP(AD41,主翼!B85:C184,2)</f>
        <v>6.7000000000000064</v>
      </c>
      <c r="AG41" s="79">
        <v>39.049999999999983</v>
      </c>
      <c r="AH41" s="79">
        <v>39.63574999999998</v>
      </c>
      <c r="AI41" s="79">
        <v>40.813999999999986</v>
      </c>
      <c r="AJ41" s="79">
        <v>40.811749999999982</v>
      </c>
      <c r="AK41" s="190">
        <v>323901.23086980585</v>
      </c>
      <c r="AL41" s="190">
        <v>269846.21362264972</v>
      </c>
      <c r="AM41" s="190">
        <v>582140.56992117164</v>
      </c>
      <c r="AN41" s="191">
        <v>369.91110103102119</v>
      </c>
      <c r="AO41" s="191">
        <v>5046.0725686433052</v>
      </c>
      <c r="AP41" s="79">
        <v>251.82606870669193</v>
      </c>
      <c r="AQ41" s="79">
        <v>85.903385282820111</v>
      </c>
      <c r="AR41" s="188">
        <v>15.275785656728447</v>
      </c>
      <c r="AS41" s="26">
        <f t="shared" si="2"/>
        <v>27824.212228988599</v>
      </c>
      <c r="AT41" s="189">
        <f t="shared" si="3"/>
        <v>8892.6545682015567</v>
      </c>
      <c r="AU41" s="2">
        <f>主翼!L85</f>
        <v>0</v>
      </c>
      <c r="AV41" s="28"/>
      <c r="AW41" s="28"/>
      <c r="AX41" s="28"/>
      <c r="AY41" s="28"/>
      <c r="AZ41" s="1"/>
      <c r="BA41" s="2" t="e">
        <f>IF((AF41-AF40)&gt;0,(AN40+AN41+SQRT(AN40*AN41))*(AF41-AF40)/3*10^-6*#REF!,0)</f>
        <v>#REF!</v>
      </c>
    </row>
    <row r="42" spans="2:53">
      <c r="B42" t="s">
        <v>970</v>
      </c>
      <c r="F42" t="s">
        <v>1295</v>
      </c>
      <c r="N42" t="s">
        <v>1290</v>
      </c>
      <c r="R42" t="s">
        <v>1291</v>
      </c>
      <c r="AC42" s="1"/>
      <c r="AD42" s="206">
        <v>35</v>
      </c>
      <c r="AE42" s="104" t="str">
        <f t="shared" si="6"/>
        <v>2</v>
      </c>
      <c r="AF42" s="78">
        <f>VLOOKUP(AD42,主翼!B86:C185,2)</f>
        <v>6.8500000000000068</v>
      </c>
      <c r="AG42" s="79">
        <v>38.249999999999986</v>
      </c>
      <c r="AH42" s="79">
        <v>38.823749999999983</v>
      </c>
      <c r="AI42" s="79">
        <v>40.013999999999989</v>
      </c>
      <c r="AJ42" s="79">
        <v>39.999749999999985</v>
      </c>
      <c r="AK42" s="190">
        <v>304812.71787787491</v>
      </c>
      <c r="AL42" s="190">
        <v>253844.78682415155</v>
      </c>
      <c r="AM42" s="190">
        <v>547729.62951030489</v>
      </c>
      <c r="AN42" s="191">
        <v>362.47748858476467</v>
      </c>
      <c r="AO42" s="191">
        <v>4845.1545740225756</v>
      </c>
      <c r="AP42" s="79">
        <v>246.76156387050486</v>
      </c>
      <c r="AQ42" s="79">
        <v>85.903385282820111</v>
      </c>
      <c r="AR42" s="188">
        <v>15.275785656728447</v>
      </c>
      <c r="AS42" s="26">
        <f t="shared" si="2"/>
        <v>26184.444342966639</v>
      </c>
      <c r="AT42" s="189">
        <f t="shared" si="3"/>
        <v>8367.000418238702</v>
      </c>
      <c r="AU42" s="2">
        <f>主翼!L86</f>
        <v>0</v>
      </c>
      <c r="AV42" s="28"/>
      <c r="AW42" s="28"/>
      <c r="AX42" s="28"/>
      <c r="AY42" s="28"/>
      <c r="AZ42" s="1"/>
      <c r="BA42" s="2" t="e">
        <f>IF((AF42-AF41)&gt;0,(AN41+AN42+SQRT(AN41*AN42))*(AF42-AF41)/3*10^-6*#REF!,0)</f>
        <v>#REF!</v>
      </c>
    </row>
    <row r="43" spans="2:53">
      <c r="B43" s="30" t="s">
        <v>1415</v>
      </c>
      <c r="C43" s="30">
        <v>3500</v>
      </c>
      <c r="D43" s="30" t="s">
        <v>789</v>
      </c>
      <c r="F43" s="30" t="s">
        <v>1297</v>
      </c>
      <c r="G43" s="125">
        <v>870</v>
      </c>
      <c r="H43" s="30" t="s">
        <v>789</v>
      </c>
      <c r="J43" s="30" t="s">
        <v>882</v>
      </c>
      <c r="K43" s="30">
        <f>(G43-G44)*G45+G44</f>
        <v>4190</v>
      </c>
      <c r="L43" s="30" t="s">
        <v>789</v>
      </c>
      <c r="N43" s="30" t="s">
        <v>884</v>
      </c>
      <c r="O43" s="30">
        <f>K43-G46*2</f>
        <v>4090</v>
      </c>
      <c r="P43" s="30" t="s">
        <v>789</v>
      </c>
      <c r="R43" s="30" t="s">
        <v>1292</v>
      </c>
      <c r="S43" s="30"/>
      <c r="T43" s="30" t="s">
        <v>36</v>
      </c>
      <c r="AC43" s="1"/>
      <c r="AD43" s="206">
        <v>36</v>
      </c>
      <c r="AE43" s="104" t="str">
        <f t="shared" si="6"/>
        <v>2</v>
      </c>
      <c r="AF43" s="78">
        <f>VLOOKUP(AD43,主翼!B87:C186,2)</f>
        <v>7.0000000000000071</v>
      </c>
      <c r="AG43" s="79">
        <v>37.449999999999982</v>
      </c>
      <c r="AH43" s="79">
        <v>38.011749999999978</v>
      </c>
      <c r="AI43" s="79">
        <v>39.213999999999984</v>
      </c>
      <c r="AJ43" s="79">
        <v>39.18774999999998</v>
      </c>
      <c r="AK43" s="190">
        <v>286489.29797711386</v>
      </c>
      <c r="AL43" s="190">
        <v>238488.77373775723</v>
      </c>
      <c r="AM43" s="190">
        <v>514702.15472897846</v>
      </c>
      <c r="AN43" s="191">
        <v>355.04387511119108</v>
      </c>
      <c r="AO43" s="191">
        <v>4648.318136577388</v>
      </c>
      <c r="AP43" s="79">
        <v>241.69706060175457</v>
      </c>
      <c r="AQ43" s="79">
        <v>85.903385282820111</v>
      </c>
      <c r="AR43" s="188">
        <v>15.275785656728447</v>
      </c>
      <c r="AS43" s="26">
        <f t="shared" si="2"/>
        <v>24610.400543532669</v>
      </c>
      <c r="AT43" s="189">
        <f t="shared" si="3"/>
        <v>7862.4797926961546</v>
      </c>
      <c r="AU43" s="2">
        <f>主翼!L87</f>
        <v>0</v>
      </c>
      <c r="AV43" s="28"/>
      <c r="AW43" s="28"/>
      <c r="AX43" s="28"/>
      <c r="AY43" s="28"/>
      <c r="AZ43" s="1"/>
      <c r="BA43" s="2" t="e">
        <f>IF((AF43-AF42)&gt;0,(AN42+AN43+SQRT(AN42*AN43))*(AF43-AF42)/3*10^-6*#REF!,0)</f>
        <v>#REF!</v>
      </c>
    </row>
    <row r="44" spans="2:53">
      <c r="B44" s="30" t="s">
        <v>1416</v>
      </c>
      <c r="C44" s="30"/>
      <c r="D44" s="30" t="s">
        <v>732</v>
      </c>
      <c r="F44" s="30" t="s">
        <v>871</v>
      </c>
      <c r="G44" s="125">
        <v>40</v>
      </c>
      <c r="H44" s="30" t="s">
        <v>789</v>
      </c>
      <c r="J44" s="30" t="s">
        <v>1417</v>
      </c>
      <c r="K44" s="30">
        <f>O43-C43</f>
        <v>590</v>
      </c>
      <c r="L44" s="30" t="s">
        <v>789</v>
      </c>
      <c r="N44" s="252"/>
      <c r="O44" s="30" t="s">
        <v>1288</v>
      </c>
      <c r="P44" s="30" t="s">
        <v>1287</v>
      </c>
      <c r="R44" s="30" t="s">
        <v>1034</v>
      </c>
      <c r="S44" s="125"/>
      <c r="T44" s="30" t="s">
        <v>6</v>
      </c>
      <c r="AC44" s="1"/>
      <c r="AD44" s="206">
        <v>37</v>
      </c>
      <c r="AE44" s="104" t="str">
        <f t="shared" si="6"/>
        <v>2</v>
      </c>
      <c r="AF44" s="78">
        <f>VLOOKUP(AD44,主翼!B88:C187,2)</f>
        <v>7.2000000000000073</v>
      </c>
      <c r="AG44" s="79">
        <v>36.649999999999977</v>
      </c>
      <c r="AH44" s="79">
        <v>37.199749999999973</v>
      </c>
      <c r="AI44" s="79">
        <v>38.41399999999998</v>
      </c>
      <c r="AJ44" s="79">
        <v>38.375749999999975</v>
      </c>
      <c r="AK44" s="190">
        <v>268915.32246437855</v>
      </c>
      <c r="AL44" s="190">
        <v>223764.88830290662</v>
      </c>
      <c r="AM44" s="190">
        <v>483029.76094297785</v>
      </c>
      <c r="AN44" s="191">
        <v>347.61026054702086</v>
      </c>
      <c r="AO44" s="191">
        <v>4455.5632563077461</v>
      </c>
      <c r="AP44" s="79">
        <v>236.63255900107742</v>
      </c>
      <c r="AQ44" s="79">
        <v>85.903385282820111</v>
      </c>
      <c r="AR44" s="188">
        <v>15.275785656728447</v>
      </c>
      <c r="AS44" s="26">
        <f t="shared" si="2"/>
        <v>23100.736554111321</v>
      </c>
      <c r="AT44" s="189">
        <f t="shared" si="3"/>
        <v>7378.6590939857115</v>
      </c>
      <c r="AU44" s="2">
        <f>主翼!L88</f>
        <v>0</v>
      </c>
      <c r="AV44" s="28"/>
      <c r="AW44" s="28"/>
      <c r="AX44" s="28"/>
      <c r="AY44" s="28"/>
      <c r="AZ44" s="1"/>
      <c r="BA44" s="2" t="e">
        <f>IF((AF44-AF43)&gt;0,(AN43+AN44+SQRT(AN43*AN44))*(AF44-AF43)/3*10^-6*#REF!,0)</f>
        <v>#REF!</v>
      </c>
    </row>
    <row r="45" spans="2:53">
      <c r="B45" s="30" t="s">
        <v>1279</v>
      </c>
      <c r="C45" s="30"/>
      <c r="D45" s="30" t="s">
        <v>1281</v>
      </c>
      <c r="F45" s="30" t="s">
        <v>1296</v>
      </c>
      <c r="G45" s="125">
        <v>5</v>
      </c>
      <c r="H45" s="30" t="s">
        <v>873</v>
      </c>
      <c r="N45" s="30" t="s">
        <v>1283</v>
      </c>
      <c r="O45" s="132" t="e">
        <f>C50-#REF!*G44</f>
        <v>#REF!</v>
      </c>
      <c r="P45" s="132" t="e">
        <f>O45+#REF!*(#REF!+#REF!)*2</f>
        <v>#REF!</v>
      </c>
      <c r="R45" s="30" t="s">
        <v>1293</v>
      </c>
      <c r="S45" s="30"/>
      <c r="T45" s="30" t="s">
        <v>36</v>
      </c>
      <c r="AC45" s="1"/>
      <c r="AD45" s="206">
        <v>38</v>
      </c>
      <c r="AE45" s="104" t="str">
        <f t="shared" si="6"/>
        <v>2</v>
      </c>
      <c r="AF45" s="78">
        <f>VLOOKUP(AD45,主翼!B89:C188,2)</f>
        <v>7.3500000000000076</v>
      </c>
      <c r="AG45" s="79">
        <v>35.84999999999998</v>
      </c>
      <c r="AH45" s="79">
        <v>36.387749999999976</v>
      </c>
      <c r="AI45" s="79">
        <v>37.613999999999983</v>
      </c>
      <c r="AJ45" s="79">
        <v>37.563749999999978</v>
      </c>
      <c r="AK45" s="190">
        <v>252075.14263653546</v>
      </c>
      <c r="AL45" s="190">
        <v>209659.84445903162</v>
      </c>
      <c r="AM45" s="190">
        <v>452684.06351806998</v>
      </c>
      <c r="AN45" s="191">
        <v>340.17664482366717</v>
      </c>
      <c r="AO45" s="191">
        <v>4266.8899332136489</v>
      </c>
      <c r="AP45" s="79">
        <v>231.56805917790666</v>
      </c>
      <c r="AQ45" s="79">
        <v>85.903385282820111</v>
      </c>
      <c r="AR45" s="188">
        <v>15.275785656728447</v>
      </c>
      <c r="AS45" s="26">
        <f t="shared" si="2"/>
        <v>21654.108098128141</v>
      </c>
      <c r="AT45" s="189">
        <f t="shared" si="3"/>
        <v>6915.104724518882</v>
      </c>
      <c r="AU45" s="2">
        <f>主翼!L89</f>
        <v>0</v>
      </c>
      <c r="AV45" s="28"/>
      <c r="AW45" s="28"/>
      <c r="AX45" s="28"/>
      <c r="AY45" s="28"/>
      <c r="AZ45" s="1"/>
      <c r="BA45" s="2" t="e">
        <f>IF((AF45-AF44)&gt;0,(AN44+AN45+SQRT(AN44*AN45))*(AF45-AF44)/3*10^-6*#REF!,0)</f>
        <v>#REF!</v>
      </c>
    </row>
    <row r="46" spans="2:53">
      <c r="B46" s="30" t="s">
        <v>1280</v>
      </c>
      <c r="C46" s="30"/>
      <c r="D46" s="30" t="s">
        <v>1281</v>
      </c>
      <c r="F46" s="30" t="s">
        <v>1298</v>
      </c>
      <c r="G46" s="125">
        <v>50</v>
      </c>
      <c r="H46" s="30" t="s">
        <v>789</v>
      </c>
      <c r="N46" s="30" t="s">
        <v>1284</v>
      </c>
      <c r="O46" s="132" t="e">
        <f>O45*#REF!</f>
        <v>#REF!</v>
      </c>
      <c r="P46" s="132" t="e">
        <f>O46+#REF!*#REF!*2</f>
        <v>#REF!</v>
      </c>
      <c r="R46" s="30" t="s">
        <v>1034</v>
      </c>
      <c r="S46" s="125"/>
      <c r="T46" s="30" t="s">
        <v>6</v>
      </c>
      <c r="AC46" s="1"/>
      <c r="AD46" s="206">
        <v>39</v>
      </c>
      <c r="AE46" s="104" t="str">
        <f t="shared" si="6"/>
        <v>2</v>
      </c>
      <c r="AF46" s="78">
        <f>VLOOKUP(AD46,主翼!B90:C189,2)</f>
        <v>7.500000000000008</v>
      </c>
      <c r="AG46" s="79">
        <v>35.049999999999983</v>
      </c>
      <c r="AH46" s="79">
        <v>35.575749999999978</v>
      </c>
      <c r="AI46" s="79">
        <v>36.813999999999986</v>
      </c>
      <c r="AJ46" s="79">
        <v>36.75174999999998</v>
      </c>
      <c r="AK46" s="190">
        <v>235953.10979043774</v>
      </c>
      <c r="AL46" s="190">
        <v>196160.356145567</v>
      </c>
      <c r="AM46" s="190">
        <v>423636.67782002658</v>
      </c>
      <c r="AN46" s="191">
        <v>332.74302786667636</v>
      </c>
      <c r="AO46" s="191">
        <v>4082.2981672950941</v>
      </c>
      <c r="AP46" s="79">
        <v>226.50356125147474</v>
      </c>
      <c r="AQ46" s="79">
        <v>85.903385282820111</v>
      </c>
      <c r="AR46" s="188">
        <v>15.275785656728447</v>
      </c>
      <c r="AS46" s="26">
        <f t="shared" si="2"/>
        <v>20269.170899007524</v>
      </c>
      <c r="AT46" s="189">
        <f t="shared" si="3"/>
        <v>6471.383086707252</v>
      </c>
      <c r="AU46" s="2">
        <f>主翼!L90</f>
        <v>0</v>
      </c>
      <c r="AV46" s="28"/>
      <c r="AW46" s="28"/>
      <c r="AX46" s="28"/>
      <c r="AY46" s="28"/>
      <c r="AZ46" s="1"/>
      <c r="BA46" s="2" t="e">
        <f>IF((AF46-AF45)&gt;0,(AN45+AN46+SQRT(AN45*AN46))*(AF46-AF45)/3*10^-6*#REF!,0)</f>
        <v>#REF!</v>
      </c>
    </row>
    <row r="47" spans="2:53">
      <c r="N47" s="30" t="s">
        <v>1285</v>
      </c>
      <c r="O47" s="132" t="e">
        <f>J52+G44*#REF!</f>
        <v>#REF!</v>
      </c>
      <c r="P47" s="132" t="e">
        <f>O47+#REF!*(#REF!+#REF!)*2</f>
        <v>#REF!</v>
      </c>
      <c r="R47" s="30" t="s">
        <v>1294</v>
      </c>
      <c r="S47" s="30"/>
      <c r="T47" s="30" t="s">
        <v>6</v>
      </c>
      <c r="AC47" s="1"/>
      <c r="AD47" s="206">
        <v>40</v>
      </c>
      <c r="AE47" s="104" t="str">
        <f t="shared" si="6"/>
        <v>2</v>
      </c>
      <c r="AF47" s="78">
        <f>VLOOKUP(AD47,主翼!B91:C190,2)</f>
        <v>7.6500000000000083</v>
      </c>
      <c r="AG47" s="79">
        <v>34.249999999999986</v>
      </c>
      <c r="AH47" s="79">
        <v>34.76374999999998</v>
      </c>
      <c r="AI47" s="79">
        <v>38.375999999999991</v>
      </c>
      <c r="AJ47" s="79">
        <v>38.375999999999991</v>
      </c>
      <c r="AK47" s="190">
        <v>602333.69292182894</v>
      </c>
      <c r="AL47" s="190">
        <v>573642.09817685559</v>
      </c>
      <c r="AM47" s="190">
        <v>1173587.872951318</v>
      </c>
      <c r="AN47" s="191">
        <v>885.72366594038681</v>
      </c>
      <c r="AO47" s="191">
        <v>4171.9152577882542</v>
      </c>
      <c r="AP47" s="79">
        <v>228.97671479633405</v>
      </c>
      <c r="AQ47" s="79">
        <v>85.477862278174257</v>
      </c>
      <c r="AR47" s="188">
        <v>13.866312449637391</v>
      </c>
      <c r="AS47" s="26">
        <f t="shared" si="2"/>
        <v>51486.196449076197</v>
      </c>
      <c r="AT47" s="189">
        <f t="shared" si="3"/>
        <v>16273.336133448327</v>
      </c>
      <c r="AU47" s="2">
        <f>主翼!L91</f>
        <v>0</v>
      </c>
      <c r="AV47" s="28"/>
      <c r="AW47" s="28"/>
      <c r="AX47" s="28"/>
      <c r="AY47" s="28"/>
      <c r="AZ47" s="1"/>
      <c r="BA47" s="2" t="e">
        <f>IF((AF47-AF46)&gt;0,(AN46+AN47+SQRT(AN46*AN47))*(AF47-AF46)/3*10^-6*#REF!,0)</f>
        <v>#REF!</v>
      </c>
    </row>
    <row r="48" spans="2:53">
      <c r="N48" s="30" t="s">
        <v>1286</v>
      </c>
      <c r="O48" s="132" t="e">
        <f>O47*#REF!</f>
        <v>#REF!</v>
      </c>
      <c r="P48" s="132" t="e">
        <f>O48+#REF!*#REF!*2</f>
        <v>#REF!</v>
      </c>
      <c r="R48" s="30" t="s">
        <v>1282</v>
      </c>
      <c r="S48" s="125"/>
      <c r="T48" s="30" t="s">
        <v>6</v>
      </c>
      <c r="AC48" s="1"/>
      <c r="AD48" s="206">
        <v>41</v>
      </c>
      <c r="AE48" s="104" t="str">
        <f t="shared" si="6"/>
        <v>2</v>
      </c>
      <c r="AF48" s="78">
        <f>VLOOKUP(AD48,主翼!B92:C191,2)</f>
        <v>7.8000000000000087</v>
      </c>
      <c r="AG48" s="79">
        <v>33.449999999999989</v>
      </c>
      <c r="AH48" s="79">
        <v>33.951749999999983</v>
      </c>
      <c r="AI48" s="79">
        <v>37.525999999999996</v>
      </c>
      <c r="AJ48" s="79">
        <v>37.525999999999996</v>
      </c>
      <c r="AK48" s="190">
        <v>555596.40273045574</v>
      </c>
      <c r="AL48" s="190">
        <v>529551.70814734278</v>
      </c>
      <c r="AM48" s="190">
        <v>1082999.2013643503</v>
      </c>
      <c r="AN48" s="191">
        <v>855.75769410050168</v>
      </c>
      <c r="AO48" s="191">
        <v>3984.4857198927471</v>
      </c>
      <c r="AP48" s="79">
        <v>223.77404446313724</v>
      </c>
      <c r="AQ48" s="79">
        <v>85.477862278174257</v>
      </c>
      <c r="AR48" s="188">
        <v>13.866312449637391</v>
      </c>
      <c r="AS48" s="26">
        <f t="shared" si="2"/>
        <v>47491.192794842937</v>
      </c>
      <c r="AT48" s="189">
        <f t="shared" si="3"/>
        <v>15017.205308825842</v>
      </c>
      <c r="AU48" s="2">
        <f>主翼!L92</f>
        <v>0</v>
      </c>
      <c r="AV48" s="28"/>
      <c r="AW48" s="28"/>
      <c r="AX48" s="28"/>
      <c r="AY48" s="28"/>
      <c r="AZ48" s="1"/>
      <c r="BA48" s="2" t="e">
        <f>IF((AF48-AF47)&gt;0,(AN47+AN48+SQRT(AN47*AN48))*(AF48-AF47)/3*10^-6*#REF!,0)</f>
        <v>#REF!</v>
      </c>
    </row>
    <row r="49" spans="2:53">
      <c r="B49" s="33" t="s">
        <v>875</v>
      </c>
      <c r="C49" s="33">
        <v>1</v>
      </c>
      <c r="D49" s="33">
        <v>2</v>
      </c>
      <c r="E49" s="33">
        <v>3</v>
      </c>
      <c r="F49" s="33">
        <v>4</v>
      </c>
      <c r="G49" s="33">
        <v>5</v>
      </c>
      <c r="H49" s="33">
        <v>6</v>
      </c>
      <c r="I49" s="33">
        <v>7</v>
      </c>
      <c r="J49" s="33">
        <v>8</v>
      </c>
      <c r="K49" s="33">
        <v>9</v>
      </c>
      <c r="L49" s="33"/>
      <c r="AC49" s="1"/>
      <c r="AD49" s="206">
        <v>42</v>
      </c>
      <c r="AE49" s="104" t="str">
        <f t="shared" si="6"/>
        <v>2</v>
      </c>
      <c r="AF49" s="78">
        <f>VLOOKUP(AD49,主翼!B93:C192,2)</f>
        <v>7.9500000000000091</v>
      </c>
      <c r="AG49" s="79">
        <v>35.499999999999993</v>
      </c>
      <c r="AH49" s="79">
        <v>35.499999999999993</v>
      </c>
      <c r="AI49" s="79">
        <v>36.675999999999995</v>
      </c>
      <c r="AJ49" s="79">
        <v>36.675999999999995</v>
      </c>
      <c r="AK49" s="190">
        <v>173643.64390936267</v>
      </c>
      <c r="AL49" s="190">
        <v>173643.64390936503</v>
      </c>
      <c r="AM49" s="190">
        <v>347287.28814223426</v>
      </c>
      <c r="AN49" s="191">
        <v>266.66330561240511</v>
      </c>
      <c r="AO49" s="191">
        <v>4091.4335385990248</v>
      </c>
      <c r="AP49" s="79">
        <v>226.75451157534059</v>
      </c>
      <c r="AQ49" s="79">
        <v>85.052339273528418</v>
      </c>
      <c r="AR49" s="188">
        <v>12.456839242546334</v>
      </c>
      <c r="AS49" s="26">
        <f t="shared" si="2"/>
        <v>14768.79811447087</v>
      </c>
      <c r="AT49" s="189">
        <f t="shared" si="3"/>
        <v>4326.1019193676793</v>
      </c>
      <c r="AU49" s="2">
        <f>主翼!L93</f>
        <v>0</v>
      </c>
      <c r="AV49" s="28"/>
      <c r="AW49" s="28"/>
      <c r="AX49" s="28"/>
      <c r="AY49" s="28"/>
      <c r="AZ49" s="1"/>
      <c r="BA49" s="2" t="e">
        <f>IF((AF49-AF48)&gt;0,(AN48+AN49+SQRT(AN48*AN49))*(AF49-AF48)/3*10^-6*#REF!,0)</f>
        <v>#REF!</v>
      </c>
    </row>
    <row r="50" spans="2:53">
      <c r="B50" s="33" t="s">
        <v>1283</v>
      </c>
      <c r="C50" s="131" t="e">
        <f>#REF!+$N$7*(#REF!-$H$4)/2</f>
        <v>#REF!</v>
      </c>
      <c r="D50" s="131" t="e">
        <f t="shared" ref="D50:K50" si="7">C52+$N$7*$H$6</f>
        <v>#REF!</v>
      </c>
      <c r="E50" s="131" t="e">
        <f t="shared" si="7"/>
        <v>#REF!</v>
      </c>
      <c r="F50" s="131" t="e">
        <f t="shared" si="7"/>
        <v>#REF!</v>
      </c>
      <c r="G50" s="131" t="e">
        <f t="shared" si="7"/>
        <v>#REF!</v>
      </c>
      <c r="H50" s="131" t="e">
        <f t="shared" si="7"/>
        <v>#REF!</v>
      </c>
      <c r="I50" s="131" t="e">
        <f t="shared" si="7"/>
        <v>#REF!</v>
      </c>
      <c r="J50" s="131" t="e">
        <f t="shared" si="7"/>
        <v>#REF!</v>
      </c>
      <c r="K50" s="131" t="e">
        <f t="shared" si="7"/>
        <v>#REF!</v>
      </c>
      <c r="L50" s="131"/>
      <c r="AC50" s="1"/>
      <c r="AD50" s="206">
        <v>43</v>
      </c>
      <c r="AE50" s="104" t="str">
        <f t="shared" si="6"/>
        <v>2</v>
      </c>
      <c r="AF50" s="78">
        <f>VLOOKUP(AD50,主翼!B94:C193,2)</f>
        <v>8.1000000000000085</v>
      </c>
      <c r="AG50" s="79">
        <v>34.65</v>
      </c>
      <c r="AH50" s="79">
        <v>34.65</v>
      </c>
      <c r="AI50" s="79">
        <v>35.826000000000001</v>
      </c>
      <c r="AJ50" s="79">
        <v>35.826000000000001</v>
      </c>
      <c r="AK50" s="190">
        <v>161660.60595430189</v>
      </c>
      <c r="AL50" s="190">
        <v>161660.60595430166</v>
      </c>
      <c r="AM50" s="190">
        <v>323321.21220957884</v>
      </c>
      <c r="AN50" s="191">
        <v>260.38244189672696</v>
      </c>
      <c r="AO50" s="191">
        <v>3900.9678866305726</v>
      </c>
      <c r="AP50" s="79">
        <v>221.41364106857873</v>
      </c>
      <c r="AQ50" s="79">
        <v>85.052339273528418</v>
      </c>
      <c r="AR50" s="188">
        <v>12.456839242546334</v>
      </c>
      <c r="AS50" s="26">
        <f t="shared" si="2"/>
        <v>13749.612704789473</v>
      </c>
      <c r="AT50" s="189">
        <f t="shared" si="3"/>
        <v>4027.5603641999328</v>
      </c>
      <c r="AU50" s="2">
        <f>主翼!L94</f>
        <v>0</v>
      </c>
      <c r="AV50" s="28"/>
      <c r="AW50" s="28"/>
      <c r="AX50" s="28"/>
      <c r="AY50" s="28"/>
      <c r="AZ50" s="1"/>
      <c r="BA50" s="2" t="e">
        <f>IF((AF50-AF49)&gt;0,(AN49+AN50+SQRT(AN49*AN50))*(AF50-AF49)/3*10^-6*#REF!,0)</f>
        <v>#REF!</v>
      </c>
    </row>
    <row r="51" spans="2:53">
      <c r="B51" s="33" t="s">
        <v>1299</v>
      </c>
      <c r="C51" s="131" t="e">
        <f>C50*#REF!</f>
        <v>#REF!</v>
      </c>
      <c r="D51" s="131" t="e">
        <f t="shared" ref="D51:K51" si="8">D50*$N$4</f>
        <v>#REF!</v>
      </c>
      <c r="E51" s="131" t="e">
        <f t="shared" si="8"/>
        <v>#REF!</v>
      </c>
      <c r="F51" s="131" t="e">
        <f t="shared" si="8"/>
        <v>#REF!</v>
      </c>
      <c r="G51" s="131" t="e">
        <f t="shared" si="8"/>
        <v>#REF!</v>
      </c>
      <c r="H51" s="131" t="e">
        <f t="shared" si="8"/>
        <v>#REF!</v>
      </c>
      <c r="I51" s="131" t="e">
        <f t="shared" si="8"/>
        <v>#REF!</v>
      </c>
      <c r="J51" s="131" t="e">
        <f t="shared" si="8"/>
        <v>#REF!</v>
      </c>
      <c r="K51" s="131" t="e">
        <f t="shared" si="8"/>
        <v>#REF!</v>
      </c>
      <c r="L51" s="131"/>
      <c r="AC51" s="1"/>
      <c r="AD51" s="206">
        <v>44</v>
      </c>
      <c r="AE51" s="104" t="str">
        <f t="shared" si="6"/>
        <v>2</v>
      </c>
      <c r="AF51" s="78">
        <f>VLOOKUP(AD51,主翼!B95:C194,2)</f>
        <v>8.2500000000000089</v>
      </c>
      <c r="AG51" s="79">
        <v>33.799999999999997</v>
      </c>
      <c r="AH51" s="79">
        <v>33.799999999999997</v>
      </c>
      <c r="AI51" s="79">
        <v>34.975999999999999</v>
      </c>
      <c r="AJ51" s="79">
        <v>34.975999999999999</v>
      </c>
      <c r="AK51" s="190">
        <v>150241.94694205312</v>
      </c>
      <c r="AL51" s="190">
        <v>150241.94694205097</v>
      </c>
      <c r="AM51" s="190">
        <v>300483.89416411839</v>
      </c>
      <c r="AN51" s="191">
        <v>254.10157818104358</v>
      </c>
      <c r="AO51" s="191">
        <v>3715.0418360465555</v>
      </c>
      <c r="AP51" s="79">
        <v>216.07277056230714</v>
      </c>
      <c r="AQ51" s="79">
        <v>85.052339273528418</v>
      </c>
      <c r="AR51" s="188">
        <v>12.456839242546334</v>
      </c>
      <c r="AS51" s="26">
        <f t="shared" si="2"/>
        <v>12778.429044430959</v>
      </c>
      <c r="AT51" s="189">
        <f t="shared" si="3"/>
        <v>3743.0795645767294</v>
      </c>
      <c r="AU51" s="2">
        <f>主翼!L95</f>
        <v>0</v>
      </c>
      <c r="AV51" s="28"/>
      <c r="AW51" s="28"/>
      <c r="AX51" s="28"/>
      <c r="AY51" s="28"/>
      <c r="AZ51" s="1"/>
      <c r="BA51" s="2" t="e">
        <f>IF((AF51-AF50)&gt;0,(AN50+AN51+SQRT(AN50*AN51))*(AF51-AF50)/3*10^-6*#REF!,0)</f>
        <v>#REF!</v>
      </c>
    </row>
    <row r="52" spans="2:53">
      <c r="B52" s="33" t="s">
        <v>1300</v>
      </c>
      <c r="C52" s="131" t="e">
        <f t="shared" ref="C52:K52" si="9">C50-$N$7*$H$5</f>
        <v>#REF!</v>
      </c>
      <c r="D52" s="131" t="e">
        <f t="shared" si="9"/>
        <v>#REF!</v>
      </c>
      <c r="E52" s="131" t="e">
        <f t="shared" si="9"/>
        <v>#REF!</v>
      </c>
      <c r="F52" s="131" t="e">
        <f t="shared" si="9"/>
        <v>#REF!</v>
      </c>
      <c r="G52" s="131" t="e">
        <f t="shared" si="9"/>
        <v>#REF!</v>
      </c>
      <c r="H52" s="131" t="e">
        <f t="shared" si="9"/>
        <v>#REF!</v>
      </c>
      <c r="I52" s="131" t="e">
        <f t="shared" si="9"/>
        <v>#REF!</v>
      </c>
      <c r="J52" s="131" t="e">
        <f t="shared" si="9"/>
        <v>#REF!</v>
      </c>
      <c r="K52" s="131" t="e">
        <f t="shared" si="9"/>
        <v>#REF!</v>
      </c>
      <c r="L52" s="131"/>
      <c r="AC52" s="1"/>
      <c r="AD52" s="206">
        <v>45</v>
      </c>
      <c r="AE52" s="104" t="str">
        <f t="shared" si="6"/>
        <v>2-3接合</v>
      </c>
      <c r="AF52" s="78">
        <f>VLOOKUP(AD52,主翼!B96:C195,2)</f>
        <v>8.4000000000000092</v>
      </c>
      <c r="AG52" s="79">
        <v>32.950000000000003</v>
      </c>
      <c r="AH52" s="79">
        <v>32.950000000000003</v>
      </c>
      <c r="AI52" s="79">
        <v>34.126000000000005</v>
      </c>
      <c r="AJ52" s="79">
        <v>34.126000000000005</v>
      </c>
      <c r="AK52" s="190">
        <v>139374.05310051149</v>
      </c>
      <c r="AL52" s="190">
        <v>139374.05310051152</v>
      </c>
      <c r="AM52" s="190">
        <v>278748.10646056669</v>
      </c>
      <c r="AN52" s="191">
        <v>247.82071446538842</v>
      </c>
      <c r="AO52" s="191">
        <v>3533.6553868469778</v>
      </c>
      <c r="AP52" s="79">
        <v>210.7319000555658</v>
      </c>
      <c r="AQ52" s="79">
        <v>85.052339273528418</v>
      </c>
      <c r="AR52" s="188">
        <v>12.456839242546334</v>
      </c>
      <c r="AS52" s="26">
        <f t="shared" si="2"/>
        <v>11854.089250231469</v>
      </c>
      <c r="AT52" s="189">
        <f t="shared" si="3"/>
        <v>3472.3203513434701</v>
      </c>
      <c r="AU52" s="2">
        <f>主翼!L96</f>
        <v>0</v>
      </c>
      <c r="AV52" s="28"/>
      <c r="AW52" s="28"/>
      <c r="AX52" s="28"/>
      <c r="AY52" s="28"/>
      <c r="AZ52" s="1"/>
      <c r="BA52" s="2" t="e">
        <f>IF((AF52-AF51)&gt;0,(AN51+AN52+SQRT(AN51*AN52))*(AF52-AF51)/3*10^-6*#REF!,0)</f>
        <v>#REF!</v>
      </c>
    </row>
    <row r="53" spans="2:53">
      <c r="B53" s="33" t="s">
        <v>1286</v>
      </c>
      <c r="C53" s="131" t="e">
        <f t="shared" ref="C53:K53" si="10">C52*$N$4</f>
        <v>#REF!</v>
      </c>
      <c r="D53" s="131" t="e">
        <f t="shared" si="10"/>
        <v>#REF!</v>
      </c>
      <c r="E53" s="131" t="e">
        <f t="shared" si="10"/>
        <v>#REF!</v>
      </c>
      <c r="F53" s="131" t="e">
        <f t="shared" si="10"/>
        <v>#REF!</v>
      </c>
      <c r="G53" s="131" t="e">
        <f t="shared" si="10"/>
        <v>#REF!</v>
      </c>
      <c r="H53" s="131" t="e">
        <f t="shared" si="10"/>
        <v>#REF!</v>
      </c>
      <c r="I53" s="131" t="e">
        <f t="shared" si="10"/>
        <v>#REF!</v>
      </c>
      <c r="J53" s="131" t="e">
        <f t="shared" si="10"/>
        <v>#REF!</v>
      </c>
      <c r="K53" s="131" t="e">
        <f t="shared" si="10"/>
        <v>#REF!</v>
      </c>
      <c r="L53" s="131"/>
      <c r="AC53" s="1"/>
      <c r="AD53" s="206">
        <v>46</v>
      </c>
      <c r="AE53" s="104" t="str">
        <f t="shared" si="6"/>
        <v>2-3接合</v>
      </c>
      <c r="AF53" s="78">
        <f>VLOOKUP(AD53,主翼!B97:C196,2)</f>
        <v>8.5500000000000096</v>
      </c>
      <c r="AG53" s="79">
        <v>32.100000000000009</v>
      </c>
      <c r="AH53" s="79">
        <v>32.100000000000009</v>
      </c>
      <c r="AI53" s="79">
        <v>33.27600000000001</v>
      </c>
      <c r="AJ53" s="79">
        <v>33.27600000000001</v>
      </c>
      <c r="AK53" s="190">
        <v>129043.31065757385</v>
      </c>
      <c r="AL53" s="190">
        <v>129043.3106575729</v>
      </c>
      <c r="AM53" s="190">
        <v>258086.62155568425</v>
      </c>
      <c r="AN53" s="191">
        <v>241.53985074970598</v>
      </c>
      <c r="AO53" s="191">
        <v>3356.808539031837</v>
      </c>
      <c r="AP53" s="79">
        <v>205.39102954915421</v>
      </c>
      <c r="AQ53" s="79">
        <v>85.052339273528418</v>
      </c>
      <c r="AR53" s="188">
        <v>12.456839242546334</v>
      </c>
      <c r="AS53" s="26">
        <f t="shared" si="2"/>
        <v>10975.435439027297</v>
      </c>
      <c r="AT53" s="189">
        <f t="shared" si="3"/>
        <v>3214.9435553710523</v>
      </c>
      <c r="AU53" s="2">
        <f>主翼!L97</f>
        <v>0</v>
      </c>
      <c r="AV53" s="28"/>
      <c r="AW53" s="28"/>
      <c r="AX53" s="28"/>
      <c r="AY53" s="28"/>
      <c r="AZ53" s="1"/>
      <c r="BA53" s="2" t="e">
        <f>IF((AF53-AF52)&gt;0,(AN52+AN53+SQRT(AN52*AN53))*(AF53-AF52)/3*10^-6*#REF!,0)</f>
        <v>#REF!</v>
      </c>
    </row>
    <row r="54" spans="2:53">
      <c r="AC54" s="1"/>
      <c r="AD54" s="206">
        <v>47</v>
      </c>
      <c r="AE54" s="104" t="str">
        <f t="shared" si="6"/>
        <v>3</v>
      </c>
      <c r="AF54" s="78">
        <f>VLOOKUP(AD54,主翼!B98:C197,2)</f>
        <v>8.7000000000000099</v>
      </c>
      <c r="AG54" s="79">
        <v>31.250000000000007</v>
      </c>
      <c r="AH54" s="79">
        <v>31.250000000000007</v>
      </c>
      <c r="AI54" s="79">
        <v>32.426000000000009</v>
      </c>
      <c r="AJ54" s="79">
        <v>32.426000000000009</v>
      </c>
      <c r="AK54" s="190">
        <v>119236.1058411363</v>
      </c>
      <c r="AL54" s="190">
        <v>119236.10584113518</v>
      </c>
      <c r="AM54" s="190">
        <v>238472.21190441577</v>
      </c>
      <c r="AN54" s="191">
        <v>235.2589870340297</v>
      </c>
      <c r="AO54" s="191">
        <v>3184.5012926011318</v>
      </c>
      <c r="AP54" s="79">
        <v>200.0501590427312</v>
      </c>
      <c r="AQ54" s="79">
        <v>85.052339273528418</v>
      </c>
      <c r="AR54" s="188">
        <v>12.456839242546334</v>
      </c>
      <c r="AS54" s="26">
        <f t="shared" si="2"/>
        <v>10141.309727654669</v>
      </c>
      <c r="AT54" s="189">
        <f t="shared" si="3"/>
        <v>2970.6100075077511</v>
      </c>
      <c r="AU54" s="2">
        <f>主翼!L98</f>
        <v>0</v>
      </c>
      <c r="AV54" s="28"/>
      <c r="AW54" s="28"/>
      <c r="AX54" s="28"/>
      <c r="AY54" s="28"/>
      <c r="AZ54" s="1"/>
      <c r="BA54" s="2" t="e">
        <f>IF((AF54-AF53)&gt;0,(AN53+AN54+SQRT(AN53*AN54))*(AF54-AF53)/3*10^-6*#REF!,0)</f>
        <v>#REF!</v>
      </c>
    </row>
    <row r="55" spans="2:53">
      <c r="AC55" s="1"/>
      <c r="AD55" s="206">
        <v>48</v>
      </c>
      <c r="AE55" s="104" t="str">
        <f t="shared" si="6"/>
        <v>3</v>
      </c>
      <c r="AF55" s="78">
        <f>VLOOKUP(AD55,主翼!B99:C198,2)</f>
        <v>8.8500000000000103</v>
      </c>
      <c r="AG55" s="79">
        <v>30.400000000000013</v>
      </c>
      <c r="AH55" s="79">
        <v>30.400000000000013</v>
      </c>
      <c r="AI55" s="79">
        <v>31.576000000000011</v>
      </c>
      <c r="AJ55" s="79">
        <v>31.576000000000011</v>
      </c>
      <c r="AK55" s="190">
        <v>109938.8248790951</v>
      </c>
      <c r="AL55" s="190">
        <v>109938.82487909358</v>
      </c>
      <c r="AM55" s="190">
        <v>219877.64996291313</v>
      </c>
      <c r="AN55" s="191">
        <v>228.97812331834791</v>
      </c>
      <c r="AO55" s="191">
        <v>3016.7336475548655</v>
      </c>
      <c r="AP55" s="79">
        <v>194.7092885360114</v>
      </c>
      <c r="AQ55" s="79">
        <v>85.052339273528418</v>
      </c>
      <c r="AR55" s="188">
        <v>12.456839242546334</v>
      </c>
      <c r="AS55" s="26">
        <f t="shared" si="2"/>
        <v>9350.5542329498239</v>
      </c>
      <c r="AT55" s="189">
        <f t="shared" si="3"/>
        <v>2738.9805386168828</v>
      </c>
      <c r="AU55" s="2">
        <f>主翼!L99</f>
        <v>0</v>
      </c>
      <c r="AV55" s="28"/>
      <c r="AW55" s="28"/>
      <c r="AX55" s="28"/>
      <c r="AY55" s="28"/>
      <c r="AZ55" s="1"/>
      <c r="BA55" s="2" t="e">
        <f>IF((AF55-AF54)&gt;0,(AN54+AN55+SQRT(AN54*AN55))*(AF55-AF54)/3*10^-6*#REF!,0)</f>
        <v>#REF!</v>
      </c>
    </row>
    <row r="56" spans="2:53">
      <c r="AC56" s="1"/>
      <c r="AD56" s="206">
        <v>49</v>
      </c>
      <c r="AE56" s="104" t="str">
        <f t="shared" si="6"/>
        <v>3</v>
      </c>
      <c r="AF56" s="78">
        <f>VLOOKUP(AD56,主翼!B100:C199,2)</f>
        <v>9.0000000000000107</v>
      </c>
      <c r="AG56" s="79">
        <v>29.550000000000015</v>
      </c>
      <c r="AH56" s="79">
        <v>29.550000000000015</v>
      </c>
      <c r="AI56" s="79">
        <v>30.726000000000013</v>
      </c>
      <c r="AJ56" s="79">
        <v>30.726000000000013</v>
      </c>
      <c r="AK56" s="190">
        <v>101137.85399934588</v>
      </c>
      <c r="AL56" s="190">
        <v>101137.85399934708</v>
      </c>
      <c r="AM56" s="190">
        <v>202275.70818720915</v>
      </c>
      <c r="AN56" s="191">
        <v>222.69725960279808</v>
      </c>
      <c r="AO56" s="191">
        <v>2853.5056038930347</v>
      </c>
      <c r="AP56" s="79">
        <v>189.36841802972947</v>
      </c>
      <c r="AQ56" s="79">
        <v>85.052339273528418</v>
      </c>
      <c r="AR56" s="188">
        <v>12.456839242546334</v>
      </c>
      <c r="AS56" s="26">
        <f t="shared" si="2"/>
        <v>8602.0110717489497</v>
      </c>
      <c r="AT56" s="189">
        <f t="shared" si="3"/>
        <v>2519.7159795602779</v>
      </c>
      <c r="AU56" s="2">
        <f>主翼!L100</f>
        <v>0</v>
      </c>
      <c r="AV56" s="28"/>
      <c r="AW56" s="28"/>
      <c r="AX56" s="28"/>
      <c r="AY56" s="28"/>
      <c r="AZ56" s="1"/>
      <c r="BA56" s="2" t="e">
        <f>IF((AF56-AF55)&gt;0,(AN55+AN56+SQRT(AN55*AN56))*(AF56-AF55)/3*10^-6*#REF!,0)</f>
        <v>#REF!</v>
      </c>
    </row>
    <row r="57" spans="2:53">
      <c r="AC57" s="1"/>
      <c r="AD57" s="206">
        <v>50</v>
      </c>
      <c r="AE57" s="104" t="str">
        <f t="shared" si="6"/>
        <v>3</v>
      </c>
      <c r="AF57" s="78">
        <f>VLOOKUP(AD57,主翼!B101:C200,2)</f>
        <v>9.150000000000011</v>
      </c>
      <c r="AG57" s="79">
        <v>28.700000000000017</v>
      </c>
      <c r="AH57" s="79">
        <v>28.700000000000017</v>
      </c>
      <c r="AI57" s="79">
        <v>29.876000000000015</v>
      </c>
      <c r="AJ57" s="79">
        <v>29.876000000000015</v>
      </c>
      <c r="AK57" s="190">
        <v>92819.579429787424</v>
      </c>
      <c r="AL57" s="190">
        <v>92819.579429787511</v>
      </c>
      <c r="AM57" s="190">
        <v>185639.15903248076</v>
      </c>
      <c r="AN57" s="191">
        <v>216.41639588712061</v>
      </c>
      <c r="AO57" s="191">
        <v>2694.8171616156428</v>
      </c>
      <c r="AP57" s="79">
        <v>184.02754752303656</v>
      </c>
      <c r="AQ57" s="79">
        <v>85.052339273528418</v>
      </c>
      <c r="AR57" s="188">
        <v>12.456839242546334</v>
      </c>
      <c r="AS57" s="26">
        <f t="shared" si="2"/>
        <v>7894.5223608884999</v>
      </c>
      <c r="AT57" s="189">
        <f t="shared" si="3"/>
        <v>2312.477161189106</v>
      </c>
      <c r="AU57" s="2">
        <f>主翼!L101</f>
        <v>0</v>
      </c>
      <c r="AV57" s="28"/>
      <c r="AW57" s="28"/>
      <c r="AX57" s="28"/>
      <c r="AY57" s="28"/>
      <c r="AZ57" s="1"/>
      <c r="BA57" s="2" t="e">
        <f>IF((AF57-AF56)&gt;0,(AN56+AN57+SQRT(AN56*AN57))*(AF57-AF56)/3*10^-6*#REF!,0)</f>
        <v>#REF!</v>
      </c>
    </row>
    <row r="58" spans="2:53">
      <c r="AC58" s="1"/>
      <c r="AD58" s="206">
        <v>51</v>
      </c>
      <c r="AE58" s="104" t="str">
        <f t="shared" si="6"/>
        <v>3</v>
      </c>
      <c r="AF58" s="78">
        <f>VLOOKUP(AD58,主翼!B102:C201,2)</f>
        <v>9.3000000000000114</v>
      </c>
      <c r="AG58" s="79">
        <v>27.850000000000023</v>
      </c>
      <c r="AH58" s="79">
        <v>27.850000000000023</v>
      </c>
      <c r="AI58" s="79">
        <v>29.026000000000021</v>
      </c>
      <c r="AJ58" s="79">
        <v>29.026000000000021</v>
      </c>
      <c r="AK58" s="190">
        <v>84970.387398313265</v>
      </c>
      <c r="AL58" s="190">
        <v>84970.387398314153</v>
      </c>
      <c r="AM58" s="190">
        <v>169940.77495503944</v>
      </c>
      <c r="AN58" s="191">
        <v>210.1355321714521</v>
      </c>
      <c r="AO58" s="191">
        <v>2540.6683207226879</v>
      </c>
      <c r="AP58" s="79">
        <v>178.68667701657924</v>
      </c>
      <c r="AQ58" s="79">
        <v>85.052339273528418</v>
      </c>
      <c r="AR58" s="188">
        <v>12.456839242546334</v>
      </c>
      <c r="AS58" s="26">
        <f t="shared" si="2"/>
        <v>7226.9302172044836</v>
      </c>
      <c r="AT58" s="189">
        <f t="shared" si="3"/>
        <v>2116.9249143686707</v>
      </c>
      <c r="AU58" s="2">
        <f>主翼!L102</f>
        <v>0</v>
      </c>
      <c r="AV58" s="28"/>
      <c r="AW58" s="28"/>
      <c r="AX58" s="28"/>
      <c r="AY58" s="28"/>
      <c r="AZ58" s="1"/>
      <c r="BA58" s="2" t="e">
        <f>IF((AF58-AF57)&gt;0,(AN57+AN58+SQRT(AN57*AN58))*(AF58-AF57)/3*10^-6*#REF!,0)</f>
        <v>#REF!</v>
      </c>
    </row>
    <row r="59" spans="2:53">
      <c r="AC59" s="1"/>
      <c r="AD59" s="206">
        <v>52</v>
      </c>
      <c r="AE59" s="104" t="str">
        <f t="shared" si="6"/>
        <v>3</v>
      </c>
      <c r="AF59" s="78">
        <f>VLOOKUP(AD59,主翼!B103:C202,2)</f>
        <v>9.4500000000000117</v>
      </c>
      <c r="AG59" s="79">
        <v>27.000000000000025</v>
      </c>
      <c r="AH59" s="79">
        <v>27.000000000000025</v>
      </c>
      <c r="AI59" s="79">
        <v>28.176000000000023</v>
      </c>
      <c r="AJ59" s="79">
        <v>28.176000000000023</v>
      </c>
      <c r="AK59" s="190">
        <v>77576.66413282312</v>
      </c>
      <c r="AL59" s="190">
        <v>77576.664132823091</v>
      </c>
      <c r="AM59" s="190">
        <v>155153.32841003747</v>
      </c>
      <c r="AN59" s="191">
        <v>203.85466845581075</v>
      </c>
      <c r="AO59" s="191">
        <v>2391.0590812141691</v>
      </c>
      <c r="AP59" s="79">
        <v>173.3458065101529</v>
      </c>
      <c r="AQ59" s="79">
        <v>85.052339273528418</v>
      </c>
      <c r="AR59" s="188">
        <v>12.456839242546334</v>
      </c>
      <c r="AS59" s="26">
        <f t="shared" si="2"/>
        <v>6598.0767575334348</v>
      </c>
      <c r="AT59" s="189">
        <f t="shared" si="3"/>
        <v>1932.7200699498337</v>
      </c>
      <c r="AU59" s="2">
        <f>主翼!L103</f>
        <v>0</v>
      </c>
      <c r="AV59" s="28"/>
      <c r="AW59" s="28"/>
      <c r="AX59" s="28"/>
      <c r="AY59" s="28"/>
      <c r="AZ59" s="1"/>
      <c r="BA59" s="2" t="e">
        <f>IF((AF59-AF58)&gt;0,(AN58+AN59+SQRT(AN58*AN59))*(AF59-AF58)/3*10^-6*#REF!,0)</f>
        <v>#REF!</v>
      </c>
    </row>
    <row r="60" spans="2:53">
      <c r="AC60" s="1"/>
      <c r="AD60" s="206">
        <v>53</v>
      </c>
      <c r="AE60" s="104" t="str">
        <f t="shared" si="6"/>
        <v>3</v>
      </c>
      <c r="AF60" s="78">
        <f>VLOOKUP(AD60,主翼!B104:C203,2)</f>
        <v>9.6000000000000121</v>
      </c>
      <c r="AG60" s="79">
        <v>26.150000000000027</v>
      </c>
      <c r="AH60" s="79">
        <v>26.150000000000027</v>
      </c>
      <c r="AI60" s="79">
        <v>27.326000000000025</v>
      </c>
      <c r="AJ60" s="79">
        <v>27.326000000000025</v>
      </c>
      <c r="AK60" s="190">
        <v>70624.795861208884</v>
      </c>
      <c r="AL60" s="190">
        <v>70624.795861209495</v>
      </c>
      <c r="AM60" s="190">
        <v>141249.59185394619</v>
      </c>
      <c r="AN60" s="191">
        <v>197.57380474013647</v>
      </c>
      <c r="AO60" s="191">
        <v>2245.9894430900886</v>
      </c>
      <c r="AP60" s="79">
        <v>168.00493600362259</v>
      </c>
      <c r="AQ60" s="79">
        <v>85.052339273528418</v>
      </c>
      <c r="AR60" s="188">
        <v>12.456839242546334</v>
      </c>
      <c r="AS60" s="26">
        <f t="shared" si="2"/>
        <v>6006.8040987112236</v>
      </c>
      <c r="AT60" s="189">
        <f t="shared" si="3"/>
        <v>1759.5234587998898</v>
      </c>
      <c r="AU60" s="2">
        <f>主翼!L104</f>
        <v>0</v>
      </c>
      <c r="AV60" s="28"/>
      <c r="AW60" s="28"/>
      <c r="AX60" s="28"/>
      <c r="AY60" s="28"/>
      <c r="AZ60" s="1"/>
      <c r="BA60" s="2" t="e">
        <f>IF((AF60-AF59)&gt;0,(AN59+AN60+SQRT(AN59*AN60))*(AF60-AF59)/3*10^-6*#REF!,0)</f>
        <v>#REF!</v>
      </c>
    </row>
    <row r="61" spans="2:53">
      <c r="AC61" s="1"/>
      <c r="AD61" s="206">
        <v>54</v>
      </c>
      <c r="AE61" s="104" t="str">
        <f t="shared" si="6"/>
        <v>3</v>
      </c>
      <c r="AF61" s="78">
        <f>VLOOKUP(AD61,主翼!B105:C204,2)</f>
        <v>9.7500000000000124</v>
      </c>
      <c r="AG61" s="79">
        <v>25.300000000000029</v>
      </c>
      <c r="AH61" s="79">
        <v>25.300000000000029</v>
      </c>
      <c r="AI61" s="79">
        <v>26.476000000000028</v>
      </c>
      <c r="AJ61" s="79">
        <v>26.476000000000028</v>
      </c>
      <c r="AK61" s="190">
        <v>64101.168811369578</v>
      </c>
      <c r="AL61" s="190">
        <v>64101.16881136944</v>
      </c>
      <c r="AM61" s="190">
        <v>128202.33774211223</v>
      </c>
      <c r="AN61" s="191">
        <v>191.29294102447028</v>
      </c>
      <c r="AO61" s="191">
        <v>2105.4594063504442</v>
      </c>
      <c r="AP61" s="79">
        <v>162.66406549714401</v>
      </c>
      <c r="AQ61" s="79">
        <v>85.052339273528418</v>
      </c>
      <c r="AR61" s="188">
        <v>12.456839242546334</v>
      </c>
      <c r="AS61" s="26">
        <f t="shared" si="2"/>
        <v>5451.9543575743246</v>
      </c>
      <c r="AT61" s="189">
        <f t="shared" si="3"/>
        <v>1596.9959117721226</v>
      </c>
      <c r="AU61" s="2">
        <f>主翼!L105</f>
        <v>0</v>
      </c>
      <c r="AV61" s="28"/>
      <c r="AW61" s="28"/>
      <c r="AX61" s="28"/>
      <c r="AY61" s="28"/>
      <c r="AZ61" s="1"/>
      <c r="BA61" s="2" t="e">
        <f>IF((AF61-AF60)&gt;0,(AN60+AN61+SQRT(AN60*AN61))*(AF61-AF60)/3*10^-6*#REF!,0)</f>
        <v>#REF!</v>
      </c>
    </row>
    <row r="62" spans="2:53">
      <c r="AC62" s="1"/>
      <c r="AD62" s="206">
        <v>55</v>
      </c>
      <c r="AE62" s="104" t="str">
        <f t="shared" si="6"/>
        <v>3</v>
      </c>
      <c r="AF62" s="78">
        <f>VLOOKUP(AD62,主翼!B106:C205,2)</f>
        <v>9.9000000000000128</v>
      </c>
      <c r="AG62" s="79">
        <v>24.450000000000031</v>
      </c>
      <c r="AH62" s="79">
        <v>24.450000000000031</v>
      </c>
      <c r="AI62" s="79">
        <v>25.62600000000003</v>
      </c>
      <c r="AJ62" s="79">
        <v>25.62600000000003</v>
      </c>
      <c r="AK62" s="190">
        <v>57992.169211201763</v>
      </c>
      <c r="AL62" s="190">
        <v>57992.169211201406</v>
      </c>
      <c r="AM62" s="190">
        <v>115984.33853040471</v>
      </c>
      <c r="AN62" s="191">
        <v>185.01207730879807</v>
      </c>
      <c r="AO62" s="191">
        <v>1969.4689709952384</v>
      </c>
      <c r="AP62" s="79">
        <v>157.32319499051556</v>
      </c>
      <c r="AQ62" s="79">
        <v>85.052339273528418</v>
      </c>
      <c r="AR62" s="188">
        <v>12.456839242546334</v>
      </c>
      <c r="AS62" s="26">
        <f t="shared" si="2"/>
        <v>4932.3696509590009</v>
      </c>
      <c r="AT62" s="189">
        <f t="shared" si="3"/>
        <v>1444.7982597263242</v>
      </c>
      <c r="AU62" s="2">
        <f>主翼!L106</f>
        <v>0</v>
      </c>
      <c r="AV62" s="28"/>
      <c r="AW62" s="28"/>
      <c r="AX62" s="28"/>
      <c r="AY62" s="28"/>
      <c r="AZ62" s="1"/>
      <c r="BA62" s="2" t="e">
        <f>IF((AF62-AF61)&gt;0,(AN61+AN62+SQRT(AN61*AN62))*(AF62-AF61)/3*10^-6*#REF!,0)</f>
        <v>#REF!</v>
      </c>
    </row>
    <row r="63" spans="2:53">
      <c r="AC63" s="1"/>
      <c r="AD63" s="206">
        <v>56</v>
      </c>
      <c r="AE63" s="104" t="str">
        <f t="shared" si="6"/>
        <v>3</v>
      </c>
      <c r="AF63" s="78">
        <f>VLOOKUP(AD63,主翼!B107:C206,2)</f>
        <v>10.050000000000013</v>
      </c>
      <c r="AG63" s="79">
        <v>23.600000000000037</v>
      </c>
      <c r="AH63" s="79">
        <v>23.600000000000037</v>
      </c>
      <c r="AI63" s="79">
        <v>24.776000000000035</v>
      </c>
      <c r="AJ63" s="79">
        <v>24.776000000000035</v>
      </c>
      <c r="AK63" s="190">
        <v>52284.183288600289</v>
      </c>
      <c r="AL63" s="190">
        <v>52284.183288600027</v>
      </c>
      <c r="AM63" s="190">
        <v>104568.36667457869</v>
      </c>
      <c r="AN63" s="191">
        <v>178.73121359338845</v>
      </c>
      <c r="AO63" s="191">
        <v>1838.0181370244693</v>
      </c>
      <c r="AP63" s="79">
        <v>151.98232448401427</v>
      </c>
      <c r="AQ63" s="79">
        <v>85.052339273528418</v>
      </c>
      <c r="AR63" s="188">
        <v>12.456839242546334</v>
      </c>
      <c r="AS63" s="26">
        <f t="shared" si="2"/>
        <v>4446.892095701377</v>
      </c>
      <c r="AT63" s="189">
        <f t="shared" si="3"/>
        <v>1302.5913335208661</v>
      </c>
      <c r="AU63" s="2">
        <f>主翼!L107</f>
        <v>0</v>
      </c>
      <c r="AV63" s="28"/>
      <c r="AW63" s="28"/>
      <c r="AX63" s="28"/>
      <c r="AY63" s="28"/>
      <c r="AZ63" s="1"/>
      <c r="BA63" s="2" t="e">
        <f>IF((AF63-AF62)&gt;0,(AN62+AN63+SQRT(AN62*AN63))*(AF63-AF62)/3*10^-6*#REF!,0)</f>
        <v>#REF!</v>
      </c>
    </row>
    <row r="64" spans="2:53">
      <c r="AC64" s="1"/>
      <c r="AD64" s="206">
        <v>57</v>
      </c>
      <c r="AE64" s="104" t="str">
        <f t="shared" si="6"/>
        <v>3</v>
      </c>
      <c r="AF64" s="78">
        <f>VLOOKUP(AD64,主翼!B108:C207,2)</f>
        <v>10.200000000000014</v>
      </c>
      <c r="AG64" s="79">
        <v>22.750000000000039</v>
      </c>
      <c r="AH64" s="79">
        <v>22.750000000000039</v>
      </c>
      <c r="AI64" s="79">
        <v>23.926000000000037</v>
      </c>
      <c r="AJ64" s="79">
        <v>23.926000000000037</v>
      </c>
      <c r="AK64" s="190">
        <v>46963.597271462182</v>
      </c>
      <c r="AL64" s="190">
        <v>46963.597271462881</v>
      </c>
      <c r="AM64" s="190">
        <v>93927.194630422644</v>
      </c>
      <c r="AN64" s="191">
        <v>172.45034987769384</v>
      </c>
      <c r="AO64" s="191">
        <v>1711.1069044381368</v>
      </c>
      <c r="AP64" s="79">
        <v>146.64145397752742</v>
      </c>
      <c r="AQ64" s="79">
        <v>85.052339273528418</v>
      </c>
      <c r="AR64" s="188">
        <v>12.456839242546334</v>
      </c>
      <c r="AS64" s="26">
        <f t="shared" si="2"/>
        <v>3994.363808637755</v>
      </c>
      <c r="AT64" s="189">
        <f t="shared" si="3"/>
        <v>1170.0359640145359</v>
      </c>
      <c r="AU64" s="2">
        <f>主翼!L108</f>
        <v>0</v>
      </c>
      <c r="AV64" s="28"/>
      <c r="AW64" s="28"/>
      <c r="AX64" s="28"/>
      <c r="AY64" s="28"/>
      <c r="AZ64" s="1"/>
      <c r="BA64" s="2" t="e">
        <f>IF((AF64-AF63)&gt;0,(AN63+AN64+SQRT(AN63*AN64))*(AF64-AF63)/3*10^-6*#REF!,0)</f>
        <v>#REF!</v>
      </c>
    </row>
    <row r="65" spans="29:53">
      <c r="AC65" s="1"/>
      <c r="AD65" s="206">
        <v>58</v>
      </c>
      <c r="AE65" s="104" t="str">
        <f t="shared" si="6"/>
        <v>3</v>
      </c>
      <c r="AF65" s="78">
        <f>VLOOKUP(AD65,主翼!B109:C208,2)</f>
        <v>10.350000000000014</v>
      </c>
      <c r="AG65" s="79">
        <v>21.900000000000041</v>
      </c>
      <c r="AH65" s="79">
        <v>21.900000000000041</v>
      </c>
      <c r="AI65" s="79">
        <v>23.07600000000004</v>
      </c>
      <c r="AJ65" s="79">
        <v>23.07600000000004</v>
      </c>
      <c r="AK65" s="190">
        <v>42016.797387684179</v>
      </c>
      <c r="AL65" s="190">
        <v>42016.797387683924</v>
      </c>
      <c r="AM65" s="190">
        <v>84033.594853667557</v>
      </c>
      <c r="AN65" s="191">
        <v>166.16948616200702</v>
      </c>
      <c r="AO65" s="191">
        <v>1588.7352732362424</v>
      </c>
      <c r="AP65" s="79">
        <v>141.30058347109832</v>
      </c>
      <c r="AQ65" s="79">
        <v>85.052339273528418</v>
      </c>
      <c r="AR65" s="188">
        <v>12.456839242546334</v>
      </c>
      <c r="AS65" s="26">
        <f t="shared" si="2"/>
        <v>3573.6269066044174</v>
      </c>
      <c r="AT65" s="189">
        <f t="shared" si="3"/>
        <v>1046.7929820654058</v>
      </c>
      <c r="AU65" s="2">
        <f>主翼!L109</f>
        <v>0</v>
      </c>
      <c r="AV65" s="28"/>
      <c r="AW65" s="28"/>
      <c r="AX65" s="28"/>
      <c r="AY65" s="28"/>
      <c r="AZ65" s="1"/>
      <c r="BA65" s="2" t="e">
        <f>IF((AF65-AF64)&gt;0,(AN64+AN65+SQRT(AN64*AN65))*(AF65-AF64)/3*10^-6*#REF!,0)</f>
        <v>#REF!</v>
      </c>
    </row>
    <row r="66" spans="29:53">
      <c r="AC66" s="1"/>
      <c r="AD66" s="206">
        <v>59</v>
      </c>
      <c r="AE66" s="104" t="str">
        <f t="shared" si="6"/>
        <v>3</v>
      </c>
      <c r="AF66" s="78">
        <f>VLOOKUP(AD66,主翼!B110:C209,2)</f>
        <v>10.500000000000014</v>
      </c>
      <c r="AG66" s="79">
        <v>21.050000000000047</v>
      </c>
      <c r="AH66" s="79">
        <v>21.050000000000047</v>
      </c>
      <c r="AI66" s="79">
        <v>22.226000000000045</v>
      </c>
      <c r="AJ66" s="79">
        <v>22.226000000000045</v>
      </c>
      <c r="AK66" s="190">
        <v>37430.16986516225</v>
      </c>
      <c r="AL66" s="190">
        <v>37430.169865162316</v>
      </c>
      <c r="AM66" s="190">
        <v>74860.339800101676</v>
      </c>
      <c r="AN66" s="191">
        <v>159.88862244631213</v>
      </c>
      <c r="AO66" s="191">
        <v>1470.903243418785</v>
      </c>
      <c r="AP66" s="79">
        <v>135.95971296460743</v>
      </c>
      <c r="AQ66" s="79">
        <v>85.052339273528418</v>
      </c>
      <c r="AR66" s="188">
        <v>12.456839242546334</v>
      </c>
      <c r="AS66" s="26">
        <f t="shared" si="2"/>
        <v>3183.5235064375793</v>
      </c>
      <c r="AT66" s="189">
        <f t="shared" si="3"/>
        <v>932.52321853225976</v>
      </c>
      <c r="AU66" s="2">
        <f>主翼!L110</f>
        <v>0</v>
      </c>
      <c r="AV66" s="28"/>
      <c r="AW66" s="28"/>
      <c r="AX66" s="28"/>
      <c r="AY66" s="28"/>
      <c r="AZ66" s="1"/>
      <c r="BA66" s="2" t="e">
        <f>IF((AF66-AF65)&gt;0,(AN65+AN66+SQRT(AN65*AN66))*(AF66-AF65)/3*10^-6*#REF!,0)</f>
        <v>#REF!</v>
      </c>
    </row>
    <row r="67" spans="29:53">
      <c r="AC67" s="1"/>
      <c r="AD67" s="206">
        <v>60</v>
      </c>
      <c r="AE67" s="104" t="str">
        <f t="shared" si="6"/>
        <v>3</v>
      </c>
      <c r="AF67" s="78">
        <f>VLOOKUP(AD67,主翼!B111:C210,2)</f>
        <v>10.650000000000015</v>
      </c>
      <c r="AG67" s="79">
        <v>10</v>
      </c>
      <c r="AH67" s="79">
        <v>10</v>
      </c>
      <c r="AI67" s="79">
        <v>10</v>
      </c>
      <c r="AJ67" s="79">
        <v>10</v>
      </c>
      <c r="AK67" s="190">
        <v>3141.6885332410543</v>
      </c>
      <c r="AL67" s="190">
        <v>3141.6885332410707</v>
      </c>
      <c r="AM67" s="190">
        <v>6283.3770723367443</v>
      </c>
      <c r="AN67" s="191">
        <v>62.833770664800838</v>
      </c>
      <c r="AO67" s="191">
        <v>314.15926535897933</v>
      </c>
      <c r="AP67" s="79">
        <v>62.833770664800838</v>
      </c>
      <c r="AQ67" s="79">
        <v>85.052339273528418</v>
      </c>
      <c r="AR67" s="188">
        <v>12.456839242546334</v>
      </c>
      <c r="AS67" s="26">
        <f>AQ67*AK67*10^-3</f>
        <v>267.207959020972</v>
      </c>
      <c r="AT67" s="189">
        <f>AR67*AM67*10^-3</f>
        <v>78.271018090400247</v>
      </c>
      <c r="AU67" s="2">
        <f>主翼!L111</f>
        <v>0</v>
      </c>
      <c r="AV67" s="28"/>
      <c r="AW67" s="28"/>
      <c r="AX67" s="28"/>
      <c r="AY67" s="28"/>
      <c r="AZ67" s="1"/>
      <c r="BA67" s="2" t="e">
        <f>IF((AF67-AF66)&gt;0,(AN66+AN67+SQRT(AN66*AN67))*(AF67-AF66)/3*10^-6*#REF!,0)</f>
        <v>#REF!</v>
      </c>
    </row>
    <row r="68" spans="29:53">
      <c r="AC68" s="1"/>
      <c r="AD68" s="206"/>
      <c r="AE68" s="104"/>
      <c r="AF68" s="78"/>
      <c r="AG68" s="79"/>
      <c r="AH68" s="79"/>
      <c r="AI68" s="79"/>
      <c r="AJ68" s="79"/>
      <c r="AK68" s="190"/>
      <c r="AL68" s="190"/>
      <c r="AM68" s="190"/>
      <c r="AN68" s="191"/>
      <c r="AO68" s="191"/>
      <c r="AP68" s="79"/>
      <c r="AQ68" s="79"/>
      <c r="AR68" s="188"/>
      <c r="AS68" s="26"/>
      <c r="AT68" s="189"/>
      <c r="AU68" s="2">
        <f>主翼!L112</f>
        <v>0</v>
      </c>
      <c r="AV68" s="28"/>
      <c r="AW68" s="28"/>
      <c r="AX68" s="28"/>
      <c r="AY68" s="28"/>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topLeftCell="F4" zoomScaleNormal="55" workbookViewId="0">
      <selection activeCell="Q15" sqref="Q15"/>
    </sheetView>
  </sheetViews>
  <sheetFormatPr baseColWidth="10" defaultColWidth="11.5703125" defaultRowHeight="20"/>
  <sheetData>
    <row r="2" spans="2:21">
      <c r="B2" s="3"/>
      <c r="C2" s="3"/>
      <c r="D2" s="3"/>
      <c r="E2" s="3"/>
      <c r="F2" s="3" t="s">
        <v>615</v>
      </c>
      <c r="G2" s="3"/>
      <c r="H2" s="3"/>
      <c r="I2" s="3"/>
      <c r="J2" s="3" t="s">
        <v>616</v>
      </c>
      <c r="K2" s="3"/>
      <c r="L2" s="3"/>
      <c r="M2" s="3"/>
      <c r="N2" s="3" t="s">
        <v>617</v>
      </c>
      <c r="O2" s="3"/>
      <c r="P2" s="3"/>
      <c r="Q2" s="3"/>
      <c r="R2" s="3" t="s">
        <v>56</v>
      </c>
      <c r="S2" s="3"/>
      <c r="T2" s="3"/>
      <c r="U2" s="3"/>
    </row>
    <row r="3" spans="2:21">
      <c r="B3" s="103"/>
      <c r="C3" s="103" t="s">
        <v>158</v>
      </c>
      <c r="D3" s="103" t="s">
        <v>158</v>
      </c>
      <c r="E3" s="103" t="s">
        <v>158</v>
      </c>
      <c r="F3" s="103" t="s">
        <v>606</v>
      </c>
      <c r="G3" s="103" t="s">
        <v>607</v>
      </c>
      <c r="H3" s="103" t="s">
        <v>608</v>
      </c>
      <c r="I3" s="103" t="s">
        <v>609</v>
      </c>
      <c r="J3" s="103" t="s">
        <v>606</v>
      </c>
      <c r="K3" s="103" t="s">
        <v>607</v>
      </c>
      <c r="L3" s="103" t="s">
        <v>608</v>
      </c>
      <c r="M3" s="103" t="s">
        <v>609</v>
      </c>
      <c r="N3" s="103" t="s">
        <v>606</v>
      </c>
      <c r="O3" s="103" t="s">
        <v>607</v>
      </c>
      <c r="P3" s="103" t="s">
        <v>608</v>
      </c>
      <c r="Q3" s="103" t="s">
        <v>609</v>
      </c>
      <c r="R3" s="103" t="s">
        <v>606</v>
      </c>
      <c r="S3" s="103" t="s">
        <v>607</v>
      </c>
      <c r="T3" s="103" t="s">
        <v>608</v>
      </c>
      <c r="U3" s="103" t="s">
        <v>609</v>
      </c>
    </row>
    <row r="4" spans="2:21">
      <c r="B4" s="103"/>
      <c r="C4" s="1" t="s">
        <v>20</v>
      </c>
      <c r="D4" s="1" t="s">
        <v>22</v>
      </c>
      <c r="E4" s="1" t="s">
        <v>23</v>
      </c>
      <c r="F4" s="1" t="s">
        <v>618</v>
      </c>
      <c r="G4" s="1" t="s">
        <v>619</v>
      </c>
      <c r="H4" s="1" t="s">
        <v>620</v>
      </c>
      <c r="I4" s="1" t="s">
        <v>618</v>
      </c>
      <c r="J4" s="1" t="s">
        <v>619</v>
      </c>
      <c r="K4" s="1" t="s">
        <v>620</v>
      </c>
      <c r="L4" s="1" t="s">
        <v>621</v>
      </c>
      <c r="M4" s="1" t="s">
        <v>622</v>
      </c>
      <c r="N4" s="1" t="s">
        <v>623</v>
      </c>
      <c r="O4" s="1" t="s">
        <v>624</v>
      </c>
      <c r="P4" s="1" t="s">
        <v>625</v>
      </c>
      <c r="Q4" s="1" t="s">
        <v>622</v>
      </c>
      <c r="R4" s="1" t="s">
        <v>623</v>
      </c>
      <c r="S4" s="1" t="s">
        <v>624</v>
      </c>
      <c r="T4" s="1" t="s">
        <v>625</v>
      </c>
      <c r="U4" s="1" t="s">
        <v>622</v>
      </c>
    </row>
    <row r="5" spans="2:21">
      <c r="B5" s="103"/>
      <c r="C5" s="1" t="s">
        <v>37</v>
      </c>
      <c r="D5" s="1" t="s">
        <v>37</v>
      </c>
      <c r="E5" s="1" t="s">
        <v>37</v>
      </c>
      <c r="F5" s="1" t="s">
        <v>627</v>
      </c>
      <c r="G5" s="1" t="s">
        <v>627</v>
      </c>
      <c r="H5" s="1" t="s">
        <v>627</v>
      </c>
      <c r="I5" s="1" t="s">
        <v>627</v>
      </c>
      <c r="J5" s="1" t="s">
        <v>627</v>
      </c>
      <c r="K5" s="1" t="s">
        <v>627</v>
      </c>
      <c r="L5" s="1" t="s">
        <v>627</v>
      </c>
      <c r="M5" s="1" t="s">
        <v>627</v>
      </c>
      <c r="N5" s="1" t="s">
        <v>627</v>
      </c>
      <c r="O5" s="1" t="s">
        <v>627</v>
      </c>
      <c r="P5" s="1" t="s">
        <v>627</v>
      </c>
      <c r="Q5" s="1" t="s">
        <v>627</v>
      </c>
      <c r="R5" s="1" t="s">
        <v>627</v>
      </c>
      <c r="S5" s="1" t="s">
        <v>627</v>
      </c>
      <c r="T5" s="1" t="s">
        <v>627</v>
      </c>
      <c r="U5" s="1" t="s">
        <v>627</v>
      </c>
    </row>
    <row r="6" spans="2:21">
      <c r="B6" s="103" t="s">
        <v>612</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row>
    <row r="7" spans="2:21">
      <c r="B7" s="103" t="s">
        <v>628</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row>
    <row r="8" spans="2:21">
      <c r="B8" s="103" t="s">
        <v>629</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row>
    <row r="9" spans="2:21">
      <c r="B9" s="103" t="s">
        <v>630</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03" t="s">
        <v>631</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row>
    <row r="12" spans="2:21">
      <c r="L12" t="s">
        <v>1189</v>
      </c>
    </row>
    <row r="13" spans="2:21">
      <c r="L13" t="s">
        <v>1057</v>
      </c>
      <c r="M13" t="s">
        <v>9</v>
      </c>
      <c r="N13" t="s">
        <v>1193</v>
      </c>
      <c r="O13" t="s">
        <v>1192</v>
      </c>
      <c r="P13" t="s">
        <v>1194</v>
      </c>
      <c r="Q13" t="s">
        <v>1195</v>
      </c>
    </row>
    <row r="14" spans="2:21">
      <c r="K14" t="s">
        <v>1191</v>
      </c>
      <c r="L14">
        <v>0</v>
      </c>
      <c r="M14">
        <f>O14-0.35</f>
        <v>2.46</v>
      </c>
      <c r="N14">
        <f>O14-0.235</f>
        <v>2.5750000000000002</v>
      </c>
      <c r="O14">
        <v>2.81</v>
      </c>
      <c r="P14">
        <f>Q14-0.87</f>
        <v>2.83</v>
      </c>
      <c r="Q14">
        <v>3.7</v>
      </c>
    </row>
    <row r="15" spans="2:21">
      <c r="K15" t="s">
        <v>1190</v>
      </c>
      <c r="L15" s="3">
        <f t="shared" ref="L15:Q15" si="0">L14+$C$8</f>
        <v>0.45</v>
      </c>
      <c r="M15" s="3">
        <f t="shared" si="0"/>
        <v>2.91</v>
      </c>
      <c r="N15" s="3">
        <f t="shared" si="0"/>
        <v>3.0250000000000004</v>
      </c>
      <c r="O15" s="3">
        <f t="shared" si="0"/>
        <v>3.2600000000000002</v>
      </c>
      <c r="P15" s="3">
        <f t="shared" si="0"/>
        <v>3.2800000000000002</v>
      </c>
      <c r="Q15" s="3">
        <f t="shared" si="0"/>
        <v>4.1500000000000004</v>
      </c>
    </row>
    <row r="17" spans="2:27">
      <c r="Q17">
        <f>(P15+Q15)/2</f>
        <v>3.7150000000000003</v>
      </c>
    </row>
    <row r="21" spans="2:27">
      <c r="N21">
        <f>DEGREES(ATAN(0.54/4.15))</f>
        <v>7.4137004062125156</v>
      </c>
    </row>
    <row r="22" spans="2:27">
      <c r="N22">
        <f>4.15*TAN(RADIANS(5))</f>
        <v>0.36307795363258466</v>
      </c>
    </row>
    <row r="23" spans="2:27">
      <c r="N23">
        <f>DEGREES(ATAN(4/1000))</f>
        <v>0.22918189575410042</v>
      </c>
    </row>
    <row r="26" spans="2:27">
      <c r="B26" t="s">
        <v>760</v>
      </c>
    </row>
    <row r="28" spans="2:27">
      <c r="B28" s="33" t="s">
        <v>655</v>
      </c>
      <c r="C28" s="33" t="s">
        <v>753</v>
      </c>
      <c r="D28" s="33" t="s">
        <v>766</v>
      </c>
      <c r="E28" s="33" t="s">
        <v>761</v>
      </c>
    </row>
    <row r="29" spans="2:27">
      <c r="B29" s="30" t="s">
        <v>45</v>
      </c>
      <c r="C29" s="30" t="s">
        <v>37</v>
      </c>
      <c r="D29" s="30" t="s">
        <v>37</v>
      </c>
      <c r="E29" s="30" t="s">
        <v>36</v>
      </c>
    </row>
    <row r="30" spans="2:27">
      <c r="B30" s="125" t="s">
        <v>511</v>
      </c>
      <c r="C30" s="125">
        <v>0</v>
      </c>
      <c r="D30" s="125">
        <v>0</v>
      </c>
      <c r="E30" s="30">
        <v>0</v>
      </c>
    </row>
    <row r="31" spans="2:27">
      <c r="S31" t="s">
        <v>868</v>
      </c>
      <c r="W31" s="3" t="s">
        <v>792</v>
      </c>
      <c r="X31" s="3"/>
      <c r="Y31" s="3"/>
      <c r="Z31" s="3"/>
    </row>
    <row r="32" spans="2:27">
      <c r="B32" s="10" t="s">
        <v>648</v>
      </c>
      <c r="C32" s="10" t="s">
        <v>869</v>
      </c>
      <c r="D32" s="10" t="s">
        <v>604</v>
      </c>
      <c r="E32" s="10" t="s">
        <v>400</v>
      </c>
      <c r="F32" s="10" t="s">
        <v>605</v>
      </c>
      <c r="G32" s="10" t="s">
        <v>762</v>
      </c>
      <c r="H32" s="10" t="s">
        <v>763</v>
      </c>
      <c r="I32" s="10" t="s">
        <v>764</v>
      </c>
      <c r="J32" s="10" t="s">
        <v>765</v>
      </c>
      <c r="K32" s="10" t="s">
        <v>767</v>
      </c>
      <c r="L32" s="10" t="s">
        <v>596</v>
      </c>
      <c r="M32" s="10" t="s">
        <v>768</v>
      </c>
      <c r="N32" s="10"/>
      <c r="O32" s="10" t="s">
        <v>769</v>
      </c>
      <c r="P32" s="10" t="s">
        <v>726</v>
      </c>
      <c r="Q32" s="10" t="s">
        <v>770</v>
      </c>
      <c r="R32" s="10" t="s">
        <v>771</v>
      </c>
      <c r="S32" s="10" t="s">
        <v>772</v>
      </c>
      <c r="T32" s="10" t="s">
        <v>773</v>
      </c>
      <c r="U32" s="10" t="s">
        <v>774</v>
      </c>
      <c r="V32" s="10" t="s">
        <v>775</v>
      </c>
      <c r="W32" s="103" t="s">
        <v>793</v>
      </c>
      <c r="X32" s="103" t="s">
        <v>794</v>
      </c>
      <c r="Y32" s="103" t="s">
        <v>795</v>
      </c>
      <c r="Z32" s="103" t="s">
        <v>796</v>
      </c>
      <c r="AA32" s="103" t="s">
        <v>797</v>
      </c>
    </row>
    <row r="33" spans="2:27">
      <c r="B33" s="1" t="s">
        <v>475</v>
      </c>
      <c r="C33" s="1" t="s">
        <v>45</v>
      </c>
      <c r="D33" s="1" t="s">
        <v>597</v>
      </c>
      <c r="E33" s="1" t="s">
        <v>46</v>
      </c>
      <c r="F33" s="1" t="s">
        <v>46</v>
      </c>
      <c r="G33" s="1" t="s">
        <v>46</v>
      </c>
      <c r="H33" s="1" t="s">
        <v>46</v>
      </c>
      <c r="I33" s="1" t="s">
        <v>46</v>
      </c>
      <c r="J33" s="1" t="s">
        <v>46</v>
      </c>
      <c r="K33" s="1" t="s">
        <v>46</v>
      </c>
      <c r="L33" s="1" t="s">
        <v>602</v>
      </c>
      <c r="M33" s="1" t="s">
        <v>776</v>
      </c>
      <c r="N33" s="1" t="s">
        <v>777</v>
      </c>
      <c r="O33" s="1" t="s">
        <v>778</v>
      </c>
      <c r="P33" s="1" t="s">
        <v>779</v>
      </c>
      <c r="Q33" s="1" t="s">
        <v>780</v>
      </c>
      <c r="R33" s="1" t="s">
        <v>781</v>
      </c>
      <c r="S33" s="1" t="s">
        <v>782</v>
      </c>
      <c r="T33" s="1" t="s">
        <v>783</v>
      </c>
      <c r="U33" s="1" t="s">
        <v>784</v>
      </c>
      <c r="V33" s="1" t="s">
        <v>785</v>
      </c>
      <c r="W33" s="1" t="s">
        <v>798</v>
      </c>
      <c r="X33" s="1" t="s">
        <v>799</v>
      </c>
      <c r="Y33" s="1" t="s">
        <v>800</v>
      </c>
      <c r="Z33" s="1" t="s">
        <v>801</v>
      </c>
      <c r="AA33" s="1" t="s">
        <v>802</v>
      </c>
    </row>
    <row r="34" spans="2:27" ht="21" thickBot="1">
      <c r="B34" s="19" t="s">
        <v>5</v>
      </c>
      <c r="C34" s="19" t="s">
        <v>45</v>
      </c>
      <c r="D34" s="19" t="s">
        <v>610</v>
      </c>
      <c r="E34" s="19" t="s">
        <v>610</v>
      </c>
      <c r="F34" s="19" t="s">
        <v>626</v>
      </c>
      <c r="G34" s="19" t="s">
        <v>627</v>
      </c>
      <c r="H34" s="19" t="s">
        <v>627</v>
      </c>
      <c r="I34" s="19" t="s">
        <v>627</v>
      </c>
      <c r="J34" s="19" t="s">
        <v>627</v>
      </c>
      <c r="K34" s="19" t="s">
        <v>45</v>
      </c>
      <c r="L34" s="19" t="s">
        <v>611</v>
      </c>
      <c r="M34" s="19" t="s">
        <v>786</v>
      </c>
      <c r="N34" s="19" t="s">
        <v>786</v>
      </c>
      <c r="O34" s="19" t="s">
        <v>786</v>
      </c>
      <c r="P34" s="19" t="s">
        <v>787</v>
      </c>
      <c r="Q34" s="19" t="s">
        <v>788</v>
      </c>
      <c r="R34" s="19" t="s">
        <v>789</v>
      </c>
      <c r="S34" s="19" t="s">
        <v>790</v>
      </c>
      <c r="T34" s="19" t="s">
        <v>790</v>
      </c>
      <c r="U34" s="19" t="s">
        <v>791</v>
      </c>
      <c r="V34" s="19" t="s">
        <v>791</v>
      </c>
      <c r="W34" s="19" t="s">
        <v>803</v>
      </c>
      <c r="X34" s="19" t="s">
        <v>804</v>
      </c>
      <c r="Y34" s="19" t="s">
        <v>805</v>
      </c>
      <c r="Z34" s="19" t="s">
        <v>803</v>
      </c>
      <c r="AA34" s="19" t="s">
        <v>675</v>
      </c>
    </row>
    <row r="35" spans="2:27" ht="21" thickTop="1">
      <c r="B35" s="4">
        <v>0</v>
      </c>
      <c r="C35" s="126" t="s">
        <v>511</v>
      </c>
      <c r="D35" s="104">
        <v>15</v>
      </c>
      <c r="E35" s="104">
        <v>15</v>
      </c>
      <c r="F35" s="104">
        <v>0</v>
      </c>
      <c r="G35" s="126">
        <v>0</v>
      </c>
      <c r="H35" s="126">
        <v>0</v>
      </c>
      <c r="I35" s="104">
        <v>0</v>
      </c>
      <c r="J35" s="104">
        <v>0</v>
      </c>
      <c r="K35" s="104">
        <v>0</v>
      </c>
      <c r="L35" s="2">
        <v>0</v>
      </c>
      <c r="M35" s="1">
        <v>128.55212654337893</v>
      </c>
      <c r="N35" s="1">
        <v>16.303408580287435</v>
      </c>
      <c r="O35" s="28">
        <v>-1041.8410000000001</v>
      </c>
      <c r="P35" s="28">
        <v>-1041.8410000000001</v>
      </c>
      <c r="Q35" s="28">
        <v>-1041.8410000000001</v>
      </c>
      <c r="R35" s="28">
        <v>-1041.8410000000001</v>
      </c>
      <c r="S35" s="28">
        <v>-1041.8410000000001</v>
      </c>
      <c r="T35" s="28">
        <v>-1041.8410000000001</v>
      </c>
      <c r="U35" s="28">
        <v>-1041.8410000000001</v>
      </c>
      <c r="V35" s="28">
        <v>-1041.8410000000001</v>
      </c>
      <c r="W35" s="28">
        <v>-1041.8410000000001</v>
      </c>
      <c r="X35" s="28">
        <v>-1041.8410000000001</v>
      </c>
      <c r="Y35" s="28">
        <v>-1041.8410000000001</v>
      </c>
      <c r="Z35" s="28">
        <v>-1041.8410000000001</v>
      </c>
      <c r="AA35" s="28">
        <v>-1041.8410000000001</v>
      </c>
    </row>
    <row r="36" spans="2:27">
      <c r="B36" s="21">
        <v>3.5</v>
      </c>
      <c r="C36" s="27"/>
      <c r="D36" s="28"/>
      <c r="E36" s="28"/>
      <c r="F36" s="28"/>
      <c r="G36" s="27"/>
      <c r="H36" s="27"/>
      <c r="I36" s="28"/>
      <c r="J36" s="28"/>
      <c r="K36" s="28"/>
      <c r="L36" s="1"/>
      <c r="M36" s="1"/>
      <c r="N36" s="1"/>
      <c r="O36" s="28"/>
      <c r="P36" s="28"/>
      <c r="Q36" s="28"/>
      <c r="R36" s="28"/>
      <c r="S36" s="28"/>
      <c r="T36" s="28"/>
      <c r="U36" s="28"/>
      <c r="V36" s="28"/>
      <c r="W36" s="28"/>
      <c r="X36" s="28"/>
      <c r="Y36" s="28"/>
      <c r="Z36" s="28"/>
      <c r="AA36" s="28"/>
    </row>
    <row r="37" spans="2:27">
      <c r="B37" s="21"/>
      <c r="C37" s="27"/>
      <c r="D37" s="28"/>
      <c r="E37" s="28"/>
      <c r="F37" s="28"/>
      <c r="G37" s="27"/>
      <c r="H37" s="27"/>
      <c r="I37" s="28"/>
      <c r="J37" s="28"/>
      <c r="K37" s="28"/>
      <c r="L37" s="1"/>
      <c r="M37" s="1"/>
      <c r="N37" s="1"/>
      <c r="O37" s="28"/>
      <c r="P37" s="28"/>
      <c r="Q37" s="28"/>
      <c r="R37" s="28"/>
      <c r="S37" s="28"/>
      <c r="T37" s="28"/>
      <c r="U37" s="28"/>
      <c r="V37" s="28"/>
      <c r="W37" s="28"/>
      <c r="X37" s="28"/>
      <c r="Y37" s="28"/>
      <c r="Z37" s="28"/>
      <c r="AA37" s="28"/>
    </row>
    <row r="38" spans="2:27">
      <c r="B38" s="21"/>
      <c r="C38" s="27"/>
      <c r="D38" s="28"/>
      <c r="E38" s="28"/>
      <c r="F38" s="28"/>
      <c r="G38" s="27"/>
      <c r="H38" s="27"/>
      <c r="I38" s="28"/>
      <c r="J38" s="28"/>
      <c r="K38" s="28"/>
      <c r="L38" s="1"/>
      <c r="M38" s="1"/>
      <c r="N38" s="1"/>
      <c r="O38" s="28"/>
      <c r="P38" s="28"/>
      <c r="Q38" s="28"/>
      <c r="R38" s="28"/>
      <c r="S38" s="28"/>
      <c r="T38" s="28"/>
      <c r="U38" s="28"/>
      <c r="V38" s="28"/>
      <c r="W38" s="28"/>
      <c r="X38" s="28"/>
      <c r="Y38" s="28"/>
      <c r="Z38" s="28"/>
      <c r="AA38" s="28"/>
    </row>
    <row r="40" spans="2:27">
      <c r="B40" s="30" t="s">
        <v>870</v>
      </c>
      <c r="C40" s="125">
        <v>500</v>
      </c>
      <c r="D40" s="30" t="s">
        <v>789</v>
      </c>
      <c r="F40" s="30" t="s">
        <v>882</v>
      </c>
      <c r="G40" s="30">
        <f>(C38-C39)*(C40-1)+C38</f>
        <v>0</v>
      </c>
      <c r="H40" s="30" t="s">
        <v>789</v>
      </c>
    </row>
    <row r="41" spans="2:27">
      <c r="B41" s="30" t="s">
        <v>871</v>
      </c>
      <c r="C41" s="125">
        <v>40</v>
      </c>
      <c r="D41" s="30" t="s">
        <v>789</v>
      </c>
      <c r="F41" s="30" t="s">
        <v>884</v>
      </c>
      <c r="G41" s="30">
        <f>G40-C41*2</f>
        <v>-80</v>
      </c>
      <c r="H41" s="30" t="s">
        <v>789</v>
      </c>
      <c r="J41" s="1" t="s">
        <v>889</v>
      </c>
      <c r="K41" s="21">
        <v>10</v>
      </c>
      <c r="L41" s="1" t="s">
        <v>789</v>
      </c>
      <c r="Q41" t="s">
        <v>880</v>
      </c>
      <c r="R41" t="s">
        <v>881</v>
      </c>
    </row>
    <row r="42" spans="2:27">
      <c r="B42" s="30" t="s">
        <v>872</v>
      </c>
      <c r="C42" s="125">
        <v>9</v>
      </c>
      <c r="D42" s="30" t="s">
        <v>873</v>
      </c>
      <c r="F42" s="30" t="s">
        <v>886</v>
      </c>
      <c r="G42" s="30">
        <f>(G41-C37)/2</f>
        <v>-40</v>
      </c>
      <c r="H42" s="30" t="s">
        <v>789</v>
      </c>
      <c r="J42" s="1" t="s">
        <v>890</v>
      </c>
      <c r="K42" s="21">
        <v>10</v>
      </c>
      <c r="L42" s="1" t="s">
        <v>789</v>
      </c>
      <c r="O42" t="s">
        <v>883</v>
      </c>
      <c r="P42" s="30" t="s">
        <v>876</v>
      </c>
      <c r="Q42" s="132">
        <f>G38</f>
        <v>0</v>
      </c>
      <c r="R42" s="132">
        <f>Q42+K40*(K37+K38)*2</f>
        <v>0</v>
      </c>
    </row>
    <row r="43" spans="2:27">
      <c r="B43" s="30" t="s">
        <v>874</v>
      </c>
      <c r="C43" s="125">
        <v>50</v>
      </c>
      <c r="D43" s="30" t="s">
        <v>789</v>
      </c>
      <c r="F43" s="30" t="s">
        <v>892</v>
      </c>
      <c r="G43" s="30"/>
      <c r="H43" s="30" t="s">
        <v>36</v>
      </c>
      <c r="J43" s="1" t="s">
        <v>891</v>
      </c>
      <c r="K43" s="27">
        <v>1000</v>
      </c>
      <c r="L43" s="1" t="s">
        <v>789</v>
      </c>
      <c r="P43" s="30" t="s">
        <v>885</v>
      </c>
      <c r="Q43" s="132">
        <f>G38*G37</f>
        <v>0</v>
      </c>
      <c r="R43" s="132">
        <f>Q43+K40*K37*2</f>
        <v>0</v>
      </c>
    </row>
    <row r="44" spans="2:27">
      <c r="P44" s="30" t="s">
        <v>887</v>
      </c>
      <c r="Q44" s="132">
        <f>G39</f>
        <v>0</v>
      </c>
      <c r="R44" s="132">
        <f>Q44+K40*(K37+K38)*2</f>
        <v>0</v>
      </c>
    </row>
    <row r="45" spans="2:27">
      <c r="P45" s="30" t="s">
        <v>879</v>
      </c>
      <c r="Q45" s="132">
        <f>G39*G37</f>
        <v>0</v>
      </c>
      <c r="R45" s="132">
        <f>Q45+K40*K37*2</f>
        <v>0</v>
      </c>
    </row>
    <row r="46" spans="2:27">
      <c r="B46" s="33" t="s">
        <v>875</v>
      </c>
      <c r="C46" s="33">
        <v>1</v>
      </c>
      <c r="D46" s="33">
        <v>2</v>
      </c>
      <c r="E46" s="33">
        <v>3</v>
      </c>
      <c r="F46" s="33">
        <v>4</v>
      </c>
      <c r="G46" s="33">
        <v>5</v>
      </c>
      <c r="H46" s="33">
        <v>6</v>
      </c>
      <c r="I46" s="33">
        <v>7</v>
      </c>
      <c r="J46" s="33">
        <v>8</v>
      </c>
      <c r="K46" s="33">
        <v>9</v>
      </c>
      <c r="L46" s="33"/>
      <c r="M46" s="33"/>
      <c r="O46" t="s">
        <v>888</v>
      </c>
      <c r="P46" s="30" t="s">
        <v>876</v>
      </c>
      <c r="Q46" s="132" t="e">
        <f>C47-#REF!*C41</f>
        <v>#REF!</v>
      </c>
      <c r="R46" s="132" t="e">
        <f>Q46+K40*(K37+K38)*2</f>
        <v>#REF!</v>
      </c>
    </row>
    <row r="47" spans="2:27">
      <c r="B47" s="33" t="s">
        <v>876</v>
      </c>
      <c r="C47" s="131" t="e">
        <f>G38+$G$7*(#REF!-$C$4)/2</f>
        <v>#REF!</v>
      </c>
      <c r="D47" s="131" t="e">
        <f t="shared" ref="D47:K47" si="1">C49+$G$7*$C$6</f>
        <v>#REF!</v>
      </c>
      <c r="E47" s="131" t="e">
        <f t="shared" si="1"/>
        <v>#REF!</v>
      </c>
      <c r="F47" s="131" t="e">
        <f t="shared" si="1"/>
        <v>#REF!</v>
      </c>
      <c r="G47" s="131" t="e">
        <f t="shared" si="1"/>
        <v>#REF!</v>
      </c>
      <c r="H47" s="131" t="e">
        <f t="shared" si="1"/>
        <v>#REF!</v>
      </c>
      <c r="I47" s="131" t="e">
        <f t="shared" si="1"/>
        <v>#REF!</v>
      </c>
      <c r="J47" s="131" t="e">
        <f t="shared" si="1"/>
        <v>#REF!</v>
      </c>
      <c r="K47" s="131" t="e">
        <f t="shared" si="1"/>
        <v>#REF!</v>
      </c>
      <c r="L47" s="131"/>
      <c r="M47" s="131"/>
      <c r="P47" s="30" t="s">
        <v>885</v>
      </c>
      <c r="Q47" s="132" t="e">
        <f>Q46*G37</f>
        <v>#REF!</v>
      </c>
      <c r="R47" s="132" t="e">
        <f>Q47+K40*K37*2</f>
        <v>#REF!</v>
      </c>
    </row>
    <row r="48" spans="2:27">
      <c r="B48" s="33" t="s">
        <v>877</v>
      </c>
      <c r="C48" s="131" t="e">
        <f>C47*G37</f>
        <v>#REF!</v>
      </c>
      <c r="D48" s="131" t="e">
        <f t="shared" ref="D48:K48" si="2">D47*$G$4</f>
        <v>#REF!</v>
      </c>
      <c r="E48" s="131" t="e">
        <f t="shared" si="2"/>
        <v>#REF!</v>
      </c>
      <c r="F48" s="131" t="e">
        <f t="shared" si="2"/>
        <v>#REF!</v>
      </c>
      <c r="G48" s="131" t="e">
        <f t="shared" si="2"/>
        <v>#REF!</v>
      </c>
      <c r="H48" s="131" t="e">
        <f t="shared" si="2"/>
        <v>#REF!</v>
      </c>
      <c r="I48" s="131" t="e">
        <f t="shared" si="2"/>
        <v>#REF!</v>
      </c>
      <c r="J48" s="131" t="e">
        <f t="shared" si="2"/>
        <v>#REF!</v>
      </c>
      <c r="K48" s="131" t="e">
        <f t="shared" si="2"/>
        <v>#REF!</v>
      </c>
      <c r="L48" s="131"/>
      <c r="M48" s="131"/>
      <c r="P48" s="30" t="s">
        <v>887</v>
      </c>
      <c r="Q48" s="132" t="e">
        <f>J49+C41*#REF!</f>
        <v>#REF!</v>
      </c>
      <c r="R48" s="132" t="e">
        <f>Q48+K40*(K37+K38)*2</f>
        <v>#REF!</v>
      </c>
    </row>
    <row r="49" spans="2:18">
      <c r="B49" s="33" t="s">
        <v>878</v>
      </c>
      <c r="C49" s="131" t="e">
        <f t="shared" ref="C49:K49" si="3">C47-$G$7*$C$5</f>
        <v>#REF!</v>
      </c>
      <c r="D49" s="131" t="e">
        <f t="shared" si="3"/>
        <v>#REF!</v>
      </c>
      <c r="E49" s="131" t="e">
        <f t="shared" si="3"/>
        <v>#REF!</v>
      </c>
      <c r="F49" s="131" t="e">
        <f t="shared" si="3"/>
        <v>#REF!</v>
      </c>
      <c r="G49" s="131" t="e">
        <f t="shared" si="3"/>
        <v>#REF!</v>
      </c>
      <c r="H49" s="131" t="e">
        <f t="shared" si="3"/>
        <v>#REF!</v>
      </c>
      <c r="I49" s="131" t="e">
        <f t="shared" si="3"/>
        <v>#REF!</v>
      </c>
      <c r="J49" s="131" t="e">
        <f t="shared" si="3"/>
        <v>#REF!</v>
      </c>
      <c r="K49" s="131" t="e">
        <f t="shared" si="3"/>
        <v>#REF!</v>
      </c>
      <c r="L49" s="131"/>
      <c r="M49" s="131"/>
      <c r="P49" s="30" t="s">
        <v>879</v>
      </c>
      <c r="Q49" s="132" t="e">
        <f>Q48*G37</f>
        <v>#REF!</v>
      </c>
      <c r="R49" s="132" t="e">
        <f>Q49+K40*K37*2</f>
        <v>#REF!</v>
      </c>
    </row>
    <row r="50" spans="2:18">
      <c r="B50" s="33" t="s">
        <v>879</v>
      </c>
      <c r="C50" s="131" t="e">
        <f t="shared" ref="C50:K50" si="4">C49*$G$4</f>
        <v>#REF!</v>
      </c>
      <c r="D50" s="131" t="e">
        <f t="shared" si="4"/>
        <v>#REF!</v>
      </c>
      <c r="E50" s="131" t="e">
        <f t="shared" si="4"/>
        <v>#REF!</v>
      </c>
      <c r="F50" s="131" t="e">
        <f t="shared" si="4"/>
        <v>#REF!</v>
      </c>
      <c r="G50" s="131" t="e">
        <f t="shared" si="4"/>
        <v>#REF!</v>
      </c>
      <c r="H50" s="131" t="e">
        <f t="shared" si="4"/>
        <v>#REF!</v>
      </c>
      <c r="I50" s="131" t="e">
        <f t="shared" si="4"/>
        <v>#REF!</v>
      </c>
      <c r="J50" s="131" t="e">
        <f t="shared" si="4"/>
        <v>#REF!</v>
      </c>
      <c r="K50" s="131" t="e">
        <f t="shared" si="4"/>
        <v>#REF!</v>
      </c>
      <c r="L50" s="131"/>
      <c r="M50" s="13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topLeftCell="F1" zoomScale="85" zoomScaleNormal="85" workbookViewId="0">
      <selection activeCell="H3" sqref="H3"/>
    </sheetView>
  </sheetViews>
  <sheetFormatPr baseColWidth="10" defaultColWidth="8.7109375" defaultRowHeight="20"/>
  <cols>
    <col min="3" max="3" width="14" customWidth="1"/>
    <col min="5" max="5" width="8.7109375" customWidth="1"/>
    <col min="6" max="6" width="8.85546875" customWidth="1"/>
    <col min="7" max="7" width="74.85546875" customWidth="1"/>
    <col min="8" max="8" width="12.28515625" customWidth="1"/>
    <col min="9" max="9" width="11.5703125" customWidth="1"/>
    <col min="10" max="13" width="12.28515625" customWidth="1"/>
  </cols>
  <sheetData>
    <row r="3" spans="2:13">
      <c r="G3" t="s">
        <v>959</v>
      </c>
      <c r="H3">
        <f>D9*0.147</f>
        <v>1.7639999999999998</v>
      </c>
      <c r="I3">
        <f>E9*0.147</f>
        <v>1.1759999999999999</v>
      </c>
    </row>
    <row r="4" spans="2:13">
      <c r="B4" s="33" t="s">
        <v>963</v>
      </c>
      <c r="C4" s="33" t="s">
        <v>100</v>
      </c>
      <c r="D4" s="33" t="s">
        <v>964</v>
      </c>
      <c r="E4" s="33" t="s">
        <v>965</v>
      </c>
      <c r="F4" s="33" t="s">
        <v>605</v>
      </c>
      <c r="G4" s="33" t="s">
        <v>958</v>
      </c>
      <c r="H4" s="33" t="s">
        <v>1278</v>
      </c>
      <c r="I4" s="33" t="s">
        <v>1277</v>
      </c>
      <c r="J4" s="33" t="s">
        <v>966</v>
      </c>
      <c r="K4" s="33" t="s">
        <v>967</v>
      </c>
      <c r="L4" s="33" t="s">
        <v>968</v>
      </c>
      <c r="M4" s="33" t="s">
        <v>969</v>
      </c>
    </row>
    <row r="5" spans="2:13">
      <c r="B5" s="30" t="s">
        <v>46</v>
      </c>
      <c r="C5" s="30" t="s">
        <v>46</v>
      </c>
      <c r="D5" s="30" t="s">
        <v>597</v>
      </c>
      <c r="E5" s="30" t="s">
        <v>46</v>
      </c>
      <c r="F5" s="30" t="s">
        <v>46</v>
      </c>
      <c r="G5" s="30" t="s">
        <v>46</v>
      </c>
      <c r="H5" s="30" t="s">
        <v>132</v>
      </c>
      <c r="I5" s="30" t="s">
        <v>132</v>
      </c>
      <c r="J5" s="30" t="s">
        <v>633</v>
      </c>
      <c r="K5" s="30" t="s">
        <v>634</v>
      </c>
      <c r="L5" s="30" t="s">
        <v>635</v>
      </c>
      <c r="M5" s="30"/>
    </row>
    <row r="6" spans="2:13" ht="21" thickBot="1">
      <c r="B6" s="74" t="s">
        <v>46</v>
      </c>
      <c r="C6" s="74" t="s">
        <v>46</v>
      </c>
      <c r="D6" s="74" t="s">
        <v>46</v>
      </c>
      <c r="E6" s="74" t="s">
        <v>46</v>
      </c>
      <c r="F6" s="74" t="s">
        <v>46</v>
      </c>
      <c r="G6" s="74" t="s">
        <v>46</v>
      </c>
      <c r="H6" s="74" t="s">
        <v>996</v>
      </c>
      <c r="I6" s="74" t="s">
        <v>996</v>
      </c>
      <c r="J6" s="74" t="s">
        <v>116</v>
      </c>
      <c r="K6" s="74" t="s">
        <v>116</v>
      </c>
      <c r="L6" s="74" t="s">
        <v>46</v>
      </c>
      <c r="M6" s="74"/>
    </row>
    <row r="7" spans="2:13" ht="21" thickTop="1">
      <c r="B7" s="130" t="s">
        <v>970</v>
      </c>
      <c r="C7" s="125" t="s">
        <v>103</v>
      </c>
      <c r="D7" s="194">
        <v>15</v>
      </c>
      <c r="E7" s="194">
        <v>15</v>
      </c>
      <c r="F7" s="194">
        <v>0</v>
      </c>
      <c r="G7" s="130" t="s">
        <v>971</v>
      </c>
      <c r="H7" s="188">
        <v>1.6950000000000001</v>
      </c>
      <c r="I7" s="188">
        <v>1.6950000000000001</v>
      </c>
      <c r="J7" s="188">
        <v>128.54669117765229</v>
      </c>
      <c r="K7" s="188">
        <v>16.301557051223895</v>
      </c>
      <c r="L7" s="188">
        <v>0.3102623243021736</v>
      </c>
      <c r="M7" s="188"/>
    </row>
    <row r="8" spans="2:13">
      <c r="B8" s="125" t="s">
        <v>983</v>
      </c>
      <c r="C8" s="125" t="s">
        <v>102</v>
      </c>
      <c r="D8" s="197">
        <v>15</v>
      </c>
      <c r="E8" s="197">
        <v>8</v>
      </c>
      <c r="F8" s="197">
        <v>7</v>
      </c>
      <c r="G8" s="125" t="s">
        <v>972</v>
      </c>
      <c r="H8" s="79">
        <v>2.2050000000000001</v>
      </c>
      <c r="I8" s="79">
        <v>1.1759999999999999</v>
      </c>
      <c r="J8" s="79">
        <v>98.144577856034871</v>
      </c>
      <c r="K8" s="79">
        <v>13.020628525382756</v>
      </c>
      <c r="L8" s="79">
        <v>0.32222199749785485</v>
      </c>
      <c r="M8" s="79"/>
    </row>
    <row r="9" spans="2:13">
      <c r="B9" s="125" t="s">
        <v>986</v>
      </c>
      <c r="C9" s="125" t="s">
        <v>102</v>
      </c>
      <c r="D9" s="197">
        <v>12</v>
      </c>
      <c r="E9" s="197">
        <v>8</v>
      </c>
      <c r="F9" s="197">
        <v>4</v>
      </c>
      <c r="G9" s="125" t="s">
        <v>973</v>
      </c>
      <c r="H9" s="79">
        <v>2.4989999999999997</v>
      </c>
      <c r="I9" s="79">
        <v>1.47</v>
      </c>
      <c r="J9" s="79">
        <v>88.708836278420023</v>
      </c>
      <c r="K9" s="79">
        <v>11.959378110631844</v>
      </c>
      <c r="L9" s="79">
        <v>0.21741313156667993</v>
      </c>
      <c r="M9" s="79"/>
    </row>
    <row r="10" spans="2:13">
      <c r="B10" s="125" t="s">
        <v>989</v>
      </c>
      <c r="C10" s="125" t="s">
        <v>102</v>
      </c>
      <c r="D10" s="197">
        <v>8</v>
      </c>
      <c r="E10" s="197">
        <v>8</v>
      </c>
      <c r="F10" s="197">
        <v>0</v>
      </c>
      <c r="G10" s="125" t="s">
        <v>974</v>
      </c>
      <c r="H10" s="79">
        <v>1.7639999999999998</v>
      </c>
      <c r="I10" s="79">
        <v>1.1759999999999999</v>
      </c>
      <c r="J10" s="79">
        <v>85.903385282820111</v>
      </c>
      <c r="K10" s="79">
        <v>15.275785656728447</v>
      </c>
      <c r="L10" s="79">
        <v>0.32217766505946849</v>
      </c>
      <c r="M10" s="79"/>
    </row>
    <row r="11" spans="2:13">
      <c r="B11" s="125" t="s">
        <v>1275</v>
      </c>
      <c r="C11" s="125" t="s">
        <v>102</v>
      </c>
      <c r="D11" s="197">
        <v>5</v>
      </c>
      <c r="E11" s="197">
        <v>5</v>
      </c>
      <c r="F11" s="197">
        <v>0</v>
      </c>
      <c r="G11" s="125" t="s">
        <v>976</v>
      </c>
      <c r="H11" s="79">
        <v>2.0579999999999998</v>
      </c>
      <c r="I11" s="79">
        <v>1.47</v>
      </c>
      <c r="J11" s="79">
        <v>76.171783392281426</v>
      </c>
      <c r="K11" s="79">
        <v>13.664959134338668</v>
      </c>
      <c r="L11" s="79">
        <v>0.2138972933390928</v>
      </c>
      <c r="M11" s="79"/>
    </row>
    <row r="12" spans="2:13">
      <c r="B12" s="125" t="s">
        <v>54</v>
      </c>
      <c r="C12" s="125" t="s">
        <v>102</v>
      </c>
      <c r="D12" s="197">
        <v>4</v>
      </c>
      <c r="E12" s="197">
        <v>4</v>
      </c>
      <c r="F12" s="197">
        <v>0</v>
      </c>
      <c r="G12" s="125" t="s">
        <v>975</v>
      </c>
      <c r="H12" s="79">
        <v>1.1759999999999999</v>
      </c>
      <c r="I12" s="79">
        <v>1.1759999999999999</v>
      </c>
      <c r="J12" s="79">
        <v>85.052339273528418</v>
      </c>
      <c r="K12" s="79">
        <v>12.456839242546334</v>
      </c>
      <c r="L12" s="79">
        <v>0.21626661808150291</v>
      </c>
      <c r="M12" s="79"/>
    </row>
    <row r="13" spans="2:13">
      <c r="B13" s="125" t="s">
        <v>534</v>
      </c>
      <c r="C13" s="125" t="s">
        <v>102</v>
      </c>
      <c r="D13" s="197">
        <v>8</v>
      </c>
      <c r="E13" s="197">
        <v>6</v>
      </c>
      <c r="F13" s="197">
        <v>2</v>
      </c>
      <c r="G13" s="125" t="s">
        <v>981</v>
      </c>
      <c r="H13" s="79">
        <v>0.73499999999999999</v>
      </c>
      <c r="I13" s="79">
        <v>0.73499999999999999</v>
      </c>
      <c r="J13" s="79">
        <v>92.370558215228073</v>
      </c>
      <c r="K13" s="79">
        <v>3.9999999999999996</v>
      </c>
      <c r="L13" s="79">
        <v>4.5751633986928116E-2</v>
      </c>
      <c r="M13" s="79"/>
    </row>
    <row r="14" spans="2:13">
      <c r="B14" s="125" t="s">
        <v>992</v>
      </c>
      <c r="C14" s="125" t="s">
        <v>102</v>
      </c>
      <c r="D14" s="197">
        <v>7</v>
      </c>
      <c r="E14" s="197">
        <v>7</v>
      </c>
      <c r="F14" s="197">
        <v>0</v>
      </c>
      <c r="G14" s="125" t="s">
        <v>982</v>
      </c>
      <c r="H14" s="79">
        <v>0.58799999999999997</v>
      </c>
      <c r="I14" s="79">
        <v>0.58799999999999997</v>
      </c>
      <c r="J14" s="79">
        <v>78.504487918393622</v>
      </c>
      <c r="K14" s="79">
        <v>3.9999999999999996</v>
      </c>
      <c r="L14" s="79">
        <v>3.766816143497758E-2</v>
      </c>
      <c r="M14" s="79"/>
    </row>
    <row r="15" spans="2:13">
      <c r="B15" s="125" t="s">
        <v>993</v>
      </c>
      <c r="C15" s="125" t="s">
        <v>102</v>
      </c>
      <c r="D15" s="197">
        <v>7</v>
      </c>
      <c r="E15" s="197">
        <v>7</v>
      </c>
      <c r="F15" s="197">
        <v>0</v>
      </c>
      <c r="G15" s="125" t="s">
        <v>982</v>
      </c>
      <c r="H15" s="79">
        <v>2.3519999999999999</v>
      </c>
      <c r="I15" s="79">
        <v>1.47</v>
      </c>
      <c r="J15" s="79">
        <v>96.444703565710427</v>
      </c>
      <c r="K15" s="79">
        <v>10.342629431909753</v>
      </c>
      <c r="L15" s="79">
        <v>0.2012550987364857</v>
      </c>
      <c r="M15" s="79"/>
    </row>
    <row r="16" spans="2:13">
      <c r="B16" s="125" t="s">
        <v>994</v>
      </c>
      <c r="C16" s="125" t="s">
        <v>102</v>
      </c>
      <c r="D16" s="197">
        <v>7</v>
      </c>
      <c r="E16" s="197">
        <v>7</v>
      </c>
      <c r="F16" s="197">
        <v>0</v>
      </c>
      <c r="G16" s="125" t="s">
        <v>982</v>
      </c>
      <c r="H16" s="79">
        <v>2.3519999999999999</v>
      </c>
      <c r="I16" s="79">
        <v>1.7639999999999998</v>
      </c>
      <c r="J16" s="79">
        <v>88.05948027706377</v>
      </c>
      <c r="K16" s="79">
        <v>10.342629431909753</v>
      </c>
      <c r="L16" s="79">
        <v>0.16943724529910401</v>
      </c>
      <c r="M16" s="79"/>
    </row>
    <row r="17" spans="2:13">
      <c r="B17" s="125" t="s">
        <v>995</v>
      </c>
      <c r="C17" s="125" t="s">
        <v>102</v>
      </c>
      <c r="D17" s="197">
        <v>3</v>
      </c>
      <c r="E17" s="197">
        <v>3</v>
      </c>
      <c r="F17" s="197">
        <v>0</v>
      </c>
      <c r="G17" s="125" t="s">
        <v>1276</v>
      </c>
      <c r="H17" s="79">
        <v>1.1759999999999999</v>
      </c>
      <c r="I17" s="79">
        <v>0.8819999999999999</v>
      </c>
      <c r="J17" s="79">
        <v>85.052339273528418</v>
      </c>
      <c r="K17" s="79">
        <v>12.456839242546334</v>
      </c>
      <c r="L17" s="79">
        <v>0.21626661808150291</v>
      </c>
      <c r="M17" s="79"/>
    </row>
    <row r="18" spans="2:13">
      <c r="B18" s="125" t="s">
        <v>990</v>
      </c>
      <c r="C18" s="125" t="s">
        <v>102</v>
      </c>
      <c r="D18" s="197">
        <v>16</v>
      </c>
      <c r="E18" s="197">
        <v>10</v>
      </c>
      <c r="F18" s="197">
        <v>6</v>
      </c>
      <c r="G18" s="125" t="s">
        <v>977</v>
      </c>
      <c r="H18" s="79">
        <v>1.0289999999999999</v>
      </c>
      <c r="I18" s="79">
        <v>1.0289999999999999</v>
      </c>
      <c r="J18" s="79">
        <v>76.171783392281398</v>
      </c>
      <c r="K18" s="79">
        <v>13.664959134338668</v>
      </c>
      <c r="L18" s="79">
        <v>0.21389729333909271</v>
      </c>
      <c r="M18" s="79"/>
    </row>
    <row r="19" spans="2:13">
      <c r="B19" s="125" t="s">
        <v>991</v>
      </c>
      <c r="C19" s="125" t="s">
        <v>102</v>
      </c>
      <c r="D19" s="197">
        <v>16</v>
      </c>
      <c r="E19" s="197">
        <v>12</v>
      </c>
      <c r="F19" s="197">
        <v>4</v>
      </c>
      <c r="G19" s="125" t="s">
        <v>978</v>
      </c>
      <c r="H19" s="79">
        <v>1.0289999999999999</v>
      </c>
      <c r="I19" s="79">
        <v>1.0289999999999999</v>
      </c>
      <c r="J19" s="79">
        <v>76.171783392281398</v>
      </c>
      <c r="K19" s="79">
        <v>13.664959134338668</v>
      </c>
      <c r="L19" s="79">
        <v>0.21389729333909271</v>
      </c>
      <c r="M19" s="79"/>
    </row>
    <row r="20" spans="2:13">
      <c r="B20" s="125" t="s">
        <v>987</v>
      </c>
      <c r="C20" s="125" t="s">
        <v>102</v>
      </c>
      <c r="D20" s="197">
        <v>14</v>
      </c>
      <c r="E20" s="197">
        <v>10</v>
      </c>
      <c r="F20" s="197">
        <v>4</v>
      </c>
      <c r="G20" s="125" t="s">
        <v>979</v>
      </c>
      <c r="H20" s="79">
        <v>1.0289999999999999</v>
      </c>
      <c r="I20" s="79">
        <v>1.0289999999999999</v>
      </c>
      <c r="J20" s="79">
        <v>76.171783392281398</v>
      </c>
      <c r="K20" s="79">
        <v>13.664959134338668</v>
      </c>
      <c r="L20" s="79">
        <v>0.21389729333909271</v>
      </c>
      <c r="M20" s="79"/>
    </row>
    <row r="21" spans="2:13">
      <c r="B21" s="125" t="s">
        <v>984</v>
      </c>
      <c r="C21" s="125" t="s">
        <v>102</v>
      </c>
      <c r="D21" s="197">
        <v>17</v>
      </c>
      <c r="E21" s="197">
        <v>10</v>
      </c>
      <c r="F21" s="197">
        <v>7</v>
      </c>
      <c r="G21" s="125" t="s">
        <v>980</v>
      </c>
      <c r="H21" s="79">
        <v>0.73499999999999999</v>
      </c>
      <c r="I21" s="79">
        <v>0.73499999999999999</v>
      </c>
      <c r="J21" s="79">
        <v>120.04870179798367</v>
      </c>
      <c r="K21" s="79">
        <v>3.9999999999999996</v>
      </c>
      <c r="L21" s="79">
        <v>8.0152671755725172E-2</v>
      </c>
      <c r="M21" s="79"/>
    </row>
    <row r="22" spans="2:13">
      <c r="B22" s="125"/>
      <c r="C22" s="125"/>
      <c r="D22" s="197"/>
      <c r="E22" s="197"/>
      <c r="F22" s="197"/>
      <c r="G22" s="125"/>
      <c r="H22" s="79"/>
      <c r="I22" s="79"/>
      <c r="J22" s="79"/>
      <c r="K22" s="79"/>
      <c r="L22" s="79"/>
      <c r="M22" s="79"/>
    </row>
    <row r="23" spans="2:13">
      <c r="B23" s="125"/>
      <c r="C23" s="125"/>
      <c r="D23" s="197"/>
      <c r="E23" s="197"/>
      <c r="F23" s="197"/>
      <c r="G23" s="125"/>
      <c r="H23" s="79"/>
      <c r="I23" s="79"/>
      <c r="J23" s="79"/>
      <c r="K23" s="79"/>
      <c r="L23" s="79"/>
      <c r="M23" s="79"/>
    </row>
    <row r="24" spans="2:13">
      <c r="B24" s="125"/>
      <c r="C24" s="125"/>
      <c r="D24" s="197"/>
      <c r="E24" s="197"/>
      <c r="F24" s="197"/>
      <c r="G24" s="125"/>
      <c r="H24" s="79"/>
      <c r="I24" s="79"/>
      <c r="J24" s="79"/>
      <c r="K24" s="79"/>
      <c r="L24" s="79"/>
      <c r="M24" s="79"/>
    </row>
    <row r="25" spans="2:13">
      <c r="B25" s="125"/>
      <c r="C25" s="125"/>
      <c r="D25" s="197"/>
      <c r="E25" s="197"/>
      <c r="F25" s="197"/>
      <c r="G25" s="125"/>
      <c r="H25" s="79"/>
      <c r="I25" s="79"/>
      <c r="J25" s="79"/>
      <c r="K25" s="79"/>
      <c r="L25" s="79"/>
      <c r="M25" s="79"/>
    </row>
    <row r="26" spans="2:13">
      <c r="B26" s="125"/>
      <c r="C26" s="125"/>
      <c r="D26" s="197"/>
      <c r="E26" s="197"/>
      <c r="F26" s="197"/>
      <c r="G26" s="125"/>
      <c r="H26" s="79"/>
      <c r="I26" s="79"/>
      <c r="J26" s="79"/>
      <c r="K26" s="79"/>
      <c r="L26" s="79"/>
      <c r="M26" s="79"/>
    </row>
    <row r="27" spans="2:13">
      <c r="B27" s="125"/>
      <c r="C27" s="125"/>
      <c r="D27" s="197"/>
      <c r="E27" s="197"/>
      <c r="F27" s="197"/>
      <c r="G27" s="125"/>
      <c r="H27" s="79"/>
      <c r="I27" s="79"/>
      <c r="J27" s="79"/>
      <c r="K27" s="79"/>
      <c r="L27" s="79"/>
      <c r="M27" s="79"/>
    </row>
    <row r="28" spans="2:13">
      <c r="B28" s="125"/>
      <c r="C28" s="125"/>
      <c r="D28" s="197"/>
      <c r="E28" s="197"/>
      <c r="F28" s="197"/>
      <c r="G28" s="125"/>
      <c r="H28" s="79"/>
      <c r="I28" s="79"/>
      <c r="J28" s="79"/>
      <c r="K28" s="79"/>
      <c r="L28" s="79"/>
      <c r="M28" s="79"/>
    </row>
    <row r="29" spans="2:13">
      <c r="B29" s="125"/>
      <c r="C29" s="125"/>
      <c r="D29" s="197"/>
      <c r="E29" s="197"/>
      <c r="F29" s="197"/>
      <c r="G29" s="125"/>
      <c r="H29" s="79"/>
      <c r="I29" s="79"/>
      <c r="J29" s="79"/>
      <c r="K29" s="79"/>
      <c r="L29" s="79"/>
      <c r="M29" s="79"/>
    </row>
  </sheetData>
  <phoneticPr fontId="3"/>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V14" sqref="V14"/>
    </sheetView>
  </sheetViews>
  <sheetFormatPr baseColWidth="10" defaultColWidth="8.7109375" defaultRowHeight="20"/>
  <cols>
    <col min="2" max="3" width="8.7109375" customWidth="1"/>
    <col min="4" max="4" width="9.7109375" customWidth="1"/>
    <col min="5" max="5" width="8.7109375" bestFit="1" customWidth="1"/>
    <col min="9" max="9" width="8.7109375" style="134"/>
    <col min="17" max="18" width="8.7109375" customWidth="1"/>
    <col min="19" max="19" width="86.7109375" customWidth="1"/>
    <col min="20" max="22" width="26.7109375" customWidth="1"/>
  </cols>
  <sheetData>
    <row r="1" spans="2:27" ht="21" thickBot="1">
      <c r="G1" t="s">
        <v>1153</v>
      </c>
    </row>
    <row r="2" spans="2:27" ht="20" customHeight="1">
      <c r="B2" s="10" t="s">
        <v>170</v>
      </c>
      <c r="C2" s="10" t="s">
        <v>171</v>
      </c>
      <c r="D2" s="10" t="s">
        <v>172</v>
      </c>
      <c r="E2" s="10" t="s">
        <v>173</v>
      </c>
      <c r="G2" s="305" t="s">
        <v>1242</v>
      </c>
      <c r="H2" s="306"/>
      <c r="I2" s="306"/>
      <c r="J2" s="306"/>
      <c r="K2" s="306"/>
      <c r="L2" s="306"/>
      <c r="M2" s="306"/>
      <c r="N2" s="306"/>
      <c r="O2" s="306"/>
      <c r="P2" s="307"/>
      <c r="Q2" s="73"/>
    </row>
    <row r="3" spans="2:27">
      <c r="B3" s="1" t="s">
        <v>174</v>
      </c>
      <c r="C3" s="21">
        <v>-10</v>
      </c>
      <c r="D3" s="21">
        <v>20</v>
      </c>
      <c r="E3" s="21">
        <v>0.1</v>
      </c>
      <c r="G3" s="308"/>
      <c r="H3" s="309"/>
      <c r="I3" s="309"/>
      <c r="J3" s="309"/>
      <c r="K3" s="309"/>
      <c r="L3" s="309"/>
      <c r="M3" s="309"/>
      <c r="N3" s="309"/>
      <c r="O3" s="309"/>
      <c r="P3" s="310"/>
      <c r="Q3" s="73"/>
    </row>
    <row r="4" spans="2:27">
      <c r="B4" s="1" t="s">
        <v>175</v>
      </c>
      <c r="C4" s="133">
        <v>100000</v>
      </c>
      <c r="D4" s="133">
        <v>1000000</v>
      </c>
      <c r="E4" s="133">
        <v>20000</v>
      </c>
      <c r="G4" s="308"/>
      <c r="H4" s="309"/>
      <c r="I4" s="309"/>
      <c r="J4" s="309"/>
      <c r="K4" s="309"/>
      <c r="L4" s="309"/>
      <c r="M4" s="309"/>
      <c r="N4" s="309"/>
      <c r="O4" s="309"/>
      <c r="P4" s="310"/>
      <c r="Q4" s="73"/>
    </row>
    <row r="5" spans="2:27">
      <c r="F5" s="3"/>
      <c r="G5" s="308"/>
      <c r="H5" s="309"/>
      <c r="I5" s="309"/>
      <c r="J5" s="309"/>
      <c r="K5" s="309"/>
      <c r="L5" s="309"/>
      <c r="M5" s="309"/>
      <c r="N5" s="309"/>
      <c r="O5" s="309"/>
      <c r="P5" s="310"/>
      <c r="Q5" s="73"/>
    </row>
    <row r="6" spans="2:27">
      <c r="G6" s="308"/>
      <c r="H6" s="309"/>
      <c r="I6" s="309"/>
      <c r="J6" s="309"/>
      <c r="K6" s="309"/>
      <c r="L6" s="309"/>
      <c r="M6" s="309"/>
      <c r="N6" s="309"/>
      <c r="O6" s="309"/>
      <c r="P6" s="310"/>
      <c r="Q6" s="73"/>
    </row>
    <row r="7" spans="2:27">
      <c r="G7" s="308"/>
      <c r="H7" s="309"/>
      <c r="I7" s="309"/>
      <c r="J7" s="309"/>
      <c r="K7" s="309"/>
      <c r="L7" s="309"/>
      <c r="M7" s="309"/>
      <c r="N7" s="309"/>
      <c r="O7" s="309"/>
      <c r="P7" s="310"/>
      <c r="Q7" s="73"/>
    </row>
    <row r="8" spans="2:27" ht="21" thickBot="1">
      <c r="G8" s="311"/>
      <c r="H8" s="312"/>
      <c r="I8" s="312"/>
      <c r="J8" s="312"/>
      <c r="K8" s="312"/>
      <c r="L8" s="312"/>
      <c r="M8" s="312"/>
      <c r="N8" s="312"/>
      <c r="O8" s="312"/>
      <c r="P8" s="313"/>
    </row>
    <row r="10" spans="2:27">
      <c r="C10" t="s">
        <v>169</v>
      </c>
      <c r="I10" s="134" t="s">
        <v>168</v>
      </c>
      <c r="S10" t="s">
        <v>402</v>
      </c>
      <c r="AA10" s="119"/>
    </row>
    <row r="11" spans="2:27">
      <c r="B11" s="35" t="s">
        <v>938</v>
      </c>
      <c r="C11" s="37" t="s">
        <v>939</v>
      </c>
      <c r="D11" s="33" t="s">
        <v>936</v>
      </c>
      <c r="E11" s="33" t="s">
        <v>157</v>
      </c>
      <c r="F11" s="33" t="s">
        <v>937</v>
      </c>
      <c r="G11" s="33" t="s">
        <v>1002</v>
      </c>
      <c r="H11" s="108" t="s">
        <v>940</v>
      </c>
      <c r="I11" s="135" t="s">
        <v>941</v>
      </c>
      <c r="J11" s="33" t="s">
        <v>942</v>
      </c>
      <c r="K11" s="105" t="s">
        <v>943</v>
      </c>
      <c r="L11" s="105" t="s">
        <v>955</v>
      </c>
      <c r="M11" s="33" t="s">
        <v>944</v>
      </c>
      <c r="N11" s="33" t="s">
        <v>945</v>
      </c>
      <c r="O11" s="105" t="s">
        <v>946</v>
      </c>
      <c r="P11" s="33" t="s">
        <v>947</v>
      </c>
      <c r="Q11" s="33" t="s">
        <v>948</v>
      </c>
      <c r="R11" s="35" t="s">
        <v>949</v>
      </c>
      <c r="S11" s="120" t="s">
        <v>950</v>
      </c>
      <c r="T11" s="33" t="s">
        <v>858</v>
      </c>
      <c r="U11" s="112" t="s">
        <v>857</v>
      </c>
      <c r="V11" s="112" t="s">
        <v>859</v>
      </c>
      <c r="W11" s="112"/>
      <c r="X11" s="112"/>
      <c r="Y11" s="112"/>
      <c r="Z11" s="105"/>
      <c r="AA11" s="119"/>
    </row>
    <row r="12" spans="2:27">
      <c r="B12" s="35"/>
      <c r="C12" s="37" t="s">
        <v>132</v>
      </c>
      <c r="D12" s="33" t="s">
        <v>46</v>
      </c>
      <c r="E12" s="33" t="s">
        <v>951</v>
      </c>
      <c r="F12" s="33" t="s">
        <v>46</v>
      </c>
      <c r="G12" s="33" t="s">
        <v>46</v>
      </c>
      <c r="H12" s="108" t="s">
        <v>46</v>
      </c>
      <c r="I12" s="135" t="s">
        <v>175</v>
      </c>
      <c r="J12" s="33" t="s">
        <v>167</v>
      </c>
      <c r="K12" s="105" t="s">
        <v>952</v>
      </c>
      <c r="L12" s="105" t="s">
        <v>174</v>
      </c>
      <c r="M12" s="33" t="s">
        <v>174</v>
      </c>
      <c r="N12" s="33" t="s">
        <v>953</v>
      </c>
      <c r="O12" s="105" t="s">
        <v>954</v>
      </c>
      <c r="P12" s="33" t="s">
        <v>163</v>
      </c>
      <c r="Q12" s="33" t="s">
        <v>160</v>
      </c>
      <c r="R12" s="35" t="s">
        <v>161</v>
      </c>
      <c r="S12" s="37"/>
      <c r="T12" s="33"/>
      <c r="U12" s="112"/>
      <c r="V12" s="112"/>
      <c r="W12" s="112"/>
      <c r="X12" s="112"/>
      <c r="Y12" s="112"/>
      <c r="Z12" s="105"/>
      <c r="AA12" s="119"/>
    </row>
    <row r="13" spans="2:27" ht="19" customHeight="1" thickBot="1">
      <c r="B13" s="36"/>
      <c r="C13" s="38" t="s">
        <v>154</v>
      </c>
      <c r="D13" s="34" t="s">
        <v>154</v>
      </c>
      <c r="E13" s="34" t="s">
        <v>154</v>
      </c>
      <c r="F13" s="34" t="s">
        <v>154</v>
      </c>
      <c r="G13" s="34" t="s">
        <v>5</v>
      </c>
      <c r="H13" s="109" t="s">
        <v>315</v>
      </c>
      <c r="I13" s="136" t="s">
        <v>46</v>
      </c>
      <c r="J13" s="34" t="s">
        <v>46</v>
      </c>
      <c r="K13" s="106" t="s">
        <v>46</v>
      </c>
      <c r="L13" s="106" t="s">
        <v>315</v>
      </c>
      <c r="M13" s="34" t="s">
        <v>315</v>
      </c>
      <c r="N13" s="34" t="s">
        <v>46</v>
      </c>
      <c r="O13" s="106" t="s">
        <v>46</v>
      </c>
      <c r="P13" s="34" t="s">
        <v>46</v>
      </c>
      <c r="Q13" s="34" t="s">
        <v>154</v>
      </c>
      <c r="R13" s="36" t="s">
        <v>159</v>
      </c>
      <c r="S13" s="38"/>
      <c r="T13" s="34"/>
      <c r="U13" s="113"/>
      <c r="V13" s="113"/>
      <c r="W13" s="113"/>
      <c r="X13" s="113"/>
      <c r="Y13" s="113"/>
      <c r="Z13" s="106"/>
      <c r="AA13" s="119"/>
    </row>
    <row r="14" spans="2:27" ht="108" customHeight="1" thickTop="1">
      <c r="B14" s="110" t="s">
        <v>636</v>
      </c>
      <c r="C14" s="193">
        <v>14.080387494903704</v>
      </c>
      <c r="D14" s="194">
        <v>32.9</v>
      </c>
      <c r="E14" s="194">
        <v>5.0922297489936863</v>
      </c>
      <c r="F14" s="194">
        <v>47.300000000000004</v>
      </c>
      <c r="G14" s="194">
        <v>1</v>
      </c>
      <c r="H14" s="195">
        <v>0.1</v>
      </c>
      <c r="I14" s="137">
        <v>700000</v>
      </c>
      <c r="J14" s="194">
        <v>1.6730999999999978</v>
      </c>
      <c r="K14" s="193">
        <v>145.07371007370918</v>
      </c>
      <c r="L14" s="193">
        <v>4.9999999999997868</v>
      </c>
      <c r="M14" s="130">
        <v>4</v>
      </c>
      <c r="N14" s="194">
        <v>1.0752999999999999</v>
      </c>
      <c r="O14" s="194">
        <v>142.80212483399734</v>
      </c>
      <c r="P14" s="194">
        <v>-0.13850000000000001</v>
      </c>
      <c r="Q14" s="194">
        <v>37.19</v>
      </c>
      <c r="R14" s="199">
        <v>59.96</v>
      </c>
      <c r="S14" s="117"/>
      <c r="T14" s="46"/>
      <c r="U14" s="114"/>
      <c r="V14" s="114"/>
      <c r="W14" s="114"/>
      <c r="X14" s="114"/>
      <c r="Y14" s="114"/>
      <c r="Z14" s="115"/>
      <c r="AA14" s="119"/>
    </row>
    <row r="15" spans="2:27" ht="108" customHeight="1">
      <c r="B15" s="111" t="s">
        <v>637</v>
      </c>
      <c r="C15" s="196">
        <v>13.227287992011144</v>
      </c>
      <c r="D15" s="197">
        <v>30.8</v>
      </c>
      <c r="E15" s="197">
        <v>3.5061503119141224</v>
      </c>
      <c r="F15" s="197">
        <v>44</v>
      </c>
      <c r="G15" s="197">
        <v>1</v>
      </c>
      <c r="H15" s="198">
        <v>0.1</v>
      </c>
      <c r="I15" s="137">
        <v>400000</v>
      </c>
      <c r="J15" s="197">
        <v>1.5118999999999982</v>
      </c>
      <c r="K15" s="196">
        <v>100.1873048907385</v>
      </c>
      <c r="L15" s="196">
        <v>5.0999999999997847</v>
      </c>
      <c r="M15" s="125">
        <v>5</v>
      </c>
      <c r="N15" s="197">
        <v>0.95250000000000001</v>
      </c>
      <c r="O15" s="197">
        <v>100.05252100840336</v>
      </c>
      <c r="P15" s="197">
        <v>-8.0600000000000005E-2</v>
      </c>
      <c r="Q15" s="197">
        <v>32.72</v>
      </c>
      <c r="R15" s="200">
        <v>50.23</v>
      </c>
      <c r="S15" s="118"/>
      <c r="T15" s="30"/>
      <c r="U15" s="116"/>
      <c r="V15" s="116"/>
      <c r="W15" s="116"/>
      <c r="X15" s="116"/>
      <c r="Y15" s="116"/>
      <c r="Z15" s="107"/>
      <c r="AA15" s="119"/>
    </row>
    <row r="16" spans="2:27" ht="108" customHeight="1">
      <c r="B16" s="111" t="s">
        <v>956</v>
      </c>
      <c r="C16" s="196">
        <v>9.0025847148535583</v>
      </c>
      <c r="D16" s="197">
        <v>30</v>
      </c>
      <c r="E16" s="197">
        <v>1.0408340855860843E-15</v>
      </c>
      <c r="F16" s="197">
        <v>39</v>
      </c>
      <c r="G16" s="197">
        <v>1</v>
      </c>
      <c r="H16" s="198">
        <v>0.1</v>
      </c>
      <c r="I16" s="137">
        <v>600000</v>
      </c>
      <c r="J16" s="197">
        <v>1.0999999999999988</v>
      </c>
      <c r="K16" s="196">
        <v>56.968085106382674</v>
      </c>
      <c r="L16" s="196">
        <v>5.6999999999997719</v>
      </c>
      <c r="M16" s="130">
        <v>10</v>
      </c>
      <c r="N16" s="197">
        <v>1.0246999999999999</v>
      </c>
      <c r="O16" s="197">
        <v>41.46904087414002</v>
      </c>
      <c r="P16" s="197">
        <v>1.21E-2</v>
      </c>
      <c r="Q16" s="197">
        <v>22.91</v>
      </c>
      <c r="R16" s="200">
        <v>1.4000000000000001</v>
      </c>
      <c r="S16" s="118"/>
      <c r="T16" s="30"/>
      <c r="U16" s="116"/>
      <c r="V16" s="116"/>
      <c r="W16" s="116"/>
      <c r="X16" s="116"/>
      <c r="Y16" s="116"/>
      <c r="Z16" s="107"/>
    </row>
    <row r="17" spans="2:26" ht="108" customHeight="1">
      <c r="B17" s="111" t="s">
        <v>957</v>
      </c>
      <c r="C17" s="196">
        <v>12.003448079787852</v>
      </c>
      <c r="D17" s="197">
        <v>30</v>
      </c>
      <c r="E17" s="197">
        <v>1.3877787807814457E-15</v>
      </c>
      <c r="F17" s="197">
        <v>42.4</v>
      </c>
      <c r="G17" s="197">
        <v>1</v>
      </c>
      <c r="H17" s="198">
        <v>0.1</v>
      </c>
      <c r="I17" s="137">
        <v>600000</v>
      </c>
      <c r="J17" s="197">
        <v>1.2681999999999991</v>
      </c>
      <c r="K17" s="196">
        <v>64.995773457311657</v>
      </c>
      <c r="L17" s="196">
        <v>6.4999999999997549</v>
      </c>
      <c r="M17" s="125">
        <v>10</v>
      </c>
      <c r="N17" s="197">
        <v>1.052</v>
      </c>
      <c r="O17" s="197">
        <v>57.865786578657861</v>
      </c>
      <c r="P17" s="197">
        <v>9.7000000000000003E-3</v>
      </c>
      <c r="Q17" s="197">
        <v>22.97</v>
      </c>
      <c r="R17" s="200">
        <v>3.0700000000000003</v>
      </c>
      <c r="S17" s="118"/>
      <c r="T17" s="30"/>
      <c r="U17" s="116"/>
      <c r="V17" s="116"/>
      <c r="W17" s="116"/>
      <c r="X17" s="116"/>
      <c r="Y17" s="116"/>
      <c r="Z17" s="107"/>
    </row>
    <row r="18" spans="2:26" ht="108" customHeight="1">
      <c r="B18" s="111"/>
      <c r="C18" s="196"/>
      <c r="D18" s="197"/>
      <c r="E18" s="197"/>
      <c r="F18" s="197"/>
      <c r="G18" s="197"/>
      <c r="H18" s="198"/>
      <c r="I18" s="138"/>
      <c r="J18" s="197"/>
      <c r="K18" s="196"/>
      <c r="L18" s="196"/>
      <c r="M18" s="125"/>
      <c r="N18" s="197"/>
      <c r="O18" s="197"/>
      <c r="P18" s="197"/>
      <c r="Q18" s="197"/>
      <c r="R18" s="200"/>
      <c r="S18" s="118"/>
      <c r="T18" s="30"/>
      <c r="U18" s="116"/>
      <c r="V18" s="116"/>
      <c r="W18" s="116"/>
      <c r="X18" s="116"/>
      <c r="Y18" s="116"/>
      <c r="Z18" s="107"/>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G25" sqref="G25"/>
    </sheetView>
  </sheetViews>
  <sheetFormatPr baseColWidth="10" defaultColWidth="8.7109375" defaultRowHeight="20"/>
  <cols>
    <col min="2" max="2" width="15.7109375" customWidth="1"/>
    <col min="3" max="4" width="8.7109375" customWidth="1"/>
    <col min="6" max="6" width="33.28515625" customWidth="1"/>
    <col min="8" max="8" width="8.7109375" customWidth="1"/>
    <col min="12" max="13" width="8.7109375" customWidth="1"/>
    <col min="14" max="14" width="17.7109375" customWidth="1"/>
  </cols>
  <sheetData>
    <row r="2" spans="2:23">
      <c r="B2" s="3" t="s">
        <v>58</v>
      </c>
      <c r="C2" s="3"/>
      <c r="D2" s="3"/>
      <c r="E2" s="3"/>
      <c r="F2" s="25"/>
      <c r="G2" s="25"/>
      <c r="I2" s="3" t="s">
        <v>1253</v>
      </c>
      <c r="K2" s="3"/>
      <c r="L2" s="3"/>
      <c r="O2" s="3"/>
      <c r="S2" s="3"/>
      <c r="T2" s="3"/>
      <c r="U2" s="3"/>
      <c r="V2" s="3"/>
      <c r="W2" s="3"/>
    </row>
    <row r="3" spans="2:23" ht="21" thickBot="1">
      <c r="B3" s="11" t="s">
        <v>59</v>
      </c>
      <c r="C3" s="11" t="s">
        <v>60</v>
      </c>
      <c r="D3" s="11" t="s">
        <v>61</v>
      </c>
      <c r="E3" s="11" t="s">
        <v>62</v>
      </c>
      <c r="F3" s="11" t="s">
        <v>63</v>
      </c>
      <c r="I3" s="11" t="s">
        <v>59</v>
      </c>
      <c r="J3" s="11" t="s">
        <v>563</v>
      </c>
      <c r="K3" s="11" t="s">
        <v>61</v>
      </c>
      <c r="L3" s="317" t="s">
        <v>63</v>
      </c>
      <c r="M3" s="318"/>
      <c r="N3" s="319"/>
    </row>
    <row r="4" spans="2:23" ht="21" thickTop="1">
      <c r="B4" s="2" t="s">
        <v>64</v>
      </c>
      <c r="C4" s="2" t="s">
        <v>65</v>
      </c>
      <c r="D4" s="2">
        <f>D11/(D12*D9)</f>
        <v>1.1528198974645434</v>
      </c>
      <c r="E4" s="2" t="s">
        <v>66</v>
      </c>
      <c r="F4" s="243" t="s">
        <v>67</v>
      </c>
      <c r="G4" s="248" t="s">
        <v>1260</v>
      </c>
      <c r="I4" s="2" t="s">
        <v>1262</v>
      </c>
      <c r="J4" s="2" t="s">
        <v>1149</v>
      </c>
      <c r="K4" s="4" t="s">
        <v>1054</v>
      </c>
      <c r="L4" s="320"/>
      <c r="M4" s="321"/>
      <c r="N4" s="322"/>
    </row>
    <row r="5" spans="2:23">
      <c r="B5" s="1" t="s">
        <v>68</v>
      </c>
      <c r="C5" s="1" t="s">
        <v>69</v>
      </c>
      <c r="D5" s="21">
        <v>9.7970000000000006</v>
      </c>
      <c r="E5" s="1" t="s">
        <v>70</v>
      </c>
      <c r="F5" s="244" t="s">
        <v>71</v>
      </c>
      <c r="G5" s="248" t="s">
        <v>1260</v>
      </c>
      <c r="I5" s="1"/>
      <c r="J5" s="1" t="s">
        <v>1146</v>
      </c>
      <c r="K5" s="234" t="s">
        <v>822</v>
      </c>
      <c r="L5" s="314"/>
      <c r="M5" s="315"/>
      <c r="N5" s="316"/>
      <c r="Q5" s="3"/>
    </row>
    <row r="6" spans="2:23">
      <c r="B6" s="1" t="s">
        <v>72</v>
      </c>
      <c r="C6" s="1" t="s">
        <v>73</v>
      </c>
      <c r="D6" s="26">
        <f>(1.458*(10^-6)*(D9^(3/2)))/(D9+110.4)</f>
        <v>1.8608692424914869E-5</v>
      </c>
      <c r="E6" s="1" t="s">
        <v>74</v>
      </c>
      <c r="F6" s="245" t="s">
        <v>75</v>
      </c>
      <c r="G6" s="248" t="s">
        <v>1260</v>
      </c>
      <c r="I6" s="1"/>
      <c r="J6" s="1" t="s">
        <v>1147</v>
      </c>
      <c r="K6" s="234" t="s">
        <v>822</v>
      </c>
      <c r="L6" s="314"/>
      <c r="M6" s="315"/>
      <c r="N6" s="316"/>
      <c r="Q6" s="3"/>
    </row>
    <row r="7" spans="2:23">
      <c r="B7" s="1" t="s">
        <v>76</v>
      </c>
      <c r="C7" s="1" t="s">
        <v>77</v>
      </c>
      <c r="D7" s="26">
        <f>D6/D4</f>
        <v>1.6141890390547503E-5</v>
      </c>
      <c r="E7" s="1" t="s">
        <v>78</v>
      </c>
      <c r="F7" s="245" t="s">
        <v>75</v>
      </c>
      <c r="G7" s="248" t="s">
        <v>1260</v>
      </c>
      <c r="I7" s="1"/>
      <c r="J7" s="1" t="s">
        <v>1148</v>
      </c>
      <c r="K7" s="234" t="s">
        <v>822</v>
      </c>
      <c r="L7" s="314"/>
      <c r="M7" s="315"/>
      <c r="N7" s="316"/>
      <c r="Q7" s="3"/>
    </row>
    <row r="8" spans="2:23">
      <c r="B8" s="1" t="s">
        <v>79</v>
      </c>
      <c r="C8" s="1" t="s">
        <v>80</v>
      </c>
      <c r="D8" s="21">
        <v>30</v>
      </c>
      <c r="E8" s="1" t="s">
        <v>81</v>
      </c>
      <c r="F8" s="245"/>
      <c r="I8" s="1" t="s">
        <v>1263</v>
      </c>
      <c r="J8" s="1" t="s">
        <v>1258</v>
      </c>
      <c r="K8" s="234" t="s">
        <v>820</v>
      </c>
      <c r="L8" s="314" t="s">
        <v>1264</v>
      </c>
      <c r="M8" s="315"/>
      <c r="N8" s="316"/>
      <c r="Q8" s="3"/>
    </row>
    <row r="9" spans="2:23">
      <c r="B9" s="1"/>
      <c r="C9" s="1"/>
      <c r="D9" s="1">
        <f>273.15+D8</f>
        <v>303.14999999999998</v>
      </c>
      <c r="E9" s="1" t="s">
        <v>82</v>
      </c>
      <c r="F9" s="245"/>
      <c r="I9" s="1"/>
      <c r="J9" s="1"/>
      <c r="K9" s="21"/>
      <c r="L9" s="314"/>
      <c r="M9" s="315"/>
      <c r="N9" s="316"/>
      <c r="Q9" s="3"/>
    </row>
    <row r="10" spans="2:23">
      <c r="B10" s="1" t="s">
        <v>83</v>
      </c>
      <c r="C10" s="1" t="s">
        <v>84</v>
      </c>
      <c r="D10" s="27">
        <v>1003</v>
      </c>
      <c r="E10" s="1" t="s">
        <v>85</v>
      </c>
      <c r="F10" s="246" t="s">
        <v>1238</v>
      </c>
      <c r="I10" s="1" t="s">
        <v>1254</v>
      </c>
      <c r="J10" s="1"/>
      <c r="K10" s="27"/>
      <c r="L10" s="314"/>
      <c r="M10" s="315"/>
      <c r="N10" s="316"/>
      <c r="Q10" s="3"/>
    </row>
    <row r="11" spans="2:23">
      <c r="B11" s="1"/>
      <c r="C11" s="1"/>
      <c r="D11" s="28">
        <f>D10*100</f>
        <v>100300</v>
      </c>
      <c r="E11" s="1" t="s">
        <v>86</v>
      </c>
      <c r="F11" s="245"/>
      <c r="I11" s="1"/>
      <c r="J11" s="1"/>
      <c r="K11" s="27"/>
      <c r="L11" s="314"/>
      <c r="M11" s="315"/>
      <c r="N11" s="316"/>
      <c r="Q11" s="3"/>
    </row>
    <row r="12" spans="2:23">
      <c r="B12" s="1" t="s">
        <v>87</v>
      </c>
      <c r="C12" s="1" t="s">
        <v>88</v>
      </c>
      <c r="D12" s="21">
        <v>287</v>
      </c>
      <c r="E12" s="1" t="s">
        <v>89</v>
      </c>
      <c r="F12" s="245" t="s">
        <v>75</v>
      </c>
      <c r="G12" s="248" t="s">
        <v>1260</v>
      </c>
      <c r="I12" s="1"/>
      <c r="J12" s="1"/>
      <c r="K12" s="21"/>
      <c r="L12" s="314"/>
      <c r="M12" s="315"/>
      <c r="N12" s="316"/>
    </row>
    <row r="13" spans="2:23">
      <c r="B13" s="1" t="s">
        <v>90</v>
      </c>
      <c r="C13" s="1" t="s">
        <v>91</v>
      </c>
      <c r="D13" s="21">
        <v>1.4</v>
      </c>
      <c r="E13" s="1" t="s">
        <v>46</v>
      </c>
      <c r="F13" s="245" t="s">
        <v>75</v>
      </c>
      <c r="G13" s="248" t="s">
        <v>1260</v>
      </c>
      <c r="I13" s="1"/>
      <c r="J13" s="1"/>
      <c r="K13" s="21"/>
      <c r="L13" s="314"/>
      <c r="M13" s="315"/>
      <c r="N13" s="316"/>
    </row>
    <row r="14" spans="2:23">
      <c r="B14" s="1" t="s">
        <v>92</v>
      </c>
      <c r="C14" s="1" t="s">
        <v>93</v>
      </c>
      <c r="D14" s="1">
        <f>SQRT(D13*D12*D9)</f>
        <v>349.00669048028288</v>
      </c>
      <c r="E14" s="1" t="s">
        <v>94</v>
      </c>
      <c r="F14" s="245" t="s">
        <v>75</v>
      </c>
      <c r="G14" s="248" t="s">
        <v>1260</v>
      </c>
      <c r="I14" s="1"/>
      <c r="J14" s="1"/>
      <c r="K14" s="21"/>
      <c r="L14" s="314"/>
      <c r="M14" s="315"/>
      <c r="N14" s="316"/>
    </row>
    <row r="15" spans="2:23">
      <c r="B15" s="1" t="s">
        <v>95</v>
      </c>
      <c r="C15" s="1" t="s">
        <v>96</v>
      </c>
      <c r="D15" s="21">
        <v>0.4</v>
      </c>
      <c r="E15" s="1" t="s">
        <v>46</v>
      </c>
      <c r="F15" s="247" t="s">
        <v>97</v>
      </c>
      <c r="I15" s="1"/>
      <c r="J15" s="1"/>
      <c r="K15" s="21"/>
      <c r="L15" s="314"/>
      <c r="M15" s="315"/>
      <c r="N15" s="316"/>
    </row>
    <row r="16" spans="2:23">
      <c r="B16" s="1" t="s">
        <v>98</v>
      </c>
      <c r="C16" s="1" t="s">
        <v>99</v>
      </c>
      <c r="D16" s="21">
        <v>0.01</v>
      </c>
      <c r="E16" s="1" t="s">
        <v>46</v>
      </c>
      <c r="F16" s="247" t="s">
        <v>97</v>
      </c>
      <c r="I16" s="1"/>
      <c r="J16" s="1"/>
      <c r="K16" s="21"/>
      <c r="L16" s="314"/>
      <c r="M16" s="315"/>
      <c r="N16" s="316"/>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925</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1" thickBot="1">
      <c r="A20" s="3"/>
      <c r="B20" s="10" t="s">
        <v>1032</v>
      </c>
      <c r="C20" s="10" t="s">
        <v>134</v>
      </c>
      <c r="D20" s="10" t="s">
        <v>135</v>
      </c>
      <c r="E20" s="10" t="s">
        <v>62</v>
      </c>
      <c r="F20" s="11" t="s">
        <v>63</v>
      </c>
      <c r="I20" s="10" t="s">
        <v>1032</v>
      </c>
      <c r="J20" s="10" t="s">
        <v>134</v>
      </c>
      <c r="K20" s="10" t="s">
        <v>135</v>
      </c>
      <c r="L20" s="10" t="s">
        <v>144</v>
      </c>
      <c r="M20" s="10" t="s">
        <v>1261</v>
      </c>
      <c r="N20" s="10" t="s">
        <v>63</v>
      </c>
      <c r="O20" s="3"/>
      <c r="S20" s="3"/>
      <c r="T20" s="3"/>
      <c r="U20" s="3"/>
      <c r="V20" s="3"/>
      <c r="W20" s="3"/>
      <c r="X20" s="3"/>
      <c r="Y20" s="3"/>
      <c r="Z20" s="3"/>
      <c r="AA20" s="3"/>
      <c r="AB20" s="3"/>
      <c r="AC20" s="3"/>
      <c r="AD20" s="3"/>
      <c r="AE20" s="3"/>
      <c r="AF20" s="3"/>
      <c r="AG20" s="3"/>
      <c r="AH20" s="3"/>
      <c r="AI20" s="3"/>
      <c r="AJ20" s="3"/>
    </row>
    <row r="21" spans="1:36" ht="22" thickTop="1" thickBot="1">
      <c r="A21" s="3"/>
      <c r="B21" s="24" t="s">
        <v>136</v>
      </c>
      <c r="C21" s="24" t="s">
        <v>1257</v>
      </c>
      <c r="D21" s="45">
        <v>1500</v>
      </c>
      <c r="E21" s="24" t="s">
        <v>66</v>
      </c>
      <c r="F21" s="2"/>
      <c r="I21" s="32" t="s">
        <v>46</v>
      </c>
      <c r="J21" s="32" t="s">
        <v>46</v>
      </c>
      <c r="K21" s="32" t="s">
        <v>66</v>
      </c>
      <c r="L21" s="32" t="s">
        <v>86</v>
      </c>
      <c r="M21" s="32" t="s">
        <v>86</v>
      </c>
      <c r="N21" s="32" t="s">
        <v>46</v>
      </c>
      <c r="O21" s="3"/>
      <c r="S21" s="3"/>
      <c r="T21" s="3"/>
      <c r="U21" s="3"/>
      <c r="V21" s="3"/>
      <c r="W21" s="3"/>
      <c r="X21" s="3"/>
      <c r="Y21" s="3"/>
      <c r="Z21" s="3"/>
      <c r="AA21" s="3"/>
      <c r="AB21" s="3"/>
      <c r="AC21" s="3"/>
      <c r="AD21" s="3"/>
      <c r="AE21" s="3"/>
      <c r="AF21" s="3"/>
      <c r="AG21" s="3"/>
      <c r="AH21" s="3"/>
      <c r="AI21" s="3"/>
      <c r="AJ21" s="3"/>
    </row>
    <row r="22" spans="1:36" ht="21" thickTop="1">
      <c r="A22" s="3"/>
      <c r="B22" s="1" t="s">
        <v>137</v>
      </c>
      <c r="C22" s="1"/>
      <c r="D22" s="21">
        <v>20</v>
      </c>
      <c r="E22" s="242" t="s">
        <v>66</v>
      </c>
      <c r="F22" s="1"/>
      <c r="I22" s="24" t="s">
        <v>930</v>
      </c>
      <c r="J22" s="24"/>
      <c r="K22" s="45"/>
      <c r="L22" s="45"/>
      <c r="M22" s="45"/>
      <c r="N22" s="24"/>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42" t="s">
        <v>66</v>
      </c>
      <c r="F23" s="1"/>
      <c r="I23" s="1" t="s">
        <v>931</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934</v>
      </c>
      <c r="C24" s="1"/>
      <c r="D24" s="21">
        <v>33</v>
      </c>
      <c r="E24" s="242" t="s">
        <v>66</v>
      </c>
      <c r="F24" s="1"/>
      <c r="I24" s="1" t="s">
        <v>932</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1033</v>
      </c>
      <c r="C25" s="1"/>
      <c r="D25" s="21">
        <v>33</v>
      </c>
      <c r="E25" s="242" t="s">
        <v>66</v>
      </c>
      <c r="F25" s="1"/>
      <c r="I25" s="1" t="s">
        <v>935</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42" t="s">
        <v>66</v>
      </c>
      <c r="F26" s="1"/>
      <c r="I26" s="1" t="s">
        <v>933</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510</v>
      </c>
      <c r="C27" s="1"/>
      <c r="D27" s="21"/>
      <c r="E27" s="242"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42"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42"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42"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42"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42"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42"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1256</v>
      </c>
      <c r="C35" s="1"/>
      <c r="D35" s="21"/>
      <c r="E35" s="1" t="s">
        <v>414</v>
      </c>
      <c r="F35" s="1" t="s">
        <v>1259</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414</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414</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1255</v>
      </c>
      <c r="C38" s="1"/>
      <c r="D38" s="21"/>
      <c r="E38" s="1" t="s">
        <v>414</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414</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414</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414</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9" t="s">
        <v>119</v>
      </c>
      <c r="L53" s="13" t="s">
        <v>114</v>
      </c>
      <c r="M53" s="10" t="s">
        <v>117</v>
      </c>
      <c r="N53" s="39" t="s">
        <v>119</v>
      </c>
      <c r="O53" s="13" t="s">
        <v>114</v>
      </c>
      <c r="P53" s="10" t="s">
        <v>117</v>
      </c>
      <c r="Q53" s="39" t="s">
        <v>119</v>
      </c>
      <c r="R53" s="13" t="s">
        <v>114</v>
      </c>
      <c r="S53" s="10" t="s">
        <v>117</v>
      </c>
      <c r="T53" s="39" t="s">
        <v>119</v>
      </c>
      <c r="U53" s="13" t="s">
        <v>114</v>
      </c>
      <c r="V53" s="39" t="s">
        <v>117</v>
      </c>
      <c r="W53" s="40"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9" t="s">
        <v>120</v>
      </c>
      <c r="L54" s="13" t="s">
        <v>121</v>
      </c>
      <c r="M54" s="10" t="s">
        <v>960</v>
      </c>
      <c r="N54" s="39" t="s">
        <v>122</v>
      </c>
      <c r="O54" s="13" t="s">
        <v>123</v>
      </c>
      <c r="P54" s="10" t="s">
        <v>961</v>
      </c>
      <c r="Q54" s="39" t="s">
        <v>124</v>
      </c>
      <c r="R54" s="13" t="s">
        <v>125</v>
      </c>
      <c r="S54" s="10" t="s">
        <v>962</v>
      </c>
      <c r="T54" s="39" t="s">
        <v>149</v>
      </c>
      <c r="U54" s="13" t="s">
        <v>126</v>
      </c>
      <c r="V54" s="39" t="s">
        <v>128</v>
      </c>
      <c r="W54" s="40"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5" t="s">
        <v>46</v>
      </c>
      <c r="G55" s="11" t="s">
        <v>110</v>
      </c>
      <c r="H55" s="11" t="s">
        <v>154</v>
      </c>
      <c r="I55" s="16" t="s">
        <v>116</v>
      </c>
      <c r="J55" s="11" t="s">
        <v>116</v>
      </c>
      <c r="K55" s="41" t="s">
        <v>46</v>
      </c>
      <c r="L55" s="16" t="s">
        <v>116</v>
      </c>
      <c r="M55" s="11" t="s">
        <v>116</v>
      </c>
      <c r="N55" s="41" t="s">
        <v>46</v>
      </c>
      <c r="O55" s="16" t="s">
        <v>116</v>
      </c>
      <c r="P55" s="11" t="s">
        <v>116</v>
      </c>
      <c r="Q55" s="41" t="s">
        <v>46</v>
      </c>
      <c r="R55" s="16" t="s">
        <v>116</v>
      </c>
      <c r="S55" s="11" t="s">
        <v>116</v>
      </c>
      <c r="T55" s="41" t="s">
        <v>46</v>
      </c>
      <c r="U55" s="16" t="s">
        <v>116</v>
      </c>
      <c r="V55" s="41" t="s">
        <v>116</v>
      </c>
      <c r="W55" s="42" t="s">
        <v>116</v>
      </c>
      <c r="X55" s="17" t="s">
        <v>133</v>
      </c>
      <c r="Y55" s="3"/>
      <c r="Z55" s="3"/>
      <c r="AA55" s="3"/>
      <c r="AB55" s="3"/>
      <c r="AC55" s="3"/>
      <c r="AD55" s="3"/>
      <c r="AE55" s="3"/>
      <c r="AF55" s="3"/>
      <c r="AG55" s="3"/>
      <c r="AH55" s="3"/>
      <c r="AI55" s="3"/>
      <c r="AJ55" s="3"/>
    </row>
    <row r="56" spans="1:38" ht="21" thickTop="1">
      <c r="A56" s="3"/>
      <c r="B56" s="24" t="s">
        <v>102</v>
      </c>
      <c r="C56" s="24" t="s">
        <v>153</v>
      </c>
      <c r="D56" s="24" t="s">
        <v>105</v>
      </c>
      <c r="E56" s="24" t="s">
        <v>108</v>
      </c>
      <c r="F56" s="24" t="s">
        <v>155</v>
      </c>
      <c r="G56" s="24">
        <v>150</v>
      </c>
      <c r="H56" s="24">
        <v>33</v>
      </c>
      <c r="I56" s="45">
        <v>3.1819999999999999</v>
      </c>
      <c r="J56" s="45">
        <v>166</v>
      </c>
      <c r="K56" s="45">
        <v>0.33</v>
      </c>
      <c r="L56" s="45">
        <v>7.5999999999999998E-2</v>
      </c>
      <c r="M56" s="45">
        <v>8</v>
      </c>
      <c r="N56" s="45">
        <v>0.02</v>
      </c>
      <c r="O56" s="45">
        <v>-1.4690000000000001</v>
      </c>
      <c r="P56" s="45">
        <v>147</v>
      </c>
      <c r="Q56" s="45">
        <v>0.36</v>
      </c>
      <c r="R56" s="45">
        <v>-0.18099999999999999</v>
      </c>
      <c r="S56" s="45">
        <v>9.1</v>
      </c>
      <c r="T56" s="45">
        <v>0.02</v>
      </c>
      <c r="U56" s="45">
        <v>0.125</v>
      </c>
      <c r="V56" s="45">
        <v>4</v>
      </c>
      <c r="W56" s="45">
        <v>8.5999999999999993E-2</v>
      </c>
      <c r="X56" s="45">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3"/>
      <c r="D63" s="43"/>
      <c r="E63" s="43"/>
      <c r="F63" s="43"/>
      <c r="G63" s="43"/>
      <c r="H63" s="43"/>
      <c r="I63" s="3"/>
      <c r="J63" s="3"/>
      <c r="K63" s="3"/>
      <c r="L63" s="3"/>
      <c r="M63" s="43"/>
      <c r="N63" s="43"/>
      <c r="O63" s="43"/>
      <c r="P63" s="43"/>
      <c r="Q63" s="43"/>
      <c r="R63" s="43"/>
      <c r="S63" s="3"/>
      <c r="T63" s="3"/>
      <c r="U63" s="3"/>
      <c r="AL63" s="3"/>
    </row>
    <row r="64" spans="1:38">
      <c r="A64" s="3"/>
      <c r="B64" s="3"/>
      <c r="C64" s="43"/>
      <c r="D64" s="43"/>
      <c r="E64" s="43"/>
      <c r="F64" s="43"/>
      <c r="G64" s="43"/>
      <c r="H64" s="43"/>
      <c r="I64" s="3"/>
      <c r="J64" s="3"/>
      <c r="K64" s="3"/>
      <c r="L64" s="3"/>
      <c r="M64" s="43"/>
      <c r="N64" s="43"/>
      <c r="O64" s="43"/>
      <c r="P64" s="43"/>
      <c r="Q64" s="43"/>
      <c r="R64" s="43"/>
      <c r="S64" s="3"/>
      <c r="T64" s="3"/>
      <c r="U64" s="3"/>
      <c r="AL64" s="3"/>
    </row>
    <row r="65" spans="1:38">
      <c r="A65" s="3"/>
      <c r="B65" s="25"/>
      <c r="C65" s="25"/>
      <c r="D65" s="25"/>
      <c r="E65" s="25"/>
      <c r="F65" s="25"/>
      <c r="G65" s="25"/>
      <c r="H65" s="25"/>
      <c r="I65" s="3"/>
      <c r="J65" s="3"/>
      <c r="K65" s="3"/>
      <c r="L65" s="25"/>
      <c r="M65" s="25"/>
      <c r="N65" s="25"/>
      <c r="O65" s="25"/>
      <c r="P65" s="25"/>
      <c r="Q65" s="25"/>
      <c r="R65" s="25"/>
      <c r="S65" s="3"/>
      <c r="T65" s="3"/>
      <c r="U65" s="3"/>
      <c r="AL65" s="3"/>
    </row>
    <row r="66" spans="1:38">
      <c r="A66" s="3"/>
      <c r="B66" s="25"/>
      <c r="C66" s="25"/>
      <c r="D66" s="25"/>
      <c r="E66" s="25"/>
      <c r="F66" s="25"/>
      <c r="G66" s="25"/>
      <c r="H66" s="25"/>
      <c r="I66" s="3"/>
      <c r="J66" s="3"/>
      <c r="K66" s="3"/>
      <c r="L66" s="25"/>
      <c r="M66" s="25"/>
      <c r="N66" s="25"/>
      <c r="O66" s="25"/>
      <c r="P66" s="25"/>
      <c r="Q66" s="25"/>
      <c r="R66" s="25"/>
      <c r="S66" s="3"/>
      <c r="T66" s="3"/>
      <c r="U66" s="3"/>
      <c r="AL66" s="3"/>
    </row>
    <row r="67" spans="1:38">
      <c r="A67" s="3"/>
      <c r="B67" s="25"/>
      <c r="C67" s="25"/>
      <c r="D67" s="25"/>
      <c r="E67" s="25"/>
      <c r="F67" s="25"/>
      <c r="G67" s="25"/>
      <c r="H67" s="25"/>
      <c r="I67" s="3"/>
      <c r="J67" s="3"/>
      <c r="K67" s="3"/>
      <c r="L67" s="25"/>
      <c r="M67" s="25"/>
      <c r="N67" s="25"/>
      <c r="O67" s="25"/>
      <c r="P67" s="25"/>
      <c r="Q67" s="25"/>
      <c r="R67" s="25"/>
      <c r="S67" s="3"/>
      <c r="T67" s="3"/>
      <c r="U67" s="3"/>
      <c r="AL67" s="3"/>
    </row>
    <row r="68" spans="1:38">
      <c r="A68" s="3"/>
      <c r="B68" s="3"/>
      <c r="C68" s="3"/>
      <c r="D68" s="25"/>
      <c r="E68" s="25"/>
      <c r="F68" s="25"/>
      <c r="G68" s="25"/>
      <c r="H68" s="25"/>
      <c r="I68" s="3"/>
      <c r="J68" s="3"/>
      <c r="K68" s="3"/>
      <c r="L68" s="3"/>
      <c r="M68" s="3"/>
      <c r="N68" s="25"/>
      <c r="O68" s="25"/>
      <c r="P68" s="25"/>
      <c r="Q68" s="25"/>
      <c r="R68" s="25"/>
      <c r="S68" s="3"/>
      <c r="T68" s="3"/>
      <c r="U68" s="3"/>
      <c r="AL68" s="3"/>
    </row>
    <row r="69" spans="1:38">
      <c r="A69" s="3"/>
      <c r="B69" s="3"/>
      <c r="C69" s="3"/>
      <c r="D69" s="25"/>
      <c r="E69" s="25"/>
      <c r="F69" s="25"/>
      <c r="G69" s="25"/>
      <c r="H69" s="25"/>
      <c r="I69" s="3"/>
      <c r="J69" s="3"/>
      <c r="K69" s="3"/>
      <c r="L69" s="3"/>
      <c r="M69" s="3"/>
      <c r="N69" s="25"/>
      <c r="O69" s="25"/>
      <c r="P69" s="25"/>
      <c r="Q69" s="25"/>
      <c r="R69" s="25"/>
      <c r="S69" s="3"/>
      <c r="T69" s="3"/>
      <c r="U69" s="3"/>
      <c r="AL69" s="3"/>
    </row>
    <row r="70" spans="1:38">
      <c r="A70" s="25"/>
      <c r="B70" s="44"/>
      <c r="C70" s="44"/>
      <c r="D70" s="44"/>
      <c r="E70" s="44"/>
      <c r="F70" s="44"/>
      <c r="G70" s="44"/>
      <c r="H70" s="44"/>
      <c r="I70" s="3"/>
      <c r="J70" s="3"/>
      <c r="K70" s="25"/>
      <c r="L70" s="44"/>
      <c r="M70" s="44"/>
      <c r="N70" s="44"/>
      <c r="O70" s="44"/>
      <c r="P70" s="44"/>
      <c r="Q70" s="44"/>
      <c r="R70" s="44"/>
      <c r="S70" s="3"/>
      <c r="T70" s="3"/>
      <c r="U70" s="3"/>
      <c r="AL70" s="3"/>
    </row>
    <row r="71" spans="1:38">
      <c r="A71" s="25"/>
      <c r="B71" s="44"/>
      <c r="C71" s="44"/>
      <c r="D71" s="44"/>
      <c r="E71" s="44"/>
      <c r="F71" s="44"/>
      <c r="G71" s="44"/>
      <c r="H71" s="44"/>
      <c r="I71" s="3"/>
      <c r="J71" s="3"/>
      <c r="K71" s="25"/>
      <c r="L71" s="44"/>
      <c r="M71" s="44"/>
      <c r="N71" s="44"/>
      <c r="O71" s="44"/>
      <c r="P71" s="44"/>
      <c r="Q71" s="44"/>
      <c r="R71" s="44"/>
      <c r="S71" s="3"/>
      <c r="T71" s="3"/>
      <c r="U71" s="3"/>
      <c r="AL71" s="3"/>
    </row>
    <row r="72" spans="1:38">
      <c r="A72" s="25"/>
      <c r="B72" s="44"/>
      <c r="C72" s="44"/>
      <c r="D72" s="44"/>
      <c r="E72" s="44"/>
      <c r="F72" s="44"/>
      <c r="G72" s="44"/>
      <c r="H72" s="44"/>
      <c r="I72" s="3"/>
      <c r="J72" s="3"/>
      <c r="K72" s="25"/>
      <c r="L72" s="44"/>
      <c r="M72" s="44"/>
      <c r="N72" s="44"/>
      <c r="O72" s="44"/>
      <c r="P72" s="44"/>
      <c r="Q72" s="44"/>
      <c r="R72" s="44"/>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5"/>
      <c r="P75" s="25"/>
      <c r="Q75" s="25"/>
      <c r="R75" s="25"/>
      <c r="S75" s="3"/>
      <c r="T75" s="3"/>
      <c r="U75" s="3"/>
      <c r="AL75" s="3"/>
    </row>
    <row r="76" spans="1:38">
      <c r="A76" s="3"/>
      <c r="B76" s="3"/>
      <c r="C76" s="3"/>
      <c r="D76" s="3"/>
      <c r="E76" s="3"/>
      <c r="F76" s="3"/>
      <c r="G76" s="3"/>
      <c r="H76" s="3"/>
      <c r="I76" s="3"/>
      <c r="J76" s="3"/>
      <c r="K76" s="3"/>
      <c r="L76" s="3"/>
      <c r="M76" s="3"/>
      <c r="N76" s="3"/>
      <c r="O76" s="25"/>
      <c r="P76" s="25"/>
      <c r="Q76" s="25"/>
      <c r="R76" s="25"/>
      <c r="S76" s="3"/>
      <c r="T76" s="3"/>
      <c r="U76" s="3"/>
      <c r="AL76" s="3"/>
    </row>
    <row r="77" spans="1:38">
      <c r="A77" s="3"/>
      <c r="B77" s="3"/>
      <c r="C77" s="3"/>
      <c r="D77" s="3"/>
      <c r="E77" s="3"/>
      <c r="F77" s="3"/>
      <c r="G77" s="3"/>
      <c r="H77" s="3"/>
      <c r="I77" s="3"/>
      <c r="J77" s="3"/>
      <c r="K77" s="3"/>
      <c r="L77" s="3"/>
      <c r="M77" s="3"/>
      <c r="N77" s="3"/>
      <c r="O77" s="25"/>
      <c r="P77" s="25"/>
      <c r="Q77" s="25"/>
      <c r="R77" s="25"/>
      <c r="S77" s="3"/>
      <c r="T77" s="3"/>
      <c r="U77" s="3"/>
      <c r="AL77" s="3"/>
    </row>
    <row r="78" spans="1:38">
      <c r="A78" s="3"/>
      <c r="B78" s="3"/>
      <c r="C78" s="3"/>
      <c r="D78" s="3"/>
      <c r="E78" s="3"/>
      <c r="F78" s="3"/>
      <c r="G78" s="3"/>
      <c r="H78" s="3"/>
      <c r="I78" s="3"/>
      <c r="J78" s="3"/>
      <c r="K78" s="3"/>
      <c r="L78" s="3"/>
      <c r="M78" s="3"/>
      <c r="N78" s="3"/>
      <c r="O78" s="25"/>
      <c r="P78" s="25"/>
      <c r="Q78" s="25"/>
      <c r="R78" s="25"/>
      <c r="S78" s="3"/>
      <c r="T78" s="3"/>
      <c r="U78" s="3"/>
      <c r="AL78" s="3"/>
    </row>
    <row r="79" spans="1:38">
      <c r="A79" s="3"/>
      <c r="B79" s="3"/>
      <c r="C79" s="3"/>
      <c r="D79" s="3"/>
      <c r="E79" s="3"/>
      <c r="F79" s="3"/>
      <c r="G79" s="3"/>
      <c r="H79" s="3"/>
      <c r="I79" s="3"/>
      <c r="J79" s="3"/>
      <c r="K79" s="3"/>
      <c r="L79" s="3"/>
      <c r="M79" s="3"/>
      <c r="N79" s="3"/>
      <c r="O79" s="25"/>
      <c r="P79" s="25"/>
      <c r="Q79" s="25"/>
      <c r="R79" s="25"/>
      <c r="S79" s="3"/>
      <c r="T79" s="3"/>
      <c r="U79" s="3"/>
      <c r="AL79" s="3"/>
    </row>
    <row r="80" spans="1:38">
      <c r="A80" s="3"/>
      <c r="B80" s="3"/>
      <c r="C80" s="3"/>
      <c r="D80" s="3"/>
      <c r="E80" s="3"/>
      <c r="F80" s="3"/>
      <c r="G80" s="3"/>
      <c r="H80" s="3"/>
      <c r="I80" s="3"/>
      <c r="J80" s="3"/>
      <c r="K80" s="3"/>
      <c r="L80" s="3"/>
      <c r="M80" s="3"/>
      <c r="N80" s="3"/>
      <c r="O80" s="25"/>
      <c r="P80" s="25"/>
      <c r="Q80" s="25"/>
      <c r="R80" s="25"/>
      <c r="S80" s="3"/>
      <c r="T80" s="3"/>
      <c r="U80" s="3"/>
      <c r="AL80" s="3"/>
    </row>
    <row r="81" spans="1:38">
      <c r="A81" s="3"/>
      <c r="B81" s="3"/>
      <c r="C81" s="3"/>
      <c r="D81" s="3"/>
      <c r="E81" s="3"/>
      <c r="F81" s="3"/>
      <c r="G81" s="3"/>
      <c r="H81" s="3"/>
      <c r="I81" s="3"/>
      <c r="J81" s="3"/>
      <c r="K81" s="3"/>
      <c r="L81" s="3"/>
      <c r="M81" s="3"/>
      <c r="N81" s="3"/>
      <c r="O81" s="25"/>
      <c r="P81" s="25"/>
      <c r="Q81" s="25"/>
      <c r="R81" s="25"/>
      <c r="S81" s="3"/>
      <c r="T81" s="3"/>
      <c r="U81" s="3"/>
      <c r="AL81" s="3"/>
    </row>
    <row r="82" spans="1:38">
      <c r="A82" s="3"/>
      <c r="B82" s="3"/>
      <c r="C82" s="3"/>
      <c r="D82" s="3"/>
      <c r="E82" s="3"/>
      <c r="F82" s="3"/>
      <c r="G82" s="3"/>
      <c r="H82" s="3"/>
      <c r="I82" s="3"/>
      <c r="J82" s="3"/>
      <c r="K82" s="3"/>
      <c r="L82" s="3"/>
      <c r="M82" s="3"/>
      <c r="N82" s="3"/>
      <c r="O82" s="25"/>
      <c r="P82" s="25"/>
      <c r="Q82" s="25"/>
      <c r="R82" s="25"/>
      <c r="S82" s="3"/>
      <c r="T82" s="3"/>
      <c r="U82" s="3"/>
      <c r="AL82" s="3"/>
    </row>
    <row r="83" spans="1:38">
      <c r="A83" s="3"/>
      <c r="B83" s="3"/>
      <c r="C83" s="3"/>
      <c r="D83" s="3"/>
      <c r="E83" s="3"/>
      <c r="F83" s="3"/>
      <c r="G83" s="3"/>
      <c r="H83" s="3"/>
      <c r="I83" s="3"/>
      <c r="J83" s="3"/>
      <c r="K83" s="3"/>
      <c r="L83" s="3"/>
      <c r="M83" s="3"/>
      <c r="N83" s="3"/>
      <c r="O83" s="25"/>
      <c r="P83" s="25"/>
      <c r="Q83" s="25"/>
      <c r="R83" s="25"/>
      <c r="S83" s="3"/>
      <c r="T83" s="3"/>
      <c r="U83" s="3"/>
      <c r="AL83" s="3"/>
    </row>
    <row r="84" spans="1:38">
      <c r="A84" s="3"/>
      <c r="B84" s="3"/>
      <c r="C84" s="3"/>
      <c r="D84" s="3"/>
      <c r="E84" s="3"/>
      <c r="F84" s="3"/>
      <c r="G84" s="3"/>
      <c r="H84" s="3"/>
      <c r="I84" s="3"/>
      <c r="J84" s="3"/>
      <c r="K84" s="3"/>
      <c r="L84" s="3"/>
      <c r="M84" s="3"/>
      <c r="N84" s="3"/>
      <c r="O84" s="25"/>
      <c r="P84" s="25"/>
      <c r="Q84" s="25"/>
      <c r="R84" s="25"/>
      <c r="S84" s="3"/>
      <c r="T84" s="3"/>
      <c r="U84" s="3"/>
      <c r="AL84" s="3"/>
    </row>
    <row r="85" spans="1:38">
      <c r="A85" s="3"/>
      <c r="B85" s="3"/>
      <c r="C85" s="3"/>
      <c r="D85" s="3"/>
      <c r="E85" s="3"/>
      <c r="F85" s="3"/>
      <c r="G85" s="3"/>
      <c r="H85" s="3"/>
      <c r="I85" s="3"/>
      <c r="J85" s="3"/>
      <c r="K85" s="3"/>
      <c r="L85" s="3"/>
      <c r="M85" s="3"/>
      <c r="N85" s="3"/>
      <c r="O85" s="25"/>
      <c r="P85" s="25"/>
      <c r="Q85" s="25"/>
      <c r="R85" s="25"/>
      <c r="S85" s="3"/>
      <c r="T85" s="3"/>
      <c r="U85" s="3"/>
      <c r="AL85" s="3"/>
    </row>
    <row r="86" spans="1:38">
      <c r="A86" s="3"/>
      <c r="B86" s="3"/>
      <c r="C86" s="3"/>
      <c r="D86" s="3"/>
      <c r="E86" s="3"/>
      <c r="F86" s="3"/>
      <c r="G86" s="3"/>
      <c r="H86" s="3"/>
      <c r="I86" s="3"/>
      <c r="J86" s="3"/>
      <c r="K86" s="3"/>
      <c r="L86" s="3"/>
      <c r="M86" s="3"/>
      <c r="N86" s="3"/>
      <c r="O86" s="25"/>
      <c r="P86" s="25"/>
      <c r="Q86" s="25"/>
      <c r="R86" s="25"/>
      <c r="S86" s="3"/>
      <c r="T86" s="3"/>
      <c r="U86" s="3"/>
      <c r="AL86" s="3"/>
    </row>
    <row r="87" spans="1:38">
      <c r="A87" s="3"/>
      <c r="B87" s="3"/>
      <c r="C87" s="3"/>
      <c r="D87" s="3"/>
      <c r="E87" s="3"/>
      <c r="F87" s="3"/>
      <c r="G87" s="3"/>
      <c r="H87" s="3"/>
      <c r="I87" s="3"/>
      <c r="J87" s="3"/>
      <c r="K87" s="3"/>
      <c r="L87" s="3"/>
      <c r="M87" s="3"/>
      <c r="N87" s="3"/>
      <c r="O87" s="25"/>
      <c r="P87" s="25"/>
      <c r="Q87" s="25"/>
      <c r="R87" s="25"/>
      <c r="S87" s="3"/>
      <c r="T87" s="3"/>
      <c r="U87" s="3"/>
      <c r="AL87" s="3"/>
    </row>
    <row r="88" spans="1:38">
      <c r="A88" s="3"/>
      <c r="B88" s="3"/>
      <c r="C88" s="3"/>
      <c r="D88" s="3"/>
      <c r="E88" s="3"/>
      <c r="F88" s="3"/>
      <c r="G88" s="3"/>
      <c r="H88" s="3"/>
      <c r="I88" s="3"/>
      <c r="J88" s="3"/>
      <c r="K88" s="3"/>
      <c r="L88" s="3"/>
      <c r="M88" s="3"/>
      <c r="N88" s="3"/>
      <c r="O88" s="25"/>
      <c r="P88" s="25"/>
      <c r="Q88" s="25"/>
      <c r="R88" s="25"/>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5"/>
      <c r="P89" s="25"/>
      <c r="Q89" s="25"/>
      <c r="R89" s="25"/>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5"/>
      <c r="P90" s="25"/>
      <c r="Q90" s="25"/>
      <c r="R90" s="25"/>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5"/>
      <c r="P91" s="25"/>
      <c r="Q91" s="25"/>
      <c r="R91" s="25"/>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3:N3"/>
    <mergeCell ref="L4:N4"/>
    <mergeCell ref="L5:N5"/>
    <mergeCell ref="L6:N6"/>
    <mergeCell ref="L7:N7"/>
    <mergeCell ref="L13:N13"/>
    <mergeCell ref="L14:N14"/>
    <mergeCell ref="L15:N15"/>
    <mergeCell ref="L16:N16"/>
    <mergeCell ref="L8:N8"/>
    <mergeCell ref="L9:N9"/>
    <mergeCell ref="L10:N10"/>
    <mergeCell ref="L11:N11"/>
    <mergeCell ref="L12:N12"/>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topLeftCell="A15" zoomScale="112" zoomScaleNormal="70" workbookViewId="0">
      <selection activeCell="J54" sqref="J54"/>
    </sheetView>
  </sheetViews>
  <sheetFormatPr baseColWidth="10" defaultColWidth="8.7109375" defaultRowHeight="20"/>
  <sheetData>
    <row r="2" spans="2:27">
      <c r="B2" s="25"/>
      <c r="C2" s="10" t="s">
        <v>177</v>
      </c>
      <c r="D2" s="10" t="s">
        <v>178</v>
      </c>
      <c r="E2" s="10" t="s">
        <v>179</v>
      </c>
      <c r="K2" s="47"/>
      <c r="L2" s="47"/>
      <c r="M2" s="47"/>
      <c r="N2" s="47"/>
      <c r="O2" s="47"/>
      <c r="P2" s="47"/>
      <c r="S2" s="47"/>
      <c r="T2" s="47"/>
      <c r="U2" s="47"/>
      <c r="V2" s="47"/>
      <c r="W2" s="47"/>
      <c r="X2" s="47"/>
      <c r="Y2" s="47"/>
      <c r="Z2" s="47"/>
      <c r="AA2" s="47"/>
    </row>
    <row r="3" spans="2:27">
      <c r="B3" s="48"/>
      <c r="C3" s="327" t="s">
        <v>180</v>
      </c>
      <c r="D3" s="327"/>
      <c r="E3" s="327"/>
      <c r="F3" s="49">
        <v>2023</v>
      </c>
      <c r="G3" s="49">
        <v>2022</v>
      </c>
      <c r="H3" s="49">
        <v>2021</v>
      </c>
      <c r="I3" s="49">
        <v>2020</v>
      </c>
      <c r="J3" s="49">
        <v>2019</v>
      </c>
      <c r="K3" s="49">
        <v>2018</v>
      </c>
      <c r="L3" s="49">
        <v>2017</v>
      </c>
      <c r="M3" s="49">
        <v>2016</v>
      </c>
      <c r="N3" s="49">
        <v>2015</v>
      </c>
      <c r="O3" s="49">
        <v>2014</v>
      </c>
      <c r="P3" s="49">
        <v>2013</v>
      </c>
      <c r="Q3" s="49">
        <v>2012</v>
      </c>
      <c r="R3" s="49">
        <v>2011</v>
      </c>
      <c r="S3" s="49">
        <v>2010</v>
      </c>
      <c r="T3" s="49">
        <v>2009</v>
      </c>
      <c r="U3" s="49">
        <v>2008</v>
      </c>
      <c r="V3" s="49">
        <v>2007</v>
      </c>
      <c r="W3" s="49">
        <v>2006</v>
      </c>
      <c r="X3" s="49">
        <v>2005</v>
      </c>
      <c r="Y3" s="49">
        <v>2004</v>
      </c>
      <c r="Z3" s="49">
        <v>2003</v>
      </c>
    </row>
    <row r="4" spans="2:27">
      <c r="B4" s="25"/>
      <c r="C4" s="328" t="s">
        <v>181</v>
      </c>
      <c r="D4" s="328"/>
      <c r="E4" s="328"/>
      <c r="F4" s="1" t="s">
        <v>182</v>
      </c>
      <c r="G4" s="50" t="s">
        <v>183</v>
      </c>
      <c r="H4" s="50" t="s">
        <v>184</v>
      </c>
      <c r="I4" s="50" t="s">
        <v>185</v>
      </c>
      <c r="J4" s="50" t="s">
        <v>186</v>
      </c>
      <c r="K4" s="50" t="s">
        <v>187</v>
      </c>
      <c r="L4" s="50" t="s">
        <v>188</v>
      </c>
      <c r="M4" s="50" t="s">
        <v>189</v>
      </c>
      <c r="N4" s="50" t="s">
        <v>190</v>
      </c>
      <c r="O4" s="50" t="s">
        <v>191</v>
      </c>
      <c r="P4" s="50" t="s">
        <v>192</v>
      </c>
      <c r="Q4" s="50" t="s">
        <v>193</v>
      </c>
      <c r="R4" s="50" t="s">
        <v>194</v>
      </c>
      <c r="S4" s="50" t="s">
        <v>195</v>
      </c>
      <c r="T4" s="50" t="s">
        <v>196</v>
      </c>
      <c r="U4" s="50" t="s">
        <v>197</v>
      </c>
      <c r="V4" s="50" t="s">
        <v>198</v>
      </c>
      <c r="W4" s="50" t="s">
        <v>199</v>
      </c>
      <c r="X4" s="50" t="s">
        <v>200</v>
      </c>
      <c r="Y4" s="50" t="s">
        <v>201</v>
      </c>
      <c r="Z4" s="50" t="s">
        <v>202</v>
      </c>
    </row>
    <row r="5" spans="2:27">
      <c r="B5" s="25"/>
      <c r="C5" s="328" t="s">
        <v>47</v>
      </c>
      <c r="D5" s="328"/>
      <c r="E5" s="328"/>
      <c r="F5" s="1" t="s">
        <v>203</v>
      </c>
      <c r="G5" s="50" t="s">
        <v>204</v>
      </c>
      <c r="H5" s="50" t="s">
        <v>205</v>
      </c>
      <c r="I5" s="50" t="s">
        <v>206</v>
      </c>
      <c r="J5" s="50" t="s">
        <v>207</v>
      </c>
      <c r="K5" s="50" t="s">
        <v>207</v>
      </c>
      <c r="L5" s="50" t="s">
        <v>208</v>
      </c>
      <c r="M5" s="50" t="s">
        <v>208</v>
      </c>
      <c r="N5" s="50" t="s">
        <v>209</v>
      </c>
      <c r="O5" s="50" t="s">
        <v>209</v>
      </c>
      <c r="P5" s="50" t="s">
        <v>209</v>
      </c>
      <c r="Q5" s="50" t="s">
        <v>210</v>
      </c>
      <c r="R5" s="50" t="s">
        <v>210</v>
      </c>
      <c r="S5" s="50" t="s">
        <v>210</v>
      </c>
      <c r="T5" s="50" t="s">
        <v>210</v>
      </c>
      <c r="U5" s="50" t="s">
        <v>211</v>
      </c>
      <c r="V5" s="50" t="s">
        <v>212</v>
      </c>
      <c r="W5" s="50" t="s">
        <v>212</v>
      </c>
      <c r="X5" s="50" t="s">
        <v>212</v>
      </c>
      <c r="Y5" s="50" t="s">
        <v>213</v>
      </c>
      <c r="Z5" s="50" t="s">
        <v>213</v>
      </c>
    </row>
    <row r="6" spans="2:27">
      <c r="B6" s="25"/>
      <c r="C6" s="328" t="s">
        <v>214</v>
      </c>
      <c r="D6" s="328"/>
      <c r="E6" s="328"/>
      <c r="F6" s="1" t="s">
        <v>215</v>
      </c>
      <c r="G6" s="50" t="s">
        <v>216</v>
      </c>
      <c r="H6" s="50" t="s">
        <v>217</v>
      </c>
      <c r="I6" s="50" t="s">
        <v>218</v>
      </c>
      <c r="J6" s="50" t="s">
        <v>219</v>
      </c>
      <c r="K6" s="50" t="s">
        <v>220</v>
      </c>
      <c r="L6" s="50" t="s">
        <v>221</v>
      </c>
      <c r="M6" s="50" t="s">
        <v>222</v>
      </c>
      <c r="N6" s="50" t="s">
        <v>223</v>
      </c>
      <c r="O6" s="50" t="s">
        <v>224</v>
      </c>
      <c r="P6" s="50" t="s">
        <v>225</v>
      </c>
      <c r="Q6" s="50" t="s">
        <v>226</v>
      </c>
      <c r="R6" s="50" t="s">
        <v>227</v>
      </c>
      <c r="S6" s="50" t="s">
        <v>228</v>
      </c>
      <c r="T6" s="50" t="s">
        <v>229</v>
      </c>
      <c r="U6" s="50" t="s">
        <v>230</v>
      </c>
      <c r="V6" s="50" t="s">
        <v>231</v>
      </c>
      <c r="W6" s="50" t="s">
        <v>232</v>
      </c>
      <c r="X6" s="50" t="s">
        <v>233</v>
      </c>
      <c r="Y6" s="50" t="s">
        <v>234</v>
      </c>
      <c r="Z6" s="50" t="s">
        <v>235</v>
      </c>
    </row>
    <row r="7" spans="2:27">
      <c r="B7" s="25"/>
      <c r="C7" s="328" t="s">
        <v>236</v>
      </c>
      <c r="D7" s="328"/>
      <c r="E7" s="328"/>
      <c r="F7" s="1" t="s">
        <v>237</v>
      </c>
      <c r="G7" s="50" t="s">
        <v>217</v>
      </c>
      <c r="H7" s="50" t="s">
        <v>218</v>
      </c>
      <c r="I7" s="50" t="s">
        <v>238</v>
      </c>
      <c r="J7" s="50" t="s">
        <v>239</v>
      </c>
      <c r="K7" s="50" t="s">
        <v>240</v>
      </c>
      <c r="L7" s="50" t="s">
        <v>241</v>
      </c>
      <c r="M7" s="50" t="s">
        <v>223</v>
      </c>
      <c r="N7" s="50" t="s">
        <v>242</v>
      </c>
      <c r="O7" s="50" t="s">
        <v>225</v>
      </c>
      <c r="P7" s="50" t="s">
        <v>243</v>
      </c>
      <c r="Q7" s="50" t="s">
        <v>244</v>
      </c>
      <c r="R7" s="50" t="s">
        <v>244</v>
      </c>
      <c r="S7" s="50" t="s">
        <v>245</v>
      </c>
      <c r="T7" s="50" t="s">
        <v>229</v>
      </c>
      <c r="U7" s="50" t="s">
        <v>212</v>
      </c>
      <c r="V7" s="50" t="s">
        <v>231</v>
      </c>
      <c r="W7" s="50" t="s">
        <v>232</v>
      </c>
      <c r="X7" s="50" t="s">
        <v>233</v>
      </c>
      <c r="Y7" s="50" t="s">
        <v>234</v>
      </c>
      <c r="Z7" s="50" t="s">
        <v>235</v>
      </c>
    </row>
    <row r="8" spans="2:27">
      <c r="B8" s="25"/>
      <c r="C8" s="328" t="s">
        <v>246</v>
      </c>
      <c r="D8" s="328"/>
      <c r="E8" s="328"/>
      <c r="F8" s="1"/>
      <c r="G8" s="50" t="s">
        <v>46</v>
      </c>
      <c r="H8" s="50" t="s">
        <v>247</v>
      </c>
      <c r="I8" s="50" t="s">
        <v>248</v>
      </c>
      <c r="J8" s="50">
        <v>317.57</v>
      </c>
      <c r="K8" s="50">
        <v>127.75</v>
      </c>
      <c r="L8" s="50">
        <v>352.44</v>
      </c>
      <c r="M8" s="50">
        <v>332.91</v>
      </c>
      <c r="N8" s="50">
        <v>373.75</v>
      </c>
      <c r="O8" s="50">
        <v>350.77</v>
      </c>
      <c r="P8" s="50">
        <v>390.73</v>
      </c>
      <c r="Q8" s="50">
        <v>369.38</v>
      </c>
      <c r="R8" s="50">
        <v>27.18</v>
      </c>
      <c r="S8" s="50">
        <v>371.8</v>
      </c>
      <c r="T8" s="50" t="s">
        <v>249</v>
      </c>
      <c r="U8" s="50">
        <v>341.14</v>
      </c>
      <c r="V8" s="50">
        <v>241.56</v>
      </c>
      <c r="W8" s="50">
        <v>40.92</v>
      </c>
      <c r="X8" s="50">
        <v>37.67</v>
      </c>
      <c r="Y8" s="50">
        <v>34.96</v>
      </c>
      <c r="Z8" s="50">
        <v>41.96</v>
      </c>
    </row>
    <row r="9" spans="2:27">
      <c r="B9" s="48"/>
      <c r="C9" s="327" t="s">
        <v>250</v>
      </c>
      <c r="D9" s="327"/>
      <c r="E9" s="327"/>
      <c r="F9" s="51"/>
      <c r="G9" s="51" t="s">
        <v>46</v>
      </c>
      <c r="H9" s="51" t="s">
        <v>247</v>
      </c>
      <c r="I9" s="51" t="s">
        <v>248</v>
      </c>
      <c r="J9" s="51">
        <v>2</v>
      </c>
      <c r="K9" s="51">
        <v>5</v>
      </c>
      <c r="L9" s="51">
        <v>3</v>
      </c>
      <c r="M9" s="51">
        <v>3</v>
      </c>
      <c r="N9" s="51">
        <v>1</v>
      </c>
      <c r="O9" s="51">
        <v>4</v>
      </c>
      <c r="P9" s="51">
        <v>2</v>
      </c>
      <c r="Q9" s="51">
        <v>2</v>
      </c>
      <c r="R9" s="51" t="s">
        <v>45</v>
      </c>
      <c r="S9" s="51">
        <v>2</v>
      </c>
      <c r="T9" s="51" t="s">
        <v>251</v>
      </c>
      <c r="U9" s="51">
        <v>2</v>
      </c>
      <c r="V9" s="51">
        <v>5</v>
      </c>
      <c r="W9" s="51" t="s">
        <v>45</v>
      </c>
      <c r="X9" s="51" t="s">
        <v>45</v>
      </c>
      <c r="Y9" s="51">
        <v>6</v>
      </c>
      <c r="Z9" s="51">
        <v>8</v>
      </c>
    </row>
    <row r="10" spans="2:27">
      <c r="B10" s="25"/>
      <c r="C10" s="50" t="s">
        <v>252</v>
      </c>
      <c r="D10" s="328" t="s">
        <v>253</v>
      </c>
      <c r="E10" s="328"/>
      <c r="F10" s="1" t="s">
        <v>254</v>
      </c>
      <c r="G10" s="50"/>
      <c r="H10" s="50"/>
      <c r="I10" s="50"/>
      <c r="J10" s="50"/>
      <c r="K10" s="50" t="s">
        <v>255</v>
      </c>
      <c r="L10" s="50" t="s">
        <v>256</v>
      </c>
      <c r="M10" s="50" t="s">
        <v>256</v>
      </c>
      <c r="N10" s="50" t="s">
        <v>256</v>
      </c>
      <c r="O10" s="50" t="s">
        <v>256</v>
      </c>
      <c r="P10" s="50" t="s">
        <v>256</v>
      </c>
      <c r="Q10" s="50" t="s">
        <v>256</v>
      </c>
      <c r="R10" s="50" t="s">
        <v>256</v>
      </c>
      <c r="S10" s="50" t="s">
        <v>256</v>
      </c>
      <c r="T10" s="50" t="s">
        <v>256</v>
      </c>
      <c r="U10" s="50" t="s">
        <v>256</v>
      </c>
      <c r="V10" s="50" t="s">
        <v>256</v>
      </c>
      <c r="W10" s="50" t="s">
        <v>256</v>
      </c>
      <c r="X10" s="50" t="s">
        <v>256</v>
      </c>
      <c r="Y10" s="50" t="s">
        <v>256</v>
      </c>
      <c r="Z10" s="50" t="s">
        <v>256</v>
      </c>
    </row>
    <row r="11" spans="2:27">
      <c r="B11" s="25"/>
      <c r="C11" s="50"/>
      <c r="D11" s="328" t="s">
        <v>257</v>
      </c>
      <c r="E11" s="328"/>
      <c r="F11" s="1" t="s">
        <v>258</v>
      </c>
      <c r="G11" s="50" t="s">
        <v>258</v>
      </c>
      <c r="H11" s="50" t="s">
        <v>259</v>
      </c>
      <c r="I11" s="50" t="s">
        <v>259</v>
      </c>
      <c r="J11" s="50" t="s">
        <v>260</v>
      </c>
      <c r="K11" s="50" t="s">
        <v>260</v>
      </c>
      <c r="L11" s="50"/>
      <c r="M11" s="50"/>
      <c r="N11" s="50" t="s">
        <v>259</v>
      </c>
      <c r="O11" s="50" t="s">
        <v>259</v>
      </c>
      <c r="P11" s="50"/>
      <c r="Q11" s="50"/>
      <c r="R11" s="50"/>
      <c r="S11" s="50"/>
      <c r="T11" s="50"/>
      <c r="U11" s="50"/>
      <c r="V11" s="50"/>
      <c r="W11" s="50"/>
      <c r="X11" s="50"/>
      <c r="Y11" s="50"/>
      <c r="Z11" s="50"/>
    </row>
    <row r="12" spans="2:27">
      <c r="B12" s="323" t="s">
        <v>261</v>
      </c>
      <c r="C12" s="50" t="s">
        <v>262</v>
      </c>
      <c r="D12" s="50" t="s">
        <v>176</v>
      </c>
      <c r="E12" s="50" t="s">
        <v>263</v>
      </c>
      <c r="F12" s="50">
        <v>1.5764761738534672</v>
      </c>
      <c r="G12" s="1">
        <v>1.4620544906879693</v>
      </c>
      <c r="H12" s="50">
        <v>1.1974377391693776</v>
      </c>
      <c r="I12" s="50">
        <v>1.245531064274104</v>
      </c>
      <c r="J12" s="50">
        <v>2.8</v>
      </c>
      <c r="K12" s="50">
        <v>0.6</v>
      </c>
      <c r="L12" s="50">
        <v>-0.55000000000000004</v>
      </c>
      <c r="M12" s="50">
        <v>-0.1</v>
      </c>
      <c r="N12" s="50">
        <v>-0.25</v>
      </c>
      <c r="O12" s="50">
        <v>-1</v>
      </c>
      <c r="P12" s="50">
        <v>-0.5</v>
      </c>
      <c r="Q12" s="50"/>
      <c r="R12" s="50"/>
      <c r="S12" s="50"/>
      <c r="T12" s="50"/>
      <c r="U12" s="50"/>
      <c r="V12" s="50"/>
      <c r="W12" s="50"/>
      <c r="X12" s="50"/>
      <c r="Y12" s="50"/>
      <c r="Z12" s="50"/>
    </row>
    <row r="13" spans="2:27">
      <c r="B13" s="323"/>
      <c r="C13" s="50" t="s">
        <v>264</v>
      </c>
      <c r="D13" s="50" t="s">
        <v>265</v>
      </c>
      <c r="E13" s="50" t="s">
        <v>263</v>
      </c>
      <c r="F13" s="50">
        <v>0</v>
      </c>
      <c r="G13" s="1">
        <v>0</v>
      </c>
      <c r="H13" s="50">
        <v>0</v>
      </c>
      <c r="I13" s="50">
        <v>0</v>
      </c>
      <c r="J13" s="50">
        <v>0</v>
      </c>
      <c r="K13" s="50">
        <v>0</v>
      </c>
      <c r="L13" s="50">
        <v>0</v>
      </c>
      <c r="M13" s="50">
        <v>0</v>
      </c>
      <c r="N13" s="50">
        <v>0</v>
      </c>
      <c r="O13" s="50">
        <v>0</v>
      </c>
      <c r="P13" s="50">
        <v>0</v>
      </c>
      <c r="Q13" s="50"/>
      <c r="R13" s="50"/>
      <c r="S13" s="50"/>
      <c r="T13" s="50"/>
      <c r="U13" s="50"/>
      <c r="V13" s="50"/>
      <c r="W13" s="50"/>
      <c r="X13" s="50"/>
      <c r="Y13" s="50"/>
      <c r="Z13" s="50"/>
    </row>
    <row r="14" spans="2:27">
      <c r="B14" s="323"/>
      <c r="C14" s="50" t="s">
        <v>266</v>
      </c>
      <c r="D14" s="50" t="s">
        <v>267</v>
      </c>
      <c r="E14" s="50" t="s">
        <v>268</v>
      </c>
      <c r="F14" s="50">
        <v>10.5</v>
      </c>
      <c r="G14" s="1">
        <v>9.5</v>
      </c>
      <c r="H14" s="50">
        <v>11</v>
      </c>
      <c r="I14" s="50">
        <v>9.6</v>
      </c>
      <c r="J14" s="50">
        <v>8.3000000000000007</v>
      </c>
      <c r="K14" s="50">
        <v>10</v>
      </c>
      <c r="L14" s="50">
        <v>11</v>
      </c>
      <c r="M14" s="50">
        <v>10.5</v>
      </c>
      <c r="N14" s="50">
        <v>10</v>
      </c>
      <c r="O14" s="50">
        <v>9.5</v>
      </c>
      <c r="P14" s="50">
        <v>9</v>
      </c>
      <c r="Q14" s="50">
        <v>8.8000000000000007</v>
      </c>
      <c r="R14" s="50">
        <v>9</v>
      </c>
      <c r="S14" s="50">
        <v>8.8000000000000007</v>
      </c>
      <c r="T14" s="50">
        <v>9.11</v>
      </c>
      <c r="U14" s="50">
        <v>8.76</v>
      </c>
      <c r="V14" s="50">
        <v>8.5</v>
      </c>
      <c r="W14" s="50">
        <v>8.5299999999999994</v>
      </c>
      <c r="X14" s="50">
        <v>7.69</v>
      </c>
      <c r="Y14" s="50">
        <v>8</v>
      </c>
      <c r="Z14" s="50">
        <v>7.6</v>
      </c>
    </row>
    <row r="15" spans="2:27" ht="21" thickBot="1">
      <c r="B15" s="324"/>
      <c r="C15" s="52" t="s">
        <v>269</v>
      </c>
      <c r="D15" s="52" t="s">
        <v>270</v>
      </c>
      <c r="E15" s="52" t="s">
        <v>37</v>
      </c>
      <c r="F15" s="52">
        <v>100</v>
      </c>
      <c r="G15" s="19">
        <v>100</v>
      </c>
      <c r="H15" s="52">
        <v>2</v>
      </c>
      <c r="I15" s="52">
        <v>2</v>
      </c>
      <c r="J15" s="52">
        <v>2</v>
      </c>
      <c r="K15" s="52">
        <v>2</v>
      </c>
      <c r="L15" s="52">
        <v>2</v>
      </c>
      <c r="M15" s="52">
        <v>2</v>
      </c>
      <c r="N15" s="52">
        <v>2</v>
      </c>
      <c r="O15" s="52">
        <v>2</v>
      </c>
      <c r="P15" s="52">
        <v>2</v>
      </c>
      <c r="Q15" s="52"/>
      <c r="R15" s="52"/>
      <c r="S15" s="52"/>
      <c r="T15" s="52"/>
      <c r="U15" s="52"/>
      <c r="V15" s="52"/>
      <c r="W15" s="52"/>
      <c r="X15" s="52"/>
      <c r="Y15" s="52"/>
      <c r="Z15" s="52"/>
    </row>
    <row r="16" spans="2:27" ht="21" thickTop="1">
      <c r="B16" s="323" t="s">
        <v>19</v>
      </c>
      <c r="C16" s="53" t="s">
        <v>271</v>
      </c>
      <c r="D16" s="50" t="s">
        <v>45</v>
      </c>
      <c r="E16" s="50" t="s">
        <v>36</v>
      </c>
      <c r="F16" s="50">
        <v>42.574195183784404</v>
      </c>
      <c r="G16" s="2">
        <v>40.629999999999995</v>
      </c>
      <c r="H16" s="50">
        <v>44.93644280491565</v>
      </c>
      <c r="I16" s="50">
        <v>45.797063524200141</v>
      </c>
      <c r="J16" s="50">
        <v>44.512043873841378</v>
      </c>
      <c r="K16" s="50">
        <v>44.343872785418093</v>
      </c>
      <c r="L16" s="50">
        <v>38.544311560569746</v>
      </c>
      <c r="M16" s="50">
        <v>40.157903567729356</v>
      </c>
      <c r="N16" s="50">
        <v>38.481598500930382</v>
      </c>
      <c r="O16" s="50">
        <v>39.1303852973776</v>
      </c>
      <c r="P16" s="50">
        <v>39.785132411188641</v>
      </c>
      <c r="Q16" s="50">
        <v>36</v>
      </c>
      <c r="R16" s="50">
        <v>35</v>
      </c>
      <c r="S16" s="50">
        <v>36</v>
      </c>
      <c r="T16" s="50">
        <v>36</v>
      </c>
      <c r="U16" s="50">
        <v>34</v>
      </c>
      <c r="V16" s="50">
        <v>36.5</v>
      </c>
      <c r="W16" s="50">
        <v>40</v>
      </c>
      <c r="X16" s="50">
        <v>40</v>
      </c>
      <c r="Y16" s="50">
        <v>37.5</v>
      </c>
      <c r="Z16" s="50">
        <v>37.5</v>
      </c>
    </row>
    <row r="17" spans="2:26">
      <c r="B17" s="323"/>
      <c r="C17" s="53" t="s">
        <v>272</v>
      </c>
      <c r="D17" s="50" t="s">
        <v>45</v>
      </c>
      <c r="E17" s="50" t="s">
        <v>36</v>
      </c>
      <c r="F17" s="50">
        <v>61</v>
      </c>
      <c r="G17" s="1">
        <v>58.5</v>
      </c>
      <c r="H17" s="50">
        <v>65</v>
      </c>
      <c r="I17" s="50">
        <v>53</v>
      </c>
      <c r="J17" s="50">
        <v>53</v>
      </c>
      <c r="K17" s="50">
        <v>51</v>
      </c>
      <c r="L17" s="50">
        <v>53</v>
      </c>
      <c r="M17" s="50">
        <v>55</v>
      </c>
      <c r="N17" s="50">
        <v>49</v>
      </c>
      <c r="O17" s="50">
        <v>49</v>
      </c>
      <c r="P17" s="50">
        <v>49</v>
      </c>
      <c r="Q17" s="50"/>
      <c r="R17" s="50"/>
      <c r="S17" s="50"/>
      <c r="T17" s="50"/>
      <c r="U17" s="50"/>
      <c r="V17" s="50"/>
      <c r="W17" s="50"/>
      <c r="X17" s="50"/>
      <c r="Y17" s="50"/>
      <c r="Z17" s="50"/>
    </row>
    <row r="18" spans="2:26">
      <c r="B18" s="323"/>
      <c r="C18" s="53" t="s">
        <v>273</v>
      </c>
      <c r="D18" s="50" t="s">
        <v>37</v>
      </c>
      <c r="E18" s="50" t="s">
        <v>36</v>
      </c>
      <c r="F18" s="50">
        <v>103.57419518378441</v>
      </c>
      <c r="G18" s="1">
        <v>99.13</v>
      </c>
      <c r="H18" s="50">
        <v>109.93644280491566</v>
      </c>
      <c r="I18" s="50">
        <v>98.797063524200141</v>
      </c>
      <c r="J18" s="50">
        <v>97.512043873841378</v>
      </c>
      <c r="K18" s="50">
        <v>95.343872785418085</v>
      </c>
      <c r="L18" s="50">
        <v>91.544311560569753</v>
      </c>
      <c r="M18" s="50">
        <v>95.157903567729363</v>
      </c>
      <c r="N18" s="50">
        <v>87.481598500930374</v>
      </c>
      <c r="O18" s="50">
        <v>88.1303852973776</v>
      </c>
      <c r="P18" s="50">
        <v>88.785132411188641</v>
      </c>
      <c r="Q18" s="50">
        <v>85</v>
      </c>
      <c r="R18" s="50">
        <v>84</v>
      </c>
      <c r="S18" s="50">
        <v>86</v>
      </c>
      <c r="T18" s="50">
        <v>88</v>
      </c>
      <c r="U18" s="50">
        <v>86</v>
      </c>
      <c r="V18" s="50">
        <v>91.5</v>
      </c>
      <c r="W18" s="50">
        <v>96</v>
      </c>
      <c r="X18" s="50">
        <v>96</v>
      </c>
      <c r="Y18" s="50">
        <v>89</v>
      </c>
      <c r="Z18" s="50">
        <v>89</v>
      </c>
    </row>
    <row r="19" spans="2:26">
      <c r="B19" s="323"/>
      <c r="C19" s="53" t="s">
        <v>274</v>
      </c>
      <c r="D19" s="50" t="s">
        <v>275</v>
      </c>
      <c r="E19" s="50" t="s">
        <v>276</v>
      </c>
      <c r="F19" s="50">
        <v>1014.716390215536</v>
      </c>
      <c r="G19" s="1">
        <v>970.97834999999998</v>
      </c>
      <c r="H19" s="50">
        <v>1076.8274572741489</v>
      </c>
      <c r="I19" s="50">
        <v>967.71723721954038</v>
      </c>
      <c r="J19" s="50">
        <v>955.1304697442763</v>
      </c>
      <c r="K19" s="50">
        <v>933.89323393317011</v>
      </c>
      <c r="L19" s="50">
        <v>896.67653173578071</v>
      </c>
      <c r="M19" s="50">
        <v>932.07166544590916</v>
      </c>
      <c r="N19" s="50">
        <v>856.88225731661305</v>
      </c>
      <c r="O19" s="50">
        <v>863.23712398781356</v>
      </c>
      <c r="P19" s="50">
        <v>869.65037196759272</v>
      </c>
      <c r="Q19" s="50"/>
      <c r="R19" s="50"/>
      <c r="S19" s="50"/>
      <c r="T19" s="50"/>
      <c r="U19" s="50"/>
      <c r="V19" s="50"/>
      <c r="W19" s="50"/>
      <c r="X19" s="50"/>
      <c r="Y19" s="50"/>
      <c r="Z19" s="50"/>
    </row>
    <row r="20" spans="2:26" ht="21" thickBot="1">
      <c r="B20" s="324"/>
      <c r="C20" s="52" t="s">
        <v>277</v>
      </c>
      <c r="D20" s="52" t="s">
        <v>278</v>
      </c>
      <c r="E20" s="52" t="s">
        <v>279</v>
      </c>
      <c r="F20" s="52">
        <v>5.8642150459954827</v>
      </c>
      <c r="G20" s="19">
        <v>5.2592371024187807</v>
      </c>
      <c r="H20" s="52">
        <v>5.7667803807721114</v>
      </c>
      <c r="I20" s="52">
        <v>5.2494263298141739</v>
      </c>
      <c r="J20" s="52">
        <v>5.3211758695686999</v>
      </c>
      <c r="K20" s="52">
        <v>5.2796190648854795</v>
      </c>
      <c r="L20" s="52">
        <v>4.9932308466401985</v>
      </c>
      <c r="M20" s="52">
        <v>5.3626377908957457</v>
      </c>
      <c r="N20" s="52">
        <v>4.7387905392098775</v>
      </c>
      <c r="O20" s="52">
        <v>4.7065826929369603</v>
      </c>
      <c r="P20" s="52">
        <v>4.7787575826698534</v>
      </c>
      <c r="Q20" s="52">
        <v>4.4800000000000004</v>
      </c>
      <c r="R20" s="52">
        <v>5.21</v>
      </c>
      <c r="S20" s="52">
        <v>4.66</v>
      </c>
      <c r="T20" s="52">
        <v>4.6100000000000003</v>
      </c>
      <c r="U20" s="52">
        <v>4.51</v>
      </c>
      <c r="V20" s="52">
        <v>4.83</v>
      </c>
      <c r="W20" s="52">
        <v>4.01</v>
      </c>
      <c r="X20" s="52">
        <v>4.0199999999999996</v>
      </c>
      <c r="Y20" s="52">
        <v>4.3600000000000003</v>
      </c>
      <c r="Z20" s="52">
        <v>4.03</v>
      </c>
    </row>
    <row r="21" spans="2:26" ht="21" thickTop="1">
      <c r="B21" s="323" t="s">
        <v>280</v>
      </c>
      <c r="C21" s="50" t="s">
        <v>281</v>
      </c>
      <c r="D21" s="50" t="s">
        <v>282</v>
      </c>
      <c r="E21" s="50" t="s">
        <v>37</v>
      </c>
      <c r="F21" s="50">
        <v>0.23544509320633827</v>
      </c>
      <c r="G21" s="2">
        <v>0.2492959690889035</v>
      </c>
      <c r="H21" s="50">
        <v>0.27955130115864996</v>
      </c>
      <c r="I21" s="50">
        <v>0.28948775014121375</v>
      </c>
      <c r="J21" s="50">
        <v>0.2817978091561667</v>
      </c>
      <c r="K21" s="50">
        <v>0.21242587219432632</v>
      </c>
      <c r="L21" s="50">
        <v>0.22847891878415774</v>
      </c>
      <c r="M21" s="50">
        <v>0.22279182074093792</v>
      </c>
      <c r="N21" s="50">
        <v>0.23342359262169821</v>
      </c>
      <c r="O21" s="50">
        <v>0.23788263073181701</v>
      </c>
      <c r="P21" s="50">
        <v>0.22527494420692037</v>
      </c>
      <c r="Q21" s="50"/>
      <c r="R21" s="50"/>
      <c r="S21" s="50"/>
      <c r="T21" s="50"/>
      <c r="U21" s="50"/>
      <c r="V21" s="50"/>
      <c r="W21" s="50"/>
      <c r="X21" s="50"/>
      <c r="Y21" s="50"/>
      <c r="Z21" s="50"/>
    </row>
    <row r="22" spans="2:26">
      <c r="B22" s="323"/>
      <c r="C22" s="50" t="s">
        <v>281</v>
      </c>
      <c r="D22" s="50" t="s">
        <v>283</v>
      </c>
      <c r="E22" s="50" t="s">
        <v>45</v>
      </c>
      <c r="F22" s="50">
        <v>0.35</v>
      </c>
      <c r="G22" s="1">
        <v>0.33</v>
      </c>
      <c r="H22" s="50">
        <v>0.33</v>
      </c>
      <c r="I22" s="50">
        <v>0.32319999999999999</v>
      </c>
      <c r="J22" s="50">
        <v>0.32319999999999999</v>
      </c>
      <c r="K22" s="50">
        <v>0.32319999999999999</v>
      </c>
      <c r="L22" s="50">
        <v>0.32319999999999999</v>
      </c>
      <c r="M22" s="50">
        <v>0.32319999999999999</v>
      </c>
      <c r="N22" s="50">
        <v>0.32319999999999999</v>
      </c>
      <c r="O22" s="50">
        <v>0.32319999999999999</v>
      </c>
      <c r="P22" s="50">
        <v>0.32319999999999999</v>
      </c>
      <c r="Q22" s="50">
        <v>33</v>
      </c>
      <c r="R22" s="50">
        <v>33</v>
      </c>
      <c r="S22" s="50">
        <v>33</v>
      </c>
      <c r="T22" s="50">
        <v>33</v>
      </c>
      <c r="U22" s="50">
        <v>30</v>
      </c>
      <c r="V22" s="50">
        <v>33</v>
      </c>
      <c r="W22" s="50">
        <v>30</v>
      </c>
      <c r="X22" s="50">
        <v>25</v>
      </c>
      <c r="Y22" s="50">
        <v>25</v>
      </c>
      <c r="Z22" s="50">
        <v>25</v>
      </c>
    </row>
    <row r="23" spans="2:26" ht="21" thickBot="1">
      <c r="B23" s="324"/>
      <c r="C23" s="52" t="s">
        <v>284</v>
      </c>
      <c r="D23" s="52" t="s">
        <v>285</v>
      </c>
      <c r="E23" s="52" t="s">
        <v>45</v>
      </c>
      <c r="F23" s="52">
        <v>0.55274022409528079</v>
      </c>
      <c r="G23" s="19">
        <v>0.51724507324221358</v>
      </c>
      <c r="H23" s="52">
        <v>0.5231483199220881</v>
      </c>
      <c r="I23" s="52">
        <v>0.52800508218192999</v>
      </c>
      <c r="J23" s="52">
        <v>0.49513467835370822</v>
      </c>
      <c r="K23" s="52">
        <v>0.49508048406814709</v>
      </c>
      <c r="L23" s="52">
        <v>0.50801579155783205</v>
      </c>
      <c r="M23" s="52">
        <v>0.49050073651817705</v>
      </c>
      <c r="N23" s="52">
        <v>0.50150590032370146</v>
      </c>
      <c r="O23" s="52">
        <v>0.49779989846597406</v>
      </c>
      <c r="P23" s="52">
        <v>0.50245945268494019</v>
      </c>
      <c r="Q23" s="52"/>
      <c r="R23" s="52"/>
      <c r="S23" s="52"/>
      <c r="T23" s="52"/>
      <c r="U23" s="52"/>
      <c r="V23" s="52"/>
      <c r="W23" s="52"/>
      <c r="X23" s="52"/>
      <c r="Y23" s="52"/>
      <c r="Z23" s="52"/>
    </row>
    <row r="24" spans="2:26" ht="21" thickTop="1">
      <c r="B24" s="325" t="s">
        <v>286</v>
      </c>
      <c r="C24" s="54" t="s">
        <v>287</v>
      </c>
      <c r="D24" s="54" t="s">
        <v>288</v>
      </c>
      <c r="E24" s="54" t="s">
        <v>289</v>
      </c>
      <c r="F24" s="55">
        <v>17.662073162632822</v>
      </c>
      <c r="G24" s="2">
        <v>18.848741380077545</v>
      </c>
      <c r="H24" s="55">
        <v>19.063747107739921</v>
      </c>
      <c r="I24" s="55">
        <v>18.820544820884741</v>
      </c>
      <c r="J24" s="54">
        <v>18.32528115289395</v>
      </c>
      <c r="K24" s="54">
        <v>18.058854552508553</v>
      </c>
      <c r="L24" s="54">
        <v>18.333683014508992</v>
      </c>
      <c r="M24" s="54">
        <v>17.744607649854849</v>
      </c>
      <c r="N24" s="54">
        <v>18.460743891735003</v>
      </c>
      <c r="O24" s="54">
        <v>18.724920190955629</v>
      </c>
      <c r="P24" s="54">
        <v>18.579124568521241</v>
      </c>
      <c r="Q24" s="54">
        <v>19</v>
      </c>
      <c r="R24" s="54">
        <v>19.2</v>
      </c>
      <c r="S24" s="54">
        <v>19</v>
      </c>
      <c r="T24" s="54">
        <v>19.2</v>
      </c>
      <c r="U24" s="54">
        <v>19.05</v>
      </c>
      <c r="V24" s="54">
        <v>19.100000000000001</v>
      </c>
      <c r="W24" s="54">
        <v>22.4</v>
      </c>
      <c r="X24" s="54">
        <v>23.8</v>
      </c>
      <c r="Y24" s="54">
        <v>20.2</v>
      </c>
      <c r="Z24" s="54">
        <v>20.37</v>
      </c>
    </row>
    <row r="25" spans="2:26">
      <c r="B25" s="323"/>
      <c r="C25" s="50" t="s">
        <v>290</v>
      </c>
      <c r="D25" s="50" t="s">
        <v>291</v>
      </c>
      <c r="E25" s="50" t="s">
        <v>289</v>
      </c>
      <c r="F25" s="56">
        <v>1.54</v>
      </c>
      <c r="G25" s="1">
        <v>1.353</v>
      </c>
      <c r="H25" s="56">
        <v>1.6703999999999999</v>
      </c>
      <c r="I25" s="56">
        <v>1.5264</v>
      </c>
      <c r="J25" s="50">
        <v>1.5475999999999996</v>
      </c>
      <c r="K25" s="50">
        <v>1.375</v>
      </c>
      <c r="L25" s="50">
        <v>1.254</v>
      </c>
      <c r="M25" s="50">
        <v>1.3559999999999999</v>
      </c>
      <c r="N25" s="50">
        <v>1.254</v>
      </c>
      <c r="O25" s="50">
        <v>1.254</v>
      </c>
      <c r="P25" s="50">
        <v>1.254</v>
      </c>
      <c r="Q25" s="50">
        <v>1.32</v>
      </c>
      <c r="R25" s="50">
        <v>1.3</v>
      </c>
      <c r="S25" s="50">
        <v>1.3</v>
      </c>
      <c r="T25" s="50">
        <v>1.4</v>
      </c>
      <c r="U25" s="50">
        <v>1.38</v>
      </c>
      <c r="V25" s="50">
        <v>1.39</v>
      </c>
      <c r="W25" s="50">
        <v>2.1</v>
      </c>
      <c r="X25" s="50">
        <v>2.16</v>
      </c>
      <c r="Y25" s="50">
        <v>1.69</v>
      </c>
      <c r="Z25" s="50">
        <v>1.7</v>
      </c>
    </row>
    <row r="26" spans="2:26" ht="21" thickBot="1">
      <c r="B26" s="324"/>
      <c r="C26" s="52" t="s">
        <v>292</v>
      </c>
      <c r="D26" s="52" t="s">
        <v>293</v>
      </c>
      <c r="E26" s="52" t="s">
        <v>289</v>
      </c>
      <c r="F26" s="57">
        <v>0.70125000000000004</v>
      </c>
      <c r="G26" s="19">
        <v>0.62600000000000011</v>
      </c>
      <c r="H26" s="57">
        <v>0.63319999999999999</v>
      </c>
      <c r="I26" s="57">
        <v>0.63319999999999999</v>
      </c>
      <c r="J26" s="52">
        <v>0.55503775834658209</v>
      </c>
      <c r="K26" s="52">
        <v>0.57000000000000006</v>
      </c>
      <c r="L26" s="52">
        <v>0.4</v>
      </c>
      <c r="M26" s="52">
        <v>0.36000000000000004</v>
      </c>
      <c r="N26" s="52">
        <v>0.4</v>
      </c>
      <c r="O26" s="52">
        <v>0.4</v>
      </c>
      <c r="P26" s="52">
        <v>0.4</v>
      </c>
      <c r="Q26" s="52">
        <v>0.4</v>
      </c>
      <c r="R26" s="52">
        <v>0.45</v>
      </c>
      <c r="S26" s="52">
        <v>0.38300000000000001</v>
      </c>
      <c r="T26" s="52">
        <v>0.72199999999999998</v>
      </c>
      <c r="U26" s="52">
        <v>0.73</v>
      </c>
      <c r="V26" s="52">
        <v>0.92</v>
      </c>
      <c r="W26" s="52">
        <v>1.32</v>
      </c>
      <c r="X26" s="52">
        <v>1.24</v>
      </c>
      <c r="Y26" s="52">
        <v>1.05</v>
      </c>
      <c r="Z26" s="52">
        <v>1.05</v>
      </c>
    </row>
    <row r="27" spans="2:26" ht="21" thickTop="1">
      <c r="B27" s="326" t="s">
        <v>40</v>
      </c>
      <c r="C27" s="58" t="s">
        <v>294</v>
      </c>
      <c r="D27" s="58" t="s">
        <v>295</v>
      </c>
      <c r="E27" s="58" t="s">
        <v>37</v>
      </c>
      <c r="F27" s="58">
        <v>24.585465220630464</v>
      </c>
      <c r="G27" s="2">
        <v>26.522536724685345</v>
      </c>
      <c r="H27" s="58">
        <v>25.696443303325886</v>
      </c>
      <c r="I27" s="58">
        <v>26.687812794039022</v>
      </c>
      <c r="J27" s="58">
        <v>26.482901442796813</v>
      </c>
      <c r="K27" s="58">
        <v>25.157304326023652</v>
      </c>
      <c r="L27" s="58">
        <v>26.797336910170205</v>
      </c>
      <c r="M27" s="58">
        <v>25.901214194796381</v>
      </c>
      <c r="N27" s="58">
        <v>26.665379765339125</v>
      </c>
      <c r="O27" s="58">
        <v>27.831659171718915</v>
      </c>
      <c r="P27" s="58">
        <v>26.704262449297481</v>
      </c>
      <c r="Q27" s="58">
        <v>25</v>
      </c>
      <c r="R27" s="58">
        <v>25</v>
      </c>
      <c r="S27" s="58">
        <v>25</v>
      </c>
      <c r="T27" s="58">
        <v>25</v>
      </c>
      <c r="U27" s="58">
        <v>24.2</v>
      </c>
      <c r="V27" s="58">
        <v>24.6</v>
      </c>
      <c r="W27" s="58">
        <v>24</v>
      </c>
      <c r="X27" s="58">
        <v>25</v>
      </c>
      <c r="Y27" s="58">
        <v>23</v>
      </c>
      <c r="Z27" s="58">
        <v>22.9</v>
      </c>
    </row>
    <row r="28" spans="2:26">
      <c r="B28" s="323"/>
      <c r="C28" s="50" t="s">
        <v>296</v>
      </c>
      <c r="D28" s="50" t="s">
        <v>297</v>
      </c>
      <c r="E28" s="50" t="s">
        <v>45</v>
      </c>
      <c r="F28" s="50">
        <v>34.222771842755051</v>
      </c>
      <c r="G28" s="1">
        <v>37.320526613824697</v>
      </c>
      <c r="H28" s="50">
        <v>34.636800137416621</v>
      </c>
      <c r="I28" s="50">
        <v>37.843715923638761</v>
      </c>
      <c r="J28" s="50">
        <v>38.271940439949674</v>
      </c>
      <c r="K28" s="50">
        <v>35.045963691216159</v>
      </c>
      <c r="L28" s="50">
        <v>39.168194678007659</v>
      </c>
      <c r="M28" s="50">
        <v>37.80714175273463</v>
      </c>
      <c r="N28" s="50">
        <v>38.516458610754881</v>
      </c>
      <c r="O28" s="50">
        <v>41.36739939884324</v>
      </c>
      <c r="P28" s="50">
        <v>38.382735975041598</v>
      </c>
      <c r="Q28" s="50">
        <v>32.9</v>
      </c>
      <c r="R28" s="50">
        <v>32.6</v>
      </c>
      <c r="S28" s="50">
        <v>32.799999999999997</v>
      </c>
      <c r="T28" s="50">
        <v>31</v>
      </c>
      <c r="U28" s="50">
        <v>29.3</v>
      </c>
      <c r="V28" s="50">
        <v>30.19</v>
      </c>
      <c r="W28" s="50">
        <v>25.7</v>
      </c>
      <c r="X28" s="50">
        <v>26.2</v>
      </c>
      <c r="Y28" s="50">
        <v>26.2</v>
      </c>
      <c r="Z28" s="50">
        <v>25.74</v>
      </c>
    </row>
    <row r="29" spans="2:26">
      <c r="B29" s="323"/>
      <c r="C29" s="50" t="s">
        <v>298</v>
      </c>
      <c r="D29" s="50" t="s">
        <v>299</v>
      </c>
      <c r="E29" s="50" t="s">
        <v>37</v>
      </c>
      <c r="F29" s="50">
        <v>0.75501262265133262</v>
      </c>
      <c r="G29" s="1">
        <v>0.77033183441003639</v>
      </c>
      <c r="H29" s="50">
        <v>0.79254432983788059</v>
      </c>
      <c r="I29" s="50">
        <v>0.75472648598482284</v>
      </c>
      <c r="J29" s="50">
        <v>0.74907663009657421</v>
      </c>
      <c r="K29" s="50">
        <v>0.76454669157292232</v>
      </c>
      <c r="L29" s="50">
        <v>0.7392500571267937</v>
      </c>
      <c r="M29" s="50">
        <v>0.73843862040532482</v>
      </c>
      <c r="N29" s="50">
        <v>0.7418913760048218</v>
      </c>
      <c r="O29" s="50">
        <v>0.73538366710057068</v>
      </c>
      <c r="P29" s="50">
        <v>0.74501081421659832</v>
      </c>
      <c r="Q29" s="50">
        <v>0.78300000000000003</v>
      </c>
      <c r="R29" s="50">
        <v>0.78700000000000003</v>
      </c>
      <c r="S29" s="50">
        <v>0.79400000000000004</v>
      </c>
      <c r="T29" s="50">
        <v>0.82799999999999996</v>
      </c>
      <c r="U29" s="50">
        <v>0.83599999999999997</v>
      </c>
      <c r="V29" s="50">
        <v>0.83399999999999996</v>
      </c>
      <c r="W29" s="50">
        <v>1.05</v>
      </c>
      <c r="X29" s="50">
        <v>1.04</v>
      </c>
      <c r="Y29" s="50">
        <v>0.95</v>
      </c>
      <c r="Z29" s="50">
        <v>0.89</v>
      </c>
    </row>
    <row r="30" spans="2:26">
      <c r="B30" s="323"/>
      <c r="C30" s="50" t="s">
        <v>300</v>
      </c>
      <c r="D30" s="50" t="s">
        <v>301</v>
      </c>
      <c r="E30" s="50" t="s">
        <v>37</v>
      </c>
      <c r="F30" s="50">
        <v>5.3518975325674409</v>
      </c>
      <c r="G30" s="1">
        <v>5.5528508888626043</v>
      </c>
      <c r="H30" s="50">
        <v>5.4785617201595151</v>
      </c>
      <c r="I30" s="50">
        <v>5.7156252767200275</v>
      </c>
      <c r="J30" s="50">
        <v>6.9413681054456706</v>
      </c>
      <c r="K30" s="50">
        <v>6.5208255603551191</v>
      </c>
      <c r="L30" s="50">
        <v>6.8168060737590235</v>
      </c>
      <c r="M30" s="50">
        <v>6.2937869269897311</v>
      </c>
      <c r="N30" s="50">
        <v>6.6913667016195841</v>
      </c>
      <c r="O30" s="50">
        <v>6.8903242022534164</v>
      </c>
      <c r="P30" s="50">
        <v>6.8926165956630623</v>
      </c>
      <c r="Q30" s="50"/>
      <c r="R30" s="50"/>
      <c r="S30" s="50"/>
      <c r="T30" s="50"/>
      <c r="U30" s="50"/>
      <c r="V30" s="50"/>
      <c r="W30" s="50"/>
      <c r="X30" s="50"/>
      <c r="Y30" s="50"/>
      <c r="Z30" s="50"/>
    </row>
    <row r="31" spans="2:26">
      <c r="B31" s="323"/>
      <c r="C31" s="50" t="s">
        <v>302</v>
      </c>
      <c r="D31" s="50" t="s">
        <v>303</v>
      </c>
      <c r="E31" s="50" t="s">
        <v>45</v>
      </c>
      <c r="F31" s="50">
        <v>0.25</v>
      </c>
      <c r="G31" s="1">
        <v>0.25</v>
      </c>
      <c r="H31" s="50">
        <v>0.25</v>
      </c>
      <c r="I31" s="50">
        <v>0.25</v>
      </c>
      <c r="J31" s="50">
        <v>0.25</v>
      </c>
      <c r="K31" s="50">
        <v>0.25</v>
      </c>
      <c r="L31" s="50">
        <v>0.25</v>
      </c>
      <c r="M31" s="50">
        <v>0.25</v>
      </c>
      <c r="N31" s="50">
        <v>0.25</v>
      </c>
      <c r="O31" s="50">
        <v>0.25</v>
      </c>
      <c r="P31" s="50">
        <v>0.25</v>
      </c>
      <c r="Q31" s="50"/>
      <c r="R31" s="50"/>
      <c r="S31" s="50"/>
      <c r="T31" s="50"/>
      <c r="U31" s="50"/>
      <c r="V31" s="50"/>
      <c r="W31" s="50"/>
      <c r="X31" s="50"/>
      <c r="Y31" s="50"/>
      <c r="Z31" s="50"/>
    </row>
    <row r="32" spans="2:26">
      <c r="B32" s="323"/>
      <c r="C32" s="50" t="s">
        <v>304</v>
      </c>
      <c r="D32" s="50" t="s">
        <v>305</v>
      </c>
      <c r="E32" s="50" t="s">
        <v>45</v>
      </c>
      <c r="F32" s="50">
        <v>1.0033821094050335</v>
      </c>
      <c r="G32" s="1">
        <v>0.99250802706810226</v>
      </c>
      <c r="H32" s="50">
        <v>1.7805617050996969</v>
      </c>
      <c r="I32" s="50">
        <v>1.7731267172912202</v>
      </c>
      <c r="J32" s="50">
        <v>1.7066097267535372</v>
      </c>
      <c r="K32" s="50">
        <v>1.9579540414279473</v>
      </c>
      <c r="L32" s="50">
        <v>1.9434745281125376</v>
      </c>
      <c r="M32" s="50">
        <v>1.9584644392092285</v>
      </c>
      <c r="N32" s="50">
        <v>1.9309507687771426</v>
      </c>
      <c r="O32" s="50">
        <v>1.9606085843940717</v>
      </c>
      <c r="P32" s="50">
        <v>1.8703274241793417</v>
      </c>
      <c r="Q32" s="50"/>
      <c r="R32" s="50"/>
      <c r="S32" s="50"/>
      <c r="T32" s="50"/>
      <c r="U32" s="50"/>
      <c r="V32" s="50"/>
      <c r="W32" s="50"/>
      <c r="X32" s="50"/>
      <c r="Y32" s="50"/>
      <c r="Z32" s="50"/>
    </row>
    <row r="33" spans="2:26">
      <c r="B33" s="323"/>
      <c r="C33" s="50" t="s">
        <v>306</v>
      </c>
      <c r="D33" s="50" t="s">
        <v>307</v>
      </c>
      <c r="E33" s="50" t="s">
        <v>45</v>
      </c>
      <c r="F33" s="50">
        <v>0.11093402044426547</v>
      </c>
      <c r="G33" s="1">
        <v>0.11758499978781374</v>
      </c>
      <c r="H33" s="50">
        <v>0.1170786455478971</v>
      </c>
      <c r="I33" s="50">
        <v>0.11419203368739703</v>
      </c>
      <c r="J33" s="50">
        <v>0.1108294313611778</v>
      </c>
      <c r="K33" s="50">
        <v>0.11609664028196555</v>
      </c>
      <c r="L33" s="50">
        <v>0.11480993359989657</v>
      </c>
      <c r="M33" s="50">
        <v>0.11779240220037493</v>
      </c>
      <c r="N33" s="50">
        <v>0.11645898497470911</v>
      </c>
      <c r="O33" s="50">
        <v>0.11806821332309325</v>
      </c>
      <c r="P33" s="50">
        <v>0.11482817842248566</v>
      </c>
      <c r="Q33" s="50"/>
      <c r="R33" s="50"/>
      <c r="S33" s="50"/>
      <c r="T33" s="50"/>
      <c r="U33" s="50"/>
      <c r="V33" s="50"/>
      <c r="W33" s="50"/>
      <c r="X33" s="50"/>
      <c r="Y33" s="50"/>
      <c r="Z33" s="50"/>
    </row>
    <row r="34" spans="2:26">
      <c r="B34" s="323"/>
      <c r="C34" s="50" t="s">
        <v>308</v>
      </c>
      <c r="D34" s="50" t="s">
        <v>309</v>
      </c>
      <c r="E34" s="50" t="s">
        <v>263</v>
      </c>
      <c r="F34" s="50">
        <v>0.10474185445756348</v>
      </c>
      <c r="G34" s="1">
        <v>0.11119553796618663</v>
      </c>
      <c r="H34" s="50">
        <v>0.11028019104580952</v>
      </c>
      <c r="I34" s="50">
        <v>0.10823561805284826</v>
      </c>
      <c r="J34" s="50">
        <v>0.10526973696124349</v>
      </c>
      <c r="K34" s="50">
        <v>0.10948213075902856</v>
      </c>
      <c r="L34" s="50">
        <v>0.10898379773170222</v>
      </c>
      <c r="M34" s="50">
        <v>0.11145907911771946</v>
      </c>
      <c r="N34" s="50">
        <v>0.11037258319132046</v>
      </c>
      <c r="O34" s="50">
        <v>0.11222646535285601</v>
      </c>
      <c r="P34" s="50">
        <v>0.10888714601460912</v>
      </c>
      <c r="Q34" s="50"/>
      <c r="R34" s="50"/>
      <c r="S34" s="50"/>
      <c r="T34" s="50"/>
      <c r="U34" s="50"/>
      <c r="V34" s="50"/>
      <c r="W34" s="50"/>
      <c r="X34" s="50"/>
      <c r="Y34" s="50"/>
      <c r="Z34" s="50"/>
    </row>
    <row r="35" spans="2:26">
      <c r="B35" s="323"/>
      <c r="C35" s="50" t="s">
        <v>310</v>
      </c>
      <c r="D35" s="50" t="s">
        <v>45</v>
      </c>
      <c r="E35" s="50" t="s">
        <v>46</v>
      </c>
      <c r="F35" s="50">
        <v>0.35</v>
      </c>
      <c r="G35" s="1">
        <v>0.33</v>
      </c>
      <c r="H35" s="50">
        <v>0.33</v>
      </c>
      <c r="I35" s="50">
        <v>0.32319999999999999</v>
      </c>
      <c r="J35" s="50">
        <v>0.32319999999999999</v>
      </c>
      <c r="K35" s="50">
        <v>0.32319999999999999</v>
      </c>
      <c r="L35" s="50">
        <v>0.32319999999999999</v>
      </c>
      <c r="M35" s="50">
        <v>0.32319999999999999</v>
      </c>
      <c r="N35" s="50">
        <v>0.32319999999999999</v>
      </c>
      <c r="O35" s="50">
        <v>0.32319999999999999</v>
      </c>
      <c r="P35" s="50">
        <v>0.32319999999999999</v>
      </c>
      <c r="Q35" s="50"/>
      <c r="R35" s="50"/>
      <c r="S35" s="50"/>
      <c r="T35" s="50"/>
      <c r="U35" s="50"/>
      <c r="V35" s="50"/>
      <c r="W35" s="50"/>
      <c r="X35" s="50"/>
      <c r="Y35" s="50"/>
      <c r="Z35" s="50"/>
    </row>
    <row r="36" spans="2:26">
      <c r="B36" s="323"/>
      <c r="C36" s="50" t="s">
        <v>311</v>
      </c>
      <c r="D36" s="50" t="s">
        <v>312</v>
      </c>
      <c r="E36" s="50" t="s">
        <v>5</v>
      </c>
      <c r="F36" s="50">
        <v>0.83746843256447934</v>
      </c>
      <c r="G36" s="1">
        <v>1.4360432109387011</v>
      </c>
      <c r="H36" s="50">
        <v>1.0377574932920675</v>
      </c>
      <c r="I36" s="50">
        <v>1.0222454839469268</v>
      </c>
      <c r="J36" s="50">
        <v>0.85529195385742918</v>
      </c>
      <c r="K36" s="50">
        <v>0.65958789862370848</v>
      </c>
      <c r="L36" s="50">
        <v>1.0432033827672182</v>
      </c>
      <c r="M36" s="50">
        <v>0.97342364555717686</v>
      </c>
      <c r="N36" s="50">
        <v>1.1320297023472368</v>
      </c>
      <c r="O36" s="50">
        <v>1.2815087284463602</v>
      </c>
      <c r="P36" s="50">
        <v>0.96662922926928074</v>
      </c>
      <c r="Q36" s="50"/>
      <c r="R36" s="50"/>
      <c r="S36" s="50"/>
      <c r="T36" s="50"/>
      <c r="U36" s="50"/>
      <c r="V36" s="50"/>
      <c r="W36" s="50"/>
      <c r="X36" s="50"/>
      <c r="Y36" s="50"/>
      <c r="Z36" s="50"/>
    </row>
    <row r="37" spans="2:26" ht="21" thickBot="1">
      <c r="B37" s="324"/>
      <c r="C37" s="52" t="s">
        <v>313</v>
      </c>
      <c r="D37" s="52" t="s">
        <v>314</v>
      </c>
      <c r="E37" s="52" t="s">
        <v>315</v>
      </c>
      <c r="F37" s="52">
        <v>-0.28010179717063205</v>
      </c>
      <c r="G37" s="19">
        <v>-0.5018358811952609</v>
      </c>
      <c r="H37" s="52">
        <v>-0.57805363370660279</v>
      </c>
      <c r="I37" s="52">
        <v>-0.65128744152501072</v>
      </c>
      <c r="J37" s="52">
        <v>-0.94594713681692288</v>
      </c>
      <c r="K37" s="52">
        <v>-1.361712510409832</v>
      </c>
      <c r="L37" s="52">
        <v>-2.5882887143491735</v>
      </c>
      <c r="M37" s="52">
        <v>-2.0481021907093688</v>
      </c>
      <c r="N37" s="52">
        <v>-2.3150464167749276</v>
      </c>
      <c r="O37" s="52">
        <v>-1.6910095810387213</v>
      </c>
      <c r="P37" s="52">
        <v>-0.92332880559383013</v>
      </c>
      <c r="Q37" s="52"/>
      <c r="R37" s="52"/>
      <c r="S37" s="52"/>
      <c r="T37" s="52"/>
      <c r="U37" s="52"/>
      <c r="V37" s="52"/>
      <c r="W37" s="52"/>
      <c r="X37" s="52"/>
      <c r="Y37" s="52"/>
      <c r="Z37" s="52"/>
    </row>
    <row r="38" spans="2:26" ht="21" thickTop="1">
      <c r="B38" s="326" t="s">
        <v>50</v>
      </c>
      <c r="C38" s="58" t="s">
        <v>294</v>
      </c>
      <c r="D38" s="58" t="s">
        <v>295</v>
      </c>
      <c r="E38" s="58" t="s">
        <v>37</v>
      </c>
      <c r="F38" s="58">
        <v>2.8000000000000003</v>
      </c>
      <c r="G38" s="2">
        <v>2.2000000000000002</v>
      </c>
      <c r="H38" s="58">
        <v>2.88</v>
      </c>
      <c r="I38" s="58">
        <v>2.88</v>
      </c>
      <c r="J38" s="58">
        <v>2.88</v>
      </c>
      <c r="K38" s="58">
        <v>2.2000000000000002</v>
      </c>
      <c r="L38" s="58">
        <v>2.2000000000000002</v>
      </c>
      <c r="M38" s="58">
        <v>2.4000000000000004</v>
      </c>
      <c r="N38" s="58">
        <v>2.2000000000000002</v>
      </c>
      <c r="O38" s="58">
        <v>2.2000000000000002</v>
      </c>
      <c r="P38" s="58">
        <v>2.2000000000000002</v>
      </c>
      <c r="Q38" s="58"/>
      <c r="R38" s="58"/>
      <c r="S38" s="58"/>
      <c r="T38" s="58"/>
      <c r="U38" s="58"/>
      <c r="V38" s="58"/>
      <c r="W38" s="58"/>
      <c r="X38" s="58"/>
      <c r="Y38" s="58"/>
      <c r="Z38" s="58"/>
    </row>
    <row r="39" spans="2:26">
      <c r="B39" s="323"/>
      <c r="C39" s="50" t="s">
        <v>296</v>
      </c>
      <c r="D39" s="50" t="s">
        <v>297</v>
      </c>
      <c r="E39" s="50" t="s">
        <v>45</v>
      </c>
      <c r="F39" s="50">
        <v>5.0909090909090917</v>
      </c>
      <c r="G39" s="1">
        <v>3.5772357723577244</v>
      </c>
      <c r="H39" s="50">
        <v>4.9655172413793105</v>
      </c>
      <c r="I39" s="50">
        <v>5.4339622641509431</v>
      </c>
      <c r="J39" s="50">
        <v>5.3595244249159997</v>
      </c>
      <c r="K39" s="50">
        <v>3.5200000000000005</v>
      </c>
      <c r="L39" s="50">
        <v>3.859649122807018</v>
      </c>
      <c r="M39" s="50">
        <v>4.2477876106194703</v>
      </c>
      <c r="N39" s="50">
        <v>3.859649122807018</v>
      </c>
      <c r="O39" s="50">
        <v>3.859649122807018</v>
      </c>
      <c r="P39" s="50">
        <v>3.859649122807018</v>
      </c>
      <c r="Q39" s="50"/>
      <c r="R39" s="50"/>
      <c r="S39" s="50"/>
      <c r="T39" s="50"/>
      <c r="U39" s="50"/>
      <c r="V39" s="50"/>
      <c r="W39" s="50"/>
      <c r="X39" s="50"/>
      <c r="Y39" s="50"/>
      <c r="Z39" s="50"/>
    </row>
    <row r="40" spans="2:26">
      <c r="B40" s="323"/>
      <c r="C40" s="50" t="s">
        <v>298</v>
      </c>
      <c r="D40" s="50" t="s">
        <v>299</v>
      </c>
      <c r="E40" s="50" t="s">
        <v>37</v>
      </c>
      <c r="F40" s="50">
        <v>0.55593692022263463</v>
      </c>
      <c r="G40" s="1">
        <v>0.6150000000000001</v>
      </c>
      <c r="H40" s="50">
        <v>0.57999999999999996</v>
      </c>
      <c r="I40" s="50">
        <v>0.52999999999999992</v>
      </c>
      <c r="J40" s="50">
        <v>0.59857456707159462</v>
      </c>
      <c r="K40" s="50">
        <v>0.68353719008264457</v>
      </c>
      <c r="L40" s="50">
        <v>0.62370305930114567</v>
      </c>
      <c r="M40" s="50">
        <v>0.61433894624713203</v>
      </c>
      <c r="N40" s="50">
        <v>0.62370305930114567</v>
      </c>
      <c r="O40" s="50">
        <v>0.62370305930114567</v>
      </c>
      <c r="P40" s="50">
        <v>0.62370305930114567</v>
      </c>
      <c r="Q40" s="50"/>
      <c r="R40" s="50"/>
      <c r="S40" s="50"/>
      <c r="T40" s="50"/>
      <c r="U40" s="50"/>
      <c r="V40" s="50"/>
      <c r="W40" s="50"/>
      <c r="X40" s="50"/>
      <c r="Y40" s="50"/>
      <c r="Z40" s="50"/>
    </row>
    <row r="41" spans="2:26">
      <c r="B41" s="323"/>
      <c r="C41" s="50" t="s">
        <v>300</v>
      </c>
      <c r="D41" s="50" t="s">
        <v>301</v>
      </c>
      <c r="E41" s="50" t="s">
        <v>37</v>
      </c>
      <c r="F41" s="50">
        <v>-0.65844155844155861</v>
      </c>
      <c r="G41" s="1">
        <v>-0.55000000000000004</v>
      </c>
      <c r="H41" s="50">
        <v>-0.72000000000000008</v>
      </c>
      <c r="I41" s="50">
        <v>-0.7200000000000002</v>
      </c>
      <c r="J41" s="50">
        <v>0.69998449211682623</v>
      </c>
      <c r="K41" s="50">
        <v>0.53545454545454541</v>
      </c>
      <c r="L41" s="50">
        <v>0.53405103668261578</v>
      </c>
      <c r="M41" s="50">
        <v>0.58066617502458218</v>
      </c>
      <c r="N41" s="50">
        <v>0.53405103668261578</v>
      </c>
      <c r="O41" s="50">
        <v>0.53405103668261578</v>
      </c>
      <c r="P41" s="50">
        <v>0.53405103668261578</v>
      </c>
      <c r="Q41" s="50"/>
      <c r="R41" s="50"/>
      <c r="S41" s="50"/>
      <c r="T41" s="50"/>
      <c r="U41" s="50"/>
      <c r="V41" s="50"/>
      <c r="W41" s="50"/>
      <c r="X41" s="50"/>
      <c r="Y41" s="50"/>
      <c r="Z41" s="50"/>
    </row>
    <row r="42" spans="2:26">
      <c r="B42" s="323"/>
      <c r="C42" s="50" t="s">
        <v>302</v>
      </c>
      <c r="D42" s="50" t="s">
        <v>303</v>
      </c>
      <c r="E42" s="50" t="s">
        <v>45</v>
      </c>
      <c r="F42" s="50">
        <v>0.25</v>
      </c>
      <c r="G42" s="1">
        <v>0.25</v>
      </c>
      <c r="H42" s="50">
        <v>0.25</v>
      </c>
      <c r="I42" s="50">
        <v>0.25</v>
      </c>
      <c r="J42" s="50">
        <v>0.25</v>
      </c>
      <c r="K42" s="50">
        <v>0.25</v>
      </c>
      <c r="L42" s="50">
        <v>0.25</v>
      </c>
      <c r="M42" s="50">
        <v>0.25</v>
      </c>
      <c r="N42" s="50">
        <v>0.25</v>
      </c>
      <c r="O42" s="50">
        <v>0.25</v>
      </c>
      <c r="P42" s="50">
        <v>0.25</v>
      </c>
      <c r="Q42" s="50"/>
      <c r="R42" s="50"/>
      <c r="S42" s="50"/>
      <c r="T42" s="50"/>
      <c r="U42" s="50"/>
      <c r="V42" s="50"/>
      <c r="W42" s="50"/>
      <c r="X42" s="50"/>
      <c r="Y42" s="50"/>
      <c r="Z42" s="50"/>
    </row>
    <row r="43" spans="2:26">
      <c r="B43" s="323"/>
      <c r="C43" s="50" t="s">
        <v>304</v>
      </c>
      <c r="D43" s="50" t="s">
        <v>305</v>
      </c>
      <c r="E43" s="50" t="s">
        <v>45</v>
      </c>
      <c r="F43" s="50">
        <v>1.0682092392323017</v>
      </c>
      <c r="G43" s="1">
        <v>1.0449706976611999</v>
      </c>
      <c r="H43" s="50">
        <v>1.0440102521550767</v>
      </c>
      <c r="I43" s="50">
        <v>1.0414860681499853</v>
      </c>
      <c r="J43" s="50">
        <v>1.0393368682673272</v>
      </c>
      <c r="K43" s="50">
        <v>1.0431606651390797</v>
      </c>
      <c r="L43" s="50">
        <v>1.0425708010062988</v>
      </c>
      <c r="M43" s="50">
        <v>1.0381114983534576</v>
      </c>
      <c r="N43" s="50">
        <v>1.0425708010062988</v>
      </c>
      <c r="O43" s="50">
        <v>1.0425708010062993</v>
      </c>
      <c r="P43" s="50">
        <v>1.0425708010062988</v>
      </c>
      <c r="Q43" s="50"/>
      <c r="R43" s="50"/>
      <c r="S43" s="50"/>
      <c r="T43" s="50"/>
      <c r="U43" s="50"/>
      <c r="V43" s="50"/>
      <c r="W43" s="50"/>
      <c r="X43" s="50"/>
      <c r="Y43" s="50"/>
      <c r="Z43" s="50"/>
    </row>
    <row r="44" spans="2:26" ht="21" thickBot="1">
      <c r="B44" s="324"/>
      <c r="C44" s="52" t="s">
        <v>310</v>
      </c>
      <c r="D44" s="52" t="s">
        <v>45</v>
      </c>
      <c r="E44" s="52" t="s">
        <v>46</v>
      </c>
      <c r="F44" s="52">
        <v>0.36</v>
      </c>
      <c r="G44" s="19">
        <v>0.36</v>
      </c>
      <c r="H44" s="52">
        <v>0.36</v>
      </c>
      <c r="I44" s="52">
        <v>0.36</v>
      </c>
      <c r="J44" s="52">
        <v>0.36</v>
      </c>
      <c r="K44" s="52">
        <v>0.36</v>
      </c>
      <c r="L44" s="52">
        <v>0.36</v>
      </c>
      <c r="M44" s="52">
        <v>0.36</v>
      </c>
      <c r="N44" s="52">
        <v>0.36</v>
      </c>
      <c r="O44" s="52">
        <v>0.36</v>
      </c>
      <c r="P44" s="52">
        <v>0.36</v>
      </c>
      <c r="Q44" s="52"/>
      <c r="R44" s="52"/>
      <c r="S44" s="52"/>
      <c r="T44" s="52"/>
      <c r="U44" s="52"/>
      <c r="V44" s="52"/>
      <c r="W44" s="52"/>
      <c r="X44" s="52"/>
      <c r="Y44" s="52"/>
      <c r="Z44" s="52"/>
    </row>
    <row r="45" spans="2:26" ht="21" thickTop="1">
      <c r="B45" s="323" t="s">
        <v>51</v>
      </c>
      <c r="C45" s="50" t="s">
        <v>294</v>
      </c>
      <c r="D45" s="50" t="s">
        <v>295</v>
      </c>
      <c r="E45" s="50" t="s">
        <v>37</v>
      </c>
      <c r="F45" s="50">
        <v>0.85</v>
      </c>
      <c r="G45" s="2">
        <v>0.8</v>
      </c>
      <c r="H45" s="50">
        <v>0.8</v>
      </c>
      <c r="I45" s="50">
        <v>0.8</v>
      </c>
      <c r="J45" s="50">
        <v>1</v>
      </c>
      <c r="K45" s="50">
        <v>1.1000000000000001</v>
      </c>
      <c r="L45" s="50">
        <v>0.8</v>
      </c>
      <c r="M45" s="50">
        <v>0.8</v>
      </c>
      <c r="N45" s="50">
        <v>0.8</v>
      </c>
      <c r="O45" s="50">
        <v>0.8</v>
      </c>
      <c r="P45" s="50">
        <v>0.8</v>
      </c>
      <c r="Q45" s="50"/>
      <c r="R45" s="50"/>
      <c r="S45" s="50"/>
      <c r="T45" s="50"/>
      <c r="U45" s="50"/>
      <c r="V45" s="50"/>
      <c r="W45" s="50"/>
      <c r="X45" s="50"/>
      <c r="Y45" s="50"/>
      <c r="Z45" s="50"/>
    </row>
    <row r="46" spans="2:26">
      <c r="B46" s="323"/>
      <c r="C46" s="50" t="s">
        <v>296</v>
      </c>
      <c r="D46" s="50" t="s">
        <v>297</v>
      </c>
      <c r="E46" s="50" t="s">
        <v>45</v>
      </c>
      <c r="F46" s="50">
        <v>1.0303030303030303</v>
      </c>
      <c r="G46" s="1">
        <v>1.0223642172523961</v>
      </c>
      <c r="H46" s="50">
        <v>1.0107391029690462</v>
      </c>
      <c r="I46" s="50">
        <v>1.0107391029690462</v>
      </c>
      <c r="J46" s="50">
        <v>1.8016792280563554</v>
      </c>
      <c r="K46" s="50">
        <v>2.1228070175438596</v>
      </c>
      <c r="L46" s="50">
        <v>1.6</v>
      </c>
      <c r="M46" s="50">
        <v>1.7777777777777777</v>
      </c>
      <c r="N46" s="50">
        <v>1.6</v>
      </c>
      <c r="O46" s="50">
        <v>1.6</v>
      </c>
      <c r="P46" s="50">
        <v>1.6</v>
      </c>
      <c r="Q46" s="50"/>
      <c r="R46" s="50"/>
      <c r="S46" s="50"/>
      <c r="T46" s="50"/>
      <c r="U46" s="50"/>
      <c r="V46" s="50"/>
      <c r="W46" s="50"/>
      <c r="X46" s="50"/>
      <c r="Y46" s="50"/>
      <c r="Z46" s="50"/>
    </row>
    <row r="47" spans="2:26">
      <c r="B47" s="323"/>
      <c r="C47" s="50" t="s">
        <v>298</v>
      </c>
      <c r="D47" s="50" t="s">
        <v>299</v>
      </c>
      <c r="E47" s="50" t="s">
        <v>37</v>
      </c>
      <c r="F47" s="50">
        <v>0.83131225752333027</v>
      </c>
      <c r="G47" s="1">
        <v>0.78608788438498378</v>
      </c>
      <c r="H47" s="50">
        <v>0.79512419555432723</v>
      </c>
      <c r="I47" s="50">
        <v>0.79512419555432723</v>
      </c>
      <c r="J47" s="50">
        <v>0.60333136917444674</v>
      </c>
      <c r="K47" s="50">
        <v>0.56002506265664143</v>
      </c>
      <c r="L47" s="50">
        <v>0.57187500000000002</v>
      </c>
      <c r="M47" s="50">
        <v>0.52968749999999987</v>
      </c>
      <c r="N47" s="50">
        <v>0.57187500000000002</v>
      </c>
      <c r="O47" s="50">
        <v>0.57187500000000002</v>
      </c>
      <c r="P47" s="50">
        <v>0.57187500000000002</v>
      </c>
      <c r="Q47" s="50"/>
      <c r="R47" s="50"/>
      <c r="S47" s="50"/>
      <c r="T47" s="50"/>
      <c r="U47" s="50"/>
      <c r="V47" s="50"/>
      <c r="W47" s="50"/>
      <c r="X47" s="50"/>
      <c r="Y47" s="50"/>
      <c r="Z47" s="50"/>
    </row>
    <row r="48" spans="2:26" ht="21" thickBot="1">
      <c r="B48" s="324"/>
      <c r="C48" s="52" t="s">
        <v>300</v>
      </c>
      <c r="D48" s="52" t="s">
        <v>301</v>
      </c>
      <c r="E48" s="52" t="s">
        <v>37</v>
      </c>
      <c r="F48" s="52">
        <v>0.40353832442067739</v>
      </c>
      <c r="G48" s="19">
        <v>0.38448482428115011</v>
      </c>
      <c r="H48" s="52">
        <v>0.38449542008843973</v>
      </c>
      <c r="I48" s="52">
        <v>0.38449542008843973</v>
      </c>
      <c r="J48" s="52">
        <v>0.51590672944377791</v>
      </c>
      <c r="K48" s="52">
        <v>0.52105263157894732</v>
      </c>
      <c r="L48" s="52">
        <v>0.37375000000000003</v>
      </c>
      <c r="M48" s="52">
        <v>0.35624999999999996</v>
      </c>
      <c r="N48" s="52">
        <v>0.37375000000000003</v>
      </c>
      <c r="O48" s="52">
        <v>0.37375000000000003</v>
      </c>
      <c r="P48" s="52">
        <v>0.37375000000000003</v>
      </c>
      <c r="Q48" s="52"/>
      <c r="R48" s="52"/>
      <c r="S48" s="52"/>
      <c r="T48" s="52"/>
      <c r="U48" s="52"/>
      <c r="V48" s="52"/>
      <c r="W48" s="52"/>
      <c r="X48" s="52"/>
      <c r="Y48" s="52"/>
      <c r="Z48" s="52"/>
    </row>
    <row r="49" spans="2:26" ht="21" thickTop="1">
      <c r="B49" s="323" t="s">
        <v>316</v>
      </c>
      <c r="C49" s="50" t="s">
        <v>317</v>
      </c>
      <c r="D49" s="50" t="s">
        <v>318</v>
      </c>
      <c r="E49" s="50" t="s">
        <v>45</v>
      </c>
      <c r="F49" s="50">
        <v>0.3695513620523892</v>
      </c>
      <c r="G49" s="2">
        <v>0.3913694173202345</v>
      </c>
      <c r="H49" s="50">
        <v>0.35378435870142183</v>
      </c>
      <c r="I49" s="50">
        <v>0.34387179305970833</v>
      </c>
      <c r="J49" s="50">
        <v>0.3607711533983225</v>
      </c>
      <c r="K49" s="50">
        <v>0.41827101965108376</v>
      </c>
      <c r="L49" s="50">
        <v>0.41635996685508009</v>
      </c>
      <c r="M49" s="50">
        <v>0.38807007439517721</v>
      </c>
      <c r="N49" s="50">
        <v>0.41202211795625671</v>
      </c>
      <c r="O49" s="50">
        <v>0.40980390739689798</v>
      </c>
      <c r="P49" s="50">
        <v>0.40768264772815699</v>
      </c>
      <c r="Q49" s="50">
        <v>0.40899999999999997</v>
      </c>
      <c r="R49" s="50">
        <v>0.36199999999999999</v>
      </c>
      <c r="S49" s="50">
        <v>0.36099999999999999</v>
      </c>
      <c r="T49" s="50">
        <v>0.39600000000000002</v>
      </c>
      <c r="U49" s="50">
        <v>0.39</v>
      </c>
      <c r="V49" s="50">
        <v>0.39</v>
      </c>
      <c r="W49" s="50">
        <v>0.4</v>
      </c>
      <c r="X49" s="50">
        <v>0.39</v>
      </c>
      <c r="Y49" s="50">
        <v>0.4</v>
      </c>
      <c r="Z49" s="50">
        <v>0.4</v>
      </c>
    </row>
    <row r="50" spans="2:26">
      <c r="B50" s="323"/>
      <c r="C50" s="50"/>
      <c r="D50" s="50" t="s">
        <v>319</v>
      </c>
      <c r="E50" s="50" t="s">
        <v>45</v>
      </c>
      <c r="F50" s="50" t="s">
        <v>45</v>
      </c>
      <c r="G50" s="1" t="s">
        <v>45</v>
      </c>
      <c r="H50" s="50" t="s">
        <v>45</v>
      </c>
      <c r="I50" s="50" t="s">
        <v>45</v>
      </c>
      <c r="J50" s="50">
        <v>0.36695301325928892</v>
      </c>
      <c r="K50" s="50">
        <v>0.42384446284524346</v>
      </c>
      <c r="L50" s="50">
        <v>0.42136675135808244</v>
      </c>
      <c r="M50" s="50">
        <v>0.39366384135574523</v>
      </c>
      <c r="N50" s="50">
        <v>0.41699444196109253</v>
      </c>
      <c r="O50" s="50">
        <v>0.41470608049370705</v>
      </c>
      <c r="P50" s="50">
        <v>0.41262328955772543</v>
      </c>
      <c r="Q50" s="50"/>
      <c r="R50" s="50"/>
      <c r="S50" s="50"/>
      <c r="T50" s="50"/>
      <c r="U50" s="50"/>
      <c r="V50" s="50"/>
      <c r="W50" s="50"/>
      <c r="X50" s="50"/>
      <c r="Y50" s="50"/>
      <c r="Z50" s="50"/>
    </row>
    <row r="51" spans="2:26">
      <c r="B51" s="323"/>
      <c r="C51" s="50" t="s">
        <v>320</v>
      </c>
      <c r="D51" s="50" t="s">
        <v>321</v>
      </c>
      <c r="E51" s="50" t="s">
        <v>45</v>
      </c>
      <c r="F51" s="50">
        <v>5.1677648361201567E-3</v>
      </c>
      <c r="G51" s="1">
        <v>5.259278978381356E-3</v>
      </c>
      <c r="H51" s="50">
        <v>4.1362768601852541E-3</v>
      </c>
      <c r="I51" s="50">
        <v>4.0340911854252481E-3</v>
      </c>
      <c r="J51" s="50">
        <v>3.659791094887305E-3</v>
      </c>
      <c r="K51" s="50">
        <v>4.3285221790316779E-3</v>
      </c>
      <c r="L51" s="50">
        <v>3.0531623930240884E-3</v>
      </c>
      <c r="M51" s="50">
        <v>3.5247513864828297E-3</v>
      </c>
      <c r="N51" s="50">
        <v>3.0471531926554761E-3</v>
      </c>
      <c r="O51" s="50">
        <v>2.8782743426983997E-3</v>
      </c>
      <c r="P51" s="50">
        <v>3.0233291045002851E-3</v>
      </c>
      <c r="Q51" s="50">
        <v>3.1900000000000001E-3</v>
      </c>
      <c r="R51" s="50">
        <v>3.0999999999999999E-3</v>
      </c>
      <c r="S51" s="50">
        <v>3.0100000000000001E-3</v>
      </c>
      <c r="T51" s="50">
        <v>5.8500000000000002E-3</v>
      </c>
      <c r="U51" s="50">
        <v>6.1999999999999998E-3</v>
      </c>
      <c r="V51" s="50">
        <v>8.0000000000000002E-3</v>
      </c>
      <c r="W51" s="50">
        <v>9.1999999999999998E-3</v>
      </c>
      <c r="X51" s="50">
        <v>8.3000000000000001E-3</v>
      </c>
      <c r="Y51" s="50">
        <v>0.01</v>
      </c>
      <c r="Z51" s="50">
        <v>0.01</v>
      </c>
    </row>
    <row r="52" spans="2:26">
      <c r="B52" s="323"/>
      <c r="C52" s="50" t="s">
        <v>45</v>
      </c>
      <c r="D52" s="50" t="s">
        <v>322</v>
      </c>
      <c r="E52" s="50" t="s">
        <v>45</v>
      </c>
      <c r="F52" s="50">
        <v>0</v>
      </c>
      <c r="G52" s="1">
        <v>0</v>
      </c>
      <c r="H52" s="50">
        <v>0</v>
      </c>
      <c r="I52" s="50">
        <v>0</v>
      </c>
      <c r="J52" s="50">
        <v>0.10032884463362519</v>
      </c>
      <c r="K52" s="50">
        <v>0.11394833660771307</v>
      </c>
      <c r="L52" s="50">
        <v>0.10149184283126518</v>
      </c>
      <c r="M52" s="50">
        <v>0.10753364333094993</v>
      </c>
      <c r="N52" s="50">
        <v>0.10452438315017795</v>
      </c>
      <c r="O52" s="50">
        <v>9.8955473379635589E-2</v>
      </c>
      <c r="P52" s="50">
        <v>0.10347690766316585</v>
      </c>
      <c r="Q52" s="50"/>
      <c r="R52" s="50"/>
      <c r="S52" s="50"/>
      <c r="T52" s="50"/>
      <c r="U52" s="50"/>
      <c r="V52" s="50"/>
      <c r="W52" s="50"/>
      <c r="X52" s="50"/>
      <c r="Y52" s="50"/>
      <c r="Z52" s="50"/>
    </row>
    <row r="53" spans="2:26" ht="21" thickBot="1">
      <c r="B53" s="324"/>
      <c r="C53" s="52" t="s">
        <v>323</v>
      </c>
      <c r="D53" s="52" t="s">
        <v>45</v>
      </c>
      <c r="E53" s="52" t="s">
        <v>45</v>
      </c>
      <c r="F53" s="52" t="s">
        <v>324</v>
      </c>
      <c r="G53" s="19" t="s">
        <v>324</v>
      </c>
      <c r="H53" s="52" t="s">
        <v>324</v>
      </c>
      <c r="I53" s="52" t="s">
        <v>324</v>
      </c>
      <c r="J53" s="52" t="s">
        <v>325</v>
      </c>
      <c r="K53" s="52" t="s">
        <v>325</v>
      </c>
      <c r="L53" s="52" t="s">
        <v>325</v>
      </c>
      <c r="M53" s="52" t="s">
        <v>325</v>
      </c>
      <c r="N53" s="52" t="s">
        <v>325</v>
      </c>
      <c r="O53" s="52" t="s">
        <v>325</v>
      </c>
      <c r="P53" s="52" t="s">
        <v>325</v>
      </c>
      <c r="Q53" s="52"/>
      <c r="R53" s="52"/>
      <c r="S53" s="52"/>
      <c r="T53" s="52"/>
      <c r="U53" s="52"/>
      <c r="V53" s="52"/>
      <c r="W53" s="52"/>
      <c r="X53" s="52"/>
      <c r="Y53" s="52"/>
      <c r="Z53" s="52"/>
    </row>
    <row r="54" spans="2:26" ht="21" thickTop="1">
      <c r="B54" s="323" t="s">
        <v>326</v>
      </c>
      <c r="C54" s="50" t="s">
        <v>327</v>
      </c>
      <c r="D54" s="50" t="s">
        <v>328</v>
      </c>
      <c r="E54" s="50" t="s">
        <v>37</v>
      </c>
      <c r="F54" s="50">
        <v>3.2</v>
      </c>
      <c r="G54" s="2">
        <v>4.2</v>
      </c>
      <c r="H54" s="50">
        <v>3.2</v>
      </c>
      <c r="I54" s="50">
        <v>3.2</v>
      </c>
      <c r="J54" s="50">
        <v>3.2</v>
      </c>
      <c r="K54" s="50">
        <v>4.2</v>
      </c>
      <c r="L54" s="50">
        <v>4.5</v>
      </c>
      <c r="M54" s="50">
        <v>3.75</v>
      </c>
      <c r="N54" s="50">
        <v>4.5</v>
      </c>
      <c r="O54" s="50">
        <v>4.5</v>
      </c>
      <c r="P54" s="50">
        <v>4.5</v>
      </c>
      <c r="Q54" s="50"/>
      <c r="R54" s="50"/>
      <c r="S54" s="50"/>
      <c r="T54" s="50"/>
      <c r="U54" s="50"/>
      <c r="V54" s="50"/>
      <c r="W54" s="50"/>
      <c r="X54" s="50"/>
      <c r="Y54" s="50"/>
      <c r="Z54" s="50"/>
    </row>
    <row r="55" spans="2:26">
      <c r="B55" s="323"/>
      <c r="C55" s="50" t="s">
        <v>329</v>
      </c>
      <c r="D55" s="50" t="s">
        <v>330</v>
      </c>
      <c r="E55" s="50" t="s">
        <v>37</v>
      </c>
      <c r="F55" s="50" t="s">
        <v>45</v>
      </c>
      <c r="G55" s="1" t="s">
        <v>45</v>
      </c>
      <c r="H55" s="50" t="s">
        <v>45</v>
      </c>
      <c r="I55" s="50" t="s">
        <v>45</v>
      </c>
      <c r="J55" s="50">
        <v>3.2548324093230696</v>
      </c>
      <c r="K55" s="50">
        <v>4.2559648178231377</v>
      </c>
      <c r="L55" s="50">
        <v>4.5541131041816811</v>
      </c>
      <c r="M55" s="50">
        <v>3.80405370701367</v>
      </c>
      <c r="N55" s="50">
        <v>4.5543064487235529</v>
      </c>
      <c r="O55" s="50">
        <v>4.5538300844317616</v>
      </c>
      <c r="P55" s="50">
        <v>4.5545347916006547</v>
      </c>
      <c r="Q55" s="50"/>
      <c r="R55" s="50"/>
      <c r="S55" s="50"/>
      <c r="T55" s="50"/>
      <c r="U55" s="50"/>
      <c r="V55" s="50"/>
      <c r="W55" s="50"/>
      <c r="X55" s="50"/>
      <c r="Y55" s="50"/>
      <c r="Z55" s="50"/>
    </row>
    <row r="56" spans="2:26">
      <c r="B56" s="323"/>
      <c r="C56" s="50" t="s">
        <v>331</v>
      </c>
      <c r="D56" s="50" t="s">
        <v>332</v>
      </c>
      <c r="E56" s="50" t="s">
        <v>37</v>
      </c>
      <c r="F56" s="50">
        <v>3.2</v>
      </c>
      <c r="G56" s="1">
        <v>4.2</v>
      </c>
      <c r="H56" s="50">
        <v>3.2</v>
      </c>
      <c r="I56" s="50">
        <v>3.2</v>
      </c>
      <c r="J56" s="50">
        <v>3.2</v>
      </c>
      <c r="K56" s="50">
        <v>3.45</v>
      </c>
      <c r="L56" s="50">
        <v>3.75</v>
      </c>
      <c r="M56" s="50">
        <v>4.5</v>
      </c>
      <c r="N56" s="50">
        <v>3.75</v>
      </c>
      <c r="O56" s="50">
        <v>3.75</v>
      </c>
      <c r="P56" s="50">
        <v>3.75</v>
      </c>
      <c r="Q56" s="50"/>
      <c r="R56" s="50"/>
      <c r="S56" s="50"/>
      <c r="T56" s="50"/>
      <c r="U56" s="50"/>
      <c r="V56" s="50"/>
      <c r="W56" s="50"/>
      <c r="X56" s="50"/>
      <c r="Y56" s="50"/>
      <c r="Z56" s="50"/>
    </row>
    <row r="57" spans="2:26">
      <c r="B57" s="323"/>
      <c r="C57" s="50" t="s">
        <v>333</v>
      </c>
      <c r="D57" s="50" t="s">
        <v>334</v>
      </c>
      <c r="E57" s="50" t="s">
        <v>37</v>
      </c>
      <c r="F57" s="50">
        <v>0.16455490679366175</v>
      </c>
      <c r="G57" s="1">
        <v>0.10070403091109648</v>
      </c>
      <c r="H57" s="50">
        <v>0.12044869884135007</v>
      </c>
      <c r="I57" s="50">
        <v>0.11051224985878627</v>
      </c>
      <c r="J57" s="50">
        <v>0.11820219084383332</v>
      </c>
      <c r="K57" s="50">
        <v>0.1875741278056737</v>
      </c>
      <c r="L57" s="50">
        <v>0.17152108121584228</v>
      </c>
      <c r="M57" s="50">
        <v>0.1772081792590621</v>
      </c>
      <c r="N57" s="50">
        <v>0.16657640737830182</v>
      </c>
      <c r="O57" s="50">
        <v>0.16211736926818301</v>
      </c>
      <c r="P57" s="50">
        <v>0.17472505579307965</v>
      </c>
      <c r="Q57" s="50"/>
      <c r="R57" s="50"/>
      <c r="S57" s="50"/>
      <c r="T57" s="50"/>
      <c r="U57" s="50"/>
      <c r="V57" s="50"/>
      <c r="W57" s="50"/>
      <c r="X57" s="50"/>
      <c r="Y57" s="50"/>
      <c r="Z57" s="50"/>
    </row>
    <row r="58" spans="2:26">
      <c r="B58" s="323"/>
      <c r="C58" s="50" t="s">
        <v>335</v>
      </c>
      <c r="D58" s="50" t="s">
        <v>301</v>
      </c>
      <c r="E58" s="50" t="s">
        <v>37</v>
      </c>
      <c r="F58" s="50">
        <v>0.40353832442067739</v>
      </c>
      <c r="G58" s="1">
        <v>0.38448482428115011</v>
      </c>
      <c r="H58" s="50">
        <v>0.38449542008843973</v>
      </c>
      <c r="I58" s="50">
        <v>0.38449542008843973</v>
      </c>
      <c r="J58" s="50">
        <v>0.51590672944377791</v>
      </c>
      <c r="K58" s="50">
        <v>0.52105263157894732</v>
      </c>
      <c r="L58" s="50">
        <v>0.37375000000000003</v>
      </c>
      <c r="M58" s="50">
        <v>0.35624999999999996</v>
      </c>
      <c r="N58" s="50">
        <v>0.37375000000000003</v>
      </c>
      <c r="O58" s="50">
        <v>0.37375000000000003</v>
      </c>
      <c r="P58" s="50">
        <v>0.37375000000000003</v>
      </c>
      <c r="Q58" s="50"/>
      <c r="R58" s="50"/>
      <c r="S58" s="50"/>
      <c r="T58" s="50"/>
      <c r="U58" s="50"/>
      <c r="V58" s="50"/>
      <c r="W58" s="50"/>
      <c r="X58" s="50"/>
      <c r="Y58" s="50"/>
      <c r="Z58" s="50"/>
    </row>
    <row r="59" spans="2:26" ht="21" thickBot="1">
      <c r="B59" s="324"/>
      <c r="C59" s="52" t="s">
        <v>336</v>
      </c>
      <c r="D59" s="52" t="s">
        <v>337</v>
      </c>
      <c r="E59" s="52" t="s">
        <v>263</v>
      </c>
      <c r="F59" s="52">
        <v>-3.6</v>
      </c>
      <c r="G59" s="19">
        <v>-2.94</v>
      </c>
      <c r="H59" s="52">
        <v>-2.5</v>
      </c>
      <c r="I59" s="52">
        <v>-3.3</v>
      </c>
      <c r="J59" s="52">
        <v>-2.4500000000000002</v>
      </c>
      <c r="K59" s="52">
        <v>-3.6</v>
      </c>
      <c r="L59" s="52">
        <v>-2.8</v>
      </c>
      <c r="M59" s="52">
        <v>-2.65</v>
      </c>
      <c r="N59" s="52">
        <v>-2.4</v>
      </c>
      <c r="O59" s="52">
        <v>-1.1200000000000001</v>
      </c>
      <c r="P59" s="52">
        <v>-0.92</v>
      </c>
      <c r="Q59" s="52"/>
      <c r="R59" s="52"/>
      <c r="S59" s="52"/>
      <c r="T59" s="52"/>
      <c r="U59" s="52"/>
      <c r="V59" s="52"/>
      <c r="W59" s="52"/>
      <c r="X59" s="52"/>
      <c r="Y59" s="52"/>
      <c r="Z59" s="52"/>
    </row>
    <row r="60" spans="2:26" ht="21" thickTop="1">
      <c r="B60" s="323" t="s">
        <v>338</v>
      </c>
      <c r="C60" s="50" t="s">
        <v>339</v>
      </c>
      <c r="D60" s="50" t="s">
        <v>340</v>
      </c>
      <c r="E60" s="50" t="s">
        <v>45</v>
      </c>
      <c r="F60" s="50">
        <v>0.89334209521379149</v>
      </c>
      <c r="G60" s="2">
        <v>0.99518048364603229</v>
      </c>
      <c r="H60" s="50">
        <v>0.80775540451913708</v>
      </c>
      <c r="I60" s="50">
        <v>0.96089613516659922</v>
      </c>
      <c r="J60" s="50">
        <v>1.30602091427374</v>
      </c>
      <c r="K60" s="50">
        <v>0.88960674611935719</v>
      </c>
      <c r="L60" s="50">
        <v>0.69702410295988126</v>
      </c>
      <c r="M60" s="50">
        <v>0.82370987878542834</v>
      </c>
      <c r="N60" s="50">
        <v>0.80156902974961186</v>
      </c>
      <c r="O60" s="50">
        <v>0.88292500309175725</v>
      </c>
      <c r="P60" s="50">
        <v>1.0035204565390832</v>
      </c>
      <c r="Q60" s="50"/>
      <c r="R60" s="50"/>
      <c r="S60" s="50"/>
      <c r="T60" s="50"/>
      <c r="U60" s="50"/>
      <c r="V60" s="50"/>
      <c r="W60" s="50"/>
      <c r="X60" s="50"/>
      <c r="Y60" s="50"/>
      <c r="Z60" s="50"/>
    </row>
    <row r="61" spans="2:26">
      <c r="B61" s="323"/>
      <c r="C61" s="50" t="s">
        <v>341</v>
      </c>
      <c r="D61" s="50" t="s">
        <v>342</v>
      </c>
      <c r="E61" s="50" t="s">
        <v>45</v>
      </c>
      <c r="F61" s="50">
        <v>1.6847046002102821</v>
      </c>
      <c r="G61" s="1">
        <v>1.5700690055057438</v>
      </c>
      <c r="H61" s="50">
        <v>1.5891699804771495</v>
      </c>
      <c r="I61" s="50">
        <v>1.6971035733910482</v>
      </c>
      <c r="J61" s="50">
        <v>1.4207165009077423</v>
      </c>
      <c r="K61" s="50">
        <v>0</v>
      </c>
      <c r="L61" s="50">
        <v>1.4207165009077423</v>
      </c>
      <c r="M61" s="50">
        <v>1.4207165009077423</v>
      </c>
      <c r="N61" s="50">
        <v>1.4207165009077423</v>
      </c>
      <c r="O61" s="50">
        <v>1.4207165009077423</v>
      </c>
      <c r="P61" s="50">
        <v>1.4207165009077423</v>
      </c>
      <c r="Q61" s="50"/>
      <c r="R61" s="50"/>
      <c r="S61" s="50"/>
      <c r="T61" s="50"/>
      <c r="U61" s="50"/>
      <c r="V61" s="50"/>
      <c r="W61" s="50"/>
      <c r="X61" s="50"/>
      <c r="Y61" s="50"/>
      <c r="Z61" s="50"/>
    </row>
    <row r="62" spans="2:26">
      <c r="B62" s="323"/>
      <c r="C62" s="50" t="s">
        <v>287</v>
      </c>
      <c r="D62" s="50" t="s">
        <v>343</v>
      </c>
      <c r="E62" s="50" t="s">
        <v>45</v>
      </c>
      <c r="F62" s="50">
        <v>0.90637713276099385</v>
      </c>
      <c r="G62" s="1">
        <v>1.0017730159086871</v>
      </c>
      <c r="H62" s="50">
        <v>0.81590850011517313</v>
      </c>
      <c r="I62" s="50">
        <v>0.97317771376468332</v>
      </c>
      <c r="J62" s="50">
        <v>1.325966844745778</v>
      </c>
      <c r="K62" s="50">
        <v>0.90647103754541036</v>
      </c>
      <c r="L62" s="50">
        <v>0.71342407448361023</v>
      </c>
      <c r="M62" s="50">
        <v>0.84026657875366129</v>
      </c>
      <c r="N62" s="50">
        <v>0.81526467001619241</v>
      </c>
      <c r="O62" s="50">
        <v>0.89408404389796436</v>
      </c>
      <c r="P62" s="50">
        <v>1.0125387143621192</v>
      </c>
      <c r="Q62" s="50"/>
      <c r="R62" s="50"/>
      <c r="S62" s="50"/>
      <c r="T62" s="50"/>
      <c r="U62" s="50"/>
      <c r="V62" s="50"/>
      <c r="W62" s="50"/>
      <c r="X62" s="50"/>
      <c r="Y62" s="50"/>
      <c r="Z62" s="50"/>
    </row>
    <row r="63" spans="2:26">
      <c r="B63" s="323"/>
      <c r="C63" s="50" t="s">
        <v>290</v>
      </c>
      <c r="D63" s="50" t="s">
        <v>344</v>
      </c>
      <c r="E63" s="50" t="s">
        <v>45</v>
      </c>
      <c r="F63" s="50">
        <v>-0.14949726417945014</v>
      </c>
      <c r="G63" s="1">
        <v>-9.1841046310862567E-2</v>
      </c>
      <c r="H63" s="50">
        <v>-9.3048702459326255E-2</v>
      </c>
      <c r="I63" s="50">
        <v>-0.15143212819474611</v>
      </c>
      <c r="J63" s="50">
        <v>-0.23618169020171326</v>
      </c>
      <c r="K63" s="50">
        <v>-0.22149075345033498</v>
      </c>
      <c r="L63" s="50">
        <v>-0.23977023872649147</v>
      </c>
      <c r="M63" s="50">
        <v>-0.21666087382939367</v>
      </c>
      <c r="N63" s="50">
        <v>-0.20162018133546727</v>
      </c>
      <c r="O63" s="50">
        <v>-0.16662850757882444</v>
      </c>
      <c r="P63" s="50">
        <v>-0.1336135051716322</v>
      </c>
      <c r="Q63" s="50"/>
      <c r="R63" s="50"/>
      <c r="S63" s="50"/>
      <c r="T63" s="50"/>
      <c r="U63" s="50"/>
      <c r="V63" s="50"/>
      <c r="W63" s="50"/>
      <c r="X63" s="50"/>
      <c r="Y63" s="50"/>
      <c r="Z63" s="50"/>
    </row>
    <row r="64" spans="2:26">
      <c r="B64" s="323"/>
      <c r="C64" s="50" t="s">
        <v>292</v>
      </c>
      <c r="D64" s="50" t="s">
        <v>345</v>
      </c>
      <c r="E64" s="50" t="s">
        <v>45</v>
      </c>
      <c r="F64" s="50">
        <v>1.0552889856616786E-10</v>
      </c>
      <c r="G64" s="1">
        <v>1.1551489497962747E-10</v>
      </c>
      <c r="H64" s="50">
        <v>1.144306420943344E-10</v>
      </c>
      <c r="I64" s="50">
        <v>1.1443064209433443E-10</v>
      </c>
      <c r="J64" s="50">
        <v>1.7255164367239104E-10</v>
      </c>
      <c r="K64" s="50">
        <v>1.9216568733856887E-10</v>
      </c>
      <c r="L64" s="50">
        <v>1.6213365045382322E-10</v>
      </c>
      <c r="M64" s="50">
        <v>1.7302477097702235E-10</v>
      </c>
      <c r="N64" s="50">
        <v>1.621336504538232E-10</v>
      </c>
      <c r="O64" s="50">
        <v>1.6213365045382317E-10</v>
      </c>
      <c r="P64" s="50">
        <v>1.6213365045382322E-10</v>
      </c>
      <c r="Q64" s="50"/>
      <c r="R64" s="50"/>
      <c r="S64" s="50"/>
      <c r="T64" s="50"/>
      <c r="U64" s="50"/>
      <c r="V64" s="50"/>
      <c r="W64" s="50"/>
      <c r="X64" s="50"/>
      <c r="Y64" s="50"/>
      <c r="Z64" s="50"/>
    </row>
    <row r="65" spans="2:26">
      <c r="B65" s="323"/>
      <c r="C65" s="50" t="s">
        <v>346</v>
      </c>
      <c r="D65" s="50" t="s">
        <v>347</v>
      </c>
      <c r="E65" s="50" t="s">
        <v>348</v>
      </c>
      <c r="F65" s="50">
        <v>0.1122234567979726</v>
      </c>
      <c r="G65" s="1">
        <v>0.1166459034194281</v>
      </c>
      <c r="H65" s="50">
        <v>0.11774072013896636</v>
      </c>
      <c r="I65" s="50">
        <v>0.11533241778015911</v>
      </c>
      <c r="J65" s="50">
        <v>0.11167813026207936</v>
      </c>
      <c r="K65" s="50">
        <v>0.11459456176974697</v>
      </c>
      <c r="L65" s="50">
        <v>0.11380768012303166</v>
      </c>
      <c r="M65" s="50">
        <v>0.117000046311916</v>
      </c>
      <c r="N65" s="50">
        <v>0.11514709501136162</v>
      </c>
      <c r="O65" s="50">
        <v>0.11696289055066557</v>
      </c>
      <c r="P65" s="50">
        <v>0.11363678542164531</v>
      </c>
      <c r="Q65" s="50"/>
      <c r="R65" s="50"/>
      <c r="S65" s="50"/>
      <c r="T65" s="50"/>
      <c r="U65" s="50"/>
      <c r="V65" s="50"/>
      <c r="W65" s="50"/>
      <c r="X65" s="50"/>
      <c r="Y65" s="50"/>
      <c r="Z65" s="50"/>
    </row>
    <row r="66" spans="2:26">
      <c r="B66" s="323"/>
      <c r="C66" s="50" t="s">
        <v>287</v>
      </c>
      <c r="D66" s="50" t="s">
        <v>349</v>
      </c>
      <c r="E66" s="50" t="s">
        <v>348</v>
      </c>
      <c r="F66" s="50">
        <v>0.10474185445756348</v>
      </c>
      <c r="G66" s="1">
        <v>0.11119553796618663</v>
      </c>
      <c r="H66" s="50">
        <v>0.11028019104580952</v>
      </c>
      <c r="I66" s="50">
        <v>0.10823561805284826</v>
      </c>
      <c r="J66" s="50">
        <v>0.10526973696124349</v>
      </c>
      <c r="K66" s="50">
        <v>0.10948213075902856</v>
      </c>
      <c r="L66" s="50">
        <v>0.10898379773170222</v>
      </c>
      <c r="M66" s="50">
        <v>0.11145907911771946</v>
      </c>
      <c r="N66" s="50">
        <v>0.11037258319132046</v>
      </c>
      <c r="O66" s="50">
        <v>0.11222646535285601</v>
      </c>
      <c r="P66" s="50">
        <v>0.10888714601460912</v>
      </c>
      <c r="Q66" s="50"/>
      <c r="R66" s="50"/>
      <c r="S66" s="50"/>
      <c r="T66" s="50"/>
      <c r="U66" s="50"/>
      <c r="V66" s="50"/>
      <c r="W66" s="50"/>
      <c r="X66" s="50"/>
      <c r="Y66" s="50"/>
      <c r="Z66" s="50"/>
    </row>
    <row r="67" spans="2:26">
      <c r="B67" s="323"/>
      <c r="C67" s="50" t="s">
        <v>290</v>
      </c>
      <c r="D67" s="50" t="s">
        <v>350</v>
      </c>
      <c r="E67" s="50" t="s">
        <v>348</v>
      </c>
      <c r="F67" s="50">
        <v>8.5805589551968084E-2</v>
      </c>
      <c r="G67" s="1">
        <v>7.5929437439067077E-2</v>
      </c>
      <c r="H67" s="50">
        <v>8.514465991491757E-2</v>
      </c>
      <c r="I67" s="50">
        <v>8.7503693234208854E-2</v>
      </c>
      <c r="J67" s="50">
        <v>8.4344600691053831E-2</v>
      </c>
      <c r="K67" s="50">
        <v>7.5780229689853401E-2</v>
      </c>
      <c r="L67" s="50">
        <v>7.8492266268236979E-2</v>
      </c>
      <c r="M67" s="50">
        <v>8.1245709757649165E-2</v>
      </c>
      <c r="N67" s="50">
        <v>7.8492266341715702E-2</v>
      </c>
      <c r="O67" s="50">
        <v>7.8492266341715702E-2</v>
      </c>
      <c r="P67" s="50">
        <v>7.8492266341715702E-2</v>
      </c>
      <c r="Q67" s="50"/>
      <c r="R67" s="50"/>
      <c r="S67" s="50"/>
      <c r="T67" s="50"/>
      <c r="U67" s="50"/>
      <c r="V67" s="50"/>
      <c r="W67" s="50"/>
      <c r="X67" s="50"/>
      <c r="Y67" s="50"/>
      <c r="Z67" s="50"/>
    </row>
    <row r="68" spans="2:26">
      <c r="B68" s="323"/>
      <c r="C68" s="50" t="s">
        <v>292</v>
      </c>
      <c r="D68" s="50" t="s">
        <v>351</v>
      </c>
      <c r="E68" s="50" t="s">
        <v>348</v>
      </c>
      <c r="F68" s="50">
        <v>3.8172620602696196E-2</v>
      </c>
      <c r="G68" s="1">
        <v>3.7973374933672942E-2</v>
      </c>
      <c r="H68" s="50">
        <v>4.4859693176593024E-2</v>
      </c>
      <c r="I68" s="50">
        <v>4.4859693176593024E-2</v>
      </c>
      <c r="J68" s="50">
        <v>5.4188314512789909E-2</v>
      </c>
      <c r="K68" s="50">
        <v>5.9091684649062455E-2</v>
      </c>
      <c r="L68" s="50">
        <v>5.0683925103064187E-2</v>
      </c>
      <c r="M68" s="50">
        <v>5.3791614430781218E-2</v>
      </c>
      <c r="N68" s="50">
        <v>5.0683925103064187E-2</v>
      </c>
      <c r="O68" s="50">
        <v>5.0683925103064187E-2</v>
      </c>
      <c r="P68" s="50">
        <v>5.0683925103064187E-2</v>
      </c>
      <c r="Q68" s="50"/>
      <c r="R68" s="50"/>
      <c r="S68" s="50"/>
      <c r="T68" s="50"/>
      <c r="U68" s="50"/>
      <c r="V68" s="50"/>
      <c r="W68" s="50"/>
      <c r="X68" s="50"/>
      <c r="Y68" s="50"/>
      <c r="Z68" s="50"/>
    </row>
    <row r="69" spans="2:26">
      <c r="B69" s="323"/>
      <c r="C69" s="50" t="s">
        <v>352</v>
      </c>
      <c r="D69" s="50" t="s">
        <v>353</v>
      </c>
      <c r="E69" s="50" t="s">
        <v>45</v>
      </c>
      <c r="F69" s="50">
        <v>2.4586244303371366E-2</v>
      </c>
      <c r="G69" s="1">
        <v>2.5400195265692326E-2</v>
      </c>
      <c r="H69" s="50">
        <v>1.6883925147005055E-2</v>
      </c>
      <c r="I69" s="50">
        <v>2.0891845066662008E-2</v>
      </c>
      <c r="J69" s="50">
        <v>2.700464340732707E-2</v>
      </c>
      <c r="K69" s="50">
        <v>1.9246178282943501E-2</v>
      </c>
      <c r="L69" s="50">
        <v>1.4609803781242738E-2</v>
      </c>
      <c r="M69" s="50">
        <v>1.7977683005341426E-2</v>
      </c>
      <c r="N69" s="50">
        <v>1.833623693228548E-2</v>
      </c>
      <c r="O69" s="50">
        <v>1.9029566101812397E-2</v>
      </c>
      <c r="P69" s="50">
        <v>2.1598977553327306E-2</v>
      </c>
      <c r="Q69" s="50"/>
      <c r="R69" s="50"/>
      <c r="S69" s="50"/>
      <c r="T69" s="50"/>
      <c r="U69" s="50"/>
      <c r="V69" s="50"/>
      <c r="W69" s="50"/>
      <c r="X69" s="50"/>
      <c r="Y69" s="50"/>
      <c r="Z69" s="50"/>
    </row>
    <row r="70" spans="2:26">
      <c r="B70" s="323"/>
      <c r="C70" s="50" t="s">
        <v>287</v>
      </c>
      <c r="D70" s="50" t="s">
        <v>354</v>
      </c>
      <c r="E70" s="50" t="s">
        <v>45</v>
      </c>
      <c r="F70" s="50">
        <v>1.7113168423305021E-2</v>
      </c>
      <c r="G70" s="1">
        <v>1.8476000854648834E-2</v>
      </c>
      <c r="H70" s="50">
        <v>1.0858153475370291E-2</v>
      </c>
      <c r="I70" s="50">
        <v>1.4480626253271449E-2</v>
      </c>
      <c r="J70" s="50">
        <v>2.16275929469061E-2</v>
      </c>
      <c r="K70" s="50">
        <v>1.4187463673077026E-2</v>
      </c>
      <c r="L70" s="50">
        <v>1.1964276319624713E-2</v>
      </c>
      <c r="M70" s="50">
        <v>1.3410295971976124E-2</v>
      </c>
      <c r="N70" s="50">
        <v>1.3999642604226066E-2</v>
      </c>
      <c r="O70" s="50">
        <v>1.5001352600841939E-2</v>
      </c>
      <c r="P70" s="50">
        <v>1.7373362208508655E-2</v>
      </c>
      <c r="Q70" s="50"/>
      <c r="R70" s="50"/>
      <c r="S70" s="50"/>
      <c r="T70" s="50"/>
      <c r="U70" s="50"/>
      <c r="V70" s="50"/>
      <c r="W70" s="50"/>
      <c r="X70" s="50"/>
      <c r="Y70" s="50"/>
      <c r="Z70" s="50"/>
    </row>
    <row r="71" spans="2:26">
      <c r="B71" s="323"/>
      <c r="C71" s="50" t="s">
        <v>290</v>
      </c>
      <c r="D71" s="50" t="s">
        <v>355</v>
      </c>
      <c r="E71" s="50" t="s">
        <v>45</v>
      </c>
      <c r="F71" s="50">
        <v>9.3619884584271104E-3</v>
      </c>
      <c r="G71" s="1">
        <v>8.4402488272241772E-3</v>
      </c>
      <c r="H71" s="50">
        <v>7.4624279567092455E-3</v>
      </c>
      <c r="I71" s="50">
        <v>1.0672391889346024E-2</v>
      </c>
      <c r="J71" s="50">
        <v>1.4315481593539282E-2</v>
      </c>
      <c r="K71" s="50">
        <v>1.2843563962288657E-2</v>
      </c>
      <c r="L71" s="50">
        <v>1.3450839511804251E-2</v>
      </c>
      <c r="M71" s="50">
        <v>1.247658728967543E-2</v>
      </c>
      <c r="N71" s="50">
        <v>1.2705848998838821E-2</v>
      </c>
      <c r="O71" s="50">
        <v>1.1778432817228986E-2</v>
      </c>
      <c r="P71" s="50">
        <v>1.1340906504749983E-2</v>
      </c>
      <c r="Q71" s="50"/>
      <c r="R71" s="50"/>
      <c r="S71" s="50"/>
      <c r="T71" s="50"/>
      <c r="U71" s="50"/>
      <c r="V71" s="50"/>
      <c r="W71" s="50"/>
      <c r="X71" s="50"/>
      <c r="Y71" s="50"/>
      <c r="Z71" s="50"/>
    </row>
    <row r="72" spans="2:26">
      <c r="B72" s="323"/>
      <c r="C72" s="50" t="s">
        <v>292</v>
      </c>
      <c r="D72" s="50" t="s">
        <v>356</v>
      </c>
      <c r="E72" s="50" t="s">
        <v>45</v>
      </c>
      <c r="F72" s="50">
        <v>8.867077996424633E-3</v>
      </c>
      <c r="G72" s="1">
        <v>1.2361311155327367E-2</v>
      </c>
      <c r="H72" s="50">
        <v>8.8474419386210413E-3</v>
      </c>
      <c r="I72" s="50">
        <v>1.1948743953588643E-2</v>
      </c>
      <c r="J72" s="50">
        <v>1.5964930119893229E-2</v>
      </c>
      <c r="K72" s="50">
        <v>1.5379800048954029E-2</v>
      </c>
      <c r="L72" s="50">
        <v>1.5111839261076759E-2</v>
      </c>
      <c r="M72" s="50">
        <v>1.5800325577597366E-2</v>
      </c>
      <c r="N72" s="50">
        <v>1.5607690220090443E-2</v>
      </c>
      <c r="O72" s="50">
        <v>1.583954007527542E-2</v>
      </c>
      <c r="P72" s="50">
        <v>1.6075946859339992E-2</v>
      </c>
      <c r="Q72" s="50"/>
      <c r="R72" s="50"/>
      <c r="S72" s="50"/>
      <c r="T72" s="50"/>
      <c r="U72" s="50"/>
      <c r="V72" s="50"/>
      <c r="W72" s="50"/>
      <c r="X72" s="50"/>
      <c r="Y72" s="50"/>
      <c r="Z72" s="50"/>
    </row>
    <row r="73" spans="2:26">
      <c r="B73" s="323"/>
      <c r="C73" s="50" t="s">
        <v>41</v>
      </c>
      <c r="D73" s="50" t="s">
        <v>357</v>
      </c>
      <c r="E73" s="50" t="s">
        <v>45</v>
      </c>
      <c r="F73" s="50">
        <v>0.2</v>
      </c>
      <c r="G73" s="1">
        <v>0.2</v>
      </c>
      <c r="H73" s="50">
        <v>0.20307417424463414</v>
      </c>
      <c r="I73" s="50">
        <v>0.20307417424463414</v>
      </c>
      <c r="J73" s="50">
        <v>0.11253363853407559</v>
      </c>
      <c r="K73" s="50">
        <v>0.10821367481029676</v>
      </c>
      <c r="L73" s="50">
        <v>4.2650289058750408E-2</v>
      </c>
      <c r="M73" s="50">
        <v>9.7400202198944769E-2</v>
      </c>
      <c r="N73" s="50">
        <v>9.6467577533459026E-2</v>
      </c>
      <c r="O73" s="50">
        <v>9.0536675891477375E-2</v>
      </c>
      <c r="P73" s="50">
        <v>9.6427263948913433E-2</v>
      </c>
      <c r="Q73" s="50"/>
      <c r="R73" s="50"/>
      <c r="S73" s="50"/>
      <c r="T73" s="50"/>
      <c r="U73" s="50"/>
      <c r="V73" s="50"/>
      <c r="W73" s="50"/>
      <c r="X73" s="50"/>
      <c r="Y73" s="50"/>
      <c r="Z73" s="50"/>
    </row>
    <row r="74" spans="2:26">
      <c r="B74" s="323"/>
      <c r="C74" s="50" t="s">
        <v>358</v>
      </c>
      <c r="D74" s="50" t="s">
        <v>359</v>
      </c>
      <c r="E74" s="50" t="s">
        <v>45</v>
      </c>
      <c r="F74" s="50">
        <v>0.20472728608752949</v>
      </c>
      <c r="G74" s="1">
        <v>0.20433083126946039</v>
      </c>
      <c r="H74" s="50">
        <v>0.20228944613939059</v>
      </c>
      <c r="I74" s="50">
        <v>0.20246292449307876</v>
      </c>
      <c r="J74" s="50">
        <v>1</v>
      </c>
      <c r="K74" s="50">
        <v>1</v>
      </c>
      <c r="L74" s="50">
        <v>1</v>
      </c>
      <c r="M74" s="50">
        <v>1</v>
      </c>
      <c r="N74" s="50">
        <v>1</v>
      </c>
      <c r="O74" s="50">
        <v>1</v>
      </c>
      <c r="P74" s="50">
        <v>1</v>
      </c>
      <c r="Q74" s="50"/>
      <c r="R74" s="50"/>
      <c r="S74" s="50"/>
      <c r="T74" s="50"/>
      <c r="U74" s="50"/>
      <c r="V74" s="50"/>
      <c r="W74" s="50"/>
      <c r="X74" s="50"/>
      <c r="Y74" s="50"/>
      <c r="Z74" s="50"/>
    </row>
    <row r="75" spans="2:26">
      <c r="B75" s="323"/>
      <c r="C75" s="50" t="s">
        <v>360</v>
      </c>
      <c r="D75" s="50" t="s">
        <v>361</v>
      </c>
      <c r="E75" s="50" t="s">
        <v>45</v>
      </c>
      <c r="F75" s="50">
        <v>1.2</v>
      </c>
      <c r="G75" s="1">
        <v>1.2</v>
      </c>
      <c r="H75" s="50">
        <v>1.2</v>
      </c>
      <c r="I75" s="50">
        <v>1.2</v>
      </c>
      <c r="J75" s="50">
        <v>1.2</v>
      </c>
      <c r="K75" s="50">
        <v>1.2</v>
      </c>
      <c r="L75" s="50">
        <v>1.2</v>
      </c>
      <c r="M75" s="50">
        <v>1.2</v>
      </c>
      <c r="N75" s="50">
        <v>1.2</v>
      </c>
      <c r="O75" s="50">
        <v>1.2</v>
      </c>
      <c r="P75" s="50">
        <v>1.2</v>
      </c>
      <c r="Q75" s="50"/>
      <c r="R75" s="50"/>
      <c r="S75" s="50"/>
      <c r="T75" s="50"/>
      <c r="U75" s="50"/>
      <c r="V75" s="50"/>
      <c r="W75" s="50"/>
      <c r="X75" s="50"/>
      <c r="Y75" s="50"/>
      <c r="Z75" s="50"/>
    </row>
    <row r="76" spans="2:26">
      <c r="B76" s="323"/>
      <c r="C76" s="50" t="s">
        <v>362</v>
      </c>
      <c r="D76" s="50" t="s">
        <v>363</v>
      </c>
      <c r="E76" s="50" t="s">
        <v>45</v>
      </c>
      <c r="F76" s="50">
        <v>48.86585600467933</v>
      </c>
      <c r="G76" s="1">
        <v>51.054795874434618</v>
      </c>
      <c r="H76" s="50">
        <v>68.419686714309421</v>
      </c>
      <c r="I76" s="50">
        <v>61.016281531367596</v>
      </c>
      <c r="J76" s="50">
        <v>56.004072703101656</v>
      </c>
      <c r="K76" s="50">
        <v>56.840933983222001</v>
      </c>
      <c r="L76" s="50">
        <v>52.748899444464207</v>
      </c>
      <c r="M76" s="50">
        <v>56.094667669967592</v>
      </c>
      <c r="N76" s="50">
        <v>52.731662474475193</v>
      </c>
      <c r="O76" s="50">
        <v>54.743115805968664</v>
      </c>
      <c r="P76" s="50">
        <v>54.288584977975084</v>
      </c>
      <c r="Q76" s="50"/>
      <c r="R76" s="50"/>
      <c r="S76" s="50"/>
      <c r="T76" s="50"/>
      <c r="U76" s="50"/>
      <c r="V76" s="50"/>
      <c r="W76" s="50"/>
      <c r="X76" s="50"/>
      <c r="Y76" s="50"/>
      <c r="Z76" s="50"/>
    </row>
    <row r="77" spans="2:26">
      <c r="B77" s="323"/>
      <c r="C77" s="50" t="s">
        <v>364</v>
      </c>
      <c r="D77" s="50" t="s">
        <v>162</v>
      </c>
      <c r="E77" s="50" t="s">
        <v>45</v>
      </c>
      <c r="F77" s="50">
        <v>7.9321225425896518E-4</v>
      </c>
      <c r="G77" s="1">
        <v>1.1196133917099668E-4</v>
      </c>
      <c r="H77" s="50">
        <v>5.0388112890804772E-4</v>
      </c>
      <c r="I77" s="50">
        <v>-3.1383800751981668E-4</v>
      </c>
      <c r="J77" s="50">
        <v>-1.2981101169055875E-4</v>
      </c>
      <c r="K77" s="50">
        <v>3.0913437415344691E-4</v>
      </c>
      <c r="L77" s="50">
        <v>-1.3604911429110356E-4</v>
      </c>
      <c r="M77" s="50">
        <v>-4.1431794856480741E-5</v>
      </c>
      <c r="N77" s="50">
        <v>-3.7852648738045946E-4</v>
      </c>
      <c r="O77" s="50">
        <v>-2.3021686617781534E-4</v>
      </c>
      <c r="P77" s="50">
        <v>-4.3738887125700787E-5</v>
      </c>
      <c r="Q77" s="50"/>
      <c r="R77" s="50"/>
      <c r="S77" s="50"/>
      <c r="T77" s="50"/>
      <c r="U77" s="50"/>
      <c r="V77" s="50"/>
      <c r="W77" s="50"/>
      <c r="X77" s="50"/>
      <c r="Y77" s="50"/>
      <c r="Z77" s="50"/>
    </row>
    <row r="78" spans="2:26">
      <c r="B78" s="323"/>
      <c r="C78" s="50" t="s">
        <v>365</v>
      </c>
      <c r="D78" s="50" t="s">
        <v>366</v>
      </c>
      <c r="E78" s="50" t="s">
        <v>276</v>
      </c>
      <c r="F78" s="50">
        <v>1012.6935801942534</v>
      </c>
      <c r="G78" s="1">
        <v>985.53351320983711</v>
      </c>
      <c r="H78" s="50">
        <v>1084.7096188961623</v>
      </c>
      <c r="I78" s="50">
        <v>970.26660603808079</v>
      </c>
      <c r="J78" s="50">
        <v>959.83579788656823</v>
      </c>
      <c r="K78" s="50">
        <v>935.25114416985036</v>
      </c>
      <c r="L78" s="50">
        <v>900.1665385883714</v>
      </c>
      <c r="M78" s="50">
        <v>938.12185616804322</v>
      </c>
      <c r="N78" s="50">
        <v>861.45006221899473</v>
      </c>
      <c r="O78" s="50">
        <v>868.62231422494881</v>
      </c>
      <c r="P78" s="50">
        <v>879.17731923931979</v>
      </c>
      <c r="Q78" s="50"/>
      <c r="R78" s="50"/>
      <c r="S78" s="50"/>
      <c r="T78" s="50"/>
      <c r="U78" s="50"/>
      <c r="V78" s="50"/>
      <c r="W78" s="50"/>
      <c r="X78" s="50"/>
      <c r="Y78" s="50"/>
      <c r="Z78" s="50"/>
    </row>
    <row r="79" spans="2:26">
      <c r="B79" s="323"/>
      <c r="C79" s="50"/>
      <c r="D79" s="50"/>
      <c r="E79" s="50" t="s">
        <v>367</v>
      </c>
      <c r="F79" s="50">
        <v>103.36772279210507</v>
      </c>
      <c r="G79" s="1">
        <v>100.61597888819163</v>
      </c>
      <c r="H79" s="50">
        <v>110.74115557898543</v>
      </c>
      <c r="I79" s="50">
        <v>99.057335991636634</v>
      </c>
      <c r="J79" s="50">
        <v>97.992424490716516</v>
      </c>
      <c r="K79" s="50">
        <v>95.482505785589623</v>
      </c>
      <c r="L79" s="50">
        <v>91.900616497026178</v>
      </c>
      <c r="M79" s="50">
        <v>95.775585111591951</v>
      </c>
      <c r="N79" s="50">
        <v>87.947938970800891</v>
      </c>
      <c r="O79" s="50">
        <v>88.680175010204067</v>
      </c>
      <c r="P79" s="50">
        <v>89.757766129588546</v>
      </c>
      <c r="Q79" s="50"/>
      <c r="R79" s="50"/>
      <c r="S79" s="50"/>
      <c r="T79" s="50"/>
      <c r="U79" s="50"/>
      <c r="V79" s="50"/>
      <c r="W79" s="50"/>
      <c r="X79" s="50"/>
      <c r="Y79" s="50"/>
      <c r="Z79" s="50"/>
    </row>
    <row r="80" spans="2:26">
      <c r="B80" s="323"/>
      <c r="C80" s="50" t="s">
        <v>368</v>
      </c>
      <c r="D80" s="50" t="s">
        <v>369</v>
      </c>
      <c r="E80" s="50" t="s">
        <v>276</v>
      </c>
      <c r="F80" s="50">
        <v>27.870993542684378</v>
      </c>
      <c r="G80" s="1">
        <v>25.153973663853844</v>
      </c>
      <c r="H80" s="50">
        <v>22.672898143692077</v>
      </c>
      <c r="I80" s="50">
        <v>21.095578247058995</v>
      </c>
      <c r="J80" s="50">
        <v>19.8465607772658</v>
      </c>
      <c r="K80" s="50">
        <v>20.233671044581762</v>
      </c>
      <c r="L80" s="50">
        <v>18.867721278748267</v>
      </c>
      <c r="M80" s="50">
        <v>20.474754261099356</v>
      </c>
      <c r="N80" s="50">
        <v>19.706041351315328</v>
      </c>
      <c r="O80" s="50">
        <v>18.721302135709376</v>
      </c>
      <c r="P80" s="50">
        <v>18.922714589331328</v>
      </c>
      <c r="Q80" s="50"/>
      <c r="R80" s="50"/>
      <c r="S80" s="50"/>
      <c r="T80" s="50"/>
      <c r="U80" s="50"/>
      <c r="V80" s="50"/>
      <c r="W80" s="50"/>
      <c r="X80" s="50"/>
      <c r="Y80" s="50"/>
      <c r="Z80" s="50"/>
    </row>
    <row r="81" spans="2:26">
      <c r="B81" s="323"/>
      <c r="C81" s="50"/>
      <c r="D81" s="50"/>
      <c r="E81" s="50" t="s">
        <v>367</v>
      </c>
      <c r="F81" s="50">
        <v>2.8448498053163598</v>
      </c>
      <c r="G81" s="1">
        <v>2.5680422321443435</v>
      </c>
      <c r="H81" s="50">
        <v>2.314742025900161</v>
      </c>
      <c r="I81" s="50">
        <v>2.1537088562592133</v>
      </c>
      <c r="J81" s="50">
        <v>2.0261930349429096</v>
      </c>
      <c r="K81" s="50">
        <v>2.0657142465116651</v>
      </c>
      <c r="L81" s="50">
        <v>1.9262604674577097</v>
      </c>
      <c r="M81" s="50">
        <v>2.0903271323225479</v>
      </c>
      <c r="N81" s="50">
        <v>2.0118469986028922</v>
      </c>
      <c r="O81" s="50">
        <v>1.9113121118641527</v>
      </c>
      <c r="P81" s="50">
        <v>1.931874894265577</v>
      </c>
      <c r="Q81" s="50"/>
      <c r="R81" s="50"/>
      <c r="S81" s="50"/>
      <c r="T81" s="50"/>
      <c r="U81" s="50"/>
      <c r="V81" s="50"/>
      <c r="W81" s="50"/>
      <c r="X81" s="50"/>
      <c r="Y81" s="50"/>
      <c r="Z81" s="50"/>
    </row>
    <row r="82" spans="2:26" ht="21" thickBot="1">
      <c r="B82" s="324"/>
      <c r="C82" s="52" t="s">
        <v>370</v>
      </c>
      <c r="D82" s="52" t="s">
        <v>371</v>
      </c>
      <c r="E82" s="52" t="s">
        <v>367</v>
      </c>
      <c r="F82" s="52">
        <v>-0.20647239167934117</v>
      </c>
      <c r="G82" s="19">
        <v>1.4859788881916387</v>
      </c>
      <c r="H82" s="52">
        <v>0.80471277406977038</v>
      </c>
      <c r="I82" s="52">
        <v>0.26027246743649357</v>
      </c>
      <c r="J82" s="52">
        <v>0.48038061687513789</v>
      </c>
      <c r="K82" s="52">
        <v>0.1386330001715379</v>
      </c>
      <c r="L82" s="52">
        <v>0.35630493645642503</v>
      </c>
      <c r="M82" s="52">
        <v>0.617681543862588</v>
      </c>
      <c r="N82" s="52">
        <v>0.46634046987051647</v>
      </c>
      <c r="O82" s="52">
        <v>0.54978971282646683</v>
      </c>
      <c r="P82" s="52">
        <v>0.97263371839990498</v>
      </c>
      <c r="Q82" s="52"/>
      <c r="R82" s="52"/>
      <c r="S82" s="52"/>
      <c r="T82" s="52"/>
      <c r="U82" s="52"/>
      <c r="V82" s="52"/>
      <c r="W82" s="52"/>
      <c r="X82" s="52"/>
      <c r="Y82" s="52"/>
      <c r="Z82" s="52"/>
    </row>
    <row r="83" spans="2:26" ht="21" thickTop="1">
      <c r="B83" s="323" t="s">
        <v>24</v>
      </c>
      <c r="C83" s="50" t="s">
        <v>372</v>
      </c>
      <c r="D83" s="50" t="s">
        <v>25</v>
      </c>
      <c r="E83" s="50" t="s">
        <v>373</v>
      </c>
      <c r="F83" s="51">
        <v>918.40715156383294</v>
      </c>
      <c r="G83" s="2">
        <v>833.81063889746554</v>
      </c>
      <c r="H83" s="51">
        <v>941.40599435392676</v>
      </c>
      <c r="I83" s="51">
        <v>1010.1455163950034</v>
      </c>
      <c r="J83" s="51">
        <v>904.52562693682296</v>
      </c>
      <c r="K83" s="51">
        <v>885.1284285239492</v>
      </c>
      <c r="L83" s="51">
        <v>805.38723643263461</v>
      </c>
      <c r="M83" s="51">
        <v>815.91501256870231</v>
      </c>
      <c r="N83" s="51">
        <v>832.47226848351579</v>
      </c>
      <c r="O83" s="51">
        <v>892.78855554089125</v>
      </c>
      <c r="P83" s="51">
        <v>891.80653593857642</v>
      </c>
      <c r="Q83" s="51"/>
      <c r="R83" s="51"/>
      <c r="S83" s="51"/>
      <c r="T83" s="51"/>
      <c r="U83" s="51"/>
      <c r="V83" s="51"/>
      <c r="W83" s="51"/>
      <c r="X83" s="51"/>
      <c r="Y83" s="51"/>
      <c r="Z83" s="51"/>
    </row>
    <row r="84" spans="2:26">
      <c r="B84" s="323"/>
      <c r="C84" s="50"/>
      <c r="D84" s="50" t="s">
        <v>27</v>
      </c>
      <c r="E84" s="50" t="s">
        <v>373</v>
      </c>
      <c r="F84" s="51">
        <v>55.530862171617095</v>
      </c>
      <c r="G84" s="1">
        <v>72.911848683691176</v>
      </c>
      <c r="H84" s="51">
        <v>58.680109429353045</v>
      </c>
      <c r="I84" s="51">
        <v>57.72518969576015</v>
      </c>
      <c r="J84" s="51">
        <v>52.359348891475904</v>
      </c>
      <c r="K84" s="51">
        <v>57.310584566883882</v>
      </c>
      <c r="L84" s="51">
        <v>61.608111818404758</v>
      </c>
      <c r="M84" s="51">
        <v>61.309209303595203</v>
      </c>
      <c r="N84" s="51">
        <v>61.555242693094755</v>
      </c>
      <c r="O84" s="51">
        <v>61.979275376536179</v>
      </c>
      <c r="P84" s="51">
        <v>61.134686718395209</v>
      </c>
      <c r="Q84" s="51"/>
      <c r="R84" s="51"/>
      <c r="S84" s="51"/>
      <c r="T84" s="51"/>
      <c r="U84" s="51"/>
      <c r="V84" s="51"/>
      <c r="W84" s="51"/>
      <c r="X84" s="51"/>
      <c r="Y84" s="51"/>
      <c r="Z84" s="51"/>
    </row>
    <row r="85" spans="2:26">
      <c r="B85" s="323"/>
      <c r="C85" s="50"/>
      <c r="D85" s="50" t="s">
        <v>29</v>
      </c>
      <c r="E85" s="50" t="s">
        <v>373</v>
      </c>
      <c r="F85" s="51">
        <v>963.51180413877057</v>
      </c>
      <c r="G85" s="1">
        <v>896.99496843978659</v>
      </c>
      <c r="H85" s="51">
        <v>982.70276637670884</v>
      </c>
      <c r="I85" s="51">
        <v>1050.537846066663</v>
      </c>
      <c r="J85" s="51">
        <v>938.77426688646835</v>
      </c>
      <c r="K85" s="51">
        <v>935.64369229074987</v>
      </c>
      <c r="L85" s="51">
        <v>859.90611138054135</v>
      </c>
      <c r="M85" s="51">
        <v>871.2826765478984</v>
      </c>
      <c r="N85" s="51">
        <v>887.03226452233321</v>
      </c>
      <c r="O85" s="51">
        <v>946.92451889626716</v>
      </c>
      <c r="P85" s="51">
        <v>946.7870879520932</v>
      </c>
      <c r="Q85" s="51"/>
      <c r="R85" s="51"/>
      <c r="S85" s="51"/>
      <c r="T85" s="51"/>
      <c r="U85" s="51"/>
      <c r="V85" s="51"/>
      <c r="W85" s="51"/>
      <c r="X85" s="51"/>
      <c r="Y85" s="51"/>
      <c r="Z85" s="51"/>
    </row>
    <row r="86" spans="2:26">
      <c r="B86" s="323"/>
      <c r="C86" s="50"/>
      <c r="D86" s="50" t="s">
        <v>31</v>
      </c>
      <c r="E86" s="50" t="s">
        <v>373</v>
      </c>
      <c r="F86" s="50">
        <v>0</v>
      </c>
      <c r="G86" s="1">
        <v>0</v>
      </c>
      <c r="H86" s="50">
        <v>0</v>
      </c>
      <c r="I86" s="50">
        <v>0</v>
      </c>
      <c r="J86" s="50">
        <v>0</v>
      </c>
      <c r="K86" s="50">
        <v>0</v>
      </c>
      <c r="L86" s="50">
        <v>0</v>
      </c>
      <c r="M86" s="50">
        <v>0</v>
      </c>
      <c r="N86" s="50">
        <v>0</v>
      </c>
      <c r="O86" s="50">
        <v>0</v>
      </c>
      <c r="P86" s="50">
        <v>0</v>
      </c>
      <c r="Q86" s="50"/>
      <c r="R86" s="50"/>
      <c r="S86" s="50"/>
      <c r="T86" s="50"/>
      <c r="U86" s="50"/>
      <c r="V86" s="50"/>
      <c r="W86" s="50"/>
      <c r="X86" s="50"/>
      <c r="Y86" s="50"/>
      <c r="Z86" s="50"/>
    </row>
    <row r="87" spans="2:26">
      <c r="B87" s="323"/>
      <c r="C87" s="50"/>
      <c r="D87" s="50" t="s">
        <v>33</v>
      </c>
      <c r="E87" s="50" t="s">
        <v>373</v>
      </c>
      <c r="F87" s="50">
        <v>0</v>
      </c>
      <c r="G87" s="1">
        <v>0</v>
      </c>
      <c r="H87" s="50">
        <v>0</v>
      </c>
      <c r="I87" s="50">
        <v>0</v>
      </c>
      <c r="J87" s="50">
        <v>0</v>
      </c>
      <c r="K87" s="50">
        <v>0</v>
      </c>
      <c r="L87" s="50">
        <v>0</v>
      </c>
      <c r="M87" s="50">
        <v>0</v>
      </c>
      <c r="N87" s="50">
        <v>0</v>
      </c>
      <c r="O87" s="50">
        <v>0</v>
      </c>
      <c r="P87" s="50">
        <v>0</v>
      </c>
      <c r="Q87" s="50"/>
      <c r="R87" s="50"/>
      <c r="S87" s="50"/>
      <c r="T87" s="50"/>
      <c r="U87" s="50"/>
      <c r="V87" s="50"/>
      <c r="W87" s="50"/>
      <c r="X87" s="50"/>
      <c r="Y87" s="50"/>
      <c r="Z87" s="50"/>
    </row>
    <row r="88" spans="2:26" ht="21" thickBot="1">
      <c r="B88" s="324"/>
      <c r="C88" s="52"/>
      <c r="D88" s="52" t="s">
        <v>374</v>
      </c>
      <c r="E88" s="52" t="s">
        <v>373</v>
      </c>
      <c r="F88" s="52">
        <v>-5.6196454676211225</v>
      </c>
      <c r="G88" s="19">
        <v>-6.0825334963457909</v>
      </c>
      <c r="H88" s="52">
        <v>-6.9131857565410044</v>
      </c>
      <c r="I88" s="52">
        <v>-6.5852125029812028</v>
      </c>
      <c r="J88" s="52">
        <v>-4.987654749548712</v>
      </c>
      <c r="K88" s="52">
        <v>-7.6748803539465982</v>
      </c>
      <c r="L88" s="52">
        <v>-5.784948570851979</v>
      </c>
      <c r="M88" s="52">
        <v>-5.6420922591709717</v>
      </c>
      <c r="N88" s="52">
        <v>-5.7208954706653863</v>
      </c>
      <c r="O88" s="52">
        <v>-5.6642768869536919</v>
      </c>
      <c r="P88" s="52">
        <v>-5.8243628376211198</v>
      </c>
      <c r="Q88" s="52"/>
      <c r="R88" s="52"/>
      <c r="S88" s="52"/>
      <c r="T88" s="52"/>
      <c r="U88" s="52"/>
      <c r="V88" s="52"/>
      <c r="W88" s="52"/>
      <c r="X88" s="52"/>
      <c r="Y88" s="52"/>
      <c r="Z88" s="52"/>
    </row>
    <row r="89" spans="2:26" ht="21" thickTop="1">
      <c r="B89" s="323" t="s">
        <v>375</v>
      </c>
      <c r="C89" s="50"/>
      <c r="D89" s="50" t="s">
        <v>164</v>
      </c>
      <c r="E89" s="50" t="s">
        <v>348</v>
      </c>
      <c r="F89" s="50">
        <v>-2.1235387044881707E-2</v>
      </c>
      <c r="G89" s="2">
        <v>-2.0820816650685955E-2</v>
      </c>
      <c r="H89" s="50">
        <v>-2.130043362118501E-2</v>
      </c>
      <c r="I89" s="50">
        <v>-2.2167204650325574E-2</v>
      </c>
      <c r="J89" s="50">
        <v>-2.0018827319272563E-2</v>
      </c>
      <c r="K89" s="50">
        <v>-2.0535400940715834E-2</v>
      </c>
      <c r="L89" s="50">
        <v>-2.1866528705799238E-2</v>
      </c>
      <c r="M89" s="50">
        <v>-2.0430634259647602E-2</v>
      </c>
      <c r="N89" s="50">
        <v>-2.1374283181142786E-2</v>
      </c>
      <c r="O89" s="50">
        <v>-2.1277877173263921E-2</v>
      </c>
      <c r="P89" s="50">
        <v>-2.1202289228846573E-2</v>
      </c>
      <c r="Q89" s="50"/>
      <c r="R89" s="50"/>
      <c r="S89" s="50"/>
      <c r="T89" s="50"/>
      <c r="U89" s="50"/>
      <c r="V89" s="50"/>
      <c r="W89" s="50"/>
      <c r="X89" s="50"/>
      <c r="Y89" s="50"/>
      <c r="Z89" s="50"/>
    </row>
    <row r="90" spans="2:26">
      <c r="B90" s="323"/>
      <c r="C90" s="50"/>
      <c r="D90" s="50" t="s">
        <v>376</v>
      </c>
      <c r="E90" s="50" t="s">
        <v>348</v>
      </c>
      <c r="F90" s="50">
        <v>-3.3102396725761384E-3</v>
      </c>
      <c r="G90" s="1">
        <v>-3.4932616092385018E-3</v>
      </c>
      <c r="H90" s="50">
        <v>-4.0605550085478061E-3</v>
      </c>
      <c r="I90" s="50">
        <v>-3.9301510675748665E-3</v>
      </c>
      <c r="J90" s="50">
        <v>-4.5244603596246253E-3</v>
      </c>
      <c r="K90" s="50">
        <v>-1.6261031494530539E-3</v>
      </c>
      <c r="L90" s="50">
        <v>-2.8747141341960475E-3</v>
      </c>
      <c r="M90" s="50">
        <v>-2.3232525096361562E-3</v>
      </c>
      <c r="N90" s="50">
        <v>-2.6407031537638032E-3</v>
      </c>
      <c r="O90" s="50">
        <v>-2.8537063442499789E-3</v>
      </c>
      <c r="P90" s="50">
        <v>-2.1937912085889066E-3</v>
      </c>
      <c r="Q90" s="50"/>
      <c r="R90" s="50"/>
      <c r="S90" s="50"/>
      <c r="T90" s="50"/>
      <c r="U90" s="50"/>
      <c r="V90" s="50"/>
      <c r="W90" s="50"/>
      <c r="X90" s="50"/>
      <c r="Y90" s="50"/>
      <c r="Z90" s="50"/>
    </row>
    <row r="91" spans="2:26" ht="21" thickBot="1">
      <c r="B91" s="324"/>
      <c r="C91" s="52"/>
      <c r="D91" s="52" t="s">
        <v>377</v>
      </c>
      <c r="E91" s="52" t="s">
        <v>348</v>
      </c>
      <c r="F91" s="52">
        <v>-3.1702415539934146E-4</v>
      </c>
      <c r="G91" s="19">
        <v>-3.7529757345022873E-4</v>
      </c>
      <c r="H91" s="52">
        <v>1.8555211084135206E-4</v>
      </c>
      <c r="I91" s="52">
        <v>1.8096809282457506E-4</v>
      </c>
      <c r="J91" s="52">
        <v>1.9831791090086103E-4</v>
      </c>
      <c r="K91" s="52">
        <v>2.557796675998126E-4</v>
      </c>
      <c r="L91" s="52">
        <v>1.5474625405552511E-4</v>
      </c>
      <c r="M91" s="52">
        <v>1.8960206754604588E-4</v>
      </c>
      <c r="N91" s="52">
        <v>1.5444168419411308E-4</v>
      </c>
      <c r="O91" s="52">
        <v>1.45882241211397E-4</v>
      </c>
      <c r="P91" s="52">
        <v>1.5323418589440656E-4</v>
      </c>
      <c r="Q91" s="52"/>
      <c r="R91" s="52"/>
      <c r="S91" s="52"/>
      <c r="T91" s="52"/>
      <c r="U91" s="52"/>
      <c r="V91" s="52"/>
      <c r="W91" s="52"/>
      <c r="X91" s="52"/>
      <c r="Y91" s="52"/>
      <c r="Z91" s="52"/>
    </row>
    <row r="92" spans="2:26" ht="21" thickTop="1">
      <c r="B92" s="323" t="s">
        <v>378</v>
      </c>
      <c r="C92" s="50" t="s">
        <v>379</v>
      </c>
      <c r="D92" s="50" t="s">
        <v>380</v>
      </c>
      <c r="E92" s="50" t="s">
        <v>381</v>
      </c>
      <c r="F92" s="50">
        <v>8.7453503909277899</v>
      </c>
      <c r="G92" s="2">
        <v>8.2104818110790951</v>
      </c>
      <c r="H92" s="50">
        <v>9.4963161479902265</v>
      </c>
      <c r="I92" s="50">
        <v>8.3860722086699404</v>
      </c>
      <c r="J92" s="50">
        <v>7.0458658976119821</v>
      </c>
      <c r="K92" s="50">
        <v>9.2901291803350876</v>
      </c>
      <c r="L92" s="50">
        <v>10.401330090247521</v>
      </c>
      <c r="M92" s="50">
        <v>8.7455376688500372</v>
      </c>
      <c r="N92" s="50">
        <v>9.7013471072537136</v>
      </c>
      <c r="O92" s="50">
        <v>9.2531089919488565</v>
      </c>
      <c r="P92" s="50">
        <v>8.6584587070829002</v>
      </c>
      <c r="Q92" s="50"/>
      <c r="R92" s="50"/>
      <c r="S92" s="50"/>
      <c r="T92" s="50"/>
      <c r="U92" s="50"/>
      <c r="V92" s="50"/>
      <c r="W92" s="50"/>
      <c r="X92" s="50"/>
      <c r="Y92" s="50"/>
      <c r="Z92" s="50"/>
    </row>
    <row r="93" spans="2:26">
      <c r="B93" s="323"/>
      <c r="C93" s="50"/>
      <c r="D93" s="50" t="s">
        <v>382</v>
      </c>
      <c r="E93" s="50" t="s">
        <v>45</v>
      </c>
      <c r="F93" s="50">
        <v>0.87466672375566978</v>
      </c>
      <c r="G93" s="1">
        <v>0.90435520631105559</v>
      </c>
      <c r="H93" s="50">
        <v>0.87289716628344272</v>
      </c>
      <c r="I93" s="50">
        <v>0.87324814934969552</v>
      </c>
      <c r="J93" s="50">
        <v>0.92923133755955545</v>
      </c>
      <c r="K93" s="50">
        <v>0.9925505543187817</v>
      </c>
      <c r="L93" s="50">
        <v>0.98803141841708864</v>
      </c>
      <c r="M93" s="50">
        <v>0.95074838866354594</v>
      </c>
      <c r="N93" s="50">
        <v>0.98825436767997343</v>
      </c>
      <c r="O93" s="50">
        <v>0.98368694325554928</v>
      </c>
      <c r="P93" s="50">
        <v>0.98948080665334137</v>
      </c>
      <c r="Q93" s="50"/>
      <c r="R93" s="50"/>
      <c r="S93" s="50"/>
      <c r="T93" s="50"/>
      <c r="U93" s="50"/>
      <c r="V93" s="50"/>
      <c r="W93" s="50"/>
      <c r="X93" s="50"/>
      <c r="Y93" s="50"/>
      <c r="Z93" s="50"/>
    </row>
    <row r="94" spans="2:26">
      <c r="B94" s="323"/>
      <c r="C94" s="50"/>
      <c r="D94" s="50" t="s">
        <v>383</v>
      </c>
      <c r="E94" s="50" t="s">
        <v>381</v>
      </c>
      <c r="F94" s="50">
        <v>4.2390881345512756</v>
      </c>
      <c r="G94" s="1">
        <v>3.5040741639495896</v>
      </c>
      <c r="H94" s="50">
        <v>4.6332928125957356</v>
      </c>
      <c r="I94" s="50">
        <v>4.0863297379258734</v>
      </c>
      <c r="J94" s="50">
        <v>2.6034366877272448</v>
      </c>
      <c r="K94" s="50">
        <v>1.1318487780818216</v>
      </c>
      <c r="L94" s="50">
        <v>1.6044339500554228</v>
      </c>
      <c r="M94" s="50">
        <v>2.7107993008886107</v>
      </c>
      <c r="N94" s="50">
        <v>1.4825393080339162</v>
      </c>
      <c r="O94" s="50">
        <v>1.6645311178490798</v>
      </c>
      <c r="P94" s="50">
        <v>1.2525690769984914</v>
      </c>
      <c r="Q94" s="50"/>
      <c r="R94" s="50"/>
      <c r="S94" s="50"/>
      <c r="T94" s="50"/>
      <c r="U94" s="50"/>
      <c r="V94" s="50"/>
      <c r="W94" s="50"/>
      <c r="X94" s="50"/>
      <c r="Y94" s="50"/>
      <c r="Z94" s="50"/>
    </row>
    <row r="95" spans="2:26">
      <c r="B95" s="323"/>
      <c r="C95" s="50"/>
      <c r="D95" s="50" t="s">
        <v>384</v>
      </c>
      <c r="E95" s="50" t="s">
        <v>385</v>
      </c>
      <c r="F95" s="50">
        <v>1.4822020934095739</v>
      </c>
      <c r="G95" s="1">
        <v>1.7931085397169628</v>
      </c>
      <c r="H95" s="50">
        <v>1.3560950195287835</v>
      </c>
      <c r="I95" s="50">
        <v>1.5376109394365189</v>
      </c>
      <c r="J95" s="50">
        <v>2.413419668240405</v>
      </c>
      <c r="K95" s="50">
        <v>5.5512586388332643</v>
      </c>
      <c r="L95" s="50">
        <v>3.9161383408538213</v>
      </c>
      <c r="M95" s="50">
        <v>2.3178349297640493</v>
      </c>
      <c r="N95" s="50">
        <v>4.2381239223343714</v>
      </c>
      <c r="O95" s="50">
        <v>3.7747478793299867</v>
      </c>
      <c r="P95" s="50">
        <v>5.0162385632542277</v>
      </c>
      <c r="Q95" s="50"/>
      <c r="R95" s="50"/>
      <c r="S95" s="50"/>
      <c r="T95" s="50"/>
      <c r="U95" s="50"/>
      <c r="V95" s="50"/>
      <c r="W95" s="50"/>
      <c r="X95" s="50"/>
      <c r="Y95" s="50"/>
      <c r="Z95" s="50"/>
    </row>
    <row r="96" spans="2:26">
      <c r="B96" s="323"/>
      <c r="C96" s="50" t="s">
        <v>386</v>
      </c>
      <c r="D96" s="50" t="s">
        <v>387</v>
      </c>
      <c r="E96" s="50" t="s">
        <v>381</v>
      </c>
      <c r="F96" s="50">
        <v>0.65326714854755707</v>
      </c>
      <c r="G96" s="1">
        <v>0.62732315975683761</v>
      </c>
      <c r="H96" s="50">
        <v>0.62382508504723611</v>
      </c>
      <c r="I96" s="50">
        <v>0.70448947113508698</v>
      </c>
      <c r="J96" s="50">
        <v>0.82248996349895132</v>
      </c>
      <c r="K96" s="50">
        <v>0.60563290975250206</v>
      </c>
      <c r="L96" s="50">
        <v>0.53340329177995904</v>
      </c>
      <c r="M96" s="50">
        <v>0.60440909762581829</v>
      </c>
      <c r="N96" s="50">
        <v>0.5686171003563496</v>
      </c>
      <c r="O96" s="50">
        <v>0.5943886699925105</v>
      </c>
      <c r="P96" s="50">
        <v>0.64010513773290212</v>
      </c>
      <c r="Q96" s="50"/>
      <c r="R96" s="50"/>
      <c r="S96" s="50"/>
      <c r="T96" s="50"/>
      <c r="U96" s="50"/>
      <c r="V96" s="50"/>
      <c r="W96" s="50"/>
      <c r="X96" s="50"/>
      <c r="Y96" s="50"/>
      <c r="Z96" s="50"/>
    </row>
    <row r="97" spans="2:27">
      <c r="B97" s="323"/>
      <c r="C97" s="50"/>
      <c r="D97" s="50" t="s">
        <v>388</v>
      </c>
      <c r="E97" s="50" t="s">
        <v>45</v>
      </c>
      <c r="F97" s="50">
        <v>3.9293704054904489E-2</v>
      </c>
      <c r="G97" s="1">
        <v>4.1935643099854196E-2</v>
      </c>
      <c r="H97" s="50">
        <v>2.9829612677350483E-2</v>
      </c>
      <c r="I97" s="50">
        <v>3.148157310602704E-2</v>
      </c>
      <c r="J97" s="50">
        <v>3.2163274407309643E-2</v>
      </c>
      <c r="K97" s="50">
        <v>3.7242807874262492E-2</v>
      </c>
      <c r="L97" s="50">
        <v>3.6480889219473393E-2</v>
      </c>
      <c r="M97" s="50">
        <v>3.5390909123463973E-2</v>
      </c>
      <c r="N97" s="50">
        <v>4.1291947701511719E-2</v>
      </c>
      <c r="O97" s="50">
        <v>3.9216782953523835E-2</v>
      </c>
      <c r="P97" s="50">
        <v>3.8981032713419926E-2</v>
      </c>
      <c r="Q97" s="50"/>
      <c r="R97" s="50"/>
      <c r="S97" s="50"/>
      <c r="T97" s="50"/>
      <c r="U97" s="50"/>
      <c r="V97" s="50"/>
      <c r="W97" s="50"/>
      <c r="X97" s="50"/>
      <c r="Y97" s="50"/>
      <c r="Z97" s="50"/>
    </row>
    <row r="98" spans="2:27">
      <c r="B98" s="323"/>
      <c r="C98" s="50"/>
      <c r="D98" s="50" t="s">
        <v>389</v>
      </c>
      <c r="E98" s="50" t="s">
        <v>381</v>
      </c>
      <c r="F98" s="50">
        <v>0.65276263306619364</v>
      </c>
      <c r="G98" s="1">
        <v>0.62677131235269212</v>
      </c>
      <c r="H98" s="50">
        <v>0.62354748169313978</v>
      </c>
      <c r="I98" s="50">
        <v>0.70414027855380978</v>
      </c>
      <c r="J98" s="50">
        <v>0.82206443026501153</v>
      </c>
      <c r="K98" s="50">
        <v>0.6052127494888383</v>
      </c>
      <c r="L98" s="50">
        <v>0.53304823231428844</v>
      </c>
      <c r="M98" s="50">
        <v>0.60403046285887607</v>
      </c>
      <c r="N98" s="50">
        <v>0.56813214038081983</v>
      </c>
      <c r="O98" s="50">
        <v>0.59393142228808504</v>
      </c>
      <c r="P98" s="50">
        <v>0.63961862627541599</v>
      </c>
      <c r="Q98" s="50"/>
      <c r="R98" s="50"/>
      <c r="S98" s="50"/>
      <c r="T98" s="50"/>
      <c r="U98" s="50"/>
      <c r="V98" s="50"/>
      <c r="W98" s="50"/>
      <c r="X98" s="50"/>
      <c r="Y98" s="50"/>
      <c r="Z98" s="50"/>
    </row>
    <row r="99" spans="2:27">
      <c r="B99" s="323"/>
      <c r="C99" s="50"/>
      <c r="D99" s="50" t="s">
        <v>390</v>
      </c>
      <c r="E99" s="50" t="s">
        <v>385</v>
      </c>
      <c r="F99" s="50">
        <v>9.6255284676236013</v>
      </c>
      <c r="G99" s="1">
        <v>10.024685532582192</v>
      </c>
      <c r="H99" s="50">
        <v>10.07651460658399</v>
      </c>
      <c r="I99" s="50">
        <v>8.9232010986280077</v>
      </c>
      <c r="J99" s="50">
        <v>7.6431786559042045</v>
      </c>
      <c r="K99" s="50">
        <v>10.381779485786369</v>
      </c>
      <c r="L99" s="50">
        <v>11.78727350787833</v>
      </c>
      <c r="M99" s="50">
        <v>10.402100048797656</v>
      </c>
      <c r="N99" s="50">
        <v>11.059373094026959</v>
      </c>
      <c r="O99" s="50">
        <v>10.57897439231956</v>
      </c>
      <c r="P99" s="50">
        <v>9.8233307303250488</v>
      </c>
      <c r="Q99" s="50"/>
      <c r="R99" s="50"/>
      <c r="S99" s="50"/>
      <c r="T99" s="50"/>
      <c r="U99" s="50"/>
      <c r="V99" s="50"/>
      <c r="W99" s="50"/>
      <c r="X99" s="50"/>
      <c r="Y99" s="50"/>
      <c r="Z99" s="50"/>
    </row>
    <row r="100" spans="2:27">
      <c r="B100" s="323"/>
      <c r="C100" s="50" t="s">
        <v>391</v>
      </c>
      <c r="D100" s="50" t="s">
        <v>392</v>
      </c>
      <c r="E100" s="50" t="s">
        <v>381</v>
      </c>
      <c r="F100" s="50">
        <v>0.71452193292878585</v>
      </c>
      <c r="G100" s="1">
        <v>0.72438011711662642</v>
      </c>
      <c r="H100" s="50">
        <v>1.2535547569359917</v>
      </c>
      <c r="I100" s="50">
        <v>1.1385918604631449</v>
      </c>
      <c r="J100" s="50">
        <v>1.2646822697445395</v>
      </c>
      <c r="K100" s="50">
        <v>0.92879097528311116</v>
      </c>
      <c r="L100" s="50">
        <v>1.0987067653094216</v>
      </c>
      <c r="M100" s="50">
        <v>1.0366318104894019</v>
      </c>
      <c r="N100" s="50">
        <v>1.0300195391903519</v>
      </c>
      <c r="O100" s="50">
        <v>1.0391027576319321</v>
      </c>
      <c r="P100" s="50">
        <v>0.91300620956946987</v>
      </c>
      <c r="Q100" s="50"/>
      <c r="R100" s="50"/>
      <c r="S100" s="50"/>
      <c r="T100" s="50"/>
      <c r="U100" s="50"/>
      <c r="V100" s="50"/>
      <c r="W100" s="50"/>
      <c r="X100" s="50"/>
      <c r="Y100" s="50"/>
      <c r="Z100" s="50"/>
    </row>
    <row r="101" spans="2:27">
      <c r="B101" s="323"/>
      <c r="C101" s="50"/>
      <c r="D101" s="50" t="s">
        <v>393</v>
      </c>
      <c r="E101" s="50"/>
      <c r="F101" s="50">
        <v>0.15159055837003976</v>
      </c>
      <c r="G101" s="1">
        <v>0.18493539126626099</v>
      </c>
      <c r="H101" s="50">
        <v>0.20060718601528893</v>
      </c>
      <c r="I101" s="50">
        <v>0.20270423647798141</v>
      </c>
      <c r="J101" s="50">
        <v>0.2034993555069157</v>
      </c>
      <c r="K101" s="50">
        <v>0.25141588908449458</v>
      </c>
      <c r="L101" s="50">
        <v>0.22647111129224112</v>
      </c>
      <c r="M101" s="50">
        <v>0.22202189401394098</v>
      </c>
      <c r="N101" s="50">
        <v>0.21710302695420797</v>
      </c>
      <c r="O101" s="50">
        <v>0.21427229647500562</v>
      </c>
      <c r="P101" s="50">
        <v>0.21084076252157694</v>
      </c>
      <c r="Q101" s="50"/>
      <c r="R101" s="50"/>
      <c r="S101" s="50"/>
      <c r="T101" s="50"/>
      <c r="U101" s="50"/>
      <c r="V101" s="50"/>
      <c r="W101" s="50"/>
      <c r="X101" s="50"/>
      <c r="Y101" s="50"/>
      <c r="Z101" s="50"/>
    </row>
    <row r="102" spans="2:27">
      <c r="B102" s="323"/>
      <c r="C102" s="50"/>
      <c r="D102" s="50" t="s">
        <v>392</v>
      </c>
      <c r="E102" s="50" t="s">
        <v>381</v>
      </c>
      <c r="F102" s="50">
        <v>0.70626446982278512</v>
      </c>
      <c r="G102" s="1">
        <v>0.71188505341810548</v>
      </c>
      <c r="H102" s="50">
        <v>1.2280721947135658</v>
      </c>
      <c r="I102" s="50">
        <v>1.1149547021103381</v>
      </c>
      <c r="J102" s="50">
        <v>1.2382188944449084</v>
      </c>
      <c r="K102" s="50">
        <v>0.8989574205057016</v>
      </c>
      <c r="L102" s="50">
        <v>1.070160037215744</v>
      </c>
      <c r="M102" s="50">
        <v>1.0107592224882171</v>
      </c>
      <c r="N102" s="50">
        <v>1.0054522294995805</v>
      </c>
      <c r="O102" s="50">
        <v>1.0149685228812946</v>
      </c>
      <c r="P102" s="50">
        <v>0.89248221406783212</v>
      </c>
      <c r="Q102" s="50"/>
      <c r="R102" s="50"/>
      <c r="S102" s="50"/>
      <c r="T102" s="50"/>
      <c r="U102" s="50"/>
      <c r="V102" s="50"/>
      <c r="W102" s="50"/>
      <c r="X102" s="50"/>
      <c r="Y102" s="50"/>
      <c r="Z102" s="50"/>
    </row>
    <row r="103" spans="2:27">
      <c r="B103" s="323"/>
      <c r="C103" s="50"/>
      <c r="D103" s="50" t="s">
        <v>394</v>
      </c>
      <c r="E103" s="50" t="s">
        <v>385</v>
      </c>
      <c r="F103" s="50">
        <v>8.8963632968201765</v>
      </c>
      <c r="G103" s="1">
        <v>8.8261233706354218</v>
      </c>
      <c r="H103" s="50">
        <v>5.1162996232848261</v>
      </c>
      <c r="I103" s="50">
        <v>5.635372715400047</v>
      </c>
      <c r="J103" s="50">
        <v>5.0743736308403919</v>
      </c>
      <c r="K103" s="50">
        <v>6.9894136961960092</v>
      </c>
      <c r="L103" s="50">
        <v>5.8712576518243669</v>
      </c>
      <c r="M103" s="50">
        <v>6.2163027231273489</v>
      </c>
      <c r="N103" s="50">
        <v>6.2491137050904593</v>
      </c>
      <c r="O103" s="50">
        <v>6.1905223320057923</v>
      </c>
      <c r="P103" s="50">
        <v>7.0401238345597328</v>
      </c>
      <c r="Q103" s="50"/>
      <c r="R103" s="50"/>
      <c r="S103" s="50"/>
      <c r="T103" s="50"/>
      <c r="U103" s="50"/>
      <c r="V103" s="50"/>
      <c r="W103" s="50"/>
      <c r="X103" s="50"/>
      <c r="Y103" s="50"/>
      <c r="Z103" s="50"/>
    </row>
    <row r="104" spans="2:27">
      <c r="B104" s="323"/>
      <c r="C104" s="50" t="s">
        <v>395</v>
      </c>
      <c r="D104" s="50" t="s">
        <v>396</v>
      </c>
      <c r="E104" s="50"/>
      <c r="F104" s="50">
        <v>0.24829176159103347</v>
      </c>
      <c r="G104" s="1">
        <v>0.36269510456588794</v>
      </c>
      <c r="H104" s="50">
        <v>-1.9216585040664196E-2</v>
      </c>
      <c r="I104" s="50">
        <v>-2.7297176747471005E-2</v>
      </c>
      <c r="J104" s="50">
        <v>-4.372860158895997E-2</v>
      </c>
      <c r="K104" s="50">
        <v>-9.0773124665995492E-2</v>
      </c>
      <c r="L104" s="50">
        <v>-8.6694976076733751E-3</v>
      </c>
      <c r="M104" s="50">
        <v>-3.4806930541028493E-2</v>
      </c>
      <c r="N104" s="50">
        <v>-2.1839647168287717E-2</v>
      </c>
      <c r="O104" s="50">
        <v>-1.7593155317140192E-2</v>
      </c>
      <c r="P104" s="50">
        <v>-4.9245769222332134E-2</v>
      </c>
      <c r="Q104" s="50"/>
      <c r="R104" s="50"/>
      <c r="S104" s="50"/>
      <c r="T104" s="50"/>
      <c r="U104" s="50"/>
      <c r="V104" s="50"/>
      <c r="W104" s="50"/>
      <c r="X104" s="50"/>
      <c r="Y104" s="50"/>
      <c r="Z104" s="50"/>
    </row>
    <row r="105" spans="2:27">
      <c r="B105" s="323"/>
      <c r="C105" s="50"/>
      <c r="D105" s="50" t="s">
        <v>397</v>
      </c>
      <c r="E105" s="50" t="s">
        <v>385</v>
      </c>
      <c r="F105" s="50">
        <v>-2.7916640331451772</v>
      </c>
      <c r="G105" s="1">
        <v>-1.9111015611572082</v>
      </c>
      <c r="H105" s="50">
        <v>36.070258013751001</v>
      </c>
      <c r="I105" s="50">
        <v>25.392632614439261</v>
      </c>
      <c r="J105" s="50">
        <v>15.851117012050578</v>
      </c>
      <c r="K105" s="50">
        <v>7.6360396660401078</v>
      </c>
      <c r="L105" s="50">
        <v>79.952404617591739</v>
      </c>
      <c r="M105" s="50">
        <v>19.914056476278528</v>
      </c>
      <c r="N105" s="50">
        <v>31.738021004589779</v>
      </c>
      <c r="O105" s="50">
        <v>39.398684776268887</v>
      </c>
      <c r="P105" s="50">
        <v>14.075263550672991</v>
      </c>
      <c r="Q105" s="50"/>
      <c r="R105" s="50"/>
      <c r="S105" s="50"/>
      <c r="T105" s="50"/>
      <c r="U105" s="50"/>
      <c r="V105" s="50"/>
      <c r="W105" s="50"/>
      <c r="X105" s="50"/>
      <c r="Y105" s="50"/>
      <c r="Z105" s="50"/>
    </row>
    <row r="106" spans="2:27" ht="21" thickBot="1">
      <c r="B106" s="324"/>
      <c r="C106" s="52" t="s">
        <v>398</v>
      </c>
      <c r="D106" s="52" t="s">
        <v>399</v>
      </c>
      <c r="E106" s="52"/>
      <c r="F106" s="52">
        <v>30.228339155625207</v>
      </c>
      <c r="G106" s="19">
        <v>36.246940958040639</v>
      </c>
      <c r="H106" s="52">
        <v>36.670209300235157</v>
      </c>
      <c r="I106" s="52">
        <v>30.660436314858401</v>
      </c>
      <c r="J106" s="52">
        <v>28.448149995144675</v>
      </c>
      <c r="K106" s="52">
        <v>33.360693861526748</v>
      </c>
      <c r="L106" s="52">
        <v>44.430982222470632</v>
      </c>
      <c r="M106" s="52">
        <v>39.510875685444965</v>
      </c>
      <c r="N106" s="52">
        <v>40.323482713556857</v>
      </c>
      <c r="O106" s="52">
        <v>39.16291360077927</v>
      </c>
      <c r="P106" s="52">
        <v>33.317151314646928</v>
      </c>
      <c r="Q106" s="52"/>
      <c r="R106" s="52"/>
      <c r="S106" s="52"/>
      <c r="T106" s="52"/>
      <c r="U106" s="52"/>
      <c r="V106" s="52"/>
      <c r="W106" s="52"/>
      <c r="X106" s="52"/>
      <c r="Y106" s="52"/>
      <c r="Z106" s="52"/>
    </row>
    <row r="107" spans="2:27" ht="21" thickTop="1">
      <c r="B107" s="25"/>
      <c r="C107" s="3"/>
      <c r="D107" s="3"/>
      <c r="E107" s="3"/>
      <c r="F107" s="3"/>
      <c r="H107" s="3"/>
      <c r="I107" s="47"/>
      <c r="J107" s="47"/>
      <c r="K107" s="47"/>
      <c r="L107" s="47"/>
      <c r="M107" s="47"/>
      <c r="N107" s="47"/>
      <c r="O107" s="47"/>
      <c r="P107" s="47"/>
      <c r="Q107" s="47"/>
      <c r="R107" s="47"/>
      <c r="S107" s="47"/>
      <c r="T107" s="47"/>
      <c r="U107" s="47"/>
      <c r="V107" s="47"/>
      <c r="W107" s="47"/>
      <c r="X107" s="47"/>
      <c r="Y107" s="47"/>
      <c r="Z107" s="47"/>
      <c r="AA107" s="47"/>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13</vt:i4>
      </vt:variant>
    </vt:vector>
  </HeadingPairs>
  <TitlesOfParts>
    <vt:vector size="13" baseType="lpstr">
      <vt:lpstr>全機諸元</vt:lpstr>
      <vt:lpstr>運動解析</vt:lpstr>
      <vt:lpstr>機体重量</vt:lpstr>
      <vt:lpstr>主翼</vt:lpstr>
      <vt:lpstr>水平尾翼</vt:lpstr>
      <vt:lpstr>垂直尾翼</vt:lpstr>
      <vt:lpstr>カウル</vt:lpstr>
      <vt:lpstr>主桁</vt:lpstr>
      <vt:lpstr>胴接桁</vt:lpstr>
      <vt:lpstr>積層構成</vt:lpstr>
      <vt:lpstr>翼型</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2023-11-01T15:24:35Z</dcterms:modified>
</cp:coreProperties>
</file>